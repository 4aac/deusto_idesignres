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N:\IDEES2023\Calibration_output\Results\xCountries\ES\"/>
    </mc:Choice>
  </mc:AlternateContent>
  <bookViews>
    <workbookView xWindow="0" yWindow="0" windowWidth="22260" windowHeight="12645" tabRatio="752"/>
  </bookViews>
  <sheets>
    <sheet name="cover" sheetId="2" r:id="rId1"/>
    <sheet name="index" sheetId="1" r:id="rId2"/>
    <sheet name="Transport" sheetId="3" r:id="rId3"/>
    <sheet name="TrRoad_act" sheetId="4" r:id="rId4"/>
    <sheet name="TrRoad_ene" sheetId="5" r:id="rId5"/>
    <sheet name="TrRoad_emi" sheetId="6" r:id="rId6"/>
    <sheet name="TrRoad_tech" sheetId="7" r:id="rId7"/>
    <sheet name="TrRail_act" sheetId="8" r:id="rId8"/>
    <sheet name="TrRail_ene" sheetId="9" r:id="rId9"/>
    <sheet name="TrRail_emi" sheetId="10" r:id="rId10"/>
    <sheet name="TrAvia_act" sheetId="11" r:id="rId11"/>
    <sheet name="TrAvia_ene" sheetId="12" r:id="rId12"/>
    <sheet name="TrAvia_emi" sheetId="13" r:id="rId13"/>
    <sheet name="TrAvia_png" sheetId="14" r:id="rId14"/>
    <sheet name="TrNavi_act" sheetId="15" r:id="rId15"/>
    <sheet name="TrNavi_ene" sheetId="16" r:id="rId16"/>
    <sheet name="TrNavi_emi" sheetId="17" r:id="rId17"/>
    <sheet name="MBunk_act" sheetId="18" r:id="rId18"/>
    <sheet name="MBunk_ene" sheetId="19" r:id="rId19"/>
    <sheet name="MBunk_emi" sheetId="20" r:id="rId2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Y52" i="6" l="1"/>
  <c r="X52" i="6"/>
  <c r="Y218" i="7"/>
  <c r="X218" i="7"/>
  <c r="Y211" i="7"/>
  <c r="X211" i="7"/>
  <c r="Y205" i="7"/>
  <c r="X205" i="7"/>
  <c r="Y32" i="8"/>
  <c r="X32" i="8"/>
  <c r="X88" i="8"/>
  <c r="X87" i="8"/>
  <c r="X86" i="8"/>
  <c r="X84" i="8"/>
  <c r="Y12" i="3"/>
  <c r="X12" i="3"/>
  <c r="X17" i="9"/>
  <c r="X51" i="3" s="1"/>
  <c r="Y49" i="9"/>
  <c r="X27" i="9"/>
  <c r="Y40" i="3"/>
  <c r="X25" i="9"/>
  <c r="X5" i="9"/>
  <c r="Y57" i="10"/>
  <c r="X68" i="10"/>
  <c r="X15" i="10"/>
  <c r="Y32" i="10"/>
  <c r="X54" i="10"/>
  <c r="Y53" i="10"/>
  <c r="X53" i="10"/>
  <c r="Y41" i="10"/>
  <c r="Y70" i="3"/>
  <c r="X28" i="10"/>
  <c r="Y24" i="10"/>
  <c r="X24" i="10"/>
  <c r="Y58" i="11"/>
  <c r="X102" i="11"/>
  <c r="Y67" i="11"/>
  <c r="X101" i="11"/>
  <c r="X25" i="3"/>
  <c r="Y24" i="3"/>
  <c r="X24" i="3"/>
  <c r="Y23" i="3"/>
  <c r="X8" i="11"/>
  <c r="X16" i="3"/>
  <c r="X15" i="3"/>
  <c r="Y14" i="3"/>
  <c r="Y25" i="12"/>
  <c r="Y75" i="12" s="1"/>
  <c r="X35" i="12"/>
  <c r="Y54" i="3"/>
  <c r="X54" i="3"/>
  <c r="Y53" i="3"/>
  <c r="X4" i="12"/>
  <c r="Y45" i="3"/>
  <c r="X45" i="3"/>
  <c r="Y39" i="12"/>
  <c r="X48" i="13"/>
  <c r="Y76" i="3"/>
  <c r="X76" i="3"/>
  <c r="Y24" i="13"/>
  <c r="X5" i="13"/>
  <c r="Y23" i="13"/>
  <c r="Y7" i="15"/>
  <c r="X28" i="3"/>
  <c r="Y27" i="3"/>
  <c r="X27" i="3"/>
  <c r="Y15" i="17"/>
  <c r="X88" i="3"/>
  <c r="Y14" i="17"/>
  <c r="X31" i="3"/>
  <c r="Y3" i="18"/>
  <c r="Y17" i="18" s="1"/>
  <c r="X10" i="19"/>
  <c r="Y4" i="19"/>
  <c r="X3" i="20"/>
  <c r="Y90" i="3"/>
  <c r="X90" i="3"/>
  <c r="Y85" i="3"/>
  <c r="X85" i="3"/>
  <c r="X83" i="3"/>
  <c r="Y44" i="3"/>
  <c r="X44" i="3"/>
  <c r="Y42" i="3"/>
  <c r="Y31" i="3"/>
  <c r="Y30" i="3"/>
  <c r="Y25" i="3"/>
  <c r="Y10" i="3"/>
  <c r="Y41" i="12" l="1"/>
  <c r="X41" i="12"/>
  <c r="X14" i="17"/>
  <c r="X29" i="9"/>
  <c r="Y57" i="8"/>
  <c r="Y79" i="8" s="1"/>
  <c r="Y29" i="9"/>
  <c r="X91" i="8"/>
  <c r="X75" i="3"/>
  <c r="X227" i="3" s="1"/>
  <c r="Y75" i="3"/>
  <c r="Y91" i="8"/>
  <c r="Y18" i="11"/>
  <c r="Y122" i="11" s="1"/>
  <c r="X31" i="9"/>
  <c r="Y53" i="9"/>
  <c r="X55" i="3"/>
  <c r="X207" i="3" s="1"/>
  <c r="X84" i="3"/>
  <c r="X82" i="3" s="1"/>
  <c r="Y44" i="11"/>
  <c r="X28" i="8"/>
  <c r="X26" i="8" s="1"/>
  <c r="Y43" i="9"/>
  <c r="X46" i="3"/>
  <c r="X43" i="3" s="1"/>
  <c r="X53" i="3"/>
  <c r="X52" i="3" s="1"/>
  <c r="Y69" i="11"/>
  <c r="Y15" i="14"/>
  <c r="Y21" i="14" s="1"/>
  <c r="Y55" i="3"/>
  <c r="Y52" i="3" s="1"/>
  <c r="X19" i="12"/>
  <c r="X69" i="12" s="1"/>
  <c r="Y44" i="12"/>
  <c r="X90" i="8"/>
  <c r="Y7" i="18"/>
  <c r="Y23" i="18" s="1"/>
  <c r="X240" i="3"/>
  <c r="X98" i="11"/>
  <c r="X43" i="8"/>
  <c r="X88" i="11"/>
  <c r="Y88" i="11"/>
  <c r="Y25" i="9"/>
  <c r="Y31" i="9"/>
  <c r="Y42" i="9"/>
  <c r="Y48" i="11"/>
  <c r="X15" i="14"/>
  <c r="X27" i="14" s="1"/>
  <c r="X72" i="3"/>
  <c r="X164" i="3" s="1"/>
  <c r="X25" i="12"/>
  <c r="X75" i="12" s="1"/>
  <c r="Y103" i="11"/>
  <c r="X31" i="10"/>
  <c r="X54" i="11"/>
  <c r="Y31" i="10"/>
  <c r="X49" i="9"/>
  <c r="Y98" i="11"/>
  <c r="Y92" i="11"/>
  <c r="X32" i="10"/>
  <c r="X95" i="8"/>
  <c r="X43" i="10"/>
  <c r="X65" i="10"/>
  <c r="X53" i="8"/>
  <c r="X75" i="8" s="1"/>
  <c r="X47" i="13"/>
  <c r="X77" i="11"/>
  <c r="Y68" i="10"/>
  <c r="Y53" i="8"/>
  <c r="Y75" i="8" s="1"/>
  <c r="Y88" i="8"/>
  <c r="Y3" i="15"/>
  <c r="Y19" i="15" s="1"/>
  <c r="Y13" i="14"/>
  <c r="Y19" i="14" s="1"/>
  <c r="Y99" i="11"/>
  <c r="X112" i="11"/>
  <c r="X87" i="3"/>
  <c r="X239" i="3" s="1"/>
  <c r="X38" i="13"/>
  <c r="X78" i="11"/>
  <c r="X67" i="8"/>
  <c r="X87" i="11"/>
  <c r="Y14" i="14"/>
  <c r="Y20" i="14" s="1"/>
  <c r="Y77" i="11"/>
  <c r="Y88" i="3"/>
  <c r="Y28" i="13"/>
  <c r="X99" i="8"/>
  <c r="Y23" i="12"/>
  <c r="Y73" i="12" s="1"/>
  <c r="Y89" i="11"/>
  <c r="Y19" i="12"/>
  <c r="Y69" i="12" s="1"/>
  <c r="Y45" i="13"/>
  <c r="X79" i="11"/>
  <c r="Y5" i="9"/>
  <c r="Y4" i="9" s="1"/>
  <c r="Y55" i="8"/>
  <c r="Y77" i="8" s="1"/>
  <c r="Y67" i="8"/>
  <c r="X99" i="11"/>
  <c r="Y16" i="3"/>
  <c r="Y228" i="3" s="1"/>
  <c r="X40" i="3"/>
  <c r="X91" i="3"/>
  <c r="X243" i="3" s="1"/>
  <c r="Y39" i="13"/>
  <c r="Y79" i="11"/>
  <c r="X4" i="9"/>
  <c r="X57" i="8"/>
  <c r="X79" i="8" s="1"/>
  <c r="X7" i="15"/>
  <c r="X22" i="15" s="1"/>
  <c r="X13" i="14"/>
  <c r="X19" i="14" s="1"/>
  <c r="Y15" i="3"/>
  <c r="Y197" i="3" s="1"/>
  <c r="X23" i="3"/>
  <c r="X22" i="3" s="1"/>
  <c r="X14" i="20"/>
  <c r="Y15" i="18"/>
  <c r="Y29" i="13"/>
  <c r="X18" i="11"/>
  <c r="X120" i="11" s="1"/>
  <c r="X237" i="3"/>
  <c r="Y194" i="3"/>
  <c r="Y196" i="3"/>
  <c r="Y206" i="3"/>
  <c r="Y65" i="10"/>
  <c r="X46" i="10"/>
  <c r="X36" i="9"/>
  <c r="X47" i="9"/>
  <c r="X10" i="8"/>
  <c r="X21" i="3" s="1"/>
  <c r="X203" i="3" s="1"/>
  <c r="Y43" i="8"/>
  <c r="X35" i="10"/>
  <c r="X50" i="10"/>
  <c r="X38" i="9"/>
  <c r="X39" i="8"/>
  <c r="X37" i="8" s="1"/>
  <c r="X51" i="8"/>
  <c r="X73" i="8" s="1"/>
  <c r="Y43" i="10"/>
  <c r="X70" i="3"/>
  <c r="X162" i="3" s="1"/>
  <c r="Y35" i="10"/>
  <c r="Y36" i="9"/>
  <c r="Y38" i="9"/>
  <c r="X6" i="8"/>
  <c r="X11" i="3" s="1"/>
  <c r="Y39" i="8"/>
  <c r="Y37" i="8" s="1"/>
  <c r="Y39" i="10"/>
  <c r="Y54" i="10"/>
  <c r="X40" i="9"/>
  <c r="X51" i="9"/>
  <c r="Y90" i="8"/>
  <c r="X55" i="8"/>
  <c r="X77" i="8" s="1"/>
  <c r="X42" i="3"/>
  <c r="X194" i="3" s="1"/>
  <c r="Y72" i="3"/>
  <c r="Y164" i="3" s="1"/>
  <c r="X61" i="10"/>
  <c r="Y40" i="9"/>
  <c r="Y51" i="9"/>
  <c r="X10" i="3"/>
  <c r="X42" i="10"/>
  <c r="X64" i="10"/>
  <c r="X13" i="9"/>
  <c r="X41" i="3" s="1"/>
  <c r="X42" i="9"/>
  <c r="X53" i="9"/>
  <c r="Y99" i="8"/>
  <c r="Y86" i="8"/>
  <c r="X10" i="16"/>
  <c r="X58" i="3" s="1"/>
  <c r="X210" i="3" s="1"/>
  <c r="X18" i="17"/>
  <c r="Y4" i="16"/>
  <c r="Y24" i="16" s="1"/>
  <c r="X4" i="16"/>
  <c r="X20" i="16" s="1"/>
  <c r="X4" i="19"/>
  <c r="X24" i="19" s="1"/>
  <c r="Y10" i="19"/>
  <c r="Y11" i="20" s="1"/>
  <c r="X15" i="20"/>
  <c r="Y14" i="20"/>
  <c r="X14" i="3"/>
  <c r="X196" i="3" s="1"/>
  <c r="X206" i="3"/>
  <c r="Y74" i="3"/>
  <c r="Y6" i="13"/>
  <c r="Y25" i="13"/>
  <c r="X44" i="13"/>
  <c r="Y45" i="12"/>
  <c r="X31" i="12"/>
  <c r="Y14" i="11"/>
  <c r="Y116" i="11" s="1"/>
  <c r="Y24" i="11"/>
  <c r="Y102" i="11"/>
  <c r="X44" i="11"/>
  <c r="Y97" i="11"/>
  <c r="X28" i="13"/>
  <c r="Y44" i="13"/>
  <c r="Y31" i="12"/>
  <c r="Y33" i="13"/>
  <c r="Y21" i="12"/>
  <c r="Y71" i="12" s="1"/>
  <c r="Y40" i="12"/>
  <c r="Y78" i="11"/>
  <c r="Y46" i="3"/>
  <c r="X34" i="13"/>
  <c r="Y4" i="12"/>
  <c r="Y72" i="11"/>
  <c r="Y34" i="13"/>
  <c r="X93" i="11"/>
  <c r="X21" i="12"/>
  <c r="X71" i="12" s="1"/>
  <c r="X28" i="11"/>
  <c r="X90" i="11" s="1"/>
  <c r="X68" i="11"/>
  <c r="X73" i="11"/>
  <c r="X24" i="13"/>
  <c r="Y35" i="13"/>
  <c r="X89" i="11"/>
  <c r="Y35" i="12"/>
  <c r="Y68" i="11"/>
  <c r="Y73" i="11"/>
  <c r="Y29" i="12"/>
  <c r="X14" i="11"/>
  <c r="X119" i="11" s="1"/>
  <c r="X92" i="11"/>
  <c r="X48" i="11"/>
  <c r="Y47" i="13"/>
  <c r="Y27" i="13"/>
  <c r="Y83" i="3"/>
  <c r="Y235" i="3" s="1"/>
  <c r="Y10" i="13"/>
  <c r="Y37" i="13"/>
  <c r="X11" i="9"/>
  <c r="X228" i="3"/>
  <c r="X55" i="10"/>
  <c r="X81" i="3"/>
  <c r="Y20" i="19"/>
  <c r="Y60" i="3"/>
  <c r="Y24" i="19"/>
  <c r="Y18" i="17"/>
  <c r="Y87" i="3"/>
  <c r="Y239" i="3" s="1"/>
  <c r="Y3" i="17"/>
  <c r="Y23" i="17" s="1"/>
  <c r="Y23" i="15"/>
  <c r="Y21" i="15"/>
  <c r="Y162" i="3"/>
  <c r="X43" i="13"/>
  <c r="X33" i="13"/>
  <c r="X23" i="13"/>
  <c r="X6" i="13"/>
  <c r="X4" i="13"/>
  <c r="X74" i="3"/>
  <c r="X25" i="19"/>
  <c r="X21" i="19"/>
  <c r="X61" i="3"/>
  <c r="X3" i="18"/>
  <c r="X18" i="18" s="1"/>
  <c r="X30" i="3"/>
  <c r="X14" i="18"/>
  <c r="X18" i="20"/>
  <c r="X21" i="20"/>
  <c r="X14" i="14"/>
  <c r="X20" i="14" s="1"/>
  <c r="X4" i="14"/>
  <c r="Y91" i="3"/>
  <c r="Y243" i="3" s="1"/>
  <c r="Y19" i="20"/>
  <c r="Y3" i="20"/>
  <c r="Y23" i="20" s="1"/>
  <c r="Y15" i="20"/>
  <c r="Y28" i="11"/>
  <c r="Y101" i="11"/>
  <c r="X4" i="10"/>
  <c r="X23" i="10"/>
  <c r="X7" i="18"/>
  <c r="X13" i="20" s="1"/>
  <c r="X110" i="11"/>
  <c r="X111" i="11"/>
  <c r="Y28" i="3"/>
  <c r="Y84" i="3"/>
  <c r="Y192" i="3"/>
  <c r="Y237" i="3"/>
  <c r="Y242" i="3"/>
  <c r="X23" i="20"/>
  <c r="Y19" i="18"/>
  <c r="X19" i="17"/>
  <c r="X15" i="17"/>
  <c r="Y10" i="16"/>
  <c r="Y43" i="13"/>
  <c r="X4" i="11"/>
  <c r="X107" i="11" s="1"/>
  <c r="X91" i="11"/>
  <c r="X81" i="11"/>
  <c r="X24" i="11"/>
  <c r="X97" i="11"/>
  <c r="X58" i="11"/>
  <c r="X69" i="11"/>
  <c r="X113" i="11"/>
  <c r="Y4" i="10"/>
  <c r="Y50" i="10"/>
  <c r="Y61" i="10"/>
  <c r="X15" i="18"/>
  <c r="X14" i="15"/>
  <c r="Y38" i="13"/>
  <c r="Y48" i="13"/>
  <c r="Y91" i="11"/>
  <c r="Y8" i="11"/>
  <c r="Y113" i="11" s="1"/>
  <c r="X52" i="9"/>
  <c r="Y29" i="3"/>
  <c r="Y123" i="3" s="1"/>
  <c r="Y222" i="3"/>
  <c r="Y10" i="20"/>
  <c r="Y14" i="15"/>
  <c r="Y5" i="13"/>
  <c r="X49" i="13"/>
  <c r="X29" i="13"/>
  <c r="X39" i="13"/>
  <c r="X43" i="12"/>
  <c r="X23" i="12"/>
  <c r="X73" i="12" s="1"/>
  <c r="X10" i="12"/>
  <c r="X45" i="12"/>
  <c r="X103" i="11"/>
  <c r="X38" i="11"/>
  <c r="X71" i="11"/>
  <c r="X82" i="11"/>
  <c r="X26" i="3"/>
  <c r="Y205" i="3"/>
  <c r="Y18" i="20"/>
  <c r="Y14" i="18"/>
  <c r="Y15" i="15"/>
  <c r="X45" i="13"/>
  <c r="X35" i="13"/>
  <c r="X25" i="13"/>
  <c r="Y43" i="12"/>
  <c r="Y38" i="11"/>
  <c r="Y71" i="11"/>
  <c r="Y82" i="11"/>
  <c r="Y87" i="8"/>
  <c r="Y17" i="8"/>
  <c r="Y34" i="10"/>
  <c r="Y15" i="10"/>
  <c r="Y45" i="10"/>
  <c r="Y22" i="3"/>
  <c r="X3" i="17"/>
  <c r="X23" i="17" s="1"/>
  <c r="Y19" i="17"/>
  <c r="Y4" i="14"/>
  <c r="Y4" i="13"/>
  <c r="X39" i="12"/>
  <c r="X6" i="12"/>
  <c r="X29" i="12"/>
  <c r="X34" i="12"/>
  <c r="X24" i="12"/>
  <c r="X74" i="12" s="1"/>
  <c r="X33" i="12"/>
  <c r="X44" i="12"/>
  <c r="X67" i="11"/>
  <c r="X30" i="10"/>
  <c r="X52" i="10"/>
  <c r="X197" i="3"/>
  <c r="Y22" i="15"/>
  <c r="Y33" i="12"/>
  <c r="Y28" i="10"/>
  <c r="Y56" i="10"/>
  <c r="X50" i="9"/>
  <c r="X39" i="9"/>
  <c r="X28" i="9"/>
  <c r="X41" i="10"/>
  <c r="X19" i="20"/>
  <c r="X11" i="20"/>
  <c r="Y18" i="18"/>
  <c r="X3" i="15"/>
  <c r="X23" i="15"/>
  <c r="X15" i="15"/>
  <c r="X37" i="13"/>
  <c r="X27" i="13"/>
  <c r="X10" i="13"/>
  <c r="X30" i="12"/>
  <c r="X20" i="12"/>
  <c r="X70" i="12" s="1"/>
  <c r="X5" i="12"/>
  <c r="X19" i="13" s="1"/>
  <c r="X40" i="12"/>
  <c r="X11" i="10"/>
  <c r="X9" i="10" s="1"/>
  <c r="X34" i="10"/>
  <c r="X45" i="10"/>
  <c r="X56" i="10"/>
  <c r="Y28" i="9"/>
  <c r="Y39" i="9"/>
  <c r="Y13" i="9"/>
  <c r="Y50" i="9"/>
  <c r="X22" i="20"/>
  <c r="Y30" i="12"/>
  <c r="Y20" i="12"/>
  <c r="Y70" i="12" s="1"/>
  <c r="Y5" i="12"/>
  <c r="Y34" i="12"/>
  <c r="Y24" i="12"/>
  <c r="Y74" i="12" s="1"/>
  <c r="Y87" i="11"/>
  <c r="Y4" i="11"/>
  <c r="Y81" i="11"/>
  <c r="Y30" i="10"/>
  <c r="Y11" i="10"/>
  <c r="Y32" i="9"/>
  <c r="Y54" i="8"/>
  <c r="Y76" i="8" s="1"/>
  <c r="Y98" i="8"/>
  <c r="Y58" i="8"/>
  <c r="Y80" i="8" s="1"/>
  <c r="Y102" i="8"/>
  <c r="Y101" i="8"/>
  <c r="Y49" i="13"/>
  <c r="Y93" i="11"/>
  <c r="X34" i="11"/>
  <c r="X72" i="11"/>
  <c r="Y54" i="11"/>
  <c r="Y53" i="11" s="1"/>
  <c r="X83" i="11"/>
  <c r="Y17" i="9"/>
  <c r="Y27" i="9"/>
  <c r="Y6" i="12"/>
  <c r="Y10" i="12"/>
  <c r="Y83" i="11"/>
  <c r="Y34" i="11"/>
  <c r="X39" i="10"/>
  <c r="Y52" i="10"/>
  <c r="Y6" i="8"/>
  <c r="Y10" i="8"/>
  <c r="Y84" i="8"/>
  <c r="Y21" i="8"/>
  <c r="Y124" i="8" s="1"/>
  <c r="Y95" i="8"/>
  <c r="Y54" i="9"/>
  <c r="X54" i="9"/>
  <c r="X43" i="9"/>
  <c r="X32" i="9"/>
  <c r="Y97" i="8"/>
  <c r="Y28" i="8"/>
  <c r="Y63" i="8" s="1"/>
  <c r="X98" i="8"/>
  <c r="X54" i="8"/>
  <c r="X76" i="8" s="1"/>
  <c r="X102" i="8"/>
  <c r="X58" i="8"/>
  <c r="X80" i="8" s="1"/>
  <c r="Y42" i="10"/>
  <c r="Y46" i="10"/>
  <c r="Y64" i="10"/>
  <c r="Y51" i="8"/>
  <c r="Y73" i="8" s="1"/>
  <c r="X57" i="10"/>
  <c r="Y47" i="9"/>
  <c r="X17" i="8"/>
  <c r="X21" i="8"/>
  <c r="X123" i="8" s="1"/>
  <c r="X97" i="8"/>
  <c r="X101" i="8"/>
  <c r="X116" i="11" l="1"/>
  <c r="X236" i="3"/>
  <c r="X198" i="3"/>
  <c r="Y96" i="11"/>
  <c r="Y73" i="3"/>
  <c r="Y36" i="8"/>
  <c r="Y3" i="19"/>
  <c r="Y28" i="19" s="1"/>
  <c r="X21" i="15"/>
  <c r="X20" i="19"/>
  <c r="X36" i="8"/>
  <c r="X60" i="3"/>
  <c r="X212" i="3" s="1"/>
  <c r="X3" i="19"/>
  <c r="X29" i="19" s="1"/>
  <c r="X10" i="20"/>
  <c r="Y25" i="19"/>
  <c r="X86" i="3"/>
  <c r="X238" i="3" s="1"/>
  <c r="Y227" i="3"/>
  <c r="X25" i="14"/>
  <c r="X235" i="3"/>
  <c r="X80" i="11"/>
  <c r="X89" i="3"/>
  <c r="X181" i="3" s="1"/>
  <c r="Y57" i="3"/>
  <c r="Y209" i="3" s="1"/>
  <c r="X3" i="16"/>
  <c r="X28" i="16" s="1"/>
  <c r="Y10" i="17"/>
  <c r="Y20" i="16"/>
  <c r="Y3" i="16"/>
  <c r="Y27" i="16" s="1"/>
  <c r="X11" i="17"/>
  <c r="Y13" i="15"/>
  <c r="Y18" i="15"/>
  <c r="Y17" i="15"/>
  <c r="Y27" i="14"/>
  <c r="Y25" i="14"/>
  <c r="Y3" i="12"/>
  <c r="Y51" i="12" s="1"/>
  <c r="X204" i="3"/>
  <c r="Y121" i="11"/>
  <c r="Y123" i="11"/>
  <c r="Y80" i="11"/>
  <c r="X122" i="11"/>
  <c r="Y120" i="11"/>
  <c r="Y26" i="14"/>
  <c r="X43" i="11"/>
  <c r="X22" i="10"/>
  <c r="X192" i="3"/>
  <c r="X63" i="8"/>
  <c r="X4" i="8"/>
  <c r="X108" i="8" s="1"/>
  <c r="X96" i="8"/>
  <c r="X61" i="8"/>
  <c r="X25" i="8"/>
  <c r="Y207" i="3"/>
  <c r="X118" i="11"/>
  <c r="Y22" i="13"/>
  <c r="X233" i="3"/>
  <c r="X22" i="17"/>
  <c r="Y13" i="18"/>
  <c r="Y22" i="18"/>
  <c r="X44" i="10"/>
  <c r="X205" i="3"/>
  <c r="Y13" i="3"/>
  <c r="Y43" i="11"/>
  <c r="X112" i="8"/>
  <c r="X100" i="8"/>
  <c r="Y198" i="3"/>
  <c r="X111" i="8"/>
  <c r="X76" i="11"/>
  <c r="X48" i="9"/>
  <c r="X113" i="8"/>
  <c r="X41" i="9"/>
  <c r="Y21" i="18"/>
  <c r="X13" i="11"/>
  <c r="X117" i="11"/>
  <c r="X224" i="3"/>
  <c r="Y111" i="11"/>
  <c r="Y42" i="13"/>
  <c r="Y12" i="14"/>
  <c r="Y24" i="14" s="1"/>
  <c r="X13" i="3"/>
  <c r="X195" i="3" s="1"/>
  <c r="X37" i="9"/>
  <c r="X3" i="12"/>
  <c r="X51" i="12" s="1"/>
  <c r="Y23" i="10"/>
  <c r="Y22" i="10"/>
  <c r="Y117" i="11"/>
  <c r="X121" i="11"/>
  <c r="Y119" i="11"/>
  <c r="X29" i="16"/>
  <c r="Y118" i="11"/>
  <c r="X53" i="11"/>
  <c r="Y76" i="11"/>
  <c r="X21" i="16"/>
  <c r="X10" i="17"/>
  <c r="X123" i="11"/>
  <c r="Y112" i="11"/>
  <c r="X21" i="14"/>
  <c r="Y13" i="11"/>
  <c r="X25" i="16"/>
  <c r="X57" i="3"/>
  <c r="X209" i="3" s="1"/>
  <c r="Y32" i="13"/>
  <c r="X24" i="16"/>
  <c r="X17" i="20"/>
  <c r="Y43" i="3"/>
  <c r="X9" i="3"/>
  <c r="X222" i="3"/>
  <c r="Y226" i="3"/>
  <c r="Y123" i="8"/>
  <c r="Y224" i="3"/>
  <c r="Y21" i="19"/>
  <c r="Y61" i="3"/>
  <c r="Y213" i="3" s="1"/>
  <c r="X70" i="11"/>
  <c r="X100" i="11"/>
  <c r="Y19" i="13"/>
  <c r="X85" i="8"/>
  <c r="X15" i="8"/>
  <c r="X24" i="9" s="1"/>
  <c r="X49" i="10"/>
  <c r="X8" i="10"/>
  <c r="X60" i="10" s="1"/>
  <c r="Y44" i="10"/>
  <c r="Y55" i="10"/>
  <c r="Y33" i="10"/>
  <c r="Y81" i="3"/>
  <c r="X17" i="17"/>
  <c r="X13" i="17"/>
  <c r="X21" i="17"/>
  <c r="X29" i="3"/>
  <c r="X122" i="3" s="1"/>
  <c r="X242" i="3"/>
  <c r="Y89" i="3"/>
  <c r="Y183" i="3" s="1"/>
  <c r="Y122" i="8"/>
  <c r="Y89" i="8"/>
  <c r="X13" i="15"/>
  <c r="X19" i="15"/>
  <c r="X17" i="15"/>
  <c r="Y85" i="8"/>
  <c r="Y15" i="8"/>
  <c r="Y118" i="8" s="1"/>
  <c r="Y240" i="3"/>
  <c r="Y122" i="3"/>
  <c r="Y32" i="12"/>
  <c r="Y22" i="12"/>
  <c r="Y72" i="12" s="1"/>
  <c r="Y42" i="12"/>
  <c r="Y41" i="9"/>
  <c r="Y30" i="9"/>
  <c r="Y52" i="9"/>
  <c r="Y51" i="3"/>
  <c r="X18" i="15"/>
  <c r="Y70" i="11"/>
  <c r="X12" i="14"/>
  <c r="X18" i="14" s="1"/>
  <c r="X18" i="13"/>
  <c r="X3" i="13"/>
  <c r="X52" i="13" s="1"/>
  <c r="X26" i="14"/>
  <c r="X66" i="11"/>
  <c r="X26" i="13"/>
  <c r="X46" i="13"/>
  <c r="X36" i="13"/>
  <c r="Y66" i="11"/>
  <c r="Y40" i="10"/>
  <c r="Y51" i="10"/>
  <c r="Y29" i="10"/>
  <c r="Y71" i="3"/>
  <c r="X30" i="9"/>
  <c r="X106" i="11"/>
  <c r="X108" i="11"/>
  <c r="X86" i="11"/>
  <c r="X109" i="11"/>
  <c r="Y236" i="3"/>
  <c r="Y100" i="11"/>
  <c r="Y23" i="11"/>
  <c r="X213" i="3"/>
  <c r="X73" i="3"/>
  <c r="X226" i="3"/>
  <c r="Y204" i="3"/>
  <c r="X13" i="18"/>
  <c r="X17" i="18"/>
  <c r="X19" i="18"/>
  <c r="Y112" i="8"/>
  <c r="Y100" i="8"/>
  <c r="Y56" i="8"/>
  <c r="Y78" i="8" s="1"/>
  <c r="Y111" i="8"/>
  <c r="Y21" i="3"/>
  <c r="Y28" i="12"/>
  <c r="Y18" i="12"/>
  <c r="Y68" i="12" s="1"/>
  <c r="Y38" i="12"/>
  <c r="Y113" i="8"/>
  <c r="Y106" i="11"/>
  <c r="Y107" i="11"/>
  <c r="Y109" i="11"/>
  <c r="Y86" i="11"/>
  <c r="Y48" i="9"/>
  <c r="Y26" i="9"/>
  <c r="Y37" i="9"/>
  <c r="Y41" i="3"/>
  <c r="Y11" i="9"/>
  <c r="X40" i="10"/>
  <c r="X71" i="3"/>
  <c r="X51" i="10"/>
  <c r="X29" i="10"/>
  <c r="X52" i="8"/>
  <c r="Y9" i="10"/>
  <c r="Y108" i="11"/>
  <c r="X38" i="12"/>
  <c r="X28" i="12"/>
  <c r="X18" i="12"/>
  <c r="X68" i="12" s="1"/>
  <c r="Y26" i="3"/>
  <c r="X42" i="13"/>
  <c r="X32" i="13"/>
  <c r="X22" i="13"/>
  <c r="Y212" i="3"/>
  <c r="X89" i="8"/>
  <c r="X122" i="8"/>
  <c r="X124" i="8"/>
  <c r="Y96" i="8"/>
  <c r="Y52" i="8"/>
  <c r="Y74" i="8" s="1"/>
  <c r="Y4" i="8"/>
  <c r="Y107" i="8" s="1"/>
  <c r="Y11" i="3"/>
  <c r="X26" i="9"/>
  <c r="Y36" i="13"/>
  <c r="Y26" i="13"/>
  <c r="Y46" i="13"/>
  <c r="Y18" i="13"/>
  <c r="Y3" i="13"/>
  <c r="Y56" i="13" s="1"/>
  <c r="X234" i="3"/>
  <c r="X32" i="12"/>
  <c r="X22" i="12"/>
  <c r="X72" i="12" s="1"/>
  <c r="X42" i="12"/>
  <c r="Y121" i="3"/>
  <c r="X96" i="11"/>
  <c r="X23" i="11"/>
  <c r="Y21" i="16"/>
  <c r="Y11" i="17"/>
  <c r="Y29" i="16"/>
  <c r="Y25" i="16"/>
  <c r="Y58" i="3"/>
  <c r="Y21" i="20"/>
  <c r="Y13" i="20"/>
  <c r="Y17" i="20"/>
  <c r="Y22" i="20"/>
  <c r="Y13" i="17"/>
  <c r="Y21" i="17"/>
  <c r="Y17" i="17"/>
  <c r="X33" i="10"/>
  <c r="X193" i="3"/>
  <c r="X39" i="3"/>
  <c r="Y82" i="3"/>
  <c r="Y234" i="3" s="1"/>
  <c r="Y26" i="8"/>
  <c r="X56" i="8"/>
  <c r="X78" i="8" s="1"/>
  <c r="Y110" i="11"/>
  <c r="Y90" i="11"/>
  <c r="X21" i="18"/>
  <c r="X22" i="18"/>
  <c r="Y86" i="3"/>
  <c r="X46" i="9"/>
  <c r="X10" i="9"/>
  <c r="X57" i="9" s="1"/>
  <c r="Y22" i="17"/>
  <c r="X23" i="18"/>
  <c r="Y23" i="16" l="1"/>
  <c r="X27" i="19"/>
  <c r="X19" i="19"/>
  <c r="Y225" i="3"/>
  <c r="Y27" i="19"/>
  <c r="Y29" i="19"/>
  <c r="Y9" i="17"/>
  <c r="Y9" i="20"/>
  <c r="Y19" i="19"/>
  <c r="Y23" i="19"/>
  <c r="Y52" i="12"/>
  <c r="X59" i="3"/>
  <c r="X153" i="3" s="1"/>
  <c r="Y17" i="12"/>
  <c r="Y67" i="12" s="1"/>
  <c r="X23" i="19"/>
  <c r="Y28" i="16"/>
  <c r="X28" i="19"/>
  <c r="Y19" i="16"/>
  <c r="X62" i="10"/>
  <c r="Y54" i="12"/>
  <c r="Y55" i="12"/>
  <c r="Y50" i="12"/>
  <c r="Y49" i="12"/>
  <c r="Y48" i="12"/>
  <c r="Y47" i="12"/>
  <c r="Y53" i="12"/>
  <c r="X9" i="20"/>
  <c r="X94" i="8"/>
  <c r="X105" i="8"/>
  <c r="X107" i="8"/>
  <c r="X56" i="3"/>
  <c r="X208" i="3" s="1"/>
  <c r="Y56" i="3"/>
  <c r="Y208" i="3" s="1"/>
  <c r="X109" i="8"/>
  <c r="X19" i="16"/>
  <c r="X95" i="11"/>
  <c r="X27" i="16"/>
  <c r="X23" i="16"/>
  <c r="X38" i="10"/>
  <c r="X74" i="8"/>
  <c r="X35" i="9"/>
  <c r="X182" i="3"/>
  <c r="X9" i="17"/>
  <c r="X183" i="3"/>
  <c r="X110" i="8"/>
  <c r="X106" i="8"/>
  <c r="X49" i="12"/>
  <c r="Y195" i="3"/>
  <c r="X225" i="3"/>
  <c r="Y18" i="14"/>
  <c r="Y95" i="11"/>
  <c r="Y37" i="12"/>
  <c r="X53" i="12"/>
  <c r="X50" i="12"/>
  <c r="X54" i="12"/>
  <c r="X52" i="12"/>
  <c r="X55" i="12"/>
  <c r="X17" i="12"/>
  <c r="X67" i="12" s="1"/>
  <c r="X118" i="8"/>
  <c r="X48" i="12"/>
  <c r="X47" i="12"/>
  <c r="Y59" i="3"/>
  <c r="Y152" i="3" s="1"/>
  <c r="X50" i="8"/>
  <c r="X72" i="8" s="1"/>
  <c r="X27" i="10"/>
  <c r="X56" i="13"/>
  <c r="Y75" i="11"/>
  <c r="Y238" i="3"/>
  <c r="Y203" i="3"/>
  <c r="Y55" i="13"/>
  <c r="Y41" i="13"/>
  <c r="Y51" i="13"/>
  <c r="Y59" i="13"/>
  <c r="Y57" i="13"/>
  <c r="Y21" i="13"/>
  <c r="Y54" i="13"/>
  <c r="Y52" i="13"/>
  <c r="Y58" i="13"/>
  <c r="Y53" i="13"/>
  <c r="X37" i="12"/>
  <c r="X24" i="14"/>
  <c r="X69" i="3"/>
  <c r="X223" i="3"/>
  <c r="X59" i="10"/>
  <c r="X48" i="10"/>
  <c r="X63" i="10"/>
  <c r="X67" i="10"/>
  <c r="X66" i="10"/>
  <c r="X75" i="11"/>
  <c r="Y241" i="3"/>
  <c r="Y117" i="8"/>
  <c r="Y116" i="8"/>
  <c r="Y83" i="8"/>
  <c r="Y14" i="8"/>
  <c r="Y121" i="8"/>
  <c r="Y119" i="8"/>
  <c r="Y120" i="8"/>
  <c r="Y69" i="3"/>
  <c r="X14" i="8"/>
  <c r="X82" i="8" s="1"/>
  <c r="X83" i="8"/>
  <c r="X116" i="8"/>
  <c r="X120" i="8"/>
  <c r="X121" i="8"/>
  <c r="X117" i="8"/>
  <c r="X119" i="8"/>
  <c r="Y223" i="3"/>
  <c r="Y9" i="3"/>
  <c r="X191" i="3"/>
  <c r="X211" i="3"/>
  <c r="X151" i="3"/>
  <c r="X60" i="9"/>
  <c r="X64" i="9"/>
  <c r="X56" i="9"/>
  <c r="X62" i="9"/>
  <c r="X45" i="9"/>
  <c r="X58" i="9"/>
  <c r="X61" i="9"/>
  <c r="X63" i="9"/>
  <c r="X59" i="9"/>
  <c r="X65" i="9"/>
  <c r="Y109" i="8"/>
  <c r="Y94" i="8"/>
  <c r="Y108" i="8"/>
  <c r="Y50" i="8"/>
  <c r="Y105" i="8"/>
  <c r="Y110" i="8"/>
  <c r="Y106" i="8"/>
  <c r="Y10" i="9"/>
  <c r="Y46" i="9"/>
  <c r="Y24" i="9"/>
  <c r="Y35" i="9"/>
  <c r="X41" i="13"/>
  <c r="X51" i="13"/>
  <c r="X21" i="13"/>
  <c r="X58" i="13"/>
  <c r="X59" i="13"/>
  <c r="X54" i="13"/>
  <c r="X55" i="13"/>
  <c r="X57" i="13"/>
  <c r="X53" i="13"/>
  <c r="Y49" i="10"/>
  <c r="Y38" i="10"/>
  <c r="Y8" i="10"/>
  <c r="Y27" i="10"/>
  <c r="Y39" i="3"/>
  <c r="Y193" i="3"/>
  <c r="Y233" i="3"/>
  <c r="Y181" i="3"/>
  <c r="Y182" i="3"/>
  <c r="Y61" i="8"/>
  <c r="Y25" i="8"/>
  <c r="Y210" i="3"/>
  <c r="X241" i="3"/>
  <c r="X121" i="3"/>
  <c r="X123" i="3"/>
  <c r="X152" i="3" l="1"/>
  <c r="Y153" i="3"/>
  <c r="Y151" i="3"/>
  <c r="Y72" i="8"/>
  <c r="Y211" i="3"/>
  <c r="X23" i="9"/>
  <c r="Y191" i="3"/>
  <c r="Y221" i="3"/>
  <c r="Y82" i="8"/>
  <c r="X26" i="10"/>
  <c r="X221" i="3"/>
  <c r="Y26" i="10"/>
  <c r="Y59" i="10"/>
  <c r="Y48" i="10"/>
  <c r="Y67" i="10"/>
  <c r="Y63" i="10"/>
  <c r="Y66" i="10"/>
  <c r="Y62" i="10"/>
  <c r="Y23" i="9"/>
  <c r="Y45" i="9"/>
  <c r="Y56" i="9"/>
  <c r="Y60" i="9"/>
  <c r="Y58" i="9"/>
  <c r="Y64" i="9"/>
  <c r="Y62" i="9"/>
  <c r="Y65" i="9"/>
  <c r="Y61" i="9"/>
  <c r="Y59" i="9"/>
  <c r="Y63" i="9"/>
  <c r="Y60" i="10"/>
  <c r="Y57" i="9"/>
  <c r="A236" i="3" l="1"/>
  <c r="A61" i="3"/>
  <c r="A60" i="3"/>
  <c r="A207" i="3"/>
  <c r="K29" i="13"/>
  <c r="Q23" i="13"/>
  <c r="W91" i="3"/>
  <c r="T91" i="3"/>
  <c r="S91" i="3"/>
  <c r="R91" i="3"/>
  <c r="Q91" i="3"/>
  <c r="P91" i="3"/>
  <c r="O91" i="3"/>
  <c r="N91" i="3"/>
  <c r="L91" i="3"/>
  <c r="K91" i="3"/>
  <c r="J91" i="3"/>
  <c r="I91" i="3"/>
  <c r="H91" i="3"/>
  <c r="E91" i="3"/>
  <c r="D91" i="3"/>
  <c r="C91" i="3"/>
  <c r="B91" i="3"/>
  <c r="W90" i="3"/>
  <c r="V90" i="3"/>
  <c r="U90" i="3"/>
  <c r="S90" i="3"/>
  <c r="R90" i="3"/>
  <c r="Q90" i="3"/>
  <c r="P90" i="3"/>
  <c r="O90" i="3"/>
  <c r="N90" i="3"/>
  <c r="L90" i="3"/>
  <c r="J90" i="3"/>
  <c r="I90" i="3"/>
  <c r="H90" i="3"/>
  <c r="G90" i="3"/>
  <c r="F90" i="3"/>
  <c r="E3" i="20"/>
  <c r="E22" i="20" s="1"/>
  <c r="C90" i="3"/>
  <c r="B90" i="3"/>
  <c r="M15" i="20"/>
  <c r="G15" i="20"/>
  <c r="E15" i="20"/>
  <c r="W14" i="18"/>
  <c r="W31" i="3"/>
  <c r="U31" i="3"/>
  <c r="T31" i="3"/>
  <c r="S31" i="3"/>
  <c r="R31" i="3"/>
  <c r="Q31" i="3"/>
  <c r="P31" i="3"/>
  <c r="O31" i="3"/>
  <c r="M31" i="3"/>
  <c r="L31" i="3"/>
  <c r="K31" i="3"/>
  <c r="H31" i="3"/>
  <c r="F31" i="3"/>
  <c r="E31" i="3"/>
  <c r="D31" i="3"/>
  <c r="C31" i="3"/>
  <c r="B31" i="3"/>
  <c r="W30" i="3"/>
  <c r="S30" i="3"/>
  <c r="Q14" i="18"/>
  <c r="P18" i="20"/>
  <c r="N30" i="3"/>
  <c r="M30" i="3"/>
  <c r="K30" i="3"/>
  <c r="J30" i="3"/>
  <c r="I30" i="3"/>
  <c r="H30" i="3"/>
  <c r="G30" i="3"/>
  <c r="C30" i="3"/>
  <c r="B30" i="3"/>
  <c r="C18" i="20"/>
  <c r="B24" i="1"/>
  <c r="B25" i="1"/>
  <c r="B26" i="1"/>
  <c r="S242" i="3" l="1"/>
  <c r="C242" i="3"/>
  <c r="O14" i="18"/>
  <c r="I15" i="18"/>
  <c r="E3" i="18"/>
  <c r="E17" i="20" s="1"/>
  <c r="I7" i="18"/>
  <c r="I23" i="18" s="1"/>
  <c r="U3" i="18"/>
  <c r="U17" i="18" s="1"/>
  <c r="I23" i="13"/>
  <c r="C29" i="13"/>
  <c r="F3" i="18"/>
  <c r="F17" i="18" s="1"/>
  <c r="V3" i="18"/>
  <c r="V19" i="18" s="1"/>
  <c r="R7" i="18"/>
  <c r="R21" i="18" s="1"/>
  <c r="O25" i="13"/>
  <c r="W3" i="20"/>
  <c r="W22" i="20" s="1"/>
  <c r="J15" i="18"/>
  <c r="F15" i="18"/>
  <c r="I24" i="13"/>
  <c r="U27" i="13"/>
  <c r="F23" i="13"/>
  <c r="N7" i="18"/>
  <c r="N21" i="18" s="1"/>
  <c r="E27" i="13"/>
  <c r="D14" i="18"/>
  <c r="L14" i="18"/>
  <c r="T14" i="18"/>
  <c r="N15" i="18"/>
  <c r="V15" i="18"/>
  <c r="S29" i="13"/>
  <c r="N23" i="13"/>
  <c r="U14" i="20"/>
  <c r="G15" i="18"/>
  <c r="O243" i="3"/>
  <c r="W243" i="3"/>
  <c r="B23" i="13"/>
  <c r="J23" i="13"/>
  <c r="R23" i="13"/>
  <c r="D24" i="13"/>
  <c r="L24" i="13"/>
  <c r="T24" i="13"/>
  <c r="D29" i="13"/>
  <c r="L29" i="13"/>
  <c r="T29" i="13"/>
  <c r="V23" i="13"/>
  <c r="Q24" i="13"/>
  <c r="M27" i="13"/>
  <c r="E24" i="13"/>
  <c r="M24" i="13"/>
  <c r="U24" i="13"/>
  <c r="G25" i="13"/>
  <c r="W25" i="13"/>
  <c r="T7" i="18"/>
  <c r="T21" i="18" s="1"/>
  <c r="K14" i="18"/>
  <c r="S14" i="18"/>
  <c r="M4" i="19"/>
  <c r="M10" i="20" s="1"/>
  <c r="H25" i="13"/>
  <c r="P25" i="13"/>
  <c r="B27" i="13"/>
  <c r="J27" i="13"/>
  <c r="R27" i="13"/>
  <c r="H29" i="13"/>
  <c r="P29" i="13"/>
  <c r="N242" i="3"/>
  <c r="H243" i="3"/>
  <c r="C25" i="13"/>
  <c r="O28" i="13"/>
  <c r="M15" i="18"/>
  <c r="H242" i="3"/>
  <c r="H23" i="13"/>
  <c r="P23" i="13"/>
  <c r="B24" i="13"/>
  <c r="J24" i="13"/>
  <c r="R24" i="13"/>
  <c r="D25" i="13"/>
  <c r="L25" i="13"/>
  <c r="T25" i="13"/>
  <c r="F27" i="13"/>
  <c r="N27" i="13"/>
  <c r="V27" i="13"/>
  <c r="H28" i="13"/>
  <c r="P28" i="13"/>
  <c r="B29" i="13"/>
  <c r="J29" i="13"/>
  <c r="R29" i="13"/>
  <c r="W23" i="13"/>
  <c r="G28" i="13"/>
  <c r="C243" i="3"/>
  <c r="K243" i="3"/>
  <c r="S243" i="3"/>
  <c r="E7" i="18"/>
  <c r="E21" i="18" s="1"/>
  <c r="M7" i="18"/>
  <c r="M21" i="18" s="1"/>
  <c r="U7" i="18"/>
  <c r="U21" i="18" s="1"/>
  <c r="I4" i="19"/>
  <c r="I60" i="3" s="1"/>
  <c r="I212" i="3" s="1"/>
  <c r="K4" i="19"/>
  <c r="K24" i="19" s="1"/>
  <c r="W4" i="19"/>
  <c r="W20" i="19" s="1"/>
  <c r="G10" i="19"/>
  <c r="G11" i="20" s="1"/>
  <c r="O10" i="19"/>
  <c r="O61" i="3" s="1"/>
  <c r="O213" i="3" s="1"/>
  <c r="Q10" i="19"/>
  <c r="Q61" i="3" s="1"/>
  <c r="Q213" i="3" s="1"/>
  <c r="D3" i="20"/>
  <c r="D22" i="20" s="1"/>
  <c r="T3" i="20"/>
  <c r="T22" i="20" s="1"/>
  <c r="F3" i="20"/>
  <c r="F23" i="20" s="1"/>
  <c r="C24" i="13"/>
  <c r="K24" i="13"/>
  <c r="S24" i="13"/>
  <c r="E25" i="13"/>
  <c r="M25" i="13"/>
  <c r="U25" i="13"/>
  <c r="G27" i="13"/>
  <c r="O27" i="13"/>
  <c r="W27" i="13"/>
  <c r="I28" i="13"/>
  <c r="Q28" i="13"/>
  <c r="Q15" i="18"/>
  <c r="R18" i="20"/>
  <c r="T243" i="3"/>
  <c r="M14" i="20"/>
  <c r="F25" i="13"/>
  <c r="N25" i="13"/>
  <c r="V25" i="13"/>
  <c r="H27" i="13"/>
  <c r="P27" i="13"/>
  <c r="B28" i="13"/>
  <c r="J28" i="13"/>
  <c r="R28" i="13"/>
  <c r="R30" i="3"/>
  <c r="R242" i="3" s="1"/>
  <c r="K25" i="13"/>
  <c r="I29" i="13"/>
  <c r="B242" i="3"/>
  <c r="L243" i="3"/>
  <c r="H89" i="3"/>
  <c r="H181" i="3" s="1"/>
  <c r="C23" i="13"/>
  <c r="K23" i="13"/>
  <c r="S23" i="13"/>
  <c r="I27" i="13"/>
  <c r="Q27" i="13"/>
  <c r="C28" i="13"/>
  <c r="K28" i="13"/>
  <c r="S28" i="13"/>
  <c r="E29" i="13"/>
  <c r="M29" i="13"/>
  <c r="U29" i="13"/>
  <c r="O23" i="13"/>
  <c r="S25" i="13"/>
  <c r="Q29" i="13"/>
  <c r="D243" i="3"/>
  <c r="M3" i="18"/>
  <c r="M18" i="18" s="1"/>
  <c r="G14" i="18"/>
  <c r="D23" i="13"/>
  <c r="L23" i="13"/>
  <c r="T23" i="13"/>
  <c r="F24" i="13"/>
  <c r="N24" i="13"/>
  <c r="V24" i="13"/>
  <c r="D28" i="13"/>
  <c r="L28" i="13"/>
  <c r="T28" i="13"/>
  <c r="F29" i="13"/>
  <c r="N29" i="13"/>
  <c r="V29" i="13"/>
  <c r="C7" i="18"/>
  <c r="C21" i="18" s="1"/>
  <c r="E23" i="13"/>
  <c r="M23" i="13"/>
  <c r="U23" i="13"/>
  <c r="G24" i="13"/>
  <c r="O24" i="13"/>
  <c r="W24" i="13"/>
  <c r="I25" i="13"/>
  <c r="Q25" i="13"/>
  <c r="C27" i="13"/>
  <c r="K27" i="13"/>
  <c r="S27" i="13"/>
  <c r="E28" i="13"/>
  <c r="M28" i="13"/>
  <c r="U28" i="13"/>
  <c r="G29" i="13"/>
  <c r="O29" i="13"/>
  <c r="W29" i="13"/>
  <c r="G23" i="13"/>
  <c r="W28" i="13"/>
  <c r="L15" i="20"/>
  <c r="F4" i="19"/>
  <c r="F60" i="3" s="1"/>
  <c r="N4" i="19"/>
  <c r="N60" i="3" s="1"/>
  <c r="N212" i="3" s="1"/>
  <c r="V4" i="19"/>
  <c r="V60" i="3" s="1"/>
  <c r="H4" i="19"/>
  <c r="H60" i="3" s="1"/>
  <c r="H212" i="3" s="1"/>
  <c r="P4" i="19"/>
  <c r="P20" i="19" s="1"/>
  <c r="J10" i="19"/>
  <c r="J61" i="3" s="1"/>
  <c r="S19" i="20"/>
  <c r="H24" i="13"/>
  <c r="P24" i="13"/>
  <c r="B25" i="13"/>
  <c r="J25" i="13"/>
  <c r="R25" i="13"/>
  <c r="D27" i="13"/>
  <c r="L27" i="13"/>
  <c r="T27" i="13"/>
  <c r="F28" i="13"/>
  <c r="N28" i="13"/>
  <c r="V28" i="13"/>
  <c r="R243" i="3"/>
  <c r="I242" i="3"/>
  <c r="E243" i="3"/>
  <c r="G242" i="3"/>
  <c r="W242" i="3"/>
  <c r="Q243" i="3"/>
  <c r="K15" i="18"/>
  <c r="L19" i="20"/>
  <c r="D7" i="18"/>
  <c r="D21" i="18" s="1"/>
  <c r="K14" i="20"/>
  <c r="M3" i="20"/>
  <c r="M21" i="20" s="1"/>
  <c r="U19" i="20"/>
  <c r="Q30" i="3"/>
  <c r="Q242" i="3" s="1"/>
  <c r="A242" i="3"/>
  <c r="N31" i="3"/>
  <c r="N243" i="3" s="1"/>
  <c r="V31" i="3"/>
  <c r="J242" i="3"/>
  <c r="A243" i="3"/>
  <c r="H10" i="19"/>
  <c r="H11" i="20" s="1"/>
  <c r="E14" i="20"/>
  <c r="L7" i="18"/>
  <c r="L21" i="18" s="1"/>
  <c r="G3" i="20"/>
  <c r="G22" i="20" s="1"/>
  <c r="C4" i="19"/>
  <c r="C20" i="19" s="1"/>
  <c r="S4" i="19"/>
  <c r="S20" i="19" s="1"/>
  <c r="U4" i="19"/>
  <c r="U20" i="19" s="1"/>
  <c r="Q4" i="19"/>
  <c r="Q60" i="3" s="1"/>
  <c r="D30" i="3"/>
  <c r="L30" i="3"/>
  <c r="L242" i="3" s="1"/>
  <c r="T30" i="3"/>
  <c r="G31" i="3"/>
  <c r="G29" i="3" s="1"/>
  <c r="G122" i="3" s="1"/>
  <c r="M91" i="3"/>
  <c r="M243" i="3" s="1"/>
  <c r="U91" i="3"/>
  <c r="U243" i="3" s="1"/>
  <c r="P10" i="19"/>
  <c r="P61" i="3" s="1"/>
  <c r="P213" i="3" s="1"/>
  <c r="U3" i="20"/>
  <c r="U22" i="20" s="1"/>
  <c r="H7" i="18"/>
  <c r="H23" i="18" s="1"/>
  <c r="D4" i="19"/>
  <c r="D60" i="3" s="1"/>
  <c r="L4" i="19"/>
  <c r="L60" i="3" s="1"/>
  <c r="T4" i="19"/>
  <c r="T60" i="3" s="1"/>
  <c r="R10" i="19"/>
  <c r="R61" i="3" s="1"/>
  <c r="R213" i="3" s="1"/>
  <c r="E30" i="3"/>
  <c r="E29" i="3" s="1"/>
  <c r="U30" i="3"/>
  <c r="U242" i="3" s="1"/>
  <c r="K90" i="3"/>
  <c r="K242" i="3" s="1"/>
  <c r="F91" i="3"/>
  <c r="F243" i="3" s="1"/>
  <c r="V91" i="3"/>
  <c r="V89" i="3" s="1"/>
  <c r="B243" i="3"/>
  <c r="B10" i="19"/>
  <c r="B61" i="3" s="1"/>
  <c r="B213" i="3" s="1"/>
  <c r="O15" i="20"/>
  <c r="V3" i="20"/>
  <c r="V22" i="20" s="1"/>
  <c r="O15" i="18"/>
  <c r="W15" i="18"/>
  <c r="E4" i="19"/>
  <c r="E60" i="3" s="1"/>
  <c r="G4" i="19"/>
  <c r="G60" i="3" s="1"/>
  <c r="G212" i="3" s="1"/>
  <c r="W10" i="19"/>
  <c r="W25" i="19" s="1"/>
  <c r="F30" i="3"/>
  <c r="F242" i="3" s="1"/>
  <c r="V30" i="3"/>
  <c r="V242" i="3" s="1"/>
  <c r="I31" i="3"/>
  <c r="I243" i="3" s="1"/>
  <c r="D90" i="3"/>
  <c r="D89" i="3" s="1"/>
  <c r="D183" i="3" s="1"/>
  <c r="T90" i="3"/>
  <c r="T89" i="3" s="1"/>
  <c r="T183" i="3" s="1"/>
  <c r="G91" i="3"/>
  <c r="G89" i="3" s="1"/>
  <c r="O30" i="3"/>
  <c r="O29" i="3" s="1"/>
  <c r="J31" i="3"/>
  <c r="J29" i="3" s="1"/>
  <c r="J122" i="3" s="1"/>
  <c r="E90" i="3"/>
  <c r="E89" i="3" s="1"/>
  <c r="M90" i="3"/>
  <c r="M242" i="3" s="1"/>
  <c r="G3" i="18"/>
  <c r="G17" i="18" s="1"/>
  <c r="W3" i="18"/>
  <c r="W18" i="18" s="1"/>
  <c r="C14" i="18"/>
  <c r="K7" i="18"/>
  <c r="K21" i="18" s="1"/>
  <c r="S7" i="18"/>
  <c r="S21" i="18" s="1"/>
  <c r="E15" i="18"/>
  <c r="O4" i="19"/>
  <c r="O24" i="19" s="1"/>
  <c r="I10" i="19"/>
  <c r="I61" i="3" s="1"/>
  <c r="B18" i="20"/>
  <c r="J18" i="20"/>
  <c r="D19" i="20"/>
  <c r="L3" i="20"/>
  <c r="L23" i="20" s="1"/>
  <c r="T19" i="20"/>
  <c r="P30" i="3"/>
  <c r="P242" i="3" s="1"/>
  <c r="O89" i="3"/>
  <c r="O181" i="3" s="1"/>
  <c r="A212" i="3"/>
  <c r="A213" i="3"/>
  <c r="K29" i="3"/>
  <c r="K123" i="3" s="1"/>
  <c r="P243" i="3"/>
  <c r="H29" i="3"/>
  <c r="C29" i="3"/>
  <c r="S29" i="3"/>
  <c r="S121" i="3" s="1"/>
  <c r="A182" i="3"/>
  <c r="A183" i="3"/>
  <c r="W89" i="3"/>
  <c r="N89" i="3"/>
  <c r="N181" i="3" s="1"/>
  <c r="A122" i="3"/>
  <c r="A91" i="3"/>
  <c r="B89" i="3"/>
  <c r="B181" i="3" s="1"/>
  <c r="J89" i="3"/>
  <c r="R89" i="3"/>
  <c r="R182" i="3" s="1"/>
  <c r="A123" i="3"/>
  <c r="I89" i="3"/>
  <c r="I181" i="3" s="1"/>
  <c r="Q89" i="3"/>
  <c r="Q181" i="3" s="1"/>
  <c r="A152" i="3"/>
  <c r="A153" i="3"/>
  <c r="M29" i="3"/>
  <c r="C89" i="3"/>
  <c r="C181" i="3" s="1"/>
  <c r="S89" i="3"/>
  <c r="S181" i="3" s="1"/>
  <c r="A90" i="3"/>
  <c r="P89" i="3"/>
  <c r="P182" i="3" s="1"/>
  <c r="A237" i="3"/>
  <c r="L89" i="3"/>
  <c r="L183" i="3" s="1"/>
  <c r="B29" i="3"/>
  <c r="W29" i="3"/>
  <c r="N29" i="3"/>
  <c r="A117" i="3"/>
  <c r="A147" i="3"/>
  <c r="A54" i="3"/>
  <c r="A176" i="3"/>
  <c r="A55" i="3"/>
  <c r="A177" i="3"/>
  <c r="A84" i="3"/>
  <c r="A206" i="3"/>
  <c r="A85" i="3"/>
  <c r="A146" i="3"/>
  <c r="A116" i="3"/>
  <c r="E17" i="18"/>
  <c r="E18" i="18"/>
  <c r="N3" i="18"/>
  <c r="N17" i="18" s="1"/>
  <c r="U14" i="18"/>
  <c r="E21" i="20"/>
  <c r="P14" i="18"/>
  <c r="J14" i="20"/>
  <c r="O3" i="20"/>
  <c r="O23" i="20" s="1"/>
  <c r="O3" i="18"/>
  <c r="O18" i="18" s="1"/>
  <c r="N3" i="20"/>
  <c r="F24" i="19"/>
  <c r="F20" i="19"/>
  <c r="L20" i="19"/>
  <c r="Q14" i="20"/>
  <c r="Q3" i="20"/>
  <c r="Q22" i="20" s="1"/>
  <c r="C19" i="20"/>
  <c r="E14" i="18"/>
  <c r="M14" i="18"/>
  <c r="E19" i="18"/>
  <c r="H18" i="20"/>
  <c r="E19" i="20"/>
  <c r="P3" i="18"/>
  <c r="P18" i="18" s="1"/>
  <c r="F7" i="18"/>
  <c r="F21" i="18" s="1"/>
  <c r="V7" i="18"/>
  <c r="V21" i="18" s="1"/>
  <c r="F14" i="18"/>
  <c r="N14" i="18"/>
  <c r="V14" i="18"/>
  <c r="H15" i="18"/>
  <c r="P15" i="18"/>
  <c r="B4" i="19"/>
  <c r="B60" i="3" s="1"/>
  <c r="J4" i="19"/>
  <c r="J60" i="3" s="1"/>
  <c r="J212" i="3" s="1"/>
  <c r="R4" i="19"/>
  <c r="R60" i="3" s="1"/>
  <c r="I18" i="20"/>
  <c r="J19" i="20"/>
  <c r="H3" i="18"/>
  <c r="H18" i="18" s="1"/>
  <c r="I3" i="18"/>
  <c r="I19" i="18" s="1"/>
  <c r="G7" i="18"/>
  <c r="G21" i="18" s="1"/>
  <c r="O7" i="18"/>
  <c r="O21" i="18" s="1"/>
  <c r="W7" i="18"/>
  <c r="W21" i="18" s="1"/>
  <c r="C10" i="19"/>
  <c r="C61" i="3" s="1"/>
  <c r="C213" i="3" s="1"/>
  <c r="K10" i="19"/>
  <c r="S10" i="19"/>
  <c r="S61" i="3" s="1"/>
  <c r="S213" i="3" s="1"/>
  <c r="E10" i="19"/>
  <c r="E61" i="3" s="1"/>
  <c r="E213" i="3" s="1"/>
  <c r="M10" i="19"/>
  <c r="M61" i="3" s="1"/>
  <c r="M213" i="3" s="1"/>
  <c r="U10" i="19"/>
  <c r="U61" i="3" s="1"/>
  <c r="U213" i="3" s="1"/>
  <c r="K18" i="20"/>
  <c r="K19" i="20"/>
  <c r="I14" i="20"/>
  <c r="I3" i="20"/>
  <c r="I23" i="20" s="1"/>
  <c r="B3" i="18"/>
  <c r="B18" i="18" s="1"/>
  <c r="R3" i="18"/>
  <c r="R19" i="18" s="1"/>
  <c r="P7" i="18"/>
  <c r="P21" i="18" s="1"/>
  <c r="H14" i="18"/>
  <c r="B15" i="18"/>
  <c r="R15" i="18"/>
  <c r="D10" i="19"/>
  <c r="L10" i="19"/>
  <c r="T10" i="19"/>
  <c r="M22" i="20"/>
  <c r="R14" i="20"/>
  <c r="M19" i="20"/>
  <c r="K15" i="20"/>
  <c r="K3" i="20"/>
  <c r="K22" i="20" s="1"/>
  <c r="Q3" i="18"/>
  <c r="Q18" i="18" s="1"/>
  <c r="C3" i="18"/>
  <c r="C19" i="18" s="1"/>
  <c r="U18" i="18"/>
  <c r="Q7" i="18"/>
  <c r="Q21" i="18" s="1"/>
  <c r="I14" i="18"/>
  <c r="C15" i="18"/>
  <c r="S15" i="18"/>
  <c r="F18" i="20"/>
  <c r="F14" i="20"/>
  <c r="N18" i="20"/>
  <c r="N14" i="20"/>
  <c r="V18" i="20"/>
  <c r="V14" i="20"/>
  <c r="H19" i="20"/>
  <c r="H15" i="20"/>
  <c r="P19" i="20"/>
  <c r="P15" i="20"/>
  <c r="S14" i="20"/>
  <c r="T15" i="20"/>
  <c r="Q18" i="20"/>
  <c r="R19" i="20"/>
  <c r="C15" i="20"/>
  <c r="C3" i="20"/>
  <c r="C23" i="20" s="1"/>
  <c r="J3" i="18"/>
  <c r="J18" i="18" s="1"/>
  <c r="K3" i="18"/>
  <c r="K19" i="18" s="1"/>
  <c r="S3" i="18"/>
  <c r="S18" i="18" s="1"/>
  <c r="D3" i="18"/>
  <c r="D18" i="18" s="1"/>
  <c r="L3" i="18"/>
  <c r="T3" i="18"/>
  <c r="T18" i="18" s="1"/>
  <c r="B7" i="18"/>
  <c r="B22" i="18" s="1"/>
  <c r="J7" i="18"/>
  <c r="J21" i="18" s="1"/>
  <c r="D14" i="20"/>
  <c r="L14" i="20"/>
  <c r="T14" i="20"/>
  <c r="F15" i="20"/>
  <c r="N15" i="20"/>
  <c r="V15" i="20"/>
  <c r="B14" i="18"/>
  <c r="J14" i="18"/>
  <c r="R14" i="18"/>
  <c r="D15" i="18"/>
  <c r="L15" i="18"/>
  <c r="T15" i="18"/>
  <c r="F10" i="19"/>
  <c r="F61" i="3" s="1"/>
  <c r="N10" i="19"/>
  <c r="V10" i="19"/>
  <c r="G18" i="20"/>
  <c r="G14" i="20"/>
  <c r="O18" i="20"/>
  <c r="O14" i="20"/>
  <c r="W18" i="20"/>
  <c r="W14" i="20"/>
  <c r="I19" i="20"/>
  <c r="I15" i="20"/>
  <c r="Q19" i="20"/>
  <c r="Q15" i="20"/>
  <c r="B14" i="20"/>
  <c r="U15" i="20"/>
  <c r="S18" i="20"/>
  <c r="S15" i="20"/>
  <c r="S3" i="20"/>
  <c r="S23" i="20" s="1"/>
  <c r="U15" i="18"/>
  <c r="H14" i="20"/>
  <c r="H3" i="20"/>
  <c r="H22" i="20" s="1"/>
  <c r="P14" i="20"/>
  <c r="P3" i="20"/>
  <c r="P22" i="20" s="1"/>
  <c r="B15" i="20"/>
  <c r="B3" i="20"/>
  <c r="J15" i="20"/>
  <c r="J3" i="20"/>
  <c r="J23" i="20" s="1"/>
  <c r="R15" i="20"/>
  <c r="C14" i="20"/>
  <c r="D15" i="20"/>
  <c r="W15" i="20"/>
  <c r="B19" i="20"/>
  <c r="D18" i="20"/>
  <c r="L18" i="20"/>
  <c r="T18" i="20"/>
  <c r="F19" i="20"/>
  <c r="N19" i="20"/>
  <c r="V19" i="20"/>
  <c r="E18" i="20"/>
  <c r="M18" i="20"/>
  <c r="U18" i="20"/>
  <c r="G19" i="20"/>
  <c r="O19" i="20"/>
  <c r="W19" i="20"/>
  <c r="E23" i="20"/>
  <c r="R3" i="20"/>
  <c r="L10" i="20" l="1"/>
  <c r="R25" i="19"/>
  <c r="W23" i="20"/>
  <c r="E23" i="18"/>
  <c r="I21" i="18"/>
  <c r="Q21" i="19"/>
  <c r="E13" i="20"/>
  <c r="I22" i="18"/>
  <c r="Q25" i="19"/>
  <c r="E22" i="18"/>
  <c r="E13" i="18"/>
  <c r="M23" i="20"/>
  <c r="U19" i="18"/>
  <c r="J11" i="20"/>
  <c r="F22" i="20"/>
  <c r="N13" i="20"/>
  <c r="P10" i="20"/>
  <c r="W24" i="19"/>
  <c r="R21" i="19"/>
  <c r="G18" i="18"/>
  <c r="H25" i="19"/>
  <c r="K23" i="18"/>
  <c r="H20" i="19"/>
  <c r="F18" i="18"/>
  <c r="Q10" i="20"/>
  <c r="G25" i="19"/>
  <c r="D21" i="20"/>
  <c r="O11" i="20"/>
  <c r="N20" i="19"/>
  <c r="U24" i="19"/>
  <c r="Q24" i="19"/>
  <c r="G23" i="20"/>
  <c r="O21" i="19"/>
  <c r="P24" i="19"/>
  <c r="N23" i="18"/>
  <c r="T23" i="18"/>
  <c r="R23" i="18"/>
  <c r="W17" i="20"/>
  <c r="R22" i="18"/>
  <c r="N24" i="19"/>
  <c r="N10" i="20"/>
  <c r="W10" i="20"/>
  <c r="T22" i="18"/>
  <c r="K20" i="19"/>
  <c r="T20" i="19"/>
  <c r="H3" i="19"/>
  <c r="H29" i="19" s="1"/>
  <c r="M24" i="19"/>
  <c r="R212" i="3"/>
  <c r="L23" i="18"/>
  <c r="F19" i="18"/>
  <c r="N22" i="18"/>
  <c r="Q11" i="20"/>
  <c r="F89" i="3"/>
  <c r="F181" i="3" s="1"/>
  <c r="U29" i="3"/>
  <c r="U123" i="3" s="1"/>
  <c r="M23" i="18"/>
  <c r="S23" i="18"/>
  <c r="S22" i="18"/>
  <c r="N241" i="3"/>
  <c r="D23" i="20"/>
  <c r="I213" i="3"/>
  <c r="M22" i="18"/>
  <c r="G24" i="19"/>
  <c r="L21" i="20"/>
  <c r="W3" i="19"/>
  <c r="W28" i="19" s="1"/>
  <c r="S10" i="20"/>
  <c r="R29" i="3"/>
  <c r="R123" i="3" s="1"/>
  <c r="J21" i="19"/>
  <c r="T24" i="19"/>
  <c r="W19" i="18"/>
  <c r="G19" i="18"/>
  <c r="H19" i="18"/>
  <c r="V17" i="18"/>
  <c r="V17" i="20"/>
  <c r="Q212" i="3"/>
  <c r="V18" i="18"/>
  <c r="W17" i="18"/>
  <c r="Q20" i="19"/>
  <c r="P3" i="19"/>
  <c r="P23" i="19" s="1"/>
  <c r="F10" i="20"/>
  <c r="W21" i="20"/>
  <c r="K10" i="20"/>
  <c r="O25" i="19"/>
  <c r="Q3" i="19"/>
  <c r="Q29" i="19" s="1"/>
  <c r="M20" i="19"/>
  <c r="G20" i="19"/>
  <c r="F23" i="18"/>
  <c r="R11" i="20"/>
  <c r="F59" i="3"/>
  <c r="F151" i="3" s="1"/>
  <c r="M3" i="19"/>
  <c r="M23" i="19" s="1"/>
  <c r="G21" i="20"/>
  <c r="Q29" i="3"/>
  <c r="Q123" i="3" s="1"/>
  <c r="R18" i="18"/>
  <c r="C22" i="20"/>
  <c r="W11" i="20"/>
  <c r="B11" i="20"/>
  <c r="B25" i="19"/>
  <c r="M13" i="20"/>
  <c r="J25" i="19"/>
  <c r="I25" i="19"/>
  <c r="W60" i="3"/>
  <c r="W212" i="3" s="1"/>
  <c r="B21" i="19"/>
  <c r="M17" i="18"/>
  <c r="T10" i="20"/>
  <c r="L24" i="19"/>
  <c r="M60" i="3"/>
  <c r="M212" i="3" s="1"/>
  <c r="K60" i="3"/>
  <c r="K212" i="3" s="1"/>
  <c r="P29" i="3"/>
  <c r="P123" i="3" s="1"/>
  <c r="T212" i="3"/>
  <c r="G61" i="3"/>
  <c r="G213" i="3" s="1"/>
  <c r="K122" i="3"/>
  <c r="G21" i="19"/>
  <c r="H10" i="20"/>
  <c r="E24" i="19"/>
  <c r="C22" i="18"/>
  <c r="D10" i="20"/>
  <c r="V20" i="19"/>
  <c r="H183" i="3"/>
  <c r="D24" i="19"/>
  <c r="I20" i="19"/>
  <c r="O23" i="18"/>
  <c r="N17" i="20"/>
  <c r="D20" i="19"/>
  <c r="V24" i="19"/>
  <c r="T29" i="3"/>
  <c r="T122" i="3" s="1"/>
  <c r="G3" i="19"/>
  <c r="G9" i="20" s="1"/>
  <c r="M19" i="18"/>
  <c r="E20" i="19"/>
  <c r="N23" i="20"/>
  <c r="C23" i="18"/>
  <c r="L17" i="20"/>
  <c r="U23" i="18"/>
  <c r="L22" i="20"/>
  <c r="F17" i="20"/>
  <c r="C10" i="20"/>
  <c r="H22" i="18"/>
  <c r="M13" i="18"/>
  <c r="I24" i="19"/>
  <c r="E10" i="20"/>
  <c r="V10" i="20"/>
  <c r="I10" i="20"/>
  <c r="N21" i="20"/>
  <c r="U13" i="18"/>
  <c r="H21" i="18"/>
  <c r="G17" i="20"/>
  <c r="K22" i="18"/>
  <c r="F21" i="20"/>
  <c r="U22" i="18"/>
  <c r="F13" i="20"/>
  <c r="T23" i="20"/>
  <c r="T21" i="20"/>
  <c r="T13" i="20"/>
  <c r="M17" i="20"/>
  <c r="H24" i="19"/>
  <c r="G10" i="20"/>
  <c r="M89" i="3"/>
  <c r="M241" i="3" s="1"/>
  <c r="H182" i="3"/>
  <c r="Q183" i="3"/>
  <c r="S19" i="18"/>
  <c r="O242" i="3"/>
  <c r="P60" i="3"/>
  <c r="P212" i="3" s="1"/>
  <c r="G243" i="3"/>
  <c r="F13" i="18"/>
  <c r="Q59" i="3"/>
  <c r="Q153" i="3" s="1"/>
  <c r="J241" i="3"/>
  <c r="S122" i="3"/>
  <c r="J243" i="3"/>
  <c r="S22" i="20"/>
  <c r="Q19" i="18"/>
  <c r="S123" i="3"/>
  <c r="J121" i="3"/>
  <c r="N22" i="20"/>
  <c r="U89" i="3"/>
  <c r="U183" i="3" s="1"/>
  <c r="J123" i="3"/>
  <c r="D242" i="3"/>
  <c r="V181" i="3"/>
  <c r="V182" i="3"/>
  <c r="Q23" i="20"/>
  <c r="O17" i="20"/>
  <c r="L13" i="20"/>
  <c r="P25" i="19"/>
  <c r="I21" i="19"/>
  <c r="V21" i="20"/>
  <c r="D22" i="18"/>
  <c r="D11" i="20"/>
  <c r="D61" i="3"/>
  <c r="D213" i="3" s="1"/>
  <c r="N13" i="18"/>
  <c r="I3" i="19"/>
  <c r="I27" i="19" s="1"/>
  <c r="F29" i="3"/>
  <c r="F122" i="3" s="1"/>
  <c r="R59" i="3"/>
  <c r="R153" i="3" s="1"/>
  <c r="S182" i="3"/>
  <c r="T242" i="3"/>
  <c r="V243" i="3"/>
  <c r="B212" i="3"/>
  <c r="B59" i="3"/>
  <c r="B152" i="3" s="1"/>
  <c r="D23" i="18"/>
  <c r="E59" i="3"/>
  <c r="E211" i="3" s="1"/>
  <c r="F213" i="3"/>
  <c r="O10" i="20"/>
  <c r="O60" i="3"/>
  <c r="U21" i="20"/>
  <c r="G23" i="18"/>
  <c r="N3" i="19"/>
  <c r="N28" i="19" s="1"/>
  <c r="N61" i="3"/>
  <c r="G13" i="18"/>
  <c r="O17" i="18"/>
  <c r="K11" i="20"/>
  <c r="K61" i="3"/>
  <c r="D29" i="3"/>
  <c r="D241" i="3" s="1"/>
  <c r="E242" i="3"/>
  <c r="U13" i="20"/>
  <c r="L29" i="3"/>
  <c r="L241" i="3" s="1"/>
  <c r="K89" i="3"/>
  <c r="K181" i="3" s="1"/>
  <c r="W21" i="19"/>
  <c r="W61" i="3"/>
  <c r="W213" i="3" s="1"/>
  <c r="H21" i="19"/>
  <c r="H61" i="3"/>
  <c r="V23" i="20"/>
  <c r="N122" i="3"/>
  <c r="O3" i="19"/>
  <c r="O19" i="19" s="1"/>
  <c r="S11" i="20"/>
  <c r="U17" i="20"/>
  <c r="N18" i="18"/>
  <c r="C11" i="20"/>
  <c r="P11" i="20"/>
  <c r="D13" i="20"/>
  <c r="E3" i="19"/>
  <c r="E9" i="20" s="1"/>
  <c r="E11" i="20"/>
  <c r="I29" i="3"/>
  <c r="I241" i="3" s="1"/>
  <c r="U10" i="20"/>
  <c r="U60" i="3"/>
  <c r="V3" i="19"/>
  <c r="V28" i="19" s="1"/>
  <c r="V61" i="3"/>
  <c r="U23" i="20"/>
  <c r="O19" i="18"/>
  <c r="V23" i="18"/>
  <c r="L22" i="18"/>
  <c r="T3" i="19"/>
  <c r="T23" i="19" s="1"/>
  <c r="T61" i="3"/>
  <c r="T59" i="3" s="1"/>
  <c r="N19" i="18"/>
  <c r="C18" i="18"/>
  <c r="O20" i="19"/>
  <c r="P21" i="19"/>
  <c r="I11" i="20"/>
  <c r="V29" i="3"/>
  <c r="V123" i="3" s="1"/>
  <c r="I59" i="3"/>
  <c r="I152" i="3" s="1"/>
  <c r="Q182" i="3"/>
  <c r="L212" i="3"/>
  <c r="E212" i="3"/>
  <c r="F212" i="3"/>
  <c r="S24" i="19"/>
  <c r="S60" i="3"/>
  <c r="J213" i="3"/>
  <c r="L11" i="20"/>
  <c r="L61" i="3"/>
  <c r="J59" i="3"/>
  <c r="J151" i="3" s="1"/>
  <c r="D212" i="3"/>
  <c r="C24" i="19"/>
  <c r="C60" i="3"/>
  <c r="V212" i="3"/>
  <c r="H121" i="3"/>
  <c r="H241" i="3"/>
  <c r="H122" i="3"/>
  <c r="G121" i="3"/>
  <c r="G241" i="3"/>
  <c r="K121" i="3"/>
  <c r="V183" i="3"/>
  <c r="B121" i="3"/>
  <c r="B241" i="3"/>
  <c r="I183" i="3"/>
  <c r="O121" i="3"/>
  <c r="O241" i="3"/>
  <c r="E121" i="3"/>
  <c r="E241" i="3"/>
  <c r="S241" i="3"/>
  <c r="B182" i="3"/>
  <c r="N182" i="3"/>
  <c r="O182" i="3"/>
  <c r="O183" i="3"/>
  <c r="U121" i="3"/>
  <c r="W121" i="3"/>
  <c r="W241" i="3"/>
  <c r="B122" i="3"/>
  <c r="C123" i="3"/>
  <c r="C241" i="3"/>
  <c r="B183" i="3"/>
  <c r="H123" i="3"/>
  <c r="C122" i="3"/>
  <c r="C182" i="3"/>
  <c r="E181" i="3"/>
  <c r="E182" i="3"/>
  <c r="C121" i="3"/>
  <c r="G181" i="3"/>
  <c r="G183" i="3"/>
  <c r="G182" i="3"/>
  <c r="T181" i="3"/>
  <c r="T182" i="3"/>
  <c r="S183" i="3"/>
  <c r="N183" i="3"/>
  <c r="J183" i="3"/>
  <c r="J181" i="3"/>
  <c r="P181" i="3"/>
  <c r="P183" i="3"/>
  <c r="L181" i="3"/>
  <c r="L182" i="3"/>
  <c r="W181" i="3"/>
  <c r="W182" i="3"/>
  <c r="W183" i="3"/>
  <c r="E183" i="3"/>
  <c r="D181" i="3"/>
  <c r="D182" i="3"/>
  <c r="R183" i="3"/>
  <c r="R181" i="3"/>
  <c r="I182" i="3"/>
  <c r="C183" i="3"/>
  <c r="J182" i="3"/>
  <c r="M123" i="3"/>
  <c r="M121" i="3"/>
  <c r="O123" i="3"/>
  <c r="E123" i="3"/>
  <c r="W123" i="3"/>
  <c r="G123" i="3"/>
  <c r="B123" i="3"/>
  <c r="W122" i="3"/>
  <c r="M122" i="3"/>
  <c r="N123" i="3"/>
  <c r="N121" i="3"/>
  <c r="E122" i="3"/>
  <c r="O122" i="3"/>
  <c r="P23" i="20"/>
  <c r="D17" i="20"/>
  <c r="J22" i="18"/>
  <c r="P19" i="18"/>
  <c r="O21" i="20"/>
  <c r="O22" i="20"/>
  <c r="J23" i="18"/>
  <c r="B19" i="18"/>
  <c r="V13" i="20"/>
  <c r="T17" i="20"/>
  <c r="L18" i="18"/>
  <c r="J17" i="18"/>
  <c r="J13" i="18"/>
  <c r="C25" i="19"/>
  <c r="C21" i="19"/>
  <c r="C3" i="19"/>
  <c r="C9" i="20" s="1"/>
  <c r="J19" i="18"/>
  <c r="T11" i="20"/>
  <c r="W22" i="18"/>
  <c r="L3" i="19"/>
  <c r="L29" i="19" s="1"/>
  <c r="F21" i="19"/>
  <c r="F11" i="20"/>
  <c r="F25" i="19"/>
  <c r="W23" i="18"/>
  <c r="K21" i="20"/>
  <c r="K17" i="20"/>
  <c r="K13" i="20"/>
  <c r="T25" i="19"/>
  <c r="T21" i="19"/>
  <c r="Q22" i="18"/>
  <c r="K25" i="19"/>
  <c r="K21" i="19"/>
  <c r="K3" i="19"/>
  <c r="P21" i="20"/>
  <c r="P17" i="20"/>
  <c r="P13" i="20"/>
  <c r="C21" i="20"/>
  <c r="C17" i="20"/>
  <c r="C13" i="20"/>
  <c r="L25" i="19"/>
  <c r="L21" i="19"/>
  <c r="R17" i="18"/>
  <c r="R13" i="18"/>
  <c r="I13" i="18"/>
  <c r="I17" i="18"/>
  <c r="W13" i="18"/>
  <c r="F22" i="18"/>
  <c r="R21" i="20"/>
  <c r="R17" i="20"/>
  <c r="R13" i="20"/>
  <c r="R22" i="20"/>
  <c r="J21" i="20"/>
  <c r="J17" i="20"/>
  <c r="J13" i="20"/>
  <c r="T17" i="18"/>
  <c r="T19" i="18"/>
  <c r="T13" i="18"/>
  <c r="D25" i="19"/>
  <c r="D21" i="19"/>
  <c r="B17" i="18"/>
  <c r="B13" i="18"/>
  <c r="U21" i="19"/>
  <c r="U25" i="19"/>
  <c r="H17" i="18"/>
  <c r="H13" i="18"/>
  <c r="R24" i="19"/>
  <c r="R20" i="19"/>
  <c r="R3" i="19"/>
  <c r="R9" i="20" s="1"/>
  <c r="P13" i="18"/>
  <c r="P17" i="18"/>
  <c r="R10" i="20"/>
  <c r="P23" i="18"/>
  <c r="O13" i="18"/>
  <c r="B21" i="20"/>
  <c r="B17" i="20"/>
  <c r="B13" i="20"/>
  <c r="J22" i="20"/>
  <c r="L17" i="18"/>
  <c r="L13" i="18"/>
  <c r="I21" i="20"/>
  <c r="I17" i="20"/>
  <c r="I13" i="20"/>
  <c r="M21" i="19"/>
  <c r="M25" i="19"/>
  <c r="J24" i="19"/>
  <c r="J20" i="19"/>
  <c r="J3" i="19"/>
  <c r="J9" i="20" s="1"/>
  <c r="J10" i="20"/>
  <c r="Q21" i="20"/>
  <c r="Q17" i="20"/>
  <c r="Q13" i="20"/>
  <c r="D3" i="19"/>
  <c r="D29" i="19" s="1"/>
  <c r="P22" i="18"/>
  <c r="K23" i="20"/>
  <c r="I22" i="20"/>
  <c r="K18" i="18"/>
  <c r="K17" i="18"/>
  <c r="K13" i="18"/>
  <c r="B22" i="20"/>
  <c r="R23" i="20"/>
  <c r="B23" i="20"/>
  <c r="V21" i="19"/>
  <c r="V11" i="20"/>
  <c r="V25" i="19"/>
  <c r="B21" i="18"/>
  <c r="B23" i="18"/>
  <c r="D17" i="18"/>
  <c r="D13" i="18"/>
  <c r="D19" i="18"/>
  <c r="C17" i="18"/>
  <c r="C13" i="18"/>
  <c r="E21" i="19"/>
  <c r="E25" i="19"/>
  <c r="U11" i="20"/>
  <c r="B24" i="19"/>
  <c r="B20" i="19"/>
  <c r="B3" i="19"/>
  <c r="B9" i="20" s="1"/>
  <c r="G13" i="20"/>
  <c r="B10" i="20"/>
  <c r="Q23" i="18"/>
  <c r="O22" i="18"/>
  <c r="G22" i="18"/>
  <c r="F3" i="19"/>
  <c r="H21" i="20"/>
  <c r="H17" i="20"/>
  <c r="H13" i="20"/>
  <c r="H23" i="20"/>
  <c r="S21" i="20"/>
  <c r="S17" i="20"/>
  <c r="S13" i="20"/>
  <c r="N21" i="19"/>
  <c r="N25" i="19"/>
  <c r="N11" i="20"/>
  <c r="S17" i="18"/>
  <c r="S13" i="18"/>
  <c r="U3" i="19"/>
  <c r="Q13" i="18"/>
  <c r="Q17" i="18"/>
  <c r="O13" i="20"/>
  <c r="L19" i="18"/>
  <c r="S25" i="19"/>
  <c r="S21" i="19"/>
  <c r="S3" i="19"/>
  <c r="S9" i="20" s="1"/>
  <c r="W13" i="20"/>
  <c r="M11" i="20"/>
  <c r="V22" i="18"/>
  <c r="V13" i="18"/>
  <c r="I18" i="18"/>
  <c r="N19" i="19" l="1"/>
  <c r="F182" i="3"/>
  <c r="U122" i="3"/>
  <c r="F183" i="3"/>
  <c r="H23" i="19"/>
  <c r="Q9" i="20"/>
  <c r="E27" i="19"/>
  <c r="N27" i="19"/>
  <c r="E23" i="19"/>
  <c r="N9" i="20"/>
  <c r="M28" i="19"/>
  <c r="W9" i="20"/>
  <c r="M29" i="19"/>
  <c r="N29" i="19"/>
  <c r="M9" i="20"/>
  <c r="M19" i="19"/>
  <c r="W29" i="19"/>
  <c r="M27" i="19"/>
  <c r="Q23" i="19"/>
  <c r="H27" i="19"/>
  <c r="H19" i="19"/>
  <c r="H28" i="19"/>
  <c r="G27" i="19"/>
  <c r="P9" i="20"/>
  <c r="H9" i="20"/>
  <c r="G28" i="19"/>
  <c r="W27" i="19"/>
  <c r="P27" i="19"/>
  <c r="W19" i="19"/>
  <c r="W23" i="19"/>
  <c r="R241" i="3"/>
  <c r="R121" i="3"/>
  <c r="R122" i="3"/>
  <c r="F241" i="3"/>
  <c r="Q122" i="3"/>
  <c r="L121" i="3"/>
  <c r="P121" i="3"/>
  <c r="Q121" i="3"/>
  <c r="T123" i="3"/>
  <c r="P122" i="3"/>
  <c r="Q241" i="3"/>
  <c r="U182" i="3"/>
  <c r="T241" i="3"/>
  <c r="K183" i="3"/>
  <c r="E28" i="19"/>
  <c r="M182" i="3"/>
  <c r="F152" i="3"/>
  <c r="D123" i="3"/>
  <c r="F153" i="3"/>
  <c r="Q27" i="19"/>
  <c r="E153" i="3"/>
  <c r="Q28" i="19"/>
  <c r="P59" i="3"/>
  <c r="P211" i="3" s="1"/>
  <c r="Q19" i="19"/>
  <c r="L123" i="3"/>
  <c r="M59" i="3"/>
  <c r="M152" i="3" s="1"/>
  <c r="O9" i="20"/>
  <c r="Q151" i="3"/>
  <c r="P29" i="19"/>
  <c r="P28" i="19"/>
  <c r="Q152" i="3"/>
  <c r="G59" i="3"/>
  <c r="M181" i="3"/>
  <c r="O27" i="19"/>
  <c r="E152" i="3"/>
  <c r="T121" i="3"/>
  <c r="E151" i="3"/>
  <c r="I122" i="3"/>
  <c r="M183" i="3"/>
  <c r="Q211" i="3"/>
  <c r="P19" i="19"/>
  <c r="I121" i="3"/>
  <c r="R211" i="3"/>
  <c r="O23" i="19"/>
  <c r="K182" i="3"/>
  <c r="E29" i="19"/>
  <c r="O28" i="19"/>
  <c r="E19" i="19"/>
  <c r="P241" i="3"/>
  <c r="F121" i="3"/>
  <c r="D122" i="3"/>
  <c r="J211" i="3"/>
  <c r="V19" i="19"/>
  <c r="J153" i="3"/>
  <c r="D121" i="3"/>
  <c r="F211" i="3"/>
  <c r="J152" i="3"/>
  <c r="G29" i="19"/>
  <c r="F123" i="3"/>
  <c r="V27" i="19"/>
  <c r="U181" i="3"/>
  <c r="G19" i="19"/>
  <c r="I153" i="3"/>
  <c r="U241" i="3"/>
  <c r="I211" i="3"/>
  <c r="G23" i="19"/>
  <c r="I23" i="19"/>
  <c r="I151" i="3"/>
  <c r="I28" i="19"/>
  <c r="T19" i="19"/>
  <c r="T27" i="19"/>
  <c r="I123" i="3"/>
  <c r="W59" i="3"/>
  <c r="W211" i="3" s="1"/>
  <c r="K241" i="3"/>
  <c r="L122" i="3"/>
  <c r="T151" i="3"/>
  <c r="T152" i="3"/>
  <c r="T211" i="3"/>
  <c r="O29" i="19"/>
  <c r="I19" i="19"/>
  <c r="V121" i="3"/>
  <c r="C212" i="3"/>
  <c r="C59" i="3"/>
  <c r="T29" i="19"/>
  <c r="T28" i="19"/>
  <c r="V241" i="3"/>
  <c r="R152" i="3"/>
  <c r="R151" i="3"/>
  <c r="I9" i="20"/>
  <c r="T9" i="20"/>
  <c r="V122" i="3"/>
  <c r="V59" i="3"/>
  <c r="V213" i="3"/>
  <c r="H213" i="3"/>
  <c r="H59" i="3"/>
  <c r="N59" i="3"/>
  <c r="N213" i="3"/>
  <c r="L59" i="3"/>
  <c r="L213" i="3"/>
  <c r="V23" i="19"/>
  <c r="N23" i="19"/>
  <c r="T213" i="3"/>
  <c r="T153" i="3"/>
  <c r="U212" i="3"/>
  <c r="U59" i="3"/>
  <c r="B151" i="3"/>
  <c r="B211" i="3"/>
  <c r="B153" i="3"/>
  <c r="D59" i="3"/>
  <c r="I29" i="19"/>
  <c r="V29" i="19"/>
  <c r="V9" i="20"/>
  <c r="S59" i="3"/>
  <c r="S212" i="3"/>
  <c r="K59" i="3"/>
  <c r="K213" i="3"/>
  <c r="O59" i="3"/>
  <c r="O212" i="3"/>
  <c r="C29" i="19"/>
  <c r="K27" i="19"/>
  <c r="K23" i="19"/>
  <c r="K19" i="19"/>
  <c r="K28" i="19"/>
  <c r="F27" i="19"/>
  <c r="F23" i="19"/>
  <c r="F19" i="19"/>
  <c r="F28" i="19"/>
  <c r="F9" i="20"/>
  <c r="K29" i="19"/>
  <c r="U27" i="19"/>
  <c r="U23" i="19"/>
  <c r="U19" i="19"/>
  <c r="U9" i="20"/>
  <c r="U28" i="19"/>
  <c r="K9" i="20"/>
  <c r="U29" i="19"/>
  <c r="D27" i="19"/>
  <c r="D23" i="19"/>
  <c r="D19" i="19"/>
  <c r="D28" i="19"/>
  <c r="D9" i="20"/>
  <c r="L27" i="19"/>
  <c r="L23" i="19"/>
  <c r="L19" i="19"/>
  <c r="L9" i="20"/>
  <c r="L28" i="19"/>
  <c r="B19" i="19"/>
  <c r="B27" i="19"/>
  <c r="B23" i="19"/>
  <c r="B29" i="19"/>
  <c r="B28" i="19"/>
  <c r="R19" i="19"/>
  <c r="R27" i="19"/>
  <c r="R23" i="19"/>
  <c r="R29" i="19"/>
  <c r="C27" i="19"/>
  <c r="C19" i="19"/>
  <c r="C23" i="19"/>
  <c r="C28" i="19"/>
  <c r="J19" i="19"/>
  <c r="J27" i="19"/>
  <c r="J23" i="19"/>
  <c r="J29" i="19"/>
  <c r="S27" i="19"/>
  <c r="S19" i="19"/>
  <c r="S23" i="19"/>
  <c r="S28" i="19"/>
  <c r="S29" i="19"/>
  <c r="J28" i="19"/>
  <c r="R28" i="19"/>
  <c r="F29" i="19"/>
  <c r="M211" i="3" l="1"/>
  <c r="M151" i="3"/>
  <c r="P153" i="3"/>
  <c r="P151" i="3"/>
  <c r="P152" i="3"/>
  <c r="M153" i="3"/>
  <c r="G211" i="3"/>
  <c r="G152" i="3"/>
  <c r="G151" i="3"/>
  <c r="G153" i="3"/>
  <c r="W153" i="3"/>
  <c r="W151" i="3"/>
  <c r="W152" i="3"/>
  <c r="N152" i="3"/>
  <c r="N151" i="3"/>
  <c r="N211" i="3"/>
  <c r="N153" i="3"/>
  <c r="H153" i="3"/>
  <c r="H211" i="3"/>
  <c r="H151" i="3"/>
  <c r="H152" i="3"/>
  <c r="C153" i="3"/>
  <c r="C151" i="3"/>
  <c r="C211" i="3"/>
  <c r="C152" i="3"/>
  <c r="O152" i="3"/>
  <c r="O151" i="3"/>
  <c r="O153" i="3"/>
  <c r="O211" i="3"/>
  <c r="D151" i="3"/>
  <c r="D211" i="3"/>
  <c r="D152" i="3"/>
  <c r="D153" i="3"/>
  <c r="V151" i="3"/>
  <c r="V211" i="3"/>
  <c r="V153" i="3"/>
  <c r="V152" i="3"/>
  <c r="K152" i="3"/>
  <c r="K151" i="3"/>
  <c r="K211" i="3"/>
  <c r="K153" i="3"/>
  <c r="L153" i="3"/>
  <c r="L152" i="3"/>
  <c r="L151" i="3"/>
  <c r="L211" i="3"/>
  <c r="S152" i="3"/>
  <c r="S151" i="3"/>
  <c r="S211" i="3"/>
  <c r="S153" i="3"/>
  <c r="U152" i="3"/>
  <c r="U153" i="3"/>
  <c r="U151" i="3"/>
  <c r="U211" i="3"/>
  <c r="W35" i="10" l="1"/>
  <c r="V35" i="10"/>
  <c r="U35" i="10"/>
  <c r="S35" i="10"/>
  <c r="R35" i="10"/>
  <c r="Q35" i="10"/>
  <c r="P35" i="10"/>
  <c r="O35" i="10"/>
  <c r="N35" i="10"/>
  <c r="M35" i="10"/>
  <c r="K35" i="10"/>
  <c r="J35" i="10"/>
  <c r="I35" i="10"/>
  <c r="H35" i="10"/>
  <c r="G35" i="10"/>
  <c r="F35" i="10"/>
  <c r="E35" i="10"/>
  <c r="C35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G31" i="10"/>
  <c r="F31" i="10"/>
  <c r="E31" i="10"/>
  <c r="D31" i="10"/>
  <c r="C31" i="10"/>
  <c r="V11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B35" i="10"/>
  <c r="B32" i="10"/>
  <c r="B31" i="10"/>
  <c r="B28" i="10"/>
  <c r="W24" i="10"/>
  <c r="V24" i="10"/>
  <c r="U24" i="10"/>
  <c r="T24" i="10"/>
  <c r="S24" i="10"/>
  <c r="Q24" i="10"/>
  <c r="P24" i="10"/>
  <c r="O24" i="10"/>
  <c r="N24" i="10"/>
  <c r="M24" i="10"/>
  <c r="L24" i="10"/>
  <c r="K24" i="10"/>
  <c r="I24" i="10"/>
  <c r="H24" i="10"/>
  <c r="G24" i="10"/>
  <c r="F24" i="10"/>
  <c r="E24" i="10"/>
  <c r="D24" i="10"/>
  <c r="C24" i="10"/>
  <c r="S4" i="10"/>
  <c r="K4" i="10"/>
  <c r="C4" i="10"/>
  <c r="B24" i="10"/>
  <c r="P17" i="9" l="1"/>
  <c r="T4" i="10"/>
  <c r="H17" i="9"/>
  <c r="Q17" i="9"/>
  <c r="E4" i="10"/>
  <c r="M4" i="10"/>
  <c r="U4" i="10"/>
  <c r="I17" i="9"/>
  <c r="F17" i="9"/>
  <c r="N17" i="9"/>
  <c r="G11" i="10"/>
  <c r="G9" i="10" s="1"/>
  <c r="O11" i="10"/>
  <c r="O9" i="10" s="1"/>
  <c r="V17" i="9"/>
  <c r="I11" i="10"/>
  <c r="Q11" i="10"/>
  <c r="Q9" i="10" s="1"/>
  <c r="G15" i="10"/>
  <c r="O15" i="10"/>
  <c r="W15" i="10"/>
  <c r="V9" i="10"/>
  <c r="F15" i="10"/>
  <c r="C11" i="10"/>
  <c r="C9" i="10" s="1"/>
  <c r="K11" i="10"/>
  <c r="K9" i="10" s="1"/>
  <c r="S11" i="10"/>
  <c r="S9" i="10" s="1"/>
  <c r="J15" i="10"/>
  <c r="D15" i="10"/>
  <c r="D35" i="10"/>
  <c r="L15" i="10"/>
  <c r="L35" i="10"/>
  <c r="T15" i="10"/>
  <c r="T35" i="10"/>
  <c r="R15" i="10"/>
  <c r="H11" i="10"/>
  <c r="H31" i="10"/>
  <c r="J11" i="10"/>
  <c r="R11" i="10"/>
  <c r="F11" i="10"/>
  <c r="N11" i="10"/>
  <c r="P11" i="10"/>
  <c r="M17" i="9"/>
  <c r="U17" i="9"/>
  <c r="J17" i="9"/>
  <c r="R17" i="9"/>
  <c r="C15" i="10"/>
  <c r="K15" i="10"/>
  <c r="S15" i="10"/>
  <c r="D4" i="10"/>
  <c r="L4" i="10"/>
  <c r="W11" i="10"/>
  <c r="E15" i="10"/>
  <c r="M15" i="10"/>
  <c r="U15" i="10"/>
  <c r="H15" i="10"/>
  <c r="P15" i="10"/>
  <c r="E17" i="9"/>
  <c r="N15" i="10"/>
  <c r="V15" i="10"/>
  <c r="J4" i="10"/>
  <c r="R4" i="10"/>
  <c r="D11" i="10"/>
  <c r="L11" i="10"/>
  <c r="T11" i="10"/>
  <c r="J24" i="10"/>
  <c r="R24" i="10"/>
  <c r="F4" i="10"/>
  <c r="N4" i="10"/>
  <c r="V4" i="10"/>
  <c r="I4" i="10"/>
  <c r="Q4" i="10"/>
  <c r="C17" i="9"/>
  <c r="O4" i="10"/>
  <c r="M11" i="10"/>
  <c r="I15" i="10"/>
  <c r="Q15" i="10"/>
  <c r="K17" i="9"/>
  <c r="S17" i="9"/>
  <c r="G4" i="10"/>
  <c r="W4" i="10"/>
  <c r="E11" i="10"/>
  <c r="E9" i="10" s="1"/>
  <c r="U11" i="10"/>
  <c r="D17" i="9"/>
  <c r="L17" i="9"/>
  <c r="T17" i="9"/>
  <c r="G17" i="9"/>
  <c r="O17" i="9"/>
  <c r="W17" i="9"/>
  <c r="H4" i="10"/>
  <c r="P4" i="10"/>
  <c r="O8" i="10" l="1"/>
  <c r="N9" i="10"/>
  <c r="N8" i="10" s="1"/>
  <c r="M9" i="10"/>
  <c r="G8" i="10"/>
  <c r="F9" i="10"/>
  <c r="W9" i="10"/>
  <c r="R9" i="10"/>
  <c r="E8" i="10"/>
  <c r="Q8" i="10"/>
  <c r="T9" i="10"/>
  <c r="J9" i="10"/>
  <c r="V8" i="10"/>
  <c r="L9" i="10"/>
  <c r="S8" i="10"/>
  <c r="I9" i="10"/>
  <c r="U9" i="10"/>
  <c r="U8" i="10" s="1"/>
  <c r="H9" i="10"/>
  <c r="D9" i="10"/>
  <c r="P9" i="10"/>
  <c r="K8" i="10"/>
  <c r="C8" i="10"/>
  <c r="M8" i="10" l="1"/>
  <c r="J8" i="10"/>
  <c r="D8" i="10"/>
  <c r="H8" i="10"/>
  <c r="R8" i="10"/>
  <c r="L8" i="10"/>
  <c r="W8" i="10"/>
  <c r="P8" i="10"/>
  <c r="I8" i="10"/>
  <c r="T8" i="10"/>
  <c r="F8" i="10"/>
  <c r="W30" i="10" l="1"/>
  <c r="W34" i="10" l="1"/>
  <c r="U30" i="10" l="1"/>
  <c r="U34" i="10"/>
  <c r="V34" i="10" l="1"/>
  <c r="T30" i="10" l="1"/>
  <c r="T34" i="10"/>
  <c r="S34" i="10" l="1"/>
  <c r="S30" i="10" l="1"/>
  <c r="V30" i="10" l="1"/>
  <c r="I34" i="10" l="1"/>
  <c r="I30" i="10"/>
  <c r="J34" i="10" l="1"/>
  <c r="H30" i="10" l="1"/>
  <c r="H34" i="10"/>
  <c r="K34" i="10" l="1"/>
  <c r="J30" i="10"/>
  <c r="K30" i="10" l="1"/>
  <c r="G30" i="10"/>
  <c r="G34" i="10" l="1"/>
  <c r="F30" i="10" l="1"/>
  <c r="F34" i="10"/>
  <c r="L34" i="10" l="1"/>
  <c r="M34" i="10"/>
  <c r="L30" i="10"/>
  <c r="E34" i="10" l="1"/>
  <c r="M30" i="10"/>
  <c r="E30" i="10" l="1"/>
  <c r="N34" i="10" l="1"/>
  <c r="D34" i="10" l="1"/>
  <c r="D30" i="10"/>
  <c r="N30" i="10"/>
  <c r="C30" i="10" l="1"/>
  <c r="C34" i="10"/>
  <c r="O34" i="10"/>
  <c r="O30" i="10" l="1"/>
  <c r="B30" i="10" l="1"/>
  <c r="P30" i="10" l="1"/>
  <c r="B34" i="10"/>
  <c r="P34" i="10" l="1"/>
  <c r="Q30" i="10" l="1"/>
  <c r="Q34" i="10"/>
  <c r="R34" i="10" l="1"/>
  <c r="R30" i="10" l="1"/>
  <c r="Q15" i="17" l="1"/>
  <c r="I15" i="17"/>
  <c r="G14" i="17" l="1"/>
  <c r="O14" i="17"/>
  <c r="W14" i="17"/>
  <c r="F14" i="17"/>
  <c r="N14" i="17"/>
  <c r="V14" i="17"/>
  <c r="H15" i="17"/>
  <c r="P15" i="17"/>
  <c r="H14" i="17"/>
  <c r="P14" i="17"/>
  <c r="B15" i="17"/>
  <c r="J15" i="17"/>
  <c r="R15" i="17"/>
  <c r="I14" i="17"/>
  <c r="Q14" i="17"/>
  <c r="C15" i="17"/>
  <c r="K15" i="17"/>
  <c r="S15" i="17"/>
  <c r="B14" i="17"/>
  <c r="J14" i="17"/>
  <c r="R14" i="17"/>
  <c r="D15" i="17"/>
  <c r="L15" i="17"/>
  <c r="T15" i="17"/>
  <c r="C14" i="17"/>
  <c r="K14" i="17"/>
  <c r="S14" i="17"/>
  <c r="E15" i="17"/>
  <c r="M15" i="17"/>
  <c r="U15" i="17"/>
  <c r="D14" i="17"/>
  <c r="L14" i="17"/>
  <c r="T14" i="17"/>
  <c r="F15" i="17"/>
  <c r="N15" i="17"/>
  <c r="V15" i="17"/>
  <c r="E14" i="17"/>
  <c r="M14" i="17"/>
  <c r="U14" i="17"/>
  <c r="G15" i="17"/>
  <c r="O15" i="17"/>
  <c r="W15" i="17"/>
  <c r="W99" i="8"/>
  <c r="W98" i="8"/>
  <c r="W97" i="8"/>
  <c r="W90" i="8"/>
  <c r="W87" i="8"/>
  <c r="W58" i="8"/>
  <c r="W80" i="8" s="1"/>
  <c r="W53" i="8"/>
  <c r="W75" i="8" s="1"/>
  <c r="W51" i="8"/>
  <c r="W73" i="8" s="1"/>
  <c r="W43" i="8"/>
  <c r="W39" i="8"/>
  <c r="W37" i="8" s="1"/>
  <c r="W32" i="8"/>
  <c r="W67" i="8" s="1"/>
  <c r="W28" i="8"/>
  <c r="W21" i="8"/>
  <c r="W86" i="8"/>
  <c r="W17" i="8"/>
  <c r="W29" i="10" s="1"/>
  <c r="W84" i="8"/>
  <c r="W57" i="8"/>
  <c r="W79" i="8" s="1"/>
  <c r="W55" i="8"/>
  <c r="W77" i="8" s="1"/>
  <c r="W54" i="8"/>
  <c r="W76" i="8" s="1"/>
  <c r="W6" i="8"/>
  <c r="W4" i="8" s="1"/>
  <c r="W105" i="8" s="1"/>
  <c r="W218" i="7"/>
  <c r="W211" i="7"/>
  <c r="W205" i="7"/>
  <c r="W52" i="6"/>
  <c r="W88" i="3"/>
  <c r="W87" i="3"/>
  <c r="W85" i="3"/>
  <c r="W84" i="3"/>
  <c r="W83" i="3"/>
  <c r="W76" i="3"/>
  <c r="W75" i="3"/>
  <c r="W74" i="3"/>
  <c r="W72" i="3"/>
  <c r="W164" i="3" s="1"/>
  <c r="W70" i="3"/>
  <c r="W162" i="3" s="1"/>
  <c r="W55" i="3"/>
  <c r="W54" i="3"/>
  <c r="W53" i="3"/>
  <c r="W46" i="3"/>
  <c r="W45" i="3"/>
  <c r="W44" i="3"/>
  <c r="W42" i="3"/>
  <c r="W40" i="3"/>
  <c r="W28" i="3"/>
  <c r="W27" i="3"/>
  <c r="W25" i="3"/>
  <c r="W24" i="3"/>
  <c r="W23" i="3"/>
  <c r="W16" i="3"/>
  <c r="W15" i="3"/>
  <c r="W14" i="3"/>
  <c r="W12" i="3"/>
  <c r="W10" i="3"/>
  <c r="W53" i="9"/>
  <c r="W51" i="9"/>
  <c r="W50" i="9"/>
  <c r="W49" i="9"/>
  <c r="W47" i="9"/>
  <c r="W42" i="9"/>
  <c r="W40" i="9"/>
  <c r="W38" i="9"/>
  <c r="W31" i="9"/>
  <c r="W28" i="9"/>
  <c r="W51" i="3"/>
  <c r="W29" i="9"/>
  <c r="W27" i="9"/>
  <c r="W13" i="9"/>
  <c r="W36" i="9"/>
  <c r="W5" i="9"/>
  <c r="W68" i="10"/>
  <c r="W43" i="10"/>
  <c r="W42" i="10"/>
  <c r="W41" i="10"/>
  <c r="W46" i="10"/>
  <c r="W56" i="10"/>
  <c r="W54" i="10"/>
  <c r="W64" i="10"/>
  <c r="W39" i="10"/>
  <c r="W101" i="11"/>
  <c r="W92" i="11"/>
  <c r="W82" i="11"/>
  <c r="W73" i="11"/>
  <c r="W71" i="11"/>
  <c r="W58" i="11"/>
  <c r="W54" i="11"/>
  <c r="W48" i="11"/>
  <c r="W44" i="11"/>
  <c r="W38" i="11"/>
  <c r="W72" i="11"/>
  <c r="W69" i="11"/>
  <c r="W68" i="11"/>
  <c r="W28" i="11"/>
  <c r="W102" i="11"/>
  <c r="W99" i="11"/>
  <c r="W98" i="11"/>
  <c r="W97" i="11"/>
  <c r="W83" i="11"/>
  <c r="W81" i="11"/>
  <c r="W18" i="11"/>
  <c r="W79" i="11"/>
  <c r="W14" i="11"/>
  <c r="W117" i="11" s="1"/>
  <c r="W93" i="11"/>
  <c r="W8" i="11"/>
  <c r="W4" i="11"/>
  <c r="W44" i="12"/>
  <c r="W35" i="12"/>
  <c r="W33" i="12"/>
  <c r="W29" i="12"/>
  <c r="W25" i="12"/>
  <c r="W75" i="12" s="1"/>
  <c r="W23" i="12"/>
  <c r="W73" i="12" s="1"/>
  <c r="W19" i="12"/>
  <c r="W69" i="12" s="1"/>
  <c r="W45" i="12"/>
  <c r="W41" i="12"/>
  <c r="W6" i="12"/>
  <c r="W4" i="12"/>
  <c r="W39" i="13"/>
  <c r="W37" i="13"/>
  <c r="W47" i="13"/>
  <c r="W45" i="13"/>
  <c r="W34" i="13"/>
  <c r="W43" i="13"/>
  <c r="W6" i="13"/>
  <c r="W4" i="13"/>
  <c r="W15" i="14"/>
  <c r="W14" i="14"/>
  <c r="W20" i="14" s="1"/>
  <c r="W4" i="14"/>
  <c r="W14" i="15"/>
  <c r="W10" i="16"/>
  <c r="W58" i="3" s="1"/>
  <c r="W4" i="16"/>
  <c r="W57" i="3" s="1"/>
  <c r="W19" i="17"/>
  <c r="W37" i="9" l="1"/>
  <c r="W11" i="3"/>
  <c r="W22" i="13"/>
  <c r="W80" i="11"/>
  <c r="W53" i="11"/>
  <c r="W70" i="11"/>
  <c r="W100" i="11"/>
  <c r="W122" i="8"/>
  <c r="W33" i="10"/>
  <c r="W224" i="3"/>
  <c r="W240" i="3"/>
  <c r="W36" i="8"/>
  <c r="W43" i="11"/>
  <c r="W239" i="3"/>
  <c r="W226" i="3"/>
  <c r="W73" i="3"/>
  <c r="W82" i="3"/>
  <c r="W86" i="3"/>
  <c r="W235" i="3"/>
  <c r="W209" i="3"/>
  <c r="W210" i="3"/>
  <c r="W192" i="3"/>
  <c r="W11" i="9"/>
  <c r="W35" i="9" s="1"/>
  <c r="W194" i="3"/>
  <c r="W123" i="8"/>
  <c r="W4" i="9"/>
  <c r="W22" i="10" s="1"/>
  <c r="W23" i="10"/>
  <c r="W41" i="3"/>
  <c r="W107" i="8"/>
  <c r="W124" i="8"/>
  <c r="W108" i="8"/>
  <c r="W110" i="8"/>
  <c r="W85" i="8"/>
  <c r="W106" i="8"/>
  <c r="W96" i="8"/>
  <c r="W227" i="3"/>
  <c r="W26" i="3"/>
  <c r="W18" i="13"/>
  <c r="W43" i="3"/>
  <c r="W122" i="11"/>
  <c r="W207" i="3"/>
  <c r="W22" i="3"/>
  <c r="W121" i="11"/>
  <c r="W63" i="8"/>
  <c r="W26" i="8"/>
  <c r="W94" i="8" s="1"/>
  <c r="W88" i="8"/>
  <c r="W52" i="8"/>
  <c r="W89" i="8"/>
  <c r="W109" i="8"/>
  <c r="W15" i="8"/>
  <c r="W91" i="8"/>
  <c r="W101" i="8"/>
  <c r="W102" i="8"/>
  <c r="W95" i="8"/>
  <c r="W9" i="3"/>
  <c r="W10" i="8"/>
  <c r="W113" i="8" s="1"/>
  <c r="W52" i="3"/>
  <c r="W196" i="3"/>
  <c r="W206" i="3"/>
  <c r="W228" i="3"/>
  <c r="W236" i="3"/>
  <c r="W197" i="3"/>
  <c r="W205" i="3"/>
  <c r="W198" i="3"/>
  <c r="W56" i="3"/>
  <c r="W237" i="3"/>
  <c r="W13" i="3"/>
  <c r="W222" i="3"/>
  <c r="W21" i="14"/>
  <c r="W27" i="14"/>
  <c r="W108" i="11"/>
  <c r="W109" i="11"/>
  <c r="W90" i="11"/>
  <c r="W113" i="11"/>
  <c r="W111" i="11"/>
  <c r="W110" i="11"/>
  <c r="W106" i="11"/>
  <c r="W112" i="11"/>
  <c r="W52" i="9"/>
  <c r="W30" i="9"/>
  <c r="W20" i="16"/>
  <c r="W3" i="16"/>
  <c r="W29" i="16" s="1"/>
  <c r="W24" i="16"/>
  <c r="W10" i="17"/>
  <c r="W25" i="16"/>
  <c r="W21" i="16"/>
  <c r="W11" i="17"/>
  <c r="W119" i="11"/>
  <c r="W13" i="11"/>
  <c r="W116" i="11"/>
  <c r="W3" i="15"/>
  <c r="W19" i="15" s="1"/>
  <c r="W15" i="15"/>
  <c r="W44" i="13"/>
  <c r="W5" i="13"/>
  <c r="W3" i="13" s="1"/>
  <c r="W5" i="12"/>
  <c r="W24" i="12"/>
  <c r="W74" i="12" s="1"/>
  <c r="W34" i="12"/>
  <c r="W43" i="12"/>
  <c r="W24" i="11"/>
  <c r="W86" i="11" s="1"/>
  <c r="W34" i="11"/>
  <c r="W91" i="11"/>
  <c r="W120" i="11"/>
  <c r="W57" i="10"/>
  <c r="W39" i="9"/>
  <c r="W48" i="9"/>
  <c r="W3" i="17"/>
  <c r="W7" i="15"/>
  <c r="W21" i="15" s="1"/>
  <c r="W38" i="13"/>
  <c r="W18" i="12"/>
  <c r="W68" i="12" s="1"/>
  <c r="W28" i="12"/>
  <c r="W71" i="3"/>
  <c r="W13" i="14"/>
  <c r="W25" i="14" s="1"/>
  <c r="W67" i="11"/>
  <c r="W103" i="11"/>
  <c r="W123" i="11"/>
  <c r="W52" i="10"/>
  <c r="W32" i="9"/>
  <c r="W18" i="17"/>
  <c r="W26" i="14"/>
  <c r="W32" i="13"/>
  <c r="W49" i="13"/>
  <c r="W20" i="12"/>
  <c r="W70" i="12" s="1"/>
  <c r="W30" i="12"/>
  <c r="W39" i="12"/>
  <c r="W77" i="11"/>
  <c r="W87" i="11"/>
  <c r="W53" i="10"/>
  <c r="W25" i="9"/>
  <c r="W43" i="9"/>
  <c r="W10" i="13"/>
  <c r="W26" i="13" s="1"/>
  <c r="W33" i="13"/>
  <c r="W10" i="12"/>
  <c r="W21" i="12"/>
  <c r="W71" i="12" s="1"/>
  <c r="W31" i="12"/>
  <c r="W40" i="12"/>
  <c r="W78" i="11"/>
  <c r="W88" i="11"/>
  <c r="W107" i="11"/>
  <c r="W45" i="10"/>
  <c r="W26" i="9"/>
  <c r="W50" i="10"/>
  <c r="W48" i="13"/>
  <c r="W89" i="11"/>
  <c r="W118" i="11"/>
  <c r="W81" i="3"/>
  <c r="W54" i="9"/>
  <c r="W35" i="13"/>
  <c r="V218" i="7"/>
  <c r="U218" i="7"/>
  <c r="T218" i="7"/>
  <c r="S218" i="7"/>
  <c r="R218" i="7"/>
  <c r="Q218" i="7"/>
  <c r="P218" i="7"/>
  <c r="O218" i="7"/>
  <c r="N218" i="7"/>
  <c r="M218" i="7"/>
  <c r="L218" i="7"/>
  <c r="J218" i="7"/>
  <c r="I218" i="7"/>
  <c r="H218" i="7"/>
  <c r="G218" i="7"/>
  <c r="F218" i="7"/>
  <c r="E218" i="7"/>
  <c r="D218" i="7"/>
  <c r="C218" i="7"/>
  <c r="B218" i="7"/>
  <c r="V211" i="7"/>
  <c r="U211" i="7"/>
  <c r="T211" i="7"/>
  <c r="S211" i="7"/>
  <c r="R211" i="7"/>
  <c r="Q211" i="7"/>
  <c r="P211" i="7"/>
  <c r="O211" i="7"/>
  <c r="N211" i="7"/>
  <c r="M211" i="7"/>
  <c r="L211" i="7"/>
  <c r="J211" i="7"/>
  <c r="I211" i="7"/>
  <c r="H211" i="7"/>
  <c r="G211" i="7"/>
  <c r="F211" i="7"/>
  <c r="E211" i="7"/>
  <c r="D211" i="7"/>
  <c r="C211" i="7"/>
  <c r="B211" i="7"/>
  <c r="V205" i="7"/>
  <c r="U205" i="7"/>
  <c r="T205" i="7"/>
  <c r="S205" i="7"/>
  <c r="R205" i="7"/>
  <c r="Q205" i="7"/>
  <c r="P205" i="7"/>
  <c r="O205" i="7"/>
  <c r="N205" i="7"/>
  <c r="M205" i="7"/>
  <c r="L205" i="7"/>
  <c r="J205" i="7"/>
  <c r="I205" i="7"/>
  <c r="H205" i="7"/>
  <c r="G205" i="7"/>
  <c r="F205" i="7"/>
  <c r="E205" i="7"/>
  <c r="D205" i="7"/>
  <c r="C205" i="7"/>
  <c r="B205" i="7"/>
  <c r="K205" i="7"/>
  <c r="K211" i="7"/>
  <c r="W10" i="9" l="1"/>
  <c r="W38" i="12"/>
  <c r="W42" i="13"/>
  <c r="W21" i="13"/>
  <c r="W23" i="17"/>
  <c r="W13" i="17"/>
  <c r="W118" i="8"/>
  <c r="W27" i="10"/>
  <c r="W234" i="3"/>
  <c r="W39" i="3"/>
  <c r="W191" i="3" s="1"/>
  <c r="W195" i="3"/>
  <c r="W238" i="3"/>
  <c r="W41" i="9"/>
  <c r="W24" i="9"/>
  <c r="W46" i="9"/>
  <c r="W69" i="3"/>
  <c r="W223" i="3"/>
  <c r="W60" i="9"/>
  <c r="W58" i="9"/>
  <c r="W64" i="9"/>
  <c r="W61" i="9"/>
  <c r="W62" i="9"/>
  <c r="W59" i="9"/>
  <c r="W65" i="9"/>
  <c r="W193" i="3"/>
  <c r="W57" i="9"/>
  <c r="W63" i="9"/>
  <c r="W120" i="8"/>
  <c r="W121" i="8"/>
  <c r="W119" i="8"/>
  <c r="W117" i="8"/>
  <c r="W112" i="8"/>
  <c r="W74" i="8"/>
  <c r="W50" i="8"/>
  <c r="W28" i="16"/>
  <c r="W54" i="13"/>
  <c r="W52" i="13"/>
  <c r="W12" i="14"/>
  <c r="W24" i="14" s="1"/>
  <c r="W116" i="8"/>
  <c r="W83" i="8"/>
  <c r="W14" i="8"/>
  <c r="W56" i="8"/>
  <c r="W78" i="8" s="1"/>
  <c r="W21" i="3"/>
  <c r="W203" i="3" s="1"/>
  <c r="W111" i="8"/>
  <c r="W100" i="8"/>
  <c r="W25" i="8"/>
  <c r="W45" i="9" s="1"/>
  <c r="W61" i="8"/>
  <c r="W208" i="3"/>
  <c r="W225" i="3"/>
  <c r="W204" i="3"/>
  <c r="W19" i="14"/>
  <c r="W55" i="10"/>
  <c r="W44" i="10"/>
  <c r="W38" i="10"/>
  <c r="W49" i="10"/>
  <c r="W59" i="13"/>
  <c r="W46" i="13"/>
  <c r="W56" i="13"/>
  <c r="W36" i="13"/>
  <c r="W42" i="12"/>
  <c r="W32" i="12"/>
  <c r="W22" i="12"/>
  <c r="W72" i="12" s="1"/>
  <c r="W3" i="12"/>
  <c r="W62" i="10"/>
  <c r="W51" i="10"/>
  <c r="W40" i="10"/>
  <c r="W66" i="11"/>
  <c r="W19" i="13"/>
  <c r="W23" i="15"/>
  <c r="W53" i="13"/>
  <c r="W51" i="13"/>
  <c r="W57" i="13"/>
  <c r="W55" i="13"/>
  <c r="W23" i="11"/>
  <c r="W95" i="11" s="1"/>
  <c r="W96" i="11"/>
  <c r="W76" i="11"/>
  <c r="W22" i="17"/>
  <c r="W21" i="17"/>
  <c r="W17" i="17"/>
  <c r="W9" i="17"/>
  <c r="W58" i="13"/>
  <c r="W56" i="9"/>
  <c r="W13" i="15"/>
  <c r="W18" i="15"/>
  <c r="W17" i="15"/>
  <c r="W19" i="16"/>
  <c r="W27" i="16"/>
  <c r="W23" i="16"/>
  <c r="W22" i="15"/>
  <c r="K218" i="7"/>
  <c r="V52" i="6"/>
  <c r="U52" i="6"/>
  <c r="M52" i="6"/>
  <c r="E52" i="6"/>
  <c r="D52" i="6"/>
  <c r="T52" i="6"/>
  <c r="S52" i="6"/>
  <c r="R52" i="6"/>
  <c r="Q52" i="6"/>
  <c r="P52" i="6"/>
  <c r="O52" i="6"/>
  <c r="N52" i="6"/>
  <c r="K52" i="6"/>
  <c r="J52" i="6"/>
  <c r="I52" i="6"/>
  <c r="H52" i="6"/>
  <c r="G52" i="6"/>
  <c r="F52" i="6"/>
  <c r="C52" i="6"/>
  <c r="B52" i="6"/>
  <c r="W52" i="12" l="1"/>
  <c r="W23" i="9"/>
  <c r="W26" i="10"/>
  <c r="W18" i="14"/>
  <c r="W60" i="10"/>
  <c r="W65" i="10"/>
  <c r="W61" i="10"/>
  <c r="W63" i="10"/>
  <c r="W67" i="10"/>
  <c r="W221" i="3"/>
  <c r="W66" i="10"/>
  <c r="W72" i="8"/>
  <c r="W82" i="8"/>
  <c r="W41" i="13"/>
  <c r="W233" i="3"/>
  <c r="W48" i="10"/>
  <c r="W59" i="10"/>
  <c r="W51" i="12"/>
  <c r="W17" i="12"/>
  <c r="W67" i="12" s="1"/>
  <c r="W53" i="12"/>
  <c r="W55" i="12"/>
  <c r="W47" i="12"/>
  <c r="W37" i="12"/>
  <c r="W54" i="12"/>
  <c r="W50" i="12"/>
  <c r="W48" i="12"/>
  <c r="W49" i="12"/>
  <c r="W75" i="11"/>
  <c r="L52" i="6" l="1"/>
  <c r="B15" i="10" l="1"/>
  <c r="P13" i="9"/>
  <c r="P11" i="9" s="1"/>
  <c r="O13" i="9"/>
  <c r="O11" i="9" s="1"/>
  <c r="V13" i="9"/>
  <c r="V11" i="9" s="1"/>
  <c r="T13" i="9"/>
  <c r="S13" i="9"/>
  <c r="L13" i="9"/>
  <c r="L11" i="9" s="1"/>
  <c r="K13" i="9"/>
  <c r="F13" i="9"/>
  <c r="F11" i="9" s="1"/>
  <c r="E13" i="9"/>
  <c r="E11" i="9" s="1"/>
  <c r="D13" i="9"/>
  <c r="D11" i="9" s="1"/>
  <c r="C13" i="9"/>
  <c r="N13" i="9"/>
  <c r="N11" i="9" s="1"/>
  <c r="N10" i="9" s="1"/>
  <c r="H13" i="9"/>
  <c r="G13" i="9"/>
  <c r="G11" i="9" s="1"/>
  <c r="B13" i="9"/>
  <c r="B11" i="9" s="1"/>
  <c r="U5" i="9"/>
  <c r="M5" i="9"/>
  <c r="L5" i="9"/>
  <c r="J5" i="9"/>
  <c r="E5" i="9"/>
  <c r="D5" i="9"/>
  <c r="C5" i="9"/>
  <c r="R5" i="9"/>
  <c r="Q5" i="9"/>
  <c r="B5" i="9"/>
  <c r="R43" i="8"/>
  <c r="Q43" i="8"/>
  <c r="P43" i="8"/>
  <c r="J43" i="8"/>
  <c r="I43" i="8"/>
  <c r="H43" i="8"/>
  <c r="T43" i="8"/>
  <c r="S43" i="8"/>
  <c r="O43" i="8"/>
  <c r="L43" i="8"/>
  <c r="K43" i="8"/>
  <c r="G43" i="8"/>
  <c r="D43" i="8"/>
  <c r="U39" i="8"/>
  <c r="T39" i="8"/>
  <c r="R39" i="8"/>
  <c r="R37" i="8" s="1"/>
  <c r="M39" i="8"/>
  <c r="L39" i="8"/>
  <c r="J39" i="8"/>
  <c r="J37" i="8" s="1"/>
  <c r="H39" i="8"/>
  <c r="E39" i="8"/>
  <c r="D39" i="8"/>
  <c r="S39" i="8"/>
  <c r="P39" i="8"/>
  <c r="O39" i="8"/>
  <c r="K39" i="8"/>
  <c r="G39" i="8"/>
  <c r="C43" i="8"/>
  <c r="C39" i="8"/>
  <c r="R32" i="8"/>
  <c r="R67" i="8" s="1"/>
  <c r="V32" i="8"/>
  <c r="V67" i="8" s="1"/>
  <c r="U32" i="8"/>
  <c r="T32" i="8"/>
  <c r="N32" i="8"/>
  <c r="N67" i="8" s="1"/>
  <c r="M32" i="8"/>
  <c r="L32" i="8"/>
  <c r="G32" i="8"/>
  <c r="G67" i="8" s="1"/>
  <c r="F32" i="8"/>
  <c r="F67" i="8" s="1"/>
  <c r="E32" i="8"/>
  <c r="D32" i="8"/>
  <c r="Q32" i="8"/>
  <c r="Q67" i="8" s="1"/>
  <c r="P32" i="8"/>
  <c r="O32" i="8"/>
  <c r="O67" i="8" s="1"/>
  <c r="J32" i="8"/>
  <c r="J67" i="8" s="1"/>
  <c r="I32" i="8"/>
  <c r="I67" i="8" s="1"/>
  <c r="H32" i="8"/>
  <c r="O28" i="8"/>
  <c r="T28" i="8"/>
  <c r="S28" i="8"/>
  <c r="S26" i="8" s="1"/>
  <c r="L28" i="8"/>
  <c r="L26" i="8" s="1"/>
  <c r="K28" i="8"/>
  <c r="K26" i="8" s="1"/>
  <c r="J28" i="8"/>
  <c r="I28" i="8"/>
  <c r="H28" i="8"/>
  <c r="D28" i="8"/>
  <c r="D26" i="8" s="1"/>
  <c r="C28" i="8"/>
  <c r="C26" i="8" s="1"/>
  <c r="R28" i="8"/>
  <c r="R63" i="8" s="1"/>
  <c r="Q28" i="8"/>
  <c r="Q26" i="8" s="1"/>
  <c r="Q25" i="8" s="1"/>
  <c r="P28" i="8"/>
  <c r="P26" i="8" s="1"/>
  <c r="G28" i="8"/>
  <c r="G63" i="8" s="1"/>
  <c r="G26" i="8"/>
  <c r="B28" i="8"/>
  <c r="B63" i="8" s="1"/>
  <c r="N21" i="8"/>
  <c r="N33" i="10" s="1"/>
  <c r="S21" i="8"/>
  <c r="S33" i="10" s="1"/>
  <c r="K21" i="8"/>
  <c r="K33" i="10" s="1"/>
  <c r="I21" i="8"/>
  <c r="I33" i="10" s="1"/>
  <c r="H21" i="8"/>
  <c r="H33" i="10" s="1"/>
  <c r="E21" i="8"/>
  <c r="E33" i="10" s="1"/>
  <c r="C21" i="8"/>
  <c r="C33" i="10" s="1"/>
  <c r="P21" i="8"/>
  <c r="P33" i="10" s="1"/>
  <c r="O21" i="8"/>
  <c r="O33" i="10" s="1"/>
  <c r="G21" i="8"/>
  <c r="G33" i="10" s="1"/>
  <c r="P17" i="8"/>
  <c r="N17" i="8"/>
  <c r="N29" i="10" s="1"/>
  <c r="H17" i="8"/>
  <c r="H29" i="10" s="1"/>
  <c r="U17" i="8"/>
  <c r="U29" i="10" s="1"/>
  <c r="T17" i="8"/>
  <c r="T29" i="10" s="1"/>
  <c r="S17" i="8"/>
  <c r="R17" i="8"/>
  <c r="R29" i="10" s="1"/>
  <c r="M17" i="8"/>
  <c r="M29" i="10" s="1"/>
  <c r="L17" i="8"/>
  <c r="L29" i="10" s="1"/>
  <c r="K17" i="8"/>
  <c r="J17" i="8"/>
  <c r="J29" i="10" s="1"/>
  <c r="E17" i="8"/>
  <c r="E29" i="10" s="1"/>
  <c r="D17" i="8"/>
  <c r="D29" i="10" s="1"/>
  <c r="C17" i="8"/>
  <c r="V17" i="8"/>
  <c r="V29" i="10" s="1"/>
  <c r="Q17" i="8"/>
  <c r="O17" i="8"/>
  <c r="I17" i="8"/>
  <c r="G17" i="8"/>
  <c r="G29" i="10" s="1"/>
  <c r="F17" i="8"/>
  <c r="I10" i="8"/>
  <c r="U10" i="8"/>
  <c r="T10" i="8"/>
  <c r="S10" i="8"/>
  <c r="R10" i="8"/>
  <c r="P10" i="8"/>
  <c r="M10" i="8"/>
  <c r="L10" i="8"/>
  <c r="K10" i="8"/>
  <c r="J10" i="8"/>
  <c r="H10" i="8"/>
  <c r="E10" i="8"/>
  <c r="D10" i="8"/>
  <c r="C10" i="8"/>
  <c r="Q10" i="8"/>
  <c r="R6" i="8"/>
  <c r="R4" i="8" s="1"/>
  <c r="Q6" i="8"/>
  <c r="S6" i="8"/>
  <c r="S4" i="8" s="1"/>
  <c r="K6" i="8"/>
  <c r="K4" i="8" s="1"/>
  <c r="J6" i="8"/>
  <c r="J4" i="8" s="1"/>
  <c r="I6" i="8"/>
  <c r="C6" i="8"/>
  <c r="C4" i="8" s="1"/>
  <c r="B10" i="8"/>
  <c r="J36" i="8" l="1"/>
  <c r="F15" i="8"/>
  <c r="F27" i="10" s="1"/>
  <c r="F29" i="10"/>
  <c r="I15" i="8"/>
  <c r="I27" i="10" s="1"/>
  <c r="I29" i="10"/>
  <c r="K15" i="8"/>
  <c r="K27" i="10" s="1"/>
  <c r="K29" i="10"/>
  <c r="S15" i="8"/>
  <c r="S27" i="10" s="1"/>
  <c r="S29" i="10"/>
  <c r="O15" i="8"/>
  <c r="O27" i="10" s="1"/>
  <c r="O29" i="10"/>
  <c r="P15" i="8"/>
  <c r="P27" i="10" s="1"/>
  <c r="P29" i="10"/>
  <c r="Q15" i="8"/>
  <c r="Q27" i="10" s="1"/>
  <c r="Q29" i="10"/>
  <c r="C15" i="8"/>
  <c r="C29" i="10"/>
  <c r="L25" i="8"/>
  <c r="R36" i="8"/>
  <c r="E10" i="9"/>
  <c r="D25" i="8"/>
  <c r="J4" i="9"/>
  <c r="J23" i="10"/>
  <c r="L4" i="9"/>
  <c r="L23" i="10"/>
  <c r="B4" i="9"/>
  <c r="B23" i="10"/>
  <c r="M4" i="9"/>
  <c r="M23" i="10"/>
  <c r="E4" i="9"/>
  <c r="E23" i="10"/>
  <c r="Q4" i="9"/>
  <c r="Q23" i="10"/>
  <c r="U4" i="9"/>
  <c r="U23" i="10"/>
  <c r="R4" i="9"/>
  <c r="R23" i="10"/>
  <c r="C4" i="9"/>
  <c r="C23" i="10"/>
  <c r="O14" i="8"/>
  <c r="O26" i="10" s="1"/>
  <c r="D4" i="9"/>
  <c r="D23" i="10"/>
  <c r="O10" i="9"/>
  <c r="P10" i="9"/>
  <c r="P25" i="8"/>
  <c r="V15" i="8"/>
  <c r="V27" i="10" s="1"/>
  <c r="V10" i="9"/>
  <c r="O63" i="8"/>
  <c r="O26" i="8"/>
  <c r="O25" i="8" s="1"/>
  <c r="F10" i="9"/>
  <c r="H63" i="8"/>
  <c r="H26" i="8"/>
  <c r="H25" i="8" s="1"/>
  <c r="J63" i="8"/>
  <c r="J26" i="8"/>
  <c r="J25" i="8" s="1"/>
  <c r="G10" i="9"/>
  <c r="Q4" i="8"/>
  <c r="P37" i="8"/>
  <c r="H15" i="8"/>
  <c r="G6" i="8"/>
  <c r="O6" i="8"/>
  <c r="O4" i="8" s="1"/>
  <c r="D21" i="8"/>
  <c r="D33" i="10" s="1"/>
  <c r="L21" i="8"/>
  <c r="L33" i="10" s="1"/>
  <c r="T21" i="8"/>
  <c r="T33" i="10" s="1"/>
  <c r="P67" i="8"/>
  <c r="K37" i="8"/>
  <c r="K36" i="8" s="1"/>
  <c r="S37" i="8"/>
  <c r="S36" i="8" s="1"/>
  <c r="K11" i="9"/>
  <c r="K10" i="9" s="1"/>
  <c r="S11" i="9"/>
  <c r="S10" i="9" s="1"/>
  <c r="I4" i="8"/>
  <c r="H6" i="8"/>
  <c r="H4" i="8" s="1"/>
  <c r="P6" i="8"/>
  <c r="P4" i="8" s="1"/>
  <c r="M21" i="8"/>
  <c r="M33" i="10" s="1"/>
  <c r="U21" i="8"/>
  <c r="U33" i="10" s="1"/>
  <c r="Q21" i="8"/>
  <c r="B11" i="10"/>
  <c r="D15" i="8"/>
  <c r="D27" i="10" s="1"/>
  <c r="L15" i="8"/>
  <c r="L27" i="10" s="1"/>
  <c r="T15" i="8"/>
  <c r="T27" i="10" s="1"/>
  <c r="F21" i="8"/>
  <c r="F33" i="10" s="1"/>
  <c r="V21" i="8"/>
  <c r="V33" i="10" s="1"/>
  <c r="F28" i="8"/>
  <c r="F63" i="8" s="1"/>
  <c r="N28" i="8"/>
  <c r="N63" i="8" s="1"/>
  <c r="V28" i="8"/>
  <c r="V63" i="8" s="1"/>
  <c r="E37" i="8"/>
  <c r="G5" i="9"/>
  <c r="O5" i="9"/>
  <c r="B32" i="8"/>
  <c r="B67" i="8" s="1"/>
  <c r="R26" i="8"/>
  <c r="R25" i="8" s="1"/>
  <c r="C32" i="8"/>
  <c r="C25" i="8" s="1"/>
  <c r="K32" i="8"/>
  <c r="K67" i="8" s="1"/>
  <c r="S32" i="8"/>
  <c r="S67" i="8" s="1"/>
  <c r="F39" i="8"/>
  <c r="F37" i="8" s="1"/>
  <c r="N39" i="8"/>
  <c r="N37" i="8" s="1"/>
  <c r="V39" i="8"/>
  <c r="V37" i="8" s="1"/>
  <c r="H5" i="9"/>
  <c r="P5" i="9"/>
  <c r="N15" i="8"/>
  <c r="K25" i="8"/>
  <c r="S25" i="8"/>
  <c r="P63" i="8"/>
  <c r="H67" i="8"/>
  <c r="I5" i="9"/>
  <c r="I13" i="9"/>
  <c r="I11" i="9" s="1"/>
  <c r="Q13" i="9"/>
  <c r="Q11" i="9" s="1"/>
  <c r="G15" i="8"/>
  <c r="G25" i="8"/>
  <c r="H37" i="8"/>
  <c r="H36" i="8" s="1"/>
  <c r="H11" i="9"/>
  <c r="H10" i="9" s="1"/>
  <c r="J13" i="9"/>
  <c r="J11" i="9" s="1"/>
  <c r="J10" i="9" s="1"/>
  <c r="R13" i="9"/>
  <c r="R11" i="9" s="1"/>
  <c r="R10" i="9" s="1"/>
  <c r="C11" i="9"/>
  <c r="C10" i="9" s="1"/>
  <c r="I26" i="8"/>
  <c r="I63" i="8"/>
  <c r="D6" i="8"/>
  <c r="D4" i="8" s="1"/>
  <c r="L6" i="8"/>
  <c r="L4" i="8" s="1"/>
  <c r="T6" i="8"/>
  <c r="T4" i="8" s="1"/>
  <c r="G10" i="8"/>
  <c r="O10" i="8"/>
  <c r="J21" i="8"/>
  <c r="J33" i="10" s="1"/>
  <c r="R21" i="8"/>
  <c r="R33" i="10" s="1"/>
  <c r="O37" i="8"/>
  <c r="O36" i="8" s="1"/>
  <c r="F43" i="8"/>
  <c r="N43" i="8"/>
  <c r="V43" i="8"/>
  <c r="P61" i="8"/>
  <c r="E6" i="8"/>
  <c r="E4" i="8" s="1"/>
  <c r="M6" i="8"/>
  <c r="M4" i="8" s="1"/>
  <c r="U6" i="8"/>
  <c r="U4" i="8" s="1"/>
  <c r="B21" i="8"/>
  <c r="B33" i="10" s="1"/>
  <c r="B26" i="8"/>
  <c r="E28" i="8"/>
  <c r="E26" i="8" s="1"/>
  <c r="E61" i="8" s="1"/>
  <c r="M28" i="8"/>
  <c r="M26" i="8" s="1"/>
  <c r="M61" i="8" s="1"/>
  <c r="U28" i="8"/>
  <c r="U26" i="8" s="1"/>
  <c r="U61" i="8" s="1"/>
  <c r="Q61" i="8"/>
  <c r="F6" i="8"/>
  <c r="F4" i="8" s="1"/>
  <c r="N6" i="8"/>
  <c r="N4" i="8" s="1"/>
  <c r="V6" i="8"/>
  <c r="V4" i="8" s="1"/>
  <c r="G61" i="8"/>
  <c r="C63" i="8"/>
  <c r="K63" i="8"/>
  <c r="S63" i="8"/>
  <c r="D67" i="8"/>
  <c r="L67" i="8"/>
  <c r="T67" i="8"/>
  <c r="M13" i="9"/>
  <c r="M11" i="9" s="1"/>
  <c r="M10" i="9" s="1"/>
  <c r="U13" i="9"/>
  <c r="U11" i="9" s="1"/>
  <c r="U10" i="9" s="1"/>
  <c r="C37" i="8"/>
  <c r="C36" i="8" s="1"/>
  <c r="I39" i="8"/>
  <c r="I37" i="8" s="1"/>
  <c r="I36" i="8" s="1"/>
  <c r="Q39" i="8"/>
  <c r="Q37" i="8" s="1"/>
  <c r="Q36" i="8" s="1"/>
  <c r="D63" i="8"/>
  <c r="L63" i="8"/>
  <c r="T63" i="8"/>
  <c r="E67" i="8"/>
  <c r="M67" i="8"/>
  <c r="U67" i="8"/>
  <c r="B17" i="9"/>
  <c r="B10" i="9" s="1"/>
  <c r="M37" i="8"/>
  <c r="U37" i="8"/>
  <c r="C61" i="8"/>
  <c r="K61" i="8"/>
  <c r="S61" i="8"/>
  <c r="Q63" i="8"/>
  <c r="G37" i="8"/>
  <c r="G36" i="8" s="1"/>
  <c r="D61" i="8"/>
  <c r="L61" i="8"/>
  <c r="T11" i="9"/>
  <c r="T10" i="9" s="1"/>
  <c r="B6" i="8"/>
  <c r="B4" i="8" s="1"/>
  <c r="B17" i="8"/>
  <c r="B15" i="8" s="1"/>
  <c r="E15" i="8"/>
  <c r="M15" i="8"/>
  <c r="U15" i="8"/>
  <c r="U27" i="10" s="1"/>
  <c r="K5" i="9"/>
  <c r="S5" i="9"/>
  <c r="F10" i="8"/>
  <c r="N10" i="8"/>
  <c r="V10" i="8"/>
  <c r="E43" i="8"/>
  <c r="M43" i="8"/>
  <c r="U43" i="8"/>
  <c r="T5" i="9"/>
  <c r="D10" i="9"/>
  <c r="L10" i="9"/>
  <c r="F5" i="9"/>
  <c r="N5" i="9"/>
  <c r="V5" i="9"/>
  <c r="P36" i="8"/>
  <c r="D37" i="8"/>
  <c r="D36" i="8" s="1"/>
  <c r="L37" i="8"/>
  <c r="L36" i="8" s="1"/>
  <c r="T37" i="8"/>
  <c r="T36" i="8" s="1"/>
  <c r="T26" i="8"/>
  <c r="T25" i="8" s="1"/>
  <c r="J15" i="8"/>
  <c r="J27" i="10" s="1"/>
  <c r="R15" i="8"/>
  <c r="R27" i="10" s="1"/>
  <c r="G4" i="8"/>
  <c r="E36" i="8" l="1"/>
  <c r="O61" i="8"/>
  <c r="H61" i="8"/>
  <c r="E25" i="8"/>
  <c r="K14" i="8"/>
  <c r="K26" i="10" s="1"/>
  <c r="J61" i="8"/>
  <c r="P14" i="8"/>
  <c r="P26" i="10" s="1"/>
  <c r="I14" i="8"/>
  <c r="I26" i="10" s="1"/>
  <c r="F14" i="8"/>
  <c r="F26" i="10" s="1"/>
  <c r="M25" i="8"/>
  <c r="M14" i="8"/>
  <c r="M26" i="10" s="1"/>
  <c r="M27" i="10"/>
  <c r="S14" i="8"/>
  <c r="S26" i="10" s="1"/>
  <c r="B9" i="10"/>
  <c r="B29" i="10"/>
  <c r="Q14" i="8"/>
  <c r="Q26" i="10" s="1"/>
  <c r="Q33" i="10"/>
  <c r="H14" i="8"/>
  <c r="H26" i="10" s="1"/>
  <c r="H27" i="10"/>
  <c r="C14" i="8"/>
  <c r="C26" i="10" s="1"/>
  <c r="C27" i="10"/>
  <c r="G14" i="8"/>
  <c r="G26" i="10" s="1"/>
  <c r="G27" i="10"/>
  <c r="N14" i="8"/>
  <c r="N26" i="10" s="1"/>
  <c r="N27" i="10"/>
  <c r="E14" i="8"/>
  <c r="E26" i="10" s="1"/>
  <c r="E27" i="10"/>
  <c r="N36" i="8"/>
  <c r="B14" i="8"/>
  <c r="F36" i="8"/>
  <c r="V14" i="8"/>
  <c r="V26" i="10" s="1"/>
  <c r="R14" i="8"/>
  <c r="R26" i="10" s="1"/>
  <c r="U14" i="8"/>
  <c r="U26" i="10" s="1"/>
  <c r="R61" i="8"/>
  <c r="U25" i="8"/>
  <c r="O4" i="9"/>
  <c r="O23" i="10"/>
  <c r="G4" i="9"/>
  <c r="G23" i="10"/>
  <c r="N4" i="9"/>
  <c r="N23" i="10"/>
  <c r="I10" i="9"/>
  <c r="P4" i="9"/>
  <c r="P23" i="10"/>
  <c r="I4" i="9"/>
  <c r="I23" i="10"/>
  <c r="H4" i="9"/>
  <c r="H23" i="10"/>
  <c r="K4" i="9"/>
  <c r="K23" i="10"/>
  <c r="V4" i="9"/>
  <c r="V23" i="10"/>
  <c r="Q10" i="9"/>
  <c r="F4" i="9"/>
  <c r="F23" i="10"/>
  <c r="T4" i="9"/>
  <c r="T23" i="10"/>
  <c r="S4" i="9"/>
  <c r="S23" i="10"/>
  <c r="C67" i="8"/>
  <c r="V36" i="8"/>
  <c r="N26" i="8"/>
  <c r="N25" i="8" s="1"/>
  <c r="L14" i="8"/>
  <c r="L26" i="10" s="1"/>
  <c r="U36" i="8"/>
  <c r="J14" i="8"/>
  <c r="J26" i="10" s="1"/>
  <c r="F26" i="8"/>
  <c r="F25" i="8" s="1"/>
  <c r="D14" i="8"/>
  <c r="D26" i="10" s="1"/>
  <c r="V26" i="8"/>
  <c r="V25" i="8" s="1"/>
  <c r="M36" i="8"/>
  <c r="B25" i="8"/>
  <c r="T61" i="8"/>
  <c r="U63" i="8"/>
  <c r="T14" i="8"/>
  <c r="T26" i="10" s="1"/>
  <c r="M63" i="8"/>
  <c r="E63" i="8"/>
  <c r="B61" i="8"/>
  <c r="I61" i="8"/>
  <c r="I25" i="8"/>
  <c r="B8" i="10" l="1"/>
  <c r="B26" i="10" s="1"/>
  <c r="B27" i="10"/>
  <c r="V61" i="8"/>
  <c r="F61" i="8"/>
  <c r="N61" i="8"/>
  <c r="Q10" i="16"/>
  <c r="G10" i="16"/>
  <c r="O10" i="16"/>
  <c r="S10" i="16"/>
  <c r="K4" i="16"/>
  <c r="J10" i="16"/>
  <c r="I10" i="16"/>
  <c r="M10" i="16"/>
  <c r="J4" i="16"/>
  <c r="F10" i="16"/>
  <c r="L4" i="16"/>
  <c r="M4" i="16"/>
  <c r="L10" i="16"/>
  <c r="I4" i="16"/>
  <c r="F4" i="16"/>
  <c r="O4" i="16"/>
  <c r="Q4" i="16"/>
  <c r="Q3" i="16" s="1"/>
  <c r="P10" i="16"/>
  <c r="P4" i="16"/>
  <c r="S4" i="16"/>
  <c r="S3" i="16" s="1"/>
  <c r="K10" i="16"/>
  <c r="K3" i="16" s="1"/>
  <c r="G4" i="16"/>
  <c r="O3" i="16" l="1"/>
  <c r="F3" i="16"/>
  <c r="P3" i="16"/>
  <c r="G3" i="16"/>
  <c r="B4" i="16"/>
  <c r="E10" i="16"/>
  <c r="J3" i="16"/>
  <c r="I3" i="16"/>
  <c r="M3" i="16"/>
  <c r="R10" i="16"/>
  <c r="L3" i="16"/>
  <c r="T10" i="16"/>
  <c r="R4" i="16"/>
  <c r="H10" i="16"/>
  <c r="B10" i="16"/>
  <c r="T4" i="16"/>
  <c r="N10" i="16"/>
  <c r="H4" i="16"/>
  <c r="E4" i="16"/>
  <c r="N4" i="16"/>
  <c r="R3" i="16" l="1"/>
  <c r="H3" i="16"/>
  <c r="E3" i="16"/>
  <c r="B3" i="16"/>
  <c r="T3" i="16"/>
  <c r="D10" i="16"/>
  <c r="N3" i="16"/>
  <c r="D4" i="16"/>
  <c r="U10" i="16"/>
  <c r="C4" i="16"/>
  <c r="C10" i="16"/>
  <c r="U4" i="16"/>
  <c r="D3" i="16" l="1"/>
  <c r="U3" i="16"/>
  <c r="C3" i="16"/>
  <c r="V10" i="16"/>
  <c r="V4" i="16"/>
  <c r="V3" i="16" s="1"/>
  <c r="V68" i="10" l="1"/>
  <c r="U68" i="10"/>
  <c r="T68" i="10"/>
  <c r="S68" i="10"/>
  <c r="R68" i="10"/>
  <c r="Q68" i="10"/>
  <c r="P68" i="10"/>
  <c r="O68" i="10"/>
  <c r="N68" i="10"/>
  <c r="M68" i="10"/>
  <c r="L68" i="10"/>
  <c r="K68" i="10"/>
  <c r="J68" i="10"/>
  <c r="I68" i="10"/>
  <c r="H68" i="10"/>
  <c r="G68" i="10"/>
  <c r="F68" i="10"/>
  <c r="E68" i="10"/>
  <c r="D68" i="10"/>
  <c r="C68" i="10"/>
  <c r="V67" i="10"/>
  <c r="U67" i="10"/>
  <c r="T67" i="10"/>
  <c r="S67" i="10"/>
  <c r="R67" i="10"/>
  <c r="Q67" i="10"/>
  <c r="V65" i="10"/>
  <c r="U65" i="10"/>
  <c r="T65" i="10"/>
  <c r="S65" i="10"/>
  <c r="R65" i="10"/>
  <c r="Q65" i="10"/>
  <c r="P65" i="10"/>
  <c r="O65" i="10"/>
  <c r="N65" i="10"/>
  <c r="M65" i="10"/>
  <c r="L65" i="10"/>
  <c r="K65" i="10"/>
  <c r="J65" i="10"/>
  <c r="I65" i="10"/>
  <c r="H65" i="10"/>
  <c r="G65" i="10"/>
  <c r="F65" i="10"/>
  <c r="E65" i="10"/>
  <c r="D65" i="10"/>
  <c r="C65" i="10"/>
  <c r="V64" i="10"/>
  <c r="U64" i="10"/>
  <c r="T64" i="10"/>
  <c r="S64" i="10"/>
  <c r="R64" i="10"/>
  <c r="Q64" i="10"/>
  <c r="P64" i="10"/>
  <c r="O64" i="10"/>
  <c r="N64" i="10"/>
  <c r="M64" i="10"/>
  <c r="L64" i="10"/>
  <c r="K64" i="10"/>
  <c r="J64" i="10"/>
  <c r="I64" i="10"/>
  <c r="H64" i="10"/>
  <c r="G64" i="10"/>
  <c r="F64" i="10"/>
  <c r="E64" i="10"/>
  <c r="D64" i="10"/>
  <c r="C64" i="10"/>
  <c r="V63" i="10"/>
  <c r="U63" i="10"/>
  <c r="T63" i="10"/>
  <c r="S63" i="10"/>
  <c r="R63" i="10"/>
  <c r="Q63" i="10"/>
  <c r="V61" i="10"/>
  <c r="U61" i="10"/>
  <c r="T61" i="10"/>
  <c r="S61" i="10"/>
  <c r="R61" i="10"/>
  <c r="Q61" i="10"/>
  <c r="P61" i="10"/>
  <c r="O61" i="10"/>
  <c r="N61" i="10"/>
  <c r="M61" i="10"/>
  <c r="L61" i="10"/>
  <c r="K61" i="10"/>
  <c r="J61" i="10"/>
  <c r="I61" i="10"/>
  <c r="H61" i="10"/>
  <c r="G61" i="10"/>
  <c r="F61" i="10"/>
  <c r="E61" i="10"/>
  <c r="D61" i="10"/>
  <c r="C61" i="10"/>
  <c r="V57" i="10"/>
  <c r="U57" i="10"/>
  <c r="T57" i="10"/>
  <c r="S57" i="10"/>
  <c r="R57" i="10"/>
  <c r="Q57" i="10"/>
  <c r="P57" i="10"/>
  <c r="O57" i="10"/>
  <c r="N57" i="10"/>
  <c r="M57" i="10"/>
  <c r="L57" i="10"/>
  <c r="K57" i="10"/>
  <c r="J57" i="10"/>
  <c r="I57" i="10"/>
  <c r="H57" i="10"/>
  <c r="G57" i="10"/>
  <c r="F57" i="10"/>
  <c r="E57" i="10"/>
  <c r="D57" i="10"/>
  <c r="C57" i="10"/>
  <c r="V56" i="10"/>
  <c r="U56" i="10"/>
  <c r="T56" i="10"/>
  <c r="S56" i="10"/>
  <c r="R56" i="10"/>
  <c r="Q56" i="10"/>
  <c r="P56" i="10"/>
  <c r="O56" i="10"/>
  <c r="N56" i="10"/>
  <c r="M56" i="10"/>
  <c r="L56" i="10"/>
  <c r="K56" i="10"/>
  <c r="J56" i="10"/>
  <c r="I56" i="10"/>
  <c r="H56" i="10"/>
  <c r="G56" i="10"/>
  <c r="F56" i="10"/>
  <c r="E56" i="10"/>
  <c r="D56" i="10"/>
  <c r="C56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V52" i="10"/>
  <c r="U52" i="10"/>
  <c r="T52" i="10"/>
  <c r="S52" i="10"/>
  <c r="R52" i="10"/>
  <c r="Q52" i="10"/>
  <c r="P52" i="10"/>
  <c r="O52" i="10"/>
  <c r="N52" i="10"/>
  <c r="M52" i="10"/>
  <c r="L52" i="10"/>
  <c r="K52" i="10"/>
  <c r="J52" i="10"/>
  <c r="I52" i="10"/>
  <c r="H52" i="10"/>
  <c r="G52" i="10"/>
  <c r="F52" i="10"/>
  <c r="E52" i="10"/>
  <c r="D52" i="10"/>
  <c r="C52" i="10"/>
  <c r="V50" i="10"/>
  <c r="U50" i="10"/>
  <c r="T50" i="10"/>
  <c r="S50" i="10"/>
  <c r="R50" i="10"/>
  <c r="Q50" i="10"/>
  <c r="P50" i="10"/>
  <c r="O50" i="10"/>
  <c r="N50" i="10"/>
  <c r="M50" i="10"/>
  <c r="L50" i="10"/>
  <c r="K50" i="10"/>
  <c r="J50" i="10"/>
  <c r="I50" i="10"/>
  <c r="H50" i="10"/>
  <c r="G50" i="10"/>
  <c r="F50" i="10"/>
  <c r="E50" i="10"/>
  <c r="D50" i="10"/>
  <c r="C50" i="10"/>
  <c r="V46" i="10"/>
  <c r="U46" i="10"/>
  <c r="T46" i="10"/>
  <c r="S46" i="10"/>
  <c r="R46" i="10"/>
  <c r="Q46" i="10"/>
  <c r="P46" i="10"/>
  <c r="O46" i="10"/>
  <c r="N46" i="10"/>
  <c r="M46" i="10"/>
  <c r="L46" i="10"/>
  <c r="K46" i="10"/>
  <c r="J46" i="10"/>
  <c r="I46" i="10"/>
  <c r="H46" i="10"/>
  <c r="G46" i="10"/>
  <c r="F46" i="10"/>
  <c r="E46" i="10"/>
  <c r="D46" i="10"/>
  <c r="C46" i="10"/>
  <c r="V45" i="10"/>
  <c r="U45" i="10"/>
  <c r="T45" i="10"/>
  <c r="S45" i="10"/>
  <c r="R45" i="10"/>
  <c r="Q45" i="10"/>
  <c r="P45" i="10"/>
  <c r="O45" i="10"/>
  <c r="N45" i="10"/>
  <c r="M45" i="10"/>
  <c r="L45" i="10"/>
  <c r="K45" i="10"/>
  <c r="J45" i="10"/>
  <c r="I45" i="10"/>
  <c r="H45" i="10"/>
  <c r="G45" i="10"/>
  <c r="F45" i="10"/>
  <c r="E45" i="10"/>
  <c r="D45" i="10"/>
  <c r="C45" i="10"/>
  <c r="V43" i="10"/>
  <c r="U43" i="10"/>
  <c r="T43" i="10"/>
  <c r="S43" i="10"/>
  <c r="R43" i="10"/>
  <c r="Q43" i="10"/>
  <c r="P43" i="10"/>
  <c r="O43" i="10"/>
  <c r="N43" i="10"/>
  <c r="M43" i="10"/>
  <c r="L43" i="10"/>
  <c r="K43" i="10"/>
  <c r="J43" i="10"/>
  <c r="I43" i="10"/>
  <c r="H43" i="10"/>
  <c r="G43" i="10"/>
  <c r="F43" i="10"/>
  <c r="E43" i="10"/>
  <c r="D43" i="10"/>
  <c r="C43" i="10"/>
  <c r="V42" i="10"/>
  <c r="U42" i="10"/>
  <c r="T42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E42" i="10"/>
  <c r="D42" i="10"/>
  <c r="C42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E41" i="10"/>
  <c r="D41" i="10"/>
  <c r="C41" i="10"/>
  <c r="V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D39" i="10"/>
  <c r="C39" i="10"/>
  <c r="V65" i="9"/>
  <c r="U65" i="9"/>
  <c r="T65" i="9"/>
  <c r="S65" i="9"/>
  <c r="R65" i="9"/>
  <c r="V64" i="9"/>
  <c r="U64" i="9"/>
  <c r="T64" i="9"/>
  <c r="S64" i="9"/>
  <c r="R64" i="9"/>
  <c r="V62" i="9"/>
  <c r="U62" i="9"/>
  <c r="T62" i="9"/>
  <c r="S62" i="9"/>
  <c r="R62" i="9"/>
  <c r="V61" i="9"/>
  <c r="U61" i="9"/>
  <c r="T61" i="9"/>
  <c r="S61" i="9"/>
  <c r="R61" i="9"/>
  <c r="V60" i="9"/>
  <c r="U60" i="9"/>
  <c r="T60" i="9"/>
  <c r="S60" i="9"/>
  <c r="R60" i="9"/>
  <c r="V58" i="9"/>
  <c r="U58" i="9"/>
  <c r="T58" i="9"/>
  <c r="S58" i="9"/>
  <c r="R58" i="9"/>
  <c r="V54" i="9"/>
  <c r="U54" i="9"/>
  <c r="T54" i="9"/>
  <c r="S54" i="9"/>
  <c r="R54" i="9"/>
  <c r="Q54" i="9"/>
  <c r="P54" i="9"/>
  <c r="O54" i="9"/>
  <c r="N54" i="9"/>
  <c r="M54" i="9"/>
  <c r="L54" i="9"/>
  <c r="K54" i="9"/>
  <c r="J54" i="9"/>
  <c r="I54" i="9"/>
  <c r="H54" i="9"/>
  <c r="G54" i="9"/>
  <c r="F54" i="9"/>
  <c r="E54" i="9"/>
  <c r="D54" i="9"/>
  <c r="C54" i="9"/>
  <c r="V53" i="9"/>
  <c r="U53" i="9"/>
  <c r="T53" i="9"/>
  <c r="S53" i="9"/>
  <c r="R53" i="9"/>
  <c r="Q53" i="9"/>
  <c r="P53" i="9"/>
  <c r="O53" i="9"/>
  <c r="N53" i="9"/>
  <c r="M53" i="9"/>
  <c r="L53" i="9"/>
  <c r="K53" i="9"/>
  <c r="J53" i="9"/>
  <c r="I53" i="9"/>
  <c r="H53" i="9"/>
  <c r="G53" i="9"/>
  <c r="F53" i="9"/>
  <c r="E53" i="9"/>
  <c r="D53" i="9"/>
  <c r="C53" i="9"/>
  <c r="V51" i="9"/>
  <c r="U51" i="9"/>
  <c r="T51" i="9"/>
  <c r="S51" i="9"/>
  <c r="R51" i="9"/>
  <c r="Q51" i="9"/>
  <c r="P51" i="9"/>
  <c r="O51" i="9"/>
  <c r="N51" i="9"/>
  <c r="M51" i="9"/>
  <c r="L51" i="9"/>
  <c r="K51" i="9"/>
  <c r="J51" i="9"/>
  <c r="I51" i="9"/>
  <c r="H51" i="9"/>
  <c r="G51" i="9"/>
  <c r="F51" i="9"/>
  <c r="E51" i="9"/>
  <c r="D51" i="9"/>
  <c r="C51" i="9"/>
  <c r="V50" i="9"/>
  <c r="U50" i="9"/>
  <c r="T50" i="9"/>
  <c r="S50" i="9"/>
  <c r="R50" i="9"/>
  <c r="Q50" i="9"/>
  <c r="P50" i="9"/>
  <c r="O50" i="9"/>
  <c r="N50" i="9"/>
  <c r="M50" i="9"/>
  <c r="L50" i="9"/>
  <c r="K50" i="9"/>
  <c r="J50" i="9"/>
  <c r="I50" i="9"/>
  <c r="H50" i="9"/>
  <c r="G50" i="9"/>
  <c r="F50" i="9"/>
  <c r="E50" i="9"/>
  <c r="D50" i="9"/>
  <c r="C50" i="9"/>
  <c r="V49" i="9"/>
  <c r="U49" i="9"/>
  <c r="T49" i="9"/>
  <c r="S49" i="9"/>
  <c r="R49" i="9"/>
  <c r="Q49" i="9"/>
  <c r="P49" i="9"/>
  <c r="O49" i="9"/>
  <c r="N49" i="9"/>
  <c r="M49" i="9"/>
  <c r="L49" i="9"/>
  <c r="K49" i="9"/>
  <c r="J49" i="9"/>
  <c r="I49" i="9"/>
  <c r="H49" i="9"/>
  <c r="G49" i="9"/>
  <c r="F49" i="9"/>
  <c r="E49" i="9"/>
  <c r="D49" i="9"/>
  <c r="C49" i="9"/>
  <c r="V47" i="9"/>
  <c r="U47" i="9"/>
  <c r="T47" i="9"/>
  <c r="S47" i="9"/>
  <c r="R47" i="9"/>
  <c r="Q47" i="9"/>
  <c r="P47" i="9"/>
  <c r="O47" i="9"/>
  <c r="N47" i="9"/>
  <c r="M47" i="9"/>
  <c r="L47" i="9"/>
  <c r="K47" i="9"/>
  <c r="J47" i="9"/>
  <c r="I47" i="9"/>
  <c r="H47" i="9"/>
  <c r="G47" i="9"/>
  <c r="F47" i="9"/>
  <c r="E47" i="9"/>
  <c r="D47" i="9"/>
  <c r="C47" i="9"/>
  <c r="V43" i="9"/>
  <c r="U43" i="9"/>
  <c r="T43" i="9"/>
  <c r="S43" i="9"/>
  <c r="R43" i="9"/>
  <c r="Q43" i="9"/>
  <c r="P43" i="9"/>
  <c r="O43" i="9"/>
  <c r="N43" i="9"/>
  <c r="M43" i="9"/>
  <c r="L43" i="9"/>
  <c r="K43" i="9"/>
  <c r="J43" i="9"/>
  <c r="I43" i="9"/>
  <c r="H43" i="9"/>
  <c r="G43" i="9"/>
  <c r="F43" i="9"/>
  <c r="E43" i="9"/>
  <c r="D43" i="9"/>
  <c r="C43" i="9"/>
  <c r="V42" i="9"/>
  <c r="U42" i="9"/>
  <c r="T42" i="9"/>
  <c r="S42" i="9"/>
  <c r="R42" i="9"/>
  <c r="Q42" i="9"/>
  <c r="P42" i="9"/>
  <c r="O42" i="9"/>
  <c r="N42" i="9"/>
  <c r="M42" i="9"/>
  <c r="L42" i="9"/>
  <c r="K42" i="9"/>
  <c r="J42" i="9"/>
  <c r="I42" i="9"/>
  <c r="H42" i="9"/>
  <c r="G42" i="9"/>
  <c r="F42" i="9"/>
  <c r="E42" i="9"/>
  <c r="D42" i="9"/>
  <c r="C42" i="9"/>
  <c r="V40" i="9"/>
  <c r="U40" i="9"/>
  <c r="T40" i="9"/>
  <c r="S40" i="9"/>
  <c r="R40" i="9"/>
  <c r="Q40" i="9"/>
  <c r="P40" i="9"/>
  <c r="O40" i="9"/>
  <c r="N40" i="9"/>
  <c r="M40" i="9"/>
  <c r="L40" i="9"/>
  <c r="K40" i="9"/>
  <c r="J40" i="9"/>
  <c r="I40" i="9"/>
  <c r="H40" i="9"/>
  <c r="G40" i="9"/>
  <c r="F40" i="9"/>
  <c r="E40" i="9"/>
  <c r="D40" i="9"/>
  <c r="C40" i="9"/>
  <c r="V39" i="9"/>
  <c r="U39" i="9"/>
  <c r="T39" i="9"/>
  <c r="S39" i="9"/>
  <c r="R39" i="9"/>
  <c r="Q39" i="9"/>
  <c r="P39" i="9"/>
  <c r="O39" i="9"/>
  <c r="N39" i="9"/>
  <c r="M39" i="9"/>
  <c r="L39" i="9"/>
  <c r="K39" i="9"/>
  <c r="J39" i="9"/>
  <c r="I39" i="9"/>
  <c r="H39" i="9"/>
  <c r="G39" i="9"/>
  <c r="F39" i="9"/>
  <c r="E39" i="9"/>
  <c r="D39" i="9"/>
  <c r="C39" i="9"/>
  <c r="V38" i="9"/>
  <c r="U38" i="9"/>
  <c r="T38" i="9"/>
  <c r="S38" i="9"/>
  <c r="R38" i="9"/>
  <c r="Q38" i="9"/>
  <c r="P38" i="9"/>
  <c r="O38" i="9"/>
  <c r="N38" i="9"/>
  <c r="M38" i="9"/>
  <c r="L38" i="9"/>
  <c r="K38" i="9"/>
  <c r="J38" i="9"/>
  <c r="I38" i="9"/>
  <c r="H38" i="9"/>
  <c r="G38" i="9"/>
  <c r="F38" i="9"/>
  <c r="E38" i="9"/>
  <c r="D38" i="9"/>
  <c r="C38" i="9"/>
  <c r="V36" i="9"/>
  <c r="U36" i="9"/>
  <c r="T36" i="9"/>
  <c r="S36" i="9"/>
  <c r="R36" i="9"/>
  <c r="Q36" i="9"/>
  <c r="P36" i="9"/>
  <c r="O36" i="9"/>
  <c r="N36" i="9"/>
  <c r="M36" i="9"/>
  <c r="L36" i="9"/>
  <c r="K36" i="9"/>
  <c r="J36" i="9"/>
  <c r="I36" i="9"/>
  <c r="H36" i="9"/>
  <c r="G36" i="9"/>
  <c r="F36" i="9"/>
  <c r="E36" i="9"/>
  <c r="D36" i="9"/>
  <c r="C36" i="9"/>
  <c r="V32" i="9"/>
  <c r="U32" i="9"/>
  <c r="T32" i="9"/>
  <c r="S32" i="9"/>
  <c r="R32" i="9"/>
  <c r="Q32" i="9"/>
  <c r="P32" i="9"/>
  <c r="O32" i="9"/>
  <c r="N32" i="9"/>
  <c r="M32" i="9"/>
  <c r="L32" i="9"/>
  <c r="K32" i="9"/>
  <c r="J32" i="9"/>
  <c r="I32" i="9"/>
  <c r="H32" i="9"/>
  <c r="G32" i="9"/>
  <c r="F32" i="9"/>
  <c r="E32" i="9"/>
  <c r="D32" i="9"/>
  <c r="C32" i="9"/>
  <c r="V31" i="9"/>
  <c r="U31" i="9"/>
  <c r="T31" i="9"/>
  <c r="S31" i="9"/>
  <c r="R31" i="9"/>
  <c r="Q31" i="9"/>
  <c r="P31" i="9"/>
  <c r="O31" i="9"/>
  <c r="N31" i="9"/>
  <c r="M31" i="9"/>
  <c r="L31" i="9"/>
  <c r="K31" i="9"/>
  <c r="J31" i="9"/>
  <c r="I31" i="9"/>
  <c r="H31" i="9"/>
  <c r="G31" i="9"/>
  <c r="F31" i="9"/>
  <c r="E31" i="9"/>
  <c r="D31" i="9"/>
  <c r="C31" i="9"/>
  <c r="V29" i="9"/>
  <c r="U29" i="9"/>
  <c r="T29" i="9"/>
  <c r="S29" i="9"/>
  <c r="R29" i="9"/>
  <c r="Q29" i="9"/>
  <c r="P29" i="9"/>
  <c r="O29" i="9"/>
  <c r="N29" i="9"/>
  <c r="M29" i="9"/>
  <c r="L29" i="9"/>
  <c r="K29" i="9"/>
  <c r="J29" i="9"/>
  <c r="I29" i="9"/>
  <c r="H29" i="9"/>
  <c r="G29" i="9"/>
  <c r="F29" i="9"/>
  <c r="E29" i="9"/>
  <c r="D29" i="9"/>
  <c r="C29" i="9"/>
  <c r="V28" i="9"/>
  <c r="U28" i="9"/>
  <c r="T28" i="9"/>
  <c r="S28" i="9"/>
  <c r="R28" i="9"/>
  <c r="Q28" i="9"/>
  <c r="P28" i="9"/>
  <c r="O28" i="9"/>
  <c r="N28" i="9"/>
  <c r="M28" i="9"/>
  <c r="L28" i="9"/>
  <c r="K28" i="9"/>
  <c r="J28" i="9"/>
  <c r="I28" i="9"/>
  <c r="H28" i="9"/>
  <c r="G28" i="9"/>
  <c r="F28" i="9"/>
  <c r="E28" i="9"/>
  <c r="D28" i="9"/>
  <c r="C28" i="9"/>
  <c r="V27" i="9"/>
  <c r="U27" i="9"/>
  <c r="T27" i="9"/>
  <c r="S27" i="9"/>
  <c r="R27" i="9"/>
  <c r="Q27" i="9"/>
  <c r="P27" i="9"/>
  <c r="O27" i="9"/>
  <c r="N27" i="9"/>
  <c r="M27" i="9"/>
  <c r="L27" i="9"/>
  <c r="K27" i="9"/>
  <c r="J27" i="9"/>
  <c r="I27" i="9"/>
  <c r="H27" i="9"/>
  <c r="G27" i="9"/>
  <c r="F27" i="9"/>
  <c r="E27" i="9"/>
  <c r="D27" i="9"/>
  <c r="C27" i="9"/>
  <c r="V25" i="9"/>
  <c r="U25" i="9"/>
  <c r="T25" i="9"/>
  <c r="S25" i="9"/>
  <c r="R25" i="9"/>
  <c r="Q25" i="9"/>
  <c r="P25" i="9"/>
  <c r="O25" i="9"/>
  <c r="N25" i="9"/>
  <c r="M25" i="9"/>
  <c r="L25" i="9"/>
  <c r="K25" i="9"/>
  <c r="J25" i="9"/>
  <c r="I25" i="9"/>
  <c r="H25" i="9"/>
  <c r="G25" i="9"/>
  <c r="F25" i="9"/>
  <c r="E25" i="9"/>
  <c r="D25" i="9"/>
  <c r="C25" i="9"/>
  <c r="V58" i="8"/>
  <c r="V80" i="8" s="1"/>
  <c r="U58" i="8"/>
  <c r="U80" i="8" s="1"/>
  <c r="T58" i="8"/>
  <c r="T80" i="8" s="1"/>
  <c r="S58" i="8"/>
  <c r="S80" i="8" s="1"/>
  <c r="R58" i="8"/>
  <c r="R80" i="8" s="1"/>
  <c r="Q58" i="8"/>
  <c r="Q80" i="8" s="1"/>
  <c r="P58" i="8"/>
  <c r="P80" i="8" s="1"/>
  <c r="O58" i="8"/>
  <c r="O80" i="8" s="1"/>
  <c r="N58" i="8"/>
  <c r="M58" i="8"/>
  <c r="M80" i="8" s="1"/>
  <c r="L58" i="8"/>
  <c r="L80" i="8" s="1"/>
  <c r="K58" i="8"/>
  <c r="K80" i="8" s="1"/>
  <c r="V57" i="8"/>
  <c r="V79" i="8" s="1"/>
  <c r="U57" i="8"/>
  <c r="U79" i="8" s="1"/>
  <c r="T57" i="8"/>
  <c r="T79" i="8" s="1"/>
  <c r="S57" i="8"/>
  <c r="S79" i="8" s="1"/>
  <c r="R57" i="8"/>
  <c r="Q57" i="8"/>
  <c r="Q79" i="8" s="1"/>
  <c r="P57" i="8"/>
  <c r="P79" i="8" s="1"/>
  <c r="O57" i="8"/>
  <c r="O79" i="8" s="1"/>
  <c r="N57" i="8"/>
  <c r="N79" i="8" s="1"/>
  <c r="M57" i="8"/>
  <c r="M79" i="8" s="1"/>
  <c r="L57" i="8"/>
  <c r="L79" i="8" s="1"/>
  <c r="K57" i="8"/>
  <c r="V55" i="8"/>
  <c r="U55" i="8"/>
  <c r="U77" i="8" s="1"/>
  <c r="T55" i="8"/>
  <c r="T77" i="8" s="1"/>
  <c r="S55" i="8"/>
  <c r="R55" i="8"/>
  <c r="R77" i="8" s="1"/>
  <c r="Q55" i="8"/>
  <c r="Q77" i="8" s="1"/>
  <c r="P55" i="8"/>
  <c r="P77" i="8" s="1"/>
  <c r="O55" i="8"/>
  <c r="O77" i="8" s="1"/>
  <c r="N55" i="8"/>
  <c r="N77" i="8" s="1"/>
  <c r="M55" i="8"/>
  <c r="M77" i="8" s="1"/>
  <c r="L55" i="8"/>
  <c r="L77" i="8" s="1"/>
  <c r="K55" i="8"/>
  <c r="K77" i="8" s="1"/>
  <c r="V54" i="8"/>
  <c r="V76" i="8" s="1"/>
  <c r="U54" i="8"/>
  <c r="U76" i="8" s="1"/>
  <c r="T54" i="8"/>
  <c r="T76" i="8" s="1"/>
  <c r="S54" i="8"/>
  <c r="R54" i="8"/>
  <c r="R76" i="8" s="1"/>
  <c r="Q54" i="8"/>
  <c r="Q76" i="8" s="1"/>
  <c r="P54" i="8"/>
  <c r="P76" i="8" s="1"/>
  <c r="O54" i="8"/>
  <c r="O76" i="8" s="1"/>
  <c r="N54" i="8"/>
  <c r="N76" i="8" s="1"/>
  <c r="M54" i="8"/>
  <c r="M76" i="8" s="1"/>
  <c r="L54" i="8"/>
  <c r="L76" i="8" s="1"/>
  <c r="K54" i="8"/>
  <c r="K76" i="8" s="1"/>
  <c r="V53" i="8"/>
  <c r="V75" i="8" s="1"/>
  <c r="U53" i="8"/>
  <c r="U75" i="8" s="1"/>
  <c r="T53" i="8"/>
  <c r="T75" i="8" s="1"/>
  <c r="S53" i="8"/>
  <c r="S75" i="8" s="1"/>
  <c r="R53" i="8"/>
  <c r="R75" i="8" s="1"/>
  <c r="Q53" i="8"/>
  <c r="Q75" i="8" s="1"/>
  <c r="P53" i="8"/>
  <c r="P75" i="8" s="1"/>
  <c r="O53" i="8"/>
  <c r="O75" i="8" s="1"/>
  <c r="N53" i="8"/>
  <c r="N75" i="8" s="1"/>
  <c r="M53" i="8"/>
  <c r="M75" i="8" s="1"/>
  <c r="L53" i="8"/>
  <c r="L75" i="8" s="1"/>
  <c r="K53" i="8"/>
  <c r="K75" i="8" s="1"/>
  <c r="V51" i="8"/>
  <c r="V73" i="8" s="1"/>
  <c r="U51" i="8"/>
  <c r="U73" i="8" s="1"/>
  <c r="T51" i="8"/>
  <c r="T73" i="8" s="1"/>
  <c r="S51" i="8"/>
  <c r="S73" i="8" s="1"/>
  <c r="R51" i="8"/>
  <c r="Q51" i="8"/>
  <c r="Q73" i="8" s="1"/>
  <c r="P51" i="8"/>
  <c r="P73" i="8" s="1"/>
  <c r="O51" i="8"/>
  <c r="N51" i="8"/>
  <c r="N73" i="8" s="1"/>
  <c r="M51" i="8"/>
  <c r="M73" i="8" s="1"/>
  <c r="L51" i="8"/>
  <c r="L73" i="8" s="1"/>
  <c r="K51" i="8"/>
  <c r="K73" i="8" s="1"/>
  <c r="V124" i="8"/>
  <c r="U124" i="8"/>
  <c r="T124" i="8"/>
  <c r="S124" i="8"/>
  <c r="R124" i="8"/>
  <c r="V123" i="8"/>
  <c r="U123" i="8"/>
  <c r="T123" i="8"/>
  <c r="S123" i="8"/>
  <c r="R123" i="8"/>
  <c r="V121" i="8"/>
  <c r="U121" i="8"/>
  <c r="T121" i="8"/>
  <c r="S121" i="8"/>
  <c r="R121" i="8"/>
  <c r="V120" i="8"/>
  <c r="U120" i="8"/>
  <c r="T120" i="8"/>
  <c r="S120" i="8"/>
  <c r="R120" i="8"/>
  <c r="V119" i="8"/>
  <c r="U119" i="8"/>
  <c r="T119" i="8"/>
  <c r="S119" i="8"/>
  <c r="R119" i="8"/>
  <c r="V117" i="8"/>
  <c r="U117" i="8"/>
  <c r="T117" i="8"/>
  <c r="S117" i="8"/>
  <c r="R117" i="8"/>
  <c r="V113" i="8"/>
  <c r="U113" i="8"/>
  <c r="T113" i="8"/>
  <c r="S113" i="8"/>
  <c r="R113" i="8"/>
  <c r="V112" i="8"/>
  <c r="U112" i="8"/>
  <c r="T112" i="8"/>
  <c r="S112" i="8"/>
  <c r="R112" i="8"/>
  <c r="V110" i="8"/>
  <c r="U110" i="8"/>
  <c r="T110" i="8"/>
  <c r="S110" i="8"/>
  <c r="R110" i="8"/>
  <c r="V109" i="8"/>
  <c r="U109" i="8"/>
  <c r="T109" i="8"/>
  <c r="S109" i="8"/>
  <c r="R109" i="8"/>
  <c r="V108" i="8"/>
  <c r="U108" i="8"/>
  <c r="T108" i="8"/>
  <c r="S108" i="8"/>
  <c r="R108" i="8"/>
  <c r="V106" i="8"/>
  <c r="U106" i="8"/>
  <c r="T106" i="8"/>
  <c r="S106" i="8"/>
  <c r="R106" i="8"/>
  <c r="V102" i="8"/>
  <c r="U102" i="8"/>
  <c r="T102" i="8"/>
  <c r="S102" i="8"/>
  <c r="R102" i="8"/>
  <c r="Q102" i="8"/>
  <c r="P102" i="8"/>
  <c r="O102" i="8"/>
  <c r="N102" i="8"/>
  <c r="M102" i="8"/>
  <c r="L102" i="8"/>
  <c r="K102" i="8"/>
  <c r="V101" i="8"/>
  <c r="U101" i="8"/>
  <c r="T101" i="8"/>
  <c r="S101" i="8"/>
  <c r="R101" i="8"/>
  <c r="Q101" i="8"/>
  <c r="P101" i="8"/>
  <c r="O101" i="8"/>
  <c r="N101" i="8"/>
  <c r="M101" i="8"/>
  <c r="L101" i="8"/>
  <c r="K101" i="8"/>
  <c r="V99" i="8"/>
  <c r="U99" i="8"/>
  <c r="T99" i="8"/>
  <c r="S99" i="8"/>
  <c r="R99" i="8"/>
  <c r="Q99" i="8"/>
  <c r="P99" i="8"/>
  <c r="O99" i="8"/>
  <c r="N99" i="8"/>
  <c r="M99" i="8"/>
  <c r="L99" i="8"/>
  <c r="K99" i="8"/>
  <c r="V98" i="8"/>
  <c r="U98" i="8"/>
  <c r="T98" i="8"/>
  <c r="S98" i="8"/>
  <c r="R98" i="8"/>
  <c r="Q98" i="8"/>
  <c r="P98" i="8"/>
  <c r="O98" i="8"/>
  <c r="N98" i="8"/>
  <c r="M98" i="8"/>
  <c r="L98" i="8"/>
  <c r="K98" i="8"/>
  <c r="V97" i="8"/>
  <c r="U97" i="8"/>
  <c r="T97" i="8"/>
  <c r="S97" i="8"/>
  <c r="R97" i="8"/>
  <c r="Q97" i="8"/>
  <c r="P97" i="8"/>
  <c r="O97" i="8"/>
  <c r="N97" i="8"/>
  <c r="M97" i="8"/>
  <c r="L97" i="8"/>
  <c r="K97" i="8"/>
  <c r="V95" i="8"/>
  <c r="U95" i="8"/>
  <c r="T95" i="8"/>
  <c r="S95" i="8"/>
  <c r="R95" i="8"/>
  <c r="Q95" i="8"/>
  <c r="P95" i="8"/>
  <c r="O95" i="8"/>
  <c r="N95" i="8"/>
  <c r="M95" i="8"/>
  <c r="L95" i="8"/>
  <c r="K95" i="8"/>
  <c r="V91" i="8"/>
  <c r="U91" i="8"/>
  <c r="T91" i="8"/>
  <c r="S91" i="8"/>
  <c r="R91" i="8"/>
  <c r="Q91" i="8"/>
  <c r="P91" i="8"/>
  <c r="O91" i="8"/>
  <c r="N91" i="8"/>
  <c r="M91" i="8"/>
  <c r="L91" i="8"/>
  <c r="K91" i="8"/>
  <c r="V90" i="8"/>
  <c r="U90" i="8"/>
  <c r="T90" i="8"/>
  <c r="S90" i="8"/>
  <c r="R90" i="8"/>
  <c r="Q90" i="8"/>
  <c r="P90" i="8"/>
  <c r="O90" i="8"/>
  <c r="N90" i="8"/>
  <c r="M90" i="8"/>
  <c r="L90" i="8"/>
  <c r="K90" i="8"/>
  <c r="V88" i="8"/>
  <c r="U88" i="8"/>
  <c r="T88" i="8"/>
  <c r="S88" i="8"/>
  <c r="R88" i="8"/>
  <c r="Q88" i="8"/>
  <c r="P88" i="8"/>
  <c r="O88" i="8"/>
  <c r="N88" i="8"/>
  <c r="M88" i="8"/>
  <c r="L88" i="8"/>
  <c r="K88" i="8"/>
  <c r="V87" i="8"/>
  <c r="U87" i="8"/>
  <c r="T87" i="8"/>
  <c r="S87" i="8"/>
  <c r="R87" i="8"/>
  <c r="Q87" i="8"/>
  <c r="P87" i="8"/>
  <c r="O87" i="8"/>
  <c r="N87" i="8"/>
  <c r="M87" i="8"/>
  <c r="L87" i="8"/>
  <c r="K87" i="8"/>
  <c r="V86" i="8"/>
  <c r="U86" i="8"/>
  <c r="T86" i="8"/>
  <c r="S86" i="8"/>
  <c r="R86" i="8"/>
  <c r="Q86" i="8"/>
  <c r="P86" i="8"/>
  <c r="O86" i="8"/>
  <c r="N86" i="8"/>
  <c r="M86" i="8"/>
  <c r="L86" i="8"/>
  <c r="K86" i="8"/>
  <c r="V84" i="8"/>
  <c r="U84" i="8"/>
  <c r="T84" i="8"/>
  <c r="S84" i="8"/>
  <c r="R84" i="8"/>
  <c r="Q84" i="8"/>
  <c r="P84" i="8"/>
  <c r="O84" i="8"/>
  <c r="N84" i="8"/>
  <c r="M84" i="8"/>
  <c r="L84" i="8"/>
  <c r="K84" i="8"/>
  <c r="N80" i="8"/>
  <c r="R79" i="8"/>
  <c r="K79" i="8"/>
  <c r="V77" i="8"/>
  <c r="S77" i="8"/>
  <c r="S76" i="8"/>
  <c r="R73" i="8"/>
  <c r="O73" i="8"/>
  <c r="B57" i="10"/>
  <c r="B56" i="10"/>
  <c r="B54" i="10"/>
  <c r="B53" i="10"/>
  <c r="B52" i="10"/>
  <c r="B50" i="10"/>
  <c r="B46" i="10"/>
  <c r="B45" i="10"/>
  <c r="B43" i="10"/>
  <c r="B42" i="10"/>
  <c r="B41" i="10"/>
  <c r="B39" i="10"/>
  <c r="V22" i="10"/>
  <c r="U22" i="10"/>
  <c r="T22" i="10"/>
  <c r="S22" i="10"/>
  <c r="R22" i="10"/>
  <c r="Q22" i="10"/>
  <c r="B4" i="10"/>
  <c r="B54" i="9"/>
  <c r="B53" i="9"/>
  <c r="B51" i="9"/>
  <c r="B50" i="9"/>
  <c r="B49" i="9"/>
  <c r="B47" i="9"/>
  <c r="B43" i="9"/>
  <c r="B42" i="9"/>
  <c r="B40" i="9"/>
  <c r="B39" i="9"/>
  <c r="B38" i="9"/>
  <c r="B36" i="9"/>
  <c r="B32" i="9"/>
  <c r="B31" i="9"/>
  <c r="B29" i="9"/>
  <c r="B28" i="9"/>
  <c r="B27" i="9"/>
  <c r="B25" i="9"/>
  <c r="P22" i="10"/>
  <c r="H22" i="10"/>
  <c r="G22" i="10" l="1"/>
  <c r="O22" i="10"/>
  <c r="B22" i="10"/>
  <c r="J22" i="10"/>
  <c r="I22" i="10"/>
  <c r="C22" i="10"/>
  <c r="K22" i="10"/>
  <c r="D22" i="10"/>
  <c r="L22" i="10"/>
  <c r="E22" i="10"/>
  <c r="M22" i="10"/>
  <c r="F22" i="10"/>
  <c r="N22" i="10"/>
  <c r="L50" i="8"/>
  <c r="L72" i="8" s="1"/>
  <c r="L109" i="8"/>
  <c r="L105" i="8"/>
  <c r="L110" i="8"/>
  <c r="L108" i="8"/>
  <c r="L106" i="8"/>
  <c r="L85" i="8"/>
  <c r="L118" i="8"/>
  <c r="L123" i="8"/>
  <c r="L89" i="8"/>
  <c r="L124" i="8"/>
  <c r="L122" i="8"/>
  <c r="L121" i="8"/>
  <c r="L119" i="8"/>
  <c r="L117" i="8"/>
  <c r="L120" i="8"/>
  <c r="L116" i="8"/>
  <c r="L56" i="8"/>
  <c r="L78" i="8" s="1"/>
  <c r="L113" i="8"/>
  <c r="L111" i="8"/>
  <c r="L112" i="8"/>
  <c r="L100" i="8"/>
  <c r="L52" i="8"/>
  <c r="L74" i="8" s="1"/>
  <c r="L107" i="8"/>
  <c r="L96" i="8"/>
  <c r="J102" i="8"/>
  <c r="I102" i="8"/>
  <c r="H102" i="8"/>
  <c r="G102" i="8"/>
  <c r="F102" i="8"/>
  <c r="E102" i="8"/>
  <c r="D102" i="8"/>
  <c r="C102" i="8"/>
  <c r="B102" i="8"/>
  <c r="J101" i="8"/>
  <c r="I101" i="8"/>
  <c r="H101" i="8"/>
  <c r="G101" i="8"/>
  <c r="F101" i="8"/>
  <c r="E101" i="8"/>
  <c r="D101" i="8"/>
  <c r="C101" i="8"/>
  <c r="B101" i="8"/>
  <c r="J99" i="8"/>
  <c r="I99" i="8"/>
  <c r="H99" i="8"/>
  <c r="G99" i="8"/>
  <c r="F99" i="8"/>
  <c r="E99" i="8"/>
  <c r="D99" i="8"/>
  <c r="C99" i="8"/>
  <c r="B99" i="8"/>
  <c r="J98" i="8"/>
  <c r="I98" i="8"/>
  <c r="H98" i="8"/>
  <c r="G98" i="8"/>
  <c r="F98" i="8"/>
  <c r="E98" i="8"/>
  <c r="D98" i="8"/>
  <c r="C98" i="8"/>
  <c r="B98" i="8"/>
  <c r="J97" i="8"/>
  <c r="I97" i="8"/>
  <c r="H97" i="8"/>
  <c r="G97" i="8"/>
  <c r="F97" i="8"/>
  <c r="E97" i="8"/>
  <c r="D97" i="8"/>
  <c r="C97" i="8"/>
  <c r="B97" i="8"/>
  <c r="J95" i="8"/>
  <c r="I95" i="8"/>
  <c r="H95" i="8"/>
  <c r="G95" i="8"/>
  <c r="F95" i="8"/>
  <c r="E95" i="8"/>
  <c r="D95" i="8"/>
  <c r="C95" i="8"/>
  <c r="B95" i="8"/>
  <c r="J91" i="8"/>
  <c r="I91" i="8"/>
  <c r="H91" i="8"/>
  <c r="G91" i="8"/>
  <c r="F91" i="8"/>
  <c r="E91" i="8"/>
  <c r="D91" i="8"/>
  <c r="C91" i="8"/>
  <c r="B91" i="8"/>
  <c r="J90" i="8"/>
  <c r="I90" i="8"/>
  <c r="H90" i="8"/>
  <c r="G90" i="8"/>
  <c r="F90" i="8"/>
  <c r="E90" i="8"/>
  <c r="D90" i="8"/>
  <c r="C90" i="8"/>
  <c r="B90" i="8"/>
  <c r="J88" i="8"/>
  <c r="I88" i="8"/>
  <c r="H88" i="8"/>
  <c r="G88" i="8"/>
  <c r="F88" i="8"/>
  <c r="E88" i="8"/>
  <c r="D88" i="8"/>
  <c r="C88" i="8"/>
  <c r="B88" i="8"/>
  <c r="J87" i="8"/>
  <c r="I87" i="8"/>
  <c r="H87" i="8"/>
  <c r="G87" i="8"/>
  <c r="F87" i="8"/>
  <c r="E87" i="8"/>
  <c r="D87" i="8"/>
  <c r="C87" i="8"/>
  <c r="B87" i="8"/>
  <c r="J86" i="8"/>
  <c r="I86" i="8"/>
  <c r="H86" i="8"/>
  <c r="G86" i="8"/>
  <c r="F86" i="8"/>
  <c r="E86" i="8"/>
  <c r="D86" i="8"/>
  <c r="C86" i="8"/>
  <c r="B86" i="8"/>
  <c r="J84" i="8"/>
  <c r="I84" i="8"/>
  <c r="H84" i="8"/>
  <c r="G84" i="8"/>
  <c r="F84" i="8"/>
  <c r="E84" i="8"/>
  <c r="D84" i="8"/>
  <c r="C84" i="8"/>
  <c r="B84" i="8"/>
  <c r="L83" i="8" l="1"/>
  <c r="L94" i="8"/>
  <c r="L82" i="8" l="1"/>
  <c r="S51" i="3" l="1"/>
  <c r="V81" i="3"/>
  <c r="U81" i="3"/>
  <c r="T81" i="3"/>
  <c r="S81" i="3"/>
  <c r="V72" i="3"/>
  <c r="V164" i="3" s="1"/>
  <c r="U72" i="3"/>
  <c r="U164" i="3" s="1"/>
  <c r="T72" i="3"/>
  <c r="T164" i="3" s="1"/>
  <c r="S72" i="3"/>
  <c r="S164" i="3" s="1"/>
  <c r="R72" i="3"/>
  <c r="R164" i="3" s="1"/>
  <c r="T71" i="3"/>
  <c r="S71" i="3"/>
  <c r="R71" i="3"/>
  <c r="V70" i="3"/>
  <c r="V162" i="3" s="1"/>
  <c r="U70" i="3"/>
  <c r="U162" i="3" s="1"/>
  <c r="T70" i="3"/>
  <c r="T162" i="3" s="1"/>
  <c r="S70" i="3"/>
  <c r="S162" i="3" s="1"/>
  <c r="R70" i="3"/>
  <c r="R162" i="3" s="1"/>
  <c r="U51" i="3"/>
  <c r="T51" i="3"/>
  <c r="R51" i="3"/>
  <c r="V42" i="3"/>
  <c r="U42" i="3"/>
  <c r="T42" i="3"/>
  <c r="S42" i="3"/>
  <c r="R42" i="3"/>
  <c r="V41" i="3"/>
  <c r="T41" i="3"/>
  <c r="R41" i="3"/>
  <c r="V40" i="3"/>
  <c r="U40" i="3"/>
  <c r="T40" i="3"/>
  <c r="S40" i="3"/>
  <c r="R40" i="3"/>
  <c r="V21" i="3"/>
  <c r="T21" i="3"/>
  <c r="S21" i="3"/>
  <c r="S233" i="3" s="1"/>
  <c r="V12" i="3"/>
  <c r="U12" i="3"/>
  <c r="T12" i="3"/>
  <c r="T224" i="3" s="1"/>
  <c r="S12" i="3"/>
  <c r="S224" i="3" s="1"/>
  <c r="R12" i="3"/>
  <c r="V11" i="3"/>
  <c r="U11" i="3"/>
  <c r="T11" i="3"/>
  <c r="S11" i="3"/>
  <c r="V10" i="3"/>
  <c r="U10" i="3"/>
  <c r="T10" i="3"/>
  <c r="S10" i="3"/>
  <c r="R10" i="3"/>
  <c r="Q72" i="3"/>
  <c r="Q164" i="3" s="1"/>
  <c r="P72" i="3"/>
  <c r="P164" i="3" s="1"/>
  <c r="O72" i="3"/>
  <c r="O164" i="3" s="1"/>
  <c r="N72" i="3"/>
  <c r="N164" i="3" s="1"/>
  <c r="M72" i="3"/>
  <c r="M164" i="3" s="1"/>
  <c r="L72" i="3"/>
  <c r="L164" i="3" s="1"/>
  <c r="K72" i="3"/>
  <c r="K164" i="3" s="1"/>
  <c r="J72" i="3"/>
  <c r="J164" i="3" s="1"/>
  <c r="I72" i="3"/>
  <c r="I164" i="3" s="1"/>
  <c r="H72" i="3"/>
  <c r="H164" i="3" s="1"/>
  <c r="G72" i="3"/>
  <c r="G164" i="3" s="1"/>
  <c r="F72" i="3"/>
  <c r="F164" i="3" s="1"/>
  <c r="E72" i="3"/>
  <c r="E164" i="3" s="1"/>
  <c r="D72" i="3"/>
  <c r="D164" i="3" s="1"/>
  <c r="C72" i="3"/>
  <c r="C164" i="3" s="1"/>
  <c r="B72" i="3"/>
  <c r="B164" i="3" s="1"/>
  <c r="Q70" i="3"/>
  <c r="Q162" i="3" s="1"/>
  <c r="P70" i="3"/>
  <c r="P162" i="3" s="1"/>
  <c r="O70" i="3"/>
  <c r="O162" i="3" s="1"/>
  <c r="N70" i="3"/>
  <c r="N162" i="3" s="1"/>
  <c r="M70" i="3"/>
  <c r="M162" i="3" s="1"/>
  <c r="L70" i="3"/>
  <c r="L162" i="3" s="1"/>
  <c r="K70" i="3"/>
  <c r="K162" i="3" s="1"/>
  <c r="J70" i="3"/>
  <c r="J162" i="3" s="1"/>
  <c r="I70" i="3"/>
  <c r="I162" i="3" s="1"/>
  <c r="H70" i="3"/>
  <c r="H162" i="3" s="1"/>
  <c r="G70" i="3"/>
  <c r="G162" i="3" s="1"/>
  <c r="F70" i="3"/>
  <c r="F162" i="3" s="1"/>
  <c r="E70" i="3"/>
  <c r="E162" i="3" s="1"/>
  <c r="D70" i="3"/>
  <c r="D162" i="3" s="1"/>
  <c r="C70" i="3"/>
  <c r="C162" i="3" s="1"/>
  <c r="B70" i="3"/>
  <c r="B162" i="3" s="1"/>
  <c r="Q42" i="3"/>
  <c r="P42" i="3"/>
  <c r="O42" i="3"/>
  <c r="N42" i="3"/>
  <c r="M42" i="3"/>
  <c r="L42" i="3"/>
  <c r="K42" i="3"/>
  <c r="J42" i="3"/>
  <c r="I42" i="3"/>
  <c r="H42" i="3"/>
  <c r="G42" i="3"/>
  <c r="F42" i="3"/>
  <c r="E42" i="3"/>
  <c r="D42" i="3"/>
  <c r="C42" i="3"/>
  <c r="B42" i="3"/>
  <c r="Q40" i="3"/>
  <c r="P40" i="3"/>
  <c r="O40" i="3"/>
  <c r="N40" i="3"/>
  <c r="M40" i="3"/>
  <c r="L40" i="3"/>
  <c r="K40" i="3"/>
  <c r="J40" i="3"/>
  <c r="I40" i="3"/>
  <c r="H40" i="3"/>
  <c r="G40" i="3"/>
  <c r="F40" i="3"/>
  <c r="E40" i="3"/>
  <c r="D40" i="3"/>
  <c r="C40" i="3"/>
  <c r="B40" i="3"/>
  <c r="A28" i="3"/>
  <c r="A27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D12" i="3"/>
  <c r="C12" i="3"/>
  <c r="B12" i="3"/>
  <c r="A12" i="3"/>
  <c r="A11" i="3"/>
  <c r="Q10" i="3"/>
  <c r="P10" i="3"/>
  <c r="O10" i="3"/>
  <c r="N10" i="3"/>
  <c r="M10" i="3"/>
  <c r="L10" i="3"/>
  <c r="K10" i="3"/>
  <c r="J10" i="3"/>
  <c r="I10" i="3"/>
  <c r="H10" i="3"/>
  <c r="G10" i="3"/>
  <c r="F10" i="3"/>
  <c r="E10" i="3"/>
  <c r="D10" i="3"/>
  <c r="C10" i="3"/>
  <c r="B10" i="3"/>
  <c r="A10" i="3"/>
  <c r="A20" i="3"/>
  <c r="A19" i="3"/>
  <c r="A8" i="3"/>
  <c r="A7" i="3"/>
  <c r="A6" i="3"/>
  <c r="G58" i="8"/>
  <c r="G80" i="8" s="1"/>
  <c r="J57" i="8"/>
  <c r="G57" i="8"/>
  <c r="J55" i="8"/>
  <c r="J77" i="8" s="1"/>
  <c r="G55" i="8"/>
  <c r="G77" i="8" s="1"/>
  <c r="G54" i="8"/>
  <c r="G76" i="8" s="1"/>
  <c r="J53" i="8"/>
  <c r="G53" i="8"/>
  <c r="J51" i="8"/>
  <c r="G51" i="8"/>
  <c r="G73" i="8" s="1"/>
  <c r="J58" i="8"/>
  <c r="J80" i="8" s="1"/>
  <c r="H58" i="8"/>
  <c r="H57" i="8"/>
  <c r="B55" i="8"/>
  <c r="J54" i="8"/>
  <c r="J76" i="8" s="1"/>
  <c r="H54" i="8"/>
  <c r="H53" i="8"/>
  <c r="L51" i="3"/>
  <c r="D51" i="3"/>
  <c r="B51" i="3"/>
  <c r="L41" i="3"/>
  <c r="D41" i="3"/>
  <c r="B68" i="10"/>
  <c r="B81" i="3"/>
  <c r="B65" i="10"/>
  <c r="B64" i="10"/>
  <c r="G71" i="3"/>
  <c r="B71" i="3"/>
  <c r="B61" i="10"/>
  <c r="A234" i="3"/>
  <c r="A233" i="3"/>
  <c r="A230" i="3"/>
  <c r="A225" i="3"/>
  <c r="A221" i="3"/>
  <c r="A217" i="3"/>
  <c r="A204" i="3"/>
  <c r="A203" i="3"/>
  <c r="A200" i="3"/>
  <c r="A195" i="3"/>
  <c r="A191" i="3"/>
  <c r="A187" i="3"/>
  <c r="A174" i="3"/>
  <c r="A173" i="3"/>
  <c r="A170" i="3"/>
  <c r="A165" i="3"/>
  <c r="A161" i="3"/>
  <c r="A157" i="3"/>
  <c r="A144" i="3"/>
  <c r="A143" i="3"/>
  <c r="A140" i="3"/>
  <c r="A135" i="3"/>
  <c r="A131" i="3"/>
  <c r="A127" i="3"/>
  <c r="A114" i="3"/>
  <c r="A113" i="3"/>
  <c r="A110" i="3"/>
  <c r="A105" i="3"/>
  <c r="A101" i="3"/>
  <c r="A97" i="3"/>
  <c r="A82" i="3"/>
  <c r="A81" i="3"/>
  <c r="A78" i="3"/>
  <c r="A75" i="3"/>
  <c r="A73" i="3"/>
  <c r="A69" i="3"/>
  <c r="A65" i="3"/>
  <c r="A52" i="3"/>
  <c r="A51" i="3"/>
  <c r="A48" i="3"/>
  <c r="A44" i="3"/>
  <c r="A43" i="3"/>
  <c r="A39" i="3"/>
  <c r="A35" i="3"/>
  <c r="A137" i="3"/>
  <c r="A74" i="3"/>
  <c r="B8" i="1"/>
  <c r="B21" i="1"/>
  <c r="B12" i="1"/>
  <c r="B6" i="1"/>
  <c r="B16" i="1"/>
  <c r="B17" i="1"/>
  <c r="B11" i="1"/>
  <c r="B9" i="1"/>
  <c r="B15" i="1"/>
  <c r="B18" i="1"/>
  <c r="B22" i="1"/>
  <c r="B4" i="1"/>
  <c r="B7" i="1"/>
  <c r="B20" i="1"/>
  <c r="B13" i="1"/>
  <c r="A71" i="3" l="1"/>
  <c r="A42" i="3"/>
  <c r="A66" i="3"/>
  <c r="A67" i="3"/>
  <c r="A100" i="3"/>
  <c r="A49" i="3"/>
  <c r="A192" i="3"/>
  <c r="A134" i="3"/>
  <c r="G222" i="3"/>
  <c r="O222" i="3"/>
  <c r="T222" i="3"/>
  <c r="E224" i="3"/>
  <c r="M224" i="3"/>
  <c r="V233" i="3"/>
  <c r="V222" i="3"/>
  <c r="V224" i="3"/>
  <c r="B224" i="3"/>
  <c r="J224" i="3"/>
  <c r="A149" i="3"/>
  <c r="A120" i="3"/>
  <c r="T193" i="3"/>
  <c r="T203" i="3"/>
  <c r="R222" i="3"/>
  <c r="N222" i="3"/>
  <c r="S222" i="3"/>
  <c r="R224" i="3"/>
  <c r="F222" i="3"/>
  <c r="V192" i="3"/>
  <c r="V194" i="3"/>
  <c r="S223" i="3"/>
  <c r="V193" i="3"/>
  <c r="S203" i="3"/>
  <c r="T223" i="3"/>
  <c r="R192" i="3"/>
  <c r="R194" i="3"/>
  <c r="S192" i="3"/>
  <c r="S194" i="3"/>
  <c r="T192" i="3"/>
  <c r="T194" i="3"/>
  <c r="T233" i="3"/>
  <c r="U192" i="3"/>
  <c r="U194" i="3"/>
  <c r="U222" i="3"/>
  <c r="U224" i="3"/>
  <c r="D222" i="3"/>
  <c r="L222" i="3"/>
  <c r="D224" i="3"/>
  <c r="L224" i="3"/>
  <c r="Q49" i="10"/>
  <c r="Q38" i="10"/>
  <c r="Q60" i="10"/>
  <c r="S57" i="9"/>
  <c r="S46" i="9"/>
  <c r="S35" i="9"/>
  <c r="S24" i="9"/>
  <c r="G67" i="10"/>
  <c r="G63" i="10"/>
  <c r="G59" i="10"/>
  <c r="F57" i="9"/>
  <c r="N57" i="9"/>
  <c r="L64" i="9"/>
  <c r="L62" i="9"/>
  <c r="L60" i="9"/>
  <c r="L58" i="9"/>
  <c r="L56" i="9"/>
  <c r="L65" i="9"/>
  <c r="L61" i="9"/>
  <c r="L23" i="9"/>
  <c r="L45" i="9"/>
  <c r="M67" i="10"/>
  <c r="M63" i="10"/>
  <c r="M59" i="10"/>
  <c r="K65" i="9"/>
  <c r="K61" i="9"/>
  <c r="K64" i="9"/>
  <c r="K62" i="9"/>
  <c r="K60" i="9"/>
  <c r="K58" i="9"/>
  <c r="K56" i="9"/>
  <c r="N51" i="3"/>
  <c r="R24" i="9"/>
  <c r="R57" i="9"/>
  <c r="R46" i="9"/>
  <c r="R35" i="9"/>
  <c r="C67" i="10"/>
  <c r="C59" i="10"/>
  <c r="C63" i="10"/>
  <c r="N67" i="10"/>
  <c r="N63" i="10"/>
  <c r="N59" i="10"/>
  <c r="H71" i="3"/>
  <c r="H62" i="10"/>
  <c r="P71" i="3"/>
  <c r="F81" i="3"/>
  <c r="F66" i="10"/>
  <c r="N81" i="3"/>
  <c r="N66" i="10"/>
  <c r="O24" i="9"/>
  <c r="F41" i="3"/>
  <c r="U62" i="10"/>
  <c r="U51" i="10"/>
  <c r="U40" i="10"/>
  <c r="T30" i="9"/>
  <c r="T41" i="9"/>
  <c r="T52" i="9"/>
  <c r="T63" i="9"/>
  <c r="E81" i="3"/>
  <c r="E66" i="10"/>
  <c r="F63" i="9"/>
  <c r="T62" i="10"/>
  <c r="T51" i="10"/>
  <c r="T40" i="10"/>
  <c r="S63" i="9"/>
  <c r="S52" i="9"/>
  <c r="S30" i="9"/>
  <c r="S41" i="9"/>
  <c r="I60" i="10"/>
  <c r="I62" i="10"/>
  <c r="Q40" i="10"/>
  <c r="Q62" i="10"/>
  <c r="Q51" i="10"/>
  <c r="G66" i="10"/>
  <c r="C57" i="9"/>
  <c r="H41" i="3"/>
  <c r="H39" i="3" s="1"/>
  <c r="H59" i="9"/>
  <c r="P41" i="3"/>
  <c r="H63" i="9"/>
  <c r="P59" i="9"/>
  <c r="H222" i="3"/>
  <c r="P222" i="3"/>
  <c r="F224" i="3"/>
  <c r="N224" i="3"/>
  <c r="V51" i="10"/>
  <c r="V40" i="10"/>
  <c r="V62" i="10"/>
  <c r="R59" i="9"/>
  <c r="R26" i="9"/>
  <c r="R48" i="9"/>
  <c r="R37" i="9"/>
  <c r="U63" i="9"/>
  <c r="U30" i="9"/>
  <c r="U41" i="9"/>
  <c r="U52" i="9"/>
  <c r="P60" i="10"/>
  <c r="F67" i="10"/>
  <c r="F63" i="10"/>
  <c r="F59" i="10"/>
  <c r="H81" i="3"/>
  <c r="P81" i="3"/>
  <c r="P66" i="10"/>
  <c r="Q51" i="3"/>
  <c r="N41" i="3"/>
  <c r="O71" i="3"/>
  <c r="R66" i="10"/>
  <c r="R55" i="10"/>
  <c r="R44" i="10"/>
  <c r="S59" i="9"/>
  <c r="S37" i="9"/>
  <c r="S48" i="9"/>
  <c r="S26" i="9"/>
  <c r="V30" i="9"/>
  <c r="V41" i="9"/>
  <c r="V52" i="9"/>
  <c r="V63" i="9"/>
  <c r="P57" i="9"/>
  <c r="C60" i="10"/>
  <c r="L62" i="10"/>
  <c r="L38" i="10"/>
  <c r="L49" i="10"/>
  <c r="C71" i="3"/>
  <c r="C62" i="10"/>
  <c r="K71" i="3"/>
  <c r="I81" i="3"/>
  <c r="I66" i="10"/>
  <c r="Q66" i="10"/>
  <c r="Q55" i="10"/>
  <c r="Q44" i="10"/>
  <c r="E57" i="9"/>
  <c r="J46" i="9"/>
  <c r="J51" i="3"/>
  <c r="G81" i="3"/>
  <c r="V51" i="3"/>
  <c r="S66" i="10"/>
  <c r="S55" i="10"/>
  <c r="S44" i="10"/>
  <c r="T48" i="9"/>
  <c r="T26" i="9"/>
  <c r="T37" i="9"/>
  <c r="T59" i="9"/>
  <c r="L57" i="9"/>
  <c r="L24" i="9"/>
  <c r="L35" i="9"/>
  <c r="L46" i="9"/>
  <c r="H60" i="10"/>
  <c r="D60" i="10"/>
  <c r="M60" i="10"/>
  <c r="D71" i="3"/>
  <c r="D62" i="10"/>
  <c r="L71" i="3"/>
  <c r="L51" i="10"/>
  <c r="L40" i="10"/>
  <c r="J81" i="3"/>
  <c r="C59" i="9"/>
  <c r="K59" i="9"/>
  <c r="C63" i="9"/>
  <c r="K63" i="9"/>
  <c r="Q52" i="9"/>
  <c r="O81" i="3"/>
  <c r="R60" i="10"/>
  <c r="R49" i="10"/>
  <c r="R38" i="10"/>
  <c r="T66" i="10"/>
  <c r="T55" i="10"/>
  <c r="T44" i="10"/>
  <c r="U41" i="3"/>
  <c r="U59" i="9"/>
  <c r="U26" i="9"/>
  <c r="U37" i="9"/>
  <c r="U48" i="9"/>
  <c r="G62" i="10"/>
  <c r="M81" i="3"/>
  <c r="M66" i="10"/>
  <c r="I67" i="10"/>
  <c r="I63" i="10"/>
  <c r="I59" i="10"/>
  <c r="E60" i="10"/>
  <c r="N60" i="10"/>
  <c r="E71" i="3"/>
  <c r="E62" i="10"/>
  <c r="M71" i="3"/>
  <c r="M62" i="10"/>
  <c r="C81" i="3"/>
  <c r="C66" i="10"/>
  <c r="K81" i="3"/>
  <c r="C65" i="9"/>
  <c r="C61" i="9"/>
  <c r="C64" i="9"/>
  <c r="C62" i="9"/>
  <c r="C60" i="9"/>
  <c r="C58" i="9"/>
  <c r="C56" i="9"/>
  <c r="H57" i="9"/>
  <c r="L59" i="9"/>
  <c r="L26" i="9"/>
  <c r="L48" i="9"/>
  <c r="L37" i="9"/>
  <c r="L63" i="9"/>
  <c r="L30" i="9"/>
  <c r="L52" i="9"/>
  <c r="L41" i="9"/>
  <c r="Q48" i="9"/>
  <c r="R51" i="10"/>
  <c r="R62" i="10"/>
  <c r="R40" i="10"/>
  <c r="U66" i="10"/>
  <c r="U55" i="10"/>
  <c r="U44" i="10"/>
  <c r="V26" i="9"/>
  <c r="V59" i="9"/>
  <c r="V37" i="9"/>
  <c r="V48" i="9"/>
  <c r="G60" i="10"/>
  <c r="F59" i="9"/>
  <c r="Q63" i="9"/>
  <c r="F60" i="10"/>
  <c r="O38" i="10"/>
  <c r="F71" i="3"/>
  <c r="F62" i="10"/>
  <c r="N71" i="3"/>
  <c r="N62" i="10"/>
  <c r="D81" i="3"/>
  <c r="D66" i="10"/>
  <c r="L81" i="3"/>
  <c r="L44" i="10"/>
  <c r="L55" i="10"/>
  <c r="D63" i="9"/>
  <c r="K57" i="9"/>
  <c r="E41" i="3"/>
  <c r="M41" i="3"/>
  <c r="E51" i="3"/>
  <c r="M51" i="3"/>
  <c r="S41" i="3"/>
  <c r="S62" i="10"/>
  <c r="S51" i="10"/>
  <c r="S40" i="10"/>
  <c r="V66" i="10"/>
  <c r="V55" i="10"/>
  <c r="V44" i="10"/>
  <c r="R63" i="9"/>
  <c r="R52" i="9"/>
  <c r="R30" i="9"/>
  <c r="R41" i="9"/>
  <c r="O120" i="8"/>
  <c r="O116" i="8"/>
  <c r="O121" i="8"/>
  <c r="O119" i="8"/>
  <c r="O117" i="8"/>
  <c r="O83" i="8"/>
  <c r="M48" i="10"/>
  <c r="P23" i="9"/>
  <c r="H49" i="10"/>
  <c r="H46" i="9"/>
  <c r="E49" i="10"/>
  <c r="E46" i="9"/>
  <c r="G44" i="10"/>
  <c r="G41" i="9"/>
  <c r="K85" i="8"/>
  <c r="K26" i="9"/>
  <c r="N51" i="10"/>
  <c r="N48" i="9"/>
  <c r="R100" i="8"/>
  <c r="R56" i="8"/>
  <c r="R78" i="8" s="1"/>
  <c r="R111" i="8"/>
  <c r="T85" i="8"/>
  <c r="T118" i="8"/>
  <c r="C40" i="10"/>
  <c r="C37" i="9"/>
  <c r="K40" i="10"/>
  <c r="K37" i="9"/>
  <c r="K52" i="8"/>
  <c r="K74" i="8" s="1"/>
  <c r="K96" i="8"/>
  <c r="H100" i="8"/>
  <c r="H44" i="10"/>
  <c r="H41" i="9"/>
  <c r="Q112" i="8"/>
  <c r="Q41" i="9"/>
  <c r="Q56" i="8"/>
  <c r="Q78" i="8" s="1"/>
  <c r="Q113" i="8"/>
  <c r="Q111" i="8"/>
  <c r="Q100" i="8"/>
  <c r="D85" i="8"/>
  <c r="D26" i="9"/>
  <c r="M26" i="9"/>
  <c r="M85" i="8"/>
  <c r="E30" i="9"/>
  <c r="N123" i="8"/>
  <c r="N89" i="8"/>
  <c r="N30" i="9"/>
  <c r="N124" i="8"/>
  <c r="N122" i="8"/>
  <c r="F51" i="10"/>
  <c r="F48" i="9"/>
  <c r="O51" i="10"/>
  <c r="O48" i="9"/>
  <c r="G55" i="10"/>
  <c r="G52" i="9"/>
  <c r="P55" i="10"/>
  <c r="P52" i="9"/>
  <c r="S56" i="8"/>
  <c r="S78" i="8" s="1"/>
  <c r="S111" i="8"/>
  <c r="S100" i="8"/>
  <c r="U118" i="8"/>
  <c r="U85" i="8"/>
  <c r="J96" i="8"/>
  <c r="J40" i="10"/>
  <c r="J37" i="9"/>
  <c r="D30" i="9"/>
  <c r="E51" i="10"/>
  <c r="E48" i="9"/>
  <c r="F55" i="10"/>
  <c r="F52" i="9"/>
  <c r="D38" i="10"/>
  <c r="D35" i="9"/>
  <c r="D96" i="8"/>
  <c r="D40" i="10"/>
  <c r="D37" i="9"/>
  <c r="M40" i="10"/>
  <c r="M37" i="9"/>
  <c r="M52" i="8"/>
  <c r="M74" i="8" s="1"/>
  <c r="M96" i="8"/>
  <c r="I100" i="8"/>
  <c r="I44" i="10"/>
  <c r="I41" i="9"/>
  <c r="K118" i="8"/>
  <c r="E26" i="9"/>
  <c r="N85" i="8"/>
  <c r="N26" i="9"/>
  <c r="N118" i="8"/>
  <c r="F89" i="8"/>
  <c r="F30" i="9"/>
  <c r="O30" i="9"/>
  <c r="O124" i="8"/>
  <c r="O122" i="8"/>
  <c r="O123" i="8"/>
  <c r="O89" i="8"/>
  <c r="F49" i="10"/>
  <c r="F46" i="9"/>
  <c r="G51" i="10"/>
  <c r="G48" i="9"/>
  <c r="P51" i="10"/>
  <c r="P48" i="9"/>
  <c r="H55" i="10"/>
  <c r="H52" i="9"/>
  <c r="T56" i="8"/>
  <c r="T78" i="8" s="1"/>
  <c r="T111" i="8"/>
  <c r="T100" i="8"/>
  <c r="V85" i="8"/>
  <c r="V118" i="8"/>
  <c r="B96" i="8"/>
  <c r="B40" i="10"/>
  <c r="B37" i="9"/>
  <c r="P112" i="8"/>
  <c r="P100" i="8"/>
  <c r="P44" i="10"/>
  <c r="P41" i="9"/>
  <c r="P56" i="8"/>
  <c r="P78" i="8" s="1"/>
  <c r="P113" i="8"/>
  <c r="P111" i="8"/>
  <c r="G48" i="10"/>
  <c r="B41" i="9"/>
  <c r="B44" i="10"/>
  <c r="B24" i="9"/>
  <c r="F85" i="8"/>
  <c r="F26" i="9"/>
  <c r="G30" i="9"/>
  <c r="P30" i="9"/>
  <c r="P124" i="8"/>
  <c r="P122" i="8"/>
  <c r="P123" i="8"/>
  <c r="P89" i="8"/>
  <c r="H38" i="10"/>
  <c r="H35" i="9"/>
  <c r="F40" i="10"/>
  <c r="F37" i="9"/>
  <c r="O96" i="8"/>
  <c r="O40" i="10"/>
  <c r="O37" i="9"/>
  <c r="O52" i="8"/>
  <c r="O74" i="8" s="1"/>
  <c r="O107" i="8"/>
  <c r="C44" i="10"/>
  <c r="C41" i="9"/>
  <c r="K44" i="10"/>
  <c r="K41" i="9"/>
  <c r="K56" i="8"/>
  <c r="K78" i="8" s="1"/>
  <c r="K113" i="8"/>
  <c r="K111" i="8"/>
  <c r="K112" i="8"/>
  <c r="K100" i="8"/>
  <c r="D24" i="9"/>
  <c r="G85" i="8"/>
  <c r="G26" i="9"/>
  <c r="P26" i="9"/>
  <c r="P118" i="8"/>
  <c r="P85" i="8"/>
  <c r="H30" i="9"/>
  <c r="Q30" i="9"/>
  <c r="Q124" i="8"/>
  <c r="Q122" i="8"/>
  <c r="Q123" i="8"/>
  <c r="Q89" i="8"/>
  <c r="Q83" i="8"/>
  <c r="I51" i="10"/>
  <c r="I48" i="9"/>
  <c r="B55" i="10"/>
  <c r="B52" i="9"/>
  <c r="J55" i="10"/>
  <c r="J52" i="9"/>
  <c r="S52" i="8"/>
  <c r="S74" i="8" s="1"/>
  <c r="S107" i="8"/>
  <c r="S96" i="8"/>
  <c r="V56" i="8"/>
  <c r="V78" i="8" s="1"/>
  <c r="V111" i="8"/>
  <c r="V100" i="8"/>
  <c r="S89" i="8"/>
  <c r="S122" i="8"/>
  <c r="M49" i="10"/>
  <c r="M46" i="9"/>
  <c r="N121" i="8"/>
  <c r="N119" i="8"/>
  <c r="N117" i="8"/>
  <c r="N83" i="8"/>
  <c r="N24" i="9"/>
  <c r="N120" i="8"/>
  <c r="N116" i="8"/>
  <c r="P49" i="10"/>
  <c r="P46" i="9"/>
  <c r="H51" i="10"/>
  <c r="H48" i="9"/>
  <c r="I55" i="10"/>
  <c r="I52" i="9"/>
  <c r="G96" i="8"/>
  <c r="G40" i="10"/>
  <c r="G37" i="9"/>
  <c r="P96" i="8"/>
  <c r="P40" i="10"/>
  <c r="P37" i="9"/>
  <c r="P52" i="8"/>
  <c r="P74" i="8" s="1"/>
  <c r="P107" i="8"/>
  <c r="D44" i="10"/>
  <c r="D41" i="9"/>
  <c r="M44" i="10"/>
  <c r="M41" i="9"/>
  <c r="M56" i="8"/>
  <c r="M78" i="8" s="1"/>
  <c r="M113" i="8"/>
  <c r="M111" i="8"/>
  <c r="M112" i="8"/>
  <c r="M100" i="8"/>
  <c r="P24" i="9"/>
  <c r="P120" i="8"/>
  <c r="P116" i="8"/>
  <c r="P121" i="8"/>
  <c r="P119" i="8"/>
  <c r="P117" i="8"/>
  <c r="P83" i="8"/>
  <c r="H85" i="8"/>
  <c r="H26" i="9"/>
  <c r="Q26" i="9"/>
  <c r="Q118" i="8"/>
  <c r="Q85" i="8"/>
  <c r="I89" i="8"/>
  <c r="I30" i="9"/>
  <c r="P82" i="8"/>
  <c r="I49" i="10"/>
  <c r="B51" i="10"/>
  <c r="B48" i="9"/>
  <c r="J51" i="10"/>
  <c r="J48" i="9"/>
  <c r="C55" i="10"/>
  <c r="C52" i="9"/>
  <c r="K55" i="10"/>
  <c r="K52" i="9"/>
  <c r="T52" i="8"/>
  <c r="T74" i="8" s="1"/>
  <c r="T107" i="8"/>
  <c r="T96" i="8"/>
  <c r="T89" i="8"/>
  <c r="T122" i="8"/>
  <c r="D49" i="10"/>
  <c r="D46" i="9"/>
  <c r="O55" i="10"/>
  <c r="O52" i="9"/>
  <c r="G94" i="8"/>
  <c r="G38" i="10"/>
  <c r="N40" i="10"/>
  <c r="N37" i="9"/>
  <c r="N52" i="8"/>
  <c r="N74" i="8" s="1"/>
  <c r="N96" i="8"/>
  <c r="O26" i="9"/>
  <c r="O118" i="8"/>
  <c r="O85" i="8"/>
  <c r="G49" i="10"/>
  <c r="R21" i="3"/>
  <c r="R203" i="3" s="1"/>
  <c r="U56" i="8"/>
  <c r="U78" i="8" s="1"/>
  <c r="U111" i="8"/>
  <c r="U100" i="8"/>
  <c r="A40" i="3"/>
  <c r="O110" i="8"/>
  <c r="O108" i="8"/>
  <c r="O106" i="8"/>
  <c r="O94" i="8"/>
  <c r="O50" i="8"/>
  <c r="O72" i="8" s="1"/>
  <c r="O109" i="8"/>
  <c r="O105" i="8"/>
  <c r="H96" i="8"/>
  <c r="H40" i="10"/>
  <c r="H37" i="9"/>
  <c r="Q37" i="9"/>
  <c r="Q52" i="8"/>
  <c r="Q74" i="8" s="1"/>
  <c r="Q96" i="8"/>
  <c r="E44" i="10"/>
  <c r="E41" i="9"/>
  <c r="N44" i="10"/>
  <c r="N41" i="9"/>
  <c r="N56" i="8"/>
  <c r="N78" i="8" s="1"/>
  <c r="N113" i="8"/>
  <c r="N111" i="8"/>
  <c r="N112" i="8"/>
  <c r="N100" i="8"/>
  <c r="G83" i="8"/>
  <c r="Q120" i="8"/>
  <c r="Q116" i="8"/>
  <c r="Q121" i="8"/>
  <c r="Q119" i="8"/>
  <c r="Q117" i="8"/>
  <c r="I85" i="8"/>
  <c r="I26" i="9"/>
  <c r="B30" i="9"/>
  <c r="J30" i="9"/>
  <c r="B46" i="9"/>
  <c r="J49" i="10"/>
  <c r="C51" i="10"/>
  <c r="C48" i="9"/>
  <c r="K51" i="10"/>
  <c r="K48" i="9"/>
  <c r="D55" i="10"/>
  <c r="D52" i="9"/>
  <c r="M55" i="10"/>
  <c r="M52" i="9"/>
  <c r="U52" i="8"/>
  <c r="U74" i="8" s="1"/>
  <c r="U107" i="8"/>
  <c r="U96" i="8"/>
  <c r="R118" i="8"/>
  <c r="R85" i="8"/>
  <c r="U122" i="8"/>
  <c r="U89" i="8"/>
  <c r="C85" i="8"/>
  <c r="C26" i="9"/>
  <c r="M123" i="8"/>
  <c r="M30" i="9"/>
  <c r="M124" i="8"/>
  <c r="M122" i="8"/>
  <c r="M89" i="8"/>
  <c r="E40" i="10"/>
  <c r="E37" i="9"/>
  <c r="J44" i="10"/>
  <c r="J41" i="9"/>
  <c r="R96" i="8"/>
  <c r="R52" i="8"/>
  <c r="R74" i="8" s="1"/>
  <c r="R107" i="8"/>
  <c r="R122" i="8"/>
  <c r="R89" i="8"/>
  <c r="P110" i="8"/>
  <c r="P108" i="8"/>
  <c r="P106" i="8"/>
  <c r="P94" i="8"/>
  <c r="P38" i="10"/>
  <c r="P35" i="9"/>
  <c r="P50" i="8"/>
  <c r="P72" i="8" s="1"/>
  <c r="P109" i="8"/>
  <c r="P105" i="8"/>
  <c r="I40" i="10"/>
  <c r="I37" i="9"/>
  <c r="F100" i="8"/>
  <c r="F44" i="10"/>
  <c r="F41" i="9"/>
  <c r="O112" i="8"/>
  <c r="O100" i="8"/>
  <c r="O44" i="10"/>
  <c r="O41" i="9"/>
  <c r="O56" i="8"/>
  <c r="O78" i="8" s="1"/>
  <c r="O113" i="8"/>
  <c r="O111" i="8"/>
  <c r="H24" i="9"/>
  <c r="B26" i="9"/>
  <c r="J85" i="8"/>
  <c r="J26" i="9"/>
  <c r="C30" i="9"/>
  <c r="K123" i="8"/>
  <c r="K89" i="8"/>
  <c r="K30" i="9"/>
  <c r="K124" i="8"/>
  <c r="K122" i="8"/>
  <c r="D51" i="10"/>
  <c r="D48" i="9"/>
  <c r="M51" i="10"/>
  <c r="M48" i="9"/>
  <c r="E55" i="10"/>
  <c r="E52" i="9"/>
  <c r="N55" i="10"/>
  <c r="N52" i="9"/>
  <c r="R11" i="3"/>
  <c r="R223" i="3" s="1"/>
  <c r="V52" i="8"/>
  <c r="V74" i="8" s="1"/>
  <c r="V107" i="8"/>
  <c r="V96" i="8"/>
  <c r="S85" i="8"/>
  <c r="S118" i="8"/>
  <c r="V89" i="8"/>
  <c r="V122" i="8"/>
  <c r="A104" i="3"/>
  <c r="I222" i="3"/>
  <c r="Q222" i="3"/>
  <c r="G224" i="3"/>
  <c r="O224" i="3"/>
  <c r="A194" i="3"/>
  <c r="E222" i="3"/>
  <c r="M222" i="3"/>
  <c r="C224" i="3"/>
  <c r="K224" i="3"/>
  <c r="B222" i="3"/>
  <c r="J222" i="3"/>
  <c r="H224" i="3"/>
  <c r="P224" i="3"/>
  <c r="I192" i="3"/>
  <c r="Q192" i="3"/>
  <c r="E194" i="3"/>
  <c r="M194" i="3"/>
  <c r="H192" i="3"/>
  <c r="P192" i="3"/>
  <c r="D194" i="3"/>
  <c r="L194" i="3"/>
  <c r="A88" i="3"/>
  <c r="B192" i="3"/>
  <c r="J192" i="3"/>
  <c r="F194" i="3"/>
  <c r="N194" i="3"/>
  <c r="C192" i="3"/>
  <c r="K192" i="3"/>
  <c r="G194" i="3"/>
  <c r="O194" i="3"/>
  <c r="D192" i="3"/>
  <c r="L192" i="3"/>
  <c r="H194" i="3"/>
  <c r="P194" i="3"/>
  <c r="E192" i="3"/>
  <c r="M192" i="3"/>
  <c r="I194" i="3"/>
  <c r="Q194" i="3"/>
  <c r="F192" i="3"/>
  <c r="N192" i="3"/>
  <c r="B194" i="3"/>
  <c r="J194" i="3"/>
  <c r="T39" i="3"/>
  <c r="C222" i="3"/>
  <c r="K222" i="3"/>
  <c r="I224" i="3"/>
  <c r="Q224" i="3"/>
  <c r="G192" i="3"/>
  <c r="O192" i="3"/>
  <c r="C194" i="3"/>
  <c r="K194" i="3"/>
  <c r="Q81" i="3"/>
  <c r="U71" i="3"/>
  <c r="V71" i="3"/>
  <c r="T69" i="3"/>
  <c r="I71" i="3"/>
  <c r="Q71" i="3"/>
  <c r="R81" i="3"/>
  <c r="J71" i="3"/>
  <c r="M11" i="3"/>
  <c r="N11" i="3"/>
  <c r="U21" i="3"/>
  <c r="U233" i="3" s="1"/>
  <c r="Q11" i="3"/>
  <c r="Q9" i="3" s="1"/>
  <c r="M21" i="3"/>
  <c r="C111" i="8"/>
  <c r="C100" i="8"/>
  <c r="G122" i="8"/>
  <c r="G89" i="8"/>
  <c r="D111" i="8"/>
  <c r="D100" i="8"/>
  <c r="H122" i="8"/>
  <c r="H89" i="8"/>
  <c r="I11" i="3"/>
  <c r="I9" i="3" s="1"/>
  <c r="I96" i="8"/>
  <c r="E21" i="3"/>
  <c r="E100" i="8"/>
  <c r="H116" i="8"/>
  <c r="H83" i="8"/>
  <c r="D105" i="8"/>
  <c r="D94" i="8"/>
  <c r="I116" i="8"/>
  <c r="I83" i="8"/>
  <c r="B85" i="8"/>
  <c r="B89" i="8"/>
  <c r="J122" i="8"/>
  <c r="J89" i="8"/>
  <c r="C96" i="8"/>
  <c r="G111" i="8"/>
  <c r="G100" i="8"/>
  <c r="D82" i="8"/>
  <c r="J116" i="8"/>
  <c r="J83" i="8"/>
  <c r="C122" i="8"/>
  <c r="C89" i="8"/>
  <c r="H50" i="8"/>
  <c r="H72" i="8" s="1"/>
  <c r="H94" i="8"/>
  <c r="B116" i="8"/>
  <c r="B83" i="8"/>
  <c r="D122" i="8"/>
  <c r="D89" i="8"/>
  <c r="E11" i="3"/>
  <c r="E96" i="8"/>
  <c r="E85" i="8"/>
  <c r="E89" i="8"/>
  <c r="F11" i="3"/>
  <c r="F96" i="8"/>
  <c r="B111" i="8"/>
  <c r="B100" i="8"/>
  <c r="J111" i="8"/>
  <c r="J100" i="8"/>
  <c r="I82" i="8"/>
  <c r="D116" i="8"/>
  <c r="D83" i="8"/>
  <c r="B56" i="9"/>
  <c r="F51" i="3"/>
  <c r="G41" i="3"/>
  <c r="O41" i="3"/>
  <c r="G51" i="3"/>
  <c r="O51" i="3"/>
  <c r="H51" i="3"/>
  <c r="P51" i="3"/>
  <c r="I41" i="3"/>
  <c r="Q41" i="3"/>
  <c r="I51" i="3"/>
  <c r="I46" i="9"/>
  <c r="B41" i="3"/>
  <c r="J41" i="3"/>
  <c r="M45" i="9"/>
  <c r="C41" i="3"/>
  <c r="K41" i="3"/>
  <c r="C51" i="3"/>
  <c r="K51" i="3"/>
  <c r="B50" i="8"/>
  <c r="M118" i="8"/>
  <c r="Q107" i="8"/>
  <c r="G107" i="8"/>
  <c r="I123" i="8"/>
  <c r="T82" i="8"/>
  <c r="S82" i="8"/>
  <c r="C105" i="8"/>
  <c r="C110" i="8"/>
  <c r="I109" i="8"/>
  <c r="C112" i="8"/>
  <c r="G123" i="8"/>
  <c r="I111" i="8"/>
  <c r="C116" i="8"/>
  <c r="I122" i="8"/>
  <c r="G11" i="3"/>
  <c r="O11" i="3"/>
  <c r="F21" i="3"/>
  <c r="N21" i="3"/>
  <c r="D106" i="8"/>
  <c r="G52" i="8"/>
  <c r="G74" i="8" s="1"/>
  <c r="I108" i="8"/>
  <c r="G116" i="8"/>
  <c r="C120" i="8"/>
  <c r="H11" i="3"/>
  <c r="P11" i="3"/>
  <c r="P9" i="3" s="1"/>
  <c r="G21" i="3"/>
  <c r="O21" i="3"/>
  <c r="E108" i="8"/>
  <c r="M107" i="8"/>
  <c r="I106" i="8"/>
  <c r="D107" i="8"/>
  <c r="G108" i="8"/>
  <c r="I110" i="8"/>
  <c r="G112" i="8"/>
  <c r="G119" i="8"/>
  <c r="I124" i="8"/>
  <c r="I112" i="8"/>
  <c r="G117" i="8"/>
  <c r="G120" i="8"/>
  <c r="H21" i="3"/>
  <c r="P21" i="3"/>
  <c r="J106" i="8"/>
  <c r="G118" i="8"/>
  <c r="I119" i="8"/>
  <c r="G50" i="8"/>
  <c r="G105" i="8"/>
  <c r="I117" i="8"/>
  <c r="E123" i="8"/>
  <c r="B11" i="3"/>
  <c r="J11" i="3"/>
  <c r="J9" i="3" s="1"/>
  <c r="I21" i="3"/>
  <c r="Q21" i="3"/>
  <c r="C121" i="8"/>
  <c r="G121" i="8"/>
  <c r="C11" i="3"/>
  <c r="K11" i="3"/>
  <c r="B21" i="3"/>
  <c r="B233" i="3" s="1"/>
  <c r="J21" i="3"/>
  <c r="G113" i="8"/>
  <c r="G56" i="8"/>
  <c r="G106" i="8"/>
  <c r="E113" i="8"/>
  <c r="I118" i="8"/>
  <c r="I121" i="8"/>
  <c r="C124" i="8"/>
  <c r="D11" i="3"/>
  <c r="D9" i="3" s="1"/>
  <c r="L11" i="3"/>
  <c r="C21" i="3"/>
  <c r="K21" i="3"/>
  <c r="G109" i="8"/>
  <c r="C117" i="8"/>
  <c r="B118" i="8"/>
  <c r="I120" i="8"/>
  <c r="J56" i="8"/>
  <c r="G110" i="8"/>
  <c r="G124" i="8"/>
  <c r="D21" i="3"/>
  <c r="L21" i="3"/>
  <c r="U9" i="3"/>
  <c r="B106" i="8"/>
  <c r="I107" i="8"/>
  <c r="I113" i="8"/>
  <c r="C118" i="8"/>
  <c r="B122" i="8"/>
  <c r="V39" i="3"/>
  <c r="S9" i="3"/>
  <c r="R69" i="3"/>
  <c r="T9" i="3"/>
  <c r="S69" i="3"/>
  <c r="V9" i="3"/>
  <c r="R39" i="3"/>
  <c r="V82" i="8"/>
  <c r="A198" i="3"/>
  <c r="A228" i="3"/>
  <c r="A168" i="3"/>
  <c r="A189" i="3"/>
  <c r="A219" i="3"/>
  <c r="A141" i="3"/>
  <c r="A231" i="3"/>
  <c r="A171" i="3"/>
  <c r="A111" i="3"/>
  <c r="A37" i="3"/>
  <c r="A45" i="3"/>
  <c r="B69" i="3"/>
  <c r="A70" i="3"/>
  <c r="A79" i="3"/>
  <c r="A190" i="3"/>
  <c r="A220" i="3"/>
  <c r="A160" i="3"/>
  <c r="A232" i="3"/>
  <c r="A172" i="3"/>
  <c r="A202" i="3"/>
  <c r="A142" i="3"/>
  <c r="A38" i="3"/>
  <c r="A46" i="3"/>
  <c r="A57" i="3"/>
  <c r="A80" i="3"/>
  <c r="A98" i="3"/>
  <c r="A106" i="3"/>
  <c r="A119" i="3"/>
  <c r="A129" i="3"/>
  <c r="A136" i="3"/>
  <c r="A201" i="3"/>
  <c r="A132" i="3"/>
  <c r="A222" i="3"/>
  <c r="A162" i="3"/>
  <c r="A58" i="3"/>
  <c r="A72" i="3"/>
  <c r="A99" i="3"/>
  <c r="A107" i="3"/>
  <c r="A112" i="3"/>
  <c r="A159" i="3"/>
  <c r="A180" i="3"/>
  <c r="A108" i="3"/>
  <c r="A138" i="3"/>
  <c r="A36" i="3"/>
  <c r="A223" i="3"/>
  <c r="A193" i="3"/>
  <c r="A164" i="3"/>
  <c r="A224" i="3"/>
  <c r="A209" i="3"/>
  <c r="A239" i="3"/>
  <c r="A179" i="3"/>
  <c r="A41" i="3"/>
  <c r="A50" i="3"/>
  <c r="A130" i="3"/>
  <c r="A133" i="3"/>
  <c r="A163" i="3"/>
  <c r="A188" i="3"/>
  <c r="A218" i="3"/>
  <c r="A158" i="3"/>
  <c r="A196" i="3"/>
  <c r="A226" i="3"/>
  <c r="A166" i="3"/>
  <c r="D39" i="3"/>
  <c r="A102" i="3"/>
  <c r="A150" i="3"/>
  <c r="A240" i="3"/>
  <c r="A210" i="3"/>
  <c r="L39" i="3"/>
  <c r="G69" i="3"/>
  <c r="A197" i="3"/>
  <c r="A227" i="3"/>
  <c r="A68" i="3"/>
  <c r="A76" i="3"/>
  <c r="A87" i="3"/>
  <c r="A103" i="3"/>
  <c r="A128" i="3"/>
  <c r="A167" i="3"/>
  <c r="H80" i="8"/>
  <c r="G75" i="8"/>
  <c r="B57" i="9"/>
  <c r="B58" i="9"/>
  <c r="B59" i="9"/>
  <c r="B60" i="9"/>
  <c r="B61" i="9"/>
  <c r="B62" i="9"/>
  <c r="B63" i="9"/>
  <c r="B64" i="9"/>
  <c r="B65" i="9"/>
  <c r="G79" i="8"/>
  <c r="J73" i="8"/>
  <c r="B53" i="8"/>
  <c r="B75" i="8" s="1"/>
  <c r="B57" i="8"/>
  <c r="B79" i="8" s="1"/>
  <c r="B105" i="8"/>
  <c r="B107" i="8"/>
  <c r="E51" i="8"/>
  <c r="E73" i="8" s="1"/>
  <c r="E52" i="8"/>
  <c r="E53" i="8"/>
  <c r="E75" i="8" s="1"/>
  <c r="E54" i="8"/>
  <c r="E76" i="8" s="1"/>
  <c r="E55" i="8"/>
  <c r="E77" i="8" s="1"/>
  <c r="E111" i="8"/>
  <c r="E56" i="8"/>
  <c r="E57" i="8"/>
  <c r="E79" i="8" s="1"/>
  <c r="E112" i="8"/>
  <c r="E58" i="8"/>
  <c r="E80" i="8" s="1"/>
  <c r="E116" i="8"/>
  <c r="E117" i="8"/>
  <c r="E118" i="8"/>
  <c r="E120" i="8"/>
  <c r="E121" i="8"/>
  <c r="E122" i="8"/>
  <c r="E124" i="8"/>
  <c r="B112" i="8"/>
  <c r="F105" i="8"/>
  <c r="F50" i="8"/>
  <c r="F106" i="8"/>
  <c r="F51" i="8"/>
  <c r="F107" i="8"/>
  <c r="F52" i="8"/>
  <c r="F53" i="8"/>
  <c r="F75" i="8" s="1"/>
  <c r="F108" i="8"/>
  <c r="F54" i="8"/>
  <c r="F76" i="8" s="1"/>
  <c r="F109" i="8"/>
  <c r="F55" i="8"/>
  <c r="F77" i="8" s="1"/>
  <c r="F110" i="8"/>
  <c r="F111" i="8"/>
  <c r="F56" i="8"/>
  <c r="F57" i="8"/>
  <c r="F79" i="8" s="1"/>
  <c r="F112" i="8"/>
  <c r="F58" i="8"/>
  <c r="F80" i="8" s="1"/>
  <c r="F113" i="8"/>
  <c r="F116" i="8"/>
  <c r="F117" i="8"/>
  <c r="F118" i="8"/>
  <c r="F119" i="8"/>
  <c r="F120" i="8"/>
  <c r="F121" i="8"/>
  <c r="F122" i="8"/>
  <c r="F123" i="8"/>
  <c r="F124" i="8"/>
  <c r="B52" i="8"/>
  <c r="B56" i="8"/>
  <c r="B77" i="8"/>
  <c r="E119" i="8"/>
  <c r="H105" i="8"/>
  <c r="H106" i="8"/>
  <c r="H107" i="8"/>
  <c r="H108" i="8"/>
  <c r="H109" i="8"/>
  <c r="H110" i="8"/>
  <c r="H111" i="8"/>
  <c r="H112" i="8"/>
  <c r="H113" i="8"/>
  <c r="H117" i="8"/>
  <c r="H118" i="8"/>
  <c r="H119" i="8"/>
  <c r="H120" i="8"/>
  <c r="H121" i="8"/>
  <c r="H123" i="8"/>
  <c r="H124" i="8"/>
  <c r="B51" i="8"/>
  <c r="H52" i="8"/>
  <c r="H56" i="8"/>
  <c r="B108" i="8"/>
  <c r="J52" i="8"/>
  <c r="B109" i="8"/>
  <c r="B110" i="8"/>
  <c r="J110" i="8"/>
  <c r="J112" i="8"/>
  <c r="B113" i="8"/>
  <c r="J113" i="8"/>
  <c r="B117" i="8"/>
  <c r="J117" i="8"/>
  <c r="J118" i="8"/>
  <c r="B119" i="8"/>
  <c r="J119" i="8"/>
  <c r="B120" i="8"/>
  <c r="J120" i="8"/>
  <c r="B121" i="8"/>
  <c r="J121" i="8"/>
  <c r="B123" i="8"/>
  <c r="J123" i="8"/>
  <c r="B124" i="8"/>
  <c r="J124" i="8"/>
  <c r="H51" i="8"/>
  <c r="H73" i="8" s="1"/>
  <c r="B54" i="8"/>
  <c r="B76" i="8" s="1"/>
  <c r="H55" i="8"/>
  <c r="H77" i="8" s="1"/>
  <c r="B58" i="8"/>
  <c r="B80" i="8" s="1"/>
  <c r="H76" i="8"/>
  <c r="I50" i="8"/>
  <c r="I51" i="8"/>
  <c r="I52" i="8"/>
  <c r="I53" i="8"/>
  <c r="I75" i="8" s="1"/>
  <c r="I54" i="8"/>
  <c r="I55" i="8"/>
  <c r="I77" i="8" s="1"/>
  <c r="I56" i="8"/>
  <c r="I57" i="8"/>
  <c r="I79" i="8" s="1"/>
  <c r="I58" i="8"/>
  <c r="C109" i="8"/>
  <c r="C113" i="8"/>
  <c r="C119" i="8"/>
  <c r="C123" i="8"/>
  <c r="C50" i="8"/>
  <c r="C51" i="8"/>
  <c r="C52" i="8"/>
  <c r="C53" i="8"/>
  <c r="C54" i="8"/>
  <c r="C76" i="8" s="1"/>
  <c r="C55" i="8"/>
  <c r="C56" i="8"/>
  <c r="C57" i="8"/>
  <c r="C79" i="8" s="1"/>
  <c r="C58" i="8"/>
  <c r="D50" i="8"/>
  <c r="D51" i="8"/>
  <c r="D52" i="8"/>
  <c r="D53" i="8"/>
  <c r="D54" i="8"/>
  <c r="D76" i="8" s="1"/>
  <c r="D55" i="8"/>
  <c r="D56" i="8"/>
  <c r="D57" i="8"/>
  <c r="D79" i="8" s="1"/>
  <c r="D58" i="8"/>
  <c r="D108" i="8"/>
  <c r="D109" i="8"/>
  <c r="D110" i="8"/>
  <c r="D112" i="8"/>
  <c r="D113" i="8"/>
  <c r="D117" i="8"/>
  <c r="D118" i="8"/>
  <c r="D119" i="8"/>
  <c r="D120" i="8"/>
  <c r="D121" i="8"/>
  <c r="D123" i="8"/>
  <c r="D124" i="8"/>
  <c r="H193" i="3" l="1"/>
  <c r="M223" i="3"/>
  <c r="I233" i="3"/>
  <c r="P233" i="3"/>
  <c r="J69" i="3"/>
  <c r="J221" i="3" s="1"/>
  <c r="M69" i="3"/>
  <c r="N69" i="3"/>
  <c r="D69" i="3"/>
  <c r="D221" i="3" s="1"/>
  <c r="P69" i="3"/>
  <c r="P221" i="3" s="1"/>
  <c r="Q69" i="3"/>
  <c r="Q221" i="3" s="1"/>
  <c r="E69" i="3"/>
  <c r="K69" i="3"/>
  <c r="I69" i="3"/>
  <c r="F69" i="3"/>
  <c r="H69" i="3"/>
  <c r="U223" i="3"/>
  <c r="L69" i="3"/>
  <c r="C69" i="3"/>
  <c r="V69" i="3"/>
  <c r="V221" i="3" s="1"/>
  <c r="O69" i="3"/>
  <c r="K39" i="3"/>
  <c r="O233" i="3"/>
  <c r="M39" i="3"/>
  <c r="U193" i="3"/>
  <c r="E39" i="3"/>
  <c r="V203" i="3"/>
  <c r="P39" i="3"/>
  <c r="P191" i="3" s="1"/>
  <c r="N39" i="3"/>
  <c r="F39" i="3"/>
  <c r="S193" i="3"/>
  <c r="E223" i="3"/>
  <c r="C223" i="3"/>
  <c r="C233" i="3"/>
  <c r="J233" i="3"/>
  <c r="K223" i="3"/>
  <c r="U39" i="3"/>
  <c r="N223" i="3"/>
  <c r="D233" i="3"/>
  <c r="E233" i="3"/>
  <c r="G233" i="3"/>
  <c r="U69" i="3"/>
  <c r="D223" i="3"/>
  <c r="P223" i="3"/>
  <c r="R9" i="3"/>
  <c r="R191" i="3" s="1"/>
  <c r="S39" i="3"/>
  <c r="M9" i="3"/>
  <c r="M221" i="3" s="1"/>
  <c r="F223" i="3"/>
  <c r="T191" i="3"/>
  <c r="V191" i="3"/>
  <c r="N233" i="3"/>
  <c r="M233" i="3"/>
  <c r="U203" i="3"/>
  <c r="N9" i="3"/>
  <c r="H233" i="3"/>
  <c r="R193" i="3"/>
  <c r="S221" i="3"/>
  <c r="R233" i="3"/>
  <c r="V223" i="3"/>
  <c r="F233" i="3"/>
  <c r="K233" i="3"/>
  <c r="L66" i="10"/>
  <c r="L223" i="3"/>
  <c r="L233" i="3"/>
  <c r="L60" i="10"/>
  <c r="O35" i="9"/>
  <c r="O46" i="9"/>
  <c r="D57" i="9"/>
  <c r="P63" i="9"/>
  <c r="O61" i="9"/>
  <c r="Q24" i="9"/>
  <c r="J24" i="9"/>
  <c r="J65" i="9"/>
  <c r="R48" i="10"/>
  <c r="R59" i="10"/>
  <c r="S23" i="9"/>
  <c r="S56" i="9"/>
  <c r="S45" i="9"/>
  <c r="O60" i="9"/>
  <c r="O56" i="9"/>
  <c r="O65" i="9"/>
  <c r="E59" i="9"/>
  <c r="N59" i="9"/>
  <c r="M57" i="9"/>
  <c r="B49" i="10"/>
  <c r="K59" i="10"/>
  <c r="K67" i="10"/>
  <c r="K63" i="10"/>
  <c r="K62" i="10"/>
  <c r="L63" i="10"/>
  <c r="L59" i="10"/>
  <c r="L67" i="10"/>
  <c r="L48" i="10"/>
  <c r="H66" i="10"/>
  <c r="M65" i="9"/>
  <c r="M64" i="9"/>
  <c r="M62" i="9"/>
  <c r="M60" i="9"/>
  <c r="M58" i="9"/>
  <c r="M56" i="9"/>
  <c r="M61" i="9"/>
  <c r="R45" i="9"/>
  <c r="R23" i="9"/>
  <c r="R56" i="9"/>
  <c r="G24" i="9"/>
  <c r="G46" i="9"/>
  <c r="M63" i="9"/>
  <c r="Q59" i="9"/>
  <c r="E61" i="9"/>
  <c r="E64" i="9"/>
  <c r="E62" i="9"/>
  <c r="E60" i="9"/>
  <c r="E58" i="9"/>
  <c r="E56" i="9"/>
  <c r="E65" i="9"/>
  <c r="N65" i="9"/>
  <c r="N64" i="9"/>
  <c r="N62" i="9"/>
  <c r="N60" i="9"/>
  <c r="N58" i="9"/>
  <c r="N56" i="9"/>
  <c r="N61" i="9"/>
  <c r="S38" i="10"/>
  <c r="S60" i="10"/>
  <c r="S49" i="10"/>
  <c r="J61" i="9"/>
  <c r="V49" i="10"/>
  <c r="V38" i="10"/>
  <c r="V60" i="10"/>
  <c r="I24" i="9"/>
  <c r="N23" i="9"/>
  <c r="D64" i="9"/>
  <c r="D62" i="9"/>
  <c r="D60" i="9"/>
  <c r="D58" i="9"/>
  <c r="D56" i="9"/>
  <c r="D65" i="9"/>
  <c r="D61" i="9"/>
  <c r="Q57" i="9"/>
  <c r="D67" i="10"/>
  <c r="D63" i="10"/>
  <c r="D59" i="10"/>
  <c r="P65" i="9"/>
  <c r="P61" i="9"/>
  <c r="P62" i="9"/>
  <c r="P58" i="9"/>
  <c r="P56" i="9"/>
  <c r="P60" i="9"/>
  <c r="P64" i="9"/>
  <c r="E67" i="10"/>
  <c r="E63" i="10"/>
  <c r="E59" i="10"/>
  <c r="T23" i="9"/>
  <c r="T45" i="9"/>
  <c r="T56" i="9"/>
  <c r="Q58" i="9"/>
  <c r="Q65" i="9"/>
  <c r="Q61" i="9"/>
  <c r="Q56" i="9"/>
  <c r="Q64" i="9"/>
  <c r="Q62" i="9"/>
  <c r="Q60" i="9"/>
  <c r="G35" i="9"/>
  <c r="E63" i="9"/>
  <c r="D59" i="9"/>
  <c r="H67" i="10"/>
  <c r="H63" i="10"/>
  <c r="H59" i="10"/>
  <c r="P67" i="10"/>
  <c r="P63" i="10"/>
  <c r="P59" i="10"/>
  <c r="N63" i="9"/>
  <c r="I223" i="3"/>
  <c r="V57" i="9"/>
  <c r="V24" i="9"/>
  <c r="V35" i="9"/>
  <c r="V46" i="9"/>
  <c r="U46" i="9"/>
  <c r="U57" i="9"/>
  <c r="U24" i="9"/>
  <c r="U35" i="9"/>
  <c r="Q59" i="10"/>
  <c r="Q48" i="10"/>
  <c r="O49" i="10"/>
  <c r="K66" i="10"/>
  <c r="K60" i="10"/>
  <c r="H65" i="9"/>
  <c r="H61" i="9"/>
  <c r="H64" i="9"/>
  <c r="H60" i="9"/>
  <c r="H58" i="9"/>
  <c r="H62" i="9"/>
  <c r="H56" i="9"/>
  <c r="F64" i="9"/>
  <c r="F62" i="9"/>
  <c r="F60" i="9"/>
  <c r="F58" i="9"/>
  <c r="F56" i="9"/>
  <c r="F65" i="9"/>
  <c r="F61" i="9"/>
  <c r="O57" i="9"/>
  <c r="P62" i="10"/>
  <c r="G57" i="9"/>
  <c r="U60" i="10"/>
  <c r="U49" i="10"/>
  <c r="U38" i="10"/>
  <c r="T49" i="10"/>
  <c r="T60" i="10"/>
  <c r="T38" i="10"/>
  <c r="M59" i="9"/>
  <c r="T46" i="9"/>
  <c r="T35" i="9"/>
  <c r="T24" i="9"/>
  <c r="T57" i="9"/>
  <c r="J94" i="8"/>
  <c r="J38" i="10"/>
  <c r="J35" i="9"/>
  <c r="J107" i="8"/>
  <c r="U116" i="8"/>
  <c r="U83" i="8"/>
  <c r="N38" i="10"/>
  <c r="N35" i="9"/>
  <c r="N50" i="8"/>
  <c r="N72" i="8" s="1"/>
  <c r="N109" i="8"/>
  <c r="N105" i="8"/>
  <c r="N110" i="8"/>
  <c r="N108" i="8"/>
  <c r="N106" i="8"/>
  <c r="N94" i="8"/>
  <c r="B23" i="9"/>
  <c r="C24" i="9"/>
  <c r="S83" i="8"/>
  <c r="S116" i="8"/>
  <c r="F48" i="10"/>
  <c r="F45" i="9"/>
  <c r="J109" i="8"/>
  <c r="J105" i="8"/>
  <c r="U50" i="8"/>
  <c r="U72" i="8" s="1"/>
  <c r="U105" i="8"/>
  <c r="U94" i="8"/>
  <c r="F94" i="8"/>
  <c r="F38" i="10"/>
  <c r="F35" i="9"/>
  <c r="H23" i="9"/>
  <c r="I48" i="10"/>
  <c r="I45" i="9"/>
  <c r="C49" i="10"/>
  <c r="C46" i="9"/>
  <c r="J50" i="8"/>
  <c r="J72" i="8" s="1"/>
  <c r="T50" i="8"/>
  <c r="T72" i="8" s="1"/>
  <c r="T105" i="8"/>
  <c r="T94" i="8"/>
  <c r="I38" i="10"/>
  <c r="I35" i="9"/>
  <c r="K38" i="10"/>
  <c r="K35" i="9"/>
  <c r="K50" i="8"/>
  <c r="K72" i="8" s="1"/>
  <c r="K109" i="8"/>
  <c r="K105" i="8"/>
  <c r="K110" i="8"/>
  <c r="K108" i="8"/>
  <c r="K94" i="8"/>
  <c r="K106" i="8"/>
  <c r="P48" i="10"/>
  <c r="P45" i="9"/>
  <c r="O48" i="10"/>
  <c r="O45" i="9"/>
  <c r="N49" i="10"/>
  <c r="N46" i="9"/>
  <c r="J108" i="8"/>
  <c r="R94" i="8"/>
  <c r="R50" i="8"/>
  <c r="R72" i="8" s="1"/>
  <c r="R105" i="8"/>
  <c r="B94" i="8"/>
  <c r="B35" i="9"/>
  <c r="B38" i="10"/>
  <c r="B45" i="9"/>
  <c r="Q23" i="9"/>
  <c r="Q82" i="8"/>
  <c r="T83" i="8"/>
  <c r="T116" i="8"/>
  <c r="E48" i="10"/>
  <c r="E45" i="9"/>
  <c r="S50" i="8"/>
  <c r="S72" i="8" s="1"/>
  <c r="S105" i="8"/>
  <c r="S94" i="8"/>
  <c r="Q110" i="8"/>
  <c r="Q108" i="8"/>
  <c r="Q106" i="8"/>
  <c r="Q35" i="9"/>
  <c r="Q50" i="8"/>
  <c r="Q72" i="8" s="1"/>
  <c r="Q109" i="8"/>
  <c r="Q105" i="8"/>
  <c r="Q94" i="8"/>
  <c r="C94" i="8"/>
  <c r="C38" i="10"/>
  <c r="C35" i="9"/>
  <c r="D48" i="10"/>
  <c r="D45" i="9"/>
  <c r="N107" i="8"/>
  <c r="F83" i="8"/>
  <c r="F24" i="9"/>
  <c r="H48" i="10"/>
  <c r="H45" i="9"/>
  <c r="E38" i="10"/>
  <c r="E35" i="9"/>
  <c r="Q45" i="9"/>
  <c r="Q46" i="9"/>
  <c r="R116" i="8"/>
  <c r="R83" i="8"/>
  <c r="O82" i="8"/>
  <c r="O23" i="9"/>
  <c r="M121" i="8"/>
  <c r="M119" i="8"/>
  <c r="M117" i="8"/>
  <c r="M24" i="9"/>
  <c r="M120" i="8"/>
  <c r="M116" i="8"/>
  <c r="M83" i="8"/>
  <c r="D23" i="9"/>
  <c r="E107" i="8"/>
  <c r="V50" i="8"/>
  <c r="V72" i="8" s="1"/>
  <c r="V105" i="8"/>
  <c r="V94" i="8"/>
  <c r="V83" i="8"/>
  <c r="V116" i="8"/>
  <c r="G23" i="9"/>
  <c r="M38" i="10"/>
  <c r="M35" i="9"/>
  <c r="M50" i="8"/>
  <c r="M72" i="8" s="1"/>
  <c r="M109" i="8"/>
  <c r="M105" i="8"/>
  <c r="M110" i="8"/>
  <c r="M108" i="8"/>
  <c r="M106" i="8"/>
  <c r="M94" i="8"/>
  <c r="E83" i="8"/>
  <c r="E24" i="9"/>
  <c r="K49" i="10"/>
  <c r="K46" i="9"/>
  <c r="K121" i="8"/>
  <c r="K119" i="8"/>
  <c r="K117" i="8"/>
  <c r="K83" i="8"/>
  <c r="K24" i="9"/>
  <c r="K120" i="8"/>
  <c r="K116" i="8"/>
  <c r="K107" i="8"/>
  <c r="J223" i="3"/>
  <c r="F9" i="3"/>
  <c r="Q233" i="3"/>
  <c r="G203" i="3"/>
  <c r="Q223" i="3"/>
  <c r="M193" i="3"/>
  <c r="N193" i="3"/>
  <c r="H203" i="3"/>
  <c r="F193" i="3"/>
  <c r="O203" i="3"/>
  <c r="E203" i="3"/>
  <c r="E9" i="3"/>
  <c r="J39" i="3"/>
  <c r="J193" i="3"/>
  <c r="P203" i="3"/>
  <c r="O39" i="3"/>
  <c r="O193" i="3"/>
  <c r="N203" i="3"/>
  <c r="E193" i="3"/>
  <c r="J203" i="3"/>
  <c r="K203" i="3"/>
  <c r="B39" i="3"/>
  <c r="B193" i="3"/>
  <c r="I203" i="3"/>
  <c r="G39" i="3"/>
  <c r="G193" i="3"/>
  <c r="D193" i="3"/>
  <c r="B203" i="3"/>
  <c r="C203" i="3"/>
  <c r="Q39" i="3"/>
  <c r="Q193" i="3"/>
  <c r="L203" i="3"/>
  <c r="L193" i="3"/>
  <c r="P193" i="3"/>
  <c r="B9" i="3"/>
  <c r="B221" i="3" s="1"/>
  <c r="B223" i="3"/>
  <c r="K193" i="3"/>
  <c r="I39" i="3"/>
  <c r="I193" i="3"/>
  <c r="F203" i="3"/>
  <c r="Q203" i="3"/>
  <c r="D203" i="3"/>
  <c r="O9" i="3"/>
  <c r="O223" i="3"/>
  <c r="C39" i="3"/>
  <c r="C193" i="3"/>
  <c r="H9" i="3"/>
  <c r="H223" i="3"/>
  <c r="G9" i="3"/>
  <c r="G223" i="3"/>
  <c r="M203" i="3"/>
  <c r="D191" i="3"/>
  <c r="T221" i="3"/>
  <c r="B60" i="10"/>
  <c r="J82" i="8"/>
  <c r="G82" i="8"/>
  <c r="E110" i="8"/>
  <c r="E94" i="8"/>
  <c r="C107" i="8"/>
  <c r="C106" i="8"/>
  <c r="I105" i="8"/>
  <c r="I94" i="8"/>
  <c r="C83" i="8"/>
  <c r="C108" i="8"/>
  <c r="B82" i="8"/>
  <c r="H82" i="8"/>
  <c r="I23" i="9"/>
  <c r="E50" i="8"/>
  <c r="E72" i="8" s="1"/>
  <c r="E105" i="8"/>
  <c r="G78" i="8"/>
  <c r="E106" i="8"/>
  <c r="F78" i="8"/>
  <c r="K9" i="3"/>
  <c r="E109" i="8"/>
  <c r="C9" i="3"/>
  <c r="L9" i="3"/>
  <c r="R82" i="8"/>
  <c r="U82" i="8"/>
  <c r="B72" i="8"/>
  <c r="H74" i="8"/>
  <c r="D80" i="8"/>
  <c r="C80" i="8"/>
  <c r="C72" i="8"/>
  <c r="H78" i="8"/>
  <c r="F73" i="8"/>
  <c r="G72" i="8"/>
  <c r="J78" i="8"/>
  <c r="J79" i="8"/>
  <c r="D75" i="8"/>
  <c r="C75" i="8"/>
  <c r="B73" i="8"/>
  <c r="B78" i="8"/>
  <c r="J75" i="8"/>
  <c r="H79" i="8"/>
  <c r="I78" i="8"/>
  <c r="I74" i="8"/>
  <c r="B74" i="8"/>
  <c r="F74" i="8"/>
  <c r="D74" i="8"/>
  <c r="C78" i="8"/>
  <c r="C74" i="8"/>
  <c r="E74" i="8"/>
  <c r="H75" i="8"/>
  <c r="I73" i="8"/>
  <c r="J74" i="8"/>
  <c r="D78" i="8"/>
  <c r="D72" i="8"/>
  <c r="D77" i="8"/>
  <c r="D73" i="8"/>
  <c r="C77" i="8"/>
  <c r="C73" i="8"/>
  <c r="I80" i="8"/>
  <c r="I76" i="8"/>
  <c r="I72" i="8"/>
  <c r="F72" i="8"/>
  <c r="E78" i="8"/>
  <c r="K221" i="3" l="1"/>
  <c r="F221" i="3"/>
  <c r="H221" i="3"/>
  <c r="N221" i="3"/>
  <c r="E221" i="3"/>
  <c r="M191" i="3"/>
  <c r="O221" i="3"/>
  <c r="U221" i="3"/>
  <c r="I221" i="3"/>
  <c r="S191" i="3"/>
  <c r="U191" i="3"/>
  <c r="I191" i="3"/>
  <c r="N191" i="3"/>
  <c r="R221" i="3"/>
  <c r="J45" i="9"/>
  <c r="J59" i="9"/>
  <c r="J56" i="9"/>
  <c r="O58" i="9"/>
  <c r="J60" i="9"/>
  <c r="J23" i="9"/>
  <c r="J63" i="9"/>
  <c r="O62" i="9"/>
  <c r="J64" i="9"/>
  <c r="J57" i="9"/>
  <c r="O64" i="9"/>
  <c r="O59" i="9"/>
  <c r="J58" i="9"/>
  <c r="J62" i="9"/>
  <c r="O63" i="9"/>
  <c r="U23" i="9"/>
  <c r="U56" i="9"/>
  <c r="U45" i="9"/>
  <c r="V48" i="10"/>
  <c r="V59" i="10"/>
  <c r="O67" i="10"/>
  <c r="O63" i="10"/>
  <c r="O59" i="10"/>
  <c r="O66" i="10"/>
  <c r="O62" i="10"/>
  <c r="V56" i="9"/>
  <c r="V45" i="9"/>
  <c r="V23" i="9"/>
  <c r="S59" i="10"/>
  <c r="S48" i="10"/>
  <c r="G64" i="9"/>
  <c r="G62" i="9"/>
  <c r="G60" i="9"/>
  <c r="G58" i="9"/>
  <c r="G56" i="9"/>
  <c r="G65" i="9"/>
  <c r="G61" i="9"/>
  <c r="G59" i="9"/>
  <c r="G45" i="9"/>
  <c r="G63" i="9"/>
  <c r="O60" i="10"/>
  <c r="T48" i="10"/>
  <c r="T59" i="10"/>
  <c r="B48" i="10"/>
  <c r="U48" i="10"/>
  <c r="U59" i="10"/>
  <c r="J67" i="10"/>
  <c r="J59" i="10"/>
  <c r="J63" i="10"/>
  <c r="J62" i="10"/>
  <c r="J48" i="10"/>
  <c r="J66" i="10"/>
  <c r="J60" i="10"/>
  <c r="I62" i="9"/>
  <c r="I65" i="9"/>
  <c r="I61" i="9"/>
  <c r="I64" i="9"/>
  <c r="I60" i="9"/>
  <c r="I58" i="9"/>
  <c r="I56" i="9"/>
  <c r="I59" i="9"/>
  <c r="I63" i="9"/>
  <c r="I57" i="9"/>
  <c r="N48" i="10"/>
  <c r="N45" i="9"/>
  <c r="N82" i="8"/>
  <c r="F23" i="9"/>
  <c r="F82" i="8"/>
  <c r="C23" i="9"/>
  <c r="K48" i="10"/>
  <c r="K45" i="9"/>
  <c r="E23" i="9"/>
  <c r="F191" i="3"/>
  <c r="C48" i="10"/>
  <c r="C45" i="9"/>
  <c r="M23" i="9"/>
  <c r="M82" i="8"/>
  <c r="K23" i="9"/>
  <c r="K82" i="8"/>
  <c r="G191" i="3"/>
  <c r="C191" i="3"/>
  <c r="B191" i="3"/>
  <c r="H191" i="3"/>
  <c r="Q191" i="3"/>
  <c r="G221" i="3"/>
  <c r="J191" i="3"/>
  <c r="O191" i="3"/>
  <c r="E191" i="3"/>
  <c r="L221" i="3"/>
  <c r="K191" i="3"/>
  <c r="C221" i="3"/>
  <c r="L191" i="3"/>
  <c r="B59" i="10"/>
  <c r="B67" i="10"/>
  <c r="B63" i="10"/>
  <c r="B66" i="10"/>
  <c r="B62" i="10"/>
  <c r="C82" i="8"/>
  <c r="E82" i="8"/>
  <c r="Q28" i="3" l="1"/>
  <c r="D28" i="3"/>
  <c r="K28" i="3"/>
  <c r="N28" i="3"/>
  <c r="E28" i="3"/>
  <c r="M28" i="3"/>
  <c r="L28" i="3"/>
  <c r="J28" i="3"/>
  <c r="S28" i="3"/>
  <c r="G28" i="3"/>
  <c r="R28" i="3"/>
  <c r="T28" i="3"/>
  <c r="H28" i="3"/>
  <c r="B28" i="3"/>
  <c r="O28" i="3"/>
  <c r="I28" i="3"/>
  <c r="C28" i="3"/>
  <c r="F28" i="3"/>
  <c r="P28" i="3"/>
  <c r="U28" i="3" l="1"/>
  <c r="V28" i="3" l="1"/>
  <c r="O15" i="15" l="1"/>
  <c r="N15" i="15" l="1"/>
  <c r="P15" i="15"/>
  <c r="Q15" i="15"/>
  <c r="M15" i="15" l="1"/>
  <c r="L15" i="15" l="1"/>
  <c r="K15" i="15" l="1"/>
  <c r="J15" i="15" l="1"/>
  <c r="I15" i="15"/>
  <c r="H15" i="15" l="1"/>
  <c r="G15" i="15" l="1"/>
  <c r="F15" i="15" l="1"/>
  <c r="E15" i="15" l="1"/>
  <c r="D15" i="15"/>
  <c r="C15" i="15" l="1"/>
  <c r="B15" i="15"/>
  <c r="R15" i="15" l="1"/>
  <c r="S15" i="15" l="1"/>
  <c r="L14" i="15" l="1"/>
  <c r="E27" i="3"/>
  <c r="Q7" i="15"/>
  <c r="G14" i="15"/>
  <c r="M14" i="15"/>
  <c r="R14" i="15"/>
  <c r="P7" i="15"/>
  <c r="P21" i="15" s="1"/>
  <c r="J14" i="15"/>
  <c r="I7" i="15"/>
  <c r="I22" i="15" s="1"/>
  <c r="H7" i="15"/>
  <c r="H22" i="15" s="1"/>
  <c r="B7" i="15"/>
  <c r="F7" i="15"/>
  <c r="F22" i="15" s="1"/>
  <c r="J3" i="15"/>
  <c r="J27" i="3"/>
  <c r="J18" i="15"/>
  <c r="P27" i="3"/>
  <c r="P3" i="15"/>
  <c r="N7" i="15"/>
  <c r="U27" i="3"/>
  <c r="U3" i="15"/>
  <c r="U14" i="15"/>
  <c r="S27" i="3"/>
  <c r="S3" i="15"/>
  <c r="S18" i="15" s="1"/>
  <c r="S14" i="15"/>
  <c r="I27" i="3"/>
  <c r="I3" i="15"/>
  <c r="L3" i="15"/>
  <c r="L18" i="15" s="1"/>
  <c r="L27" i="3"/>
  <c r="S7" i="15"/>
  <c r="S22" i="15" s="1"/>
  <c r="O3" i="15"/>
  <c r="O27" i="3"/>
  <c r="O14" i="15"/>
  <c r="B27" i="3"/>
  <c r="B3" i="15"/>
  <c r="B18" i="15"/>
  <c r="T3" i="15"/>
  <c r="T27" i="3"/>
  <c r="T14" i="15"/>
  <c r="N3" i="15"/>
  <c r="N27" i="3"/>
  <c r="N14" i="15"/>
  <c r="T15" i="15"/>
  <c r="M3" i="15"/>
  <c r="M18" i="15" s="1"/>
  <c r="M27" i="3"/>
  <c r="H3" i="15"/>
  <c r="H27" i="3"/>
  <c r="H18" i="15"/>
  <c r="T7" i="15"/>
  <c r="T21" i="15" s="1"/>
  <c r="G27" i="3"/>
  <c r="G3" i="15"/>
  <c r="Q27" i="3"/>
  <c r="Q3" i="15"/>
  <c r="J7" i="15"/>
  <c r="J22" i="15" s="1"/>
  <c r="F3" i="15"/>
  <c r="F18" i="15" s="1"/>
  <c r="F27" i="3"/>
  <c r="K27" i="3"/>
  <c r="K3" i="15"/>
  <c r="K18" i="15" s="1"/>
  <c r="K14" i="15"/>
  <c r="O7" i="15"/>
  <c r="O22" i="15" s="1"/>
  <c r="R27" i="3"/>
  <c r="R3" i="15"/>
  <c r="K7" i="15"/>
  <c r="K22" i="15" s="1"/>
  <c r="V27" i="3"/>
  <c r="V3" i="15"/>
  <c r="U7" i="15"/>
  <c r="P23" i="15" l="1"/>
  <c r="I14" i="15"/>
  <c r="H14" i="15"/>
  <c r="Q14" i="15"/>
  <c r="M7" i="15"/>
  <c r="M22" i="15" s="1"/>
  <c r="L7" i="15"/>
  <c r="L22" i="15" s="1"/>
  <c r="G7" i="15"/>
  <c r="G22" i="15" s="1"/>
  <c r="P22" i="15"/>
  <c r="P14" i="15"/>
  <c r="F14" i="15"/>
  <c r="B22" i="15"/>
  <c r="B14" i="15"/>
  <c r="R7" i="15"/>
  <c r="R22" i="15" s="1"/>
  <c r="E3" i="15"/>
  <c r="E17" i="15" s="1"/>
  <c r="U21" i="15"/>
  <c r="U22" i="15"/>
  <c r="Q17" i="15"/>
  <c r="Q13" i="15"/>
  <c r="Q19" i="15"/>
  <c r="K26" i="3"/>
  <c r="Q18" i="15"/>
  <c r="M26" i="3"/>
  <c r="Q23" i="15"/>
  <c r="Q21" i="15"/>
  <c r="I17" i="15"/>
  <c r="I13" i="15"/>
  <c r="I19" i="15"/>
  <c r="S17" i="15"/>
  <c r="S13" i="15"/>
  <c r="S19" i="15"/>
  <c r="N23" i="15"/>
  <c r="N21" i="15"/>
  <c r="E26" i="3"/>
  <c r="Q26" i="3"/>
  <c r="M17" i="15"/>
  <c r="M19" i="15"/>
  <c r="T18" i="15"/>
  <c r="T17" i="15"/>
  <c r="T13" i="15"/>
  <c r="T19" i="15"/>
  <c r="B21" i="15"/>
  <c r="B23" i="15"/>
  <c r="S26" i="3"/>
  <c r="P18" i="15"/>
  <c r="P17" i="15"/>
  <c r="P13" i="15"/>
  <c r="P19" i="15"/>
  <c r="U23" i="15"/>
  <c r="U15" i="15"/>
  <c r="F21" i="15"/>
  <c r="F23" i="15"/>
  <c r="F26" i="3"/>
  <c r="H21" i="15"/>
  <c r="H23" i="15"/>
  <c r="P26" i="3"/>
  <c r="I23" i="15"/>
  <c r="I21" i="15"/>
  <c r="I26" i="3"/>
  <c r="K21" i="15"/>
  <c r="K23" i="15"/>
  <c r="O23" i="15"/>
  <c r="O21" i="15"/>
  <c r="F17" i="15"/>
  <c r="F13" i="15"/>
  <c r="F19" i="15"/>
  <c r="G18" i="15"/>
  <c r="G17" i="15"/>
  <c r="G19" i="15"/>
  <c r="T23" i="15"/>
  <c r="O26" i="3"/>
  <c r="L26" i="3"/>
  <c r="U18" i="15"/>
  <c r="U17" i="15"/>
  <c r="U13" i="15"/>
  <c r="U19" i="15"/>
  <c r="T26" i="3"/>
  <c r="V18" i="15"/>
  <c r="V17" i="15"/>
  <c r="V19" i="15"/>
  <c r="G26" i="3"/>
  <c r="H26" i="3"/>
  <c r="B17" i="15"/>
  <c r="B13" i="15"/>
  <c r="B19" i="15"/>
  <c r="O18" i="15"/>
  <c r="O17" i="15"/>
  <c r="O13" i="15"/>
  <c r="O19" i="15"/>
  <c r="L17" i="15"/>
  <c r="L19" i="15"/>
  <c r="U26" i="3"/>
  <c r="S21" i="15"/>
  <c r="S23" i="15"/>
  <c r="V26" i="3"/>
  <c r="R18" i="15"/>
  <c r="R17" i="15"/>
  <c r="R19" i="15"/>
  <c r="J21" i="15"/>
  <c r="J23" i="15"/>
  <c r="H17" i="15"/>
  <c r="H13" i="15"/>
  <c r="H19" i="15"/>
  <c r="N26" i="3"/>
  <c r="B26" i="3"/>
  <c r="J26" i="3"/>
  <c r="R26" i="3"/>
  <c r="K17" i="15"/>
  <c r="K13" i="15"/>
  <c r="K19" i="15"/>
  <c r="T22" i="15"/>
  <c r="N18" i="15"/>
  <c r="N17" i="15"/>
  <c r="N13" i="15"/>
  <c r="N19" i="15"/>
  <c r="Q22" i="15"/>
  <c r="I18" i="15"/>
  <c r="N22" i="15"/>
  <c r="J17" i="15"/>
  <c r="J13" i="15"/>
  <c r="J19" i="15"/>
  <c r="V15" i="15"/>
  <c r="M23" i="15" l="1"/>
  <c r="M21" i="15"/>
  <c r="G13" i="15"/>
  <c r="M13" i="15"/>
  <c r="G23" i="15"/>
  <c r="G21" i="15"/>
  <c r="L21" i="15"/>
  <c r="E18" i="15"/>
  <c r="R21" i="15"/>
  <c r="L23" i="15"/>
  <c r="R23" i="15"/>
  <c r="R13" i="15"/>
  <c r="L13" i="15"/>
  <c r="E19" i="15"/>
  <c r="C14" i="15"/>
  <c r="D7" i="15"/>
  <c r="C27" i="3"/>
  <c r="C3" i="15"/>
  <c r="V7" i="15"/>
  <c r="V22" i="15" s="1"/>
  <c r="V14" i="15"/>
  <c r="D27" i="3"/>
  <c r="D3" i="15"/>
  <c r="D18" i="15" s="1"/>
  <c r="D14" i="15" l="1"/>
  <c r="C7" i="15"/>
  <c r="C22" i="15" s="1"/>
  <c r="E7" i="15"/>
  <c r="E14" i="15"/>
  <c r="D23" i="15"/>
  <c r="D21" i="15"/>
  <c r="C21" i="15"/>
  <c r="C23" i="15"/>
  <c r="V23" i="15"/>
  <c r="V21" i="15"/>
  <c r="V13" i="15"/>
  <c r="D17" i="15"/>
  <c r="D13" i="15"/>
  <c r="D19" i="15"/>
  <c r="C18" i="15"/>
  <c r="C17" i="15"/>
  <c r="C19" i="15"/>
  <c r="D26" i="3"/>
  <c r="C26" i="3"/>
  <c r="D22" i="15"/>
  <c r="C13" i="15" l="1"/>
  <c r="E13" i="15"/>
  <c r="E21" i="15"/>
  <c r="E23" i="15"/>
  <c r="E22" i="15"/>
  <c r="G88" i="3" l="1"/>
  <c r="L19" i="17"/>
  <c r="L88" i="3"/>
  <c r="L87" i="3"/>
  <c r="L18" i="17"/>
  <c r="S87" i="3"/>
  <c r="S18" i="17"/>
  <c r="K19" i="17"/>
  <c r="L10" i="17"/>
  <c r="K88" i="3" l="1"/>
  <c r="G19" i="17"/>
  <c r="L3" i="17"/>
  <c r="E18" i="17"/>
  <c r="G240" i="3"/>
  <c r="J21" i="16"/>
  <c r="J25" i="16"/>
  <c r="J58" i="3"/>
  <c r="Q11" i="17"/>
  <c r="Q21" i="16"/>
  <c r="Q25" i="16"/>
  <c r="Q58" i="3"/>
  <c r="S239" i="3"/>
  <c r="K87" i="3"/>
  <c r="K3" i="17"/>
  <c r="K18" i="17"/>
  <c r="F19" i="17"/>
  <c r="F88" i="3"/>
  <c r="F11" i="17"/>
  <c r="O58" i="3"/>
  <c r="O25" i="16"/>
  <c r="O21" i="16"/>
  <c r="Q19" i="17"/>
  <c r="Q88" i="3"/>
  <c r="S58" i="3"/>
  <c r="S21" i="16"/>
  <c r="S25" i="16"/>
  <c r="I58" i="3"/>
  <c r="I21" i="16"/>
  <c r="I25" i="16"/>
  <c r="F18" i="17"/>
  <c r="F3" i="17"/>
  <c r="F87" i="3"/>
  <c r="I18" i="17"/>
  <c r="I3" i="17"/>
  <c r="I87" i="3"/>
  <c r="O87" i="3"/>
  <c r="O3" i="17"/>
  <c r="O18" i="17"/>
  <c r="M18" i="17"/>
  <c r="M87" i="3"/>
  <c r="M3" i="17"/>
  <c r="L86" i="3"/>
  <c r="L239" i="3"/>
  <c r="L240" i="3"/>
  <c r="K21" i="16"/>
  <c r="K58" i="3"/>
  <c r="K25" i="16"/>
  <c r="J18" i="17"/>
  <c r="J3" i="17"/>
  <c r="J87" i="3"/>
  <c r="P3" i="17"/>
  <c r="P18" i="17"/>
  <c r="P87" i="3"/>
  <c r="P25" i="16"/>
  <c r="P21" i="16"/>
  <c r="P58" i="3"/>
  <c r="M11" i="17"/>
  <c r="M25" i="16"/>
  <c r="M21" i="16"/>
  <c r="M58" i="3"/>
  <c r="K11" i="17"/>
  <c r="L20" i="16"/>
  <c r="L57" i="3"/>
  <c r="L24" i="16"/>
  <c r="M88" i="3"/>
  <c r="M19" i="17"/>
  <c r="J19" i="17"/>
  <c r="J88" i="3"/>
  <c r="J11" i="17"/>
  <c r="I19" i="17"/>
  <c r="I88" i="3"/>
  <c r="I11" i="17"/>
  <c r="P88" i="3"/>
  <c r="P19" i="17"/>
  <c r="P11" i="17"/>
  <c r="O88" i="3"/>
  <c r="O19" i="17"/>
  <c r="O11" i="17"/>
  <c r="G87" i="3"/>
  <c r="G3" i="17"/>
  <c r="G18" i="17"/>
  <c r="Q18" i="17"/>
  <c r="Q3" i="17"/>
  <c r="Q87" i="3"/>
  <c r="Q10" i="17"/>
  <c r="K10" i="17"/>
  <c r="F10" i="17"/>
  <c r="I23" i="17" l="1"/>
  <c r="I13" i="17"/>
  <c r="J23" i="17"/>
  <c r="J13" i="17"/>
  <c r="L22" i="17"/>
  <c r="L13" i="17"/>
  <c r="O23" i="17"/>
  <c r="O13" i="17"/>
  <c r="K22" i="17"/>
  <c r="K13" i="17"/>
  <c r="Q22" i="17"/>
  <c r="Q13" i="17"/>
  <c r="M22" i="17"/>
  <c r="M13" i="17"/>
  <c r="F23" i="17"/>
  <c r="F13" i="17"/>
  <c r="L17" i="17"/>
  <c r="P23" i="17"/>
  <c r="P13" i="17"/>
  <c r="G22" i="17"/>
  <c r="G13" i="17"/>
  <c r="L23" i="17"/>
  <c r="K240" i="3"/>
  <c r="E3" i="17"/>
  <c r="L21" i="17"/>
  <c r="E87" i="3"/>
  <c r="F22" i="17"/>
  <c r="R58" i="3"/>
  <c r="M23" i="17"/>
  <c r="E10" i="17"/>
  <c r="E20" i="16"/>
  <c r="E57" i="3"/>
  <c r="E28" i="16"/>
  <c r="E24" i="16"/>
  <c r="L29" i="16"/>
  <c r="L27" i="16"/>
  <c r="L23" i="16"/>
  <c r="L19" i="16"/>
  <c r="P86" i="3"/>
  <c r="P239" i="3"/>
  <c r="O86" i="3"/>
  <c r="O239" i="3"/>
  <c r="K86" i="3"/>
  <c r="K239" i="3"/>
  <c r="O10" i="17"/>
  <c r="O24" i="16"/>
  <c r="O20" i="16"/>
  <c r="O9" i="17"/>
  <c r="O57" i="3"/>
  <c r="M17" i="17"/>
  <c r="M21" i="17"/>
  <c r="L25" i="16"/>
  <c r="L21" i="16"/>
  <c r="L58" i="3"/>
  <c r="L11" i="17"/>
  <c r="J210" i="3"/>
  <c r="R21" i="16"/>
  <c r="T19" i="17"/>
  <c r="T11" i="17"/>
  <c r="T88" i="3"/>
  <c r="N19" i="17"/>
  <c r="N88" i="3"/>
  <c r="N11" i="17"/>
  <c r="Q24" i="16"/>
  <c r="Q20" i="16"/>
  <c r="Q57" i="3"/>
  <c r="Q28" i="16"/>
  <c r="Q86" i="3"/>
  <c r="Q239" i="3"/>
  <c r="G21" i="17"/>
  <c r="G17" i="17"/>
  <c r="G23" i="17"/>
  <c r="I240" i="3"/>
  <c r="L209" i="3"/>
  <c r="P210" i="3"/>
  <c r="J86" i="3"/>
  <c r="J239" i="3"/>
  <c r="K210" i="3"/>
  <c r="M86" i="3"/>
  <c r="M239" i="3"/>
  <c r="F86" i="3"/>
  <c r="F239" i="3"/>
  <c r="B3" i="17"/>
  <c r="B18" i="17"/>
  <c r="B87" i="3"/>
  <c r="G86" i="3"/>
  <c r="G239" i="3"/>
  <c r="P17" i="17"/>
  <c r="P21" i="17"/>
  <c r="I210" i="3"/>
  <c r="L9" i="17"/>
  <c r="E58" i="3"/>
  <c r="E21" i="16"/>
  <c r="E25" i="16"/>
  <c r="R18" i="17"/>
  <c r="R87" i="3"/>
  <c r="R3" i="17"/>
  <c r="N21" i="16"/>
  <c r="N25" i="16"/>
  <c r="N58" i="3"/>
  <c r="M24" i="16"/>
  <c r="M20" i="16"/>
  <c r="M57" i="3"/>
  <c r="Q21" i="17"/>
  <c r="Q17" i="17"/>
  <c r="Q9" i="17"/>
  <c r="M210" i="3"/>
  <c r="J22" i="17"/>
  <c r="J21" i="17"/>
  <c r="J17" i="17"/>
  <c r="I86" i="3"/>
  <c r="I239" i="3"/>
  <c r="F21" i="17"/>
  <c r="F17" i="17"/>
  <c r="F240" i="3"/>
  <c r="S19" i="17"/>
  <c r="S88" i="3"/>
  <c r="S11" i="17"/>
  <c r="S3" i="17"/>
  <c r="S13" i="17" s="1"/>
  <c r="R19" i="17"/>
  <c r="R88" i="3"/>
  <c r="B88" i="3"/>
  <c r="B19" i="17"/>
  <c r="H3" i="17"/>
  <c r="H13" i="17" s="1"/>
  <c r="H87" i="3"/>
  <c r="H18" i="17"/>
  <c r="H19" i="17"/>
  <c r="H88" i="3"/>
  <c r="K57" i="3"/>
  <c r="K9" i="17"/>
  <c r="K24" i="16"/>
  <c r="K20" i="16"/>
  <c r="P240" i="3"/>
  <c r="Q23" i="17"/>
  <c r="S24" i="16"/>
  <c r="S20" i="16"/>
  <c r="S57" i="3"/>
  <c r="S10" i="17"/>
  <c r="T25" i="16"/>
  <c r="T21" i="16"/>
  <c r="T58" i="3"/>
  <c r="G57" i="3"/>
  <c r="G20" i="16"/>
  <c r="G24" i="16"/>
  <c r="G28" i="16"/>
  <c r="P20" i="16"/>
  <c r="P57" i="3"/>
  <c r="P24" i="16"/>
  <c r="H11" i="17"/>
  <c r="H21" i="16"/>
  <c r="H58" i="3"/>
  <c r="H25" i="16"/>
  <c r="E19" i="17"/>
  <c r="E88" i="3"/>
  <c r="E11" i="17"/>
  <c r="G10" i="17"/>
  <c r="J240" i="3"/>
  <c r="M240" i="3"/>
  <c r="P10" i="17"/>
  <c r="L238" i="3"/>
  <c r="I22" i="17"/>
  <c r="I17" i="17"/>
  <c r="I21" i="17"/>
  <c r="Q240" i="3"/>
  <c r="O210" i="3"/>
  <c r="Q210" i="3"/>
  <c r="G58" i="3"/>
  <c r="G21" i="16"/>
  <c r="G25" i="16"/>
  <c r="G29" i="16"/>
  <c r="G11" i="17"/>
  <c r="F9" i="17"/>
  <c r="F24" i="16"/>
  <c r="F57" i="3"/>
  <c r="F20" i="16"/>
  <c r="N3" i="17"/>
  <c r="N87" i="3"/>
  <c r="N18" i="17"/>
  <c r="T3" i="17"/>
  <c r="T18" i="17"/>
  <c r="T87" i="3"/>
  <c r="O240" i="3"/>
  <c r="L28" i="16"/>
  <c r="P22" i="17"/>
  <c r="M10" i="17"/>
  <c r="O22" i="17"/>
  <c r="O17" i="17"/>
  <c r="O21" i="17"/>
  <c r="S210" i="3"/>
  <c r="F25" i="16"/>
  <c r="F58" i="3"/>
  <c r="F21" i="16"/>
  <c r="K23" i="17"/>
  <c r="K17" i="17"/>
  <c r="K21" i="17"/>
  <c r="R10" i="17"/>
  <c r="N10" i="17"/>
  <c r="E17" i="17" l="1"/>
  <c r="E13" i="17"/>
  <c r="E21" i="17"/>
  <c r="B23" i="17"/>
  <c r="B13" i="17"/>
  <c r="R22" i="17"/>
  <c r="R13" i="17"/>
  <c r="T23" i="17"/>
  <c r="T13" i="17"/>
  <c r="N22" i="17"/>
  <c r="N13" i="17"/>
  <c r="E239" i="3"/>
  <c r="E86" i="3"/>
  <c r="L56" i="3"/>
  <c r="L208" i="3" s="1"/>
  <c r="E22" i="17"/>
  <c r="E23" i="17"/>
  <c r="R23" i="17"/>
  <c r="R11" i="17"/>
  <c r="R25" i="16"/>
  <c r="F29" i="16"/>
  <c r="K28" i="16"/>
  <c r="C25" i="16"/>
  <c r="C21" i="16"/>
  <c r="C58" i="3"/>
  <c r="D19" i="17"/>
  <c r="D88" i="3"/>
  <c r="D11" i="17"/>
  <c r="P56" i="3"/>
  <c r="P209" i="3"/>
  <c r="S28" i="16"/>
  <c r="S23" i="16"/>
  <c r="S27" i="16"/>
  <c r="S19" i="16"/>
  <c r="S29" i="16"/>
  <c r="S240" i="3"/>
  <c r="S86" i="3"/>
  <c r="I238" i="3"/>
  <c r="R21" i="17"/>
  <c r="R17" i="17"/>
  <c r="E210" i="3"/>
  <c r="N240" i="3"/>
  <c r="K238" i="3"/>
  <c r="D3" i="17"/>
  <c r="D18" i="17"/>
  <c r="D87" i="3"/>
  <c r="U3" i="17"/>
  <c r="U18" i="17"/>
  <c r="U87" i="3"/>
  <c r="U21" i="16"/>
  <c r="U58" i="3"/>
  <c r="U25" i="16"/>
  <c r="P27" i="16"/>
  <c r="P23" i="16"/>
  <c r="P19" i="16"/>
  <c r="P29" i="16"/>
  <c r="S209" i="3"/>
  <c r="S56" i="3"/>
  <c r="M28" i="16"/>
  <c r="M23" i="16"/>
  <c r="M19" i="16"/>
  <c r="M27" i="16"/>
  <c r="M29" i="16"/>
  <c r="R86" i="3"/>
  <c r="R239" i="3"/>
  <c r="O238" i="3"/>
  <c r="T210" i="3"/>
  <c r="K19" i="16"/>
  <c r="K23" i="16"/>
  <c r="K27" i="16"/>
  <c r="K29" i="16"/>
  <c r="B240" i="3"/>
  <c r="M56" i="3"/>
  <c r="M209" i="3"/>
  <c r="B22" i="17"/>
  <c r="B21" i="17"/>
  <c r="B17" i="17"/>
  <c r="F238" i="3"/>
  <c r="Q19" i="16"/>
  <c r="Q27" i="16"/>
  <c r="Q23" i="16"/>
  <c r="Q29" i="16"/>
  <c r="R210" i="3"/>
  <c r="L210" i="3"/>
  <c r="M9" i="17"/>
  <c r="C19" i="17"/>
  <c r="C88" i="3"/>
  <c r="C11" i="17"/>
  <c r="D58" i="3"/>
  <c r="D25" i="16"/>
  <c r="D21" i="16"/>
  <c r="C87" i="3"/>
  <c r="C3" i="17"/>
  <c r="C18" i="17"/>
  <c r="N86" i="3"/>
  <c r="N239" i="3"/>
  <c r="F56" i="3"/>
  <c r="F209" i="3"/>
  <c r="G210" i="3"/>
  <c r="H210" i="3"/>
  <c r="K209" i="3"/>
  <c r="K56" i="3"/>
  <c r="N210" i="3"/>
  <c r="G238" i="3"/>
  <c r="J238" i="3"/>
  <c r="Q209" i="3"/>
  <c r="Q56" i="3"/>
  <c r="O209" i="3"/>
  <c r="O56" i="3"/>
  <c r="E29" i="16"/>
  <c r="E23" i="16"/>
  <c r="E27" i="16"/>
  <c r="E19" i="16"/>
  <c r="C10" i="17"/>
  <c r="G27" i="16"/>
  <c r="G19" i="16"/>
  <c r="G23" i="16"/>
  <c r="H86" i="3"/>
  <c r="H239" i="3"/>
  <c r="Q238" i="3"/>
  <c r="O28" i="16"/>
  <c r="O23" i="16"/>
  <c r="O27" i="16"/>
  <c r="O19" i="16"/>
  <c r="O29" i="16"/>
  <c r="E209" i="3"/>
  <c r="E56" i="3"/>
  <c r="I20" i="16"/>
  <c r="I57" i="3"/>
  <c r="I24" i="16"/>
  <c r="I10" i="17"/>
  <c r="E9" i="17"/>
  <c r="T86" i="3"/>
  <c r="T239" i="3"/>
  <c r="N21" i="17"/>
  <c r="N17" i="17"/>
  <c r="F28" i="16"/>
  <c r="F19" i="16"/>
  <c r="F27" i="16"/>
  <c r="F23" i="16"/>
  <c r="H22" i="17"/>
  <c r="H17" i="17"/>
  <c r="H21" i="17"/>
  <c r="R240" i="3"/>
  <c r="S17" i="17"/>
  <c r="S21" i="17"/>
  <c r="S9" i="17"/>
  <c r="S22" i="17"/>
  <c r="B25" i="16"/>
  <c r="B58" i="3"/>
  <c r="B21" i="16"/>
  <c r="T240" i="3"/>
  <c r="B24" i="16"/>
  <c r="B20" i="16"/>
  <c r="B57" i="3"/>
  <c r="B9" i="17"/>
  <c r="N20" i="16"/>
  <c r="N57" i="3"/>
  <c r="N24" i="16"/>
  <c r="E238" i="3"/>
  <c r="E240" i="3"/>
  <c r="P28" i="16"/>
  <c r="H23" i="17"/>
  <c r="B11" i="17"/>
  <c r="S23" i="17"/>
  <c r="B10" i="17"/>
  <c r="M238" i="3"/>
  <c r="G9" i="17"/>
  <c r="P238" i="3"/>
  <c r="R20" i="16"/>
  <c r="R24" i="16"/>
  <c r="R57" i="3"/>
  <c r="R9" i="17"/>
  <c r="U19" i="17"/>
  <c r="U88" i="3"/>
  <c r="U11" i="17"/>
  <c r="F210" i="3"/>
  <c r="T22" i="17"/>
  <c r="T17" i="17"/>
  <c r="T21" i="17"/>
  <c r="G56" i="3"/>
  <c r="G209" i="3"/>
  <c r="H240" i="3"/>
  <c r="P9" i="17"/>
  <c r="B86" i="3"/>
  <c r="B239" i="3"/>
  <c r="N23" i="17"/>
  <c r="J20" i="16"/>
  <c r="J57" i="3"/>
  <c r="J24" i="16"/>
  <c r="J10" i="17"/>
  <c r="U23" i="17" l="1"/>
  <c r="U13" i="17"/>
  <c r="C23" i="17"/>
  <c r="C13" i="17"/>
  <c r="D23" i="17"/>
  <c r="D13" i="17"/>
  <c r="R28" i="16"/>
  <c r="B29" i="16"/>
  <c r="D22" i="17"/>
  <c r="C22" i="17"/>
  <c r="G208" i="3"/>
  <c r="R209" i="3"/>
  <c r="R56" i="3"/>
  <c r="N209" i="3"/>
  <c r="N56" i="3"/>
  <c r="H10" i="17"/>
  <c r="H57" i="3"/>
  <c r="H20" i="16"/>
  <c r="H28" i="16"/>
  <c r="H24" i="16"/>
  <c r="H238" i="3"/>
  <c r="C24" i="16"/>
  <c r="C20" i="16"/>
  <c r="C28" i="16"/>
  <c r="C57" i="3"/>
  <c r="S208" i="3"/>
  <c r="U10" i="17"/>
  <c r="U20" i="16"/>
  <c r="U24" i="16"/>
  <c r="U57" i="3"/>
  <c r="U28" i="16"/>
  <c r="J28" i="16"/>
  <c r="J27" i="16"/>
  <c r="J23" i="16"/>
  <c r="J19" i="16"/>
  <c r="J29" i="16"/>
  <c r="J9" i="17"/>
  <c r="T238" i="3"/>
  <c r="D210" i="3"/>
  <c r="M208" i="3"/>
  <c r="R238" i="3"/>
  <c r="D86" i="3"/>
  <c r="D239" i="3"/>
  <c r="N27" i="16"/>
  <c r="N23" i="16"/>
  <c r="N19" i="16"/>
  <c r="N29" i="16"/>
  <c r="T24" i="16"/>
  <c r="T20" i="16"/>
  <c r="T57" i="3"/>
  <c r="T10" i="17"/>
  <c r="I209" i="3"/>
  <c r="I56" i="3"/>
  <c r="Q208" i="3"/>
  <c r="U210" i="3"/>
  <c r="V3" i="17"/>
  <c r="V18" i="17"/>
  <c r="V87" i="3"/>
  <c r="J209" i="3"/>
  <c r="J56" i="3"/>
  <c r="U240" i="3"/>
  <c r="N9" i="17"/>
  <c r="S238" i="3"/>
  <c r="C210" i="3"/>
  <c r="B28" i="16"/>
  <c r="B19" i="16"/>
  <c r="B23" i="16"/>
  <c r="B27" i="16"/>
  <c r="I28" i="16"/>
  <c r="I23" i="16"/>
  <c r="I19" i="16"/>
  <c r="I27" i="16"/>
  <c r="I29" i="16"/>
  <c r="I9" i="17"/>
  <c r="F208" i="3"/>
  <c r="U86" i="3"/>
  <c r="U239" i="3"/>
  <c r="D21" i="17"/>
  <c r="D17" i="17"/>
  <c r="D240" i="3"/>
  <c r="V19" i="17"/>
  <c r="V88" i="3"/>
  <c r="V11" i="17"/>
  <c r="B209" i="3"/>
  <c r="B56" i="3"/>
  <c r="B210" i="3"/>
  <c r="C17" i="17"/>
  <c r="C21" i="17"/>
  <c r="V25" i="16"/>
  <c r="V21" i="16"/>
  <c r="V58" i="3"/>
  <c r="N28" i="16"/>
  <c r="C86" i="3"/>
  <c r="C239" i="3"/>
  <c r="C240" i="3"/>
  <c r="P208" i="3"/>
  <c r="D10" i="17"/>
  <c r="D20" i="16"/>
  <c r="D57" i="3"/>
  <c r="D9" i="17"/>
  <c r="D24" i="16"/>
  <c r="B238" i="3"/>
  <c r="R27" i="16"/>
  <c r="R19" i="16"/>
  <c r="R23" i="16"/>
  <c r="R29" i="16"/>
  <c r="E208" i="3"/>
  <c r="O208" i="3"/>
  <c r="K208" i="3"/>
  <c r="N238" i="3"/>
  <c r="U22" i="17"/>
  <c r="U21" i="17"/>
  <c r="U17" i="17"/>
  <c r="U9" i="17"/>
  <c r="V23" i="17" l="1"/>
  <c r="V13" i="17"/>
  <c r="C9" i="17"/>
  <c r="D28" i="16"/>
  <c r="T27" i="16"/>
  <c r="T23" i="16"/>
  <c r="T19" i="16"/>
  <c r="T29" i="16"/>
  <c r="T9" i="17"/>
  <c r="V17" i="17"/>
  <c r="V21" i="17"/>
  <c r="T209" i="3"/>
  <c r="T56" i="3"/>
  <c r="D238" i="3"/>
  <c r="C19" i="16"/>
  <c r="C27" i="16"/>
  <c r="C23" i="16"/>
  <c r="C29" i="16"/>
  <c r="H27" i="16"/>
  <c r="H23" i="16"/>
  <c r="H19" i="16"/>
  <c r="H29" i="16"/>
  <c r="H9" i="17"/>
  <c r="R208" i="3"/>
  <c r="J208" i="3"/>
  <c r="V20" i="16"/>
  <c r="V24" i="16"/>
  <c r="V9" i="17"/>
  <c r="V57" i="3"/>
  <c r="C238" i="3"/>
  <c r="V210" i="3"/>
  <c r="H56" i="3"/>
  <c r="H209" i="3"/>
  <c r="I208" i="3"/>
  <c r="D27" i="16"/>
  <c r="D23" i="16"/>
  <c r="D19" i="16"/>
  <c r="D29" i="16"/>
  <c r="V22" i="17"/>
  <c r="U29" i="16"/>
  <c r="U23" i="16"/>
  <c r="U27" i="16"/>
  <c r="U19" i="16"/>
  <c r="D209" i="3"/>
  <c r="V240" i="3"/>
  <c r="U238" i="3"/>
  <c r="V10" i="17"/>
  <c r="D56" i="3"/>
  <c r="U209" i="3"/>
  <c r="U56" i="3"/>
  <c r="N208" i="3"/>
  <c r="B208" i="3"/>
  <c r="V86" i="3"/>
  <c r="V239" i="3"/>
  <c r="T28" i="16"/>
  <c r="C209" i="3"/>
  <c r="C56" i="3"/>
  <c r="V28" i="16" l="1"/>
  <c r="H208" i="3"/>
  <c r="V238" i="3"/>
  <c r="C208" i="3"/>
  <c r="U208" i="3"/>
  <c r="V209" i="3"/>
  <c r="V56" i="3"/>
  <c r="T208" i="3"/>
  <c r="V27" i="16"/>
  <c r="V23" i="16"/>
  <c r="V19" i="16"/>
  <c r="V29" i="16"/>
  <c r="D208" i="3"/>
  <c r="V208" i="3" l="1"/>
  <c r="S68" i="11" l="1"/>
  <c r="L68" i="11"/>
  <c r="M68" i="11"/>
  <c r="U68" i="11" l="1"/>
  <c r="R68" i="11"/>
  <c r="N68" i="11"/>
  <c r="Q68" i="11"/>
  <c r="V68" i="11"/>
  <c r="J68" i="11"/>
  <c r="O67" i="11"/>
  <c r="K67" i="11"/>
  <c r="O13" i="14" l="1"/>
  <c r="O19" i="14" s="1"/>
  <c r="N13" i="14"/>
  <c r="N19" i="14" s="1"/>
  <c r="T13" i="14"/>
  <c r="T19" i="14" s="1"/>
  <c r="M13" i="14"/>
  <c r="M19" i="14" s="1"/>
  <c r="Q14" i="14"/>
  <c r="T67" i="11"/>
  <c r="L14" i="14"/>
  <c r="L20" i="14" s="1"/>
  <c r="U14" i="14"/>
  <c r="U20" i="14" s="1"/>
  <c r="T14" i="14"/>
  <c r="R14" i="14"/>
  <c r="R20" i="14" s="1"/>
  <c r="N14" i="14"/>
  <c r="N20" i="14" s="1"/>
  <c r="U67" i="11"/>
  <c r="M67" i="11"/>
  <c r="S14" i="14"/>
  <c r="S20" i="14" s="1"/>
  <c r="S13" i="14"/>
  <c r="S19" i="14" s="1"/>
  <c r="R13" i="14"/>
  <c r="R19" i="14" s="1"/>
  <c r="P14" i="14"/>
  <c r="P20" i="14" s="1"/>
  <c r="P13" i="14"/>
  <c r="P19" i="14" s="1"/>
  <c r="Q67" i="11"/>
  <c r="P67" i="11"/>
  <c r="R67" i="11"/>
  <c r="L13" i="14"/>
  <c r="L19" i="14" s="1"/>
  <c r="U13" i="14"/>
  <c r="U19" i="14" s="1"/>
  <c r="N67" i="11"/>
  <c r="I68" i="11"/>
  <c r="S67" i="11"/>
  <c r="L67" i="11"/>
  <c r="V67" i="11"/>
  <c r="M14" i="14"/>
  <c r="M20" i="14" s="1"/>
  <c r="Q13" i="14"/>
  <c r="Q19" i="14" s="1"/>
  <c r="O14" i="14"/>
  <c r="P68" i="11"/>
  <c r="J67" i="11"/>
  <c r="T24" i="11"/>
  <c r="U34" i="11"/>
  <c r="R24" i="11"/>
  <c r="M24" i="11"/>
  <c r="J24" i="11"/>
  <c r="N24" i="11"/>
  <c r="R69" i="11" l="1"/>
  <c r="V14" i="14"/>
  <c r="T69" i="11"/>
  <c r="T20" i="14"/>
  <c r="T68" i="11"/>
  <c r="Q20" i="14"/>
  <c r="Q24" i="11"/>
  <c r="R34" i="11"/>
  <c r="K14" i="14"/>
  <c r="K20" i="14" s="1"/>
  <c r="I67" i="11"/>
  <c r="U24" i="11"/>
  <c r="O24" i="11"/>
  <c r="T34" i="11"/>
  <c r="S24" i="11"/>
  <c r="K68" i="11"/>
  <c r="P24" i="11"/>
  <c r="U69" i="11"/>
  <c r="O68" i="11"/>
  <c r="O20" i="14"/>
  <c r="U15" i="14"/>
  <c r="U21" i="14" s="1"/>
  <c r="R66" i="11" l="1"/>
  <c r="V20" i="14"/>
  <c r="K13" i="14"/>
  <c r="K19" i="14" s="1"/>
  <c r="N69" i="11"/>
  <c r="N34" i="11"/>
  <c r="I24" i="11"/>
  <c r="L24" i="11"/>
  <c r="S69" i="11"/>
  <c r="S34" i="11"/>
  <c r="V13" i="14"/>
  <c r="K24" i="11"/>
  <c r="H68" i="11"/>
  <c r="H24" i="11"/>
  <c r="U4" i="14"/>
  <c r="U12" i="14" s="1"/>
  <c r="U18" i="14" s="1"/>
  <c r="T66" i="11"/>
  <c r="U66" i="11"/>
  <c r="S15" i="14" l="1"/>
  <c r="S4" i="14"/>
  <c r="S12" i="14" s="1"/>
  <c r="S18" i="14" s="1"/>
  <c r="Q15" i="14"/>
  <c r="Q4" i="14"/>
  <c r="Q12" i="14" s="1"/>
  <c r="N15" i="14"/>
  <c r="N4" i="14"/>
  <c r="N12" i="14" s="1"/>
  <c r="N18" i="14" s="1"/>
  <c r="V24" i="11"/>
  <c r="L14" i="3"/>
  <c r="L87" i="11"/>
  <c r="I14" i="3"/>
  <c r="I87" i="11"/>
  <c r="S16" i="3"/>
  <c r="S89" i="11"/>
  <c r="U14" i="3"/>
  <c r="U87" i="11"/>
  <c r="S66" i="11"/>
  <c r="M15" i="14"/>
  <c r="M4" i="14"/>
  <c r="M12" i="14" s="1"/>
  <c r="O14" i="3"/>
  <c r="O87" i="11"/>
  <c r="H67" i="11"/>
  <c r="V69" i="11"/>
  <c r="V34" i="11"/>
  <c r="O15" i="14"/>
  <c r="O21" i="14" s="1"/>
  <c r="O4" i="14"/>
  <c r="O12" i="14" s="1"/>
  <c r="P15" i="14"/>
  <c r="P4" i="14"/>
  <c r="P12" i="14" s="1"/>
  <c r="R15" i="14"/>
  <c r="R21" i="14" s="1"/>
  <c r="R4" i="14"/>
  <c r="R12" i="14" s="1"/>
  <c r="M69" i="11"/>
  <c r="M34" i="11"/>
  <c r="K14" i="3"/>
  <c r="K87" i="11"/>
  <c r="M14" i="3"/>
  <c r="M87" i="11"/>
  <c r="J13" i="14"/>
  <c r="J19" i="14" s="1"/>
  <c r="J14" i="14"/>
  <c r="J20" i="14" s="1"/>
  <c r="R14" i="3"/>
  <c r="R87" i="11"/>
  <c r="T15" i="14"/>
  <c r="T21" i="14" s="1"/>
  <c r="T4" i="14"/>
  <c r="T12" i="14" s="1"/>
  <c r="T18" i="14" s="1"/>
  <c r="T14" i="3"/>
  <c r="T87" i="11"/>
  <c r="V14" i="3"/>
  <c r="V87" i="11"/>
  <c r="N66" i="11"/>
  <c r="S14" i="3"/>
  <c r="S87" i="11"/>
  <c r="N14" i="3"/>
  <c r="N87" i="11"/>
  <c r="P14" i="3"/>
  <c r="P87" i="11"/>
  <c r="O69" i="11"/>
  <c r="O34" i="11"/>
  <c r="G24" i="11"/>
  <c r="J14" i="3"/>
  <c r="J87" i="11"/>
  <c r="Q14" i="3"/>
  <c r="Q87" i="11"/>
  <c r="L69" i="11"/>
  <c r="L34" i="11"/>
  <c r="V19" i="14"/>
  <c r="U16" i="3" l="1"/>
  <c r="U89" i="11"/>
  <c r="L66" i="11"/>
  <c r="R18" i="14"/>
  <c r="I14" i="14"/>
  <c r="V15" i="14"/>
  <c r="V4" i="14"/>
  <c r="V12" i="14" s="1"/>
  <c r="V18" i="14" s="1"/>
  <c r="T16" i="3"/>
  <c r="T89" i="11"/>
  <c r="N21" i="14"/>
  <c r="E24" i="11"/>
  <c r="R16" i="3"/>
  <c r="R89" i="11"/>
  <c r="O18" i="14"/>
  <c r="O66" i="11"/>
  <c r="F24" i="11"/>
  <c r="G68" i="11"/>
  <c r="M16" i="3"/>
  <c r="M89" i="11"/>
  <c r="K69" i="11"/>
  <c r="K34" i="11"/>
  <c r="P69" i="11"/>
  <c r="P21" i="14"/>
  <c r="P34" i="11"/>
  <c r="V16" i="3"/>
  <c r="V89" i="11"/>
  <c r="M18" i="14"/>
  <c r="M66" i="11"/>
  <c r="L15" i="14"/>
  <c r="L21" i="14" s="1"/>
  <c r="L4" i="14"/>
  <c r="L12" i="14" s="1"/>
  <c r="L18" i="14" s="1"/>
  <c r="M21" i="14"/>
  <c r="V66" i="11"/>
  <c r="S21" i="14"/>
  <c r="L16" i="3" l="1"/>
  <c r="L89" i="11"/>
  <c r="U15" i="3"/>
  <c r="U88" i="11"/>
  <c r="U4" i="11"/>
  <c r="Q77" i="11"/>
  <c r="I13" i="14"/>
  <c r="I19" i="14" s="1"/>
  <c r="N77" i="11"/>
  <c r="P15" i="3"/>
  <c r="P88" i="11"/>
  <c r="M77" i="11"/>
  <c r="R15" i="3"/>
  <c r="R88" i="11"/>
  <c r="R4" i="11"/>
  <c r="K15" i="3"/>
  <c r="K88" i="11"/>
  <c r="O15" i="3"/>
  <c r="O88" i="11"/>
  <c r="J15" i="3"/>
  <c r="J88" i="11"/>
  <c r="P18" i="14"/>
  <c r="P66" i="11"/>
  <c r="L77" i="11"/>
  <c r="I77" i="11"/>
  <c r="T77" i="11"/>
  <c r="J77" i="11"/>
  <c r="Q15" i="3"/>
  <c r="Q88" i="11"/>
  <c r="Q69" i="11"/>
  <c r="Q34" i="11"/>
  <c r="I20" i="14"/>
  <c r="S15" i="3"/>
  <c r="S88" i="11"/>
  <c r="S4" i="11"/>
  <c r="O77" i="11"/>
  <c r="U72" i="11"/>
  <c r="K77" i="11"/>
  <c r="M15" i="3"/>
  <c r="M88" i="11"/>
  <c r="M4" i="11"/>
  <c r="N15" i="3"/>
  <c r="N88" i="11"/>
  <c r="N4" i="11"/>
  <c r="J69" i="11"/>
  <c r="J34" i="11"/>
  <c r="L15" i="3"/>
  <c r="L88" i="11"/>
  <c r="L4" i="11"/>
  <c r="S77" i="11"/>
  <c r="S79" i="11"/>
  <c r="R77" i="11"/>
  <c r="U77" i="11"/>
  <c r="Q21" i="14"/>
  <c r="N16" i="3"/>
  <c r="N109" i="11"/>
  <c r="N89" i="11"/>
  <c r="T15" i="3"/>
  <c r="T88" i="11"/>
  <c r="T4" i="11"/>
  <c r="T72" i="11"/>
  <c r="I15" i="3"/>
  <c r="I88" i="11"/>
  <c r="K66" i="11"/>
  <c r="V77" i="11"/>
  <c r="G67" i="11"/>
  <c r="P77" i="11"/>
  <c r="V21" i="14"/>
  <c r="U79" i="11"/>
  <c r="H14" i="3" l="1"/>
  <c r="H87" i="11"/>
  <c r="D24" i="11"/>
  <c r="V15" i="3"/>
  <c r="V88" i="11"/>
  <c r="V4" i="11"/>
  <c r="V108" i="11" s="1"/>
  <c r="R79" i="11"/>
  <c r="J66" i="11"/>
  <c r="M13" i="3"/>
  <c r="U106" i="11"/>
  <c r="U86" i="11"/>
  <c r="U107" i="11"/>
  <c r="U109" i="11"/>
  <c r="S72" i="11"/>
  <c r="L106" i="11"/>
  <c r="L86" i="11"/>
  <c r="L107" i="11"/>
  <c r="S107" i="11"/>
  <c r="S106" i="11"/>
  <c r="S86" i="11"/>
  <c r="S109" i="11"/>
  <c r="R13" i="3"/>
  <c r="U108" i="11"/>
  <c r="M79" i="11"/>
  <c r="O89" i="11"/>
  <c r="O16" i="3"/>
  <c r="V79" i="11"/>
  <c r="F68" i="11"/>
  <c r="T106" i="11"/>
  <c r="T86" i="11"/>
  <c r="T107" i="11"/>
  <c r="T109" i="11"/>
  <c r="L108" i="11"/>
  <c r="N106" i="11"/>
  <c r="N86" i="11"/>
  <c r="N107" i="11"/>
  <c r="S108" i="11"/>
  <c r="T108" i="11"/>
  <c r="U13" i="3"/>
  <c r="I69" i="11"/>
  <c r="I34" i="11"/>
  <c r="L13" i="3"/>
  <c r="N108" i="11"/>
  <c r="S13" i="3"/>
  <c r="L109" i="11"/>
  <c r="T13" i="3"/>
  <c r="N13" i="3"/>
  <c r="T79" i="11"/>
  <c r="M108" i="11"/>
  <c r="M106" i="11"/>
  <c r="M86" i="11"/>
  <c r="M107" i="11"/>
  <c r="M109" i="11"/>
  <c r="Q66" i="11"/>
  <c r="Q18" i="14"/>
  <c r="O4" i="11"/>
  <c r="O109" i="11" s="1"/>
  <c r="R109" i="11"/>
  <c r="R86" i="11"/>
  <c r="R106" i="11"/>
  <c r="R107" i="11"/>
  <c r="R108" i="11"/>
  <c r="T73" i="11"/>
  <c r="L78" i="11" l="1"/>
  <c r="O78" i="11"/>
  <c r="H13" i="14"/>
  <c r="H19" i="14" s="1"/>
  <c r="U73" i="11"/>
  <c r="N78" i="11"/>
  <c r="N14" i="11"/>
  <c r="H14" i="14"/>
  <c r="H20" i="14" s="1"/>
  <c r="C24" i="11"/>
  <c r="F67" i="11"/>
  <c r="V13" i="3"/>
  <c r="S78" i="11"/>
  <c r="S14" i="11"/>
  <c r="S118" i="11" s="1"/>
  <c r="O108" i="11"/>
  <c r="O106" i="11"/>
  <c r="O86" i="11"/>
  <c r="O107" i="11"/>
  <c r="I66" i="11"/>
  <c r="N79" i="11"/>
  <c r="Q78" i="11"/>
  <c r="M78" i="11"/>
  <c r="M14" i="11"/>
  <c r="M118" i="11" s="1"/>
  <c r="V78" i="11"/>
  <c r="V14" i="11"/>
  <c r="K16" i="3"/>
  <c r="K89" i="11"/>
  <c r="K4" i="11"/>
  <c r="K109" i="11" s="1"/>
  <c r="B24" i="11"/>
  <c r="J78" i="11"/>
  <c r="P78" i="11"/>
  <c r="E68" i="11"/>
  <c r="R72" i="11"/>
  <c r="R78" i="11"/>
  <c r="R14" i="11"/>
  <c r="R118" i="11" s="1"/>
  <c r="P16" i="3"/>
  <c r="P89" i="11"/>
  <c r="P4" i="11"/>
  <c r="U78" i="11"/>
  <c r="U14" i="11"/>
  <c r="U118" i="11" s="1"/>
  <c r="K78" i="11"/>
  <c r="T78" i="11"/>
  <c r="T14" i="11"/>
  <c r="I78" i="11"/>
  <c r="O13" i="3"/>
  <c r="V106" i="11"/>
  <c r="V86" i="11"/>
  <c r="V107" i="11"/>
  <c r="V109" i="11"/>
  <c r="O14" i="11"/>
  <c r="V72" i="11"/>
  <c r="Q72" i="11"/>
  <c r="O116" i="11" l="1"/>
  <c r="O76" i="11"/>
  <c r="O117" i="11"/>
  <c r="O118" i="11"/>
  <c r="S73" i="11"/>
  <c r="K13" i="3"/>
  <c r="H77" i="11"/>
  <c r="H15" i="3"/>
  <c r="H88" i="11"/>
  <c r="O79" i="11"/>
  <c r="O119" i="11"/>
  <c r="V118" i="11"/>
  <c r="V116" i="11"/>
  <c r="V76" i="11"/>
  <c r="V117" i="11"/>
  <c r="V119" i="11"/>
  <c r="N116" i="11"/>
  <c r="N76" i="11"/>
  <c r="N117" i="11"/>
  <c r="T116" i="11"/>
  <c r="T76" i="11"/>
  <c r="T117" i="11"/>
  <c r="T119" i="11"/>
  <c r="P109" i="11"/>
  <c r="P106" i="11"/>
  <c r="P86" i="11"/>
  <c r="P107" i="11"/>
  <c r="P108" i="11"/>
  <c r="J16" i="3"/>
  <c r="J89" i="11"/>
  <c r="J4" i="11"/>
  <c r="T118" i="11"/>
  <c r="M116" i="11"/>
  <c r="M76" i="11"/>
  <c r="M117" i="11"/>
  <c r="M119" i="11"/>
  <c r="N119" i="11"/>
  <c r="N118" i="11"/>
  <c r="K15" i="14"/>
  <c r="K21" i="14" s="1"/>
  <c r="K4" i="14"/>
  <c r="K12" i="14" s="1"/>
  <c r="G87" i="11"/>
  <c r="G14" i="3"/>
  <c r="P13" i="3"/>
  <c r="Q89" i="11"/>
  <c r="Q16" i="3"/>
  <c r="Q4" i="11"/>
  <c r="Q109" i="11" s="1"/>
  <c r="H69" i="11"/>
  <c r="H34" i="11"/>
  <c r="U119" i="11"/>
  <c r="U76" i="11"/>
  <c r="U116" i="11"/>
  <c r="U117" i="11"/>
  <c r="R116" i="11"/>
  <c r="R76" i="11"/>
  <c r="R117" i="11"/>
  <c r="R119" i="11"/>
  <c r="K106" i="11"/>
  <c r="K86" i="11"/>
  <c r="K107" i="11"/>
  <c r="K108" i="11"/>
  <c r="S116" i="11"/>
  <c r="S76" i="11"/>
  <c r="S117" i="11"/>
  <c r="S119" i="11"/>
  <c r="P72" i="11"/>
  <c r="I16" i="3" l="1"/>
  <c r="I89" i="11"/>
  <c r="I4" i="11"/>
  <c r="K18" i="14"/>
  <c r="L79" i="11"/>
  <c r="L14" i="11"/>
  <c r="H66" i="11"/>
  <c r="E67" i="11"/>
  <c r="K79" i="11"/>
  <c r="K14" i="11"/>
  <c r="D68" i="11"/>
  <c r="R73" i="11"/>
  <c r="Q108" i="11"/>
  <c r="Q86" i="11"/>
  <c r="Q106" i="11"/>
  <c r="Q107" i="11"/>
  <c r="J15" i="14"/>
  <c r="J21" i="14" s="1"/>
  <c r="J4" i="14"/>
  <c r="J12" i="14" s="1"/>
  <c r="P79" i="11"/>
  <c r="P14" i="11"/>
  <c r="Q13" i="3"/>
  <c r="J109" i="11"/>
  <c r="J86" i="11"/>
  <c r="J106" i="11"/>
  <c r="J107" i="11"/>
  <c r="J108" i="11"/>
  <c r="G13" i="14"/>
  <c r="G19" i="14" s="1"/>
  <c r="G14" i="14"/>
  <c r="G20" i="14" s="1"/>
  <c r="J13" i="3"/>
  <c r="O72" i="11"/>
  <c r="I15" i="14" l="1"/>
  <c r="I21" i="14" s="1"/>
  <c r="I4" i="14"/>
  <c r="I12" i="14" s="1"/>
  <c r="Q73" i="11"/>
  <c r="J18" i="14"/>
  <c r="F14" i="14"/>
  <c r="F14" i="3"/>
  <c r="F87" i="11"/>
  <c r="Q79" i="11"/>
  <c r="Q14" i="11"/>
  <c r="G77" i="11"/>
  <c r="G69" i="11"/>
  <c r="G34" i="11"/>
  <c r="K116" i="11"/>
  <c r="K76" i="11"/>
  <c r="K117" i="11"/>
  <c r="K118" i="11"/>
  <c r="I109" i="11"/>
  <c r="I86" i="11"/>
  <c r="I106" i="11"/>
  <c r="I107" i="11"/>
  <c r="I108" i="11"/>
  <c r="J79" i="11"/>
  <c r="J14" i="11"/>
  <c r="K119" i="11"/>
  <c r="P116" i="11"/>
  <c r="P76" i="11"/>
  <c r="P117" i="11"/>
  <c r="P118" i="11"/>
  <c r="L116" i="11"/>
  <c r="L76" i="11"/>
  <c r="L117" i="11"/>
  <c r="L118" i="11"/>
  <c r="I13" i="3"/>
  <c r="V73" i="11"/>
  <c r="L119" i="11"/>
  <c r="G15" i="3"/>
  <c r="G88" i="11"/>
  <c r="H78" i="11"/>
  <c r="P119" i="11"/>
  <c r="P73" i="11"/>
  <c r="H16" i="3" l="1"/>
  <c r="H89" i="11"/>
  <c r="H4" i="11"/>
  <c r="F20" i="14"/>
  <c r="D67" i="11"/>
  <c r="J76" i="11"/>
  <c r="J116" i="11"/>
  <c r="J117" i="11"/>
  <c r="J118" i="11"/>
  <c r="Q117" i="11"/>
  <c r="Q116" i="11"/>
  <c r="Q76" i="11"/>
  <c r="Q118" i="11"/>
  <c r="J119" i="11"/>
  <c r="F13" i="14"/>
  <c r="F19" i="14" s="1"/>
  <c r="Q119" i="11"/>
  <c r="N72" i="11"/>
  <c r="I79" i="11"/>
  <c r="I14" i="11"/>
  <c r="I18" i="14"/>
  <c r="G66" i="11"/>
  <c r="O73" i="11"/>
  <c r="F69" i="11" l="1"/>
  <c r="F34" i="11"/>
  <c r="F66" i="11" s="1"/>
  <c r="F77" i="11"/>
  <c r="I116" i="11"/>
  <c r="I76" i="11"/>
  <c r="I117" i="11"/>
  <c r="I118" i="11"/>
  <c r="G78" i="11"/>
  <c r="I119" i="11"/>
  <c r="H107" i="11"/>
  <c r="H86" i="11"/>
  <c r="H106" i="11"/>
  <c r="H108" i="11"/>
  <c r="H15" i="14"/>
  <c r="H21" i="14" s="1"/>
  <c r="H4" i="14"/>
  <c r="H12" i="14" s="1"/>
  <c r="H18" i="14" s="1"/>
  <c r="H109" i="11"/>
  <c r="C68" i="11"/>
  <c r="E14" i="3"/>
  <c r="E87" i="11"/>
  <c r="F15" i="3"/>
  <c r="F88" i="11"/>
  <c r="H13" i="3"/>
  <c r="L72" i="11"/>
  <c r="N73" i="11" l="1"/>
  <c r="M72" i="11"/>
  <c r="E14" i="14"/>
  <c r="E20" i="14" s="1"/>
  <c r="E15" i="3"/>
  <c r="E88" i="11"/>
  <c r="C67" i="11"/>
  <c r="G89" i="11"/>
  <c r="G16" i="3"/>
  <c r="G4" i="11"/>
  <c r="E13" i="14"/>
  <c r="E19" i="14" s="1"/>
  <c r="H79" i="11"/>
  <c r="H14" i="11"/>
  <c r="D14" i="3" l="1"/>
  <c r="D87" i="11"/>
  <c r="E69" i="11"/>
  <c r="E34" i="11"/>
  <c r="G15" i="14"/>
  <c r="G21" i="14" s="1"/>
  <c r="G4" i="14"/>
  <c r="G12" i="14" s="1"/>
  <c r="K72" i="11"/>
  <c r="H117" i="11"/>
  <c r="H116" i="11"/>
  <c r="H76" i="11"/>
  <c r="H118" i="11"/>
  <c r="G106" i="11"/>
  <c r="G86" i="11"/>
  <c r="G107" i="11"/>
  <c r="G108" i="11"/>
  <c r="H119" i="11"/>
  <c r="G109" i="11"/>
  <c r="G13" i="3"/>
  <c r="B68" i="11"/>
  <c r="F78" i="11"/>
  <c r="E77" i="11"/>
  <c r="E78" i="11"/>
  <c r="J72" i="11" l="1"/>
  <c r="D15" i="3"/>
  <c r="D88" i="11"/>
  <c r="B67" i="11"/>
  <c r="G79" i="11"/>
  <c r="G14" i="11"/>
  <c r="G119" i="11" s="1"/>
  <c r="D13" i="14"/>
  <c r="D19" i="14" s="1"/>
  <c r="L73" i="11"/>
  <c r="M73" i="11"/>
  <c r="G18" i="14"/>
  <c r="F16" i="3"/>
  <c r="F89" i="11"/>
  <c r="F4" i="11"/>
  <c r="D14" i="14"/>
  <c r="D20" i="14" s="1"/>
  <c r="E66" i="11"/>
  <c r="F109" i="11" l="1"/>
  <c r="F106" i="11"/>
  <c r="F86" i="11"/>
  <c r="F107" i="11"/>
  <c r="F108" i="11"/>
  <c r="F15" i="14"/>
  <c r="F21" i="14" s="1"/>
  <c r="F4" i="14"/>
  <c r="F12" i="14" s="1"/>
  <c r="F18" i="14" s="1"/>
  <c r="D77" i="11"/>
  <c r="F13" i="3"/>
  <c r="C14" i="14"/>
  <c r="C20" i="14" s="1"/>
  <c r="C87" i="11"/>
  <c r="C14" i="3"/>
  <c r="I72" i="11"/>
  <c r="K73" i="11"/>
  <c r="D69" i="11"/>
  <c r="D34" i="11"/>
  <c r="G116" i="11"/>
  <c r="G76" i="11"/>
  <c r="G117" i="11"/>
  <c r="G118" i="11"/>
  <c r="H72" i="11"/>
  <c r="C13" i="14" l="1"/>
  <c r="C19" i="14" s="1"/>
  <c r="J73" i="11"/>
  <c r="C15" i="3"/>
  <c r="C88" i="11"/>
  <c r="F79" i="11"/>
  <c r="F14" i="11"/>
  <c r="D66" i="11"/>
  <c r="D78" i="11"/>
  <c r="E16" i="3"/>
  <c r="E89" i="11"/>
  <c r="E4" i="11"/>
  <c r="B14" i="3" l="1"/>
  <c r="B87" i="11"/>
  <c r="E106" i="11"/>
  <c r="E86" i="11"/>
  <c r="E107" i="11"/>
  <c r="E108" i="11"/>
  <c r="F116" i="11"/>
  <c r="F76" i="11"/>
  <c r="F117" i="11"/>
  <c r="F118" i="11"/>
  <c r="I73" i="11"/>
  <c r="E109" i="11"/>
  <c r="E15" i="14"/>
  <c r="E21" i="14" s="1"/>
  <c r="E4" i="14"/>
  <c r="E12" i="14" s="1"/>
  <c r="E18" i="14" s="1"/>
  <c r="F119" i="11"/>
  <c r="E13" i="3"/>
  <c r="G72" i="11"/>
  <c r="C77" i="11"/>
  <c r="C69" i="11"/>
  <c r="C34" i="11"/>
  <c r="C66" i="11" s="1"/>
  <c r="H73" i="11" l="1"/>
  <c r="F72" i="11"/>
  <c r="D16" i="3"/>
  <c r="D89" i="11"/>
  <c r="D4" i="11"/>
  <c r="B13" i="14"/>
  <c r="B19" i="14" s="1"/>
  <c r="B14" i="14"/>
  <c r="C78" i="11"/>
  <c r="B15" i="3"/>
  <c r="B88" i="11"/>
  <c r="E79" i="11"/>
  <c r="E14" i="11"/>
  <c r="D13" i="3" l="1"/>
  <c r="B69" i="11"/>
  <c r="B34" i="11"/>
  <c r="G73" i="11"/>
  <c r="D15" i="14"/>
  <c r="D4" i="14"/>
  <c r="D12" i="14" s="1"/>
  <c r="E72" i="11"/>
  <c r="B77" i="11"/>
  <c r="E118" i="11"/>
  <c r="E76" i="11"/>
  <c r="E116" i="11"/>
  <c r="E117" i="11"/>
  <c r="D108" i="11"/>
  <c r="D86" i="11"/>
  <c r="D106" i="11"/>
  <c r="D107" i="11"/>
  <c r="E119" i="11"/>
  <c r="B20" i="14"/>
  <c r="D109" i="11"/>
  <c r="B78" i="11" l="1"/>
  <c r="C89" i="11"/>
  <c r="C16" i="3"/>
  <c r="C4" i="11"/>
  <c r="D79" i="11"/>
  <c r="D14" i="11"/>
  <c r="F73" i="11"/>
  <c r="D21" i="14"/>
  <c r="B66" i="11"/>
  <c r="D18" i="14"/>
  <c r="D72" i="11"/>
  <c r="B97" i="11"/>
  <c r="C72" i="11" l="1"/>
  <c r="C108" i="11"/>
  <c r="C86" i="11"/>
  <c r="C106" i="11"/>
  <c r="C107" i="11"/>
  <c r="C109" i="11"/>
  <c r="E73" i="11"/>
  <c r="D116" i="11"/>
  <c r="D76" i="11"/>
  <c r="D117" i="11"/>
  <c r="D118" i="11"/>
  <c r="C13" i="3"/>
  <c r="D119" i="11"/>
  <c r="C15" i="14"/>
  <c r="C21" i="14" s="1"/>
  <c r="C4" i="14"/>
  <c r="C12" i="14" s="1"/>
  <c r="C18" i="14" s="1"/>
  <c r="C97" i="11"/>
  <c r="B72" i="11" l="1"/>
  <c r="C79" i="11"/>
  <c r="C14" i="11"/>
  <c r="B16" i="3"/>
  <c r="B89" i="11"/>
  <c r="B4" i="11"/>
  <c r="B98" i="11"/>
  <c r="D73" i="11"/>
  <c r="C73" i="11"/>
  <c r="B13" i="3" l="1"/>
  <c r="E97" i="11"/>
  <c r="B15" i="14"/>
  <c r="B21" i="14" s="1"/>
  <c r="B4" i="14"/>
  <c r="B12" i="14" s="1"/>
  <c r="C119" i="11"/>
  <c r="C116" i="11"/>
  <c r="C76" i="11"/>
  <c r="C117" i="11"/>
  <c r="C118" i="11"/>
  <c r="D97" i="11"/>
  <c r="D98" i="11"/>
  <c r="C98" i="11"/>
  <c r="B106" i="11"/>
  <c r="B86" i="11"/>
  <c r="B107" i="11"/>
  <c r="B108" i="11"/>
  <c r="B109" i="11"/>
  <c r="B73" i="11"/>
  <c r="F97" i="11" l="1"/>
  <c r="B18" i="14"/>
  <c r="B79" i="11"/>
  <c r="B14" i="11"/>
  <c r="B99" i="11" l="1"/>
  <c r="B44" i="11"/>
  <c r="E98" i="11"/>
  <c r="G97" i="11"/>
  <c r="B119" i="11"/>
  <c r="B76" i="11"/>
  <c r="B116" i="11"/>
  <c r="B117" i="11"/>
  <c r="B118" i="11"/>
  <c r="H97" i="11" l="1"/>
  <c r="C99" i="11"/>
  <c r="C44" i="11"/>
  <c r="B96" i="11"/>
  <c r="F98" i="11"/>
  <c r="D99" i="11" l="1"/>
  <c r="D44" i="11"/>
  <c r="C96" i="11"/>
  <c r="B54" i="11"/>
  <c r="G98" i="11"/>
  <c r="I97" i="11"/>
  <c r="H98" i="11" l="1"/>
  <c r="J97" i="11"/>
  <c r="C54" i="11"/>
  <c r="E99" i="11"/>
  <c r="E44" i="11"/>
  <c r="D54" i="11"/>
  <c r="D96" i="11"/>
  <c r="E54" i="11" l="1"/>
  <c r="I98" i="11"/>
  <c r="F99" i="11"/>
  <c r="F44" i="11"/>
  <c r="K97" i="11"/>
  <c r="E96" i="11"/>
  <c r="F96" i="11" l="1"/>
  <c r="L97" i="11"/>
  <c r="G99" i="11"/>
  <c r="G44" i="11"/>
  <c r="F54" i="11"/>
  <c r="J98" i="11"/>
  <c r="M97" i="11" l="1"/>
  <c r="H99" i="11"/>
  <c r="H44" i="11"/>
  <c r="H96" i="11" s="1"/>
  <c r="G96" i="11"/>
  <c r="K98" i="11"/>
  <c r="G54" i="11" l="1"/>
  <c r="I99" i="11"/>
  <c r="I44" i="11"/>
  <c r="N97" i="11"/>
  <c r="L98" i="11"/>
  <c r="J99" i="11" l="1"/>
  <c r="J44" i="11"/>
  <c r="J96" i="11" s="1"/>
  <c r="H54" i="11"/>
  <c r="I96" i="11"/>
  <c r="O97" i="11"/>
  <c r="I54" i="11"/>
  <c r="M98" i="11"/>
  <c r="N98" i="11" l="1"/>
  <c r="K99" i="11"/>
  <c r="K44" i="11"/>
  <c r="P97" i="11"/>
  <c r="J54" i="11"/>
  <c r="K54" i="11" l="1"/>
  <c r="K96" i="11"/>
  <c r="Q97" i="11"/>
  <c r="L99" i="11"/>
  <c r="L44" i="11"/>
  <c r="O98" i="11"/>
  <c r="L54" i="11" l="1"/>
  <c r="L96" i="11"/>
  <c r="P98" i="11"/>
  <c r="M99" i="11"/>
  <c r="M44" i="11"/>
  <c r="R97" i="11"/>
  <c r="M54" i="11" l="1"/>
  <c r="Q98" i="11"/>
  <c r="N99" i="11"/>
  <c r="N44" i="11"/>
  <c r="M96" i="11"/>
  <c r="S97" i="11"/>
  <c r="N96" i="11" l="1"/>
  <c r="R98" i="11"/>
  <c r="T97" i="11"/>
  <c r="O99" i="11"/>
  <c r="O44" i="11"/>
  <c r="P99" i="11" l="1"/>
  <c r="P44" i="11"/>
  <c r="U97" i="11"/>
  <c r="O54" i="11"/>
  <c r="S98" i="11"/>
  <c r="N54" i="11"/>
  <c r="O96" i="11"/>
  <c r="T98" i="11" l="1"/>
  <c r="Q99" i="11"/>
  <c r="Q44" i="11"/>
  <c r="Q96" i="11" s="1"/>
  <c r="P54" i="11"/>
  <c r="P96" i="11"/>
  <c r="Q54" i="11" l="1"/>
  <c r="U98" i="11"/>
  <c r="R99" i="11"/>
  <c r="R44" i="11"/>
  <c r="R96" i="11" s="1"/>
  <c r="V97" i="11"/>
  <c r="R54" i="11" l="1"/>
  <c r="S99" i="11"/>
  <c r="S44" i="11"/>
  <c r="V98" i="11" l="1"/>
  <c r="T99" i="11"/>
  <c r="T44" i="11"/>
  <c r="S96" i="11"/>
  <c r="S54" i="11"/>
  <c r="U99" i="11" l="1"/>
  <c r="U44" i="11"/>
  <c r="T96" i="11"/>
  <c r="T54" i="11" l="1"/>
  <c r="U96" i="11"/>
  <c r="V99" i="11" l="1"/>
  <c r="V44" i="11"/>
  <c r="V54" i="11"/>
  <c r="U54" i="11"/>
  <c r="V96" i="11" l="1"/>
  <c r="U28" i="11" l="1"/>
  <c r="H28" i="11"/>
  <c r="K28" i="11"/>
  <c r="T28" i="11"/>
  <c r="E28" i="11"/>
  <c r="N28" i="11"/>
  <c r="O28" i="11"/>
  <c r="L28" i="11"/>
  <c r="L23" i="11" s="1"/>
  <c r="J28" i="11"/>
  <c r="R28" i="11"/>
  <c r="P28" i="11"/>
  <c r="M28" i="11"/>
  <c r="Q28" i="11"/>
  <c r="S28" i="11"/>
  <c r="F28" i="11"/>
  <c r="G28" i="11"/>
  <c r="I28" i="11"/>
  <c r="M23" i="11" l="1"/>
  <c r="F23" i="11"/>
  <c r="T23" i="11"/>
  <c r="P23" i="11"/>
  <c r="D28" i="11"/>
  <c r="R23" i="11"/>
  <c r="N23" i="11"/>
  <c r="H23" i="11"/>
  <c r="I23" i="11"/>
  <c r="S23" i="11"/>
  <c r="K23" i="11"/>
  <c r="Q23" i="11"/>
  <c r="J23" i="11"/>
  <c r="E23" i="11"/>
  <c r="U23" i="11"/>
  <c r="O23" i="11"/>
  <c r="V28" i="11"/>
  <c r="G23" i="11"/>
  <c r="I71" i="11" l="1"/>
  <c r="I38" i="11"/>
  <c r="I70" i="11" s="1"/>
  <c r="C28" i="11"/>
  <c r="V23" i="11"/>
  <c r="D23" i="11"/>
  <c r="M38" i="11"/>
  <c r="M70" i="11" s="1"/>
  <c r="M71" i="11"/>
  <c r="G71" i="11"/>
  <c r="G38" i="11"/>
  <c r="G70" i="11" s="1"/>
  <c r="L38" i="11"/>
  <c r="L70" i="11" s="1"/>
  <c r="L71" i="11"/>
  <c r="K71" i="11"/>
  <c r="K38" i="11"/>
  <c r="K70" i="11" s="1"/>
  <c r="R71" i="11"/>
  <c r="R38" i="11"/>
  <c r="R70" i="11" s="1"/>
  <c r="F38" i="11"/>
  <c r="F70" i="11" s="1"/>
  <c r="F71" i="11"/>
  <c r="H71" i="11"/>
  <c r="H38" i="11"/>
  <c r="H70" i="11" s="1"/>
  <c r="N71" i="11"/>
  <c r="N38" i="11"/>
  <c r="N70" i="11" s="1"/>
  <c r="F23" i="3" l="1"/>
  <c r="F91" i="11"/>
  <c r="M23" i="3"/>
  <c r="M91" i="11"/>
  <c r="J71" i="11"/>
  <c r="J38" i="11"/>
  <c r="J70" i="11" s="1"/>
  <c r="T71" i="11"/>
  <c r="T38" i="11"/>
  <c r="T70" i="11" s="1"/>
  <c r="S71" i="11"/>
  <c r="S38" i="11"/>
  <c r="S70" i="11" s="1"/>
  <c r="U71" i="11"/>
  <c r="U38" i="11"/>
  <c r="U70" i="11" s="1"/>
  <c r="P71" i="11"/>
  <c r="P38" i="11"/>
  <c r="P70" i="11" s="1"/>
  <c r="P23" i="3"/>
  <c r="P91" i="11"/>
  <c r="S23" i="3"/>
  <c r="S91" i="11"/>
  <c r="K23" i="3"/>
  <c r="K91" i="11"/>
  <c r="L91" i="11"/>
  <c r="L23" i="3"/>
  <c r="N23" i="3"/>
  <c r="N91" i="11"/>
  <c r="U23" i="3"/>
  <c r="U91" i="11"/>
  <c r="O71" i="11"/>
  <c r="O38" i="11"/>
  <c r="O70" i="11" s="1"/>
  <c r="Q23" i="3"/>
  <c r="Q91" i="11"/>
  <c r="E23" i="3"/>
  <c r="E91" i="11"/>
  <c r="O23" i="3"/>
  <c r="O91" i="11"/>
  <c r="Q38" i="11"/>
  <c r="Q70" i="11" s="1"/>
  <c r="Q71" i="11"/>
  <c r="G23" i="3"/>
  <c r="G91" i="11"/>
  <c r="R91" i="11"/>
  <c r="R23" i="3"/>
  <c r="E71" i="11"/>
  <c r="E38" i="11"/>
  <c r="E70" i="11" s="1"/>
  <c r="H91" i="11"/>
  <c r="H23" i="3"/>
  <c r="I23" i="3"/>
  <c r="I91" i="11"/>
  <c r="T23" i="3"/>
  <c r="T91" i="11"/>
  <c r="V38" i="11"/>
  <c r="V70" i="11" s="1"/>
  <c r="V71" i="11"/>
  <c r="J91" i="11"/>
  <c r="J23" i="3"/>
  <c r="C23" i="11"/>
  <c r="D23" i="3" l="1"/>
  <c r="D91" i="11"/>
  <c r="D38" i="11"/>
  <c r="D70" i="11" s="1"/>
  <c r="D71" i="11"/>
  <c r="B28" i="11"/>
  <c r="V23" i="3"/>
  <c r="V91" i="11"/>
  <c r="H81" i="11" l="1"/>
  <c r="M81" i="11"/>
  <c r="I24" i="3"/>
  <c r="I92" i="11"/>
  <c r="G92" i="11"/>
  <c r="G24" i="3"/>
  <c r="N24" i="3"/>
  <c r="N92" i="11"/>
  <c r="F81" i="11"/>
  <c r="R24" i="3"/>
  <c r="R92" i="11"/>
  <c r="P24" i="3"/>
  <c r="P92" i="11"/>
  <c r="U81" i="11"/>
  <c r="Q24" i="3"/>
  <c r="Q92" i="11"/>
  <c r="O24" i="3"/>
  <c r="O92" i="11"/>
  <c r="S92" i="11"/>
  <c r="S24" i="3"/>
  <c r="O81" i="11"/>
  <c r="E81" i="11"/>
  <c r="C71" i="11"/>
  <c r="C38" i="11"/>
  <c r="C70" i="11" s="1"/>
  <c r="L24" i="3"/>
  <c r="L92" i="11"/>
  <c r="J24" i="3"/>
  <c r="J92" i="11"/>
  <c r="P81" i="11"/>
  <c r="K92" i="11"/>
  <c r="K24" i="3"/>
  <c r="M92" i="11"/>
  <c r="M24" i="3"/>
  <c r="R81" i="11"/>
  <c r="C23" i="3"/>
  <c r="C91" i="11"/>
  <c r="J81" i="11"/>
  <c r="F24" i="3"/>
  <c r="F92" i="11"/>
  <c r="B23" i="11"/>
  <c r="T81" i="11"/>
  <c r="N81" i="11"/>
  <c r="U92" i="11"/>
  <c r="U24" i="3"/>
  <c r="G81" i="11"/>
  <c r="I81" i="11"/>
  <c r="E24" i="3"/>
  <c r="E92" i="11"/>
  <c r="S81" i="11"/>
  <c r="H24" i="3"/>
  <c r="H92" i="11"/>
  <c r="L81" i="11"/>
  <c r="T24" i="3"/>
  <c r="T92" i="11"/>
  <c r="Q81" i="11"/>
  <c r="K81" i="11"/>
  <c r="S8" i="11"/>
  <c r="H8" i="11"/>
  <c r="U8" i="11"/>
  <c r="L8" i="11"/>
  <c r="P8" i="11"/>
  <c r="P113" i="11" l="1"/>
  <c r="P110" i="11"/>
  <c r="P90" i="11"/>
  <c r="P111" i="11"/>
  <c r="P112" i="11"/>
  <c r="L113" i="11"/>
  <c r="L90" i="11"/>
  <c r="L110" i="11"/>
  <c r="L111" i="11"/>
  <c r="L112" i="11"/>
  <c r="U90" i="11"/>
  <c r="U110" i="11"/>
  <c r="U111" i="11"/>
  <c r="U112" i="11"/>
  <c r="H112" i="11"/>
  <c r="H110" i="11"/>
  <c r="H90" i="11"/>
  <c r="H111" i="11"/>
  <c r="S113" i="11"/>
  <c r="S90" i="11"/>
  <c r="S110" i="11"/>
  <c r="S111" i="11"/>
  <c r="S112" i="11"/>
  <c r="T25" i="3"/>
  <c r="T93" i="11"/>
  <c r="N25" i="3"/>
  <c r="N22" i="3" s="1"/>
  <c r="N93" i="11"/>
  <c r="U25" i="3"/>
  <c r="U22" i="3" s="1"/>
  <c r="U93" i="11"/>
  <c r="U113" i="11"/>
  <c r="R93" i="11"/>
  <c r="R25" i="3"/>
  <c r="T8" i="11"/>
  <c r="T113" i="11" s="1"/>
  <c r="G25" i="3"/>
  <c r="G22" i="3" s="1"/>
  <c r="G93" i="11"/>
  <c r="D81" i="11"/>
  <c r="G8" i="11"/>
  <c r="G113" i="11" s="1"/>
  <c r="I25" i="3"/>
  <c r="I93" i="11"/>
  <c r="H93" i="11"/>
  <c r="H25" i="3"/>
  <c r="H22" i="3" s="1"/>
  <c r="H113" i="11"/>
  <c r="P93" i="11"/>
  <c r="P25" i="3"/>
  <c r="D92" i="11"/>
  <c r="D24" i="3"/>
  <c r="S25" i="3"/>
  <c r="S22" i="3" s="1"/>
  <c r="S93" i="11"/>
  <c r="L25" i="3"/>
  <c r="L93" i="11"/>
  <c r="V24" i="3"/>
  <c r="V92" i="11"/>
  <c r="V81" i="11"/>
  <c r="N8" i="11"/>
  <c r="I8" i="11"/>
  <c r="I113" i="11" s="1"/>
  <c r="B38" i="11"/>
  <c r="B70" i="11" s="1"/>
  <c r="B71" i="11"/>
  <c r="R8" i="11"/>
  <c r="R113" i="11" s="1"/>
  <c r="T83" i="11"/>
  <c r="F83" i="11"/>
  <c r="V8" i="11"/>
  <c r="S83" i="11"/>
  <c r="V110" i="11" l="1"/>
  <c r="V90" i="11"/>
  <c r="V111" i="11"/>
  <c r="V112" i="11"/>
  <c r="P82" i="11"/>
  <c r="P18" i="11"/>
  <c r="P123" i="11" s="1"/>
  <c r="T82" i="11"/>
  <c r="T18" i="11"/>
  <c r="H83" i="11"/>
  <c r="S82" i="11"/>
  <c r="S18" i="11"/>
  <c r="J83" i="11"/>
  <c r="M83" i="11"/>
  <c r="K83" i="11"/>
  <c r="E83" i="11"/>
  <c r="L82" i="11"/>
  <c r="L18" i="11"/>
  <c r="L123" i="11" s="1"/>
  <c r="K25" i="3"/>
  <c r="K93" i="11"/>
  <c r="K8" i="11"/>
  <c r="K113" i="11" s="1"/>
  <c r="J25" i="3"/>
  <c r="J93" i="11"/>
  <c r="J8" i="11"/>
  <c r="J113" i="11" s="1"/>
  <c r="T22" i="3"/>
  <c r="C92" i="11"/>
  <c r="C24" i="3"/>
  <c r="N83" i="11"/>
  <c r="E25" i="3"/>
  <c r="E93" i="11"/>
  <c r="E8" i="11"/>
  <c r="F82" i="11"/>
  <c r="F18" i="11"/>
  <c r="F122" i="11" s="1"/>
  <c r="L83" i="11"/>
  <c r="H82" i="11"/>
  <c r="H18" i="11"/>
  <c r="N82" i="11"/>
  <c r="N18" i="11"/>
  <c r="N122" i="11" s="1"/>
  <c r="V25" i="3"/>
  <c r="V22" i="3" s="1"/>
  <c r="V113" i="11"/>
  <c r="V93" i="11"/>
  <c r="I83" i="11"/>
  <c r="Q82" i="11"/>
  <c r="Q18" i="11"/>
  <c r="Q122" i="11" s="1"/>
  <c r="O82" i="11"/>
  <c r="O18" i="11"/>
  <c r="O123" i="11" s="1"/>
  <c r="Q83" i="11"/>
  <c r="M25" i="3"/>
  <c r="M93" i="11"/>
  <c r="M8" i="11"/>
  <c r="O83" i="11"/>
  <c r="J82" i="11"/>
  <c r="J18" i="11"/>
  <c r="R82" i="11"/>
  <c r="R18" i="11"/>
  <c r="R123" i="11" s="1"/>
  <c r="R83" i="11"/>
  <c r="G82" i="11"/>
  <c r="G18" i="11"/>
  <c r="G123" i="11" s="1"/>
  <c r="U83" i="11"/>
  <c r="F25" i="3"/>
  <c r="F93" i="11"/>
  <c r="F8" i="11"/>
  <c r="I82" i="11"/>
  <c r="I18" i="11"/>
  <c r="I123" i="11" s="1"/>
  <c r="U82" i="11"/>
  <c r="U18" i="11"/>
  <c r="Q25" i="3"/>
  <c r="Q93" i="11"/>
  <c r="Q8" i="11"/>
  <c r="C81" i="11"/>
  <c r="P83" i="11"/>
  <c r="K82" i="11"/>
  <c r="K18" i="11"/>
  <c r="K123" i="11" s="1"/>
  <c r="I90" i="11"/>
  <c r="I110" i="11"/>
  <c r="I111" i="11"/>
  <c r="I112" i="11"/>
  <c r="L22" i="3"/>
  <c r="G110" i="11"/>
  <c r="G90" i="11"/>
  <c r="G111" i="11"/>
  <c r="G112" i="11"/>
  <c r="I22" i="3"/>
  <c r="G83" i="11"/>
  <c r="R110" i="11"/>
  <c r="R90" i="11"/>
  <c r="R111" i="11"/>
  <c r="R112" i="11"/>
  <c r="N113" i="11"/>
  <c r="N90" i="11"/>
  <c r="N110" i="11"/>
  <c r="N111" i="11"/>
  <c r="N112" i="11"/>
  <c r="R22" i="3"/>
  <c r="B23" i="3"/>
  <c r="B91" i="11"/>
  <c r="E82" i="11"/>
  <c r="E18" i="11"/>
  <c r="E122" i="11" s="1"/>
  <c r="M82" i="11"/>
  <c r="M18" i="11"/>
  <c r="O25" i="3"/>
  <c r="O93" i="11"/>
  <c r="O8" i="11"/>
  <c r="P22" i="3"/>
  <c r="T111" i="11"/>
  <c r="T90" i="11"/>
  <c r="T110" i="11"/>
  <c r="T112" i="11"/>
  <c r="D83" i="11"/>
  <c r="E123" i="11" l="1"/>
  <c r="K122" i="11"/>
  <c r="O111" i="11"/>
  <c r="O90" i="11"/>
  <c r="O110" i="11"/>
  <c r="O112" i="11"/>
  <c r="Q22" i="3"/>
  <c r="Q120" i="11"/>
  <c r="Q13" i="11"/>
  <c r="Q80" i="11"/>
  <c r="Q121" i="11"/>
  <c r="N121" i="11"/>
  <c r="N120" i="11"/>
  <c r="N80" i="11"/>
  <c r="N13" i="11"/>
  <c r="F123" i="11"/>
  <c r="F120" i="11"/>
  <c r="F80" i="11"/>
  <c r="F13" i="11"/>
  <c r="F121" i="11"/>
  <c r="K111" i="11"/>
  <c r="K110" i="11"/>
  <c r="K90" i="11"/>
  <c r="K112" i="11"/>
  <c r="O113" i="11"/>
  <c r="F110" i="11"/>
  <c r="F90" i="11"/>
  <c r="F111" i="11"/>
  <c r="F112" i="11"/>
  <c r="S123" i="11"/>
  <c r="S80" i="11"/>
  <c r="S120" i="11"/>
  <c r="S13" i="11"/>
  <c r="S121" i="11"/>
  <c r="P13" i="11"/>
  <c r="P75" i="11" s="1"/>
  <c r="P120" i="11"/>
  <c r="P80" i="11"/>
  <c r="P121" i="11"/>
  <c r="J22" i="3"/>
  <c r="S122" i="11"/>
  <c r="P122" i="11"/>
  <c r="O22" i="3"/>
  <c r="U120" i="11"/>
  <c r="U80" i="11"/>
  <c r="U13" i="11"/>
  <c r="U121" i="11"/>
  <c r="F113" i="11"/>
  <c r="R121" i="11"/>
  <c r="R80" i="11"/>
  <c r="R120" i="11"/>
  <c r="R13" i="11"/>
  <c r="M113" i="11"/>
  <c r="M90" i="11"/>
  <c r="M110" i="11"/>
  <c r="M111" i="11"/>
  <c r="M112" i="11"/>
  <c r="H120" i="11"/>
  <c r="H13" i="11"/>
  <c r="H80" i="11"/>
  <c r="H121" i="11"/>
  <c r="E110" i="11"/>
  <c r="E90" i="11"/>
  <c r="E111" i="11"/>
  <c r="E112" i="11"/>
  <c r="K22" i="3"/>
  <c r="D82" i="11"/>
  <c r="D18" i="11"/>
  <c r="D122" i="11" s="1"/>
  <c r="M120" i="11"/>
  <c r="M80" i="11"/>
  <c r="M13" i="11"/>
  <c r="M75" i="11" s="1"/>
  <c r="M121" i="11"/>
  <c r="F22" i="3"/>
  <c r="R122" i="11"/>
  <c r="E113" i="11"/>
  <c r="D25" i="3"/>
  <c r="D93" i="11"/>
  <c r="D8" i="11"/>
  <c r="U122" i="11"/>
  <c r="M22" i="3"/>
  <c r="Q123" i="11"/>
  <c r="H122" i="11"/>
  <c r="M123" i="11"/>
  <c r="H123" i="11"/>
  <c r="V82" i="11"/>
  <c r="V18" i="11"/>
  <c r="V123" i="11" s="1"/>
  <c r="M122" i="11"/>
  <c r="K120" i="11"/>
  <c r="K80" i="11"/>
  <c r="K13" i="11"/>
  <c r="K121" i="11"/>
  <c r="Q113" i="11"/>
  <c r="Q110" i="11"/>
  <c r="Q90" i="11"/>
  <c r="Q111" i="11"/>
  <c r="Q112" i="11"/>
  <c r="I120" i="11"/>
  <c r="I80" i="11"/>
  <c r="I13" i="11"/>
  <c r="I121" i="11"/>
  <c r="U123" i="11"/>
  <c r="J120" i="11"/>
  <c r="J80" i="11"/>
  <c r="J13" i="11"/>
  <c r="J75" i="11" s="1"/>
  <c r="J121" i="11"/>
  <c r="O122" i="11"/>
  <c r="O120" i="11"/>
  <c r="O80" i="11"/>
  <c r="O13" i="11"/>
  <c r="O121" i="11"/>
  <c r="E22" i="3"/>
  <c r="L120" i="11"/>
  <c r="L80" i="11"/>
  <c r="L13" i="11"/>
  <c r="L75" i="11" s="1"/>
  <c r="L121" i="11"/>
  <c r="T123" i="11"/>
  <c r="T120" i="11"/>
  <c r="T80" i="11"/>
  <c r="T13" i="11"/>
  <c r="T75" i="11" s="1"/>
  <c r="T121" i="11"/>
  <c r="V83" i="11"/>
  <c r="E120" i="11"/>
  <c r="E80" i="11"/>
  <c r="E13" i="11"/>
  <c r="E121" i="11"/>
  <c r="I122" i="11"/>
  <c r="G122" i="11"/>
  <c r="G120" i="11"/>
  <c r="G80" i="11"/>
  <c r="G13" i="11"/>
  <c r="G121" i="11"/>
  <c r="J122" i="11"/>
  <c r="N123" i="11"/>
  <c r="J111" i="11"/>
  <c r="J110" i="11"/>
  <c r="J90" i="11"/>
  <c r="J112" i="11"/>
  <c r="L122" i="11"/>
  <c r="J123" i="11"/>
  <c r="T122" i="11"/>
  <c r="T43" i="12" l="1"/>
  <c r="T23" i="12"/>
  <c r="T73" i="12" s="1"/>
  <c r="T53" i="3"/>
  <c r="T33" i="12"/>
  <c r="O75" i="11"/>
  <c r="K75" i="11"/>
  <c r="V120" i="11"/>
  <c r="V80" i="11"/>
  <c r="V13" i="11"/>
  <c r="V121" i="11"/>
  <c r="G53" i="3"/>
  <c r="G43" i="12"/>
  <c r="G23" i="12"/>
  <c r="G73" i="12" s="1"/>
  <c r="G33" i="12"/>
  <c r="U53" i="3"/>
  <c r="U23" i="12"/>
  <c r="U73" i="12" s="1"/>
  <c r="U43" i="12"/>
  <c r="U33" i="12"/>
  <c r="B81" i="11"/>
  <c r="V122" i="11"/>
  <c r="R75" i="11"/>
  <c r="N75" i="11"/>
  <c r="C83" i="11"/>
  <c r="C82" i="11"/>
  <c r="C18" i="11"/>
  <c r="C122" i="11" s="1"/>
  <c r="G75" i="11"/>
  <c r="H75" i="11"/>
  <c r="M53" i="3"/>
  <c r="M43" i="12"/>
  <c r="M23" i="12"/>
  <c r="M73" i="12" s="1"/>
  <c r="M33" i="12"/>
  <c r="E75" i="11"/>
  <c r="N53" i="3"/>
  <c r="N23" i="12"/>
  <c r="N73" i="12" s="1"/>
  <c r="N33" i="12"/>
  <c r="N43" i="12"/>
  <c r="D123" i="11"/>
  <c r="D80" i="11"/>
  <c r="D120" i="11"/>
  <c r="D13" i="11"/>
  <c r="D75" i="11" s="1"/>
  <c r="D121" i="11"/>
  <c r="S75" i="11"/>
  <c r="D113" i="11"/>
  <c r="D110" i="11"/>
  <c r="D90" i="11"/>
  <c r="D111" i="11"/>
  <c r="D112" i="11"/>
  <c r="F75" i="11"/>
  <c r="B24" i="3"/>
  <c r="B92" i="11"/>
  <c r="I75" i="11"/>
  <c r="L23" i="12"/>
  <c r="L73" i="12" s="1"/>
  <c r="L53" i="3"/>
  <c r="L33" i="12"/>
  <c r="L43" i="12"/>
  <c r="D22" i="3"/>
  <c r="C25" i="3"/>
  <c r="C93" i="11"/>
  <c r="C8" i="11"/>
  <c r="C113" i="11" s="1"/>
  <c r="U75" i="11"/>
  <c r="Q75" i="11"/>
  <c r="F53" i="3"/>
  <c r="F43" i="12"/>
  <c r="F23" i="12"/>
  <c r="F73" i="12" s="1"/>
  <c r="F33" i="12"/>
  <c r="B8" i="11"/>
  <c r="B112" i="11" l="1"/>
  <c r="B90" i="11"/>
  <c r="B110" i="11"/>
  <c r="B111" i="11"/>
  <c r="N33" i="13"/>
  <c r="N43" i="13"/>
  <c r="N74" i="3"/>
  <c r="M25" i="14"/>
  <c r="M19" i="12"/>
  <c r="M69" i="12" s="1"/>
  <c r="M4" i="12"/>
  <c r="M39" i="12"/>
  <c r="M29" i="12"/>
  <c r="M44" i="3"/>
  <c r="L19" i="12"/>
  <c r="L69" i="12" s="1"/>
  <c r="L29" i="12"/>
  <c r="L4" i="12"/>
  <c r="L39" i="12"/>
  <c r="L44" i="3"/>
  <c r="L25" i="14"/>
  <c r="B101" i="11"/>
  <c r="M4" i="13"/>
  <c r="M33" i="13"/>
  <c r="M43" i="13"/>
  <c r="M74" i="3"/>
  <c r="F205" i="3"/>
  <c r="C120" i="11"/>
  <c r="C80" i="11"/>
  <c r="C13" i="11"/>
  <c r="C75" i="11" s="1"/>
  <c r="C121" i="11"/>
  <c r="N25" i="14"/>
  <c r="N19" i="12"/>
  <c r="N69" i="12" s="1"/>
  <c r="N29" i="12"/>
  <c r="N39" i="12"/>
  <c r="N44" i="3"/>
  <c r="G205" i="3"/>
  <c r="U4" i="13"/>
  <c r="U33" i="13"/>
  <c r="U43" i="13"/>
  <c r="U74" i="3"/>
  <c r="C22" i="3"/>
  <c r="E53" i="3"/>
  <c r="E33" i="12"/>
  <c r="E23" i="12"/>
  <c r="E73" i="12" s="1"/>
  <c r="E43" i="12"/>
  <c r="G83" i="3"/>
  <c r="G37" i="13"/>
  <c r="G47" i="13"/>
  <c r="L83" i="3"/>
  <c r="L47" i="13"/>
  <c r="L37" i="13"/>
  <c r="O53" i="3"/>
  <c r="O23" i="12"/>
  <c r="O73" i="12" s="1"/>
  <c r="O43" i="12"/>
  <c r="O33" i="12"/>
  <c r="L205" i="3"/>
  <c r="N205" i="3"/>
  <c r="V53" i="3"/>
  <c r="V43" i="12"/>
  <c r="V23" i="12"/>
  <c r="V73" i="12" s="1"/>
  <c r="V33" i="12"/>
  <c r="U205" i="3"/>
  <c r="V75" i="11"/>
  <c r="F83" i="3"/>
  <c r="F37" i="13"/>
  <c r="F47" i="13"/>
  <c r="N4" i="12"/>
  <c r="C123" i="11"/>
  <c r="T205" i="3"/>
  <c r="U29" i="12"/>
  <c r="U25" i="14"/>
  <c r="U4" i="12"/>
  <c r="U19" i="12"/>
  <c r="U69" i="12" s="1"/>
  <c r="U39" i="12"/>
  <c r="U44" i="3"/>
  <c r="M83" i="3"/>
  <c r="M37" i="13"/>
  <c r="M47" i="13"/>
  <c r="N4" i="13"/>
  <c r="N37" i="13"/>
  <c r="N47" i="13"/>
  <c r="N83" i="3"/>
  <c r="H53" i="3"/>
  <c r="H33" i="12"/>
  <c r="H43" i="12"/>
  <c r="H23" i="12"/>
  <c r="H73" i="12" s="1"/>
  <c r="U83" i="3"/>
  <c r="U47" i="13"/>
  <c r="U37" i="13"/>
  <c r="L4" i="13"/>
  <c r="L43" i="13"/>
  <c r="L33" i="13"/>
  <c r="L74" i="3"/>
  <c r="T43" i="13"/>
  <c r="T33" i="13"/>
  <c r="T4" i="13"/>
  <c r="T74" i="3"/>
  <c r="B25" i="3"/>
  <c r="B22" i="3" s="1"/>
  <c r="B93" i="11"/>
  <c r="B113" i="11"/>
  <c r="T83" i="3"/>
  <c r="T47" i="13"/>
  <c r="T37" i="13"/>
  <c r="M205" i="3"/>
  <c r="C112" i="11"/>
  <c r="C110" i="11"/>
  <c r="C90" i="11"/>
  <c r="C111" i="11"/>
  <c r="U235" i="3" l="1"/>
  <c r="M235" i="3"/>
  <c r="T25" i="14"/>
  <c r="T29" i="12"/>
  <c r="T4" i="12"/>
  <c r="T18" i="13" s="1"/>
  <c r="T39" i="12"/>
  <c r="T44" i="3"/>
  <c r="T19" i="12"/>
  <c r="T69" i="12" s="1"/>
  <c r="D33" i="12"/>
  <c r="D23" i="12"/>
  <c r="D73" i="12" s="1"/>
  <c r="D53" i="3"/>
  <c r="D43" i="12"/>
  <c r="M18" i="13"/>
  <c r="O4" i="13"/>
  <c r="O33" i="13"/>
  <c r="O43" i="13"/>
  <c r="O74" i="3"/>
  <c r="U196" i="3"/>
  <c r="F235" i="3"/>
  <c r="L235" i="3"/>
  <c r="H37" i="13"/>
  <c r="H47" i="13"/>
  <c r="H83" i="3"/>
  <c r="V37" i="13"/>
  <c r="V83" i="3"/>
  <c r="V47" i="13"/>
  <c r="E83" i="3"/>
  <c r="E47" i="13"/>
  <c r="E37" i="13"/>
  <c r="E25" i="14"/>
  <c r="E4" i="12"/>
  <c r="E19" i="12"/>
  <c r="E69" i="12" s="1"/>
  <c r="E29" i="12"/>
  <c r="E39" i="12"/>
  <c r="E44" i="3"/>
  <c r="T235" i="3"/>
  <c r="G25" i="14"/>
  <c r="G29" i="12"/>
  <c r="G4" i="12"/>
  <c r="G19" i="12"/>
  <c r="G69" i="12" s="1"/>
  <c r="G39" i="12"/>
  <c r="G44" i="3"/>
  <c r="F33" i="13"/>
  <c r="F4" i="13"/>
  <c r="F43" i="13"/>
  <c r="F74" i="3"/>
  <c r="O83" i="3"/>
  <c r="O47" i="13"/>
  <c r="O37" i="13"/>
  <c r="G4" i="13"/>
  <c r="G43" i="13"/>
  <c r="G33" i="13"/>
  <c r="G74" i="3"/>
  <c r="B83" i="11"/>
  <c r="L18" i="13"/>
  <c r="I23" i="12"/>
  <c r="I73" i="12" s="1"/>
  <c r="I53" i="3"/>
  <c r="I33" i="12"/>
  <c r="I43" i="12"/>
  <c r="V4" i="12"/>
  <c r="V19" i="12"/>
  <c r="V69" i="12" s="1"/>
  <c r="V29" i="12"/>
  <c r="V39" i="12"/>
  <c r="V44" i="3"/>
  <c r="V25" i="14"/>
  <c r="E205" i="3"/>
  <c r="F44" i="12"/>
  <c r="F54" i="3"/>
  <c r="F24" i="12"/>
  <c r="F74" i="12" s="1"/>
  <c r="F34" i="12"/>
  <c r="U18" i="13"/>
  <c r="M196" i="3"/>
  <c r="N18" i="13"/>
  <c r="O205" i="3"/>
  <c r="H4" i="12"/>
  <c r="H25" i="14"/>
  <c r="H39" i="12"/>
  <c r="H19" i="12"/>
  <c r="H69" i="12" s="1"/>
  <c r="H29" i="12"/>
  <c r="H44" i="3"/>
  <c r="L196" i="3"/>
  <c r="N226" i="3"/>
  <c r="E4" i="13"/>
  <c r="E43" i="13"/>
  <c r="E33" i="13"/>
  <c r="E74" i="3"/>
  <c r="B82" i="11"/>
  <c r="B18" i="11"/>
  <c r="L226" i="3"/>
  <c r="H205" i="3"/>
  <c r="O25" i="14"/>
  <c r="O4" i="12"/>
  <c r="O19" i="12"/>
  <c r="O69" i="12" s="1"/>
  <c r="O39" i="12"/>
  <c r="O29" i="12"/>
  <c r="O44" i="3"/>
  <c r="F25" i="14"/>
  <c r="F19" i="12"/>
  <c r="F69" i="12" s="1"/>
  <c r="F39" i="12"/>
  <c r="F29" i="12"/>
  <c r="F44" i="3"/>
  <c r="F4" i="12"/>
  <c r="U226" i="3"/>
  <c r="N196" i="3"/>
  <c r="H43" i="13"/>
  <c r="H33" i="13"/>
  <c r="H4" i="13"/>
  <c r="H74" i="3"/>
  <c r="T226" i="3"/>
  <c r="V205" i="3"/>
  <c r="G235" i="3"/>
  <c r="M226" i="3"/>
  <c r="C101" i="11"/>
  <c r="V4" i="13"/>
  <c r="V43" i="13"/>
  <c r="V33" i="13"/>
  <c r="V74" i="3"/>
  <c r="N235" i="3"/>
  <c r="P53" i="3"/>
  <c r="P23" i="12"/>
  <c r="P73" i="12" s="1"/>
  <c r="P43" i="12"/>
  <c r="P33" i="12"/>
  <c r="I37" i="13" l="1"/>
  <c r="I83" i="3"/>
  <c r="I47" i="13"/>
  <c r="N84" i="3"/>
  <c r="N38" i="13"/>
  <c r="N48" i="13"/>
  <c r="N10" i="13"/>
  <c r="N26" i="13" s="1"/>
  <c r="T85" i="3"/>
  <c r="T49" i="13"/>
  <c r="T39" i="13"/>
  <c r="G196" i="3"/>
  <c r="V235" i="3"/>
  <c r="L44" i="13"/>
  <c r="L34" i="13"/>
  <c r="L75" i="3"/>
  <c r="L6" i="13"/>
  <c r="L22" i="13" s="1"/>
  <c r="G85" i="3"/>
  <c r="G39" i="13"/>
  <c r="G49" i="13"/>
  <c r="N34" i="13"/>
  <c r="N44" i="13"/>
  <c r="N75" i="3"/>
  <c r="F27" i="14"/>
  <c r="F21" i="12"/>
  <c r="F71" i="12" s="1"/>
  <c r="F31" i="12"/>
  <c r="F41" i="12"/>
  <c r="F46" i="3"/>
  <c r="K43" i="12"/>
  <c r="K33" i="12"/>
  <c r="K53" i="3"/>
  <c r="K23" i="12"/>
  <c r="K73" i="12" s="1"/>
  <c r="J53" i="3"/>
  <c r="J23" i="12"/>
  <c r="J73" i="12" s="1"/>
  <c r="J43" i="12"/>
  <c r="J33" i="12"/>
  <c r="H44" i="12"/>
  <c r="H34" i="12"/>
  <c r="H54" i="3"/>
  <c r="H24" i="12"/>
  <c r="H74" i="12" s="1"/>
  <c r="L35" i="13"/>
  <c r="L45" i="13"/>
  <c r="L76" i="3"/>
  <c r="U44" i="13"/>
  <c r="U34" i="13"/>
  <c r="U75" i="3"/>
  <c r="B103" i="11"/>
  <c r="V226" i="3"/>
  <c r="G5" i="12"/>
  <c r="G3" i="12" s="1"/>
  <c r="G20" i="12"/>
  <c r="G70" i="12" s="1"/>
  <c r="G30" i="12"/>
  <c r="G40" i="12"/>
  <c r="G26" i="14"/>
  <c r="G45" i="3"/>
  <c r="N21" i="12"/>
  <c r="N71" i="12" s="1"/>
  <c r="N31" i="12"/>
  <c r="N41" i="12"/>
  <c r="N46" i="3"/>
  <c r="N27" i="14"/>
  <c r="P83" i="3"/>
  <c r="P37" i="13"/>
  <c r="P47" i="13"/>
  <c r="M54" i="3"/>
  <c r="M24" i="12"/>
  <c r="M74" i="12" s="1"/>
  <c r="M34" i="12"/>
  <c r="M44" i="12"/>
  <c r="M10" i="12"/>
  <c r="U20" i="12"/>
  <c r="U70" i="12" s="1"/>
  <c r="U26" i="14"/>
  <c r="U40" i="12"/>
  <c r="U30" i="12"/>
  <c r="U45" i="3"/>
  <c r="U6" i="12"/>
  <c r="E18" i="13"/>
  <c r="L54" i="3"/>
  <c r="L24" i="12"/>
  <c r="L74" i="12" s="1"/>
  <c r="L44" i="12"/>
  <c r="L34" i="12"/>
  <c r="L10" i="12"/>
  <c r="T26" i="14"/>
  <c r="T20" i="12"/>
  <c r="T70" i="12" s="1"/>
  <c r="T40" i="12"/>
  <c r="T30" i="12"/>
  <c r="T45" i="3"/>
  <c r="F18" i="13"/>
  <c r="E235" i="3"/>
  <c r="L21" i="12"/>
  <c r="L71" i="12" s="1"/>
  <c r="L27" i="14"/>
  <c r="L41" i="12"/>
  <c r="L31" i="12"/>
  <c r="L46" i="3"/>
  <c r="O226" i="3"/>
  <c r="D83" i="3"/>
  <c r="D47" i="13"/>
  <c r="D37" i="13"/>
  <c r="P43" i="13"/>
  <c r="P33" i="13"/>
  <c r="P4" i="13"/>
  <c r="P74" i="3"/>
  <c r="T84" i="3"/>
  <c r="T48" i="13"/>
  <c r="T38" i="13"/>
  <c r="T10" i="13"/>
  <c r="T26" i="13" s="1"/>
  <c r="L84" i="3"/>
  <c r="L48" i="13"/>
  <c r="L38" i="13"/>
  <c r="U48" i="13"/>
  <c r="U38" i="13"/>
  <c r="U84" i="3"/>
  <c r="G34" i="13"/>
  <c r="G44" i="13"/>
  <c r="G75" i="3"/>
  <c r="L55" i="3"/>
  <c r="L25" i="12"/>
  <c r="L75" i="12" s="1"/>
  <c r="L35" i="12"/>
  <c r="L45" i="12"/>
  <c r="T55" i="3"/>
  <c r="T35" i="12"/>
  <c r="T45" i="12"/>
  <c r="T25" i="12"/>
  <c r="T75" i="12" s="1"/>
  <c r="B122" i="11"/>
  <c r="B120" i="11"/>
  <c r="B80" i="11"/>
  <c r="B13" i="11"/>
  <c r="B75" i="11" s="1"/>
  <c r="B121" i="11"/>
  <c r="N54" i="3"/>
  <c r="N24" i="12"/>
  <c r="N74" i="12" s="1"/>
  <c r="N44" i="12"/>
  <c r="N34" i="12"/>
  <c r="N10" i="12"/>
  <c r="V196" i="3"/>
  <c r="B123" i="11"/>
  <c r="O235" i="3"/>
  <c r="G6" i="12"/>
  <c r="E196" i="3"/>
  <c r="D33" i="13"/>
  <c r="D4" i="13"/>
  <c r="D43" i="13"/>
  <c r="D74" i="3"/>
  <c r="T44" i="13"/>
  <c r="T34" i="13"/>
  <c r="T75" i="3"/>
  <c r="T5" i="12"/>
  <c r="F84" i="3"/>
  <c r="F48" i="13"/>
  <c r="F38" i="13"/>
  <c r="L26" i="14"/>
  <c r="L40" i="12"/>
  <c r="L30" i="12"/>
  <c r="L5" i="12"/>
  <c r="L20" i="12"/>
  <c r="L70" i="12" s="1"/>
  <c r="L45" i="3"/>
  <c r="L6" i="12"/>
  <c r="H226" i="3"/>
  <c r="U27" i="14"/>
  <c r="U21" i="12"/>
  <c r="U71" i="12" s="1"/>
  <c r="U41" i="12"/>
  <c r="U31" i="12"/>
  <c r="U46" i="3"/>
  <c r="G18" i="13"/>
  <c r="H235" i="3"/>
  <c r="D205" i="3"/>
  <c r="T196" i="3"/>
  <c r="E54" i="3"/>
  <c r="E24" i="12"/>
  <c r="E74" i="12" s="1"/>
  <c r="E44" i="12"/>
  <c r="E34" i="12"/>
  <c r="N85" i="3"/>
  <c r="N49" i="13"/>
  <c r="N39" i="13"/>
  <c r="G84" i="3"/>
  <c r="G38" i="13"/>
  <c r="G48" i="13"/>
  <c r="G10" i="13"/>
  <c r="G26" i="13" s="1"/>
  <c r="C53" i="3"/>
  <c r="C43" i="12"/>
  <c r="C23" i="12"/>
  <c r="C73" i="12" s="1"/>
  <c r="C33" i="12"/>
  <c r="F196" i="3"/>
  <c r="O18" i="13"/>
  <c r="E226" i="3"/>
  <c r="F206" i="3"/>
  <c r="G226" i="3"/>
  <c r="F226" i="3"/>
  <c r="D101" i="11"/>
  <c r="B102" i="11"/>
  <c r="B48" i="11"/>
  <c r="P205" i="3"/>
  <c r="V18" i="13"/>
  <c r="T54" i="3"/>
  <c r="T24" i="12"/>
  <c r="T74" i="12" s="1"/>
  <c r="T44" i="12"/>
  <c r="T34" i="12"/>
  <c r="T10" i="12"/>
  <c r="H18" i="13"/>
  <c r="O196" i="3"/>
  <c r="Q43" i="12"/>
  <c r="Q33" i="12"/>
  <c r="Q53" i="3"/>
  <c r="Q23" i="12"/>
  <c r="Q73" i="12" s="1"/>
  <c r="G41" i="12"/>
  <c r="G21" i="12"/>
  <c r="G71" i="12" s="1"/>
  <c r="G31" i="12"/>
  <c r="G27" i="14"/>
  <c r="G46" i="3"/>
  <c r="H196" i="3"/>
  <c r="G54" i="3"/>
  <c r="G24" i="12"/>
  <c r="G74" i="12" s="1"/>
  <c r="G34" i="12"/>
  <c r="G44" i="12"/>
  <c r="G10" i="12"/>
  <c r="I205" i="3"/>
  <c r="G55" i="3"/>
  <c r="G45" i="12"/>
  <c r="G35" i="12"/>
  <c r="G25" i="12"/>
  <c r="G75" i="12" s="1"/>
  <c r="D19" i="12"/>
  <c r="D69" i="12" s="1"/>
  <c r="D25" i="14"/>
  <c r="D29" i="12"/>
  <c r="D39" i="12"/>
  <c r="D4" i="12"/>
  <c r="D44" i="3"/>
  <c r="N5" i="12"/>
  <c r="N26" i="14"/>
  <c r="N30" i="12"/>
  <c r="N20" i="12"/>
  <c r="N70" i="12" s="1"/>
  <c r="N40" i="12"/>
  <c r="N45" i="3"/>
  <c r="N6" i="12"/>
  <c r="U10" i="13"/>
  <c r="U26" i="13" s="1"/>
  <c r="L10" i="13"/>
  <c r="L26" i="13" s="1"/>
  <c r="N5" i="13"/>
  <c r="G50" i="12" l="1"/>
  <c r="G55" i="12"/>
  <c r="G54" i="12"/>
  <c r="U5" i="13"/>
  <c r="L36" i="13"/>
  <c r="L46" i="13"/>
  <c r="T3" i="12"/>
  <c r="N19" i="13"/>
  <c r="N3" i="13"/>
  <c r="N21" i="13" s="1"/>
  <c r="U36" i="13"/>
  <c r="U46" i="13"/>
  <c r="U3" i="13"/>
  <c r="U21" i="13" s="1"/>
  <c r="C102" i="11"/>
  <c r="U198" i="3"/>
  <c r="D18" i="13"/>
  <c r="N206" i="3"/>
  <c r="T236" i="3"/>
  <c r="T82" i="3"/>
  <c r="M42" i="12"/>
  <c r="M32" i="12"/>
  <c r="M22" i="12"/>
  <c r="M72" i="12" s="1"/>
  <c r="H206" i="3"/>
  <c r="K205" i="3"/>
  <c r="O55" i="3"/>
  <c r="O25" i="12"/>
  <c r="O75" i="12" s="1"/>
  <c r="O45" i="12"/>
  <c r="O35" i="12"/>
  <c r="L227" i="3"/>
  <c r="L73" i="3"/>
  <c r="C83" i="3"/>
  <c r="C47" i="13"/>
  <c r="C37" i="13"/>
  <c r="L85" i="3"/>
  <c r="L39" i="13"/>
  <c r="L49" i="13"/>
  <c r="F45" i="13"/>
  <c r="F35" i="13"/>
  <c r="F76" i="3"/>
  <c r="F85" i="3"/>
  <c r="F39" i="13"/>
  <c r="F49" i="13"/>
  <c r="I4" i="13"/>
  <c r="I43" i="13"/>
  <c r="I33" i="13"/>
  <c r="I74" i="3"/>
  <c r="C33" i="13"/>
  <c r="C4" i="13"/>
  <c r="C43" i="13"/>
  <c r="C74" i="3"/>
  <c r="N3" i="12"/>
  <c r="G236" i="3"/>
  <c r="G82" i="3"/>
  <c r="L38" i="12"/>
  <c r="L28" i="12"/>
  <c r="L18" i="12"/>
  <c r="L68" i="12" s="1"/>
  <c r="L24" i="14"/>
  <c r="F10" i="13"/>
  <c r="F26" i="13" s="1"/>
  <c r="L207" i="3"/>
  <c r="U28" i="12"/>
  <c r="U18" i="12"/>
  <c r="U68" i="12" s="1"/>
  <c r="U38" i="12"/>
  <c r="U24" i="14"/>
  <c r="S53" i="3"/>
  <c r="S23" i="12"/>
  <c r="S73" i="12" s="1"/>
  <c r="S43" i="12"/>
  <c r="S33" i="12"/>
  <c r="V40" i="12"/>
  <c r="V30" i="12"/>
  <c r="V20" i="12"/>
  <c r="V70" i="12" s="1"/>
  <c r="V45" i="3"/>
  <c r="V26" i="14"/>
  <c r="G197" i="3"/>
  <c r="F5" i="12"/>
  <c r="F40" i="12"/>
  <c r="F30" i="12"/>
  <c r="F20" i="12"/>
  <c r="F70" i="12" s="1"/>
  <c r="F45" i="3"/>
  <c r="F26" i="14"/>
  <c r="F6" i="12"/>
  <c r="U55" i="3"/>
  <c r="U35" i="12"/>
  <c r="U25" i="12"/>
  <c r="U75" i="12" s="1"/>
  <c r="U45" i="12"/>
  <c r="R53" i="3"/>
  <c r="R23" i="12"/>
  <c r="R73" i="12" s="1"/>
  <c r="R33" i="12"/>
  <c r="R43" i="12"/>
  <c r="N28" i="12"/>
  <c r="N18" i="12"/>
  <c r="N68" i="12" s="1"/>
  <c r="N38" i="12"/>
  <c r="N24" i="14"/>
  <c r="G32" i="12"/>
  <c r="G42" i="12"/>
  <c r="G22" i="12"/>
  <c r="G72" i="12" s="1"/>
  <c r="G52" i="12"/>
  <c r="L197" i="3"/>
  <c r="L43" i="3"/>
  <c r="U54" i="3"/>
  <c r="U24" i="12"/>
  <c r="U74" i="12" s="1"/>
  <c r="U34" i="12"/>
  <c r="U44" i="12"/>
  <c r="U10" i="12"/>
  <c r="G28" i="12"/>
  <c r="G48" i="12"/>
  <c r="G38" i="12"/>
  <c r="G18" i="12"/>
  <c r="G68" i="12" s="1"/>
  <c r="G24" i="14"/>
  <c r="B43" i="12"/>
  <c r="B23" i="12"/>
  <c r="B73" i="12" s="1"/>
  <c r="B33" i="12"/>
  <c r="B53" i="3"/>
  <c r="D235" i="3"/>
  <c r="U197" i="3"/>
  <c r="U43" i="3"/>
  <c r="M55" i="3"/>
  <c r="M45" i="12"/>
  <c r="M35" i="12"/>
  <c r="M25" i="12"/>
  <c r="M75" i="12" s="1"/>
  <c r="G43" i="3"/>
  <c r="I235" i="3"/>
  <c r="N45" i="13"/>
  <c r="N35" i="13"/>
  <c r="N55" i="13"/>
  <c r="N76" i="3"/>
  <c r="V84" i="3"/>
  <c r="V48" i="13"/>
  <c r="V38" i="13"/>
  <c r="J83" i="3"/>
  <c r="J47" i="13"/>
  <c r="J37" i="13"/>
  <c r="Q43" i="13"/>
  <c r="Q4" i="13"/>
  <c r="Q33" i="13"/>
  <c r="Q74" i="3"/>
  <c r="N197" i="3"/>
  <c r="N43" i="3"/>
  <c r="D196" i="3"/>
  <c r="G37" i="12"/>
  <c r="G17" i="12"/>
  <c r="G67" i="12" s="1"/>
  <c r="G47" i="12"/>
  <c r="G53" i="12"/>
  <c r="G49" i="12"/>
  <c r="N42" i="12"/>
  <c r="N22" i="12"/>
  <c r="N72" i="12" s="1"/>
  <c r="N32" i="12"/>
  <c r="T207" i="3"/>
  <c r="T36" i="13"/>
  <c r="T46" i="13"/>
  <c r="L198" i="3"/>
  <c r="L206" i="3"/>
  <c r="L52" i="3"/>
  <c r="N198" i="3"/>
  <c r="N6" i="13"/>
  <c r="N22" i="13" s="1"/>
  <c r="F5" i="13"/>
  <c r="F34" i="13"/>
  <c r="F44" i="13"/>
  <c r="F75" i="3"/>
  <c r="F6" i="13"/>
  <c r="F22" i="13" s="1"/>
  <c r="V45" i="13"/>
  <c r="V35" i="13"/>
  <c r="V76" i="3"/>
  <c r="O85" i="3"/>
  <c r="O39" i="13"/>
  <c r="O49" i="13"/>
  <c r="H45" i="13"/>
  <c r="H35" i="13"/>
  <c r="H76" i="3"/>
  <c r="Q83" i="3"/>
  <c r="Q47" i="13"/>
  <c r="Q37" i="13"/>
  <c r="M45" i="13"/>
  <c r="M35" i="13"/>
  <c r="M76" i="3"/>
  <c r="O84" i="3"/>
  <c r="O38" i="13"/>
  <c r="O48" i="13"/>
  <c r="O10" i="13"/>
  <c r="O26" i="13" s="1"/>
  <c r="G198" i="3"/>
  <c r="Q205" i="3"/>
  <c r="T206" i="3"/>
  <c r="T52" i="3"/>
  <c r="P4" i="12"/>
  <c r="P29" i="12"/>
  <c r="P19" i="12"/>
  <c r="P69" i="12" s="1"/>
  <c r="P25" i="14"/>
  <c r="P39" i="12"/>
  <c r="P44" i="3"/>
  <c r="G36" i="13"/>
  <c r="G46" i="13"/>
  <c r="T41" i="12"/>
  <c r="T27" i="14"/>
  <c r="T21" i="12"/>
  <c r="T71" i="12" s="1"/>
  <c r="T31" i="12"/>
  <c r="T46" i="3"/>
  <c r="G227" i="3"/>
  <c r="U236" i="3"/>
  <c r="V54" i="3"/>
  <c r="V34" i="12"/>
  <c r="V24" i="12"/>
  <c r="V74" i="12" s="1"/>
  <c r="V44" i="12"/>
  <c r="P235" i="3"/>
  <c r="N55" i="3"/>
  <c r="N45" i="12"/>
  <c r="N35" i="12"/>
  <c r="N25" i="12"/>
  <c r="N75" i="12" s="1"/>
  <c r="M26" i="14"/>
  <c r="M20" i="12"/>
  <c r="M70" i="12" s="1"/>
  <c r="M40" i="12"/>
  <c r="M30" i="12"/>
  <c r="M45" i="3"/>
  <c r="M6" i="12"/>
  <c r="J205" i="3"/>
  <c r="F198" i="3"/>
  <c r="N227" i="3"/>
  <c r="O20" i="12"/>
  <c r="O70" i="12" s="1"/>
  <c r="O40" i="12"/>
  <c r="O5" i="12"/>
  <c r="O30" i="12"/>
  <c r="O45" i="3"/>
  <c r="O26" i="14"/>
  <c r="O6" i="12"/>
  <c r="N236" i="3"/>
  <c r="N82" i="3"/>
  <c r="E44" i="13"/>
  <c r="E34" i="13"/>
  <c r="E75" i="3"/>
  <c r="M85" i="3"/>
  <c r="M49" i="13"/>
  <c r="M39" i="13"/>
  <c r="E101" i="11"/>
  <c r="G51" i="12"/>
  <c r="E30" i="12"/>
  <c r="E40" i="12"/>
  <c r="E20" i="12"/>
  <c r="E70" i="12" s="1"/>
  <c r="E26" i="14"/>
  <c r="E45" i="3"/>
  <c r="I4" i="12"/>
  <c r="I39" i="12"/>
  <c r="I29" i="12"/>
  <c r="I19" i="12"/>
  <c r="I69" i="12" s="1"/>
  <c r="I25" i="14"/>
  <c r="I44" i="3"/>
  <c r="E206" i="3"/>
  <c r="L3" i="12"/>
  <c r="D226" i="3"/>
  <c r="L236" i="3"/>
  <c r="L82" i="3"/>
  <c r="M206" i="3"/>
  <c r="M52" i="3"/>
  <c r="F55" i="3"/>
  <c r="F35" i="12"/>
  <c r="F45" i="12"/>
  <c r="F25" i="12"/>
  <c r="F75" i="12" s="1"/>
  <c r="F10" i="12"/>
  <c r="O54" i="3"/>
  <c r="O34" i="12"/>
  <c r="O24" i="12"/>
  <c r="O74" i="12" s="1"/>
  <c r="O44" i="12"/>
  <c r="O10" i="12"/>
  <c r="L5" i="13"/>
  <c r="O21" i="12"/>
  <c r="O71" i="12" s="1"/>
  <c r="O31" i="12"/>
  <c r="O27" i="14"/>
  <c r="O41" i="12"/>
  <c r="O46" i="3"/>
  <c r="U35" i="13"/>
  <c r="U45" i="13"/>
  <c r="U76" i="3"/>
  <c r="U73" i="3" s="1"/>
  <c r="O35" i="13"/>
  <c r="O45" i="13"/>
  <c r="O76" i="3"/>
  <c r="C103" i="11"/>
  <c r="V44" i="13"/>
  <c r="V34" i="13"/>
  <c r="V75" i="3"/>
  <c r="V6" i="13"/>
  <c r="V22" i="13" s="1"/>
  <c r="U85" i="3"/>
  <c r="U49" i="13"/>
  <c r="U39" i="13"/>
  <c r="G207" i="3"/>
  <c r="B43" i="11"/>
  <c r="B95" i="11" s="1"/>
  <c r="B100" i="11"/>
  <c r="C205" i="3"/>
  <c r="F236" i="3"/>
  <c r="M5" i="12"/>
  <c r="M21" i="12"/>
  <c r="M71" i="12" s="1"/>
  <c r="M41" i="12"/>
  <c r="M31" i="12"/>
  <c r="M46" i="3"/>
  <c r="M27" i="14"/>
  <c r="P226" i="3"/>
  <c r="L32" i="12"/>
  <c r="L22" i="12"/>
  <c r="L72" i="12" s="1"/>
  <c r="L42" i="12"/>
  <c r="U6" i="13"/>
  <c r="U22" i="13" s="1"/>
  <c r="M84" i="3"/>
  <c r="M48" i="13"/>
  <c r="M38" i="13"/>
  <c r="M10" i="13"/>
  <c r="M26" i="13" s="1"/>
  <c r="G237" i="3"/>
  <c r="T237" i="3"/>
  <c r="T6" i="12"/>
  <c r="K83" i="3"/>
  <c r="K47" i="13"/>
  <c r="K37" i="13"/>
  <c r="H44" i="13"/>
  <c r="H34" i="13"/>
  <c r="H75" i="3"/>
  <c r="H6" i="13"/>
  <c r="H22" i="13" s="1"/>
  <c r="G206" i="3"/>
  <c r="G52" i="3"/>
  <c r="T42" i="12"/>
  <c r="T32" i="12"/>
  <c r="T22" i="12"/>
  <c r="T72" i="12" s="1"/>
  <c r="N237" i="3"/>
  <c r="T227" i="3"/>
  <c r="T197" i="3"/>
  <c r="U5" i="12"/>
  <c r="U19" i="13" s="1"/>
  <c r="U227" i="3"/>
  <c r="L228" i="3"/>
  <c r="L32" i="13"/>
  <c r="L42" i="13"/>
  <c r="N36" i="13"/>
  <c r="N46" i="13"/>
  <c r="N56" i="13"/>
  <c r="H5" i="13"/>
  <c r="L52" i="12" l="1"/>
  <c r="N55" i="12"/>
  <c r="T51" i="12"/>
  <c r="N73" i="3"/>
  <c r="F82" i="3"/>
  <c r="F234" i="3" s="1"/>
  <c r="N52" i="3"/>
  <c r="N48" i="12"/>
  <c r="N52" i="12"/>
  <c r="H3" i="13"/>
  <c r="H21" i="13" s="1"/>
  <c r="S83" i="3"/>
  <c r="S37" i="13"/>
  <c r="S47" i="13"/>
  <c r="I34" i="13"/>
  <c r="I44" i="13"/>
  <c r="I75" i="3"/>
  <c r="K4" i="13"/>
  <c r="K43" i="13"/>
  <c r="K33" i="13"/>
  <c r="K74" i="3"/>
  <c r="I84" i="3"/>
  <c r="I48" i="13"/>
  <c r="I38" i="13"/>
  <c r="T28" i="12"/>
  <c r="T18" i="12"/>
  <c r="T68" i="12" s="1"/>
  <c r="T24" i="14"/>
  <c r="T38" i="12"/>
  <c r="T48" i="12"/>
  <c r="M236" i="3"/>
  <c r="M82" i="3"/>
  <c r="M198" i="3"/>
  <c r="O237" i="3"/>
  <c r="V21" i="12"/>
  <c r="V71" i="12" s="1"/>
  <c r="V41" i="12"/>
  <c r="V31" i="12"/>
  <c r="V46" i="3"/>
  <c r="V27" i="14"/>
  <c r="R205" i="3"/>
  <c r="F24" i="14"/>
  <c r="F18" i="12"/>
  <c r="F68" i="12" s="1"/>
  <c r="F38" i="12"/>
  <c r="F28" i="12"/>
  <c r="O207" i="3"/>
  <c r="E55" i="3"/>
  <c r="E25" i="12"/>
  <c r="E75" i="12" s="1"/>
  <c r="E45" i="12"/>
  <c r="E35" i="12"/>
  <c r="E10" i="12"/>
  <c r="U57" i="13"/>
  <c r="U51" i="13"/>
  <c r="U41" i="13"/>
  <c r="U53" i="13"/>
  <c r="U58" i="13"/>
  <c r="U54" i="13"/>
  <c r="D44" i="13"/>
  <c r="D34" i="13"/>
  <c r="D75" i="3"/>
  <c r="P5" i="12"/>
  <c r="B47" i="13"/>
  <c r="B37" i="13"/>
  <c r="B83" i="3"/>
  <c r="G204" i="3"/>
  <c r="E21" i="12"/>
  <c r="E71" i="12" s="1"/>
  <c r="E41" i="12"/>
  <c r="E27" i="14"/>
  <c r="E31" i="12"/>
  <c r="E46" i="3"/>
  <c r="O28" i="12"/>
  <c r="O24" i="14"/>
  <c r="O38" i="12"/>
  <c r="O18" i="12"/>
  <c r="O68" i="12" s="1"/>
  <c r="V228" i="3"/>
  <c r="F32" i="13"/>
  <c r="F42" i="13"/>
  <c r="U42" i="12"/>
  <c r="U32" i="12"/>
  <c r="U22" i="12"/>
  <c r="U72" i="12" s="1"/>
  <c r="V5" i="12"/>
  <c r="F46" i="13"/>
  <c r="F36" i="13"/>
  <c r="N47" i="12"/>
  <c r="N37" i="12"/>
  <c r="N17" i="12"/>
  <c r="N67" i="12" s="1"/>
  <c r="N53" i="12"/>
  <c r="N49" i="12"/>
  <c r="N51" i="12"/>
  <c r="N54" i="12"/>
  <c r="N50" i="12"/>
  <c r="F228" i="3"/>
  <c r="C235" i="3"/>
  <c r="L225" i="3"/>
  <c r="P84" i="3"/>
  <c r="P48" i="13"/>
  <c r="P38" i="13"/>
  <c r="P10" i="12"/>
  <c r="I54" i="3"/>
  <c r="I44" i="12"/>
  <c r="I24" i="12"/>
  <c r="I74" i="12" s="1"/>
  <c r="I34" i="12"/>
  <c r="O206" i="3"/>
  <c r="O52" i="3"/>
  <c r="F207" i="3"/>
  <c r="F52" i="3"/>
  <c r="V206" i="3"/>
  <c r="O236" i="3"/>
  <c r="O82" i="3"/>
  <c r="Q235" i="3"/>
  <c r="F227" i="3"/>
  <c r="F73" i="3"/>
  <c r="N32" i="13"/>
  <c r="N42" i="13"/>
  <c r="N52" i="13"/>
  <c r="L204" i="3"/>
  <c r="Q226" i="3"/>
  <c r="F197" i="3"/>
  <c r="F43" i="3"/>
  <c r="V6" i="12"/>
  <c r="O5" i="13"/>
  <c r="O34" i="13"/>
  <c r="O44" i="13"/>
  <c r="O75" i="3"/>
  <c r="O6" i="13"/>
  <c r="O22" i="13" s="1"/>
  <c r="I18" i="13"/>
  <c r="L237" i="3"/>
  <c r="G35" i="13"/>
  <c r="G45" i="13"/>
  <c r="G76" i="3"/>
  <c r="G6" i="13"/>
  <c r="G22" i="13" s="1"/>
  <c r="G5" i="13"/>
  <c r="P44" i="12"/>
  <c r="P34" i="12"/>
  <c r="P54" i="3"/>
  <c r="P24" i="12"/>
  <c r="P74" i="12" s="1"/>
  <c r="T52" i="12"/>
  <c r="T17" i="12"/>
  <c r="T67" i="12" s="1"/>
  <c r="T37" i="12"/>
  <c r="T47" i="12"/>
  <c r="T53" i="12"/>
  <c r="T49" i="12"/>
  <c r="T55" i="12"/>
  <c r="T50" i="12"/>
  <c r="T54" i="12"/>
  <c r="D84" i="3"/>
  <c r="D38" i="13"/>
  <c r="D48" i="13"/>
  <c r="R83" i="3"/>
  <c r="R47" i="13"/>
  <c r="R37" i="13"/>
  <c r="P44" i="13"/>
  <c r="P34" i="13"/>
  <c r="P75" i="3"/>
  <c r="P40" i="12"/>
  <c r="P20" i="12"/>
  <c r="P70" i="12" s="1"/>
  <c r="P26" i="14"/>
  <c r="P30" i="12"/>
  <c r="P45" i="3"/>
  <c r="H42" i="13"/>
  <c r="H32" i="13"/>
  <c r="M36" i="13"/>
  <c r="M46" i="13"/>
  <c r="U32" i="13"/>
  <c r="U42" i="13"/>
  <c r="U52" i="13"/>
  <c r="U237" i="3"/>
  <c r="H55" i="3"/>
  <c r="H35" i="12"/>
  <c r="H45" i="12"/>
  <c r="H25" i="12"/>
  <c r="H75" i="12" s="1"/>
  <c r="H10" i="12"/>
  <c r="M204" i="3"/>
  <c r="Q6" i="12"/>
  <c r="Q39" i="12"/>
  <c r="Q19" i="12"/>
  <c r="Q69" i="12" s="1"/>
  <c r="Q29" i="12"/>
  <c r="Q25" i="14"/>
  <c r="Q44" i="3"/>
  <c r="Q4" i="12"/>
  <c r="Q18" i="13" s="1"/>
  <c r="M237" i="3"/>
  <c r="O197" i="3"/>
  <c r="O43" i="3"/>
  <c r="N225" i="3"/>
  <c r="P196" i="3"/>
  <c r="M228" i="3"/>
  <c r="B205" i="3"/>
  <c r="H20" i="12"/>
  <c r="H70" i="12" s="1"/>
  <c r="H26" i="14"/>
  <c r="H5" i="12"/>
  <c r="H30" i="12"/>
  <c r="H40" i="12"/>
  <c r="H45" i="3"/>
  <c r="H6" i="12"/>
  <c r="P18" i="13"/>
  <c r="R4" i="12"/>
  <c r="R39" i="12"/>
  <c r="R29" i="12"/>
  <c r="R19" i="12"/>
  <c r="R69" i="12" s="1"/>
  <c r="R25" i="14"/>
  <c r="R44" i="3"/>
  <c r="C25" i="14"/>
  <c r="C19" i="12"/>
  <c r="C69" i="12" s="1"/>
  <c r="C39" i="12"/>
  <c r="C29" i="12"/>
  <c r="C4" i="12"/>
  <c r="C44" i="3"/>
  <c r="U56" i="13"/>
  <c r="H85" i="3"/>
  <c r="H49" i="13"/>
  <c r="H39" i="13"/>
  <c r="E85" i="3"/>
  <c r="E49" i="13"/>
  <c r="E39" i="13"/>
  <c r="B33" i="13"/>
  <c r="B4" i="13"/>
  <c r="B43" i="13"/>
  <c r="B74" i="3"/>
  <c r="E38" i="13"/>
  <c r="E48" i="13"/>
  <c r="E84" i="3"/>
  <c r="E10" i="13"/>
  <c r="E26" i="13" s="1"/>
  <c r="H227" i="3"/>
  <c r="H73" i="3"/>
  <c r="V42" i="13"/>
  <c r="V32" i="13"/>
  <c r="U228" i="3"/>
  <c r="V55" i="3"/>
  <c r="V45" i="12"/>
  <c r="V35" i="12"/>
  <c r="V25" i="12"/>
  <c r="V75" i="12" s="1"/>
  <c r="L19" i="13"/>
  <c r="L3" i="13"/>
  <c r="L21" i="13" s="1"/>
  <c r="L48" i="12"/>
  <c r="L37" i="12"/>
  <c r="L47" i="12"/>
  <c r="L17" i="12"/>
  <c r="L67" i="12" s="1"/>
  <c r="L53" i="12"/>
  <c r="L49" i="12"/>
  <c r="L54" i="12"/>
  <c r="L55" i="12"/>
  <c r="L51" i="12"/>
  <c r="L50" i="12"/>
  <c r="E5" i="12"/>
  <c r="M18" i="12"/>
  <c r="M68" i="12" s="1"/>
  <c r="M28" i="12"/>
  <c r="M38" i="12"/>
  <c r="M24" i="14"/>
  <c r="C54" i="3"/>
  <c r="C44" i="12"/>
  <c r="C34" i="12"/>
  <c r="C24" i="12"/>
  <c r="C74" i="12" s="1"/>
  <c r="V236" i="3"/>
  <c r="M207" i="3"/>
  <c r="V197" i="3"/>
  <c r="I226" i="3"/>
  <c r="T234" i="3"/>
  <c r="C48" i="11"/>
  <c r="R4" i="13"/>
  <c r="R33" i="13"/>
  <c r="R43" i="13"/>
  <c r="R74" i="3"/>
  <c r="D5" i="12"/>
  <c r="B58" i="11"/>
  <c r="B53" i="11" s="1"/>
  <c r="J4" i="13"/>
  <c r="J33" i="13"/>
  <c r="J43" i="13"/>
  <c r="J74" i="3"/>
  <c r="M3" i="12"/>
  <c r="V227" i="3"/>
  <c r="V73" i="3"/>
  <c r="O228" i="3"/>
  <c r="U55" i="13"/>
  <c r="O198" i="3"/>
  <c r="O22" i="12"/>
  <c r="O72" i="12" s="1"/>
  <c r="O42" i="12"/>
  <c r="O32" i="12"/>
  <c r="F32" i="12"/>
  <c r="F22" i="12"/>
  <c r="F72" i="12" s="1"/>
  <c r="F42" i="12"/>
  <c r="I196" i="3"/>
  <c r="E6" i="12"/>
  <c r="M197" i="3"/>
  <c r="M43" i="3"/>
  <c r="V10" i="12"/>
  <c r="U82" i="3"/>
  <c r="T198" i="3"/>
  <c r="T43" i="3"/>
  <c r="T204" i="3"/>
  <c r="O36" i="13"/>
  <c r="O46" i="13"/>
  <c r="N228" i="3"/>
  <c r="U195" i="3"/>
  <c r="U207" i="3"/>
  <c r="C226" i="3"/>
  <c r="I20" i="12"/>
  <c r="I70" i="12" s="1"/>
  <c r="I40" i="12"/>
  <c r="I30" i="12"/>
  <c r="I45" i="3"/>
  <c r="I26" i="14"/>
  <c r="D103" i="11"/>
  <c r="Q5" i="12"/>
  <c r="U3" i="12"/>
  <c r="H27" i="14"/>
  <c r="H41" i="12"/>
  <c r="H31" i="12"/>
  <c r="H21" i="12"/>
  <c r="H71" i="12" s="1"/>
  <c r="H46" i="3"/>
  <c r="L234" i="3"/>
  <c r="E197" i="3"/>
  <c r="E43" i="3"/>
  <c r="M34" i="13"/>
  <c r="M5" i="13"/>
  <c r="M44" i="13"/>
  <c r="M75" i="3"/>
  <c r="M6" i="13"/>
  <c r="M22" i="13" s="1"/>
  <c r="E227" i="3"/>
  <c r="N234" i="3"/>
  <c r="O3" i="12"/>
  <c r="P6" i="12"/>
  <c r="D26" i="14"/>
  <c r="D40" i="12"/>
  <c r="D30" i="12"/>
  <c r="D20" i="12"/>
  <c r="D70" i="12" s="1"/>
  <c r="D45" i="3"/>
  <c r="D6" i="12"/>
  <c r="J235" i="3"/>
  <c r="U206" i="3"/>
  <c r="U52" i="3"/>
  <c r="K19" i="12"/>
  <c r="K69" i="12" s="1"/>
  <c r="K39" i="12"/>
  <c r="K29" i="12"/>
  <c r="K4" i="12"/>
  <c r="K25" i="14"/>
  <c r="K44" i="3"/>
  <c r="H84" i="3"/>
  <c r="H48" i="13"/>
  <c r="H38" i="13"/>
  <c r="H10" i="13"/>
  <c r="H26" i="13" s="1"/>
  <c r="N51" i="13"/>
  <c r="N41" i="13"/>
  <c r="N57" i="13"/>
  <c r="N53" i="13"/>
  <c r="N54" i="13"/>
  <c r="N59" i="13"/>
  <c r="N58" i="13"/>
  <c r="Q44" i="13"/>
  <c r="Q34" i="13"/>
  <c r="Q75" i="3"/>
  <c r="C58" i="11"/>
  <c r="C53" i="11" s="1"/>
  <c r="U225" i="3"/>
  <c r="K235" i="3"/>
  <c r="U59" i="13"/>
  <c r="J4" i="12"/>
  <c r="J19" i="12"/>
  <c r="J69" i="12" s="1"/>
  <c r="J29" i="12"/>
  <c r="J39" i="12"/>
  <c r="J25" i="14"/>
  <c r="J44" i="3"/>
  <c r="N207" i="3"/>
  <c r="H228" i="3"/>
  <c r="T35" i="13"/>
  <c r="T45" i="13"/>
  <c r="T76" i="3"/>
  <c r="T6" i="13"/>
  <c r="T22" i="13" s="1"/>
  <c r="T5" i="13"/>
  <c r="F19" i="13"/>
  <c r="F3" i="13"/>
  <c r="N195" i="3"/>
  <c r="G195" i="3"/>
  <c r="L195" i="3"/>
  <c r="Q30" i="12"/>
  <c r="Q40" i="12"/>
  <c r="Q45" i="3"/>
  <c r="Q26" i="14"/>
  <c r="Q20" i="12"/>
  <c r="Q70" i="12" s="1"/>
  <c r="F3" i="12"/>
  <c r="S205" i="3"/>
  <c r="G234" i="3"/>
  <c r="F237" i="3"/>
  <c r="I6" i="13"/>
  <c r="I22" i="13" s="1"/>
  <c r="P6" i="13"/>
  <c r="P22" i="13" s="1"/>
  <c r="P10" i="13"/>
  <c r="P26" i="13" s="1"/>
  <c r="U52" i="12" l="1"/>
  <c r="O52" i="12"/>
  <c r="H58" i="13"/>
  <c r="H59" i="13"/>
  <c r="F52" i="13"/>
  <c r="F21" i="13"/>
  <c r="V43" i="3"/>
  <c r="V195" i="3" s="1"/>
  <c r="V52" i="3"/>
  <c r="V204" i="3" s="1"/>
  <c r="N204" i="3"/>
  <c r="I5" i="12"/>
  <c r="P3" i="12"/>
  <c r="P49" i="12" s="1"/>
  <c r="P32" i="13"/>
  <c r="P42" i="13"/>
  <c r="I32" i="13"/>
  <c r="I42" i="13"/>
  <c r="P46" i="13"/>
  <c r="P36" i="13"/>
  <c r="C34" i="13"/>
  <c r="C44" i="13"/>
  <c r="C75" i="3"/>
  <c r="D102" i="11"/>
  <c r="D48" i="11"/>
  <c r="K44" i="13"/>
  <c r="K75" i="3"/>
  <c r="K34" i="13"/>
  <c r="E102" i="11"/>
  <c r="G101" i="11"/>
  <c r="T42" i="13"/>
  <c r="T32" i="13"/>
  <c r="K196" i="3"/>
  <c r="D3" i="12"/>
  <c r="V32" i="12"/>
  <c r="V22" i="12"/>
  <c r="V72" i="12" s="1"/>
  <c r="V42" i="12"/>
  <c r="R226" i="3"/>
  <c r="E3" i="12"/>
  <c r="R235" i="3"/>
  <c r="F225" i="3"/>
  <c r="P55" i="3"/>
  <c r="P52" i="3" s="1"/>
  <c r="P45" i="12"/>
  <c r="P35" i="12"/>
  <c r="P25" i="12"/>
  <c r="P75" i="12" s="1"/>
  <c r="B235" i="3"/>
  <c r="D21" i="12"/>
  <c r="D71" i="12" s="1"/>
  <c r="D41" i="12"/>
  <c r="D31" i="12"/>
  <c r="D46" i="3"/>
  <c r="D43" i="3" s="1"/>
  <c r="D27" i="14"/>
  <c r="K226" i="3"/>
  <c r="J44" i="13"/>
  <c r="J34" i="13"/>
  <c r="J75" i="3"/>
  <c r="D85" i="3"/>
  <c r="D49" i="13"/>
  <c r="D39" i="13"/>
  <c r="Q197" i="3"/>
  <c r="T228" i="3"/>
  <c r="T73" i="3"/>
  <c r="M19" i="13"/>
  <c r="M3" i="13"/>
  <c r="M21" i="13" s="1"/>
  <c r="M195" i="3"/>
  <c r="Q54" i="3"/>
  <c r="Q44" i="12"/>
  <c r="Q34" i="12"/>
  <c r="Q24" i="12"/>
  <c r="Q74" i="12" s="1"/>
  <c r="Q10" i="12"/>
  <c r="P42" i="12"/>
  <c r="P32" i="12"/>
  <c r="P22" i="12"/>
  <c r="P72" i="12" s="1"/>
  <c r="G3" i="13"/>
  <c r="G19" i="13"/>
  <c r="J26" i="14"/>
  <c r="J20" i="12"/>
  <c r="J70" i="12" s="1"/>
  <c r="J40" i="12"/>
  <c r="J30" i="12"/>
  <c r="J45" i="3"/>
  <c r="V3" i="12"/>
  <c r="I236" i="3"/>
  <c r="H52" i="13"/>
  <c r="H41" i="13"/>
  <c r="H51" i="13"/>
  <c r="H53" i="13"/>
  <c r="H57" i="13"/>
  <c r="H54" i="13"/>
  <c r="H55" i="13"/>
  <c r="R34" i="13"/>
  <c r="R44" i="13"/>
  <c r="R75" i="3"/>
  <c r="F52" i="12"/>
  <c r="F47" i="12"/>
  <c r="F37" i="12"/>
  <c r="F17" i="12"/>
  <c r="F67" i="12" s="1"/>
  <c r="F53" i="12"/>
  <c r="F49" i="12"/>
  <c r="F54" i="12"/>
  <c r="F51" i="12"/>
  <c r="F55" i="12"/>
  <c r="F50" i="12"/>
  <c r="H236" i="3"/>
  <c r="H82" i="3"/>
  <c r="I197" i="3"/>
  <c r="M37" i="12"/>
  <c r="M47" i="12"/>
  <c r="M17" i="12"/>
  <c r="M67" i="12" s="1"/>
  <c r="M53" i="12"/>
  <c r="M49" i="12"/>
  <c r="M54" i="12"/>
  <c r="M50" i="12"/>
  <c r="M52" i="12"/>
  <c r="M51" i="12"/>
  <c r="M55" i="12"/>
  <c r="J226" i="3"/>
  <c r="J54" i="3"/>
  <c r="J44" i="12"/>
  <c r="J34" i="12"/>
  <c r="J24" i="12"/>
  <c r="J74" i="12" s="1"/>
  <c r="J10" i="12"/>
  <c r="B226" i="3"/>
  <c r="H237" i="3"/>
  <c r="H3" i="12"/>
  <c r="Q28" i="12"/>
  <c r="Q18" i="12"/>
  <c r="Q68" i="12" s="1"/>
  <c r="Q38" i="12"/>
  <c r="Q24" i="14"/>
  <c r="D10" i="13"/>
  <c r="D26" i="13" s="1"/>
  <c r="G42" i="13"/>
  <c r="G32" i="13"/>
  <c r="O19" i="13"/>
  <c r="O3" i="13"/>
  <c r="O204" i="3"/>
  <c r="V198" i="3"/>
  <c r="M234" i="3"/>
  <c r="C40" i="12"/>
  <c r="C20" i="12"/>
  <c r="C70" i="12" s="1"/>
  <c r="C30" i="12"/>
  <c r="C26" i="14"/>
  <c r="C45" i="3"/>
  <c r="H19" i="13"/>
  <c r="R84" i="3"/>
  <c r="R48" i="13"/>
  <c r="R38" i="13"/>
  <c r="U204" i="3"/>
  <c r="D54" i="3"/>
  <c r="D24" i="12"/>
  <c r="D74" i="12" s="1"/>
  <c r="D44" i="12"/>
  <c r="D34" i="12"/>
  <c r="D10" i="12"/>
  <c r="E36" i="13"/>
  <c r="E46" i="13"/>
  <c r="Q3" i="12"/>
  <c r="R20" i="12"/>
  <c r="R70" i="12" s="1"/>
  <c r="R40" i="12"/>
  <c r="R30" i="12"/>
  <c r="R26" i="14"/>
  <c r="R45" i="3"/>
  <c r="G228" i="3"/>
  <c r="G73" i="3"/>
  <c r="D227" i="3"/>
  <c r="J55" i="3"/>
  <c r="J25" i="12"/>
  <c r="J75" i="12" s="1"/>
  <c r="J35" i="12"/>
  <c r="J45" i="12"/>
  <c r="Q41" i="12"/>
  <c r="Q31" i="12"/>
  <c r="Q21" i="12"/>
  <c r="Q71" i="12" s="1"/>
  <c r="Q27" i="14"/>
  <c r="Q46" i="3"/>
  <c r="I227" i="3"/>
  <c r="D58" i="11"/>
  <c r="D53" i="11" s="1"/>
  <c r="I5" i="13"/>
  <c r="J84" i="3"/>
  <c r="J48" i="13"/>
  <c r="J38" i="13"/>
  <c r="K48" i="13"/>
  <c r="K38" i="13"/>
  <c r="K84" i="3"/>
  <c r="J196" i="3"/>
  <c r="D18" i="12"/>
  <c r="D68" i="12" s="1"/>
  <c r="D38" i="12"/>
  <c r="D28" i="12"/>
  <c r="D24" i="14"/>
  <c r="P24" i="14"/>
  <c r="P28" i="12"/>
  <c r="P38" i="12"/>
  <c r="P18" i="12"/>
  <c r="P68" i="12" s="1"/>
  <c r="E195" i="3"/>
  <c r="Q55" i="3"/>
  <c r="Q45" i="12"/>
  <c r="Q35" i="12"/>
  <c r="Q25" i="12"/>
  <c r="Q75" i="12" s="1"/>
  <c r="T195" i="3"/>
  <c r="E28" i="12"/>
  <c r="E18" i="12"/>
  <c r="E68" i="12" s="1"/>
  <c r="E24" i="14"/>
  <c r="E38" i="12"/>
  <c r="V207" i="3"/>
  <c r="Q196" i="3"/>
  <c r="H207" i="3"/>
  <c r="H52" i="3"/>
  <c r="P206" i="3"/>
  <c r="O32" i="13"/>
  <c r="O42" i="13"/>
  <c r="I206" i="3"/>
  <c r="F101" i="11"/>
  <c r="C18" i="13"/>
  <c r="K54" i="3"/>
  <c r="K24" i="12"/>
  <c r="K74" i="12" s="1"/>
  <c r="K44" i="12"/>
  <c r="K34" i="12"/>
  <c r="K10" i="12"/>
  <c r="E207" i="3"/>
  <c r="E52" i="3"/>
  <c r="E103" i="11"/>
  <c r="C84" i="3"/>
  <c r="C48" i="13"/>
  <c r="C38" i="13"/>
  <c r="F51" i="13"/>
  <c r="F41" i="13"/>
  <c r="F57" i="13"/>
  <c r="F53" i="13"/>
  <c r="F58" i="13"/>
  <c r="F59" i="13"/>
  <c r="F54" i="13"/>
  <c r="F55" i="13"/>
  <c r="Q227" i="3"/>
  <c r="H46" i="13"/>
  <c r="H36" i="13"/>
  <c r="H56" i="13"/>
  <c r="D197" i="3"/>
  <c r="O37" i="12"/>
  <c r="O47" i="12"/>
  <c r="O17" i="12"/>
  <c r="O67" i="12" s="1"/>
  <c r="O53" i="12"/>
  <c r="O49" i="12"/>
  <c r="O54" i="12"/>
  <c r="O51" i="12"/>
  <c r="O55" i="12"/>
  <c r="O50" i="12"/>
  <c r="M32" i="13"/>
  <c r="M52" i="13"/>
  <c r="M42" i="13"/>
  <c r="I3" i="12"/>
  <c r="I27" i="14"/>
  <c r="I41" i="12"/>
  <c r="I31" i="12"/>
  <c r="I21" i="12"/>
  <c r="I71" i="12" s="1"/>
  <c r="I46" i="3"/>
  <c r="I6" i="12"/>
  <c r="H225" i="3"/>
  <c r="E237" i="3"/>
  <c r="C196" i="3"/>
  <c r="H24" i="14"/>
  <c r="H38" i="12"/>
  <c r="H28" i="12"/>
  <c r="H18" i="12"/>
  <c r="H68" i="12" s="1"/>
  <c r="E45" i="13"/>
  <c r="E35" i="13"/>
  <c r="E76" i="3"/>
  <c r="E6" i="13"/>
  <c r="E22" i="13" s="1"/>
  <c r="E5" i="13"/>
  <c r="P227" i="3"/>
  <c r="O227" i="3"/>
  <c r="O73" i="3"/>
  <c r="V28" i="12"/>
  <c r="V18" i="12"/>
  <c r="V68" i="12" s="1"/>
  <c r="V38" i="12"/>
  <c r="V24" i="14"/>
  <c r="F56" i="13"/>
  <c r="E198" i="3"/>
  <c r="D55" i="3"/>
  <c r="D35" i="12"/>
  <c r="D25" i="12"/>
  <c r="D75" i="12" s="1"/>
  <c r="D45" i="12"/>
  <c r="P85" i="3"/>
  <c r="P39" i="13"/>
  <c r="P49" i="13"/>
  <c r="P45" i="13"/>
  <c r="P35" i="13"/>
  <c r="P76" i="3"/>
  <c r="I45" i="13"/>
  <c r="I35" i="13"/>
  <c r="I76" i="3"/>
  <c r="S4" i="13"/>
  <c r="S33" i="13"/>
  <c r="S43" i="13"/>
  <c r="S74" i="3"/>
  <c r="C5" i="12"/>
  <c r="R54" i="3"/>
  <c r="R44" i="12"/>
  <c r="R34" i="12"/>
  <c r="R24" i="12"/>
  <c r="R74" i="12" s="1"/>
  <c r="M227" i="3"/>
  <c r="M73" i="3"/>
  <c r="I55" i="3"/>
  <c r="I45" i="12"/>
  <c r="I35" i="12"/>
  <c r="I25" i="12"/>
  <c r="I75" i="12" s="1"/>
  <c r="R18" i="13"/>
  <c r="C206" i="3"/>
  <c r="M48" i="12"/>
  <c r="L52" i="13"/>
  <c r="L41" i="13"/>
  <c r="L51" i="13"/>
  <c r="L53" i="13"/>
  <c r="L57" i="13"/>
  <c r="L54" i="13"/>
  <c r="L58" i="13"/>
  <c r="L55" i="13"/>
  <c r="L59" i="13"/>
  <c r="L56" i="13"/>
  <c r="E82" i="3"/>
  <c r="E236" i="3"/>
  <c r="B19" i="12"/>
  <c r="B69" i="12" s="1"/>
  <c r="B29" i="12"/>
  <c r="B4" i="12"/>
  <c r="B18" i="13" s="1"/>
  <c r="B39" i="12"/>
  <c r="B25" i="14"/>
  <c r="B44" i="3"/>
  <c r="H197" i="3"/>
  <c r="H43" i="3"/>
  <c r="O195" i="3"/>
  <c r="P197" i="3"/>
  <c r="F195" i="3"/>
  <c r="V85" i="3"/>
  <c r="V39" i="13"/>
  <c r="V49" i="13"/>
  <c r="V10" i="13"/>
  <c r="V26" i="13" s="1"/>
  <c r="V5" i="13"/>
  <c r="K18" i="13"/>
  <c r="S235" i="3"/>
  <c r="T19" i="13"/>
  <c r="T3" i="13"/>
  <c r="T21" i="13" s="1"/>
  <c r="H198" i="3"/>
  <c r="U49" i="12"/>
  <c r="U47" i="12"/>
  <c r="U37" i="12"/>
  <c r="U53" i="12"/>
  <c r="U17" i="12"/>
  <c r="U67" i="12" s="1"/>
  <c r="U50" i="12"/>
  <c r="U51" i="12"/>
  <c r="U48" i="12"/>
  <c r="U54" i="12"/>
  <c r="U55" i="12"/>
  <c r="U234" i="3"/>
  <c r="V225" i="3"/>
  <c r="J18" i="13"/>
  <c r="S39" i="12"/>
  <c r="S19" i="12"/>
  <c r="S69" i="12" s="1"/>
  <c r="S29" i="12"/>
  <c r="S4" i="12"/>
  <c r="S25" i="14"/>
  <c r="S44" i="3"/>
  <c r="C43" i="11"/>
  <c r="C95" i="11" s="1"/>
  <c r="C100" i="11"/>
  <c r="R196" i="3"/>
  <c r="H42" i="12"/>
  <c r="H32" i="12"/>
  <c r="H22" i="12"/>
  <c r="H72" i="12" s="1"/>
  <c r="P50" i="12"/>
  <c r="P5" i="13"/>
  <c r="D236" i="3"/>
  <c r="O234" i="3"/>
  <c r="F204" i="3"/>
  <c r="I10" i="12"/>
  <c r="P236" i="3"/>
  <c r="O48" i="12"/>
  <c r="P31" i="12"/>
  <c r="P41" i="12"/>
  <c r="P21" i="12"/>
  <c r="P71" i="12" s="1"/>
  <c r="P46" i="3"/>
  <c r="P27" i="14"/>
  <c r="E42" i="12"/>
  <c r="E32" i="12"/>
  <c r="E22" i="12"/>
  <c r="E72" i="12" s="1"/>
  <c r="F48" i="12"/>
  <c r="K5" i="12"/>
  <c r="K3" i="12" s="1"/>
  <c r="K30" i="12"/>
  <c r="K26" i="14"/>
  <c r="K20" i="12"/>
  <c r="K70" i="12" s="1"/>
  <c r="K40" i="12"/>
  <c r="K45" i="3"/>
  <c r="F103" i="11"/>
  <c r="J10" i="13"/>
  <c r="J26" i="13" s="1"/>
  <c r="C6" i="13"/>
  <c r="C22" i="13" s="1"/>
  <c r="V48" i="12" l="1"/>
  <c r="P54" i="12"/>
  <c r="Q55" i="12"/>
  <c r="H52" i="12"/>
  <c r="D54" i="12"/>
  <c r="I51" i="12"/>
  <c r="E52" i="12"/>
  <c r="P53" i="12"/>
  <c r="P52" i="12"/>
  <c r="P37" i="12"/>
  <c r="P51" i="12"/>
  <c r="P47" i="12"/>
  <c r="P48" i="12"/>
  <c r="P17" i="12"/>
  <c r="P67" i="12" s="1"/>
  <c r="P55" i="12"/>
  <c r="G52" i="13"/>
  <c r="G21" i="13"/>
  <c r="O52" i="13"/>
  <c r="O21" i="13"/>
  <c r="D82" i="3"/>
  <c r="D234" i="3" s="1"/>
  <c r="P82" i="3"/>
  <c r="P234" i="3" s="1"/>
  <c r="I52" i="3"/>
  <c r="I204" i="3" s="1"/>
  <c r="Q43" i="3"/>
  <c r="Q195" i="3" s="1"/>
  <c r="I43" i="3"/>
  <c r="D55" i="12"/>
  <c r="E48" i="12"/>
  <c r="I55" i="12"/>
  <c r="Q51" i="12"/>
  <c r="H48" i="12"/>
  <c r="D51" i="12"/>
  <c r="C3" i="12"/>
  <c r="C32" i="13"/>
  <c r="C42" i="13"/>
  <c r="J36" i="13"/>
  <c r="J46" i="13"/>
  <c r="K17" i="12"/>
  <c r="K67" i="12" s="1"/>
  <c r="K47" i="12"/>
  <c r="K37" i="12"/>
  <c r="K53" i="12"/>
  <c r="K49" i="12"/>
  <c r="K54" i="12"/>
  <c r="K50" i="12"/>
  <c r="S84" i="3"/>
  <c r="S38" i="13"/>
  <c r="S48" i="13"/>
  <c r="R45" i="13"/>
  <c r="R35" i="13"/>
  <c r="R76" i="3"/>
  <c r="I19" i="13"/>
  <c r="I3" i="13"/>
  <c r="I21" i="13" s="1"/>
  <c r="H195" i="3"/>
  <c r="E234" i="3"/>
  <c r="M225" i="3"/>
  <c r="R55" i="3"/>
  <c r="R25" i="12"/>
  <c r="R75" i="12" s="1"/>
  <c r="R45" i="12"/>
  <c r="R35" i="12"/>
  <c r="E42" i="13"/>
  <c r="E32" i="13"/>
  <c r="E204" i="3"/>
  <c r="Q45" i="13"/>
  <c r="Q35" i="13"/>
  <c r="Q76" i="3"/>
  <c r="Q5" i="13"/>
  <c r="Q6" i="13"/>
  <c r="Q22" i="13" s="1"/>
  <c r="Q198" i="3"/>
  <c r="R197" i="3"/>
  <c r="C197" i="3"/>
  <c r="Q206" i="3"/>
  <c r="Q52" i="3"/>
  <c r="M41" i="13"/>
  <c r="M51" i="13"/>
  <c r="M53" i="13"/>
  <c r="M57" i="13"/>
  <c r="M59" i="13"/>
  <c r="M55" i="13"/>
  <c r="M58" i="13"/>
  <c r="M54" i="13"/>
  <c r="M56" i="13"/>
  <c r="D198" i="3"/>
  <c r="E48" i="11"/>
  <c r="D43" i="11"/>
  <c r="D95" i="11" s="1"/>
  <c r="D100" i="11"/>
  <c r="H101" i="11"/>
  <c r="C85" i="3"/>
  <c r="C49" i="13"/>
  <c r="C39" i="13"/>
  <c r="K45" i="13"/>
  <c r="K35" i="13"/>
  <c r="K76" i="3"/>
  <c r="V19" i="13"/>
  <c r="V3" i="13"/>
  <c r="V21" i="13" s="1"/>
  <c r="R206" i="3"/>
  <c r="P228" i="3"/>
  <c r="O225" i="3"/>
  <c r="E228" i="3"/>
  <c r="E73" i="3"/>
  <c r="C236" i="3"/>
  <c r="K206" i="3"/>
  <c r="Q54" i="12"/>
  <c r="Q47" i="12"/>
  <c r="Q37" i="12"/>
  <c r="Q17" i="12"/>
  <c r="Q67" i="12" s="1"/>
  <c r="Q53" i="12"/>
  <c r="Q49" i="12"/>
  <c r="Q50" i="12"/>
  <c r="K45" i="12"/>
  <c r="K35" i="12"/>
  <c r="K55" i="3"/>
  <c r="K25" i="12"/>
  <c r="K75" i="12" s="1"/>
  <c r="K55" i="12"/>
  <c r="Q48" i="12"/>
  <c r="J52" i="3"/>
  <c r="J206" i="3"/>
  <c r="V53" i="12"/>
  <c r="V47" i="12"/>
  <c r="V37" i="12"/>
  <c r="V17" i="12"/>
  <c r="V67" i="12" s="1"/>
  <c r="V49" i="12"/>
  <c r="V54" i="12"/>
  <c r="V50" i="12"/>
  <c r="V51" i="12"/>
  <c r="V55" i="12"/>
  <c r="K197" i="3"/>
  <c r="I52" i="12"/>
  <c r="I42" i="12"/>
  <c r="I32" i="12"/>
  <c r="I22" i="12"/>
  <c r="I72" i="12" s="1"/>
  <c r="S196" i="3"/>
  <c r="Q85" i="3"/>
  <c r="Q39" i="13"/>
  <c r="Q49" i="13"/>
  <c r="V46" i="13"/>
  <c r="V36" i="13"/>
  <c r="D207" i="3"/>
  <c r="K41" i="12"/>
  <c r="K31" i="12"/>
  <c r="K21" i="12"/>
  <c r="K71" i="12" s="1"/>
  <c r="K27" i="14"/>
  <c r="K51" i="12"/>
  <c r="K46" i="3"/>
  <c r="K6" i="12"/>
  <c r="P204" i="3"/>
  <c r="J207" i="3"/>
  <c r="D206" i="3"/>
  <c r="D52" i="3"/>
  <c r="R236" i="3"/>
  <c r="D46" i="13"/>
  <c r="D36" i="13"/>
  <c r="R5" i="13"/>
  <c r="G51" i="13"/>
  <c r="G41" i="13"/>
  <c r="G57" i="13"/>
  <c r="G53" i="13"/>
  <c r="G54" i="13"/>
  <c r="G59" i="13"/>
  <c r="G58" i="13"/>
  <c r="G56" i="13"/>
  <c r="G55" i="13"/>
  <c r="C21" i="12"/>
  <c r="C71" i="12" s="1"/>
  <c r="C27" i="14"/>
  <c r="C31" i="12"/>
  <c r="C41" i="12"/>
  <c r="C46" i="3"/>
  <c r="C6" i="12"/>
  <c r="I228" i="3"/>
  <c r="I73" i="3"/>
  <c r="I28" i="12"/>
  <c r="I18" i="12"/>
  <c r="I68" i="12" s="1"/>
  <c r="I48" i="12"/>
  <c r="I38" i="12"/>
  <c r="I24" i="14"/>
  <c r="D35" i="13"/>
  <c r="D45" i="13"/>
  <c r="D76" i="3"/>
  <c r="D6" i="13"/>
  <c r="D22" i="13" s="1"/>
  <c r="D5" i="13"/>
  <c r="R6" i="13"/>
  <c r="R22" i="13" s="1"/>
  <c r="J197" i="3"/>
  <c r="K227" i="3"/>
  <c r="C227" i="3"/>
  <c r="S44" i="13"/>
  <c r="S34" i="13"/>
  <c r="S75" i="3"/>
  <c r="S10" i="12"/>
  <c r="R10" i="12"/>
  <c r="S26" i="14"/>
  <c r="S30" i="12"/>
  <c r="S40" i="12"/>
  <c r="S20" i="12"/>
  <c r="S70" i="12" s="1"/>
  <c r="S45" i="3"/>
  <c r="P73" i="3"/>
  <c r="I198" i="3"/>
  <c r="D195" i="3"/>
  <c r="C10" i="13"/>
  <c r="C26" i="13" s="1"/>
  <c r="K32" i="12"/>
  <c r="K42" i="12"/>
  <c r="K22" i="12"/>
  <c r="K72" i="12" s="1"/>
  <c r="K52" i="12"/>
  <c r="K6" i="13"/>
  <c r="K22" i="13" s="1"/>
  <c r="O53" i="13"/>
  <c r="O51" i="13"/>
  <c r="O41" i="13"/>
  <c r="O57" i="13"/>
  <c r="O58" i="13"/>
  <c r="O55" i="13"/>
  <c r="O59" i="13"/>
  <c r="O54" i="13"/>
  <c r="O56" i="13"/>
  <c r="J32" i="12"/>
  <c r="J22" i="12"/>
  <c r="J72" i="12" s="1"/>
  <c r="J42" i="12"/>
  <c r="Q32" i="12"/>
  <c r="Q52" i="12"/>
  <c r="Q22" i="12"/>
  <c r="Q72" i="12" s="1"/>
  <c r="Q42" i="12"/>
  <c r="D237" i="3"/>
  <c r="C45" i="13"/>
  <c r="C35" i="13"/>
  <c r="C76" i="3"/>
  <c r="E58" i="11"/>
  <c r="E53" i="11" s="1"/>
  <c r="B84" i="3"/>
  <c r="B38" i="13"/>
  <c r="B48" i="13"/>
  <c r="P198" i="3"/>
  <c r="S18" i="13"/>
  <c r="B196" i="3"/>
  <c r="I207" i="3"/>
  <c r="S226" i="3"/>
  <c r="P237" i="3"/>
  <c r="H204" i="3"/>
  <c r="Q207" i="3"/>
  <c r="K236" i="3"/>
  <c r="J236" i="3"/>
  <c r="G225" i="3"/>
  <c r="D42" i="12"/>
  <c r="D32" i="12"/>
  <c r="D22" i="12"/>
  <c r="D72" i="12" s="1"/>
  <c r="D52" i="12"/>
  <c r="S54" i="3"/>
  <c r="S34" i="12"/>
  <c r="S24" i="12"/>
  <c r="S74" i="12" s="1"/>
  <c r="S44" i="12"/>
  <c r="Q84" i="3"/>
  <c r="Q48" i="13"/>
  <c r="Q38" i="13"/>
  <c r="Q10" i="13"/>
  <c r="Q26" i="13" s="1"/>
  <c r="H47" i="12"/>
  <c r="H37" i="12"/>
  <c r="H17" i="12"/>
  <c r="H67" i="12" s="1"/>
  <c r="H53" i="12"/>
  <c r="H49" i="12"/>
  <c r="H54" i="12"/>
  <c r="H50" i="12"/>
  <c r="H55" i="12"/>
  <c r="H51" i="12"/>
  <c r="H234" i="3"/>
  <c r="R227" i="3"/>
  <c r="B20" i="12"/>
  <c r="B70" i="12" s="1"/>
  <c r="B40" i="12"/>
  <c r="B30" i="12"/>
  <c r="B45" i="3"/>
  <c r="B26" i="14"/>
  <c r="T225" i="3"/>
  <c r="E47" i="12"/>
  <c r="E37" i="12"/>
  <c r="E17" i="12"/>
  <c r="E67" i="12" s="1"/>
  <c r="E53" i="12"/>
  <c r="E49" i="12"/>
  <c r="E54" i="12"/>
  <c r="E50" i="12"/>
  <c r="E51" i="12"/>
  <c r="E55" i="12"/>
  <c r="R27" i="14"/>
  <c r="R21" i="12"/>
  <c r="R71" i="12" s="1"/>
  <c r="R31" i="12"/>
  <c r="R41" i="12"/>
  <c r="R46" i="3"/>
  <c r="R6" i="12"/>
  <c r="C5" i="13"/>
  <c r="J39" i="13"/>
  <c r="J49" i="13"/>
  <c r="J85" i="3"/>
  <c r="R49" i="13"/>
  <c r="R39" i="13"/>
  <c r="R85" i="3"/>
  <c r="T52" i="13"/>
  <c r="T51" i="13"/>
  <c r="T41" i="13"/>
  <c r="T53" i="13"/>
  <c r="T57" i="13"/>
  <c r="T58" i="13"/>
  <c r="T59" i="13"/>
  <c r="T54" i="13"/>
  <c r="T56" i="13"/>
  <c r="T55" i="13"/>
  <c r="I47" i="12"/>
  <c r="I37" i="12"/>
  <c r="I17" i="12"/>
  <c r="I67" i="12" s="1"/>
  <c r="I53" i="12"/>
  <c r="I49" i="12"/>
  <c r="I50" i="12"/>
  <c r="I54" i="12"/>
  <c r="J41" i="12"/>
  <c r="J31" i="12"/>
  <c r="J21" i="12"/>
  <c r="J71" i="12" s="1"/>
  <c r="J27" i="14"/>
  <c r="J46" i="3"/>
  <c r="J6" i="12"/>
  <c r="I85" i="3"/>
  <c r="I39" i="13"/>
  <c r="I49" i="13"/>
  <c r="I10" i="13"/>
  <c r="I26" i="13" s="1"/>
  <c r="R5" i="12"/>
  <c r="J5" i="12"/>
  <c r="J227" i="3"/>
  <c r="P207" i="3"/>
  <c r="B34" i="13"/>
  <c r="B44" i="13"/>
  <c r="B75" i="3"/>
  <c r="P19" i="13"/>
  <c r="P3" i="13"/>
  <c r="P21" i="13" s="1"/>
  <c r="P43" i="3"/>
  <c r="V237" i="3"/>
  <c r="V82" i="3"/>
  <c r="R10" i="13"/>
  <c r="R26" i="13" s="1"/>
  <c r="C55" i="3"/>
  <c r="C25" i="12"/>
  <c r="C75" i="12" s="1"/>
  <c r="C45" i="12"/>
  <c r="C35" i="12"/>
  <c r="C10" i="12"/>
  <c r="E19" i="13"/>
  <c r="E3" i="13"/>
  <c r="E21" i="13" s="1"/>
  <c r="V52" i="12"/>
  <c r="D48" i="12"/>
  <c r="D37" i="12"/>
  <c r="D17" i="12"/>
  <c r="D67" i="12" s="1"/>
  <c r="D47" i="12"/>
  <c r="D53" i="12"/>
  <c r="D49" i="12"/>
  <c r="D50" i="12"/>
  <c r="S10" i="13"/>
  <c r="S26" i="13" s="1"/>
  <c r="C51" i="12" l="1"/>
  <c r="C82" i="3"/>
  <c r="C234" i="3" s="1"/>
  <c r="R73" i="3"/>
  <c r="K43" i="3"/>
  <c r="R52" i="3"/>
  <c r="R204" i="3" s="1"/>
  <c r="I195" i="3"/>
  <c r="B5" i="12"/>
  <c r="C55" i="12"/>
  <c r="S36" i="13"/>
  <c r="S46" i="13"/>
  <c r="V234" i="3"/>
  <c r="B227" i="3"/>
  <c r="J198" i="3"/>
  <c r="J43" i="3"/>
  <c r="C228" i="3"/>
  <c r="I237" i="3"/>
  <c r="I82" i="3"/>
  <c r="J82" i="3"/>
  <c r="J237" i="3"/>
  <c r="R198" i="3"/>
  <c r="R43" i="3"/>
  <c r="Q36" i="13"/>
  <c r="Q46" i="13"/>
  <c r="C18" i="12"/>
  <c r="C68" i="12" s="1"/>
  <c r="C28" i="12"/>
  <c r="C48" i="12"/>
  <c r="C38" i="12"/>
  <c r="C24" i="14"/>
  <c r="S6" i="13"/>
  <c r="S22" i="13" s="1"/>
  <c r="S35" i="13"/>
  <c r="S45" i="13"/>
  <c r="S76" i="3"/>
  <c r="S21" i="12"/>
  <c r="S71" i="12" s="1"/>
  <c r="S41" i="12"/>
  <c r="S31" i="12"/>
  <c r="S46" i="3"/>
  <c r="S27" i="14"/>
  <c r="S6" i="12"/>
  <c r="C73" i="3"/>
  <c r="K198" i="3"/>
  <c r="G103" i="11"/>
  <c r="S55" i="3"/>
  <c r="S45" i="12"/>
  <c r="S25" i="12"/>
  <c r="S75" i="12" s="1"/>
  <c r="S35" i="12"/>
  <c r="R42" i="13"/>
  <c r="R32" i="13"/>
  <c r="J45" i="13"/>
  <c r="J35" i="13"/>
  <c r="J76" i="3"/>
  <c r="J6" i="13"/>
  <c r="J22" i="13" s="1"/>
  <c r="J5" i="13"/>
  <c r="R207" i="3"/>
  <c r="Q228" i="3"/>
  <c r="Q73" i="3"/>
  <c r="C207" i="3"/>
  <c r="C52" i="3"/>
  <c r="K85" i="3"/>
  <c r="K39" i="13"/>
  <c r="K49" i="13"/>
  <c r="K10" i="13"/>
  <c r="K26" i="13" s="1"/>
  <c r="R3" i="12"/>
  <c r="S5" i="12"/>
  <c r="C198" i="3"/>
  <c r="C43" i="3"/>
  <c r="D204" i="3"/>
  <c r="K207" i="3"/>
  <c r="Q204" i="3"/>
  <c r="I41" i="13"/>
  <c r="I51" i="13"/>
  <c r="I57" i="13"/>
  <c r="I53" i="13"/>
  <c r="I58" i="13"/>
  <c r="I54" i="13"/>
  <c r="I55" i="13"/>
  <c r="I52" i="13"/>
  <c r="B35" i="13"/>
  <c r="B45" i="13"/>
  <c r="B76" i="3"/>
  <c r="E52" i="13"/>
  <c r="E41" i="13"/>
  <c r="E51" i="13"/>
  <c r="E53" i="13"/>
  <c r="E57" i="13"/>
  <c r="E54" i="13"/>
  <c r="E58" i="13"/>
  <c r="E59" i="13"/>
  <c r="E56" i="13"/>
  <c r="E55" i="13"/>
  <c r="I36" i="13"/>
  <c r="I46" i="13"/>
  <c r="I56" i="13"/>
  <c r="R82" i="3"/>
  <c r="R237" i="3"/>
  <c r="S206" i="3"/>
  <c r="S227" i="3"/>
  <c r="B35" i="12"/>
  <c r="B45" i="12"/>
  <c r="B25" i="12"/>
  <c r="B75" i="12" s="1"/>
  <c r="B55" i="3"/>
  <c r="Q237" i="3"/>
  <c r="B54" i="3"/>
  <c r="B44" i="12"/>
  <c r="B34" i="12"/>
  <c r="B24" i="12"/>
  <c r="B74" i="12" s="1"/>
  <c r="B10" i="12"/>
  <c r="I101" i="11"/>
  <c r="S39" i="13"/>
  <c r="S85" i="3"/>
  <c r="S49" i="13"/>
  <c r="F58" i="11"/>
  <c r="F53" i="11" s="1"/>
  <c r="R36" i="13"/>
  <c r="R46" i="13"/>
  <c r="P195" i="3"/>
  <c r="I59" i="13"/>
  <c r="C19" i="13"/>
  <c r="C3" i="13"/>
  <c r="B197" i="3"/>
  <c r="B236" i="3"/>
  <c r="C46" i="13"/>
  <c r="C36" i="13"/>
  <c r="P225" i="3"/>
  <c r="R22" i="12"/>
  <c r="R72" i="12" s="1"/>
  <c r="R42" i="12"/>
  <c r="R32" i="12"/>
  <c r="D19" i="13"/>
  <c r="D3" i="13"/>
  <c r="D21" i="13" s="1"/>
  <c r="R19" i="13"/>
  <c r="R3" i="13"/>
  <c r="J204" i="3"/>
  <c r="K228" i="3"/>
  <c r="K73" i="3"/>
  <c r="C22" i="12"/>
  <c r="C72" i="12" s="1"/>
  <c r="C42" i="12"/>
  <c r="C32" i="12"/>
  <c r="C52" i="12"/>
  <c r="P56" i="13"/>
  <c r="P51" i="13"/>
  <c r="P41" i="13"/>
  <c r="P57" i="13"/>
  <c r="P53" i="13"/>
  <c r="P54" i="13"/>
  <c r="P58" i="13"/>
  <c r="P52" i="13"/>
  <c r="P55" i="13"/>
  <c r="P59" i="13"/>
  <c r="K5" i="13"/>
  <c r="Q236" i="3"/>
  <c r="Q82" i="3"/>
  <c r="K32" i="13"/>
  <c r="K42" i="13"/>
  <c r="S197" i="3"/>
  <c r="S5" i="13"/>
  <c r="D42" i="13"/>
  <c r="D32" i="13"/>
  <c r="K28" i="12"/>
  <c r="K18" i="12"/>
  <c r="K68" i="12" s="1"/>
  <c r="K38" i="12"/>
  <c r="K48" i="12"/>
  <c r="K24" i="14"/>
  <c r="B21" i="12"/>
  <c r="B71" i="12" s="1"/>
  <c r="B41" i="12"/>
  <c r="B31" i="12"/>
  <c r="B27" i="14"/>
  <c r="B46" i="3"/>
  <c r="B6" i="12"/>
  <c r="C237" i="3"/>
  <c r="E43" i="11"/>
  <c r="E95" i="11" s="1"/>
  <c r="E100" i="11"/>
  <c r="Q42" i="13"/>
  <c r="Q32" i="13"/>
  <c r="R228" i="3"/>
  <c r="C37" i="12"/>
  <c r="C47" i="12"/>
  <c r="C17" i="12"/>
  <c r="C67" i="12" s="1"/>
  <c r="C53" i="12"/>
  <c r="C49" i="12"/>
  <c r="C54" i="12"/>
  <c r="C50" i="12"/>
  <c r="G102" i="11"/>
  <c r="G48" i="11"/>
  <c r="B5" i="13"/>
  <c r="B6" i="13"/>
  <c r="B22" i="13" s="1"/>
  <c r="J3" i="12"/>
  <c r="J28" i="12"/>
  <c r="J38" i="12"/>
  <c r="J24" i="14"/>
  <c r="J18" i="12"/>
  <c r="J68" i="12" s="1"/>
  <c r="R28" i="12"/>
  <c r="R38" i="12"/>
  <c r="R18" i="12"/>
  <c r="R68" i="12" s="1"/>
  <c r="R24" i="14"/>
  <c r="S42" i="12"/>
  <c r="S22" i="12"/>
  <c r="S72" i="12" s="1"/>
  <c r="S32" i="12"/>
  <c r="D228" i="3"/>
  <c r="D73" i="3"/>
  <c r="I225" i="3"/>
  <c r="K52" i="3"/>
  <c r="E225" i="3"/>
  <c r="V56" i="13"/>
  <c r="V41" i="13"/>
  <c r="V51" i="13"/>
  <c r="V57" i="13"/>
  <c r="V53" i="13"/>
  <c r="V54" i="13"/>
  <c r="V55" i="13"/>
  <c r="V58" i="13"/>
  <c r="V52" i="13"/>
  <c r="V59" i="13"/>
  <c r="F102" i="11"/>
  <c r="F48" i="11"/>
  <c r="Q19" i="13"/>
  <c r="Q3" i="13"/>
  <c r="Q21" i="13" s="1"/>
  <c r="S236" i="3"/>
  <c r="J48" i="12" l="1"/>
  <c r="R52" i="12"/>
  <c r="C56" i="13"/>
  <c r="C21" i="13"/>
  <c r="R52" i="13"/>
  <c r="R21" i="13"/>
  <c r="S82" i="3"/>
  <c r="B73" i="3"/>
  <c r="B225" i="3" s="1"/>
  <c r="R225" i="3"/>
  <c r="S43" i="3"/>
  <c r="S195" i="3" s="1"/>
  <c r="S52" i="3"/>
  <c r="S204" i="3" s="1"/>
  <c r="K195" i="3"/>
  <c r="B3" i="12"/>
  <c r="B54" i="12" s="1"/>
  <c r="R56" i="13"/>
  <c r="B19" i="13"/>
  <c r="B3" i="13"/>
  <c r="B52" i="13" s="1"/>
  <c r="K204" i="3"/>
  <c r="B38" i="12"/>
  <c r="B28" i="12"/>
  <c r="B18" i="12"/>
  <c r="B68" i="12" s="1"/>
  <c r="B24" i="14"/>
  <c r="B207" i="3"/>
  <c r="J19" i="13"/>
  <c r="J3" i="13"/>
  <c r="S18" i="12"/>
  <c r="S68" i="12" s="1"/>
  <c r="S38" i="12"/>
  <c r="S28" i="12"/>
  <c r="S24" i="14"/>
  <c r="S32" i="13"/>
  <c r="S42" i="13"/>
  <c r="R195" i="3"/>
  <c r="B42" i="13"/>
  <c r="B32" i="13"/>
  <c r="S19" i="13"/>
  <c r="S3" i="13"/>
  <c r="K19" i="13"/>
  <c r="K3" i="13"/>
  <c r="K21" i="13" s="1"/>
  <c r="K225" i="3"/>
  <c r="D52" i="13"/>
  <c r="D41" i="13"/>
  <c r="D51" i="13"/>
  <c r="D53" i="13"/>
  <c r="D57" i="13"/>
  <c r="D54" i="13"/>
  <c r="D58" i="13"/>
  <c r="D59" i="13"/>
  <c r="D55" i="13"/>
  <c r="D56" i="13"/>
  <c r="J42" i="13"/>
  <c r="J32" i="13"/>
  <c r="H103" i="11"/>
  <c r="H102" i="11"/>
  <c r="Q234" i="3"/>
  <c r="B206" i="3"/>
  <c r="B52" i="3"/>
  <c r="K237" i="3"/>
  <c r="K82" i="3"/>
  <c r="S198" i="3"/>
  <c r="S228" i="3"/>
  <c r="Q59" i="13"/>
  <c r="Q51" i="13"/>
  <c r="Q41" i="13"/>
  <c r="Q57" i="13"/>
  <c r="Q53" i="13"/>
  <c r="Q54" i="13"/>
  <c r="Q55" i="13"/>
  <c r="Q58" i="13"/>
  <c r="J101" i="11"/>
  <c r="G58" i="11"/>
  <c r="G53" i="11" s="1"/>
  <c r="F43" i="11"/>
  <c r="F95" i="11" s="1"/>
  <c r="F100" i="11"/>
  <c r="S3" i="12"/>
  <c r="R48" i="12"/>
  <c r="R47" i="12"/>
  <c r="R17" i="12"/>
  <c r="R67" i="12" s="1"/>
  <c r="R37" i="12"/>
  <c r="R53" i="12"/>
  <c r="R49" i="12"/>
  <c r="R54" i="12"/>
  <c r="R50" i="12"/>
  <c r="R55" i="12"/>
  <c r="R51" i="12"/>
  <c r="C204" i="3"/>
  <c r="S207" i="3"/>
  <c r="Q56" i="13"/>
  <c r="D225" i="3"/>
  <c r="C52" i="13"/>
  <c r="C41" i="13"/>
  <c r="C51" i="13"/>
  <c r="C53" i="13"/>
  <c r="C57" i="13"/>
  <c r="C58" i="13"/>
  <c r="C54" i="13"/>
  <c r="C59" i="13"/>
  <c r="C55" i="13"/>
  <c r="Q225" i="3"/>
  <c r="J228" i="3"/>
  <c r="J73" i="3"/>
  <c r="J50" i="12"/>
  <c r="J47" i="12"/>
  <c r="J37" i="12"/>
  <c r="J17" i="12"/>
  <c r="J67" i="12" s="1"/>
  <c r="J53" i="12"/>
  <c r="J49" i="12"/>
  <c r="J55" i="12"/>
  <c r="J54" i="12"/>
  <c r="J52" i="12"/>
  <c r="J51" i="12"/>
  <c r="Q52" i="13"/>
  <c r="R55" i="13"/>
  <c r="R51" i="13"/>
  <c r="R41" i="13"/>
  <c r="R57" i="13"/>
  <c r="R53" i="13"/>
  <c r="R54" i="13"/>
  <c r="R58" i="13"/>
  <c r="R59" i="13"/>
  <c r="S237" i="3"/>
  <c r="C195" i="3"/>
  <c r="J234" i="3"/>
  <c r="S73" i="3"/>
  <c r="B39" i="13"/>
  <c r="B49" i="13"/>
  <c r="B85" i="3"/>
  <c r="B10" i="13"/>
  <c r="B26" i="13" s="1"/>
  <c r="B198" i="3"/>
  <c r="G43" i="11"/>
  <c r="G95" i="11" s="1"/>
  <c r="G100" i="11"/>
  <c r="B42" i="12"/>
  <c r="B32" i="12"/>
  <c r="B22" i="12"/>
  <c r="B72" i="12" s="1"/>
  <c r="R234" i="3"/>
  <c r="B228" i="3"/>
  <c r="K36" i="13"/>
  <c r="K46" i="13"/>
  <c r="C225" i="3"/>
  <c r="I234" i="3"/>
  <c r="J195" i="3"/>
  <c r="B43" i="3"/>
  <c r="B53" i="12" l="1"/>
  <c r="B17" i="12"/>
  <c r="B67" i="12" s="1"/>
  <c r="K56" i="13"/>
  <c r="B49" i="12"/>
  <c r="J52" i="13"/>
  <c r="J21" i="13"/>
  <c r="B51" i="12"/>
  <c r="B47" i="12"/>
  <c r="B37" i="12"/>
  <c r="B52" i="12"/>
  <c r="B48" i="12"/>
  <c r="S234" i="3"/>
  <c r="B59" i="13"/>
  <c r="B21" i="13"/>
  <c r="S52" i="13"/>
  <c r="S21" i="13"/>
  <c r="B50" i="12"/>
  <c r="B55" i="12"/>
  <c r="I103" i="11"/>
  <c r="B56" i="13"/>
  <c r="B51" i="13"/>
  <c r="B41" i="13"/>
  <c r="B53" i="13"/>
  <c r="B57" i="13"/>
  <c r="B58" i="13"/>
  <c r="B54" i="13"/>
  <c r="B55" i="13"/>
  <c r="B195" i="3"/>
  <c r="K51" i="13"/>
  <c r="K41" i="13"/>
  <c r="K57" i="13"/>
  <c r="K53" i="13"/>
  <c r="K54" i="13"/>
  <c r="K58" i="13"/>
  <c r="K55" i="13"/>
  <c r="K52" i="13"/>
  <c r="K59" i="13"/>
  <c r="I102" i="11"/>
  <c r="J225" i="3"/>
  <c r="S17" i="12"/>
  <c r="S67" i="12" s="1"/>
  <c r="S47" i="12"/>
  <c r="S37" i="12"/>
  <c r="S53" i="12"/>
  <c r="S49" i="12"/>
  <c r="S50" i="12"/>
  <c r="S54" i="12"/>
  <c r="S51" i="12"/>
  <c r="S52" i="12"/>
  <c r="S55" i="12"/>
  <c r="B204" i="3"/>
  <c r="H48" i="11"/>
  <c r="S51" i="13"/>
  <c r="S41" i="13"/>
  <c r="S57" i="13"/>
  <c r="S53" i="13"/>
  <c r="S54" i="13"/>
  <c r="S58" i="13"/>
  <c r="S55" i="13"/>
  <c r="S59" i="13"/>
  <c r="S56" i="13"/>
  <c r="J53" i="13"/>
  <c r="J51" i="13"/>
  <c r="J41" i="13"/>
  <c r="J57" i="13"/>
  <c r="J54" i="13"/>
  <c r="J58" i="13"/>
  <c r="J59" i="13"/>
  <c r="J56" i="13"/>
  <c r="J55" i="13"/>
  <c r="H58" i="11"/>
  <c r="H53" i="11" s="1"/>
  <c r="K101" i="11"/>
  <c r="B36" i="13"/>
  <c r="B46" i="13"/>
  <c r="S225" i="3"/>
  <c r="S48" i="12"/>
  <c r="B237" i="3"/>
  <c r="B82" i="3"/>
  <c r="K234" i="3"/>
  <c r="I48" i="11" l="1"/>
  <c r="I43" i="11" s="1"/>
  <c r="I95" i="11" s="1"/>
  <c r="L101" i="11"/>
  <c r="J103" i="11"/>
  <c r="B234" i="3"/>
  <c r="I58" i="11"/>
  <c r="I53" i="11" s="1"/>
  <c r="H43" i="11"/>
  <c r="H95" i="11" s="1"/>
  <c r="H100" i="11"/>
  <c r="J102" i="11"/>
  <c r="I100" i="11" l="1"/>
  <c r="J48" i="11"/>
  <c r="J100" i="11" s="1"/>
  <c r="K103" i="11"/>
  <c r="J58" i="11"/>
  <c r="J53" i="11" s="1"/>
  <c r="K102" i="11"/>
  <c r="K48" i="11"/>
  <c r="M101" i="11"/>
  <c r="J43" i="11" l="1"/>
  <c r="J95" i="11" s="1"/>
  <c r="L103" i="11"/>
  <c r="K43" i="11"/>
  <c r="K95" i="11" s="1"/>
  <c r="K100" i="11"/>
  <c r="K58" i="11"/>
  <c r="K53" i="11" s="1"/>
  <c r="L102" i="11"/>
  <c r="L48" i="11"/>
  <c r="N101" i="11"/>
  <c r="L58" i="11" l="1"/>
  <c r="L53" i="11" s="1"/>
  <c r="L100" i="11"/>
  <c r="L43" i="11"/>
  <c r="L95" i="11" s="1"/>
  <c r="O101" i="11"/>
  <c r="M102" i="11"/>
  <c r="M103" i="11"/>
  <c r="M48" i="11" l="1"/>
  <c r="M43" i="11" s="1"/>
  <c r="M95" i="11" s="1"/>
  <c r="N103" i="11"/>
  <c r="P101" i="11"/>
  <c r="N102" i="11"/>
  <c r="M58" i="11"/>
  <c r="M53" i="11" s="1"/>
  <c r="M100" i="11" l="1"/>
  <c r="Q101" i="11"/>
  <c r="O103" i="11"/>
  <c r="O102" i="11"/>
  <c r="O48" i="11"/>
  <c r="N48" i="11"/>
  <c r="P102" i="11" l="1"/>
  <c r="P103" i="11"/>
  <c r="O58" i="11"/>
  <c r="O53" i="11" s="1"/>
  <c r="N43" i="11"/>
  <c r="N95" i="11" s="1"/>
  <c r="N100" i="11"/>
  <c r="O43" i="11"/>
  <c r="O95" i="11" s="1"/>
  <c r="O100" i="11"/>
  <c r="R101" i="11"/>
  <c r="N58" i="11"/>
  <c r="N53" i="11" s="1"/>
  <c r="S101" i="11" l="1"/>
  <c r="Q102" i="11"/>
  <c r="P58" i="11"/>
  <c r="P53" i="11" s="1"/>
  <c r="Q103" i="11"/>
  <c r="P48" i="11"/>
  <c r="Q48" i="11" l="1"/>
  <c r="Q100" i="11" s="1"/>
  <c r="Q58" i="11"/>
  <c r="Q53" i="11" s="1"/>
  <c r="P43" i="11"/>
  <c r="P95" i="11" s="1"/>
  <c r="P100" i="11"/>
  <c r="R103" i="11"/>
  <c r="R102" i="11"/>
  <c r="T101" i="11"/>
  <c r="Q43" i="11" l="1"/>
  <c r="Q95" i="11" s="1"/>
  <c r="R48" i="11"/>
  <c r="U101" i="11"/>
  <c r="R58" i="11"/>
  <c r="R53" i="11" s="1"/>
  <c r="S103" i="11"/>
  <c r="R43" i="11"/>
  <c r="R95" i="11" s="1"/>
  <c r="R100" i="11"/>
  <c r="S102" i="11"/>
  <c r="S48" i="11"/>
  <c r="S43" i="11" l="1"/>
  <c r="S95" i="11" s="1"/>
  <c r="S100" i="11"/>
  <c r="V101" i="11"/>
  <c r="T102" i="11"/>
  <c r="S58" i="11"/>
  <c r="S53" i="11" s="1"/>
  <c r="T103" i="11"/>
  <c r="T48" i="11" l="1"/>
  <c r="T43" i="11" s="1"/>
  <c r="T95" i="11" s="1"/>
  <c r="T58" i="11"/>
  <c r="T53" i="11" s="1"/>
  <c r="U102" i="11"/>
  <c r="U103" i="11"/>
  <c r="T100" i="11" l="1"/>
  <c r="U48" i="11"/>
  <c r="V102" i="11"/>
  <c r="U58" i="11"/>
  <c r="U53" i="11" s="1"/>
  <c r="V103" i="11"/>
  <c r="U43" i="11"/>
  <c r="U95" i="11" s="1"/>
  <c r="U100" i="11"/>
  <c r="V58" i="11" l="1"/>
  <c r="V53" i="11" s="1"/>
  <c r="V48" i="11"/>
  <c r="V43" i="11" l="1"/>
  <c r="V95" i="11" s="1"/>
  <c r="V100" i="11"/>
  <c r="X10" i="5" l="1"/>
  <c r="X5" i="5"/>
  <c r="Y51" i="6"/>
  <c r="X51" i="6"/>
  <c r="X50" i="6"/>
  <c r="X5" i="6"/>
  <c r="Y5" i="6"/>
  <c r="Y5" i="5"/>
  <c r="X48" i="6"/>
  <c r="Y10" i="5"/>
  <c r="Y50" i="6"/>
  <c r="X10" i="6" l="1"/>
  <c r="Y10" i="6"/>
  <c r="Y4" i="6" s="1"/>
  <c r="X49" i="6"/>
  <c r="X4" i="6"/>
  <c r="Y49" i="6"/>
  <c r="Y48" i="6"/>
  <c r="W10" i="6" l="1"/>
  <c r="L10" i="6" l="1"/>
  <c r="M10" i="6"/>
  <c r="J10" i="6" l="1"/>
  <c r="N10" i="6"/>
  <c r="B10" i="6"/>
  <c r="K10" i="6"/>
  <c r="U10" i="6"/>
  <c r="C10" i="6"/>
  <c r="F10" i="6"/>
  <c r="I10" i="6"/>
  <c r="E10" i="6"/>
  <c r="H10" i="6"/>
  <c r="G10" i="6"/>
  <c r="Q10" i="6"/>
  <c r="T10" i="6"/>
  <c r="S10" i="6"/>
  <c r="R10" i="6"/>
  <c r="P10" i="6"/>
  <c r="O10" i="6"/>
  <c r="D10" i="6"/>
  <c r="V10" i="6"/>
  <c r="I49" i="6" l="1"/>
  <c r="I5" i="5"/>
  <c r="S49" i="6"/>
  <c r="I48" i="6"/>
  <c r="D49" i="6"/>
  <c r="L49" i="6"/>
  <c r="G51" i="6"/>
  <c r="O51" i="6"/>
  <c r="C10" i="5" l="1"/>
  <c r="D10" i="5"/>
  <c r="B10" i="5"/>
  <c r="I10" i="5"/>
  <c r="S10" i="5"/>
  <c r="S5" i="5"/>
  <c r="L5" i="5"/>
  <c r="D5" i="5"/>
  <c r="Q10" i="5"/>
  <c r="T5" i="5"/>
  <c r="N51" i="6"/>
  <c r="K10" i="5"/>
  <c r="J5" i="5"/>
  <c r="C5" i="5"/>
  <c r="O48" i="6"/>
  <c r="T10" i="5"/>
  <c r="L10" i="5"/>
  <c r="J49" i="6"/>
  <c r="W51" i="6"/>
  <c r="Q5" i="5"/>
  <c r="R10" i="5"/>
  <c r="B49" i="6"/>
  <c r="F51" i="6"/>
  <c r="J10" i="5"/>
  <c r="B5" i="5"/>
  <c r="K49" i="6"/>
  <c r="B48" i="6"/>
  <c r="U50" i="6"/>
  <c r="U5" i="6"/>
  <c r="D50" i="6"/>
  <c r="D5" i="6"/>
  <c r="J51" i="6"/>
  <c r="I5" i="6"/>
  <c r="I4" i="6" s="1"/>
  <c r="I50" i="6"/>
  <c r="I51" i="6"/>
  <c r="N10" i="5"/>
  <c r="F5" i="5"/>
  <c r="M49" i="6"/>
  <c r="W50" i="6"/>
  <c r="E10" i="5"/>
  <c r="Q48" i="6"/>
  <c r="C49" i="6"/>
  <c r="R49" i="6"/>
  <c r="G48" i="6"/>
  <c r="S5" i="6"/>
  <c r="S50" i="6"/>
  <c r="R50" i="6"/>
  <c r="S48" i="6"/>
  <c r="U51" i="6"/>
  <c r="B51" i="6"/>
  <c r="H5" i="5"/>
  <c r="T51" i="6"/>
  <c r="S51" i="6"/>
  <c r="H49" i="6"/>
  <c r="W49" i="6"/>
  <c r="L48" i="6"/>
  <c r="O10" i="5"/>
  <c r="V49" i="6"/>
  <c r="K48" i="6"/>
  <c r="H50" i="6"/>
  <c r="F10" i="5"/>
  <c r="P51" i="6"/>
  <c r="E49" i="6"/>
  <c r="U5" i="5"/>
  <c r="N5" i="6"/>
  <c r="N4" i="6" s="1"/>
  <c r="N50" i="6"/>
  <c r="T49" i="6"/>
  <c r="L51" i="6"/>
  <c r="V48" i="6"/>
  <c r="K51" i="6"/>
  <c r="U48" i="6"/>
  <c r="P10" i="5"/>
  <c r="G10" i="5"/>
  <c r="P48" i="6"/>
  <c r="M50" i="6"/>
  <c r="M5" i="6"/>
  <c r="W48" i="6"/>
  <c r="T50" i="6"/>
  <c r="K5" i="6"/>
  <c r="K50" i="6"/>
  <c r="O49" i="6"/>
  <c r="D48" i="6"/>
  <c r="N49" i="6"/>
  <c r="C48" i="6"/>
  <c r="H51" i="6"/>
  <c r="R48" i="6"/>
  <c r="U10" i="5"/>
  <c r="M5" i="5"/>
  <c r="E50" i="6"/>
  <c r="E5" i="6"/>
  <c r="K5" i="5"/>
  <c r="M51" i="6"/>
  <c r="L5" i="6"/>
  <c r="L50" i="6"/>
  <c r="D51" i="6"/>
  <c r="N48" i="6"/>
  <c r="C51" i="6"/>
  <c r="M48" i="6"/>
  <c r="H10" i="5"/>
  <c r="P5" i="5"/>
  <c r="Q50" i="6"/>
  <c r="W5" i="5"/>
  <c r="V5" i="5"/>
  <c r="O5" i="6"/>
  <c r="O4" i="6" s="1"/>
  <c r="O50" i="6"/>
  <c r="F5" i="6"/>
  <c r="F4" i="6" s="1"/>
  <c r="F50" i="6"/>
  <c r="V5" i="6"/>
  <c r="V50" i="6"/>
  <c r="H48" i="6"/>
  <c r="G5" i="5"/>
  <c r="E51" i="6"/>
  <c r="J5" i="6"/>
  <c r="J4" i="6" s="1"/>
  <c r="J50" i="6"/>
  <c r="R51" i="6"/>
  <c r="G49" i="6"/>
  <c r="V10" i="5"/>
  <c r="N5" i="5"/>
  <c r="U49" i="6"/>
  <c r="J48" i="6"/>
  <c r="M10" i="5"/>
  <c r="V51" i="6"/>
  <c r="R5" i="5"/>
  <c r="Q49" i="6"/>
  <c r="F48" i="6"/>
  <c r="C50" i="6"/>
  <c r="P49" i="6"/>
  <c r="E48" i="6"/>
  <c r="T48" i="6"/>
  <c r="W10" i="5"/>
  <c r="O5" i="5"/>
  <c r="Q51" i="6"/>
  <c r="F49" i="6"/>
  <c r="P50" i="6"/>
  <c r="G5" i="6"/>
  <c r="G4" i="6" s="1"/>
  <c r="G50" i="6"/>
  <c r="B5" i="6"/>
  <c r="B4" i="6" s="1"/>
  <c r="B50" i="6"/>
  <c r="E5" i="5"/>
  <c r="C5" i="6" l="1"/>
  <c r="C4" i="6" s="1"/>
  <c r="L4" i="6"/>
  <c r="T5" i="6"/>
  <c r="T4" i="6" s="1"/>
  <c r="E4" i="6"/>
  <c r="H5" i="6"/>
  <c r="H4" i="6" s="1"/>
  <c r="W5" i="6"/>
  <c r="W4" i="6" s="1"/>
  <c r="D4" i="6"/>
  <c r="P5" i="6"/>
  <c r="P4" i="6" s="1"/>
  <c r="R5" i="6"/>
  <c r="R4" i="6" s="1"/>
  <c r="U4" i="6"/>
  <c r="M4" i="6"/>
  <c r="V4" i="6"/>
  <c r="Q5" i="6"/>
  <c r="Q4" i="6" s="1"/>
  <c r="K4" i="6"/>
  <c r="S4" i="6"/>
  <c r="J11" i="7" l="1"/>
  <c r="K11" i="7" l="1"/>
  <c r="B38" i="7" l="1"/>
  <c r="H38" i="7" l="1"/>
  <c r="E38" i="7"/>
  <c r="D38" i="7"/>
  <c r="J38" i="7"/>
  <c r="F38" i="7"/>
  <c r="I38" i="7"/>
  <c r="C38" i="7"/>
  <c r="G38" i="7"/>
  <c r="I123" i="7" l="1"/>
  <c r="I204" i="7"/>
  <c r="I11" i="7"/>
  <c r="C123" i="7"/>
  <c r="C204" i="7"/>
  <c r="C11" i="7"/>
  <c r="G204" i="7"/>
  <c r="G123" i="7"/>
  <c r="G11" i="7"/>
  <c r="H123" i="7"/>
  <c r="H204" i="7"/>
  <c r="H11" i="7"/>
  <c r="B204" i="7"/>
  <c r="B11" i="7"/>
  <c r="B123" i="7"/>
  <c r="F11" i="7"/>
  <c r="F204" i="7"/>
  <c r="F123" i="7"/>
  <c r="D123" i="7"/>
  <c r="D204" i="7"/>
  <c r="D11" i="7"/>
  <c r="E204" i="7"/>
  <c r="E123" i="7"/>
  <c r="E11" i="7"/>
  <c r="K38" i="7"/>
  <c r="L11" i="7" l="1"/>
  <c r="L38" i="7"/>
  <c r="M11" i="7" l="1"/>
  <c r="N11" i="7" l="1"/>
  <c r="P32" i="7" l="1"/>
  <c r="M32" i="7"/>
  <c r="O32" i="7"/>
  <c r="Q32" i="7" l="1"/>
  <c r="N32" i="7"/>
  <c r="L32" i="7" l="1"/>
  <c r="R32" i="7"/>
  <c r="B32" i="7"/>
  <c r="S32" i="7"/>
  <c r="O5" i="7"/>
  <c r="K5" i="7" l="1"/>
  <c r="K32" i="7"/>
  <c r="M5" i="7"/>
  <c r="N5" i="7"/>
  <c r="P5" i="7"/>
  <c r="R5" i="7"/>
  <c r="L5" i="7"/>
  <c r="Q5" i="7"/>
  <c r="T32" i="7" l="1"/>
  <c r="T5" i="7" l="1"/>
  <c r="J5" i="7"/>
  <c r="S5" i="7"/>
  <c r="M38" i="7" l="1"/>
  <c r="N38" i="7" l="1"/>
  <c r="B44" i="7" l="1"/>
  <c r="B43" i="7"/>
  <c r="B51" i="7"/>
  <c r="B52" i="7"/>
  <c r="B45" i="7"/>
  <c r="B37" i="7"/>
  <c r="D32" i="7"/>
  <c r="B50" i="7"/>
  <c r="C32" i="7" l="1"/>
  <c r="F32" i="7"/>
  <c r="B41" i="7"/>
  <c r="E32" i="7"/>
  <c r="G32" i="7"/>
  <c r="H32" i="7"/>
  <c r="B36" i="7"/>
  <c r="B39" i="7"/>
  <c r="B49" i="7"/>
  <c r="B35" i="7"/>
  <c r="U32" i="7" l="1"/>
  <c r="B16" i="7"/>
  <c r="B18" i="7"/>
  <c r="B24" i="7"/>
  <c r="B114" i="4"/>
  <c r="B34" i="7"/>
  <c r="I32" i="7"/>
  <c r="B25" i="7"/>
  <c r="B23" i="7"/>
  <c r="B10" i="7"/>
  <c r="J32" i="7"/>
  <c r="V32" i="7"/>
  <c r="O38" i="7"/>
  <c r="O11" i="7" l="1"/>
  <c r="H5" i="7"/>
  <c r="C5" i="7"/>
  <c r="P11" i="7"/>
  <c r="B33" i="7"/>
  <c r="I5" i="7"/>
  <c r="B5" i="7"/>
  <c r="B124" i="7"/>
  <c r="B12" i="7"/>
  <c r="B8" i="7"/>
  <c r="F5" i="7"/>
  <c r="B128" i="4"/>
  <c r="B48" i="7"/>
  <c r="B14" i="7"/>
  <c r="D5" i="7"/>
  <c r="E5" i="7"/>
  <c r="U5" i="7"/>
  <c r="G5" i="7"/>
  <c r="C52" i="7"/>
  <c r="C39" i="7"/>
  <c r="C50" i="7"/>
  <c r="C37" i="7"/>
  <c r="C51" i="7"/>
  <c r="P38" i="7"/>
  <c r="C43" i="7"/>
  <c r="C45" i="7"/>
  <c r="C25" i="7" l="1"/>
  <c r="X32" i="7"/>
  <c r="C16" i="7"/>
  <c r="B42" i="7"/>
  <c r="B121" i="4"/>
  <c r="W32" i="7"/>
  <c r="C10" i="7"/>
  <c r="C41" i="7"/>
  <c r="C18" i="7"/>
  <c r="C23" i="7"/>
  <c r="B47" i="7"/>
  <c r="C24" i="7"/>
  <c r="V5" i="7"/>
  <c r="C124" i="7" l="1"/>
  <c r="C12" i="7"/>
  <c r="B40" i="7"/>
  <c r="B112" i="4"/>
  <c r="Y32" i="7"/>
  <c r="C14" i="7"/>
  <c r="X5" i="7"/>
  <c r="W5" i="7"/>
  <c r="D50" i="7"/>
  <c r="D39" i="7"/>
  <c r="D52" i="7"/>
  <c r="D37" i="7"/>
  <c r="D51" i="7"/>
  <c r="Q38" i="7"/>
  <c r="D43" i="7"/>
  <c r="D45" i="7"/>
  <c r="D23" i="7" l="1"/>
  <c r="D16" i="7"/>
  <c r="D18" i="7"/>
  <c r="Q11" i="7"/>
  <c r="D25" i="7"/>
  <c r="D10" i="7"/>
  <c r="B31" i="7"/>
  <c r="D24" i="7"/>
  <c r="D41" i="7"/>
  <c r="D12" i="7" l="1"/>
  <c r="D124" i="7"/>
  <c r="Y5" i="7"/>
  <c r="D14" i="7"/>
  <c r="E37" i="7"/>
  <c r="E39" i="7"/>
  <c r="E52" i="7"/>
  <c r="E51" i="7"/>
  <c r="E50" i="7"/>
  <c r="E45" i="7"/>
  <c r="E43" i="7"/>
  <c r="E12" i="7" l="1"/>
  <c r="E24" i="7"/>
  <c r="E18" i="7"/>
  <c r="E23" i="7"/>
  <c r="E16" i="7"/>
  <c r="E10" i="7"/>
  <c r="E25" i="7"/>
  <c r="R38" i="7"/>
  <c r="E41" i="7" l="1"/>
  <c r="R11" i="7"/>
  <c r="F37" i="7"/>
  <c r="F50" i="7"/>
  <c r="F51" i="7"/>
  <c r="F39" i="7"/>
  <c r="F52" i="7"/>
  <c r="F45" i="7"/>
  <c r="F43" i="7"/>
  <c r="F9" i="7" l="1"/>
  <c r="F18" i="7"/>
  <c r="F12" i="7"/>
  <c r="F23" i="7"/>
  <c r="F10" i="7"/>
  <c r="F24" i="7"/>
  <c r="E14" i="7"/>
  <c r="E9" i="7" l="1"/>
  <c r="F25" i="7"/>
  <c r="F41" i="7"/>
  <c r="F16" i="7"/>
  <c r="G39" i="7"/>
  <c r="G51" i="7"/>
  <c r="G37" i="7"/>
  <c r="G52" i="7"/>
  <c r="S38" i="7"/>
  <c r="G43" i="7"/>
  <c r="G45" i="7"/>
  <c r="D9" i="7" l="1"/>
  <c r="F8" i="7"/>
  <c r="F14" i="7"/>
  <c r="E8" i="7"/>
  <c r="G12" i="7"/>
  <c r="G24" i="7"/>
  <c r="G17" i="7"/>
  <c r="S11" i="7"/>
  <c r="G16" i="7"/>
  <c r="F17" i="7"/>
  <c r="G18" i="7"/>
  <c r="G10" i="7"/>
  <c r="G25" i="7"/>
  <c r="G50" i="7"/>
  <c r="G23" i="7" l="1"/>
  <c r="E17" i="7"/>
  <c r="E87" i="4"/>
  <c r="C9" i="7"/>
  <c r="G9" i="7"/>
  <c r="D8" i="7"/>
  <c r="H52" i="7"/>
  <c r="H37" i="7"/>
  <c r="H51" i="7"/>
  <c r="H39" i="7"/>
  <c r="H45" i="7"/>
  <c r="T38" i="7"/>
  <c r="C8" i="7" l="1"/>
  <c r="H12" i="7"/>
  <c r="G8" i="7"/>
  <c r="H18" i="7"/>
  <c r="H10" i="7"/>
  <c r="H25" i="7"/>
  <c r="F87" i="4"/>
  <c r="E60" i="4"/>
  <c r="E7" i="7"/>
  <c r="D87" i="4"/>
  <c r="F94" i="4"/>
  <c r="T11" i="7"/>
  <c r="B9" i="7"/>
  <c r="D17" i="7"/>
  <c r="G41" i="7"/>
  <c r="H17" i="7"/>
  <c r="H24" i="7"/>
  <c r="C36" i="7"/>
  <c r="H50" i="7"/>
  <c r="H43" i="7"/>
  <c r="C35" i="7"/>
  <c r="F85" i="4" l="1"/>
  <c r="J24" i="7"/>
  <c r="E6" i="7"/>
  <c r="E94" i="4"/>
  <c r="E85" i="4" s="1"/>
  <c r="F7" i="7"/>
  <c r="F60" i="4"/>
  <c r="B87" i="4"/>
  <c r="H9" i="7"/>
  <c r="J18" i="7"/>
  <c r="F15" i="7"/>
  <c r="F67" i="4"/>
  <c r="H23" i="7"/>
  <c r="G14" i="7"/>
  <c r="D7" i="7"/>
  <c r="D60" i="4"/>
  <c r="C87" i="4"/>
  <c r="C17" i="7"/>
  <c r="H16" i="7"/>
  <c r="I52" i="7"/>
  <c r="J51" i="7"/>
  <c r="I51" i="7"/>
  <c r="I39" i="7"/>
  <c r="D35" i="7"/>
  <c r="I45" i="7"/>
  <c r="H35" i="7"/>
  <c r="H8" i="7" l="1"/>
  <c r="D94" i="4"/>
  <c r="D85" i="4" s="1"/>
  <c r="B17" i="7"/>
  <c r="H41" i="7"/>
  <c r="I25" i="7"/>
  <c r="I12" i="7"/>
  <c r="B60" i="4"/>
  <c r="B7" i="7"/>
  <c r="G94" i="4"/>
  <c r="K18" i="7"/>
  <c r="I17" i="7"/>
  <c r="C7" i="7"/>
  <c r="C60" i="4"/>
  <c r="E15" i="7"/>
  <c r="E67" i="4"/>
  <c r="J16" i="7"/>
  <c r="F13" i="7"/>
  <c r="F6" i="7"/>
  <c r="F58" i="4"/>
  <c r="I24" i="7"/>
  <c r="C34" i="7"/>
  <c r="C114" i="4"/>
  <c r="G87" i="4"/>
  <c r="D6" i="7"/>
  <c r="C44" i="7"/>
  <c r="D36" i="7"/>
  <c r="I37" i="7"/>
  <c r="I50" i="7"/>
  <c r="J45" i="7"/>
  <c r="I43" i="7"/>
  <c r="C33" i="7" l="1"/>
  <c r="H94" i="4"/>
  <c r="H15" i="7"/>
  <c r="I18" i="7"/>
  <c r="C6" i="7"/>
  <c r="C94" i="4"/>
  <c r="C85" i="4" s="1"/>
  <c r="I23" i="7"/>
  <c r="B6" i="7"/>
  <c r="D15" i="7"/>
  <c r="D67" i="4"/>
  <c r="I16" i="7"/>
  <c r="F4" i="7"/>
  <c r="E13" i="7"/>
  <c r="E58" i="4"/>
  <c r="H87" i="4"/>
  <c r="G7" i="7"/>
  <c r="G60" i="4"/>
  <c r="H14" i="7"/>
  <c r="U11" i="7"/>
  <c r="I10" i="7"/>
  <c r="I9" i="7"/>
  <c r="K24" i="7"/>
  <c r="G85" i="4"/>
  <c r="G15" i="7"/>
  <c r="G67" i="4"/>
  <c r="D44" i="7"/>
  <c r="J39" i="7"/>
  <c r="K51" i="7"/>
  <c r="K45" i="7"/>
  <c r="J43" i="7"/>
  <c r="U38" i="7"/>
  <c r="L45" i="7"/>
  <c r="H67" i="4" l="1"/>
  <c r="E4" i="7"/>
  <c r="J17" i="7"/>
  <c r="I8" i="7"/>
  <c r="H13" i="7"/>
  <c r="D34" i="7"/>
  <c r="D114" i="4"/>
  <c r="D33" i="7" s="1"/>
  <c r="G6" i="7"/>
  <c r="G58" i="4"/>
  <c r="B94" i="4"/>
  <c r="B85" i="4" s="1"/>
  <c r="K16" i="7"/>
  <c r="J12" i="7"/>
  <c r="I41" i="7"/>
  <c r="G13" i="7"/>
  <c r="H85" i="4"/>
  <c r="M10" i="7"/>
  <c r="H7" i="7"/>
  <c r="H60" i="4"/>
  <c r="D13" i="7"/>
  <c r="D58" i="4"/>
  <c r="C15" i="7"/>
  <c r="C67" i="4"/>
  <c r="E36" i="7"/>
  <c r="J52" i="7"/>
  <c r="J37" i="7"/>
  <c r="M45" i="7"/>
  <c r="K43" i="7"/>
  <c r="V11" i="7" l="1"/>
  <c r="F22" i="7"/>
  <c r="B15" i="7"/>
  <c r="B67" i="4"/>
  <c r="C22" i="7"/>
  <c r="L18" i="7"/>
  <c r="H6" i="7"/>
  <c r="H58" i="4"/>
  <c r="G22" i="7"/>
  <c r="L24" i="7"/>
  <c r="G4" i="7"/>
  <c r="B22" i="7"/>
  <c r="H22" i="7"/>
  <c r="J10" i="7"/>
  <c r="E22" i="7"/>
  <c r="J9" i="7"/>
  <c r="C13" i="7"/>
  <c r="C58" i="4"/>
  <c r="D22" i="7"/>
  <c r="I14" i="7"/>
  <c r="C42" i="7"/>
  <c r="C121" i="4"/>
  <c r="I22" i="7"/>
  <c r="J25" i="7"/>
  <c r="D4" i="7"/>
  <c r="E44" i="7"/>
  <c r="K39" i="7"/>
  <c r="J50" i="7"/>
  <c r="V38" i="7"/>
  <c r="C49" i="7"/>
  <c r="E35" i="7"/>
  <c r="L43" i="7"/>
  <c r="L51" i="7"/>
  <c r="I87" i="4" l="1"/>
  <c r="M18" i="7"/>
  <c r="J23" i="7"/>
  <c r="G101" i="4"/>
  <c r="I94" i="4"/>
  <c r="K17" i="7"/>
  <c r="L16" i="7"/>
  <c r="C4" i="7"/>
  <c r="F101" i="4"/>
  <c r="J8" i="7"/>
  <c r="N10" i="7"/>
  <c r="C40" i="7"/>
  <c r="C112" i="4"/>
  <c r="B13" i="7"/>
  <c r="B58" i="4"/>
  <c r="C101" i="4"/>
  <c r="K12" i="7"/>
  <c r="H4" i="7"/>
  <c r="D101" i="4"/>
  <c r="B101" i="4"/>
  <c r="J41" i="7"/>
  <c r="E101" i="4"/>
  <c r="H101" i="4"/>
  <c r="I101" i="4"/>
  <c r="N45" i="7"/>
  <c r="F36" i="7"/>
  <c r="L39" i="7"/>
  <c r="K37" i="7"/>
  <c r="N51" i="7"/>
  <c r="M43" i="7"/>
  <c r="M51" i="7"/>
  <c r="O10" i="7" l="1"/>
  <c r="J14" i="7"/>
  <c r="C31" i="7"/>
  <c r="G21" i="7"/>
  <c r="G74" i="4"/>
  <c r="C48" i="7"/>
  <c r="C128" i="4"/>
  <c r="I21" i="7"/>
  <c r="I74" i="4"/>
  <c r="B74" i="4"/>
  <c r="B21" i="7"/>
  <c r="M16" i="7"/>
  <c r="R12" i="7"/>
  <c r="J22" i="7"/>
  <c r="O18" i="7"/>
  <c r="H21" i="7"/>
  <c r="H74" i="4"/>
  <c r="D74" i="4"/>
  <c r="D21" i="7"/>
  <c r="N24" i="7"/>
  <c r="C74" i="4"/>
  <c r="C21" i="7"/>
  <c r="D42" i="7"/>
  <c r="D121" i="4"/>
  <c r="M24" i="7"/>
  <c r="E74" i="4"/>
  <c r="E21" i="7"/>
  <c r="B4" i="7"/>
  <c r="I15" i="7"/>
  <c r="I67" i="4"/>
  <c r="I7" i="7"/>
  <c r="I60" i="4"/>
  <c r="I6" i="7" s="1"/>
  <c r="K10" i="7"/>
  <c r="L12" i="7"/>
  <c r="K9" i="7"/>
  <c r="F21" i="7"/>
  <c r="F74" i="4"/>
  <c r="I85" i="4"/>
  <c r="F44" i="7"/>
  <c r="L37" i="7"/>
  <c r="K50" i="7"/>
  <c r="K52" i="7"/>
  <c r="O51" i="7"/>
  <c r="O45" i="7"/>
  <c r="F35" i="7"/>
  <c r="D49" i="7"/>
  <c r="J87" i="4" l="1"/>
  <c r="O24" i="7"/>
  <c r="K8" i="7"/>
  <c r="K23" i="7"/>
  <c r="K41" i="7"/>
  <c r="I58" i="4"/>
  <c r="I13" i="7"/>
  <c r="B20" i="7"/>
  <c r="J94" i="4"/>
  <c r="J85" i="4" s="1"/>
  <c r="N18" i="7"/>
  <c r="D112" i="4"/>
  <c r="D40" i="7"/>
  <c r="I20" i="7"/>
  <c r="W11" i="7"/>
  <c r="L10" i="7"/>
  <c r="D20" i="7"/>
  <c r="J101" i="4"/>
  <c r="H20" i="7"/>
  <c r="C47" i="7"/>
  <c r="E34" i="7"/>
  <c r="E114" i="4"/>
  <c r="L17" i="7"/>
  <c r="C20" i="7"/>
  <c r="R10" i="7"/>
  <c r="F20" i="7"/>
  <c r="G20" i="7"/>
  <c r="K25" i="7"/>
  <c r="E20" i="7"/>
  <c r="M37" i="7"/>
  <c r="G36" i="7"/>
  <c r="P51" i="7"/>
  <c r="W38" i="7"/>
  <c r="K87" i="4" l="1"/>
  <c r="L8" i="7"/>
  <c r="N43" i="7"/>
  <c r="P10" i="7"/>
  <c r="E33" i="7"/>
  <c r="S12" i="7"/>
  <c r="D31" i="7"/>
  <c r="P24" i="7"/>
  <c r="K14" i="7"/>
  <c r="D48" i="7"/>
  <c r="D128" i="4"/>
  <c r="E42" i="7"/>
  <c r="E121" i="4"/>
  <c r="E40" i="7" s="1"/>
  <c r="M12" i="7"/>
  <c r="K22" i="7"/>
  <c r="I4" i="7"/>
  <c r="J74" i="4"/>
  <c r="J21" i="7"/>
  <c r="J15" i="7"/>
  <c r="J67" i="4"/>
  <c r="J60" i="4"/>
  <c r="J7" i="7"/>
  <c r="L9" i="7"/>
  <c r="G44" i="7"/>
  <c r="L52" i="7"/>
  <c r="L50" i="7"/>
  <c r="M39" i="7"/>
  <c r="E49" i="7"/>
  <c r="Q51" i="7"/>
  <c r="P45" i="7"/>
  <c r="G35" i="7"/>
  <c r="O43" i="7"/>
  <c r="Q24" i="7" l="1"/>
  <c r="X11" i="7"/>
  <c r="R25" i="7"/>
  <c r="L25" i="7"/>
  <c r="L41" i="7"/>
  <c r="L23" i="7"/>
  <c r="J20" i="7"/>
  <c r="D47" i="7"/>
  <c r="K94" i="4"/>
  <c r="K85" i="4" s="1"/>
  <c r="N16" i="7"/>
  <c r="S10" i="7"/>
  <c r="K101" i="4"/>
  <c r="M17" i="7"/>
  <c r="P18" i="7"/>
  <c r="T24" i="7"/>
  <c r="J6" i="7"/>
  <c r="J58" i="4"/>
  <c r="E112" i="4"/>
  <c r="K7" i="7"/>
  <c r="K60" i="4"/>
  <c r="F34" i="7"/>
  <c r="F114" i="4"/>
  <c r="Q25" i="7"/>
  <c r="J13" i="7"/>
  <c r="N37" i="7"/>
  <c r="H36" i="7"/>
  <c r="X38" i="7"/>
  <c r="Q10" i="7" l="1"/>
  <c r="T12" i="7"/>
  <c r="K6" i="7"/>
  <c r="L14" i="7"/>
  <c r="L94" i="4"/>
  <c r="L15" i="7"/>
  <c r="T10" i="7"/>
  <c r="E31" i="7"/>
  <c r="O16" i="7"/>
  <c r="J4" i="7"/>
  <c r="K15" i="7"/>
  <c r="K67" i="4"/>
  <c r="K13" i="7" s="1"/>
  <c r="L22" i="7"/>
  <c r="N12" i="7"/>
  <c r="K74" i="4"/>
  <c r="K21" i="7"/>
  <c r="F42" i="7"/>
  <c r="F121" i="4"/>
  <c r="F40" i="7" s="1"/>
  <c r="E48" i="7"/>
  <c r="E128" i="4"/>
  <c r="F33" i="7"/>
  <c r="H44" i="7"/>
  <c r="M50" i="7"/>
  <c r="O37" i="7"/>
  <c r="N39" i="7"/>
  <c r="F49" i="7"/>
  <c r="Q45" i="7"/>
  <c r="I35" i="7"/>
  <c r="K58" i="4" l="1"/>
  <c r="K4" i="7" s="1"/>
  <c r="F112" i="4"/>
  <c r="L67" i="4"/>
  <c r="L13" i="7" s="1"/>
  <c r="M9" i="7"/>
  <c r="F31" i="7"/>
  <c r="L101" i="4"/>
  <c r="G34" i="7"/>
  <c r="G114" i="4"/>
  <c r="E47" i="7"/>
  <c r="H114" i="4"/>
  <c r="H34" i="7"/>
  <c r="S25" i="7"/>
  <c r="L87" i="4"/>
  <c r="L85" i="4" s="1"/>
  <c r="U24" i="7"/>
  <c r="N17" i="7"/>
  <c r="Q18" i="7"/>
  <c r="R24" i="7"/>
  <c r="M23" i="7"/>
  <c r="K20" i="7"/>
  <c r="I36" i="7"/>
  <c r="M52" i="7"/>
  <c r="Y38" i="7"/>
  <c r="R51" i="7"/>
  <c r="P43" i="7"/>
  <c r="M8" i="7" l="1"/>
  <c r="R23" i="7"/>
  <c r="U12" i="7"/>
  <c r="F128" i="4"/>
  <c r="F48" i="7"/>
  <c r="Y11" i="7"/>
  <c r="U10" i="7"/>
  <c r="L74" i="4"/>
  <c r="L21" i="7"/>
  <c r="M25" i="7"/>
  <c r="H33" i="7"/>
  <c r="M41" i="7"/>
  <c r="T25" i="7"/>
  <c r="G42" i="7"/>
  <c r="G121" i="4"/>
  <c r="G40" i="7" s="1"/>
  <c r="O12" i="7"/>
  <c r="P16" i="7"/>
  <c r="L60" i="4"/>
  <c r="L7" i="7"/>
  <c r="G33" i="7"/>
  <c r="P37" i="7"/>
  <c r="N52" i="7"/>
  <c r="O39" i="7"/>
  <c r="I44" i="7"/>
  <c r="S51" i="7"/>
  <c r="J35" i="7"/>
  <c r="G49" i="7"/>
  <c r="T51" i="7"/>
  <c r="R45" i="7"/>
  <c r="G112" i="4" l="1"/>
  <c r="N25" i="7"/>
  <c r="V24" i="7"/>
  <c r="M87" i="4"/>
  <c r="O17" i="7"/>
  <c r="L6" i="7"/>
  <c r="L58" i="4"/>
  <c r="F47" i="7"/>
  <c r="N9" i="7"/>
  <c r="W12" i="7"/>
  <c r="N23" i="7"/>
  <c r="L20" i="7"/>
  <c r="I34" i="7"/>
  <c r="I114" i="4"/>
  <c r="R18" i="7"/>
  <c r="V25" i="7"/>
  <c r="M22" i="7"/>
  <c r="R22" i="7"/>
  <c r="G31" i="7"/>
  <c r="M94" i="4"/>
  <c r="M15" i="7"/>
  <c r="S24" i="7"/>
  <c r="M14" i="7"/>
  <c r="P39" i="7"/>
  <c r="N50" i="7"/>
  <c r="J36" i="7"/>
  <c r="U51" i="7"/>
  <c r="S45" i="7"/>
  <c r="M67" i="4" l="1"/>
  <c r="M13" i="7" s="1"/>
  <c r="H42" i="7"/>
  <c r="H121" i="4"/>
  <c r="R101" i="4"/>
  <c r="S18" i="7"/>
  <c r="W24" i="7"/>
  <c r="V12" i="7"/>
  <c r="S23" i="7"/>
  <c r="P12" i="7"/>
  <c r="I33" i="7"/>
  <c r="M85" i="4"/>
  <c r="N22" i="7"/>
  <c r="M7" i="7"/>
  <c r="M60" i="4"/>
  <c r="S22" i="7"/>
  <c r="M101" i="4"/>
  <c r="G128" i="4"/>
  <c r="G48" i="7"/>
  <c r="N8" i="7"/>
  <c r="U25" i="7"/>
  <c r="L4" i="7"/>
  <c r="W25" i="7"/>
  <c r="V10" i="7"/>
  <c r="J44" i="7"/>
  <c r="Q37" i="7"/>
  <c r="Q43" i="7"/>
  <c r="H49" i="7"/>
  <c r="K35" i="7"/>
  <c r="O9" i="7" l="1"/>
  <c r="O23" i="7"/>
  <c r="P17" i="7"/>
  <c r="J114" i="4"/>
  <c r="J34" i="7"/>
  <c r="Q16" i="7"/>
  <c r="N41" i="7"/>
  <c r="N87" i="4"/>
  <c r="M6" i="7"/>
  <c r="M58" i="4"/>
  <c r="R21" i="7"/>
  <c r="R74" i="4"/>
  <c r="N101" i="4"/>
  <c r="G47" i="7"/>
  <c r="H40" i="7"/>
  <c r="H112" i="4"/>
  <c r="M74" i="4"/>
  <c r="M21" i="7"/>
  <c r="V51" i="7"/>
  <c r="Q39" i="7"/>
  <c r="O52" i="7"/>
  <c r="K36" i="7"/>
  <c r="O50" i="7"/>
  <c r="T45" i="7"/>
  <c r="S101" i="4" l="1"/>
  <c r="M20" i="7"/>
  <c r="J33" i="7"/>
  <c r="U18" i="7"/>
  <c r="H31" i="7"/>
  <c r="X12" i="7"/>
  <c r="N15" i="7"/>
  <c r="N94" i="4"/>
  <c r="N85" i="4" s="1"/>
  <c r="O8" i="7"/>
  <c r="W10" i="7"/>
  <c r="X24" i="7"/>
  <c r="O25" i="7"/>
  <c r="R20" i="7"/>
  <c r="V18" i="7"/>
  <c r="M4" i="7"/>
  <c r="N14" i="7"/>
  <c r="H128" i="4"/>
  <c r="H48" i="7"/>
  <c r="T23" i="7"/>
  <c r="I42" i="7"/>
  <c r="I121" i="4"/>
  <c r="Q12" i="7"/>
  <c r="N74" i="4"/>
  <c r="N21" i="7"/>
  <c r="T18" i="7"/>
  <c r="N60" i="4"/>
  <c r="N7" i="7"/>
  <c r="R37" i="7"/>
  <c r="K44" i="7"/>
  <c r="R39" i="7"/>
  <c r="L35" i="7"/>
  <c r="I49" i="7"/>
  <c r="U45" i="7"/>
  <c r="N67" i="4" l="1"/>
  <c r="N13" i="7" s="1"/>
  <c r="T22" i="7"/>
  <c r="Q17" i="7"/>
  <c r="U23" i="7"/>
  <c r="K114" i="4"/>
  <c r="K34" i="7"/>
  <c r="O87" i="4"/>
  <c r="W18" i="7"/>
  <c r="Q176" i="4"/>
  <c r="N6" i="7"/>
  <c r="N58" i="4"/>
  <c r="I40" i="7"/>
  <c r="I112" i="4"/>
  <c r="O41" i="7"/>
  <c r="O22" i="7"/>
  <c r="P23" i="7"/>
  <c r="X25" i="7"/>
  <c r="Y12" i="7"/>
  <c r="N20" i="7"/>
  <c r="H47" i="7"/>
  <c r="S74" i="4"/>
  <c r="S21" i="7"/>
  <c r="P50" i="7"/>
  <c r="L36" i="7"/>
  <c r="R43" i="7"/>
  <c r="R16" i="7" l="1"/>
  <c r="K33" i="7"/>
  <c r="O14" i="7"/>
  <c r="X18" i="7"/>
  <c r="P25" i="7"/>
  <c r="T101" i="4"/>
  <c r="I31" i="7"/>
  <c r="I48" i="7"/>
  <c r="I128" i="4"/>
  <c r="S20" i="7"/>
  <c r="O101" i="4"/>
  <c r="N4" i="7"/>
  <c r="O7" i="7"/>
  <c r="O60" i="4"/>
  <c r="O6" i="7" s="1"/>
  <c r="J42" i="7"/>
  <c r="J121" i="4"/>
  <c r="Y24" i="7"/>
  <c r="S37" i="7"/>
  <c r="L44" i="7"/>
  <c r="W51" i="7"/>
  <c r="P52" i="7"/>
  <c r="Q52" i="7"/>
  <c r="S39" i="7"/>
  <c r="J49" i="7"/>
  <c r="M35" i="7"/>
  <c r="V45" i="7"/>
  <c r="R17" i="7" l="1"/>
  <c r="O21" i="7"/>
  <c r="O74" i="4"/>
  <c r="V23" i="7"/>
  <c r="X10" i="7"/>
  <c r="J40" i="7"/>
  <c r="J112" i="4"/>
  <c r="T74" i="4"/>
  <c r="T21" i="7"/>
  <c r="L34" i="7"/>
  <c r="L114" i="4"/>
  <c r="O94" i="4"/>
  <c r="O85" i="4" s="1"/>
  <c r="Y18" i="7"/>
  <c r="P22" i="7"/>
  <c r="I47" i="7"/>
  <c r="Y25" i="7"/>
  <c r="M36" i="7"/>
  <c r="T39" i="7"/>
  <c r="Q50" i="7"/>
  <c r="R52" i="7"/>
  <c r="O15" i="7" l="1"/>
  <c r="O67" i="4"/>
  <c r="L33" i="7"/>
  <c r="Q23" i="7"/>
  <c r="P41" i="7"/>
  <c r="P101" i="4"/>
  <c r="W23" i="7"/>
  <c r="T20" i="7"/>
  <c r="O20" i="7"/>
  <c r="Y10" i="7"/>
  <c r="J31" i="7"/>
  <c r="J128" i="4"/>
  <c r="J48" i="7"/>
  <c r="K42" i="7"/>
  <c r="K121" i="4"/>
  <c r="R50" i="7"/>
  <c r="S52" i="7"/>
  <c r="X51" i="7"/>
  <c r="M44" i="7"/>
  <c r="T37" i="7"/>
  <c r="N35" i="7"/>
  <c r="W45" i="7"/>
  <c r="K49" i="7"/>
  <c r="S43" i="7"/>
  <c r="J47" i="7" l="1"/>
  <c r="Q22" i="7"/>
  <c r="P14" i="7"/>
  <c r="S16" i="7"/>
  <c r="P21" i="7"/>
  <c r="P74" i="4"/>
  <c r="M114" i="4"/>
  <c r="M33" i="7" s="1"/>
  <c r="M34" i="7"/>
  <c r="K40" i="7"/>
  <c r="K112" i="4"/>
  <c r="O58" i="4"/>
  <c r="O13" i="7"/>
  <c r="S17" i="7"/>
  <c r="U39" i="7"/>
  <c r="N36" i="7"/>
  <c r="X45" i="7"/>
  <c r="K31" i="7" l="1"/>
  <c r="Q41" i="7"/>
  <c r="L42" i="7"/>
  <c r="L121" i="4"/>
  <c r="P20" i="7"/>
  <c r="P94" i="4"/>
  <c r="K48" i="7"/>
  <c r="K128" i="4"/>
  <c r="Q101" i="4"/>
  <c r="X23" i="7"/>
  <c r="O4" i="7"/>
  <c r="U37" i="7"/>
  <c r="T52" i="7"/>
  <c r="Y51" i="7"/>
  <c r="S50" i="7"/>
  <c r="N44" i="7"/>
  <c r="L49" i="7"/>
  <c r="T17" i="7" l="1"/>
  <c r="Q21" i="7"/>
  <c r="Q74" i="4"/>
  <c r="L40" i="7"/>
  <c r="L112" i="4"/>
  <c r="K47" i="7"/>
  <c r="N34" i="7"/>
  <c r="N114" i="4"/>
  <c r="Q14" i="7"/>
  <c r="P15" i="7"/>
  <c r="P67" i="4"/>
  <c r="U52" i="7"/>
  <c r="O36" i="7"/>
  <c r="V39" i="7"/>
  <c r="T43" i="7"/>
  <c r="Y45" i="7"/>
  <c r="L48" i="7" l="1"/>
  <c r="L128" i="4"/>
  <c r="Y23" i="7"/>
  <c r="P13" i="7"/>
  <c r="L31" i="7"/>
  <c r="M42" i="7"/>
  <c r="M121" i="4"/>
  <c r="T16" i="7"/>
  <c r="Q20" i="7"/>
  <c r="U17" i="7"/>
  <c r="N33" i="7"/>
  <c r="R41" i="7"/>
  <c r="Q94" i="4"/>
  <c r="T50" i="7"/>
  <c r="O44" i="7"/>
  <c r="V37" i="7"/>
  <c r="M49" i="7"/>
  <c r="R14" i="7" l="1"/>
  <c r="X22" i="7"/>
  <c r="M112" i="4"/>
  <c r="M40" i="7"/>
  <c r="Q15" i="7"/>
  <c r="Q67" i="4"/>
  <c r="Q13" i="7" s="1"/>
  <c r="L47" i="7"/>
  <c r="V52" i="7"/>
  <c r="U50" i="7"/>
  <c r="W39" i="7"/>
  <c r="W37" i="7"/>
  <c r="U43" i="7"/>
  <c r="M48" i="7" l="1"/>
  <c r="M128" i="4"/>
  <c r="M31" i="7"/>
  <c r="R94" i="4"/>
  <c r="V17" i="7"/>
  <c r="U16" i="7"/>
  <c r="S41" i="7"/>
  <c r="X101" i="4"/>
  <c r="N42" i="7"/>
  <c r="N121" i="4"/>
  <c r="W52" i="7"/>
  <c r="P36" i="7"/>
  <c r="P44" i="7"/>
  <c r="N49" i="7"/>
  <c r="P9" i="7" l="1"/>
  <c r="Y22" i="7"/>
  <c r="N40" i="7"/>
  <c r="N112" i="4"/>
  <c r="S14" i="7"/>
  <c r="X74" i="4"/>
  <c r="X21" i="7"/>
  <c r="R15" i="7"/>
  <c r="R67" i="4"/>
  <c r="M47" i="7"/>
  <c r="Y101" i="4"/>
  <c r="X39" i="7"/>
  <c r="V50" i="7"/>
  <c r="X37" i="7"/>
  <c r="P35" i="7"/>
  <c r="W17" i="7" l="1"/>
  <c r="N48" i="7"/>
  <c r="N128" i="4"/>
  <c r="T41" i="7"/>
  <c r="R13" i="7"/>
  <c r="N31" i="7"/>
  <c r="S94" i="4"/>
  <c r="P8" i="7"/>
  <c r="Y21" i="7"/>
  <c r="Y74" i="4"/>
  <c r="X20" i="7"/>
  <c r="O42" i="7"/>
  <c r="O121" i="4"/>
  <c r="Q44" i="7"/>
  <c r="X52" i="7"/>
  <c r="O49" i="7"/>
  <c r="V43" i="7"/>
  <c r="O35" i="7"/>
  <c r="T14" i="7" l="1"/>
  <c r="O40" i="7"/>
  <c r="S15" i="7"/>
  <c r="S67" i="4"/>
  <c r="N47" i="7"/>
  <c r="U9" i="7"/>
  <c r="V16" i="7"/>
  <c r="Y20" i="7"/>
  <c r="P87" i="4"/>
  <c r="P85" i="4" s="1"/>
  <c r="Y39" i="7"/>
  <c r="Y37" i="7"/>
  <c r="R44" i="7"/>
  <c r="W50" i="7"/>
  <c r="U8" i="7" l="1"/>
  <c r="S13" i="7"/>
  <c r="U22" i="7"/>
  <c r="Q9" i="7"/>
  <c r="T94" i="4"/>
  <c r="P42" i="7"/>
  <c r="P121" i="4"/>
  <c r="P40" i="7" s="1"/>
  <c r="P34" i="7"/>
  <c r="P114" i="4"/>
  <c r="O48" i="7"/>
  <c r="O128" i="4"/>
  <c r="P7" i="7"/>
  <c r="P60" i="4"/>
  <c r="Y52" i="7"/>
  <c r="Q36" i="7"/>
  <c r="X50" i="7"/>
  <c r="P49" i="7"/>
  <c r="W43" i="7"/>
  <c r="O114" i="4" l="1"/>
  <c r="O34" i="7"/>
  <c r="U41" i="7"/>
  <c r="W16" i="7"/>
  <c r="P33" i="7"/>
  <c r="P112" i="4"/>
  <c r="U101" i="4"/>
  <c r="U87" i="4"/>
  <c r="X17" i="7"/>
  <c r="P6" i="7"/>
  <c r="P58" i="4"/>
  <c r="Q8" i="7"/>
  <c r="V9" i="7"/>
  <c r="T15" i="7"/>
  <c r="T67" i="4"/>
  <c r="O47" i="7"/>
  <c r="S44" i="7"/>
  <c r="Q35" i="7"/>
  <c r="T13" i="7" l="1"/>
  <c r="P4" i="7"/>
  <c r="P31" i="7"/>
  <c r="P128" i="4"/>
  <c r="P48" i="7"/>
  <c r="U14" i="7"/>
  <c r="U94" i="4"/>
  <c r="U85" i="4" s="1"/>
  <c r="U15" i="7"/>
  <c r="U7" i="7"/>
  <c r="U60" i="4"/>
  <c r="R9" i="7"/>
  <c r="Q42" i="7"/>
  <c r="Q121" i="4"/>
  <c r="Q40" i="7" s="1"/>
  <c r="V22" i="7"/>
  <c r="U21" i="7"/>
  <c r="U74" i="4"/>
  <c r="Q87" i="4"/>
  <c r="Q85" i="4" s="1"/>
  <c r="V8" i="7"/>
  <c r="O33" i="7"/>
  <c r="O112" i="4"/>
  <c r="Y50" i="7"/>
  <c r="R36" i="7"/>
  <c r="Q49" i="7"/>
  <c r="U20" i="7" l="1"/>
  <c r="O31" i="7"/>
  <c r="U6" i="7"/>
  <c r="P47" i="7"/>
  <c r="V87" i="4"/>
  <c r="W9" i="7"/>
  <c r="Q34" i="7"/>
  <c r="Q114" i="4"/>
  <c r="U67" i="4"/>
  <c r="U58" i="4" s="1"/>
  <c r="R8" i="7"/>
  <c r="Q7" i="7"/>
  <c r="Q60" i="4"/>
  <c r="T44" i="7"/>
  <c r="S36" i="7"/>
  <c r="R35" i="7"/>
  <c r="X43" i="7"/>
  <c r="Q128" i="4" l="1"/>
  <c r="Q48" i="7"/>
  <c r="W22" i="7"/>
  <c r="R42" i="7"/>
  <c r="R121" i="4"/>
  <c r="R40" i="7" s="1"/>
  <c r="X16" i="7"/>
  <c r="Q33" i="7"/>
  <c r="Q112" i="4"/>
  <c r="U4" i="7"/>
  <c r="W8" i="7"/>
  <c r="V101" i="4"/>
  <c r="Q6" i="7"/>
  <c r="Q58" i="4"/>
  <c r="R87" i="4"/>
  <c r="R85" i="4" s="1"/>
  <c r="S9" i="7"/>
  <c r="V60" i="4"/>
  <c r="V7" i="7"/>
  <c r="V41" i="7"/>
  <c r="Y17" i="7"/>
  <c r="U13" i="7"/>
  <c r="R49" i="7"/>
  <c r="S35" i="7"/>
  <c r="W87" i="4" l="1"/>
  <c r="V14" i="7"/>
  <c r="V21" i="7"/>
  <c r="V74" i="4"/>
  <c r="X9" i="7"/>
  <c r="S8" i="7"/>
  <c r="R7" i="7"/>
  <c r="R60" i="4"/>
  <c r="Q4" i="7"/>
  <c r="W101" i="4"/>
  <c r="V6" i="7"/>
  <c r="Q31" i="7"/>
  <c r="Q47" i="7"/>
  <c r="U44" i="7"/>
  <c r="S42" i="7" l="1"/>
  <c r="S121" i="4"/>
  <c r="S40" i="7" s="1"/>
  <c r="R128" i="4"/>
  <c r="R48" i="7"/>
  <c r="R6" i="7"/>
  <c r="R58" i="4"/>
  <c r="V20" i="7"/>
  <c r="V94" i="4"/>
  <c r="V85" i="4" s="1"/>
  <c r="W41" i="7"/>
  <c r="R114" i="4"/>
  <c r="R34" i="7"/>
  <c r="W21" i="7"/>
  <c r="W74" i="4"/>
  <c r="S87" i="4"/>
  <c r="S85" i="4" s="1"/>
  <c r="W7" i="7"/>
  <c r="W60" i="4"/>
  <c r="S49" i="7"/>
  <c r="Y43" i="7"/>
  <c r="R4" i="7" l="1"/>
  <c r="Y9" i="7"/>
  <c r="W14" i="7"/>
  <c r="R33" i="7"/>
  <c r="R112" i="4"/>
  <c r="X8" i="7"/>
  <c r="S7" i="7"/>
  <c r="S60" i="4"/>
  <c r="X87" i="4"/>
  <c r="V15" i="7"/>
  <c r="V67" i="4"/>
  <c r="R47" i="7"/>
  <c r="Y16" i="7"/>
  <c r="W20" i="7"/>
  <c r="T9" i="7"/>
  <c r="W6" i="7"/>
  <c r="V44" i="7"/>
  <c r="T36" i="7"/>
  <c r="R31" i="7" l="1"/>
  <c r="X7" i="7"/>
  <c r="X60" i="4"/>
  <c r="X6" i="7" s="1"/>
  <c r="T42" i="7"/>
  <c r="T121" i="4"/>
  <c r="T40" i="7" s="1"/>
  <c r="S6" i="7"/>
  <c r="S58" i="4"/>
  <c r="S128" i="4"/>
  <c r="S48" i="7"/>
  <c r="Y8" i="7"/>
  <c r="T8" i="7"/>
  <c r="S114" i="4"/>
  <c r="S34" i="7"/>
  <c r="V13" i="7"/>
  <c r="V58" i="4"/>
  <c r="W94" i="4"/>
  <c r="W85" i="4" s="1"/>
  <c r="U36" i="7"/>
  <c r="T35" i="7"/>
  <c r="T49" i="7"/>
  <c r="S33" i="7" l="1"/>
  <c r="S112" i="4"/>
  <c r="W15" i="7"/>
  <c r="W67" i="4"/>
  <c r="Y87" i="4"/>
  <c r="T34" i="7"/>
  <c r="T114" i="4"/>
  <c r="V4" i="7"/>
  <c r="T87" i="4"/>
  <c r="T85" i="4" s="1"/>
  <c r="X41" i="7"/>
  <c r="S47" i="7"/>
  <c r="S4" i="7"/>
  <c r="W44" i="7"/>
  <c r="U35" i="7"/>
  <c r="T33" i="7" l="1"/>
  <c r="T112" i="4"/>
  <c r="T60" i="4"/>
  <c r="T7" i="7"/>
  <c r="U42" i="7"/>
  <c r="U121" i="4"/>
  <c r="U40" i="7" s="1"/>
  <c r="Y60" i="4"/>
  <c r="Y7" i="7"/>
  <c r="T48" i="7"/>
  <c r="T128" i="4"/>
  <c r="W13" i="7"/>
  <c r="W58" i="4"/>
  <c r="X94" i="4"/>
  <c r="X85" i="4" s="1"/>
  <c r="X15" i="7"/>
  <c r="X14" i="7"/>
  <c r="S31" i="7"/>
  <c r="Y41" i="7"/>
  <c r="V36" i="7"/>
  <c r="U49" i="7"/>
  <c r="X67" i="4" l="1"/>
  <c r="W4" i="7"/>
  <c r="T47" i="7"/>
  <c r="X58" i="4"/>
  <c r="X13" i="7"/>
  <c r="T6" i="7"/>
  <c r="T58" i="4"/>
  <c r="U34" i="7"/>
  <c r="U114" i="4"/>
  <c r="T31" i="7"/>
  <c r="Y6" i="7"/>
  <c r="W36" i="7"/>
  <c r="X44" i="7"/>
  <c r="V35" i="7"/>
  <c r="V42" i="7" l="1"/>
  <c r="V121" i="4"/>
  <c r="X4" i="7"/>
  <c r="U33" i="7"/>
  <c r="U112" i="4"/>
  <c r="Y94" i="4"/>
  <c r="Y85" i="4" s="1"/>
  <c r="T4" i="7"/>
  <c r="U128" i="4"/>
  <c r="U48" i="7"/>
  <c r="X36" i="7"/>
  <c r="V49" i="7"/>
  <c r="V34" i="7" l="1"/>
  <c r="V114" i="4"/>
  <c r="V33" i="7" s="1"/>
  <c r="U31" i="7"/>
  <c r="U47" i="7"/>
  <c r="V112" i="4"/>
  <c r="V40" i="7"/>
  <c r="Y14" i="7"/>
  <c r="Y67" i="4"/>
  <c r="Y15" i="7"/>
  <c r="Y44" i="7"/>
  <c r="W35" i="7"/>
  <c r="V31" i="7" l="1"/>
  <c r="W42" i="7"/>
  <c r="W121" i="4"/>
  <c r="W40" i="7" s="1"/>
  <c r="Y13" i="7"/>
  <c r="Y58" i="4"/>
  <c r="V128" i="4"/>
  <c r="V48" i="7"/>
  <c r="Y36" i="7"/>
  <c r="W49" i="7"/>
  <c r="V47" i="7" l="1"/>
  <c r="Y4" i="7"/>
  <c r="W114" i="4"/>
  <c r="W34" i="7"/>
  <c r="X35" i="7"/>
  <c r="X42" i="7" l="1"/>
  <c r="X121" i="4"/>
  <c r="X40" i="7" s="1"/>
  <c r="W48" i="7"/>
  <c r="W128" i="4"/>
  <c r="W33" i="7"/>
  <c r="W112" i="4"/>
  <c r="X49" i="7"/>
  <c r="W31" i="7" l="1"/>
  <c r="W47" i="7"/>
  <c r="X34" i="7"/>
  <c r="X114" i="4"/>
  <c r="Y35" i="7"/>
  <c r="X33" i="7" l="1"/>
  <c r="X112" i="4"/>
  <c r="X128" i="4"/>
  <c r="X48" i="7"/>
  <c r="Y121" i="4"/>
  <c r="Y40" i="7" s="1"/>
  <c r="Y42" i="7"/>
  <c r="Y49" i="7"/>
  <c r="Y114" i="4" l="1"/>
  <c r="Y34" i="7"/>
  <c r="Y69" i="7"/>
  <c r="X47" i="7"/>
  <c r="X31" i="7"/>
  <c r="Y48" i="7" l="1"/>
  <c r="Y128" i="4"/>
  <c r="Y62" i="7"/>
  <c r="Y60" i="7" s="1"/>
  <c r="Y33" i="7"/>
  <c r="Y112" i="4"/>
  <c r="Y76" i="7" l="1"/>
  <c r="Y31" i="7"/>
  <c r="Y47" i="7"/>
  <c r="B169" i="4" l="1"/>
  <c r="E169" i="4"/>
  <c r="L169" i="4"/>
  <c r="J169" i="4"/>
  <c r="M169" i="4"/>
  <c r="N169" i="4"/>
  <c r="F169" i="4"/>
  <c r="I169" i="4"/>
  <c r="C169" i="4"/>
  <c r="D169" i="4"/>
  <c r="Q169" i="4"/>
  <c r="O169" i="4"/>
  <c r="G169" i="4"/>
  <c r="H169" i="4"/>
  <c r="K169" i="4"/>
  <c r="P169" i="4"/>
  <c r="R169" i="4" l="1"/>
  <c r="S169" i="4" l="1"/>
  <c r="T169" i="4" l="1"/>
  <c r="U169" i="4" l="1"/>
  <c r="W169" i="4" l="1"/>
  <c r="V169" i="4"/>
  <c r="X169" i="4" l="1"/>
  <c r="Q178" i="4" l="1"/>
  <c r="P178" i="4" l="1"/>
  <c r="P182" i="4"/>
  <c r="Q182" i="4"/>
  <c r="O178" i="4" l="1"/>
  <c r="V27" i="4" l="1"/>
  <c r="W27" i="4"/>
  <c r="R182" i="4" l="1"/>
  <c r="X27" i="4"/>
  <c r="S182" i="4" l="1"/>
  <c r="Y27" i="4"/>
  <c r="W53" i="4" l="1"/>
  <c r="V53" i="4"/>
  <c r="W28" i="4"/>
  <c r="V28" i="4"/>
  <c r="W26" i="4" l="1"/>
  <c r="V26" i="4"/>
  <c r="X53" i="4"/>
  <c r="Y53" i="4"/>
  <c r="Q14" i="4"/>
  <c r="X28" i="4"/>
  <c r="Y28" i="4"/>
  <c r="X26" i="4" l="1"/>
  <c r="Y26" i="4"/>
  <c r="W163" i="4"/>
  <c r="W20" i="3"/>
  <c r="Q205" i="4"/>
  <c r="V163" i="4"/>
  <c r="V20" i="3"/>
  <c r="Q18" i="4"/>
  <c r="Q209" i="4" l="1"/>
  <c r="X163" i="4"/>
  <c r="X20" i="3"/>
  <c r="Y163" i="4"/>
  <c r="Y20" i="3"/>
  <c r="V28" i="7"/>
  <c r="V192" i="4"/>
  <c r="V219" i="4"/>
  <c r="W28" i="7" l="1"/>
  <c r="W192" i="4"/>
  <c r="W219" i="4"/>
  <c r="Y28" i="7" l="1"/>
  <c r="Y192" i="4"/>
  <c r="Y219" i="4"/>
  <c r="X28" i="7"/>
  <c r="X192" i="4"/>
  <c r="X219" i="4"/>
  <c r="P129" i="5" l="1"/>
  <c r="P75" i="5"/>
  <c r="P130" i="7" s="1"/>
  <c r="N178" i="4" l="1"/>
  <c r="P123" i="6"/>
  <c r="P150" i="6"/>
  <c r="P69" i="6"/>
  <c r="M178" i="4" l="1"/>
  <c r="L178" i="4" l="1"/>
  <c r="M27" i="4"/>
  <c r="Q27" i="4"/>
  <c r="N27" i="4"/>
  <c r="L27" i="4"/>
  <c r="P27" i="4"/>
  <c r="O27" i="4"/>
  <c r="K27" i="4" l="1"/>
  <c r="O53" i="4" l="1"/>
  <c r="N53" i="4"/>
  <c r="M28" i="4"/>
  <c r="M53" i="4"/>
  <c r="Q53" i="4"/>
  <c r="P53" i="4"/>
  <c r="Q28" i="4"/>
  <c r="J27" i="4"/>
  <c r="P28" i="4"/>
  <c r="N28" i="4"/>
  <c r="O28" i="4"/>
  <c r="N26" i="4" l="1"/>
  <c r="P26" i="4"/>
  <c r="Q26" i="4"/>
  <c r="O26" i="4"/>
  <c r="M26" i="4"/>
  <c r="L53" i="4"/>
  <c r="L28" i="4"/>
  <c r="I27" i="4"/>
  <c r="L26" i="4" l="1"/>
  <c r="Q163" i="4"/>
  <c r="Q20" i="3"/>
  <c r="P176" i="4"/>
  <c r="N163" i="4"/>
  <c r="N20" i="3"/>
  <c r="O163" i="4"/>
  <c r="O20" i="3"/>
  <c r="K53" i="4"/>
  <c r="P163" i="4"/>
  <c r="P20" i="3"/>
  <c r="K178" i="4"/>
  <c r="M163" i="4"/>
  <c r="M20" i="3"/>
  <c r="K28" i="4"/>
  <c r="H27" i="4"/>
  <c r="K26" i="4" l="1"/>
  <c r="J178" i="4"/>
  <c r="L163" i="4"/>
  <c r="L20" i="3"/>
  <c r="J53" i="4"/>
  <c r="O176" i="4"/>
  <c r="J28" i="4"/>
  <c r="G27" i="4"/>
  <c r="J26" i="4" l="1"/>
  <c r="M28" i="7"/>
  <c r="M192" i="4"/>
  <c r="M219" i="4"/>
  <c r="I178" i="4"/>
  <c r="O28" i="7"/>
  <c r="O192" i="4"/>
  <c r="O219" i="4"/>
  <c r="Q28" i="7"/>
  <c r="Q192" i="4"/>
  <c r="Q219" i="4"/>
  <c r="I53" i="4"/>
  <c r="N28" i="7"/>
  <c r="N192" i="4"/>
  <c r="N219" i="4"/>
  <c r="K163" i="4"/>
  <c r="K20" i="3"/>
  <c r="P28" i="7"/>
  <c r="P192" i="4"/>
  <c r="P219" i="4"/>
  <c r="N176" i="4"/>
  <c r="Q180" i="4"/>
  <c r="I28" i="4"/>
  <c r="I26" i="4" l="1"/>
  <c r="Q175" i="4"/>
  <c r="H178" i="4"/>
  <c r="J163" i="4"/>
  <c r="J20" i="3"/>
  <c r="H53" i="4"/>
  <c r="M176" i="4"/>
  <c r="L28" i="7"/>
  <c r="L192" i="4"/>
  <c r="L219" i="4"/>
  <c r="Q16" i="4"/>
  <c r="H28" i="4"/>
  <c r="H26" i="4" l="1"/>
  <c r="K28" i="7"/>
  <c r="K192" i="4"/>
  <c r="K219" i="4"/>
  <c r="G53" i="4"/>
  <c r="I163" i="4"/>
  <c r="I20" i="3"/>
  <c r="G178" i="4"/>
  <c r="L176" i="4"/>
  <c r="Q207" i="4"/>
  <c r="G28" i="4"/>
  <c r="G26" i="4" l="1"/>
  <c r="J28" i="7"/>
  <c r="J192" i="4"/>
  <c r="J219" i="4"/>
  <c r="K176" i="4"/>
  <c r="F178" i="4"/>
  <c r="H163" i="4"/>
  <c r="H20" i="3"/>
  <c r="I28" i="7" l="1"/>
  <c r="I192" i="4"/>
  <c r="I219" i="4"/>
  <c r="G163" i="4"/>
  <c r="G20" i="3"/>
  <c r="E178" i="4"/>
  <c r="T182" i="4"/>
  <c r="J176" i="4"/>
  <c r="Y182" i="4" l="1"/>
  <c r="D178" i="4"/>
  <c r="U182" i="4"/>
  <c r="H28" i="7"/>
  <c r="H192" i="4"/>
  <c r="H219" i="4"/>
  <c r="X182" i="4"/>
  <c r="I176" i="4"/>
  <c r="W182" i="4"/>
  <c r="V182" i="4"/>
  <c r="G28" i="7" l="1"/>
  <c r="G192" i="4"/>
  <c r="G219" i="4"/>
  <c r="H176" i="4"/>
  <c r="B178" i="4"/>
  <c r="C178" i="4"/>
  <c r="Q69" i="5" l="1"/>
  <c r="Q124" i="7" s="1"/>
  <c r="Q123" i="5"/>
  <c r="G176" i="4"/>
  <c r="Q117" i="6" l="1"/>
  <c r="Q144" i="6"/>
  <c r="Q63" i="6"/>
  <c r="P123" i="5"/>
  <c r="P69" i="5"/>
  <c r="P124" i="7" s="1"/>
  <c r="F176" i="4"/>
  <c r="P117" i="6" l="1"/>
  <c r="P144" i="6"/>
  <c r="P63" i="6"/>
  <c r="Q75" i="5"/>
  <c r="Q130" i="7" s="1"/>
  <c r="Q129" i="5"/>
  <c r="Q102" i="5"/>
  <c r="E176" i="4"/>
  <c r="N181" i="4"/>
  <c r="Q123" i="6" l="1"/>
  <c r="Q150" i="6"/>
  <c r="Q69" i="6"/>
  <c r="Q96" i="6"/>
  <c r="D12" i="4"/>
  <c r="D63" i="6"/>
  <c r="D257" i="4"/>
  <c r="D176" i="4"/>
  <c r="P175" i="4"/>
  <c r="G69" i="5"/>
  <c r="G124" i="7" s="1"/>
  <c r="G123" i="5"/>
  <c r="C12" i="4" l="1"/>
  <c r="C257" i="4"/>
  <c r="C176" i="4"/>
  <c r="C63" i="6"/>
  <c r="D90" i="6"/>
  <c r="D96" i="5"/>
  <c r="D230" i="4"/>
  <c r="D203" i="4"/>
  <c r="B257" i="4"/>
  <c r="B12" i="4"/>
  <c r="B176" i="4"/>
  <c r="B63" i="6"/>
  <c r="F123" i="5"/>
  <c r="F69" i="5"/>
  <c r="F124" i="7" s="1"/>
  <c r="G117" i="6"/>
  <c r="G144" i="6"/>
  <c r="G63" i="6"/>
  <c r="E69" i="5" l="1"/>
  <c r="E124" i="7" s="1"/>
  <c r="E123" i="5"/>
  <c r="B203" i="4"/>
  <c r="B90" i="6"/>
  <c r="B96" i="5"/>
  <c r="B230" i="4"/>
  <c r="F117" i="6"/>
  <c r="F144" i="6"/>
  <c r="F63" i="6"/>
  <c r="C90" i="6"/>
  <c r="C96" i="5"/>
  <c r="C230" i="4"/>
  <c r="C203" i="4"/>
  <c r="D123" i="5" l="1"/>
  <c r="D69" i="5"/>
  <c r="D150" i="5"/>
  <c r="Q189" i="4"/>
  <c r="E117" i="6"/>
  <c r="E144" i="6"/>
  <c r="E63" i="6"/>
  <c r="Q185" i="4"/>
  <c r="P189" i="4" l="1"/>
  <c r="Q186" i="4"/>
  <c r="D117" i="6"/>
  <c r="D144" i="6"/>
  <c r="O181" i="4"/>
  <c r="C123" i="5"/>
  <c r="C150" i="5"/>
  <c r="C69" i="5"/>
  <c r="Q174" i="4"/>
  <c r="P185" i="4"/>
  <c r="B150" i="5"/>
  <c r="B123" i="5"/>
  <c r="B69" i="5"/>
  <c r="Q21" i="4"/>
  <c r="Q25" i="4"/>
  <c r="B117" i="6" l="1"/>
  <c r="B144" i="6"/>
  <c r="O189" i="4"/>
  <c r="O185" i="4"/>
  <c r="Q216" i="4"/>
  <c r="C117" i="6"/>
  <c r="C144" i="6"/>
  <c r="P186" i="4"/>
  <c r="Q212" i="4"/>
  <c r="P21" i="4"/>
  <c r="Q22" i="4"/>
  <c r="P25" i="4"/>
  <c r="N189" i="4" l="1"/>
  <c r="P174" i="4"/>
  <c r="O186" i="4"/>
  <c r="N185" i="4"/>
  <c r="Q181" i="4"/>
  <c r="P216" i="4"/>
  <c r="Q213" i="4"/>
  <c r="P212" i="4"/>
  <c r="O21" i="4"/>
  <c r="P22" i="4"/>
  <c r="O25" i="4"/>
  <c r="Q179" i="4" l="1"/>
  <c r="Q40" i="4"/>
  <c r="P213" i="4"/>
  <c r="O212" i="4"/>
  <c r="M185" i="4"/>
  <c r="O174" i="4"/>
  <c r="O216" i="4"/>
  <c r="O22" i="4"/>
  <c r="Q4" i="5"/>
  <c r="Q47" i="6" s="1"/>
  <c r="N25" i="4"/>
  <c r="N21" i="4"/>
  <c r="Q17" i="4"/>
  <c r="Q73" i="5" l="1"/>
  <c r="Q128" i="7" s="1"/>
  <c r="Q127" i="5"/>
  <c r="Q100" i="5"/>
  <c r="L174" i="4"/>
  <c r="L185" i="4"/>
  <c r="N216" i="4"/>
  <c r="Q177" i="4"/>
  <c r="N212" i="4"/>
  <c r="O213" i="4"/>
  <c r="N174" i="4"/>
  <c r="Q136" i="5"/>
  <c r="Q82" i="5"/>
  <c r="Q137" i="7" s="1"/>
  <c r="Q109" i="5"/>
  <c r="Q208" i="4"/>
  <c r="M21" i="4"/>
  <c r="Q15" i="4"/>
  <c r="Q206" i="4" l="1"/>
  <c r="Q13" i="4"/>
  <c r="M212" i="4"/>
  <c r="K185" i="4"/>
  <c r="Q130" i="6"/>
  <c r="Q157" i="6"/>
  <c r="Q76" i="6"/>
  <c r="Q103" i="6"/>
  <c r="M174" i="4"/>
  <c r="P181" i="4"/>
  <c r="P4" i="5"/>
  <c r="P47" i="6" s="1"/>
  <c r="P136" i="5"/>
  <c r="P82" i="5"/>
  <c r="P137" i="7" s="1"/>
  <c r="P109" i="5"/>
  <c r="Q121" i="6"/>
  <c r="Q67" i="6"/>
  <c r="Q209" i="7" s="1"/>
  <c r="Q94" i="6"/>
  <c r="L21" i="4"/>
  <c r="J185" i="4" l="1"/>
  <c r="O82" i="5"/>
  <c r="O137" i="7" s="1"/>
  <c r="O136" i="5"/>
  <c r="O109" i="5"/>
  <c r="L212" i="4"/>
  <c r="Q204" i="4"/>
  <c r="Q150" i="4"/>
  <c r="Q8" i="3"/>
  <c r="P130" i="6"/>
  <c r="P157" i="6"/>
  <c r="P76" i="6"/>
  <c r="P103" i="6"/>
  <c r="K21" i="4"/>
  <c r="G12" i="4"/>
  <c r="G203" i="4" l="1"/>
  <c r="G90" i="6"/>
  <c r="G96" i="5"/>
  <c r="I185" i="4"/>
  <c r="N82" i="5"/>
  <c r="N137" i="7" s="1"/>
  <c r="N136" i="5"/>
  <c r="N109" i="5"/>
  <c r="H123" i="5"/>
  <c r="H69" i="5"/>
  <c r="H124" i="7" s="1"/>
  <c r="O157" i="6"/>
  <c r="O130" i="6"/>
  <c r="O76" i="6"/>
  <c r="O103" i="6"/>
  <c r="K212" i="4"/>
  <c r="I123" i="5"/>
  <c r="I69" i="5"/>
  <c r="I124" i="7" s="1"/>
  <c r="J21" i="4"/>
  <c r="F12" i="4"/>
  <c r="J212" i="4" l="1"/>
  <c r="N130" i="6"/>
  <c r="N157" i="6"/>
  <c r="N76" i="6"/>
  <c r="N103" i="6"/>
  <c r="H117" i="6"/>
  <c r="H144" i="6"/>
  <c r="H63" i="6"/>
  <c r="I117" i="6"/>
  <c r="I144" i="6"/>
  <c r="I63" i="6"/>
  <c r="H185" i="4"/>
  <c r="F203" i="4"/>
  <c r="F90" i="6"/>
  <c r="F96" i="5"/>
  <c r="I21" i="4"/>
  <c r="E12" i="4"/>
  <c r="I212" i="4" l="1"/>
  <c r="G185" i="4"/>
  <c r="E96" i="5"/>
  <c r="E90" i="6"/>
  <c r="E203" i="4"/>
  <c r="H21" i="4"/>
  <c r="F185" i="4" l="1"/>
  <c r="H212" i="4"/>
  <c r="G21" i="4"/>
  <c r="E185" i="4" l="1"/>
  <c r="G212" i="4"/>
  <c r="F21" i="4"/>
  <c r="D185" i="4" l="1"/>
  <c r="F212" i="4"/>
  <c r="E21" i="4"/>
  <c r="E212" i="4" l="1"/>
  <c r="R178" i="4"/>
  <c r="B185" i="4"/>
  <c r="C185" i="4"/>
  <c r="D21" i="4"/>
  <c r="R180" i="4" l="1"/>
  <c r="D212" i="4"/>
  <c r="R14" i="4"/>
  <c r="R205" i="4" l="1"/>
  <c r="R75" i="5"/>
  <c r="R130" i="7" s="1"/>
  <c r="R129" i="5"/>
  <c r="C21" i="4"/>
  <c r="B21" i="4"/>
  <c r="R18" i="4"/>
  <c r="R16" i="4"/>
  <c r="R207" i="4" l="1"/>
  <c r="B212" i="4"/>
  <c r="R123" i="6"/>
  <c r="R150" i="6"/>
  <c r="R69" i="6"/>
  <c r="R102" i="5"/>
  <c r="R96" i="6"/>
  <c r="R209" i="4"/>
  <c r="C212" i="4"/>
  <c r="I12" i="4" l="1"/>
  <c r="H12" i="4"/>
  <c r="I203" i="4" l="1"/>
  <c r="I96" i="5"/>
  <c r="I90" i="6"/>
  <c r="H203" i="4"/>
  <c r="H90" i="6"/>
  <c r="H96" i="5"/>
  <c r="R174" i="4" l="1"/>
  <c r="R176" i="4" l="1"/>
  <c r="R175" i="4" l="1"/>
  <c r="M5" i="4" l="1"/>
  <c r="K5" i="4"/>
  <c r="L5" i="4"/>
  <c r="M196" i="4" l="1"/>
  <c r="M6" i="3"/>
  <c r="K196" i="4"/>
  <c r="K6" i="3"/>
  <c r="L196" i="4"/>
  <c r="L6" i="3"/>
  <c r="N5" i="4"/>
  <c r="J5" i="4"/>
  <c r="J196" i="4" l="1"/>
  <c r="J6" i="3"/>
  <c r="N196" i="4"/>
  <c r="N6" i="3"/>
  <c r="I5" i="4"/>
  <c r="O5" i="4"/>
  <c r="I196" i="4" l="1"/>
  <c r="I6" i="3"/>
  <c r="O196" i="4"/>
  <c r="O6" i="3"/>
  <c r="P5" i="4"/>
  <c r="H5" i="4"/>
  <c r="R123" i="5" l="1"/>
  <c r="R69" i="5"/>
  <c r="R124" i="7" s="1"/>
  <c r="P196" i="4"/>
  <c r="P6" i="3"/>
  <c r="H196" i="4"/>
  <c r="H6" i="3"/>
  <c r="Q5" i="4"/>
  <c r="G5" i="4"/>
  <c r="G196" i="4" l="1"/>
  <c r="G6" i="3"/>
  <c r="Q196" i="4"/>
  <c r="Q6" i="3"/>
  <c r="R117" i="6"/>
  <c r="R144" i="6"/>
  <c r="R63" i="6"/>
  <c r="F5" i="4"/>
  <c r="F196" i="4" l="1"/>
  <c r="F6" i="3"/>
  <c r="E5" i="4"/>
  <c r="E196" i="4" l="1"/>
  <c r="E6" i="3"/>
  <c r="D5" i="4"/>
  <c r="D196" i="4" l="1"/>
  <c r="D6" i="3"/>
  <c r="C5" i="4"/>
  <c r="C196" i="4" l="1"/>
  <c r="C6" i="3"/>
  <c r="B5" i="4"/>
  <c r="B196" i="4" l="1"/>
  <c r="B6" i="3"/>
  <c r="S129" i="5"/>
  <c r="S75" i="5"/>
  <c r="S130" i="7" s="1"/>
  <c r="S180" i="4" l="1"/>
  <c r="S123" i="6"/>
  <c r="S150" i="6"/>
  <c r="S69" i="6"/>
  <c r="R5" i="4"/>
  <c r="S5" i="4"/>
  <c r="W5" i="4"/>
  <c r="X5" i="4"/>
  <c r="R196" i="4" l="1"/>
  <c r="R6" i="3"/>
  <c r="S178" i="4"/>
  <c r="W6" i="3"/>
  <c r="W196" i="4"/>
  <c r="S196" i="4"/>
  <c r="S6" i="3"/>
  <c r="X6" i="3"/>
  <c r="X196" i="4"/>
  <c r="S16" i="4"/>
  <c r="S207" i="4" l="1"/>
  <c r="S14" i="4"/>
  <c r="S205" i="4" l="1"/>
  <c r="S18" i="4"/>
  <c r="R27" i="4"/>
  <c r="U27" i="4"/>
  <c r="T27" i="4"/>
  <c r="S209" i="4" l="1"/>
  <c r="S102" i="5"/>
  <c r="S96" i="6"/>
  <c r="T53" i="4" l="1"/>
  <c r="R53" i="4"/>
  <c r="U53" i="4"/>
  <c r="R28" i="4"/>
  <c r="T28" i="4"/>
  <c r="U28" i="4"/>
  <c r="R26" i="4" l="1"/>
  <c r="U26" i="4"/>
  <c r="T26" i="4"/>
  <c r="T163" i="4" l="1"/>
  <c r="T20" i="3"/>
  <c r="S174" i="4"/>
  <c r="R163" i="4"/>
  <c r="R20" i="3"/>
  <c r="U163" i="4"/>
  <c r="U20" i="3"/>
  <c r="T28" i="7" l="1"/>
  <c r="T192" i="4"/>
  <c r="T219" i="4"/>
  <c r="U28" i="7"/>
  <c r="U192" i="4"/>
  <c r="U219" i="4"/>
  <c r="S176" i="4"/>
  <c r="R28" i="7" l="1"/>
  <c r="R192" i="4"/>
  <c r="R219" i="4"/>
  <c r="S175" i="4" l="1"/>
  <c r="T129" i="5" l="1"/>
  <c r="T75" i="5"/>
  <c r="T130" i="7" s="1"/>
  <c r="T180" i="4" l="1"/>
  <c r="T123" i="6"/>
  <c r="T150" i="6"/>
  <c r="T69" i="6"/>
  <c r="T178" i="4"/>
  <c r="T14" i="4" l="1"/>
  <c r="T16" i="4"/>
  <c r="T205" i="4" l="1"/>
  <c r="T207" i="4"/>
  <c r="T18" i="4"/>
  <c r="S69" i="5" l="1"/>
  <c r="S124" i="7" s="1"/>
  <c r="S123" i="5"/>
  <c r="T174" i="4"/>
  <c r="T209" i="4"/>
  <c r="T96" i="6"/>
  <c r="T102" i="5"/>
  <c r="S117" i="6" l="1"/>
  <c r="S144" i="6"/>
  <c r="S63" i="6"/>
  <c r="T176" i="4" l="1"/>
  <c r="P180" i="4" l="1"/>
  <c r="P179" i="4" l="1"/>
  <c r="P40" i="4"/>
  <c r="P14" i="4"/>
  <c r="P16" i="4"/>
  <c r="P177" i="4" l="1"/>
  <c r="P207" i="4"/>
  <c r="P205" i="4"/>
  <c r="P18" i="4"/>
  <c r="P17" i="4"/>
  <c r="P15" i="4"/>
  <c r="P13" i="4" l="1"/>
  <c r="P204" i="4" s="1"/>
  <c r="O180" i="4"/>
  <c r="P208" i="4"/>
  <c r="P206" i="4"/>
  <c r="P102" i="5"/>
  <c r="P209" i="4"/>
  <c r="P96" i="6"/>
  <c r="P8" i="3" l="1"/>
  <c r="P150" i="4"/>
  <c r="O179" i="4"/>
  <c r="O40" i="4"/>
  <c r="N180" i="4"/>
  <c r="O182" i="4"/>
  <c r="P127" i="5"/>
  <c r="P73" i="5"/>
  <c r="P128" i="7" s="1"/>
  <c r="P100" i="5"/>
  <c r="O14" i="4"/>
  <c r="O16" i="4"/>
  <c r="M180" i="4" l="1"/>
  <c r="O205" i="4"/>
  <c r="P121" i="6"/>
  <c r="P67" i="6"/>
  <c r="P209" i="7" s="1"/>
  <c r="P94" i="6"/>
  <c r="O177" i="4"/>
  <c r="M181" i="4"/>
  <c r="N182" i="4"/>
  <c r="O207" i="4"/>
  <c r="N16" i="4"/>
  <c r="N14" i="4"/>
  <c r="O15" i="4"/>
  <c r="O17" i="4"/>
  <c r="O18" i="4"/>
  <c r="O206" i="4" l="1"/>
  <c r="L180" i="4"/>
  <c r="O209" i="4"/>
  <c r="M182" i="4"/>
  <c r="L181" i="4"/>
  <c r="O208" i="4"/>
  <c r="O13" i="4"/>
  <c r="N179" i="4"/>
  <c r="N40" i="4"/>
  <c r="M179" i="4"/>
  <c r="M40" i="4"/>
  <c r="M177" i="4" s="1"/>
  <c r="N205" i="4"/>
  <c r="N207" i="4"/>
  <c r="M17" i="4"/>
  <c r="M14" i="4"/>
  <c r="N17" i="4"/>
  <c r="M16" i="4"/>
  <c r="N18" i="4"/>
  <c r="N15" i="4"/>
  <c r="N206" i="4" l="1"/>
  <c r="N13" i="4"/>
  <c r="N177" i="4"/>
  <c r="N208" i="4"/>
  <c r="M207" i="4"/>
  <c r="M205" i="4"/>
  <c r="N209" i="4"/>
  <c r="L182" i="4"/>
  <c r="M208" i="4"/>
  <c r="K181" i="4"/>
  <c r="L179" i="4"/>
  <c r="L40" i="4"/>
  <c r="K180" i="4"/>
  <c r="O127" i="5"/>
  <c r="O73" i="5"/>
  <c r="O128" i="7" s="1"/>
  <c r="O100" i="5"/>
  <c r="O204" i="4"/>
  <c r="O150" i="4"/>
  <c r="O8" i="3"/>
  <c r="L17" i="4"/>
  <c r="L14" i="4"/>
  <c r="M15" i="4"/>
  <c r="M18" i="4"/>
  <c r="L16" i="4"/>
  <c r="M13" i="4" l="1"/>
  <c r="O121" i="6"/>
  <c r="O67" i="6"/>
  <c r="O209" i="7" s="1"/>
  <c r="O94" i="6"/>
  <c r="M206" i="4"/>
  <c r="L205" i="4"/>
  <c r="J180" i="4"/>
  <c r="L177" i="4"/>
  <c r="M204" i="4"/>
  <c r="M150" i="4"/>
  <c r="M8" i="3"/>
  <c r="J181" i="4"/>
  <c r="N204" i="4"/>
  <c r="N150" i="4"/>
  <c r="N8" i="3"/>
  <c r="K182" i="4"/>
  <c r="L207" i="4"/>
  <c r="L208" i="4"/>
  <c r="M209" i="4"/>
  <c r="K17" i="4"/>
  <c r="L18" i="4"/>
  <c r="L15" i="4"/>
  <c r="L13" i="4" s="1"/>
  <c r="K16" i="4"/>
  <c r="K14" i="4"/>
  <c r="L150" i="4" l="1"/>
  <c r="L204" i="4"/>
  <c r="L8" i="3"/>
  <c r="K205" i="4"/>
  <c r="I181" i="4"/>
  <c r="L209" i="4"/>
  <c r="J179" i="4"/>
  <c r="J40" i="4"/>
  <c r="K179" i="4"/>
  <c r="K40" i="4"/>
  <c r="J182" i="4"/>
  <c r="K207" i="4"/>
  <c r="K208" i="4"/>
  <c r="O129" i="5"/>
  <c r="O75" i="5"/>
  <c r="O130" i="7" s="1"/>
  <c r="O102" i="5"/>
  <c r="L206" i="4"/>
  <c r="I180" i="4"/>
  <c r="K15" i="4"/>
  <c r="T5" i="4"/>
  <c r="J16" i="4"/>
  <c r="J14" i="4"/>
  <c r="J17" i="4"/>
  <c r="K18" i="4"/>
  <c r="K206" i="4" l="1"/>
  <c r="K13" i="4"/>
  <c r="J205" i="4"/>
  <c r="H181" i="4"/>
  <c r="O123" i="6"/>
  <c r="O150" i="6"/>
  <c r="O69" i="6"/>
  <c r="O96" i="6"/>
  <c r="T175" i="4"/>
  <c r="J207" i="4"/>
  <c r="K177" i="4"/>
  <c r="N129" i="5"/>
  <c r="N75" i="5"/>
  <c r="N130" i="7" s="1"/>
  <c r="N102" i="5"/>
  <c r="I182" i="4"/>
  <c r="I179" i="4"/>
  <c r="I40" i="4"/>
  <c r="J208" i="4"/>
  <c r="H180" i="4"/>
  <c r="J177" i="4"/>
  <c r="K209" i="4"/>
  <c r="T196" i="4"/>
  <c r="T6" i="3"/>
  <c r="I17" i="4"/>
  <c r="I16" i="4"/>
  <c r="U5" i="4"/>
  <c r="I14" i="4"/>
  <c r="J18" i="4"/>
  <c r="G181" i="4" l="1"/>
  <c r="U178" i="4"/>
  <c r="I208" i="4"/>
  <c r="I205" i="4"/>
  <c r="J209" i="4"/>
  <c r="H182" i="4"/>
  <c r="I177" i="4"/>
  <c r="U180" i="4"/>
  <c r="K204" i="4"/>
  <c r="K150" i="4"/>
  <c r="K8" i="3"/>
  <c r="G180" i="4"/>
  <c r="N123" i="6"/>
  <c r="N150" i="6"/>
  <c r="N69" i="6"/>
  <c r="N96" i="6"/>
  <c r="U196" i="4"/>
  <c r="U6" i="3"/>
  <c r="I207" i="4"/>
  <c r="M75" i="5"/>
  <c r="M130" i="7" s="1"/>
  <c r="M129" i="5"/>
  <c r="M102" i="5"/>
  <c r="U129" i="5"/>
  <c r="U75" i="5"/>
  <c r="U130" i="7" s="1"/>
  <c r="H179" i="4"/>
  <c r="H40" i="4"/>
  <c r="I18" i="4"/>
  <c r="H17" i="4"/>
  <c r="H16" i="4"/>
  <c r="I15" i="4"/>
  <c r="J15" i="4"/>
  <c r="V5" i="4"/>
  <c r="H14" i="4"/>
  <c r="I13" i="4" l="1"/>
  <c r="I150" i="4" s="1"/>
  <c r="G182" i="4"/>
  <c r="U150" i="6"/>
  <c r="U123" i="6"/>
  <c r="U69" i="6"/>
  <c r="H205" i="4"/>
  <c r="V196" i="4"/>
  <c r="V6" i="3"/>
  <c r="F180" i="4"/>
  <c r="I206" i="4"/>
  <c r="H208" i="4"/>
  <c r="H207" i="4"/>
  <c r="H177" i="4"/>
  <c r="M123" i="6"/>
  <c r="M150" i="6"/>
  <c r="M69" i="6"/>
  <c r="M96" i="6"/>
  <c r="F181" i="4"/>
  <c r="J206" i="4"/>
  <c r="J13" i="4"/>
  <c r="I209" i="4"/>
  <c r="L129" i="5"/>
  <c r="L75" i="5"/>
  <c r="L130" i="7" s="1"/>
  <c r="L102" i="5"/>
  <c r="G17" i="4"/>
  <c r="G16" i="4"/>
  <c r="G14" i="4"/>
  <c r="H18" i="4"/>
  <c r="I8" i="3" l="1"/>
  <c r="I204" i="4"/>
  <c r="G208" i="4"/>
  <c r="L150" i="6"/>
  <c r="L123" i="6"/>
  <c r="L69" i="6"/>
  <c r="L96" i="6"/>
  <c r="K75" i="5"/>
  <c r="K130" i="7" s="1"/>
  <c r="K129" i="5"/>
  <c r="K102" i="5"/>
  <c r="G205" i="4"/>
  <c r="F182" i="4"/>
  <c r="J150" i="4"/>
  <c r="J204" i="4"/>
  <c r="J8" i="3"/>
  <c r="E181" i="4"/>
  <c r="G207" i="4"/>
  <c r="E180" i="4"/>
  <c r="G179" i="4"/>
  <c r="G40" i="4"/>
  <c r="H209" i="4"/>
  <c r="F179" i="4"/>
  <c r="F40" i="4"/>
  <c r="H15" i="4"/>
  <c r="U18" i="4"/>
  <c r="F17" i="4"/>
  <c r="F16" i="4"/>
  <c r="G18" i="4"/>
  <c r="U14" i="4"/>
  <c r="F14" i="4"/>
  <c r="K150" i="6" l="1"/>
  <c r="K123" i="6"/>
  <c r="K69" i="6"/>
  <c r="K96" i="6"/>
  <c r="E182" i="4"/>
  <c r="F207" i="4"/>
  <c r="U209" i="4"/>
  <c r="U96" i="6"/>
  <c r="U102" i="5"/>
  <c r="F177" i="4"/>
  <c r="J75" i="5"/>
  <c r="J130" i="7" s="1"/>
  <c r="J129" i="5"/>
  <c r="J102" i="5"/>
  <c r="F205" i="4"/>
  <c r="G209" i="4"/>
  <c r="G177" i="4"/>
  <c r="U205" i="4"/>
  <c r="F208" i="4"/>
  <c r="D181" i="4"/>
  <c r="D180" i="4"/>
  <c r="H206" i="4"/>
  <c r="H13" i="4"/>
  <c r="E14" i="4"/>
  <c r="E17" i="4"/>
  <c r="F15" i="4"/>
  <c r="F18" i="4"/>
  <c r="G15" i="4"/>
  <c r="E16" i="4"/>
  <c r="U16" i="4"/>
  <c r="U207" i="4" l="1"/>
  <c r="C181" i="4"/>
  <c r="F209" i="4"/>
  <c r="H204" i="4"/>
  <c r="H150" i="4"/>
  <c r="H8" i="3"/>
  <c r="F206" i="4"/>
  <c r="F13" i="4"/>
  <c r="I75" i="5"/>
  <c r="I130" i="7" s="1"/>
  <c r="I129" i="5"/>
  <c r="I102" i="5"/>
  <c r="D182" i="4"/>
  <c r="G206" i="4"/>
  <c r="G13" i="4"/>
  <c r="D179" i="4"/>
  <c r="D40" i="4"/>
  <c r="E179" i="4"/>
  <c r="E40" i="4"/>
  <c r="J150" i="6"/>
  <c r="J123" i="6"/>
  <c r="J69" i="6"/>
  <c r="J96" i="6"/>
  <c r="E205" i="4"/>
  <c r="E207" i="4"/>
  <c r="E208" i="4"/>
  <c r="C180" i="4"/>
  <c r="D16" i="4"/>
  <c r="D17" i="4"/>
  <c r="D14" i="4"/>
  <c r="E18" i="4"/>
  <c r="B180" i="4" l="1"/>
  <c r="E177" i="4"/>
  <c r="C182" i="4"/>
  <c r="H129" i="5"/>
  <c r="H75" i="5"/>
  <c r="H130" i="7" s="1"/>
  <c r="H102" i="5"/>
  <c r="D207" i="4"/>
  <c r="G150" i="4"/>
  <c r="G204" i="4"/>
  <c r="G8" i="3"/>
  <c r="I123" i="6"/>
  <c r="I150" i="6"/>
  <c r="I69" i="6"/>
  <c r="I96" i="6"/>
  <c r="D177" i="4"/>
  <c r="T123" i="5"/>
  <c r="T69" i="5"/>
  <c r="T124" i="7" s="1"/>
  <c r="D205" i="4"/>
  <c r="D208" i="4"/>
  <c r="E209" i="4"/>
  <c r="B182" i="4"/>
  <c r="F204" i="4"/>
  <c r="F150" i="4"/>
  <c r="F8" i="3"/>
  <c r="D15" i="4"/>
  <c r="C17" i="4"/>
  <c r="C14" i="4"/>
  <c r="E15" i="4"/>
  <c r="C16" i="4"/>
  <c r="D18" i="4"/>
  <c r="C179" i="4" l="1"/>
  <c r="C40" i="4"/>
  <c r="T144" i="6"/>
  <c r="T117" i="6"/>
  <c r="T63" i="6"/>
  <c r="D206" i="4"/>
  <c r="D13" i="4"/>
  <c r="C208" i="4"/>
  <c r="C207" i="4"/>
  <c r="G129" i="5"/>
  <c r="G75" i="5"/>
  <c r="G130" i="7" s="1"/>
  <c r="G102" i="5"/>
  <c r="E206" i="4"/>
  <c r="E13" i="4"/>
  <c r="D209" i="4"/>
  <c r="C205" i="4"/>
  <c r="H123" i="6"/>
  <c r="H150" i="6"/>
  <c r="H69" i="6"/>
  <c r="H96" i="6"/>
  <c r="Q187" i="4"/>
  <c r="C18" i="4"/>
  <c r="B18" i="4"/>
  <c r="B16" i="4"/>
  <c r="B14" i="4"/>
  <c r="C15" i="4"/>
  <c r="C206" i="4" l="1"/>
  <c r="C13" i="4"/>
  <c r="R186" i="4"/>
  <c r="D150" i="4"/>
  <c r="D204" i="4"/>
  <c r="D8" i="3"/>
  <c r="C177" i="4"/>
  <c r="P187" i="4"/>
  <c r="C209" i="4"/>
  <c r="B207" i="4"/>
  <c r="E150" i="4"/>
  <c r="E204" i="4"/>
  <c r="E8" i="3"/>
  <c r="F75" i="5"/>
  <c r="F130" i="7" s="1"/>
  <c r="F129" i="5"/>
  <c r="F102" i="5"/>
  <c r="B205" i="4"/>
  <c r="B209" i="4"/>
  <c r="G150" i="6"/>
  <c r="G123" i="6"/>
  <c r="G69" i="6"/>
  <c r="G96" i="6"/>
  <c r="S27" i="4"/>
  <c r="Q23" i="4"/>
  <c r="S187" i="4" l="1"/>
  <c r="F123" i="6"/>
  <c r="F150" i="6"/>
  <c r="F69" i="6"/>
  <c r="F96" i="6"/>
  <c r="S186" i="4"/>
  <c r="E129" i="5"/>
  <c r="E75" i="5"/>
  <c r="E130" i="7" s="1"/>
  <c r="E102" i="5"/>
  <c r="O187" i="4"/>
  <c r="R185" i="4"/>
  <c r="C150" i="4"/>
  <c r="C204" i="4"/>
  <c r="C8" i="3"/>
  <c r="Q214" i="4"/>
  <c r="S185" i="4"/>
  <c r="R187" i="4"/>
  <c r="R21" i="4"/>
  <c r="R22" i="4"/>
  <c r="R23" i="4"/>
  <c r="P23" i="4"/>
  <c r="R212" i="4" l="1"/>
  <c r="B73" i="5"/>
  <c r="B128" i="7" s="1"/>
  <c r="B127" i="5"/>
  <c r="B100" i="5"/>
  <c r="Q188" i="4"/>
  <c r="Q47" i="4"/>
  <c r="R214" i="4"/>
  <c r="E150" i="6"/>
  <c r="E123" i="6"/>
  <c r="E69" i="6"/>
  <c r="E96" i="6"/>
  <c r="D75" i="5"/>
  <c r="D130" i="7" s="1"/>
  <c r="D129" i="5"/>
  <c r="D102" i="5"/>
  <c r="R189" i="4"/>
  <c r="P214" i="4"/>
  <c r="R213" i="4"/>
  <c r="S21" i="4"/>
  <c r="S23" i="4"/>
  <c r="S22" i="4"/>
  <c r="O23" i="4"/>
  <c r="Q173" i="4" l="1"/>
  <c r="S212" i="4"/>
  <c r="D123" i="6"/>
  <c r="D150" i="6"/>
  <c r="D69" i="6"/>
  <c r="D96" i="6"/>
  <c r="R188" i="4"/>
  <c r="R47" i="4"/>
  <c r="S189" i="4"/>
  <c r="S213" i="4"/>
  <c r="T187" i="4"/>
  <c r="O214" i="4"/>
  <c r="C75" i="5"/>
  <c r="C130" i="7" s="1"/>
  <c r="C129" i="5"/>
  <c r="C102" i="5"/>
  <c r="T186" i="4"/>
  <c r="Q134" i="5"/>
  <c r="Q80" i="5"/>
  <c r="Q135" i="7" s="1"/>
  <c r="Q107" i="5"/>
  <c r="S214" i="4"/>
  <c r="Q46" i="4"/>
  <c r="Q184" i="4"/>
  <c r="S53" i="4"/>
  <c r="B129" i="5"/>
  <c r="B75" i="5"/>
  <c r="B130" i="7" s="1"/>
  <c r="B102" i="5"/>
  <c r="P188" i="4"/>
  <c r="P47" i="4"/>
  <c r="T185" i="4"/>
  <c r="B121" i="6"/>
  <c r="B67" i="6"/>
  <c r="B209" i="7" s="1"/>
  <c r="B94" i="6"/>
  <c r="S28" i="4"/>
  <c r="Q24" i="4"/>
  <c r="R25" i="4"/>
  <c r="S26" i="4" l="1"/>
  <c r="U187" i="4"/>
  <c r="C123" i="6"/>
  <c r="C150" i="6"/>
  <c r="C69" i="6"/>
  <c r="C96" i="6"/>
  <c r="B123" i="6"/>
  <c r="B150" i="6"/>
  <c r="B69" i="6"/>
  <c r="B96" i="6"/>
  <c r="R216" i="4"/>
  <c r="O188" i="4"/>
  <c r="O47" i="4"/>
  <c r="Q128" i="6"/>
  <c r="Q74" i="6"/>
  <c r="Q216" i="7" s="1"/>
  <c r="Q101" i="6"/>
  <c r="N188" i="4"/>
  <c r="Q171" i="4"/>
  <c r="P80" i="5"/>
  <c r="P135" i="7" s="1"/>
  <c r="P134" i="5"/>
  <c r="P107" i="5"/>
  <c r="R46" i="4"/>
  <c r="R265" i="4" s="1"/>
  <c r="R184" i="4"/>
  <c r="T189" i="4"/>
  <c r="U186" i="4"/>
  <c r="P184" i="4"/>
  <c r="P46" i="4"/>
  <c r="Q215" i="4"/>
  <c r="Q20" i="4"/>
  <c r="Q265" i="4"/>
  <c r="Q264" i="4"/>
  <c r="Q272" i="4"/>
  <c r="Q273" i="4"/>
  <c r="Q271" i="4"/>
  <c r="Q270" i="4"/>
  <c r="Q266" i="4"/>
  <c r="Q267" i="4"/>
  <c r="Q268" i="4"/>
  <c r="Q269" i="4"/>
  <c r="U185" i="4"/>
  <c r="M189" i="4"/>
  <c r="R24" i="4"/>
  <c r="T23" i="4"/>
  <c r="S25" i="4"/>
  <c r="T22" i="4"/>
  <c r="Q33" i="4"/>
  <c r="T21" i="4"/>
  <c r="P24" i="4"/>
  <c r="Q170" i="4" l="1"/>
  <c r="Q31" i="4"/>
  <c r="P215" i="4"/>
  <c r="P20" i="4"/>
  <c r="N187" i="4"/>
  <c r="U189" i="4"/>
  <c r="M187" i="4"/>
  <c r="N186" i="4"/>
  <c r="N47" i="4"/>
  <c r="T214" i="4"/>
  <c r="P173" i="4"/>
  <c r="Q172" i="4"/>
  <c r="Q253" i="4"/>
  <c r="R215" i="4"/>
  <c r="R20" i="4"/>
  <c r="P128" i="6"/>
  <c r="P74" i="6"/>
  <c r="P216" i="7" s="1"/>
  <c r="P101" i="6"/>
  <c r="P265" i="4"/>
  <c r="P264" i="4"/>
  <c r="P272" i="4"/>
  <c r="P273" i="4"/>
  <c r="P271" i="4"/>
  <c r="P270" i="4"/>
  <c r="P266" i="4"/>
  <c r="P267" i="4"/>
  <c r="P268" i="4"/>
  <c r="P269" i="4"/>
  <c r="T212" i="4"/>
  <c r="S163" i="4"/>
  <c r="S20" i="3"/>
  <c r="S188" i="4"/>
  <c r="S47" i="4"/>
  <c r="T213" i="4"/>
  <c r="Q211" i="4"/>
  <c r="Q157" i="4"/>
  <c r="Q19" i="4"/>
  <c r="Q238" i="4"/>
  <c r="Q19" i="3"/>
  <c r="O46" i="4"/>
  <c r="O184" i="4"/>
  <c r="S216" i="4"/>
  <c r="R264" i="4"/>
  <c r="R272" i="4"/>
  <c r="R273" i="4"/>
  <c r="R271" i="4"/>
  <c r="R267" i="4"/>
  <c r="R266" i="4"/>
  <c r="R268" i="4"/>
  <c r="R270" i="4"/>
  <c r="R269" i="4"/>
  <c r="O134" i="5"/>
  <c r="O80" i="5"/>
  <c r="O135" i="7" s="1"/>
  <c r="O107" i="5"/>
  <c r="U22" i="4"/>
  <c r="U23" i="4"/>
  <c r="M25" i="4"/>
  <c r="T25" i="4"/>
  <c r="N24" i="4"/>
  <c r="U21" i="4"/>
  <c r="O24" i="4"/>
  <c r="R181" i="4" l="1"/>
  <c r="O215" i="4"/>
  <c r="O20" i="4"/>
  <c r="U213" i="4"/>
  <c r="R19" i="4"/>
  <c r="R157" i="4"/>
  <c r="R211" i="4"/>
  <c r="R19" i="3"/>
  <c r="M188" i="4"/>
  <c r="T188" i="4"/>
  <c r="T47" i="4"/>
  <c r="T216" i="4"/>
  <c r="O265" i="4"/>
  <c r="O264" i="4"/>
  <c r="O272" i="4"/>
  <c r="O273" i="4"/>
  <c r="O271" i="4"/>
  <c r="O270" i="4"/>
  <c r="O266" i="4"/>
  <c r="O267" i="4"/>
  <c r="O268" i="4"/>
  <c r="O269" i="4"/>
  <c r="O128" i="6"/>
  <c r="O74" i="6"/>
  <c r="O216" i="7" s="1"/>
  <c r="O101" i="6"/>
  <c r="Q18" i="3"/>
  <c r="Q258" i="4"/>
  <c r="Q249" i="4"/>
  <c r="Q30" i="4"/>
  <c r="Q257" i="4"/>
  <c r="Q168" i="4"/>
  <c r="Q250" i="4"/>
  <c r="Q259" i="4"/>
  <c r="Q263" i="4"/>
  <c r="Q261" i="4"/>
  <c r="Q256" i="4"/>
  <c r="Q255" i="4"/>
  <c r="Q262" i="4"/>
  <c r="Q260" i="4"/>
  <c r="Q254" i="4"/>
  <c r="Q252" i="4"/>
  <c r="P171" i="4"/>
  <c r="Q120" i="5"/>
  <c r="Q66" i="5"/>
  <c r="Q121" i="7" s="1"/>
  <c r="N46" i="4"/>
  <c r="N265" i="4"/>
  <c r="N184" i="4"/>
  <c r="Q251" i="4"/>
  <c r="U212" i="4"/>
  <c r="L186" i="4"/>
  <c r="N215" i="4"/>
  <c r="M216" i="4"/>
  <c r="Q244" i="4"/>
  <c r="Q237" i="4"/>
  <c r="Q156" i="4"/>
  <c r="Q245" i="4"/>
  <c r="Q246" i="4"/>
  <c r="Q243" i="4"/>
  <c r="Q239" i="4"/>
  <c r="Q240" i="4"/>
  <c r="Q241" i="4"/>
  <c r="Q242" i="4"/>
  <c r="L188" i="4"/>
  <c r="M186" i="4"/>
  <c r="M47" i="4"/>
  <c r="U214" i="4"/>
  <c r="S46" i="4"/>
  <c r="S265" i="4" s="1"/>
  <c r="S184" i="4"/>
  <c r="P157" i="4"/>
  <c r="P19" i="4"/>
  <c r="P238" i="4" s="1"/>
  <c r="P211" i="4"/>
  <c r="P19" i="3"/>
  <c r="N23" i="4"/>
  <c r="U25" i="4"/>
  <c r="M24" i="4"/>
  <c r="N22" i="4"/>
  <c r="S24" i="4"/>
  <c r="R4" i="5"/>
  <c r="R47" i="6" s="1"/>
  <c r="M215" i="4" l="1"/>
  <c r="L187" i="4"/>
  <c r="M184" i="4"/>
  <c r="M46" i="4"/>
  <c r="M265" i="4"/>
  <c r="P18" i="3"/>
  <c r="R244" i="4"/>
  <c r="R237" i="4"/>
  <c r="R156" i="4"/>
  <c r="R245" i="4"/>
  <c r="R246" i="4"/>
  <c r="R239" i="4"/>
  <c r="R241" i="4"/>
  <c r="R240" i="4"/>
  <c r="R243" i="4"/>
  <c r="R242" i="4"/>
  <c r="R173" i="4"/>
  <c r="O173" i="4"/>
  <c r="S173" i="4"/>
  <c r="U216" i="4"/>
  <c r="S28" i="7"/>
  <c r="S192" i="4"/>
  <c r="S219" i="4"/>
  <c r="R136" i="5"/>
  <c r="R82" i="5"/>
  <c r="R137" i="7" s="1"/>
  <c r="R109" i="5"/>
  <c r="S215" i="4"/>
  <c r="S20" i="4"/>
  <c r="N213" i="4"/>
  <c r="N20" i="4"/>
  <c r="S264" i="4"/>
  <c r="S272" i="4"/>
  <c r="S267" i="4"/>
  <c r="S268" i="4"/>
  <c r="S266" i="4"/>
  <c r="S273" i="4"/>
  <c r="S270" i="4"/>
  <c r="S271" i="4"/>
  <c r="S269" i="4"/>
  <c r="R18" i="3"/>
  <c r="R171" i="4"/>
  <c r="N214" i="4"/>
  <c r="P81" i="5"/>
  <c r="P136" i="7" s="1"/>
  <c r="P135" i="5"/>
  <c r="P108" i="5"/>
  <c r="Q81" i="5"/>
  <c r="Q136" i="7" s="1"/>
  <c r="Q135" i="5"/>
  <c r="Q108" i="5"/>
  <c r="R238" i="4"/>
  <c r="P242" i="4"/>
  <c r="P156" i="4"/>
  <c r="P237" i="4"/>
  <c r="P245" i="4"/>
  <c r="P246" i="4"/>
  <c r="P244" i="4"/>
  <c r="P243" i="4"/>
  <c r="P239" i="4"/>
  <c r="P240" i="4"/>
  <c r="P241" i="4"/>
  <c r="O175" i="4"/>
  <c r="T184" i="4"/>
  <c r="T46" i="4"/>
  <c r="T265" i="4" s="1"/>
  <c r="O211" i="4"/>
  <c r="O19" i="4"/>
  <c r="O238" i="4" s="1"/>
  <c r="O157" i="4"/>
  <c r="O19" i="3"/>
  <c r="N264" i="4"/>
  <c r="N272" i="4"/>
  <c r="N273" i="4"/>
  <c r="N271" i="4"/>
  <c r="N266" i="4"/>
  <c r="N270" i="4"/>
  <c r="N269" i="4"/>
  <c r="N267" i="4"/>
  <c r="N268" i="4"/>
  <c r="Q17" i="3"/>
  <c r="Q114" i="6"/>
  <c r="Q60" i="6"/>
  <c r="Q202" i="7" s="1"/>
  <c r="M23" i="4"/>
  <c r="Q10" i="4"/>
  <c r="L24" i="4"/>
  <c r="Q12" i="4"/>
  <c r="Q11" i="4"/>
  <c r="Q9" i="4"/>
  <c r="T24" i="4"/>
  <c r="M22" i="4"/>
  <c r="S4" i="5"/>
  <c r="S47" i="6" s="1"/>
  <c r="N173" i="4" l="1"/>
  <c r="M213" i="4"/>
  <c r="M20" i="4"/>
  <c r="K186" i="4"/>
  <c r="Q201" i="4"/>
  <c r="Q119" i="3"/>
  <c r="Q120" i="3"/>
  <c r="Q109" i="3"/>
  <c r="Q115" i="3"/>
  <c r="Q114" i="3"/>
  <c r="Q113" i="3"/>
  <c r="Q117" i="3"/>
  <c r="Q116" i="3"/>
  <c r="Q118" i="3"/>
  <c r="Q112" i="3"/>
  <c r="Q111" i="3"/>
  <c r="O18" i="3"/>
  <c r="P129" i="6"/>
  <c r="P75" i="6"/>
  <c r="P217" i="7" s="1"/>
  <c r="P102" i="6"/>
  <c r="S19" i="4"/>
  <c r="S157" i="4"/>
  <c r="S211" i="4"/>
  <c r="S19" i="3"/>
  <c r="P17" i="3"/>
  <c r="P110" i="3" s="1"/>
  <c r="Q202" i="4"/>
  <c r="N211" i="4"/>
  <c r="N19" i="4"/>
  <c r="N238" i="4" s="1"/>
  <c r="N157" i="4"/>
  <c r="N19" i="3"/>
  <c r="P66" i="5"/>
  <c r="P121" i="7" s="1"/>
  <c r="P120" i="5"/>
  <c r="J188" i="4"/>
  <c r="T215" i="4"/>
  <c r="T20" i="4"/>
  <c r="N175" i="4"/>
  <c r="K187" i="4"/>
  <c r="O171" i="4"/>
  <c r="M214" i="4"/>
  <c r="O237" i="4"/>
  <c r="O156" i="4"/>
  <c r="O245" i="4"/>
  <c r="O246" i="4"/>
  <c r="O244" i="4"/>
  <c r="O239" i="4"/>
  <c r="O243" i="4"/>
  <c r="O240" i="4"/>
  <c r="O241" i="4"/>
  <c r="O242" i="4"/>
  <c r="S171" i="4"/>
  <c r="Q96" i="5"/>
  <c r="Q203" i="4"/>
  <c r="Q90" i="6"/>
  <c r="R130" i="6"/>
  <c r="R157" i="6"/>
  <c r="R76" i="6"/>
  <c r="R103" i="6"/>
  <c r="R17" i="3"/>
  <c r="R110" i="3" s="1"/>
  <c r="L189" i="4"/>
  <c r="L215" i="4"/>
  <c r="K188" i="4"/>
  <c r="R179" i="4"/>
  <c r="R40" i="4"/>
  <c r="Q129" i="6"/>
  <c r="Q75" i="6"/>
  <c r="Q217" i="7" s="1"/>
  <c r="Q102" i="6"/>
  <c r="L47" i="4"/>
  <c r="P172" i="4"/>
  <c r="P33" i="4"/>
  <c r="M271" i="4"/>
  <c r="M264" i="4"/>
  <c r="M272" i="4"/>
  <c r="M273" i="4"/>
  <c r="M266" i="4"/>
  <c r="M270" i="4"/>
  <c r="M268" i="4"/>
  <c r="M269" i="4"/>
  <c r="M267" i="4"/>
  <c r="Q200" i="4"/>
  <c r="Q93" i="5"/>
  <c r="Q87" i="6"/>
  <c r="Q110" i="3"/>
  <c r="T264" i="4"/>
  <c r="T272" i="4"/>
  <c r="T273" i="4"/>
  <c r="T271" i="4"/>
  <c r="T268" i="4"/>
  <c r="T267" i="4"/>
  <c r="T266" i="4"/>
  <c r="T270" i="4"/>
  <c r="T269" i="4"/>
  <c r="O81" i="5"/>
  <c r="O136" i="7" s="1"/>
  <c r="O135" i="5"/>
  <c r="O108" i="5"/>
  <c r="S82" i="5"/>
  <c r="S137" i="7" s="1"/>
  <c r="S136" i="5"/>
  <c r="S109" i="5"/>
  <c r="O11" i="4"/>
  <c r="R17" i="4"/>
  <c r="L23" i="4"/>
  <c r="L22" i="4"/>
  <c r="K24" i="4"/>
  <c r="T4" i="5"/>
  <c r="T47" i="6" s="1"/>
  <c r="Q7" i="4"/>
  <c r="K47" i="4"/>
  <c r="K215" i="4" l="1"/>
  <c r="K184" i="4"/>
  <c r="K46" i="4"/>
  <c r="K265" i="4" s="1"/>
  <c r="J187" i="4"/>
  <c r="M175" i="4"/>
  <c r="O202" i="4"/>
  <c r="L46" i="4"/>
  <c r="L265" i="4" s="1"/>
  <c r="L184" i="4"/>
  <c r="N18" i="3"/>
  <c r="O17" i="3"/>
  <c r="O110" i="3" s="1"/>
  <c r="Q198" i="4"/>
  <c r="J186" i="4"/>
  <c r="S246" i="4"/>
  <c r="S237" i="4"/>
  <c r="S156" i="4"/>
  <c r="S245" i="4"/>
  <c r="S241" i="4"/>
  <c r="S239" i="4"/>
  <c r="S240" i="4"/>
  <c r="S244" i="4"/>
  <c r="S243" i="4"/>
  <c r="S242" i="4"/>
  <c r="S130" i="6"/>
  <c r="S157" i="6"/>
  <c r="S76" i="6"/>
  <c r="S103" i="6"/>
  <c r="N80" i="5"/>
  <c r="N135" i="7" s="1"/>
  <c r="N134" i="5"/>
  <c r="N107" i="5"/>
  <c r="Q74" i="5"/>
  <c r="Q129" i="7" s="1"/>
  <c r="Q128" i="5"/>
  <c r="Q101" i="5"/>
  <c r="P113" i="3"/>
  <c r="P119" i="3"/>
  <c r="P114" i="3"/>
  <c r="P120" i="3"/>
  <c r="P115" i="3"/>
  <c r="P116" i="3"/>
  <c r="P109" i="3"/>
  <c r="P118" i="3"/>
  <c r="P117" i="3"/>
  <c r="P112" i="3"/>
  <c r="P111" i="3"/>
  <c r="S172" i="4"/>
  <c r="L213" i="4"/>
  <c r="M136" i="5"/>
  <c r="M82" i="5"/>
  <c r="M137" i="7" s="1"/>
  <c r="M109" i="5"/>
  <c r="P170" i="4"/>
  <c r="P31" i="4"/>
  <c r="N244" i="4"/>
  <c r="N156" i="4"/>
  <c r="N237" i="4"/>
  <c r="N245" i="4"/>
  <c r="N246" i="4"/>
  <c r="N243" i="4"/>
  <c r="N239" i="4"/>
  <c r="N242" i="4"/>
  <c r="N240" i="4"/>
  <c r="N241" i="4"/>
  <c r="S18" i="3"/>
  <c r="N171" i="4"/>
  <c r="M173" i="4"/>
  <c r="L214" i="4"/>
  <c r="S33" i="4"/>
  <c r="O121" i="5"/>
  <c r="O67" i="5"/>
  <c r="O122" i="7" s="1"/>
  <c r="S238" i="4"/>
  <c r="I188" i="4"/>
  <c r="R208" i="4"/>
  <c r="R115" i="3"/>
  <c r="R114" i="3"/>
  <c r="R113" i="3"/>
  <c r="R120" i="3"/>
  <c r="R116" i="3"/>
  <c r="R117" i="3"/>
  <c r="R118" i="3"/>
  <c r="R119" i="3"/>
  <c r="R109" i="3"/>
  <c r="R112" i="3"/>
  <c r="R111" i="3"/>
  <c r="R172" i="4"/>
  <c r="R33" i="4"/>
  <c r="R177" i="4"/>
  <c r="P114" i="6"/>
  <c r="P60" i="6"/>
  <c r="P202" i="7" s="1"/>
  <c r="T136" i="5"/>
  <c r="T82" i="5"/>
  <c r="T137" i="7" s="1"/>
  <c r="T109" i="5"/>
  <c r="M211" i="4"/>
  <c r="M157" i="4"/>
  <c r="M19" i="4"/>
  <c r="M238" i="4" s="1"/>
  <c r="M19" i="3"/>
  <c r="K189" i="4"/>
  <c r="O129" i="6"/>
  <c r="O75" i="6"/>
  <c r="O217" i="7" s="1"/>
  <c r="O102" i="6"/>
  <c r="T19" i="4"/>
  <c r="T157" i="4"/>
  <c r="T211" i="4"/>
  <c r="T19" i="3"/>
  <c r="Q8" i="4"/>
  <c r="N11" i="4"/>
  <c r="J24" i="4"/>
  <c r="N33" i="4"/>
  <c r="R15" i="4"/>
  <c r="L25" i="4"/>
  <c r="L20" i="4" s="1"/>
  <c r="K22" i="4"/>
  <c r="N31" i="4" l="1"/>
  <c r="N170" i="4"/>
  <c r="N251" i="4"/>
  <c r="T238" i="4"/>
  <c r="T237" i="4"/>
  <c r="T156" i="4"/>
  <c r="T245" i="4"/>
  <c r="T246" i="4"/>
  <c r="T244" i="4"/>
  <c r="T239" i="4"/>
  <c r="T240" i="4"/>
  <c r="T241" i="4"/>
  <c r="T243" i="4"/>
  <c r="T242" i="4"/>
  <c r="Q67" i="5"/>
  <c r="Q122" i="7" s="1"/>
  <c r="Q121" i="5"/>
  <c r="Q94" i="5"/>
  <c r="O172" i="4"/>
  <c r="O33" i="4"/>
  <c r="T130" i="6"/>
  <c r="T157" i="6"/>
  <c r="T76" i="6"/>
  <c r="T103" i="6"/>
  <c r="N128" i="6"/>
  <c r="N74" i="6"/>
  <c r="N216" i="7" s="1"/>
  <c r="N101" i="6"/>
  <c r="H188" i="4"/>
  <c r="P30" i="4"/>
  <c r="P249" i="4"/>
  <c r="P168" i="4"/>
  <c r="P250" i="4"/>
  <c r="P263" i="4"/>
  <c r="P259" i="4"/>
  <c r="P257" i="4"/>
  <c r="P256" i="4"/>
  <c r="P255" i="4"/>
  <c r="P262" i="4"/>
  <c r="P261" i="4"/>
  <c r="P260" i="4"/>
  <c r="P258" i="4"/>
  <c r="P254" i="4"/>
  <c r="P252" i="4"/>
  <c r="P253" i="4"/>
  <c r="L211" i="4"/>
  <c r="L19" i="4"/>
  <c r="L157" i="4"/>
  <c r="L19" i="3"/>
  <c r="P128" i="5"/>
  <c r="P74" i="5"/>
  <c r="P129" i="7" s="1"/>
  <c r="P101" i="5"/>
  <c r="P251" i="4"/>
  <c r="K271" i="4"/>
  <c r="K264" i="4"/>
  <c r="K272" i="4"/>
  <c r="K273" i="4"/>
  <c r="K266" i="4"/>
  <c r="K268" i="4"/>
  <c r="K267" i="4"/>
  <c r="K269" i="4"/>
  <c r="L175" i="4"/>
  <c r="N172" i="4"/>
  <c r="N253" i="4"/>
  <c r="T173" i="4"/>
  <c r="R206" i="4"/>
  <c r="R13" i="4"/>
  <c r="M18" i="3"/>
  <c r="Q199" i="4"/>
  <c r="S170" i="4"/>
  <c r="P121" i="5"/>
  <c r="P67" i="5"/>
  <c r="P122" i="7" s="1"/>
  <c r="O120" i="3"/>
  <c r="O115" i="3"/>
  <c r="O119" i="3"/>
  <c r="O116" i="3"/>
  <c r="O117" i="3"/>
  <c r="O113" i="3"/>
  <c r="O114" i="3"/>
  <c r="O109" i="3"/>
  <c r="O118" i="3"/>
  <c r="O112" i="3"/>
  <c r="O111" i="3"/>
  <c r="L173" i="4"/>
  <c r="J215" i="4"/>
  <c r="T18" i="3"/>
  <c r="O115" i="6"/>
  <c r="O61" i="6"/>
  <c r="O203" i="7" s="1"/>
  <c r="R170" i="4"/>
  <c r="R31" i="4"/>
  <c r="R251" i="4" s="1"/>
  <c r="M128" i="6"/>
  <c r="M74" i="6"/>
  <c r="M216" i="7" s="1"/>
  <c r="M101" i="6"/>
  <c r="M171" i="4"/>
  <c r="M244" i="4"/>
  <c r="M156" i="4"/>
  <c r="M237" i="4"/>
  <c r="M245" i="4"/>
  <c r="M246" i="4"/>
  <c r="M239" i="4"/>
  <c r="M243" i="4"/>
  <c r="M242" i="4"/>
  <c r="M240" i="4"/>
  <c r="M241" i="4"/>
  <c r="O66" i="5"/>
  <c r="O121" i="7" s="1"/>
  <c r="O120" i="5"/>
  <c r="Q6" i="4"/>
  <c r="J189" i="4"/>
  <c r="K213" i="4"/>
  <c r="K270" i="4"/>
  <c r="N135" i="5"/>
  <c r="N81" i="5"/>
  <c r="N136" i="7" s="1"/>
  <c r="N108" i="5"/>
  <c r="Q122" i="6"/>
  <c r="Q68" i="6"/>
  <c r="Q210" i="7" s="1"/>
  <c r="Q95" i="6"/>
  <c r="S17" i="3"/>
  <c r="J47" i="4"/>
  <c r="I186" i="4"/>
  <c r="L216" i="4"/>
  <c r="L243" i="4"/>
  <c r="I187" i="4"/>
  <c r="N202" i="4"/>
  <c r="M157" i="6"/>
  <c r="M130" i="6"/>
  <c r="M76" i="6"/>
  <c r="M103" i="6"/>
  <c r="O74" i="5"/>
  <c r="O129" i="7" s="1"/>
  <c r="O128" i="5"/>
  <c r="O101" i="5"/>
  <c r="U136" i="5"/>
  <c r="U82" i="5"/>
  <c r="U137" i="7" s="1"/>
  <c r="U109" i="5"/>
  <c r="N17" i="3"/>
  <c r="N110" i="3" s="1"/>
  <c r="L264" i="4"/>
  <c r="L272" i="4"/>
  <c r="L273" i="4"/>
  <c r="L271" i="4"/>
  <c r="L266" i="4"/>
  <c r="L267" i="4"/>
  <c r="L269" i="4"/>
  <c r="L268" i="4"/>
  <c r="L270" i="4"/>
  <c r="M80" i="5"/>
  <c r="M135" i="7" s="1"/>
  <c r="M134" i="5"/>
  <c r="M107" i="5"/>
  <c r="R11" i="4"/>
  <c r="P9" i="4"/>
  <c r="K23" i="4"/>
  <c r="R9" i="4"/>
  <c r="P12" i="4"/>
  <c r="P11" i="4"/>
  <c r="I24" i="4"/>
  <c r="R12" i="4"/>
  <c r="P10" i="4"/>
  <c r="R10" i="4"/>
  <c r="K25" i="4"/>
  <c r="M11" i="4"/>
  <c r="J22" i="4"/>
  <c r="I47" i="4"/>
  <c r="I46" i="4" l="1"/>
  <c r="I184" i="4"/>
  <c r="I265" i="4"/>
  <c r="M172" i="4"/>
  <c r="T171" i="4"/>
  <c r="K174" i="4"/>
  <c r="P203" i="4"/>
  <c r="P90" i="6"/>
  <c r="P96" i="5"/>
  <c r="S118" i="3"/>
  <c r="S114" i="3"/>
  <c r="S109" i="3"/>
  <c r="S120" i="3"/>
  <c r="S113" i="3"/>
  <c r="S115" i="3"/>
  <c r="S116" i="3"/>
  <c r="S117" i="3"/>
  <c r="S119" i="3"/>
  <c r="S112" i="3"/>
  <c r="S111" i="3"/>
  <c r="M33" i="4"/>
  <c r="M17" i="3"/>
  <c r="M110" i="3" s="1"/>
  <c r="L81" i="5"/>
  <c r="L136" i="7" s="1"/>
  <c r="L135" i="5"/>
  <c r="L108" i="5"/>
  <c r="I215" i="4"/>
  <c r="U130" i="6"/>
  <c r="U157" i="6"/>
  <c r="U76" i="6"/>
  <c r="U103" i="6"/>
  <c r="L156" i="4"/>
  <c r="L237" i="4"/>
  <c r="L245" i="4"/>
  <c r="L246" i="4"/>
  <c r="L244" i="4"/>
  <c r="L239" i="4"/>
  <c r="L242" i="4"/>
  <c r="L241" i="4"/>
  <c r="L240" i="4"/>
  <c r="S181" i="4"/>
  <c r="H187" i="4"/>
  <c r="R203" i="4"/>
  <c r="R90" i="6"/>
  <c r="R96" i="5"/>
  <c r="N114" i="3"/>
  <c r="N117" i="3"/>
  <c r="N109" i="3"/>
  <c r="N120" i="3"/>
  <c r="N119" i="3"/>
  <c r="N116" i="3"/>
  <c r="N118" i="3"/>
  <c r="N115" i="3"/>
  <c r="N113" i="3"/>
  <c r="N112" i="3"/>
  <c r="N111" i="3"/>
  <c r="U188" i="4"/>
  <c r="U47" i="4"/>
  <c r="L171" i="4"/>
  <c r="P202" i="4"/>
  <c r="P115" i="6"/>
  <c r="P61" i="6"/>
  <c r="P203" i="7" s="1"/>
  <c r="O122" i="6"/>
  <c r="O68" i="6"/>
  <c r="O210" i="7" s="1"/>
  <c r="O95" i="6"/>
  <c r="M135" i="5"/>
  <c r="M81" i="5"/>
  <c r="M136" i="7" s="1"/>
  <c r="M108" i="5"/>
  <c r="H186" i="4"/>
  <c r="K107" i="5"/>
  <c r="M202" i="4"/>
  <c r="R200" i="4"/>
  <c r="Q115" i="6"/>
  <c r="Q61" i="6"/>
  <c r="Q203" i="7" s="1"/>
  <c r="Q88" i="6"/>
  <c r="L134" i="5"/>
  <c r="L80" i="5"/>
  <c r="L135" i="7" s="1"/>
  <c r="L107" i="5"/>
  <c r="N129" i="6"/>
  <c r="N75" i="6"/>
  <c r="N217" i="7" s="1"/>
  <c r="N102" i="6"/>
  <c r="N121" i="5"/>
  <c r="N67" i="5"/>
  <c r="N122" i="7" s="1"/>
  <c r="K216" i="4"/>
  <c r="K214" i="4"/>
  <c r="O114" i="6"/>
  <c r="O60" i="6"/>
  <c r="O202" i="7" s="1"/>
  <c r="R150" i="4"/>
  <c r="R204" i="4"/>
  <c r="R8" i="3"/>
  <c r="O170" i="4"/>
  <c r="O31" i="4"/>
  <c r="O251" i="4" s="1"/>
  <c r="I189" i="4"/>
  <c r="I270" i="4"/>
  <c r="K173" i="4"/>
  <c r="K175" i="4"/>
  <c r="R201" i="4"/>
  <c r="P200" i="4"/>
  <c r="P87" i="6"/>
  <c r="P93" i="5"/>
  <c r="J184" i="4"/>
  <c r="J46" i="4"/>
  <c r="J265" i="4" s="1"/>
  <c r="R73" i="5"/>
  <c r="R128" i="7" s="1"/>
  <c r="R127" i="5"/>
  <c r="R100" i="5"/>
  <c r="L18" i="3"/>
  <c r="J213" i="4"/>
  <c r="P201" i="4"/>
  <c r="P88" i="6"/>
  <c r="P94" i="5"/>
  <c r="R202" i="4"/>
  <c r="S110" i="3"/>
  <c r="K20" i="4"/>
  <c r="Q143" i="4"/>
  <c r="Q197" i="4"/>
  <c r="Q7" i="3"/>
  <c r="Q4" i="4"/>
  <c r="P122" i="6"/>
  <c r="P68" i="6"/>
  <c r="P210" i="7" s="1"/>
  <c r="P95" i="6"/>
  <c r="R249" i="4"/>
  <c r="R30" i="4"/>
  <c r="R168" i="4"/>
  <c r="R250" i="4"/>
  <c r="R263" i="4"/>
  <c r="R259" i="4"/>
  <c r="R261" i="4"/>
  <c r="R255" i="4"/>
  <c r="R257" i="4"/>
  <c r="R256" i="4"/>
  <c r="R262" i="4"/>
  <c r="R252" i="4"/>
  <c r="R254" i="4"/>
  <c r="R260" i="4"/>
  <c r="R253" i="4"/>
  <c r="R258" i="4"/>
  <c r="T17" i="3"/>
  <c r="T110" i="3" s="1"/>
  <c r="L238" i="4"/>
  <c r="N252" i="4"/>
  <c r="N30" i="4"/>
  <c r="N249" i="4"/>
  <c r="N168" i="4"/>
  <c r="N250" i="4"/>
  <c r="N259" i="4"/>
  <c r="N257" i="4"/>
  <c r="N262" i="4"/>
  <c r="N255" i="4"/>
  <c r="N261" i="4"/>
  <c r="N263" i="4"/>
  <c r="N260" i="4"/>
  <c r="N258" i="4"/>
  <c r="N256" i="4"/>
  <c r="N254" i="4"/>
  <c r="J25" i="4"/>
  <c r="J23" i="4"/>
  <c r="P7" i="4"/>
  <c r="H24" i="4"/>
  <c r="L11" i="4"/>
  <c r="I22" i="4"/>
  <c r="H47" i="4"/>
  <c r="L33" i="4"/>
  <c r="J20" i="4" l="1"/>
  <c r="J19" i="4" s="1"/>
  <c r="J238" i="4" s="1"/>
  <c r="J19" i="3"/>
  <c r="L170" i="4"/>
  <c r="L31" i="4"/>
  <c r="L253" i="4" s="1"/>
  <c r="H184" i="4"/>
  <c r="H46" i="4"/>
  <c r="H265" i="4" s="1"/>
  <c r="K171" i="4"/>
  <c r="G186" i="4"/>
  <c r="G187" i="4"/>
  <c r="R121" i="6"/>
  <c r="R67" i="6"/>
  <c r="R209" i="7" s="1"/>
  <c r="R94" i="6"/>
  <c r="L128" i="6"/>
  <c r="L74" i="6"/>
  <c r="L216" i="7" s="1"/>
  <c r="L101" i="6"/>
  <c r="L202" i="4"/>
  <c r="H189" i="4"/>
  <c r="T181" i="4"/>
  <c r="L17" i="3"/>
  <c r="L110" i="3" s="1"/>
  <c r="O30" i="4"/>
  <c r="O168" i="4"/>
  <c r="O249" i="4"/>
  <c r="O250" i="4"/>
  <c r="O259" i="4"/>
  <c r="O257" i="4"/>
  <c r="O262" i="4"/>
  <c r="O255" i="4"/>
  <c r="O261" i="4"/>
  <c r="O260" i="4"/>
  <c r="O263" i="4"/>
  <c r="O258" i="4"/>
  <c r="O254" i="4"/>
  <c r="O256" i="4"/>
  <c r="O252" i="4"/>
  <c r="O253" i="4"/>
  <c r="M129" i="6"/>
  <c r="M75" i="6"/>
  <c r="M217" i="7" s="1"/>
  <c r="M102" i="6"/>
  <c r="I213" i="4"/>
  <c r="S179" i="4"/>
  <c r="S40" i="4"/>
  <c r="U184" i="4"/>
  <c r="U46" i="4"/>
  <c r="M121" i="5"/>
  <c r="M67" i="5"/>
  <c r="M122" i="7" s="1"/>
  <c r="M114" i="3"/>
  <c r="M120" i="3"/>
  <c r="M117" i="3"/>
  <c r="M119" i="3"/>
  <c r="M118" i="3"/>
  <c r="M113" i="3"/>
  <c r="M109" i="3"/>
  <c r="M115" i="3"/>
  <c r="M116" i="3"/>
  <c r="M112" i="3"/>
  <c r="M111" i="3"/>
  <c r="Q110" i="6"/>
  <c r="Q66" i="3"/>
  <c r="Q56" i="6"/>
  <c r="Q198" i="7" s="1"/>
  <c r="Q83" i="6"/>
  <c r="H215" i="4"/>
  <c r="K157" i="4"/>
  <c r="K211" i="4"/>
  <c r="K19" i="4"/>
  <c r="K19" i="3"/>
  <c r="J81" i="5"/>
  <c r="J136" i="7" s="1"/>
  <c r="J135" i="5"/>
  <c r="J108" i="5"/>
  <c r="Q62" i="5"/>
  <c r="Q117" i="7" s="1"/>
  <c r="Q116" i="5"/>
  <c r="Q36" i="3"/>
  <c r="Q89" i="5"/>
  <c r="P198" i="4"/>
  <c r="Q141" i="4"/>
  <c r="Q195" i="4"/>
  <c r="Q222" i="4"/>
  <c r="Q232" i="4"/>
  <c r="Q236" i="4"/>
  <c r="Q234" i="4"/>
  <c r="Q235" i="4"/>
  <c r="Q233" i="4"/>
  <c r="Q231" i="4"/>
  <c r="Q223" i="4"/>
  <c r="Q229" i="4"/>
  <c r="Q228" i="4"/>
  <c r="Q230" i="4"/>
  <c r="Q227" i="4"/>
  <c r="Q225" i="4"/>
  <c r="Q226" i="4"/>
  <c r="K134" i="5"/>
  <c r="K80" i="5"/>
  <c r="K135" i="7" s="1"/>
  <c r="N127" i="5"/>
  <c r="N73" i="5"/>
  <c r="N128" i="7" s="1"/>
  <c r="N100" i="5"/>
  <c r="M170" i="4"/>
  <c r="M31" i="4"/>
  <c r="M251" i="4" s="1"/>
  <c r="T116" i="3"/>
  <c r="T114" i="3"/>
  <c r="T113" i="3"/>
  <c r="T117" i="3"/>
  <c r="T118" i="3"/>
  <c r="T119" i="3"/>
  <c r="T109" i="3"/>
  <c r="T115" i="3"/>
  <c r="T120" i="3"/>
  <c r="T112" i="3"/>
  <c r="T111" i="3"/>
  <c r="Q5" i="3"/>
  <c r="L129" i="6"/>
  <c r="L75" i="6"/>
  <c r="L217" i="7" s="1"/>
  <c r="L102" i="6"/>
  <c r="N115" i="6"/>
  <c r="N61" i="6"/>
  <c r="N203" i="7" s="1"/>
  <c r="N128" i="5"/>
  <c r="N74" i="5"/>
  <c r="N129" i="7" s="1"/>
  <c r="N101" i="5"/>
  <c r="L172" i="4"/>
  <c r="G188" i="4"/>
  <c r="J214" i="4"/>
  <c r="J107" i="5"/>
  <c r="J241" i="4"/>
  <c r="J216" i="4"/>
  <c r="J243" i="4"/>
  <c r="Q224" i="4"/>
  <c r="L121" i="5"/>
  <c r="L67" i="5"/>
  <c r="L122" i="7" s="1"/>
  <c r="Q125" i="5"/>
  <c r="Q71" i="5"/>
  <c r="Q126" i="7" s="1"/>
  <c r="Q98" i="5"/>
  <c r="J264" i="4"/>
  <c r="J272" i="4"/>
  <c r="J273" i="4"/>
  <c r="J271" i="4"/>
  <c r="J266" i="4"/>
  <c r="J269" i="4"/>
  <c r="J267" i="4"/>
  <c r="J268" i="4"/>
  <c r="J270" i="4"/>
  <c r="Q132" i="5"/>
  <c r="Q78" i="5"/>
  <c r="Q133" i="7" s="1"/>
  <c r="Q105" i="5"/>
  <c r="S127" i="5"/>
  <c r="S73" i="5"/>
  <c r="S128" i="7" s="1"/>
  <c r="S100" i="5"/>
  <c r="I264" i="4"/>
  <c r="I272" i="4"/>
  <c r="I273" i="4"/>
  <c r="I271" i="4"/>
  <c r="I266" i="4"/>
  <c r="I269" i="4"/>
  <c r="I267" i="4"/>
  <c r="I268" i="4"/>
  <c r="O12" i="4"/>
  <c r="I23" i="4"/>
  <c r="S17" i="4"/>
  <c r="S9" i="4"/>
  <c r="N9" i="4"/>
  <c r="K10" i="4"/>
  <c r="O10" i="4"/>
  <c r="G24" i="4"/>
  <c r="I25" i="4"/>
  <c r="O9" i="4"/>
  <c r="K11" i="4"/>
  <c r="S12" i="4"/>
  <c r="N12" i="4"/>
  <c r="S10" i="4"/>
  <c r="N10" i="4"/>
  <c r="S11" i="4"/>
  <c r="R8" i="4"/>
  <c r="R7" i="4"/>
  <c r="U24" i="4"/>
  <c r="P8" i="4"/>
  <c r="H22" i="4"/>
  <c r="O4" i="5"/>
  <c r="O47" i="6" s="1"/>
  <c r="J211" i="4" l="1"/>
  <c r="J157" i="4"/>
  <c r="H270" i="4"/>
  <c r="G215" i="4"/>
  <c r="H213" i="4"/>
  <c r="R198" i="4"/>
  <c r="R6" i="4"/>
  <c r="K202" i="4"/>
  <c r="S208" i="4"/>
  <c r="T172" i="4"/>
  <c r="T33" i="4"/>
  <c r="M128" i="5"/>
  <c r="M74" i="5"/>
  <c r="M129" i="7" s="1"/>
  <c r="M101" i="5"/>
  <c r="K243" i="4"/>
  <c r="K156" i="4"/>
  <c r="K237" i="4"/>
  <c r="K245" i="4"/>
  <c r="K246" i="4"/>
  <c r="K244" i="4"/>
  <c r="K239" i="4"/>
  <c r="K242" i="4"/>
  <c r="K240" i="4"/>
  <c r="K241" i="4"/>
  <c r="N120" i="5"/>
  <c r="N66" i="5"/>
  <c r="N121" i="7" s="1"/>
  <c r="S121" i="6"/>
  <c r="S67" i="6"/>
  <c r="S209" i="7" s="1"/>
  <c r="S94" i="6"/>
  <c r="K128" i="6"/>
  <c r="K74" i="6"/>
  <c r="K216" i="7" s="1"/>
  <c r="K101" i="6"/>
  <c r="F188" i="4"/>
  <c r="U215" i="4"/>
  <c r="U20" i="4"/>
  <c r="O200" i="4"/>
  <c r="O87" i="6"/>
  <c r="O93" i="5"/>
  <c r="O201" i="4"/>
  <c r="O88" i="6"/>
  <c r="O94" i="5"/>
  <c r="I214" i="4"/>
  <c r="N122" i="6"/>
  <c r="N68" i="6"/>
  <c r="N210" i="7" s="1"/>
  <c r="N95" i="6"/>
  <c r="P71" i="5"/>
  <c r="P126" i="7" s="1"/>
  <c r="P125" i="5"/>
  <c r="P98" i="5"/>
  <c r="H271" i="4"/>
  <c r="H264" i="4"/>
  <c r="H272" i="4"/>
  <c r="H273" i="4"/>
  <c r="H266" i="4"/>
  <c r="H269" i="4"/>
  <c r="H268" i="4"/>
  <c r="H267" i="4"/>
  <c r="G189" i="4"/>
  <c r="J173" i="4"/>
  <c r="F186" i="4"/>
  <c r="N87" i="6"/>
  <c r="T179" i="4"/>
  <c r="T40" i="4"/>
  <c r="R199" i="4"/>
  <c r="K201" i="4"/>
  <c r="O203" i="4"/>
  <c r="O96" i="5"/>
  <c r="K81" i="5"/>
  <c r="K136" i="7" s="1"/>
  <c r="K135" i="5"/>
  <c r="K108" i="5"/>
  <c r="S80" i="5"/>
  <c r="S135" i="7" s="1"/>
  <c r="S134" i="5"/>
  <c r="S107" i="5"/>
  <c r="I20" i="4"/>
  <c r="G47" i="4"/>
  <c r="J174" i="4"/>
  <c r="F187" i="4"/>
  <c r="N94" i="5"/>
  <c r="N201" i="4"/>
  <c r="N88" i="6"/>
  <c r="N93" i="5"/>
  <c r="N200" i="4"/>
  <c r="Q188" i="3"/>
  <c r="Q218" i="3"/>
  <c r="L136" i="5"/>
  <c r="L82" i="5"/>
  <c r="L137" i="7" s="1"/>
  <c r="L109" i="5"/>
  <c r="L249" i="4"/>
  <c r="L168" i="4"/>
  <c r="L250" i="4"/>
  <c r="L259" i="4"/>
  <c r="L257" i="4"/>
  <c r="L255" i="4"/>
  <c r="L262" i="4"/>
  <c r="L261" i="4"/>
  <c r="L260" i="4"/>
  <c r="L263" i="4"/>
  <c r="L258" i="4"/>
  <c r="L254" i="4"/>
  <c r="L256" i="4"/>
  <c r="L30" i="4"/>
  <c r="L252" i="4"/>
  <c r="R80" i="5"/>
  <c r="R135" i="7" s="1"/>
  <c r="R134" i="5"/>
  <c r="R107" i="5"/>
  <c r="J80" i="5"/>
  <c r="J135" i="7" s="1"/>
  <c r="J134" i="5"/>
  <c r="K18" i="3"/>
  <c r="O69" i="5"/>
  <c r="O124" i="7" s="1"/>
  <c r="O123" i="5"/>
  <c r="L251" i="4"/>
  <c r="P199" i="4"/>
  <c r="J175" i="4"/>
  <c r="S202" i="4"/>
  <c r="S201" i="4"/>
  <c r="I216" i="4"/>
  <c r="Q4" i="3"/>
  <c r="Q97" i="3" s="1"/>
  <c r="M258" i="4"/>
  <c r="M30" i="4"/>
  <c r="M168" i="4"/>
  <c r="M249" i="4"/>
  <c r="M250" i="4"/>
  <c r="M259" i="4"/>
  <c r="M257" i="4"/>
  <c r="M255" i="4"/>
  <c r="M262" i="4"/>
  <c r="M261" i="4"/>
  <c r="M260" i="4"/>
  <c r="M263" i="4"/>
  <c r="M256" i="4"/>
  <c r="M254" i="4"/>
  <c r="M252" i="4"/>
  <c r="M253" i="4"/>
  <c r="P6" i="4"/>
  <c r="K238" i="4"/>
  <c r="S177" i="4"/>
  <c r="S31" i="4"/>
  <c r="S258" i="4" s="1"/>
  <c r="L74" i="5"/>
  <c r="L129" i="7" s="1"/>
  <c r="L128" i="5"/>
  <c r="L101" i="5"/>
  <c r="J244" i="4"/>
  <c r="J156" i="4"/>
  <c r="J237" i="4"/>
  <c r="J245" i="4"/>
  <c r="J246" i="4"/>
  <c r="J239" i="4"/>
  <c r="J242" i="4"/>
  <c r="J240" i="4"/>
  <c r="I107" i="5"/>
  <c r="S93" i="5"/>
  <c r="N203" i="4"/>
  <c r="S200" i="4"/>
  <c r="N121" i="6"/>
  <c r="N67" i="6"/>
  <c r="N209" i="7" s="1"/>
  <c r="N94" i="6"/>
  <c r="I135" i="5"/>
  <c r="I81" i="5"/>
  <c r="I136" i="7" s="1"/>
  <c r="I108" i="5"/>
  <c r="M73" i="5"/>
  <c r="M128" i="7" s="1"/>
  <c r="M127" i="5"/>
  <c r="M100" i="5"/>
  <c r="P62" i="5"/>
  <c r="P117" i="7" s="1"/>
  <c r="P116" i="5"/>
  <c r="P36" i="3"/>
  <c r="P89" i="5"/>
  <c r="U265" i="4"/>
  <c r="U264" i="4"/>
  <c r="U272" i="4"/>
  <c r="U273" i="4"/>
  <c r="U271" i="4"/>
  <c r="U267" i="4"/>
  <c r="U268" i="4"/>
  <c r="U266" i="4"/>
  <c r="U270" i="4"/>
  <c r="U269" i="4"/>
  <c r="P78" i="5"/>
  <c r="P133" i="7" s="1"/>
  <c r="P132" i="5"/>
  <c r="P105" i="5"/>
  <c r="L120" i="3"/>
  <c r="L114" i="3"/>
  <c r="L118" i="3"/>
  <c r="L115" i="3"/>
  <c r="L116" i="3"/>
  <c r="L113" i="3"/>
  <c r="L117" i="3"/>
  <c r="L119" i="3"/>
  <c r="L109" i="3"/>
  <c r="L112" i="3"/>
  <c r="L111" i="3"/>
  <c r="L115" i="6"/>
  <c r="L61" i="6"/>
  <c r="L203" i="7" s="1"/>
  <c r="S96" i="5"/>
  <c r="S90" i="6"/>
  <c r="S203" i="4"/>
  <c r="M115" i="6"/>
  <c r="M61" i="6"/>
  <c r="M203" i="7" s="1"/>
  <c r="O68" i="5"/>
  <c r="O123" i="7" s="1"/>
  <c r="O122" i="5"/>
  <c r="O95" i="5"/>
  <c r="N122" i="5"/>
  <c r="N68" i="5"/>
  <c r="N123" i="7" s="1"/>
  <c r="N95" i="5"/>
  <c r="J18" i="3"/>
  <c r="H23" i="4"/>
  <c r="T17" i="4"/>
  <c r="H25" i="4"/>
  <c r="G22" i="4"/>
  <c r="N7" i="4"/>
  <c r="O7" i="4"/>
  <c r="S7" i="4"/>
  <c r="F47" i="4"/>
  <c r="N4" i="5"/>
  <c r="N47" i="6" s="1"/>
  <c r="S15" i="4"/>
  <c r="F24" i="4"/>
  <c r="F215" i="4" l="1"/>
  <c r="F184" i="4"/>
  <c r="S206" i="4"/>
  <c r="S13" i="4"/>
  <c r="T208" i="4"/>
  <c r="S198" i="4"/>
  <c r="E188" i="4"/>
  <c r="O198" i="4"/>
  <c r="E187" i="4"/>
  <c r="H214" i="4"/>
  <c r="M66" i="5"/>
  <c r="M121" i="7" s="1"/>
  <c r="M120" i="5"/>
  <c r="P188" i="3"/>
  <c r="Q105" i="3"/>
  <c r="Q102" i="3"/>
  <c r="Q101" i="3"/>
  <c r="Q103" i="3"/>
  <c r="Q104" i="3"/>
  <c r="Q96" i="3"/>
  <c r="Q108" i="3"/>
  <c r="Q106" i="3"/>
  <c r="Q107" i="3"/>
  <c r="Q100" i="3"/>
  <c r="Q98" i="3"/>
  <c r="Q99" i="3"/>
  <c r="J128" i="6"/>
  <c r="J74" i="6"/>
  <c r="J216" i="7" s="1"/>
  <c r="J101" i="6"/>
  <c r="O117" i="6"/>
  <c r="O144" i="6"/>
  <c r="O63" i="6"/>
  <c r="L127" i="5"/>
  <c r="L73" i="5"/>
  <c r="L128" i="7" s="1"/>
  <c r="L100" i="5"/>
  <c r="T170" i="4"/>
  <c r="T31" i="4"/>
  <c r="T258" i="4" s="1"/>
  <c r="S128" i="6"/>
  <c r="S74" i="6"/>
  <c r="S216" i="7" s="1"/>
  <c r="S101" i="6"/>
  <c r="I175" i="4"/>
  <c r="I11" i="4"/>
  <c r="I62" i="6"/>
  <c r="I256" i="4"/>
  <c r="I173" i="4"/>
  <c r="E186" i="4"/>
  <c r="I174" i="4"/>
  <c r="G213" i="4"/>
  <c r="N69" i="5"/>
  <c r="N124" i="7" s="1"/>
  <c r="N123" i="5"/>
  <c r="O116" i="6"/>
  <c r="O62" i="6"/>
  <c r="O204" i="7" s="1"/>
  <c r="O89" i="6"/>
  <c r="T177" i="4"/>
  <c r="R128" i="6"/>
  <c r="R74" i="6"/>
  <c r="R216" i="7" s="1"/>
  <c r="R101" i="6"/>
  <c r="J129" i="6"/>
  <c r="J75" i="6"/>
  <c r="J217" i="7" s="1"/>
  <c r="J102" i="6"/>
  <c r="Q126" i="6"/>
  <c r="Q72" i="6"/>
  <c r="Q214" i="7" s="1"/>
  <c r="Q99" i="6"/>
  <c r="P110" i="6"/>
  <c r="P66" i="3"/>
  <c r="P56" i="6"/>
  <c r="P198" i="7" s="1"/>
  <c r="P83" i="6"/>
  <c r="N116" i="6"/>
  <c r="N62" i="6"/>
  <c r="N204" i="7" s="1"/>
  <c r="N89" i="6"/>
  <c r="S120" i="5"/>
  <c r="S66" i="5"/>
  <c r="S121" i="7" s="1"/>
  <c r="K129" i="6"/>
  <c r="K75" i="6"/>
  <c r="K217" i="7" s="1"/>
  <c r="K102" i="6"/>
  <c r="M122" i="5"/>
  <c r="M68" i="5"/>
  <c r="M123" i="7" s="1"/>
  <c r="M95" i="5"/>
  <c r="G184" i="4"/>
  <c r="G46" i="4"/>
  <c r="M122" i="6"/>
  <c r="M68" i="6"/>
  <c r="M210" i="7" s="1"/>
  <c r="M95" i="6"/>
  <c r="R120" i="5"/>
  <c r="R66" i="5"/>
  <c r="R121" i="7" s="1"/>
  <c r="R93" i="5"/>
  <c r="N198" i="4"/>
  <c r="H216" i="4"/>
  <c r="L130" i="6"/>
  <c r="L157" i="6"/>
  <c r="L76" i="6"/>
  <c r="L103" i="6"/>
  <c r="I211" i="4"/>
  <c r="I157" i="4"/>
  <c r="I19" i="4"/>
  <c r="I19" i="3"/>
  <c r="H20" i="4"/>
  <c r="F189" i="4"/>
  <c r="J171" i="4"/>
  <c r="K82" i="5"/>
  <c r="K137" i="7" s="1"/>
  <c r="K136" i="5"/>
  <c r="K109" i="5"/>
  <c r="I134" i="5"/>
  <c r="I80" i="5"/>
  <c r="I135" i="7" s="1"/>
  <c r="K17" i="3"/>
  <c r="K110" i="3" s="1"/>
  <c r="U211" i="4"/>
  <c r="U157" i="4"/>
  <c r="U19" i="4"/>
  <c r="U19" i="3"/>
  <c r="J17" i="3"/>
  <c r="J110" i="3" s="1"/>
  <c r="M121" i="6"/>
  <c r="M67" i="6"/>
  <c r="M209" i="7" s="1"/>
  <c r="M94" i="6"/>
  <c r="L122" i="6"/>
  <c r="L68" i="6"/>
  <c r="L210" i="7" s="1"/>
  <c r="L95" i="6"/>
  <c r="P143" i="4"/>
  <c r="P197" i="4"/>
  <c r="P7" i="3"/>
  <c r="P4" i="4"/>
  <c r="N96" i="5"/>
  <c r="S249" i="4"/>
  <c r="S168" i="4"/>
  <c r="S30" i="4"/>
  <c r="S250" i="4"/>
  <c r="S263" i="4"/>
  <c r="S261" i="4"/>
  <c r="S259" i="4"/>
  <c r="S255" i="4"/>
  <c r="S257" i="4"/>
  <c r="S256" i="4"/>
  <c r="S254" i="4"/>
  <c r="S252" i="4"/>
  <c r="S253" i="4"/>
  <c r="S251" i="4"/>
  <c r="S262" i="4"/>
  <c r="S260" i="4"/>
  <c r="K172" i="4"/>
  <c r="K33" i="4"/>
  <c r="O90" i="6"/>
  <c r="N114" i="6"/>
  <c r="N60" i="6"/>
  <c r="N202" i="7" s="1"/>
  <c r="R197" i="4"/>
  <c r="R143" i="4"/>
  <c r="R7" i="3"/>
  <c r="R4" i="4"/>
  <c r="M9" i="4"/>
  <c r="O8" i="4"/>
  <c r="O6" i="4" s="1"/>
  <c r="M10" i="4"/>
  <c r="E24" i="4"/>
  <c r="J10" i="4"/>
  <c r="J11" i="4"/>
  <c r="N8" i="4"/>
  <c r="N6" i="4" s="1"/>
  <c r="G23" i="4"/>
  <c r="M12" i="4"/>
  <c r="S8" i="4"/>
  <c r="S6" i="4" s="1"/>
  <c r="G25" i="4"/>
  <c r="T15" i="4"/>
  <c r="M4" i="5"/>
  <c r="M47" i="6" s="1"/>
  <c r="F22" i="4"/>
  <c r="E47" i="4"/>
  <c r="J33" i="4"/>
  <c r="G20" i="4" l="1"/>
  <c r="S4" i="4"/>
  <c r="S224" i="4" s="1"/>
  <c r="S143" i="4"/>
  <c r="S197" i="4"/>
  <c r="S7" i="3"/>
  <c r="O143" i="4"/>
  <c r="O197" i="4"/>
  <c r="O7" i="3"/>
  <c r="O4" i="4"/>
  <c r="E184" i="4"/>
  <c r="J170" i="4"/>
  <c r="J31" i="4"/>
  <c r="G211" i="4"/>
  <c r="G19" i="4"/>
  <c r="G241" i="4" s="1"/>
  <c r="G157" i="4"/>
  <c r="G19" i="3"/>
  <c r="N143" i="4"/>
  <c r="N197" i="4"/>
  <c r="N7" i="3"/>
  <c r="N4" i="4"/>
  <c r="N226" i="4" s="1"/>
  <c r="E215" i="4"/>
  <c r="C188" i="4"/>
  <c r="M123" i="5"/>
  <c r="M69" i="5"/>
  <c r="M124" i="7" s="1"/>
  <c r="U244" i="4"/>
  <c r="U156" i="4"/>
  <c r="U237" i="4"/>
  <c r="U245" i="4"/>
  <c r="U246" i="4"/>
  <c r="U241" i="4"/>
  <c r="U240" i="4"/>
  <c r="U239" i="4"/>
  <c r="U243" i="4"/>
  <c r="U242" i="4"/>
  <c r="I244" i="4"/>
  <c r="I237" i="4"/>
  <c r="I156" i="4"/>
  <c r="I245" i="4"/>
  <c r="I246" i="4"/>
  <c r="I239" i="4"/>
  <c r="I242" i="4"/>
  <c r="I240" i="4"/>
  <c r="I243" i="4"/>
  <c r="I241" i="4"/>
  <c r="L121" i="6"/>
  <c r="L67" i="6"/>
  <c r="L209" i="7" s="1"/>
  <c r="L94" i="6"/>
  <c r="P122" i="5"/>
  <c r="P68" i="5"/>
  <c r="P123" i="7" s="1"/>
  <c r="P95" i="5"/>
  <c r="R71" i="5"/>
  <c r="R126" i="7" s="1"/>
  <c r="R125" i="5"/>
  <c r="R98" i="5"/>
  <c r="K157" i="6"/>
  <c r="K130" i="6"/>
  <c r="K76" i="6"/>
  <c r="K103" i="6"/>
  <c r="L120" i="5"/>
  <c r="L66" i="5"/>
  <c r="L121" i="7" s="1"/>
  <c r="M203" i="4"/>
  <c r="M96" i="5"/>
  <c r="J201" i="4"/>
  <c r="M87" i="6"/>
  <c r="M200" i="4"/>
  <c r="M93" i="5"/>
  <c r="I128" i="6"/>
  <c r="I74" i="6"/>
  <c r="I216" i="7" s="1"/>
  <c r="I101" i="6"/>
  <c r="M114" i="6"/>
  <c r="M60" i="6"/>
  <c r="M202" i="7" s="1"/>
  <c r="I129" i="6"/>
  <c r="I75" i="6"/>
  <c r="I217" i="7" s="1"/>
  <c r="I102" i="6"/>
  <c r="S110" i="6"/>
  <c r="S66" i="3"/>
  <c r="S56" i="6"/>
  <c r="S198" i="7" s="1"/>
  <c r="S83" i="6"/>
  <c r="P141" i="4"/>
  <c r="P195" i="4"/>
  <c r="P222" i="4"/>
  <c r="P223" i="4"/>
  <c r="P232" i="4"/>
  <c r="P234" i="4"/>
  <c r="P233" i="4"/>
  <c r="P231" i="4"/>
  <c r="P235" i="4"/>
  <c r="P236" i="4"/>
  <c r="P230" i="4"/>
  <c r="P229" i="4"/>
  <c r="P227" i="4"/>
  <c r="P228" i="4"/>
  <c r="P225" i="4"/>
  <c r="P226" i="4"/>
  <c r="J119" i="3"/>
  <c r="J113" i="3"/>
  <c r="J116" i="3"/>
  <c r="J117" i="3"/>
  <c r="J118" i="3"/>
  <c r="J120" i="3"/>
  <c r="J114" i="3"/>
  <c r="J109" i="3"/>
  <c r="J115" i="3"/>
  <c r="J112" i="3"/>
  <c r="J111" i="3"/>
  <c r="N144" i="6"/>
  <c r="N117" i="6"/>
  <c r="N63" i="6"/>
  <c r="N90" i="6"/>
  <c r="G271" i="4"/>
  <c r="G264" i="4"/>
  <c r="G272" i="4"/>
  <c r="G273" i="4"/>
  <c r="G266" i="4"/>
  <c r="G269" i="4"/>
  <c r="G268" i="4"/>
  <c r="G267" i="4"/>
  <c r="G270" i="4"/>
  <c r="R132" i="5"/>
  <c r="R78" i="5"/>
  <c r="R133" i="7" s="1"/>
  <c r="R105" i="5"/>
  <c r="G214" i="4"/>
  <c r="R222" i="4"/>
  <c r="R141" i="4"/>
  <c r="R195" i="4"/>
  <c r="R232" i="4"/>
  <c r="R234" i="4"/>
  <c r="R236" i="4"/>
  <c r="R223" i="4"/>
  <c r="R235" i="4"/>
  <c r="R233" i="4"/>
  <c r="R230" i="4"/>
  <c r="R228" i="4"/>
  <c r="R229" i="4"/>
  <c r="R227" i="4"/>
  <c r="R231" i="4"/>
  <c r="R225" i="4"/>
  <c r="R226" i="4"/>
  <c r="P5" i="3"/>
  <c r="J82" i="5"/>
  <c r="J137" i="7" s="1"/>
  <c r="J136" i="5"/>
  <c r="J109" i="5"/>
  <c r="S204" i="4"/>
  <c r="S150" i="4"/>
  <c r="S231" i="4"/>
  <c r="S8" i="3"/>
  <c r="Q119" i="6"/>
  <c r="Q65" i="6"/>
  <c r="Q207" i="7" s="1"/>
  <c r="Q92" i="6"/>
  <c r="D186" i="4"/>
  <c r="P126" i="6"/>
  <c r="P72" i="6"/>
  <c r="P214" i="7" s="1"/>
  <c r="P99" i="6"/>
  <c r="N199" i="4"/>
  <c r="R5" i="3"/>
  <c r="P224" i="4"/>
  <c r="H135" i="5"/>
  <c r="H81" i="5"/>
  <c r="H136" i="7" s="1"/>
  <c r="H108" i="5"/>
  <c r="M116" i="6"/>
  <c r="M62" i="6"/>
  <c r="M204" i="7" s="1"/>
  <c r="M89" i="6"/>
  <c r="G265" i="4"/>
  <c r="R116" i="5"/>
  <c r="R62" i="5"/>
  <c r="R117" i="7" s="1"/>
  <c r="R36" i="3"/>
  <c r="R89" i="5"/>
  <c r="K127" i="5"/>
  <c r="K73" i="5"/>
  <c r="K128" i="7" s="1"/>
  <c r="K100" i="5"/>
  <c r="H256" i="4"/>
  <c r="H11" i="4"/>
  <c r="H175" i="4"/>
  <c r="H62" i="6"/>
  <c r="D187" i="4"/>
  <c r="F213" i="4"/>
  <c r="I171" i="4"/>
  <c r="M94" i="5"/>
  <c r="M88" i="6"/>
  <c r="M201" i="4"/>
  <c r="R224" i="4"/>
  <c r="H157" i="4"/>
  <c r="H19" i="4"/>
  <c r="H238" i="4" s="1"/>
  <c r="H211" i="4"/>
  <c r="H19" i="3"/>
  <c r="L122" i="5"/>
  <c r="L68" i="5"/>
  <c r="L123" i="7" s="1"/>
  <c r="L95" i="5"/>
  <c r="J172" i="4"/>
  <c r="J253" i="4"/>
  <c r="E189" i="4"/>
  <c r="H174" i="4"/>
  <c r="T206" i="4"/>
  <c r="T13" i="4"/>
  <c r="G216" i="4"/>
  <c r="G243" i="4"/>
  <c r="J202" i="4"/>
  <c r="K170" i="4"/>
  <c r="K31" i="4"/>
  <c r="S78" i="5"/>
  <c r="S133" i="7" s="1"/>
  <c r="S132" i="5"/>
  <c r="S105" i="5"/>
  <c r="S62" i="5"/>
  <c r="S117" i="7" s="1"/>
  <c r="S116" i="5"/>
  <c r="S36" i="3"/>
  <c r="S89" i="5"/>
  <c r="K121" i="5"/>
  <c r="K67" i="5"/>
  <c r="K122" i="7" s="1"/>
  <c r="K94" i="5"/>
  <c r="S125" i="5"/>
  <c r="S71" i="5"/>
  <c r="S126" i="7" s="1"/>
  <c r="S98" i="5"/>
  <c r="U18" i="3"/>
  <c r="S114" i="6"/>
  <c r="S60" i="6"/>
  <c r="S202" i="7" s="1"/>
  <c r="S87" i="6"/>
  <c r="H134" i="5"/>
  <c r="H80" i="5"/>
  <c r="H135" i="7" s="1"/>
  <c r="I18" i="3"/>
  <c r="I229" i="4"/>
  <c r="I89" i="6"/>
  <c r="I95" i="5"/>
  <c r="I202" i="4"/>
  <c r="T251" i="4"/>
  <c r="T249" i="4"/>
  <c r="T30" i="4"/>
  <c r="T168" i="4"/>
  <c r="T250" i="4"/>
  <c r="T263" i="4"/>
  <c r="T261" i="4"/>
  <c r="T259" i="4"/>
  <c r="T255" i="4"/>
  <c r="T257" i="4"/>
  <c r="T256" i="4"/>
  <c r="T254" i="4"/>
  <c r="T252" i="4"/>
  <c r="T262" i="4"/>
  <c r="T260" i="4"/>
  <c r="T253" i="4"/>
  <c r="H107" i="5"/>
  <c r="D188" i="4"/>
  <c r="H173" i="4"/>
  <c r="S199" i="4"/>
  <c r="S226" i="4"/>
  <c r="O199" i="4"/>
  <c r="O226" i="4"/>
  <c r="U238" i="4"/>
  <c r="K120" i="3"/>
  <c r="K115" i="3"/>
  <c r="K114" i="3"/>
  <c r="K119" i="3"/>
  <c r="K116" i="3"/>
  <c r="K113" i="3"/>
  <c r="K117" i="3"/>
  <c r="K109" i="3"/>
  <c r="K118" i="3"/>
  <c r="K112" i="3"/>
  <c r="K111" i="3"/>
  <c r="I238" i="4"/>
  <c r="R81" i="5"/>
  <c r="R136" i="7" s="1"/>
  <c r="R135" i="5"/>
  <c r="R108" i="5"/>
  <c r="P218" i="3"/>
  <c r="R114" i="6"/>
  <c r="R60" i="6"/>
  <c r="R202" i="7" s="1"/>
  <c r="R87" i="6"/>
  <c r="F25" i="4"/>
  <c r="L9" i="4"/>
  <c r="T10" i="4"/>
  <c r="L12" i="4"/>
  <c r="T12" i="4"/>
  <c r="T9" i="4"/>
  <c r="L10" i="4"/>
  <c r="I10" i="4"/>
  <c r="T11" i="4"/>
  <c r="F23" i="4"/>
  <c r="D24" i="4"/>
  <c r="E22" i="4"/>
  <c r="M7" i="4"/>
  <c r="F20" i="4" l="1"/>
  <c r="F157" i="4" s="1"/>
  <c r="F211" i="4"/>
  <c r="F19" i="3"/>
  <c r="D215" i="4"/>
  <c r="I172" i="4"/>
  <c r="T202" i="4"/>
  <c r="S188" i="3"/>
  <c r="H129" i="6"/>
  <c r="H75" i="6"/>
  <c r="H217" i="7" s="1"/>
  <c r="H102" i="6"/>
  <c r="I136" i="5"/>
  <c r="I82" i="5"/>
  <c r="I137" i="7" s="1"/>
  <c r="I109" i="5"/>
  <c r="Q122" i="5"/>
  <c r="Q68" i="5"/>
  <c r="Q123" i="7" s="1"/>
  <c r="Q95" i="5"/>
  <c r="K115" i="6"/>
  <c r="K61" i="6"/>
  <c r="K203" i="7" s="1"/>
  <c r="K88" i="6"/>
  <c r="S5" i="3"/>
  <c r="P119" i="6"/>
  <c r="P65" i="6"/>
  <c r="P207" i="7" s="1"/>
  <c r="P92" i="6"/>
  <c r="R110" i="6"/>
  <c r="R66" i="3"/>
  <c r="R56" i="6"/>
  <c r="R198" i="7" s="1"/>
  <c r="R83" i="6"/>
  <c r="G174" i="4"/>
  <c r="T96" i="5"/>
  <c r="T203" i="4"/>
  <c r="T90" i="6"/>
  <c r="L69" i="5"/>
  <c r="L124" i="7" s="1"/>
  <c r="L123" i="5"/>
  <c r="R67" i="5"/>
  <c r="R122" i="7" s="1"/>
  <c r="R121" i="5"/>
  <c r="R94" i="5"/>
  <c r="J262" i="4"/>
  <c r="J168" i="4"/>
  <c r="J249" i="4"/>
  <c r="J30" i="4"/>
  <c r="J250" i="4"/>
  <c r="J259" i="4"/>
  <c r="J257" i="4"/>
  <c r="J261" i="4"/>
  <c r="J260" i="4"/>
  <c r="J263" i="4"/>
  <c r="J258" i="4"/>
  <c r="J255" i="4"/>
  <c r="J254" i="4"/>
  <c r="J256" i="4"/>
  <c r="J252" i="4"/>
  <c r="O232" i="4"/>
  <c r="O141" i="4"/>
  <c r="O195" i="4"/>
  <c r="O222" i="4"/>
  <c r="O223" i="4"/>
  <c r="O234" i="4"/>
  <c r="O233" i="4"/>
  <c r="O236" i="4"/>
  <c r="O235" i="4"/>
  <c r="O231" i="4"/>
  <c r="O229" i="4"/>
  <c r="O230" i="4"/>
  <c r="O228" i="4"/>
  <c r="O227" i="4"/>
  <c r="O225" i="4"/>
  <c r="D189" i="4"/>
  <c r="I201" i="4"/>
  <c r="L200" i="4"/>
  <c r="L93" i="5"/>
  <c r="L87" i="6"/>
  <c r="K251" i="4"/>
  <c r="K249" i="4"/>
  <c r="K30" i="4"/>
  <c r="K168" i="4"/>
  <c r="K250" i="4"/>
  <c r="K259" i="4"/>
  <c r="K257" i="4"/>
  <c r="K261" i="4"/>
  <c r="K262" i="4"/>
  <c r="K263" i="4"/>
  <c r="K260" i="4"/>
  <c r="K258" i="4"/>
  <c r="K256" i="4"/>
  <c r="K255" i="4"/>
  <c r="K254" i="4"/>
  <c r="K252" i="4"/>
  <c r="K253" i="4"/>
  <c r="H18" i="3"/>
  <c r="V129" i="5"/>
  <c r="V75" i="5"/>
  <c r="V130" i="7" s="1"/>
  <c r="J73" i="5"/>
  <c r="J128" i="7" s="1"/>
  <c r="J127" i="5"/>
  <c r="J100" i="5"/>
  <c r="M117" i="6"/>
  <c r="M144" i="6"/>
  <c r="M63" i="6"/>
  <c r="S218" i="3"/>
  <c r="G18" i="3"/>
  <c r="O5" i="3"/>
  <c r="C186" i="4"/>
  <c r="E213" i="4"/>
  <c r="L201" i="4"/>
  <c r="L94" i="5"/>
  <c r="L88" i="6"/>
  <c r="I17" i="3"/>
  <c r="I110" i="3" s="1"/>
  <c r="G80" i="5"/>
  <c r="G135" i="7" s="1"/>
  <c r="G134" i="5"/>
  <c r="K68" i="5"/>
  <c r="K123" i="7" s="1"/>
  <c r="K122" i="5"/>
  <c r="K95" i="5"/>
  <c r="K74" i="5"/>
  <c r="K129" i="7" s="1"/>
  <c r="K128" i="5"/>
  <c r="K101" i="5"/>
  <c r="J130" i="6"/>
  <c r="J157" i="6"/>
  <c r="J76" i="6"/>
  <c r="J103" i="6"/>
  <c r="N141" i="4"/>
  <c r="N195" i="4"/>
  <c r="N222" i="4"/>
  <c r="N223" i="4"/>
  <c r="N232" i="4"/>
  <c r="N234" i="4"/>
  <c r="N235" i="4"/>
  <c r="N233" i="4"/>
  <c r="N236" i="4"/>
  <c r="N231" i="4"/>
  <c r="N229" i="4"/>
  <c r="N227" i="4"/>
  <c r="N230" i="4"/>
  <c r="N228" i="4"/>
  <c r="N225" i="4"/>
  <c r="J251" i="4"/>
  <c r="O224" i="4"/>
  <c r="B186" i="4"/>
  <c r="G173" i="4"/>
  <c r="T200" i="4"/>
  <c r="G107" i="5"/>
  <c r="O116" i="5"/>
  <c r="O62" i="5"/>
  <c r="O117" i="7" s="1"/>
  <c r="O36" i="3"/>
  <c r="O89" i="5"/>
  <c r="N5" i="3"/>
  <c r="G240" i="4"/>
  <c r="G156" i="4"/>
  <c r="G237" i="4"/>
  <c r="G245" i="4"/>
  <c r="G246" i="4"/>
  <c r="G244" i="4"/>
  <c r="G239" i="4"/>
  <c r="G242" i="4"/>
  <c r="M198" i="4"/>
  <c r="G11" i="4"/>
  <c r="G175" i="4"/>
  <c r="G256" i="4"/>
  <c r="G62" i="6"/>
  <c r="L4" i="5"/>
  <c r="L47" i="6" s="1"/>
  <c r="L203" i="4"/>
  <c r="L96" i="5"/>
  <c r="R129" i="6"/>
  <c r="R75" i="6"/>
  <c r="R217" i="7" s="1"/>
  <c r="R102" i="6"/>
  <c r="U17" i="3"/>
  <c r="U110" i="3" s="1"/>
  <c r="T150" i="4"/>
  <c r="T204" i="4"/>
  <c r="T8" i="3"/>
  <c r="H242" i="4"/>
  <c r="H237" i="4"/>
  <c r="H156" i="4"/>
  <c r="H245" i="4"/>
  <c r="H246" i="4"/>
  <c r="H244" i="4"/>
  <c r="H239" i="4"/>
  <c r="H240" i="4"/>
  <c r="H241" i="4"/>
  <c r="H243" i="4"/>
  <c r="H89" i="6"/>
  <c r="H95" i="5"/>
  <c r="H229" i="4"/>
  <c r="H202" i="4"/>
  <c r="R188" i="3"/>
  <c r="K120" i="5"/>
  <c r="K66" i="5"/>
  <c r="K121" i="7" s="1"/>
  <c r="P4" i="3"/>
  <c r="P97" i="3" s="1"/>
  <c r="P116" i="6"/>
  <c r="P62" i="6"/>
  <c r="P204" i="7" s="1"/>
  <c r="P89" i="6"/>
  <c r="L114" i="6"/>
  <c r="L60" i="6"/>
  <c r="L202" i="7" s="1"/>
  <c r="C187" i="4"/>
  <c r="H171" i="4"/>
  <c r="F216" i="4"/>
  <c r="L116" i="6"/>
  <c r="L62" i="6"/>
  <c r="L204" i="7" s="1"/>
  <c r="L89" i="6"/>
  <c r="K121" i="6"/>
  <c r="K67" i="6"/>
  <c r="K209" i="7" s="1"/>
  <c r="K94" i="6"/>
  <c r="I33" i="4"/>
  <c r="R4" i="3"/>
  <c r="R97" i="3" s="1"/>
  <c r="D47" i="4"/>
  <c r="O132" i="5"/>
  <c r="O78" i="5"/>
  <c r="O133" i="7" s="1"/>
  <c r="O105" i="5"/>
  <c r="O125" i="5"/>
  <c r="O71" i="5"/>
  <c r="O126" i="7" s="1"/>
  <c r="O98" i="5"/>
  <c r="N224" i="4"/>
  <c r="G238" i="4"/>
  <c r="S141" i="4"/>
  <c r="S195" i="4"/>
  <c r="S222" i="4"/>
  <c r="S223" i="4"/>
  <c r="S234" i="4"/>
  <c r="S232" i="4"/>
  <c r="S236" i="4"/>
  <c r="S235" i="4"/>
  <c r="S229" i="4"/>
  <c r="S230" i="4"/>
  <c r="S227" i="4"/>
  <c r="S228" i="4"/>
  <c r="S225" i="4"/>
  <c r="S233" i="4"/>
  <c r="F214" i="4"/>
  <c r="F107" i="5"/>
  <c r="T201" i="4"/>
  <c r="H128" i="6"/>
  <c r="H74" i="6"/>
  <c r="H216" i="7" s="1"/>
  <c r="H101" i="6"/>
  <c r="M90" i="6"/>
  <c r="T7" i="4"/>
  <c r="C24" i="4"/>
  <c r="L7" i="4"/>
  <c r="E25" i="4"/>
  <c r="K9" i="4"/>
  <c r="K12" i="4"/>
  <c r="E23" i="4"/>
  <c r="H10" i="4"/>
  <c r="M8" i="4"/>
  <c r="M6" i="4" s="1"/>
  <c r="K4" i="5"/>
  <c r="K47" i="6" s="1"/>
  <c r="D22" i="4"/>
  <c r="M4" i="4" l="1"/>
  <c r="M143" i="4"/>
  <c r="M197" i="4"/>
  <c r="M224" i="4"/>
  <c r="M7" i="3"/>
  <c r="B188" i="4"/>
  <c r="L198" i="4"/>
  <c r="G128" i="6"/>
  <c r="G74" i="6"/>
  <c r="G216" i="7" s="1"/>
  <c r="G101" i="6"/>
  <c r="T80" i="5"/>
  <c r="T135" i="7" s="1"/>
  <c r="T134" i="5"/>
  <c r="T107" i="5"/>
  <c r="J121" i="6"/>
  <c r="J67" i="6"/>
  <c r="J209" i="7" s="1"/>
  <c r="J94" i="6"/>
  <c r="O4" i="3"/>
  <c r="O97" i="3" s="1"/>
  <c r="M62" i="5"/>
  <c r="M117" i="7" s="1"/>
  <c r="M116" i="5"/>
  <c r="M36" i="3"/>
  <c r="M89" i="5"/>
  <c r="S4" i="3"/>
  <c r="S97" i="3" s="1"/>
  <c r="F174" i="4"/>
  <c r="H201" i="4"/>
  <c r="K96" i="5"/>
  <c r="K203" i="4"/>
  <c r="N125" i="5"/>
  <c r="N71" i="5"/>
  <c r="N126" i="7" s="1"/>
  <c r="N98" i="5"/>
  <c r="M78" i="5"/>
  <c r="M133" i="7" s="1"/>
  <c r="M132" i="5"/>
  <c r="M105" i="5"/>
  <c r="K123" i="5"/>
  <c r="K69" i="5"/>
  <c r="K124" i="7" s="1"/>
  <c r="F134" i="5"/>
  <c r="F80" i="5"/>
  <c r="F135" i="7" s="1"/>
  <c r="C189" i="4"/>
  <c r="F173" i="4"/>
  <c r="K93" i="5"/>
  <c r="K200" i="4"/>
  <c r="K87" i="6"/>
  <c r="O188" i="3"/>
  <c r="Q116" i="6"/>
  <c r="Q62" i="6"/>
  <c r="Q204" i="7" s="1"/>
  <c r="Q89" i="6"/>
  <c r="K122" i="6"/>
  <c r="K68" i="6"/>
  <c r="K210" i="7" s="1"/>
  <c r="K95" i="6"/>
  <c r="E216" i="4"/>
  <c r="D184" i="4"/>
  <c r="T127" i="5"/>
  <c r="T73" i="5"/>
  <c r="T128" i="7" s="1"/>
  <c r="T100" i="5"/>
  <c r="I66" i="5"/>
  <c r="I121" i="7" s="1"/>
  <c r="I120" i="5"/>
  <c r="C47" i="4"/>
  <c r="D213" i="4"/>
  <c r="S126" i="6"/>
  <c r="S72" i="6"/>
  <c r="S214" i="7" s="1"/>
  <c r="S99" i="6"/>
  <c r="R126" i="6"/>
  <c r="R72" i="6"/>
  <c r="R214" i="7" s="1"/>
  <c r="R99" i="6"/>
  <c r="H136" i="5"/>
  <c r="H82" i="5"/>
  <c r="H137" i="7" s="1"/>
  <c r="H109" i="5"/>
  <c r="G202" i="4"/>
  <c r="G89" i="6"/>
  <c r="G95" i="5"/>
  <c r="G229" i="4"/>
  <c r="M125" i="5"/>
  <c r="M71" i="5"/>
  <c r="M126" i="7" s="1"/>
  <c r="M98" i="5"/>
  <c r="N62" i="5"/>
  <c r="N117" i="7" s="1"/>
  <c r="N116" i="5"/>
  <c r="N36" i="3"/>
  <c r="N89" i="5"/>
  <c r="I130" i="6"/>
  <c r="I157" i="6"/>
  <c r="I76" i="6"/>
  <c r="I103" i="6"/>
  <c r="L117" i="6"/>
  <c r="L144" i="6"/>
  <c r="L63" i="6"/>
  <c r="I73" i="5"/>
  <c r="I128" i="7" s="1"/>
  <c r="I127" i="5"/>
  <c r="I100" i="5"/>
  <c r="H17" i="3"/>
  <c r="H110" i="3" s="1"/>
  <c r="N132" i="5"/>
  <c r="N78" i="5"/>
  <c r="N133" i="7" s="1"/>
  <c r="N105" i="5"/>
  <c r="B187" i="4"/>
  <c r="F11" i="4"/>
  <c r="F175" i="4"/>
  <c r="F256" i="4"/>
  <c r="F62" i="6"/>
  <c r="M199" i="4"/>
  <c r="M226" i="4"/>
  <c r="E107" i="5"/>
  <c r="E214" i="4"/>
  <c r="C215" i="4"/>
  <c r="K116" i="6"/>
  <c r="K62" i="6"/>
  <c r="K204" i="7" s="1"/>
  <c r="K89" i="6"/>
  <c r="R103" i="3"/>
  <c r="R101" i="3"/>
  <c r="R96" i="3"/>
  <c r="R104" i="3"/>
  <c r="R106" i="3"/>
  <c r="R107" i="3"/>
  <c r="R105" i="3"/>
  <c r="R102" i="3"/>
  <c r="R108" i="3"/>
  <c r="R98" i="3"/>
  <c r="R100" i="3"/>
  <c r="R99" i="3"/>
  <c r="K114" i="6"/>
  <c r="K60" i="6"/>
  <c r="K202" i="7" s="1"/>
  <c r="G135" i="5"/>
  <c r="G81" i="5"/>
  <c r="G136" i="7" s="1"/>
  <c r="G108" i="5"/>
  <c r="G17" i="3"/>
  <c r="G110" i="3" s="1"/>
  <c r="O110" i="6"/>
  <c r="O66" i="3"/>
  <c r="O56" i="6"/>
  <c r="O198" i="7" s="1"/>
  <c r="O83" i="6"/>
  <c r="V180" i="4"/>
  <c r="P105" i="3"/>
  <c r="P104" i="3"/>
  <c r="P101" i="3"/>
  <c r="P106" i="3"/>
  <c r="P96" i="3"/>
  <c r="P107" i="3"/>
  <c r="P103" i="3"/>
  <c r="P102" i="3"/>
  <c r="P108" i="3"/>
  <c r="P98" i="3"/>
  <c r="P100" i="3"/>
  <c r="P99" i="3"/>
  <c r="U109" i="3"/>
  <c r="U117" i="3"/>
  <c r="U120" i="3"/>
  <c r="U115" i="3"/>
  <c r="U119" i="3"/>
  <c r="U114" i="3"/>
  <c r="U118" i="3"/>
  <c r="U113" i="3"/>
  <c r="U116" i="3"/>
  <c r="U112" i="3"/>
  <c r="U111" i="3"/>
  <c r="L90" i="6"/>
  <c r="N4" i="3"/>
  <c r="N97" i="3" s="1"/>
  <c r="B47" i="4"/>
  <c r="I114" i="3"/>
  <c r="I119" i="3"/>
  <c r="I115" i="3"/>
  <c r="I109" i="3"/>
  <c r="I118" i="3"/>
  <c r="I116" i="3"/>
  <c r="I113" i="3"/>
  <c r="I120" i="3"/>
  <c r="I117" i="3"/>
  <c r="I112" i="3"/>
  <c r="I111" i="3"/>
  <c r="E20" i="4"/>
  <c r="B189" i="4"/>
  <c r="R119" i="6"/>
  <c r="R65" i="6"/>
  <c r="R207" i="7" s="1"/>
  <c r="R92" i="6"/>
  <c r="G171" i="4"/>
  <c r="T198" i="4"/>
  <c r="R115" i="6"/>
  <c r="R61" i="6"/>
  <c r="R203" i="7" s="1"/>
  <c r="R88" i="6"/>
  <c r="I170" i="4"/>
  <c r="I31" i="4"/>
  <c r="I251" i="4" s="1"/>
  <c r="V123" i="6"/>
  <c r="V150" i="6"/>
  <c r="V69" i="6"/>
  <c r="J120" i="5"/>
  <c r="J66" i="5"/>
  <c r="J121" i="7" s="1"/>
  <c r="J121" i="5"/>
  <c r="J67" i="5"/>
  <c r="J122" i="7" s="1"/>
  <c r="J94" i="5"/>
  <c r="R218" i="3"/>
  <c r="D23" i="4"/>
  <c r="D25" i="4"/>
  <c r="G10" i="4"/>
  <c r="K7" i="4"/>
  <c r="I4" i="5"/>
  <c r="I47" i="6" s="1"/>
  <c r="B22" i="4"/>
  <c r="L8" i="4"/>
  <c r="T8" i="4"/>
  <c r="C22" i="4"/>
  <c r="N110" i="6" l="1"/>
  <c r="N66" i="3"/>
  <c r="N56" i="6"/>
  <c r="N198" i="7" s="1"/>
  <c r="N83" i="6"/>
  <c r="O119" i="6"/>
  <c r="O65" i="6"/>
  <c r="O207" i="7" s="1"/>
  <c r="O92" i="6"/>
  <c r="E174" i="4"/>
  <c r="U174" i="4"/>
  <c r="T199" i="4"/>
  <c r="L199" i="4"/>
  <c r="R68" i="5"/>
  <c r="R123" i="7" s="1"/>
  <c r="R122" i="5"/>
  <c r="R95" i="5"/>
  <c r="F202" i="4"/>
  <c r="F89" i="6"/>
  <c r="F229" i="4"/>
  <c r="F95" i="5"/>
  <c r="S128" i="5"/>
  <c r="S74" i="5"/>
  <c r="S129" i="7" s="1"/>
  <c r="S101" i="5"/>
  <c r="S135" i="5"/>
  <c r="S81" i="5"/>
  <c r="S136" i="7" s="1"/>
  <c r="S108" i="5"/>
  <c r="P64" i="5"/>
  <c r="P119" i="7" s="1"/>
  <c r="P118" i="5"/>
  <c r="P91" i="5"/>
  <c r="G129" i="6"/>
  <c r="G75" i="6"/>
  <c r="G217" i="7" s="1"/>
  <c r="G102" i="6"/>
  <c r="S119" i="6"/>
  <c r="S65" i="6"/>
  <c r="S207" i="7" s="1"/>
  <c r="S92" i="6"/>
  <c r="U173" i="4"/>
  <c r="E11" i="4"/>
  <c r="E175" i="4"/>
  <c r="E62" i="6"/>
  <c r="E256" i="4"/>
  <c r="D214" i="4"/>
  <c r="B184" i="4"/>
  <c r="G109" i="3"/>
  <c r="G117" i="3"/>
  <c r="G118" i="3"/>
  <c r="G115" i="3"/>
  <c r="G114" i="3"/>
  <c r="G113" i="3"/>
  <c r="G116" i="3"/>
  <c r="G119" i="3"/>
  <c r="G120" i="3"/>
  <c r="G112" i="3"/>
  <c r="G111" i="3"/>
  <c r="H172" i="4"/>
  <c r="H33" i="4"/>
  <c r="N188" i="3"/>
  <c r="J122" i="5"/>
  <c r="J68" i="5"/>
  <c r="J123" i="7" s="1"/>
  <c r="J95" i="5"/>
  <c r="M5" i="3"/>
  <c r="E173" i="4"/>
  <c r="F171" i="4"/>
  <c r="J128" i="5"/>
  <c r="J74" i="5"/>
  <c r="J129" i="7" s="1"/>
  <c r="J101" i="5"/>
  <c r="D20" i="4"/>
  <c r="O105" i="3"/>
  <c r="O108" i="3"/>
  <c r="O107" i="3"/>
  <c r="O104" i="3"/>
  <c r="O106" i="3"/>
  <c r="O96" i="3"/>
  <c r="O101" i="3"/>
  <c r="O103" i="3"/>
  <c r="O102" i="3"/>
  <c r="O98" i="3"/>
  <c r="O100" i="3"/>
  <c r="O99" i="3"/>
  <c r="C213" i="4"/>
  <c r="P112" i="6"/>
  <c r="P58" i="6"/>
  <c r="P200" i="7" s="1"/>
  <c r="P85" i="6"/>
  <c r="G172" i="4"/>
  <c r="I168" i="4"/>
  <c r="I30" i="4"/>
  <c r="I249" i="4"/>
  <c r="I250" i="4"/>
  <c r="I259" i="4"/>
  <c r="I257" i="4"/>
  <c r="I261" i="4"/>
  <c r="I262" i="4"/>
  <c r="I260" i="4"/>
  <c r="I263" i="4"/>
  <c r="I258" i="4"/>
  <c r="I255" i="4"/>
  <c r="I254" i="4"/>
  <c r="I252" i="4"/>
  <c r="I253" i="4"/>
  <c r="K117" i="6"/>
  <c r="K144" i="6"/>
  <c r="K63" i="6"/>
  <c r="H118" i="3"/>
  <c r="H114" i="3"/>
  <c r="H115" i="3"/>
  <c r="H120" i="3"/>
  <c r="H109" i="3"/>
  <c r="H119" i="3"/>
  <c r="H117" i="3"/>
  <c r="H116" i="3"/>
  <c r="H113" i="3"/>
  <c r="H112" i="3"/>
  <c r="H111" i="3"/>
  <c r="J115" i="6"/>
  <c r="J61" i="6"/>
  <c r="J203" i="7" s="1"/>
  <c r="J88" i="6"/>
  <c r="T121" i="6"/>
  <c r="T67" i="6"/>
  <c r="T209" i="7" s="1"/>
  <c r="T94" i="6"/>
  <c r="T128" i="6"/>
  <c r="T74" i="6"/>
  <c r="T216" i="7" s="1"/>
  <c r="T101" i="6"/>
  <c r="O126" i="6"/>
  <c r="O72" i="6"/>
  <c r="O214" i="7" s="1"/>
  <c r="O99" i="6"/>
  <c r="M110" i="6"/>
  <c r="M66" i="3"/>
  <c r="M56" i="6"/>
  <c r="M198" i="7" s="1"/>
  <c r="M83" i="6"/>
  <c r="B213" i="4"/>
  <c r="E211" i="4"/>
  <c r="E157" i="4"/>
  <c r="E19" i="3"/>
  <c r="T120" i="5"/>
  <c r="T66" i="5"/>
  <c r="T121" i="7" s="1"/>
  <c r="T93" i="5"/>
  <c r="I67" i="5"/>
  <c r="I122" i="7" s="1"/>
  <c r="I121" i="5"/>
  <c r="I94" i="5"/>
  <c r="C184" i="4"/>
  <c r="R128" i="5"/>
  <c r="R74" i="5"/>
  <c r="R129" i="7" s="1"/>
  <c r="R101" i="5"/>
  <c r="I121" i="6"/>
  <c r="I67" i="6"/>
  <c r="I209" i="7" s="1"/>
  <c r="I94" i="6"/>
  <c r="Q112" i="6"/>
  <c r="Q58" i="6"/>
  <c r="Q200" i="7" s="1"/>
  <c r="Q85" i="6"/>
  <c r="U175" i="4"/>
  <c r="G33" i="4"/>
  <c r="N105" i="3"/>
  <c r="N103" i="3"/>
  <c r="N108" i="3"/>
  <c r="N104" i="3"/>
  <c r="N106" i="3"/>
  <c r="N96" i="3"/>
  <c r="N107" i="3"/>
  <c r="N102" i="3"/>
  <c r="N101" i="3"/>
  <c r="N98" i="3"/>
  <c r="N100" i="3"/>
  <c r="N99" i="3"/>
  <c r="J114" i="6"/>
  <c r="J60" i="6"/>
  <c r="J202" i="7" s="1"/>
  <c r="K90" i="6"/>
  <c r="F81" i="5"/>
  <c r="F136" i="7" s="1"/>
  <c r="F135" i="5"/>
  <c r="F108" i="5"/>
  <c r="D216" i="4"/>
  <c r="T6" i="4"/>
  <c r="G82" i="5"/>
  <c r="G137" i="7" s="1"/>
  <c r="G136" i="5"/>
  <c r="G109" i="5"/>
  <c r="M188" i="3"/>
  <c r="L6" i="4"/>
  <c r="H157" i="6"/>
  <c r="H130" i="6"/>
  <c r="H76" i="6"/>
  <c r="H103" i="6"/>
  <c r="K198" i="4"/>
  <c r="G201" i="4"/>
  <c r="Q64" i="5"/>
  <c r="Q119" i="7" s="1"/>
  <c r="Q118" i="5"/>
  <c r="Q91" i="5"/>
  <c r="O218" i="3"/>
  <c r="F128" i="6"/>
  <c r="F74" i="6"/>
  <c r="F216" i="7" s="1"/>
  <c r="F101" i="6"/>
  <c r="E80" i="5"/>
  <c r="E135" i="7" s="1"/>
  <c r="E134" i="5"/>
  <c r="S103" i="3"/>
  <c r="S105" i="3"/>
  <c r="S101" i="3"/>
  <c r="S108" i="3"/>
  <c r="S107" i="3"/>
  <c r="S96" i="3"/>
  <c r="S102" i="3"/>
  <c r="S106" i="3"/>
  <c r="S104" i="3"/>
  <c r="S98" i="3"/>
  <c r="S100" i="3"/>
  <c r="S99" i="3"/>
  <c r="M231" i="4"/>
  <c r="M195" i="4"/>
  <c r="M222" i="4"/>
  <c r="M141" i="4"/>
  <c r="M223" i="4"/>
  <c r="M235" i="4"/>
  <c r="M234" i="4"/>
  <c r="M232" i="4"/>
  <c r="M236" i="4"/>
  <c r="M233" i="4"/>
  <c r="M229" i="4"/>
  <c r="M228" i="4"/>
  <c r="M230" i="4"/>
  <c r="M227" i="4"/>
  <c r="M225" i="4"/>
  <c r="J12" i="4"/>
  <c r="C23" i="4"/>
  <c r="B23" i="4"/>
  <c r="J9" i="4"/>
  <c r="B25" i="4"/>
  <c r="B24" i="4"/>
  <c r="F10" i="4"/>
  <c r="H9" i="4"/>
  <c r="C25" i="4"/>
  <c r="I9" i="4"/>
  <c r="J4" i="5"/>
  <c r="J47" i="6" s="1"/>
  <c r="F33" i="4"/>
  <c r="K8" i="4"/>
  <c r="H4" i="5"/>
  <c r="H47" i="6" s="1"/>
  <c r="B20" i="4" l="1"/>
  <c r="F170" i="4"/>
  <c r="F31" i="4"/>
  <c r="B211" i="4"/>
  <c r="B157" i="4"/>
  <c r="B19" i="3"/>
  <c r="K199" i="4"/>
  <c r="V174" i="4"/>
  <c r="L110" i="6"/>
  <c r="L66" i="3"/>
  <c r="L56" i="6"/>
  <c r="L198" i="7" s="1"/>
  <c r="L83" i="6"/>
  <c r="I200" i="4"/>
  <c r="I93" i="5"/>
  <c r="I87" i="6"/>
  <c r="B216" i="4"/>
  <c r="K6" i="4"/>
  <c r="G130" i="6"/>
  <c r="G157" i="6"/>
  <c r="G76" i="6"/>
  <c r="G103" i="6"/>
  <c r="T143" i="4"/>
  <c r="T197" i="4"/>
  <c r="T7" i="3"/>
  <c r="T4" i="4"/>
  <c r="J116" i="6"/>
  <c r="J62" i="6"/>
  <c r="J204" i="7" s="1"/>
  <c r="J89" i="6"/>
  <c r="R116" i="6"/>
  <c r="R62" i="6"/>
  <c r="R204" i="7" s="1"/>
  <c r="R89" i="6"/>
  <c r="H170" i="4"/>
  <c r="H31" i="4"/>
  <c r="H251" i="4" s="1"/>
  <c r="L78" i="5"/>
  <c r="L133" i="7" s="1"/>
  <c r="L132" i="5"/>
  <c r="L105" i="5"/>
  <c r="U171" i="4"/>
  <c r="M119" i="6"/>
  <c r="M65" i="6"/>
  <c r="M207" i="7" s="1"/>
  <c r="M92" i="6"/>
  <c r="J90" i="6"/>
  <c r="C216" i="4"/>
  <c r="J93" i="5"/>
  <c r="J200" i="4"/>
  <c r="J87" i="6"/>
  <c r="I115" i="6"/>
  <c r="I61" i="6"/>
  <c r="I203" i="7" s="1"/>
  <c r="I88" i="6"/>
  <c r="L116" i="5"/>
  <c r="L62" i="5"/>
  <c r="L117" i="7" s="1"/>
  <c r="L36" i="3"/>
  <c r="L89" i="5"/>
  <c r="M126" i="6"/>
  <c r="M72" i="6"/>
  <c r="M214" i="7" s="1"/>
  <c r="M99" i="6"/>
  <c r="D11" i="4"/>
  <c r="D175" i="4"/>
  <c r="D62" i="6"/>
  <c r="D256" i="4"/>
  <c r="H200" i="4"/>
  <c r="E128" i="6"/>
  <c r="E74" i="6"/>
  <c r="E216" i="7" s="1"/>
  <c r="E101" i="6"/>
  <c r="D80" i="5"/>
  <c r="D135" i="7" s="1"/>
  <c r="D134" i="5"/>
  <c r="S122" i="6"/>
  <c r="S68" i="6"/>
  <c r="S210" i="7" s="1"/>
  <c r="S95" i="6"/>
  <c r="D173" i="4"/>
  <c r="C214" i="4"/>
  <c r="L125" i="5"/>
  <c r="L71" i="5"/>
  <c r="L126" i="7" s="1"/>
  <c r="L98" i="5"/>
  <c r="T125" i="5"/>
  <c r="T71" i="5"/>
  <c r="T126" i="7" s="1"/>
  <c r="T98" i="5"/>
  <c r="E81" i="5"/>
  <c r="E136" i="7" s="1"/>
  <c r="E135" i="5"/>
  <c r="E108" i="5"/>
  <c r="R122" i="6"/>
  <c r="R68" i="6"/>
  <c r="R210" i="7" s="1"/>
  <c r="R95" i="6"/>
  <c r="F129" i="6"/>
  <c r="F75" i="6"/>
  <c r="F217" i="7" s="1"/>
  <c r="F102" i="6"/>
  <c r="D174" i="4"/>
  <c r="N126" i="6"/>
  <c r="N72" i="6"/>
  <c r="N214" i="7" s="1"/>
  <c r="N99" i="6"/>
  <c r="F201" i="4"/>
  <c r="I114" i="6"/>
  <c r="I60" i="6"/>
  <c r="I202" i="7" s="1"/>
  <c r="T116" i="5"/>
  <c r="T62" i="5"/>
  <c r="T117" i="7" s="1"/>
  <c r="T36" i="3"/>
  <c r="T89" i="5"/>
  <c r="H67" i="5"/>
  <c r="H122" i="7" s="1"/>
  <c r="H121" i="5"/>
  <c r="H94" i="5"/>
  <c r="M4" i="3"/>
  <c r="M97" i="3" s="1"/>
  <c r="U176" i="4"/>
  <c r="B215" i="4"/>
  <c r="B214" i="4"/>
  <c r="F82" i="5"/>
  <c r="F137" i="7" s="1"/>
  <c r="F136" i="5"/>
  <c r="F109" i="5"/>
  <c r="J122" i="6"/>
  <c r="J68" i="6"/>
  <c r="J210" i="7" s="1"/>
  <c r="J95" i="6"/>
  <c r="C20" i="4"/>
  <c r="T129" i="6"/>
  <c r="T75" i="6"/>
  <c r="T217" i="7" s="1"/>
  <c r="T102" i="6"/>
  <c r="F172" i="4"/>
  <c r="F253" i="4"/>
  <c r="B181" i="4"/>
  <c r="L143" i="4"/>
  <c r="L197" i="4"/>
  <c r="L7" i="3"/>
  <c r="L4" i="4"/>
  <c r="S129" i="6"/>
  <c r="S75" i="6"/>
  <c r="S217" i="7" s="1"/>
  <c r="S102" i="6"/>
  <c r="M218" i="3"/>
  <c r="D107" i="5"/>
  <c r="E95" i="5"/>
  <c r="E229" i="4"/>
  <c r="E89" i="6"/>
  <c r="E202" i="4"/>
  <c r="E171" i="4"/>
  <c r="N119" i="6"/>
  <c r="N65" i="6"/>
  <c r="N207" i="7" s="1"/>
  <c r="N92" i="6"/>
  <c r="J96" i="5"/>
  <c r="J203" i="4"/>
  <c r="T81" i="5"/>
  <c r="T136" i="7" s="1"/>
  <c r="T135" i="5"/>
  <c r="T108" i="5"/>
  <c r="T78" i="5"/>
  <c r="T133" i="7" s="1"/>
  <c r="T132" i="5"/>
  <c r="T105" i="5"/>
  <c r="J69" i="5"/>
  <c r="J124" i="7" s="1"/>
  <c r="J123" i="5"/>
  <c r="I128" i="5"/>
  <c r="I74" i="5"/>
  <c r="I129" i="7" s="1"/>
  <c r="I101" i="5"/>
  <c r="G170" i="4"/>
  <c r="G31" i="4"/>
  <c r="S122" i="5"/>
  <c r="S68" i="5"/>
  <c r="S123" i="7" s="1"/>
  <c r="S95" i="5"/>
  <c r="T114" i="6"/>
  <c r="T60" i="6"/>
  <c r="T202" i="7" s="1"/>
  <c r="T87" i="6"/>
  <c r="D135" i="5"/>
  <c r="D81" i="5"/>
  <c r="D136" i="7" s="1"/>
  <c r="D108" i="5"/>
  <c r="D211" i="4"/>
  <c r="D157" i="4"/>
  <c r="D19" i="3"/>
  <c r="N218" i="3"/>
  <c r="E10" i="4"/>
  <c r="G9" i="4"/>
  <c r="E33" i="4"/>
  <c r="J7" i="4"/>
  <c r="G4" i="5"/>
  <c r="G47" i="6" s="1"/>
  <c r="H7" i="4"/>
  <c r="I7" i="4"/>
  <c r="E31" i="4" l="1"/>
  <c r="E251" i="4" s="1"/>
  <c r="E170" i="4"/>
  <c r="G200" i="4"/>
  <c r="R118" i="5"/>
  <c r="R64" i="5"/>
  <c r="R119" i="7" s="1"/>
  <c r="R91" i="5"/>
  <c r="T188" i="3"/>
  <c r="D128" i="6"/>
  <c r="D74" i="6"/>
  <c r="D216" i="7" s="1"/>
  <c r="D101" i="6"/>
  <c r="B179" i="4"/>
  <c r="B40" i="4"/>
  <c r="K78" i="5"/>
  <c r="K133" i="7" s="1"/>
  <c r="K132" i="5"/>
  <c r="K105" i="5"/>
  <c r="M105" i="3"/>
  <c r="M102" i="3"/>
  <c r="M107" i="3"/>
  <c r="M104" i="3"/>
  <c r="M108" i="3"/>
  <c r="M101" i="3"/>
  <c r="M96" i="3"/>
  <c r="M103" i="3"/>
  <c r="M106" i="3"/>
  <c r="M98" i="3"/>
  <c r="M100" i="3"/>
  <c r="M99" i="3"/>
  <c r="L188" i="3"/>
  <c r="H74" i="5"/>
  <c r="H129" i="7" s="1"/>
  <c r="H128" i="5"/>
  <c r="H101" i="5"/>
  <c r="E129" i="6"/>
  <c r="E75" i="6"/>
  <c r="E217" i="7" s="1"/>
  <c r="E102" i="6"/>
  <c r="H122" i="5"/>
  <c r="H68" i="5"/>
  <c r="H149" i="5"/>
  <c r="T224" i="4"/>
  <c r="T141" i="4"/>
  <c r="T195" i="4"/>
  <c r="T222" i="4"/>
  <c r="T232" i="4"/>
  <c r="T234" i="4"/>
  <c r="T236" i="4"/>
  <c r="T223" i="4"/>
  <c r="T235" i="4"/>
  <c r="T233" i="4"/>
  <c r="T229" i="4"/>
  <c r="T230" i="4"/>
  <c r="T228" i="4"/>
  <c r="T227" i="4"/>
  <c r="T231" i="4"/>
  <c r="T225" i="4"/>
  <c r="T226" i="4"/>
  <c r="U172" i="4"/>
  <c r="J198" i="4"/>
  <c r="C211" i="4"/>
  <c r="C157" i="4"/>
  <c r="C19" i="3"/>
  <c r="T5" i="3"/>
  <c r="L218" i="3"/>
  <c r="F249" i="4"/>
  <c r="F168" i="4"/>
  <c r="F250" i="4"/>
  <c r="F259" i="4"/>
  <c r="F257" i="4"/>
  <c r="F261" i="4"/>
  <c r="F262" i="4"/>
  <c r="F263" i="4"/>
  <c r="F260" i="4"/>
  <c r="F258" i="4"/>
  <c r="F254" i="4"/>
  <c r="F255" i="4"/>
  <c r="F252" i="4"/>
  <c r="H198" i="4"/>
  <c r="R112" i="6"/>
  <c r="R58" i="6"/>
  <c r="R200" i="7" s="1"/>
  <c r="R85" i="6"/>
  <c r="E201" i="4"/>
  <c r="C80" i="5"/>
  <c r="C135" i="7" s="1"/>
  <c r="C134" i="5"/>
  <c r="C107" i="5"/>
  <c r="H115" i="6"/>
  <c r="H61" i="6"/>
  <c r="H203" i="7" s="1"/>
  <c r="H88" i="6"/>
  <c r="C173" i="4"/>
  <c r="I198" i="4"/>
  <c r="C174" i="4"/>
  <c r="D171" i="4"/>
  <c r="T110" i="6"/>
  <c r="T66" i="3"/>
  <c r="T56" i="6"/>
  <c r="T198" i="7" s="1"/>
  <c r="T83" i="6"/>
  <c r="L195" i="4"/>
  <c r="L141" i="4"/>
  <c r="L222" i="4"/>
  <c r="L223" i="4"/>
  <c r="L235" i="4"/>
  <c r="L232" i="4"/>
  <c r="L234" i="4"/>
  <c r="L231" i="4"/>
  <c r="L233" i="4"/>
  <c r="L236" i="4"/>
  <c r="L229" i="4"/>
  <c r="L230" i="4"/>
  <c r="L227" i="4"/>
  <c r="L228" i="4"/>
  <c r="L225" i="4"/>
  <c r="L226" i="4"/>
  <c r="K125" i="5"/>
  <c r="K71" i="5"/>
  <c r="K126" i="7" s="1"/>
  <c r="K98" i="5"/>
  <c r="C81" i="5"/>
  <c r="C136" i="7" s="1"/>
  <c r="C135" i="5"/>
  <c r="C108" i="5"/>
  <c r="K116" i="5"/>
  <c r="K62" i="5"/>
  <c r="K117" i="7" s="1"/>
  <c r="K36" i="3"/>
  <c r="K89" i="5"/>
  <c r="D202" i="4"/>
  <c r="D89" i="6"/>
  <c r="D95" i="5"/>
  <c r="D229" i="4"/>
  <c r="I122" i="6"/>
  <c r="I68" i="6"/>
  <c r="I210" i="7" s="1"/>
  <c r="I95" i="6"/>
  <c r="G67" i="5"/>
  <c r="G122" i="7" s="1"/>
  <c r="G121" i="5"/>
  <c r="G94" i="5"/>
  <c r="C62" i="6"/>
  <c r="C11" i="4"/>
  <c r="C175" i="4"/>
  <c r="C256" i="4"/>
  <c r="G251" i="4"/>
  <c r="G30" i="4"/>
  <c r="G249" i="4"/>
  <c r="G168" i="4"/>
  <c r="G250" i="4"/>
  <c r="G259" i="4"/>
  <c r="G257" i="4"/>
  <c r="G261" i="4"/>
  <c r="G262" i="4"/>
  <c r="G263" i="4"/>
  <c r="G260" i="4"/>
  <c r="G258" i="4"/>
  <c r="G255" i="4"/>
  <c r="G254" i="4"/>
  <c r="G252" i="4"/>
  <c r="G253" i="4"/>
  <c r="L5" i="3"/>
  <c r="F130" i="6"/>
  <c r="F157" i="6"/>
  <c r="F76" i="6"/>
  <c r="F103" i="6"/>
  <c r="I122" i="5"/>
  <c r="I149" i="5"/>
  <c r="I68" i="5"/>
  <c r="J144" i="6"/>
  <c r="J117" i="6"/>
  <c r="J63" i="6"/>
  <c r="K197" i="4"/>
  <c r="K143" i="4"/>
  <c r="K7" i="3"/>
  <c r="K4" i="4"/>
  <c r="K224" i="4" s="1"/>
  <c r="F251" i="4"/>
  <c r="E172" i="4"/>
  <c r="E253" i="4"/>
  <c r="L224" i="4"/>
  <c r="D129" i="6"/>
  <c r="D75" i="6"/>
  <c r="D217" i="7" s="1"/>
  <c r="D102" i="6"/>
  <c r="E136" i="5"/>
  <c r="E82" i="5"/>
  <c r="E137" i="7" s="1"/>
  <c r="E109" i="5"/>
  <c r="U33" i="4"/>
  <c r="S116" i="6"/>
  <c r="S62" i="6"/>
  <c r="S204" i="7" s="1"/>
  <c r="S89" i="6"/>
  <c r="H258" i="4"/>
  <c r="H168" i="4"/>
  <c r="H249" i="4"/>
  <c r="H30" i="4"/>
  <c r="H250" i="4"/>
  <c r="H259" i="4"/>
  <c r="H257" i="4"/>
  <c r="H262" i="4"/>
  <c r="H261" i="4"/>
  <c r="H263" i="4"/>
  <c r="H260" i="4"/>
  <c r="H255" i="4"/>
  <c r="H254" i="4"/>
  <c r="H252" i="4"/>
  <c r="H253" i="4"/>
  <c r="H8" i="4"/>
  <c r="H6" i="4" s="1"/>
  <c r="J8" i="4"/>
  <c r="J6" i="4" s="1"/>
  <c r="B17" i="4"/>
  <c r="G7" i="4"/>
  <c r="F9" i="4"/>
  <c r="I8" i="4"/>
  <c r="D10" i="4"/>
  <c r="F4" i="5"/>
  <c r="F47" i="6" s="1"/>
  <c r="H143" i="4" l="1"/>
  <c r="H197" i="4"/>
  <c r="H7" i="3"/>
  <c r="H4" i="4"/>
  <c r="J197" i="4"/>
  <c r="J143" i="4"/>
  <c r="J7" i="3"/>
  <c r="J4" i="4"/>
  <c r="J226" i="4" s="1"/>
  <c r="C171" i="4"/>
  <c r="I199" i="4"/>
  <c r="U170" i="4"/>
  <c r="K5" i="3"/>
  <c r="L4" i="3"/>
  <c r="G115" i="6"/>
  <c r="G61" i="6"/>
  <c r="G203" i="7" s="1"/>
  <c r="G88" i="6"/>
  <c r="T67" i="5"/>
  <c r="T122" i="7" s="1"/>
  <c r="T121" i="5"/>
  <c r="T94" i="5"/>
  <c r="O118" i="5"/>
  <c r="O64" i="5"/>
  <c r="O119" i="7" s="1"/>
  <c r="O91" i="5"/>
  <c r="O112" i="6"/>
  <c r="O58" i="6"/>
  <c r="O200" i="7" s="1"/>
  <c r="O85" i="6"/>
  <c r="V178" i="4"/>
  <c r="I6" i="4"/>
  <c r="B135" i="5"/>
  <c r="B81" i="5"/>
  <c r="B136" i="7" s="1"/>
  <c r="B108" i="5"/>
  <c r="H122" i="6"/>
  <c r="H68" i="6"/>
  <c r="H210" i="7" s="1"/>
  <c r="H95" i="6"/>
  <c r="T126" i="6"/>
  <c r="T72" i="6"/>
  <c r="T214" i="7" s="1"/>
  <c r="T99" i="6"/>
  <c r="L126" i="6"/>
  <c r="L72" i="6"/>
  <c r="L214" i="7" s="1"/>
  <c r="L99" i="6"/>
  <c r="D172" i="4"/>
  <c r="F200" i="4"/>
  <c r="H199" i="4"/>
  <c r="H226" i="4"/>
  <c r="V185" i="4"/>
  <c r="C128" i="6"/>
  <c r="C74" i="6"/>
  <c r="C216" i="7" s="1"/>
  <c r="C101" i="6"/>
  <c r="S112" i="6"/>
  <c r="S58" i="6"/>
  <c r="S200" i="7" s="1"/>
  <c r="S85" i="6"/>
  <c r="B11" i="4"/>
  <c r="B175" i="4"/>
  <c r="B62" i="6"/>
  <c r="B256" i="4"/>
  <c r="J125" i="5"/>
  <c r="J71" i="5"/>
  <c r="J126" i="7" s="1"/>
  <c r="J98" i="5"/>
  <c r="J62" i="5"/>
  <c r="J117" i="7" s="1"/>
  <c r="J116" i="5"/>
  <c r="J36" i="3"/>
  <c r="J89" i="5"/>
  <c r="T218" i="3"/>
  <c r="D33" i="4"/>
  <c r="I116" i="6"/>
  <c r="I143" i="6"/>
  <c r="D136" i="5"/>
  <c r="D82" i="5"/>
  <c r="D137" i="7" s="1"/>
  <c r="D109" i="5"/>
  <c r="B173" i="4"/>
  <c r="G198" i="4"/>
  <c r="B208" i="4"/>
  <c r="V189" i="4"/>
  <c r="C229" i="4"/>
  <c r="C202" i="4"/>
  <c r="C89" i="6"/>
  <c r="C95" i="5"/>
  <c r="G122" i="5"/>
  <c r="G68" i="5"/>
  <c r="G149" i="5"/>
  <c r="E130" i="6"/>
  <c r="E157" i="6"/>
  <c r="E76" i="6"/>
  <c r="E103" i="6"/>
  <c r="B177" i="4"/>
  <c r="V187" i="4"/>
  <c r="H127" i="5"/>
  <c r="H73" i="5"/>
  <c r="H128" i="7" s="1"/>
  <c r="H100" i="5"/>
  <c r="K188" i="3"/>
  <c r="S118" i="5"/>
  <c r="S64" i="5"/>
  <c r="S119" i="7" s="1"/>
  <c r="S91" i="5"/>
  <c r="S121" i="5"/>
  <c r="S67" i="5"/>
  <c r="S122" i="7" s="1"/>
  <c r="S94" i="5"/>
  <c r="K110" i="6"/>
  <c r="K66" i="3"/>
  <c r="K56" i="6"/>
  <c r="K198" i="7" s="1"/>
  <c r="K83" i="6"/>
  <c r="H143" i="6"/>
  <c r="H116" i="6"/>
  <c r="C129" i="6"/>
  <c r="C75" i="6"/>
  <c r="C217" i="7" s="1"/>
  <c r="C102" i="6"/>
  <c r="B80" i="5"/>
  <c r="B135" i="7" s="1"/>
  <c r="B134" i="5"/>
  <c r="B107" i="5"/>
  <c r="B129" i="6"/>
  <c r="B75" i="6"/>
  <c r="B217" i="7" s="1"/>
  <c r="B102" i="6"/>
  <c r="B174" i="4"/>
  <c r="D201" i="4"/>
  <c r="J199" i="4"/>
  <c r="K223" i="4"/>
  <c r="K141" i="4"/>
  <c r="K195" i="4"/>
  <c r="K222" i="4"/>
  <c r="K234" i="4"/>
  <c r="K235" i="4"/>
  <c r="K232" i="4"/>
  <c r="K233" i="4"/>
  <c r="K236" i="4"/>
  <c r="K231" i="4"/>
  <c r="K229" i="4"/>
  <c r="K228" i="4"/>
  <c r="K227" i="4"/>
  <c r="K230" i="4"/>
  <c r="K225" i="4"/>
  <c r="K226" i="4"/>
  <c r="T74" i="5"/>
  <c r="T129" i="7" s="1"/>
  <c r="T128" i="5"/>
  <c r="T101" i="5"/>
  <c r="J78" i="5"/>
  <c r="J133" i="7" s="1"/>
  <c r="J132" i="5"/>
  <c r="J105" i="5"/>
  <c r="T4" i="3"/>
  <c r="T97" i="3" s="1"/>
  <c r="G128" i="5"/>
  <c r="G74" i="5"/>
  <c r="G129" i="7" s="1"/>
  <c r="G101" i="5"/>
  <c r="E254" i="4"/>
  <c r="E249" i="4"/>
  <c r="E168" i="4"/>
  <c r="E250" i="4"/>
  <c r="E259" i="4"/>
  <c r="E257" i="4"/>
  <c r="E261" i="4"/>
  <c r="E262" i="4"/>
  <c r="E263" i="4"/>
  <c r="E260" i="4"/>
  <c r="E258" i="4"/>
  <c r="E255" i="4"/>
  <c r="E252" i="4"/>
  <c r="C10" i="4"/>
  <c r="G8" i="4"/>
  <c r="B15" i="4"/>
  <c r="E4" i="5"/>
  <c r="E47" i="6" s="1"/>
  <c r="F7" i="4"/>
  <c r="K119" i="6" l="1"/>
  <c r="K65" i="6"/>
  <c r="K207" i="7" s="1"/>
  <c r="K92" i="6"/>
  <c r="N112" i="6"/>
  <c r="N58" i="6"/>
  <c r="N200" i="7" s="1"/>
  <c r="N85" i="6"/>
  <c r="E121" i="5"/>
  <c r="E67" i="5"/>
  <c r="E122" i="7" s="1"/>
  <c r="E94" i="5"/>
  <c r="H120" i="5"/>
  <c r="H66" i="5"/>
  <c r="H121" i="7" s="1"/>
  <c r="H93" i="5"/>
  <c r="L101" i="3"/>
  <c r="L107" i="3"/>
  <c r="L105" i="3"/>
  <c r="L106" i="3"/>
  <c r="L102" i="3"/>
  <c r="L108" i="3"/>
  <c r="L104" i="3"/>
  <c r="L96" i="3"/>
  <c r="L103" i="3"/>
  <c r="L98" i="3"/>
  <c r="L100" i="3"/>
  <c r="L99" i="3"/>
  <c r="I116" i="5"/>
  <c r="I62" i="5"/>
  <c r="I117" i="7" s="1"/>
  <c r="I36" i="3"/>
  <c r="I89" i="5"/>
  <c r="M112" i="6"/>
  <c r="M58" i="6"/>
  <c r="M200" i="7" s="1"/>
  <c r="M85" i="6"/>
  <c r="I119" i="6"/>
  <c r="I65" i="6"/>
  <c r="I207" i="7" s="1"/>
  <c r="I92" i="6"/>
  <c r="B128" i="6"/>
  <c r="B74" i="6"/>
  <c r="B216" i="7" s="1"/>
  <c r="B101" i="6"/>
  <c r="I143" i="4"/>
  <c r="I197" i="4"/>
  <c r="I7" i="3"/>
  <c r="I4" i="4"/>
  <c r="J231" i="4"/>
  <c r="J141" i="4"/>
  <c r="J195" i="4"/>
  <c r="J222" i="4"/>
  <c r="J223" i="4"/>
  <c r="J232" i="4"/>
  <c r="J234" i="4"/>
  <c r="J235" i="4"/>
  <c r="J236" i="4"/>
  <c r="J233" i="4"/>
  <c r="J229" i="4"/>
  <c r="J228" i="4"/>
  <c r="J227" i="4"/>
  <c r="J230" i="4"/>
  <c r="J225" i="4"/>
  <c r="J110" i="6"/>
  <c r="J66" i="3"/>
  <c r="J56" i="6"/>
  <c r="J198" i="7" s="1"/>
  <c r="J83" i="6"/>
  <c r="L119" i="6"/>
  <c r="L65" i="6"/>
  <c r="L207" i="7" s="1"/>
  <c r="L92" i="6"/>
  <c r="C201" i="4"/>
  <c r="K218" i="3"/>
  <c r="D170" i="4"/>
  <c r="D31" i="4"/>
  <c r="B229" i="4"/>
  <c r="B202" i="4"/>
  <c r="B89" i="6"/>
  <c r="B95" i="5"/>
  <c r="K4" i="3"/>
  <c r="K97" i="3" s="1"/>
  <c r="N64" i="5"/>
  <c r="N119" i="7" s="1"/>
  <c r="N118" i="5"/>
  <c r="N91" i="5"/>
  <c r="J5" i="3"/>
  <c r="H224" i="4"/>
  <c r="H141" i="4"/>
  <c r="H195" i="4"/>
  <c r="H222" i="4"/>
  <c r="H230" i="4"/>
  <c r="H223" i="4"/>
  <c r="H232" i="4"/>
  <c r="H234" i="4"/>
  <c r="H235" i="4"/>
  <c r="H236" i="4"/>
  <c r="H233" i="4"/>
  <c r="H231" i="4"/>
  <c r="H228" i="4"/>
  <c r="H227" i="4"/>
  <c r="H225" i="4"/>
  <c r="B171" i="4"/>
  <c r="I126" i="6"/>
  <c r="I72" i="6"/>
  <c r="I214" i="7" s="1"/>
  <c r="I99" i="6"/>
  <c r="I71" i="5"/>
  <c r="I126" i="7" s="1"/>
  <c r="I125" i="5"/>
  <c r="I98" i="5"/>
  <c r="G127" i="5"/>
  <c r="G73" i="5"/>
  <c r="G128" i="7" s="1"/>
  <c r="G100" i="5"/>
  <c r="F121" i="5"/>
  <c r="F67" i="5"/>
  <c r="F122" i="7" s="1"/>
  <c r="F94" i="5"/>
  <c r="J224" i="4"/>
  <c r="H5" i="3"/>
  <c r="U181" i="4"/>
  <c r="T122" i="6"/>
  <c r="T68" i="6"/>
  <c r="T210" i="7" s="1"/>
  <c r="T95" i="6"/>
  <c r="C136" i="5"/>
  <c r="C82" i="5"/>
  <c r="C137" i="7" s="1"/>
  <c r="C109" i="5"/>
  <c r="F149" i="5"/>
  <c r="F68" i="5"/>
  <c r="F122" i="5"/>
  <c r="K126" i="6"/>
  <c r="K72" i="6"/>
  <c r="K214" i="7" s="1"/>
  <c r="K99" i="6"/>
  <c r="B82" i="5"/>
  <c r="B137" i="7" s="1"/>
  <c r="B136" i="5"/>
  <c r="B109" i="5"/>
  <c r="T115" i="6"/>
  <c r="T61" i="6"/>
  <c r="T203" i="7" s="1"/>
  <c r="T88" i="6"/>
  <c r="G116" i="6"/>
  <c r="G143" i="6"/>
  <c r="M64" i="5"/>
  <c r="M119" i="7" s="1"/>
  <c r="M118" i="5"/>
  <c r="M91" i="5"/>
  <c r="B206" i="4"/>
  <c r="B13" i="4"/>
  <c r="G199" i="4"/>
  <c r="T119" i="6"/>
  <c r="T65" i="6"/>
  <c r="T207" i="7" s="1"/>
  <c r="T92" i="6"/>
  <c r="S115" i="6"/>
  <c r="S61" i="6"/>
  <c r="S203" i="7" s="1"/>
  <c r="S88" i="6"/>
  <c r="D130" i="6"/>
  <c r="D157" i="6"/>
  <c r="D76" i="6"/>
  <c r="D103" i="6"/>
  <c r="H121" i="6"/>
  <c r="H67" i="6"/>
  <c r="H209" i="7" s="1"/>
  <c r="H94" i="6"/>
  <c r="F198" i="4"/>
  <c r="V186" i="4"/>
  <c r="T105" i="3"/>
  <c r="T102" i="3"/>
  <c r="T107" i="3"/>
  <c r="T103" i="3"/>
  <c r="T101" i="3"/>
  <c r="T96" i="3"/>
  <c r="T104" i="3"/>
  <c r="T106" i="3"/>
  <c r="T108" i="3"/>
  <c r="T98" i="3"/>
  <c r="T100" i="3"/>
  <c r="T99" i="3"/>
  <c r="I132" i="5"/>
  <c r="I78" i="5"/>
  <c r="I133" i="7" s="1"/>
  <c r="I105" i="5"/>
  <c r="G6" i="4"/>
  <c r="J188" i="3"/>
  <c r="L97" i="3"/>
  <c r="G122" i="6"/>
  <c r="G68" i="6"/>
  <c r="G210" i="7" s="1"/>
  <c r="G95" i="6"/>
  <c r="V14" i="4"/>
  <c r="V23" i="4"/>
  <c r="V25" i="4"/>
  <c r="V21" i="4"/>
  <c r="E9" i="4"/>
  <c r="B10" i="4"/>
  <c r="F8" i="4"/>
  <c r="F6" i="4" s="1"/>
  <c r="D4" i="5"/>
  <c r="D47" i="6" s="1"/>
  <c r="B33" i="4"/>
  <c r="B170" i="4" l="1"/>
  <c r="B31" i="4"/>
  <c r="B253" i="4" s="1"/>
  <c r="F4" i="4"/>
  <c r="F143" i="4"/>
  <c r="F197" i="4"/>
  <c r="F7" i="3"/>
  <c r="V173" i="4"/>
  <c r="I231" i="4"/>
  <c r="I141" i="4"/>
  <c r="I195" i="4"/>
  <c r="I222" i="4"/>
  <c r="I230" i="4"/>
  <c r="I223" i="4"/>
  <c r="I232" i="4"/>
  <c r="I235" i="4"/>
  <c r="I234" i="4"/>
  <c r="I233" i="4"/>
  <c r="I236" i="4"/>
  <c r="I228" i="4"/>
  <c r="I227" i="4"/>
  <c r="I225" i="4"/>
  <c r="I226" i="4"/>
  <c r="F199" i="4"/>
  <c r="F226" i="4"/>
  <c r="E149" i="5"/>
  <c r="E68" i="5"/>
  <c r="E122" i="5"/>
  <c r="J218" i="3"/>
  <c r="I5" i="3"/>
  <c r="U179" i="4"/>
  <c r="U40" i="4"/>
  <c r="C172" i="4"/>
  <c r="C33" i="4"/>
  <c r="B130" i="6"/>
  <c r="B157" i="6"/>
  <c r="B76" i="6"/>
  <c r="B103" i="6"/>
  <c r="G120" i="5"/>
  <c r="G66" i="5"/>
  <c r="G121" i="7" s="1"/>
  <c r="G93" i="5"/>
  <c r="V212" i="4"/>
  <c r="E115" i="6"/>
  <c r="E61" i="6"/>
  <c r="E203" i="7" s="1"/>
  <c r="E88" i="6"/>
  <c r="I224" i="4"/>
  <c r="B201" i="4"/>
  <c r="V216" i="4"/>
  <c r="V214" i="4"/>
  <c r="H114" i="6"/>
  <c r="H60" i="6"/>
  <c r="H202" i="7" s="1"/>
  <c r="H87" i="6"/>
  <c r="T68" i="5"/>
  <c r="T123" i="7" s="1"/>
  <c r="T122" i="5"/>
  <c r="T95" i="5"/>
  <c r="K105" i="3"/>
  <c r="K101" i="3"/>
  <c r="K107" i="3"/>
  <c r="K108" i="3"/>
  <c r="K103" i="3"/>
  <c r="K102" i="3"/>
  <c r="K96" i="3"/>
  <c r="K106" i="3"/>
  <c r="K104" i="3"/>
  <c r="K98" i="3"/>
  <c r="K100" i="3"/>
  <c r="K99" i="3"/>
  <c r="F127" i="5"/>
  <c r="F73" i="5"/>
  <c r="F128" i="7" s="1"/>
  <c r="F100" i="5"/>
  <c r="I188" i="3"/>
  <c r="B172" i="4"/>
  <c r="J119" i="6"/>
  <c r="J65" i="6"/>
  <c r="J207" i="7" s="1"/>
  <c r="J92" i="6"/>
  <c r="V205" i="4"/>
  <c r="H4" i="3"/>
  <c r="D258" i="4"/>
  <c r="D249" i="4"/>
  <c r="D168" i="4"/>
  <c r="D250" i="4"/>
  <c r="D259" i="4"/>
  <c r="D261" i="4"/>
  <c r="D262" i="4"/>
  <c r="D260" i="4"/>
  <c r="D263" i="4"/>
  <c r="D254" i="4"/>
  <c r="D255" i="4"/>
  <c r="D252" i="4"/>
  <c r="D253" i="4"/>
  <c r="C130" i="6"/>
  <c r="C157" i="6"/>
  <c r="C76" i="6"/>
  <c r="C103" i="6"/>
  <c r="I110" i="6"/>
  <c r="I66" i="3"/>
  <c r="I56" i="6"/>
  <c r="I198" i="7" s="1"/>
  <c r="I83" i="6"/>
  <c r="G143" i="4"/>
  <c r="G197" i="4"/>
  <c r="G7" i="3"/>
  <c r="G4" i="4"/>
  <c r="G224" i="4" s="1"/>
  <c r="F128" i="5"/>
  <c r="F74" i="5"/>
  <c r="F129" i="7" s="1"/>
  <c r="F101" i="5"/>
  <c r="J4" i="3"/>
  <c r="J97" i="3"/>
  <c r="D251" i="4"/>
  <c r="F116" i="6"/>
  <c r="F143" i="6"/>
  <c r="J126" i="6"/>
  <c r="J72" i="6"/>
  <c r="J214" i="7" s="1"/>
  <c r="J99" i="6"/>
  <c r="E200" i="4"/>
  <c r="G121" i="6"/>
  <c r="G67" i="6"/>
  <c r="G209" i="7" s="1"/>
  <c r="G94" i="6"/>
  <c r="F115" i="6"/>
  <c r="F61" i="6"/>
  <c r="F203" i="7" s="1"/>
  <c r="F88" i="6"/>
  <c r="B204" i="4"/>
  <c r="B150" i="4"/>
  <c r="B8" i="3"/>
  <c r="E74" i="5"/>
  <c r="E129" i="7" s="1"/>
  <c r="E128" i="5"/>
  <c r="E101" i="5"/>
  <c r="E27" i="4"/>
  <c r="B27" i="4"/>
  <c r="V18" i="4"/>
  <c r="C27" i="4"/>
  <c r="V16" i="4"/>
  <c r="D27" i="4"/>
  <c r="V22" i="4"/>
  <c r="F27" i="4"/>
  <c r="U10" i="4"/>
  <c r="U17" i="4"/>
  <c r="D9" i="4"/>
  <c r="U11" i="4"/>
  <c r="U9" i="4"/>
  <c r="U12" i="4"/>
  <c r="C9" i="4"/>
  <c r="C4" i="5"/>
  <c r="C47" i="6" s="1"/>
  <c r="E7" i="4"/>
  <c r="U4" i="5"/>
  <c r="U47" i="6" s="1"/>
  <c r="E198" i="4" l="1"/>
  <c r="G110" i="6"/>
  <c r="G66" i="3"/>
  <c r="G56" i="6"/>
  <c r="G198" i="7" s="1"/>
  <c r="G83" i="6"/>
  <c r="G78" i="5"/>
  <c r="G133" i="7" s="1"/>
  <c r="G132" i="5"/>
  <c r="G105" i="5"/>
  <c r="H105" i="3"/>
  <c r="H104" i="3"/>
  <c r="H106" i="3"/>
  <c r="H103" i="3"/>
  <c r="H101" i="3"/>
  <c r="H96" i="3"/>
  <c r="H107" i="3"/>
  <c r="H108" i="3"/>
  <c r="H102" i="3"/>
  <c r="H98" i="3"/>
  <c r="H100" i="3"/>
  <c r="H99" i="3"/>
  <c r="G114" i="6"/>
  <c r="G60" i="6"/>
  <c r="G202" i="7" s="1"/>
  <c r="G87" i="6"/>
  <c r="F121" i="6"/>
  <c r="F67" i="6"/>
  <c r="F209" i="7" s="1"/>
  <c r="F94" i="6"/>
  <c r="T116" i="6"/>
  <c r="T62" i="6"/>
  <c r="T204" i="7" s="1"/>
  <c r="T89" i="6"/>
  <c r="U177" i="4"/>
  <c r="U31" i="4"/>
  <c r="G62" i="5"/>
  <c r="G117" i="7" s="1"/>
  <c r="G116" i="5"/>
  <c r="G36" i="3"/>
  <c r="G89" i="5"/>
  <c r="G126" i="6"/>
  <c r="G72" i="6"/>
  <c r="G214" i="7" s="1"/>
  <c r="G99" i="6"/>
  <c r="H126" i="6"/>
  <c r="H72" i="6"/>
  <c r="H214" i="7" s="1"/>
  <c r="H99" i="6"/>
  <c r="U123" i="5"/>
  <c r="U69" i="5"/>
  <c r="U124" i="7" s="1"/>
  <c r="G5" i="3"/>
  <c r="D68" i="5"/>
  <c r="D149" i="5"/>
  <c r="D122" i="5"/>
  <c r="D121" i="5"/>
  <c r="D67" i="5"/>
  <c r="D122" i="7" s="1"/>
  <c r="D94" i="5"/>
  <c r="F122" i="6"/>
  <c r="F68" i="6"/>
  <c r="F210" i="7" s="1"/>
  <c r="F95" i="6"/>
  <c r="U202" i="4"/>
  <c r="G125" i="5"/>
  <c r="G71" i="5"/>
  <c r="G126" i="7" s="1"/>
  <c r="G98" i="5"/>
  <c r="G119" i="6"/>
  <c r="G65" i="6"/>
  <c r="G207" i="7" s="1"/>
  <c r="G92" i="6"/>
  <c r="H119" i="6"/>
  <c r="H65" i="6"/>
  <c r="H207" i="7" s="1"/>
  <c r="H92" i="6"/>
  <c r="D200" i="4"/>
  <c r="E122" i="6"/>
  <c r="E68" i="6"/>
  <c r="E210" i="7" s="1"/>
  <c r="E95" i="6"/>
  <c r="H78" i="5"/>
  <c r="H133" i="7" s="1"/>
  <c r="H132" i="5"/>
  <c r="H105" i="5"/>
  <c r="F120" i="5"/>
  <c r="F66" i="5"/>
  <c r="F121" i="7" s="1"/>
  <c r="F93" i="5"/>
  <c r="H116" i="5"/>
  <c r="H62" i="5"/>
  <c r="H117" i="7" s="1"/>
  <c r="H36" i="3"/>
  <c r="H89" i="5"/>
  <c r="F231" i="4"/>
  <c r="F141" i="4"/>
  <c r="F195" i="4"/>
  <c r="F222" i="4"/>
  <c r="F230" i="4"/>
  <c r="F223" i="4"/>
  <c r="F234" i="4"/>
  <c r="F232" i="4"/>
  <c r="F235" i="4"/>
  <c r="F236" i="4"/>
  <c r="F233" i="4"/>
  <c r="F228" i="4"/>
  <c r="F227" i="4"/>
  <c r="F225" i="4"/>
  <c r="V207" i="4"/>
  <c r="G236" i="4"/>
  <c r="G222" i="4"/>
  <c r="G195" i="4"/>
  <c r="G141" i="4"/>
  <c r="G230" i="4"/>
  <c r="G223" i="4"/>
  <c r="G234" i="4"/>
  <c r="G235" i="4"/>
  <c r="G232" i="4"/>
  <c r="G233" i="4"/>
  <c r="G231" i="4"/>
  <c r="G228" i="4"/>
  <c r="G227" i="4"/>
  <c r="G225" i="4"/>
  <c r="G226" i="4"/>
  <c r="C200" i="4"/>
  <c r="V96" i="6"/>
  <c r="V102" i="5"/>
  <c r="V209" i="4"/>
  <c r="H125" i="5"/>
  <c r="H71" i="5"/>
  <c r="H126" i="7" s="1"/>
  <c r="H98" i="5"/>
  <c r="E116" i="6"/>
  <c r="E143" i="6"/>
  <c r="B258" i="4"/>
  <c r="B168" i="4"/>
  <c r="B249" i="4"/>
  <c r="B250" i="4"/>
  <c r="B259" i="4"/>
  <c r="B263" i="4"/>
  <c r="B261" i="4"/>
  <c r="B262" i="4"/>
  <c r="B260" i="4"/>
  <c r="B254" i="4"/>
  <c r="B255" i="4"/>
  <c r="B252" i="4"/>
  <c r="I4" i="3"/>
  <c r="I97" i="3" s="1"/>
  <c r="H110" i="6"/>
  <c r="H66" i="3"/>
  <c r="H56" i="6"/>
  <c r="H198" i="7" s="1"/>
  <c r="H83" i="6"/>
  <c r="U208" i="4"/>
  <c r="B120" i="5"/>
  <c r="B66" i="5"/>
  <c r="B121" i="7" s="1"/>
  <c r="F5" i="3"/>
  <c r="B251" i="4"/>
  <c r="U201" i="4"/>
  <c r="U90" i="6"/>
  <c r="U203" i="4"/>
  <c r="U96" i="5"/>
  <c r="J105" i="3"/>
  <c r="J101" i="3"/>
  <c r="J108" i="3"/>
  <c r="J104" i="3"/>
  <c r="J107" i="3"/>
  <c r="J96" i="3"/>
  <c r="J102" i="3"/>
  <c r="J103" i="3"/>
  <c r="J106" i="3"/>
  <c r="J98" i="3"/>
  <c r="J100" i="3"/>
  <c r="J99" i="3"/>
  <c r="C170" i="4"/>
  <c r="C31" i="4"/>
  <c r="F224" i="4"/>
  <c r="U200" i="4"/>
  <c r="V213" i="4"/>
  <c r="I218" i="3"/>
  <c r="H97" i="3"/>
  <c r="E127" i="5"/>
  <c r="E73" i="5"/>
  <c r="E128" i="7" s="1"/>
  <c r="E100" i="5"/>
  <c r="E8" i="4"/>
  <c r="B9" i="4"/>
  <c r="D7" i="4"/>
  <c r="U15" i="4"/>
  <c r="B4" i="5"/>
  <c r="B47" i="6" s="1"/>
  <c r="U7" i="4"/>
  <c r="C7" i="4"/>
  <c r="E121" i="6" l="1"/>
  <c r="E67" i="6"/>
  <c r="E209" i="7" s="1"/>
  <c r="E94" i="6"/>
  <c r="C251" i="4"/>
  <c r="C168" i="4"/>
  <c r="C249" i="4"/>
  <c r="C250" i="4"/>
  <c r="C259" i="4"/>
  <c r="C261" i="4"/>
  <c r="C262" i="4"/>
  <c r="C263" i="4"/>
  <c r="C260" i="4"/>
  <c r="C258" i="4"/>
  <c r="C254" i="4"/>
  <c r="C255" i="4"/>
  <c r="C252" i="4"/>
  <c r="C253" i="4"/>
  <c r="D74" i="5"/>
  <c r="D129" i="7" s="1"/>
  <c r="D128" i="5"/>
  <c r="D101" i="5"/>
  <c r="I105" i="3"/>
  <c r="I103" i="3"/>
  <c r="I106" i="3"/>
  <c r="I101" i="3"/>
  <c r="I108" i="3"/>
  <c r="I96" i="3"/>
  <c r="I102" i="3"/>
  <c r="I104" i="3"/>
  <c r="I107" i="3"/>
  <c r="I98" i="3"/>
  <c r="I100" i="3"/>
  <c r="I99" i="3"/>
  <c r="D116" i="6"/>
  <c r="D143" i="6"/>
  <c r="G4" i="3"/>
  <c r="G97" i="3" s="1"/>
  <c r="F119" i="6"/>
  <c r="F65" i="6"/>
  <c r="F207" i="7" s="1"/>
  <c r="F92" i="6"/>
  <c r="D198" i="4"/>
  <c r="B121" i="5"/>
  <c r="B67" i="5"/>
  <c r="B122" i="7" s="1"/>
  <c r="B94" i="5"/>
  <c r="U261" i="4"/>
  <c r="U249" i="4"/>
  <c r="U30" i="4"/>
  <c r="U168" i="4"/>
  <c r="U250" i="4"/>
  <c r="U263" i="4"/>
  <c r="U259" i="4"/>
  <c r="U254" i="4"/>
  <c r="U255" i="4"/>
  <c r="U256" i="4"/>
  <c r="U252" i="4"/>
  <c r="U257" i="4"/>
  <c r="U253" i="4"/>
  <c r="U251" i="4"/>
  <c r="U262" i="4"/>
  <c r="U260" i="4"/>
  <c r="G218" i="3"/>
  <c r="E66" i="5"/>
  <c r="E121" i="7" s="1"/>
  <c r="E120" i="5"/>
  <c r="E93" i="5"/>
  <c r="U198" i="4"/>
  <c r="U134" i="5"/>
  <c r="U80" i="5"/>
  <c r="U135" i="7" s="1"/>
  <c r="U107" i="5"/>
  <c r="C198" i="4"/>
  <c r="K112" i="6"/>
  <c r="K58" i="6"/>
  <c r="K200" i="7" s="1"/>
  <c r="K85" i="6"/>
  <c r="E199" i="4"/>
  <c r="T118" i="5"/>
  <c r="T64" i="5"/>
  <c r="T119" i="7" s="1"/>
  <c r="T91" i="5"/>
  <c r="F132" i="5"/>
  <c r="F78" i="5"/>
  <c r="F133" i="7" s="1"/>
  <c r="F105" i="5"/>
  <c r="U258" i="4"/>
  <c r="K118" i="5"/>
  <c r="K64" i="5"/>
  <c r="K119" i="7" s="1"/>
  <c r="K91" i="5"/>
  <c r="T112" i="6"/>
  <c r="T58" i="6"/>
  <c r="T200" i="7" s="1"/>
  <c r="T85" i="6"/>
  <c r="D115" i="6"/>
  <c r="D61" i="6"/>
  <c r="D203" i="7" s="1"/>
  <c r="D88" i="6"/>
  <c r="B200" i="4"/>
  <c r="B87" i="6"/>
  <c r="B93" i="5"/>
  <c r="F114" i="6"/>
  <c r="F60" i="6"/>
  <c r="F202" i="7" s="1"/>
  <c r="F87" i="6"/>
  <c r="F125" i="5"/>
  <c r="F71" i="5"/>
  <c r="F126" i="7" s="1"/>
  <c r="F98" i="5"/>
  <c r="F4" i="3"/>
  <c r="F97" i="3" s="1"/>
  <c r="G188" i="3"/>
  <c r="F126" i="6"/>
  <c r="F72" i="6"/>
  <c r="F214" i="7" s="1"/>
  <c r="F99" i="6"/>
  <c r="J112" i="6"/>
  <c r="J58" i="6"/>
  <c r="J200" i="7" s="1"/>
  <c r="J85" i="6"/>
  <c r="U206" i="4"/>
  <c r="U13" i="4"/>
  <c r="L112" i="6"/>
  <c r="L58" i="6"/>
  <c r="L200" i="7" s="1"/>
  <c r="L85" i="6"/>
  <c r="U117" i="6"/>
  <c r="U144" i="6"/>
  <c r="U63" i="6"/>
  <c r="D73" i="5"/>
  <c r="D128" i="7" s="1"/>
  <c r="D127" i="5"/>
  <c r="D100" i="5"/>
  <c r="F62" i="5"/>
  <c r="F117" i="7" s="1"/>
  <c r="F116" i="5"/>
  <c r="F36" i="3"/>
  <c r="F89" i="5"/>
  <c r="C122" i="5"/>
  <c r="C149" i="5"/>
  <c r="C68" i="5"/>
  <c r="B114" i="6"/>
  <c r="B60" i="6"/>
  <c r="B202" i="7" s="1"/>
  <c r="C121" i="5"/>
  <c r="C67" i="5"/>
  <c r="C122" i="7" s="1"/>
  <c r="C94" i="5"/>
  <c r="H218" i="3"/>
  <c r="L118" i="5"/>
  <c r="L64" i="5"/>
  <c r="L119" i="7" s="1"/>
  <c r="L91" i="5"/>
  <c r="J64" i="5"/>
  <c r="J119" i="7" s="1"/>
  <c r="J118" i="5"/>
  <c r="J91" i="5"/>
  <c r="H188" i="3"/>
  <c r="E6" i="4"/>
  <c r="U73" i="5"/>
  <c r="U128" i="7" s="1"/>
  <c r="U127" i="5"/>
  <c r="U100" i="5"/>
  <c r="D8" i="4"/>
  <c r="U8" i="4"/>
  <c r="U6" i="4" s="1"/>
  <c r="C8" i="4"/>
  <c r="C6" i="4" s="1"/>
  <c r="B7" i="4"/>
  <c r="C143" i="4" l="1"/>
  <c r="C197" i="4"/>
  <c r="C7" i="3"/>
  <c r="C4" i="4"/>
  <c r="C224" i="4" s="1"/>
  <c r="U197" i="4"/>
  <c r="U143" i="4"/>
  <c r="U7" i="3"/>
  <c r="U4" i="4"/>
  <c r="U224" i="4" s="1"/>
  <c r="D199" i="4"/>
  <c r="B115" i="6"/>
  <c r="B61" i="6"/>
  <c r="B203" i="7" s="1"/>
  <c r="B88" i="6"/>
  <c r="E78" i="5"/>
  <c r="E133" i="7" s="1"/>
  <c r="E132" i="5"/>
  <c r="E105" i="5"/>
  <c r="B122" i="5"/>
  <c r="B149" i="5"/>
  <c r="B68" i="5"/>
  <c r="D6" i="4"/>
  <c r="D122" i="6"/>
  <c r="D68" i="6"/>
  <c r="D210" i="7" s="1"/>
  <c r="D95" i="6"/>
  <c r="E62" i="5"/>
  <c r="E117" i="7" s="1"/>
  <c r="E116" i="5"/>
  <c r="E36" i="3"/>
  <c r="E89" i="5"/>
  <c r="B198" i="4"/>
  <c r="C115" i="6"/>
  <c r="C61" i="6"/>
  <c r="C203" i="7" s="1"/>
  <c r="C88" i="6"/>
  <c r="C53" i="4"/>
  <c r="B53" i="4"/>
  <c r="E53" i="4"/>
  <c r="B74" i="5"/>
  <c r="B129" i="7" s="1"/>
  <c r="B128" i="5"/>
  <c r="B101" i="5"/>
  <c r="E71" i="5"/>
  <c r="E126" i="7" s="1"/>
  <c r="E125" i="5"/>
  <c r="E98" i="5"/>
  <c r="E114" i="6"/>
  <c r="E60" i="6"/>
  <c r="E202" i="7" s="1"/>
  <c r="E87" i="6"/>
  <c r="U150" i="4"/>
  <c r="U204" i="4"/>
  <c r="U8" i="3"/>
  <c r="U66" i="5"/>
  <c r="U121" i="7" s="1"/>
  <c r="U120" i="5"/>
  <c r="U93" i="5"/>
  <c r="V136" i="5"/>
  <c r="V82" i="5"/>
  <c r="V137" i="7" s="1"/>
  <c r="V109" i="5"/>
  <c r="F188" i="3"/>
  <c r="C116" i="6"/>
  <c r="C143" i="6"/>
  <c r="F104" i="3"/>
  <c r="F103" i="3"/>
  <c r="F105" i="3"/>
  <c r="F102" i="3"/>
  <c r="F106" i="3"/>
  <c r="F96" i="3"/>
  <c r="F107" i="3"/>
  <c r="F108" i="3"/>
  <c r="F101" i="3"/>
  <c r="F98" i="3"/>
  <c r="F100" i="3"/>
  <c r="F99" i="3"/>
  <c r="I118" i="5"/>
  <c r="I64" i="5"/>
  <c r="I119" i="7" s="1"/>
  <c r="I91" i="5"/>
  <c r="G105" i="3"/>
  <c r="G103" i="3"/>
  <c r="G106" i="3"/>
  <c r="G102" i="3"/>
  <c r="G108" i="3"/>
  <c r="G104" i="3"/>
  <c r="G96" i="3"/>
  <c r="G101" i="3"/>
  <c r="G107" i="3"/>
  <c r="G98" i="3"/>
  <c r="G100" i="3"/>
  <c r="G99" i="3"/>
  <c r="F53" i="4"/>
  <c r="D53" i="4"/>
  <c r="E126" i="6"/>
  <c r="E72" i="6"/>
  <c r="E214" i="7" s="1"/>
  <c r="E99" i="6"/>
  <c r="F110" i="6"/>
  <c r="F66" i="3"/>
  <c r="F56" i="6"/>
  <c r="F198" i="7" s="1"/>
  <c r="F83" i="6"/>
  <c r="V181" i="4"/>
  <c r="D66" i="5"/>
  <c r="D121" i="7" s="1"/>
  <c r="D120" i="5"/>
  <c r="D93" i="5"/>
  <c r="C74" i="5"/>
  <c r="C129" i="7" s="1"/>
  <c r="C128" i="5"/>
  <c r="C101" i="5"/>
  <c r="D121" i="6"/>
  <c r="D67" i="6"/>
  <c r="D209" i="7" s="1"/>
  <c r="D94" i="6"/>
  <c r="E143" i="4"/>
  <c r="E197" i="4"/>
  <c r="E7" i="3"/>
  <c r="E4" i="4"/>
  <c r="E119" i="6"/>
  <c r="E65" i="6"/>
  <c r="E207" i="7" s="1"/>
  <c r="E92" i="6"/>
  <c r="I112" i="6"/>
  <c r="I58" i="6"/>
  <c r="I200" i="7" s="1"/>
  <c r="I85" i="6"/>
  <c r="C199" i="4"/>
  <c r="U199" i="4"/>
  <c r="C127" i="5"/>
  <c r="C73" i="5"/>
  <c r="C128" i="7" s="1"/>
  <c r="C100" i="5"/>
  <c r="U128" i="6"/>
  <c r="U74" i="6"/>
  <c r="U216" i="7" s="1"/>
  <c r="U101" i="6"/>
  <c r="U121" i="6"/>
  <c r="U67" i="6"/>
  <c r="U209" i="7" s="1"/>
  <c r="U94" i="6"/>
  <c r="B8" i="4"/>
  <c r="B6" i="4" s="1"/>
  <c r="B28" i="4"/>
  <c r="E28" i="4"/>
  <c r="F28" i="4"/>
  <c r="D28" i="4"/>
  <c r="C28" i="4"/>
  <c r="U231" i="4" l="1"/>
  <c r="U226" i="4"/>
  <c r="C226" i="4"/>
  <c r="C26" i="4"/>
  <c r="B197" i="4"/>
  <c r="B143" i="4"/>
  <c r="B7" i="3"/>
  <c r="B4" i="4"/>
  <c r="B226" i="4" s="1"/>
  <c r="F26" i="4"/>
  <c r="E26" i="4"/>
  <c r="B26" i="4"/>
  <c r="E141" i="4"/>
  <c r="E195" i="4"/>
  <c r="E222" i="4"/>
  <c r="E230" i="4"/>
  <c r="E223" i="4"/>
  <c r="E234" i="4"/>
  <c r="E232" i="4"/>
  <c r="E235" i="4"/>
  <c r="E236" i="4"/>
  <c r="E233" i="4"/>
  <c r="E231" i="4"/>
  <c r="E228" i="4"/>
  <c r="E227" i="4"/>
  <c r="E225" i="4"/>
  <c r="E226" i="4"/>
  <c r="C122" i="6"/>
  <c r="C68" i="6"/>
  <c r="C210" i="7" s="1"/>
  <c r="C95" i="6"/>
  <c r="D114" i="6"/>
  <c r="D60" i="6"/>
  <c r="D202" i="7" s="1"/>
  <c r="D87" i="6"/>
  <c r="D125" i="5"/>
  <c r="D71" i="5"/>
  <c r="D126" i="7" s="1"/>
  <c r="D98" i="5"/>
  <c r="U195" i="4"/>
  <c r="U222" i="4"/>
  <c r="U141" i="4"/>
  <c r="U223" i="4"/>
  <c r="U236" i="4"/>
  <c r="U232" i="4"/>
  <c r="U234" i="4"/>
  <c r="U228" i="4"/>
  <c r="U230" i="4"/>
  <c r="U227" i="4"/>
  <c r="U229" i="4"/>
  <c r="U235" i="4"/>
  <c r="U233" i="4"/>
  <c r="U225" i="4"/>
  <c r="C5" i="3"/>
  <c r="B46" i="4"/>
  <c r="E110" i="6"/>
  <c r="E66" i="3"/>
  <c r="E56" i="6"/>
  <c r="E198" i="7" s="1"/>
  <c r="E83" i="6"/>
  <c r="F46" i="4"/>
  <c r="C121" i="6"/>
  <c r="C67" i="6"/>
  <c r="C209" i="7" s="1"/>
  <c r="C94" i="6"/>
  <c r="V130" i="6"/>
  <c r="V157" i="6"/>
  <c r="V76" i="6"/>
  <c r="V103" i="6"/>
  <c r="E188" i="3"/>
  <c r="G118" i="5"/>
  <c r="G64" i="5"/>
  <c r="G119" i="7" s="1"/>
  <c r="G91" i="5"/>
  <c r="U5" i="3"/>
  <c r="U116" i="5"/>
  <c r="U62" i="5"/>
  <c r="U117" i="7" s="1"/>
  <c r="U36" i="3"/>
  <c r="U89" i="5"/>
  <c r="D126" i="6"/>
  <c r="D72" i="6"/>
  <c r="D214" i="7" s="1"/>
  <c r="D99" i="6"/>
  <c r="D119" i="6"/>
  <c r="D65" i="6"/>
  <c r="D207" i="7" s="1"/>
  <c r="D92" i="6"/>
  <c r="G112" i="6"/>
  <c r="G58" i="6"/>
  <c r="G200" i="7" s="1"/>
  <c r="G85" i="6"/>
  <c r="U114" i="6"/>
  <c r="U60" i="6"/>
  <c r="U202" i="7" s="1"/>
  <c r="U87" i="6"/>
  <c r="E224" i="4"/>
  <c r="F218" i="3"/>
  <c r="B116" i="6"/>
  <c r="B143" i="6"/>
  <c r="E46" i="4"/>
  <c r="E271" i="4" s="1"/>
  <c r="D110" i="6"/>
  <c r="D66" i="3"/>
  <c r="D56" i="6"/>
  <c r="D198" i="7" s="1"/>
  <c r="D83" i="6"/>
  <c r="V179" i="4"/>
  <c r="V40" i="4"/>
  <c r="D46" i="4"/>
  <c r="D26" i="4"/>
  <c r="B122" i="6"/>
  <c r="B68" i="6"/>
  <c r="B210" i="7" s="1"/>
  <c r="B95" i="6"/>
  <c r="D78" i="5"/>
  <c r="D133" i="7" s="1"/>
  <c r="D132" i="5"/>
  <c r="D105" i="5"/>
  <c r="C46" i="4"/>
  <c r="D143" i="4"/>
  <c r="D197" i="4"/>
  <c r="D7" i="3"/>
  <c r="D4" i="4"/>
  <c r="D224" i="4" s="1"/>
  <c r="E5" i="3"/>
  <c r="B199" i="4"/>
  <c r="C120" i="5"/>
  <c r="C66" i="5"/>
  <c r="C121" i="7" s="1"/>
  <c r="C93" i="5"/>
  <c r="U78" i="5"/>
  <c r="U133" i="7" s="1"/>
  <c r="U132" i="5"/>
  <c r="U105" i="5"/>
  <c r="U125" i="5"/>
  <c r="U71" i="5"/>
  <c r="U126" i="7" s="1"/>
  <c r="U98" i="5"/>
  <c r="D62" i="5"/>
  <c r="D117" i="7" s="1"/>
  <c r="D116" i="5"/>
  <c r="D36" i="3"/>
  <c r="D89" i="5"/>
  <c r="C231" i="4"/>
  <c r="C195" i="4"/>
  <c r="C222" i="4"/>
  <c r="C141" i="4"/>
  <c r="C223" i="4"/>
  <c r="C235" i="4"/>
  <c r="C232" i="4"/>
  <c r="C234" i="4"/>
  <c r="C233" i="4"/>
  <c r="C236" i="4"/>
  <c r="C228" i="4"/>
  <c r="C227" i="4"/>
  <c r="C225" i="4"/>
  <c r="V17" i="4"/>
  <c r="B264" i="4" l="1"/>
  <c r="B266" i="4"/>
  <c r="B267" i="4"/>
  <c r="B270" i="4"/>
  <c r="B268" i="4"/>
  <c r="B269" i="4"/>
  <c r="B265" i="4"/>
  <c r="B272" i="4"/>
  <c r="B30" i="4"/>
  <c r="B273" i="4"/>
  <c r="E4" i="3"/>
  <c r="E97" i="3" s="1"/>
  <c r="D264" i="4"/>
  <c r="D266" i="4"/>
  <c r="D267" i="4"/>
  <c r="D268" i="4"/>
  <c r="D269" i="4"/>
  <c r="D270" i="4"/>
  <c r="D265" i="4"/>
  <c r="D272" i="4"/>
  <c r="D30" i="4"/>
  <c r="D273" i="4"/>
  <c r="B271" i="4"/>
  <c r="D271" i="4"/>
  <c r="C114" i="6"/>
  <c r="C60" i="6"/>
  <c r="C202" i="7" s="1"/>
  <c r="C87" i="6"/>
  <c r="E265" i="4"/>
  <c r="E264" i="4"/>
  <c r="E266" i="4"/>
  <c r="E267" i="4"/>
  <c r="E269" i="4"/>
  <c r="E268" i="4"/>
  <c r="E270" i="4"/>
  <c r="E272" i="4"/>
  <c r="E30" i="4"/>
  <c r="E273" i="4"/>
  <c r="H64" i="5"/>
  <c r="H119" i="7" s="1"/>
  <c r="H118" i="5"/>
  <c r="H91" i="5"/>
  <c r="B231" i="4"/>
  <c r="B222" i="4"/>
  <c r="B141" i="4"/>
  <c r="B195" i="4"/>
  <c r="B223" i="4"/>
  <c r="B234" i="4"/>
  <c r="B236" i="4"/>
  <c r="B232" i="4"/>
  <c r="B235" i="4"/>
  <c r="B233" i="4"/>
  <c r="B228" i="4"/>
  <c r="B227" i="4"/>
  <c r="B225" i="4"/>
  <c r="C163" i="4"/>
  <c r="C20" i="3"/>
  <c r="C19" i="4"/>
  <c r="U110" i="6"/>
  <c r="U66" i="3"/>
  <c r="U56" i="6"/>
  <c r="U198" i="7" s="1"/>
  <c r="U83" i="6"/>
  <c r="D188" i="3"/>
  <c r="U4" i="3"/>
  <c r="B163" i="4"/>
  <c r="B20" i="3"/>
  <c r="B19" i="4"/>
  <c r="B244" i="4" s="1"/>
  <c r="B5" i="3"/>
  <c r="E218" i="3"/>
  <c r="B224" i="4"/>
  <c r="C271" i="4"/>
  <c r="C264" i="4"/>
  <c r="C266" i="4"/>
  <c r="C269" i="4"/>
  <c r="C268" i="4"/>
  <c r="C267" i="4"/>
  <c r="C270" i="4"/>
  <c r="C265" i="4"/>
  <c r="C272" i="4"/>
  <c r="C30" i="4"/>
  <c r="C273" i="4"/>
  <c r="E163" i="4"/>
  <c r="E20" i="3"/>
  <c r="E19" i="4"/>
  <c r="E244" i="4" s="1"/>
  <c r="C4" i="3"/>
  <c r="C97" i="3" s="1"/>
  <c r="F163" i="4"/>
  <c r="F20" i="3"/>
  <c r="F19" i="4"/>
  <c r="F244" i="4" s="1"/>
  <c r="U188" i="3"/>
  <c r="H112" i="6"/>
  <c r="H58" i="6"/>
  <c r="H200" i="7" s="1"/>
  <c r="H85" i="6"/>
  <c r="V208" i="4"/>
  <c r="D225" i="4"/>
  <c r="D222" i="4"/>
  <c r="D141" i="4"/>
  <c r="D195" i="4"/>
  <c r="D223" i="4"/>
  <c r="D235" i="4"/>
  <c r="D234" i="4"/>
  <c r="D232" i="4"/>
  <c r="D233" i="4"/>
  <c r="D236" i="4"/>
  <c r="D231" i="4"/>
  <c r="D228" i="4"/>
  <c r="D227" i="4"/>
  <c r="D226" i="4"/>
  <c r="D163" i="4"/>
  <c r="D20" i="3"/>
  <c r="D19" i="4"/>
  <c r="D218" i="3"/>
  <c r="F264" i="4"/>
  <c r="F266" i="4"/>
  <c r="F268" i="4"/>
  <c r="F269" i="4"/>
  <c r="F267" i="4"/>
  <c r="F270" i="4"/>
  <c r="F265" i="4"/>
  <c r="F30" i="4"/>
  <c r="F272" i="4"/>
  <c r="F273" i="4"/>
  <c r="D5" i="3"/>
  <c r="V177" i="4"/>
  <c r="F271" i="4"/>
  <c r="V15" i="4"/>
  <c r="B55" i="7"/>
  <c r="E118" i="5" l="1"/>
  <c r="E64" i="5"/>
  <c r="E119" i="7" s="1"/>
  <c r="E91" i="5"/>
  <c r="C132" i="5"/>
  <c r="C78" i="5"/>
  <c r="C133" i="7" s="1"/>
  <c r="C105" i="5"/>
  <c r="C241" i="4"/>
  <c r="C156" i="4"/>
  <c r="C237" i="4"/>
  <c r="C239" i="4"/>
  <c r="C242" i="4"/>
  <c r="C240" i="4"/>
  <c r="C243" i="4"/>
  <c r="C238" i="4"/>
  <c r="C245" i="4"/>
  <c r="C246" i="4"/>
  <c r="D243" i="4"/>
  <c r="D237" i="4"/>
  <c r="D156" i="4"/>
  <c r="D239" i="4"/>
  <c r="D242" i="4"/>
  <c r="D240" i="4"/>
  <c r="D241" i="4"/>
  <c r="D238" i="4"/>
  <c r="D245" i="4"/>
  <c r="D246" i="4"/>
  <c r="F64" i="5"/>
  <c r="F119" i="7" s="1"/>
  <c r="F118" i="5"/>
  <c r="F91" i="5"/>
  <c r="B4" i="3"/>
  <c r="B97" i="3" s="1"/>
  <c r="C18" i="3"/>
  <c r="E112" i="6"/>
  <c r="E58" i="6"/>
  <c r="E200" i="7" s="1"/>
  <c r="E85" i="6"/>
  <c r="F112" i="6"/>
  <c r="F58" i="6"/>
  <c r="F200" i="7" s="1"/>
  <c r="F85" i="6"/>
  <c r="V206" i="4"/>
  <c r="V13" i="4"/>
  <c r="C126" i="6"/>
  <c r="C72" i="6"/>
  <c r="C214" i="7" s="1"/>
  <c r="C99" i="6"/>
  <c r="U126" i="6"/>
  <c r="U72" i="6"/>
  <c r="U214" i="7" s="1"/>
  <c r="U99" i="6"/>
  <c r="D18" i="3"/>
  <c r="C244" i="4"/>
  <c r="E105" i="3"/>
  <c r="E101" i="3"/>
  <c r="E102" i="3"/>
  <c r="E96" i="3"/>
  <c r="E108" i="3"/>
  <c r="E104" i="3"/>
  <c r="E106" i="3"/>
  <c r="E107" i="3"/>
  <c r="E103" i="3"/>
  <c r="E98" i="3"/>
  <c r="E100" i="3"/>
  <c r="E99" i="3"/>
  <c r="V172" i="4"/>
  <c r="D4" i="3"/>
  <c r="D244" i="4"/>
  <c r="C116" i="5"/>
  <c r="C62" i="5"/>
  <c r="C117" i="7" s="1"/>
  <c r="C36" i="3"/>
  <c r="C89" i="5"/>
  <c r="C71" i="5"/>
  <c r="C126" i="7" s="1"/>
  <c r="C125" i="5"/>
  <c r="C98" i="5"/>
  <c r="U108" i="3"/>
  <c r="U107" i="3"/>
  <c r="U103" i="3"/>
  <c r="U106" i="3"/>
  <c r="U105" i="3"/>
  <c r="U104" i="3"/>
  <c r="U102" i="3"/>
  <c r="U101" i="3"/>
  <c r="U96" i="3"/>
  <c r="U98" i="3"/>
  <c r="U99" i="3"/>
  <c r="U100" i="3"/>
  <c r="C119" i="6"/>
  <c r="C65" i="6"/>
  <c r="C207" i="7" s="1"/>
  <c r="C92" i="6"/>
  <c r="F238" i="4"/>
  <c r="F237" i="4"/>
  <c r="F156" i="4"/>
  <c r="F239" i="4"/>
  <c r="F242" i="4"/>
  <c r="F240" i="4"/>
  <c r="F243" i="4"/>
  <c r="F241" i="4"/>
  <c r="F245" i="4"/>
  <c r="F246" i="4"/>
  <c r="C105" i="3"/>
  <c r="C96" i="3"/>
  <c r="C106" i="3"/>
  <c r="C107" i="3"/>
  <c r="C108" i="3"/>
  <c r="C102" i="3"/>
  <c r="C103" i="3"/>
  <c r="C104" i="3"/>
  <c r="C101" i="3"/>
  <c r="C98" i="3"/>
  <c r="C100" i="3"/>
  <c r="C99" i="3"/>
  <c r="E238" i="4"/>
  <c r="E156" i="4"/>
  <c r="E237" i="4"/>
  <c r="E239" i="4"/>
  <c r="E242" i="4"/>
  <c r="E240" i="4"/>
  <c r="E243" i="4"/>
  <c r="E241" i="4"/>
  <c r="E245" i="4"/>
  <c r="E246" i="4"/>
  <c r="B156" i="4"/>
  <c r="B237" i="4"/>
  <c r="B239" i="4"/>
  <c r="B240" i="4"/>
  <c r="B241" i="4"/>
  <c r="B238" i="4"/>
  <c r="B242" i="4"/>
  <c r="B243" i="4"/>
  <c r="B245" i="4"/>
  <c r="B246" i="4"/>
  <c r="U218" i="3"/>
  <c r="F18" i="3"/>
  <c r="E18" i="3"/>
  <c r="B18" i="3"/>
  <c r="U97" i="3"/>
  <c r="D105" i="3" l="1"/>
  <c r="D102" i="3"/>
  <c r="D106" i="3"/>
  <c r="D104" i="3"/>
  <c r="D107" i="3"/>
  <c r="D96" i="3"/>
  <c r="D108" i="3"/>
  <c r="D103" i="3"/>
  <c r="D101" i="3"/>
  <c r="D98" i="3"/>
  <c r="D100" i="3"/>
  <c r="D99" i="3"/>
  <c r="V80" i="5"/>
  <c r="V135" i="7" s="1"/>
  <c r="V134" i="5"/>
  <c r="V107" i="5"/>
  <c r="C17" i="3"/>
  <c r="C110" i="3" s="1"/>
  <c r="D112" i="6"/>
  <c r="D58" i="6"/>
  <c r="D200" i="7" s="1"/>
  <c r="D85" i="6"/>
  <c r="D64" i="5"/>
  <c r="D119" i="7" s="1"/>
  <c r="D118" i="5"/>
  <c r="D91" i="5"/>
  <c r="B28" i="7"/>
  <c r="B192" i="4"/>
  <c r="B219" i="4"/>
  <c r="C28" i="7"/>
  <c r="C192" i="4"/>
  <c r="C219" i="4"/>
  <c r="F28" i="7"/>
  <c r="F192" i="4"/>
  <c r="F219" i="4"/>
  <c r="B62" i="5"/>
  <c r="B117" i="7" s="1"/>
  <c r="B116" i="5"/>
  <c r="B36" i="3"/>
  <c r="B89" i="5"/>
  <c r="V127" i="5"/>
  <c r="V73" i="5"/>
  <c r="V128" i="7" s="1"/>
  <c r="V100" i="5"/>
  <c r="B126" i="6"/>
  <c r="B72" i="6"/>
  <c r="B214" i="7" s="1"/>
  <c r="B99" i="6"/>
  <c r="B132" i="5"/>
  <c r="B78" i="5"/>
  <c r="B133" i="7" s="1"/>
  <c r="B105" i="5"/>
  <c r="E17" i="3"/>
  <c r="B17" i="3"/>
  <c r="B110" i="3" s="1"/>
  <c r="F17" i="3"/>
  <c r="F110" i="3" s="1"/>
  <c r="C188" i="3"/>
  <c r="C110" i="6"/>
  <c r="C66" i="3"/>
  <c r="C56" i="6"/>
  <c r="C198" i="7" s="1"/>
  <c r="C83" i="6"/>
  <c r="D28" i="7"/>
  <c r="D192" i="4"/>
  <c r="D219" i="4"/>
  <c r="E28" i="7"/>
  <c r="E192" i="4"/>
  <c r="E219" i="4"/>
  <c r="V150" i="4"/>
  <c r="V204" i="4"/>
  <c r="V8" i="3"/>
  <c r="B105" i="3"/>
  <c r="B107" i="3"/>
  <c r="B108" i="3"/>
  <c r="B103" i="3"/>
  <c r="B102" i="3"/>
  <c r="B106" i="3"/>
  <c r="B104" i="3"/>
  <c r="B96" i="3"/>
  <c r="B101" i="3"/>
  <c r="B98" i="3"/>
  <c r="B100" i="3"/>
  <c r="B99" i="3"/>
  <c r="U135" i="5"/>
  <c r="U81" i="5"/>
  <c r="U136" i="7" s="1"/>
  <c r="U108" i="5"/>
  <c r="B125" i="5"/>
  <c r="B71" i="5"/>
  <c r="B126" i="7" s="1"/>
  <c r="B98" i="5"/>
  <c r="U119" i="6"/>
  <c r="U65" i="6"/>
  <c r="U207" i="7" s="1"/>
  <c r="U92" i="6"/>
  <c r="D97" i="3"/>
  <c r="D17" i="3"/>
  <c r="D110" i="3" s="1"/>
  <c r="E118" i="3" l="1"/>
  <c r="E117" i="3"/>
  <c r="E109" i="3"/>
  <c r="E114" i="3"/>
  <c r="E113" i="3"/>
  <c r="E120" i="3"/>
  <c r="E115" i="3"/>
  <c r="E116" i="3"/>
  <c r="E119" i="3"/>
  <c r="E111" i="3"/>
  <c r="E112" i="3"/>
  <c r="V121" i="6"/>
  <c r="V67" i="6"/>
  <c r="V209" i="7" s="1"/>
  <c r="V94" i="6"/>
  <c r="C218" i="3"/>
  <c r="B117" i="3"/>
  <c r="B119" i="3"/>
  <c r="B109" i="3"/>
  <c r="B114" i="3"/>
  <c r="B118" i="3"/>
  <c r="B115" i="3"/>
  <c r="B113" i="3"/>
  <c r="B120" i="3"/>
  <c r="B116" i="3"/>
  <c r="B111" i="3"/>
  <c r="B112" i="3"/>
  <c r="B188" i="3"/>
  <c r="D114" i="3"/>
  <c r="D115" i="3"/>
  <c r="D119" i="3"/>
  <c r="D118" i="3"/>
  <c r="D120" i="3"/>
  <c r="D116" i="3"/>
  <c r="D117" i="3"/>
  <c r="D109" i="3"/>
  <c r="D113" i="3"/>
  <c r="D111" i="3"/>
  <c r="D112" i="3"/>
  <c r="V128" i="6"/>
  <c r="V74" i="6"/>
  <c r="V216" i="7" s="1"/>
  <c r="V101" i="6"/>
  <c r="B110" i="6"/>
  <c r="B66" i="3"/>
  <c r="B56" i="6"/>
  <c r="B198" i="7" s="1"/>
  <c r="B83" i="6"/>
  <c r="B119" i="6"/>
  <c r="B65" i="6"/>
  <c r="B207" i="7" s="1"/>
  <c r="B92" i="6"/>
  <c r="C113" i="3"/>
  <c r="C117" i="3"/>
  <c r="C114" i="3"/>
  <c r="C109" i="3"/>
  <c r="C119" i="3"/>
  <c r="C115" i="3"/>
  <c r="C120" i="3"/>
  <c r="C118" i="3"/>
  <c r="C116" i="3"/>
  <c r="C111" i="3"/>
  <c r="C112" i="3"/>
  <c r="V120" i="5"/>
  <c r="V66" i="5"/>
  <c r="V121" i="7" s="1"/>
  <c r="F117" i="3"/>
  <c r="F116" i="3"/>
  <c r="F109" i="3"/>
  <c r="F113" i="3"/>
  <c r="F115" i="3"/>
  <c r="F119" i="3"/>
  <c r="F114" i="3"/>
  <c r="F120" i="3"/>
  <c r="F118" i="3"/>
  <c r="F111" i="3"/>
  <c r="F112" i="3"/>
  <c r="E110" i="3"/>
  <c r="U122" i="5"/>
  <c r="U68" i="5"/>
  <c r="U123" i="7" s="1"/>
  <c r="U95" i="5"/>
  <c r="U116" i="6" l="1"/>
  <c r="U62" i="6"/>
  <c r="U204" i="7" s="1"/>
  <c r="U89" i="6"/>
  <c r="U64" i="5"/>
  <c r="U119" i="7" s="1"/>
  <c r="U118" i="5"/>
  <c r="U91" i="5"/>
  <c r="C112" i="6"/>
  <c r="C58" i="6"/>
  <c r="C200" i="7" s="1"/>
  <c r="C85" i="6"/>
  <c r="V114" i="6"/>
  <c r="V60" i="6"/>
  <c r="V202" i="7" s="1"/>
  <c r="U129" i="6"/>
  <c r="U75" i="6"/>
  <c r="U217" i="7" s="1"/>
  <c r="U102" i="6"/>
  <c r="U112" i="6"/>
  <c r="U58" i="6"/>
  <c r="U200" i="7" s="1"/>
  <c r="U85" i="6"/>
  <c r="B218" i="3"/>
  <c r="C118" i="5"/>
  <c r="C64" i="5"/>
  <c r="C119" i="7" s="1"/>
  <c r="C91" i="5"/>
  <c r="C55" i="7" l="1"/>
  <c r="B79" i="5" l="1"/>
  <c r="B134" i="7" s="1"/>
  <c r="B133" i="5"/>
  <c r="B106" i="5"/>
  <c r="B43" i="5"/>
  <c r="B127" i="6"/>
  <c r="B73" i="6"/>
  <c r="B215" i="7" s="1"/>
  <c r="B100" i="6"/>
  <c r="B34" i="6"/>
  <c r="U67" i="5"/>
  <c r="U122" i="7" s="1"/>
  <c r="U121" i="5"/>
  <c r="U94" i="5"/>
  <c r="B112" i="6"/>
  <c r="B58" i="6"/>
  <c r="B200" i="7" s="1"/>
  <c r="B85" i="6"/>
  <c r="B118" i="5"/>
  <c r="B64" i="5"/>
  <c r="B119" i="7" s="1"/>
  <c r="B91" i="5"/>
  <c r="B72" i="5"/>
  <c r="B127" i="7" s="1"/>
  <c r="B126" i="5"/>
  <c r="B99" i="5"/>
  <c r="B33" i="5"/>
  <c r="B71" i="6" l="1"/>
  <c r="B213" i="7" s="1"/>
  <c r="B125" i="6"/>
  <c r="B79" i="3"/>
  <c r="B98" i="6"/>
  <c r="B77" i="5"/>
  <c r="B132" i="7" s="1"/>
  <c r="B131" i="5"/>
  <c r="B49" i="3"/>
  <c r="B104" i="5"/>
  <c r="U128" i="5"/>
  <c r="U74" i="5"/>
  <c r="U129" i="7" s="1"/>
  <c r="U101" i="5"/>
  <c r="B124" i="5"/>
  <c r="B70" i="5"/>
  <c r="B125" i="7" s="1"/>
  <c r="B38" i="3"/>
  <c r="B97" i="5"/>
  <c r="U115" i="6"/>
  <c r="U61" i="6"/>
  <c r="U203" i="7" s="1"/>
  <c r="U88" i="6"/>
  <c r="B201" i="3" l="1"/>
  <c r="B65" i="5"/>
  <c r="B120" i="7" s="1"/>
  <c r="B119" i="5"/>
  <c r="B92" i="5"/>
  <c r="B21" i="5"/>
  <c r="B113" i="6"/>
  <c r="B59" i="6"/>
  <c r="B201" i="7" s="1"/>
  <c r="B86" i="6"/>
  <c r="B20" i="6"/>
  <c r="B190" i="3"/>
  <c r="U122" i="6"/>
  <c r="U68" i="6"/>
  <c r="U210" i="7" s="1"/>
  <c r="U95" i="6"/>
  <c r="V188" i="4"/>
  <c r="V47" i="4"/>
  <c r="B139" i="5"/>
  <c r="B85" i="5"/>
  <c r="B140" i="7" s="1"/>
  <c r="B112" i="5"/>
  <c r="B120" i="6"/>
  <c r="B66" i="6"/>
  <c r="B208" i="7" s="1"/>
  <c r="B93" i="6"/>
  <c r="B27" i="6"/>
  <c r="B231" i="3"/>
  <c r="V10" i="4"/>
  <c r="V184" i="4" l="1"/>
  <c r="V46" i="4"/>
  <c r="V265" i="4"/>
  <c r="B63" i="5"/>
  <c r="B118" i="7" s="1"/>
  <c r="B117" i="5"/>
  <c r="B37" i="3"/>
  <c r="B90" i="5"/>
  <c r="B18" i="5"/>
  <c r="V201" i="4"/>
  <c r="B18" i="6"/>
  <c r="B111" i="6"/>
  <c r="B67" i="3"/>
  <c r="B57" i="6"/>
  <c r="B199" i="7" s="1"/>
  <c r="B84" i="6"/>
  <c r="B118" i="6"/>
  <c r="B68" i="3"/>
  <c r="B64" i="6"/>
  <c r="B206" i="7" s="1"/>
  <c r="B91" i="6"/>
  <c r="W75" i="5"/>
  <c r="W130" i="7" s="1"/>
  <c r="W129" i="5"/>
  <c r="V24" i="4"/>
  <c r="V176" i="4" l="1"/>
  <c r="V215" i="4"/>
  <c r="V20" i="4"/>
  <c r="B61" i="5"/>
  <c r="B88" i="5"/>
  <c r="V264" i="4"/>
  <c r="V272" i="4"/>
  <c r="V273" i="4"/>
  <c r="V271" i="4"/>
  <c r="V266" i="4"/>
  <c r="V270" i="4"/>
  <c r="V268" i="4"/>
  <c r="V267" i="4"/>
  <c r="V269" i="4"/>
  <c r="B220" i="3"/>
  <c r="B55" i="6"/>
  <c r="B82" i="6"/>
  <c r="B219" i="3"/>
  <c r="B65" i="3"/>
  <c r="B189" i="3"/>
  <c r="B35" i="3"/>
  <c r="W123" i="6"/>
  <c r="W150" i="6"/>
  <c r="W69" i="6"/>
  <c r="V175" i="4" l="1"/>
  <c r="B187" i="3"/>
  <c r="B34" i="3"/>
  <c r="B127" i="3" s="1"/>
  <c r="B64" i="3"/>
  <c r="B217" i="3"/>
  <c r="B133" i="6"/>
  <c r="B79" i="6"/>
  <c r="B221" i="7" s="1"/>
  <c r="B106" i="6"/>
  <c r="V211" i="4"/>
  <c r="V157" i="4"/>
  <c r="V19" i="4"/>
  <c r="V238" i="4" s="1"/>
  <c r="V19" i="3"/>
  <c r="D55" i="7"/>
  <c r="B157" i="3" l="1"/>
  <c r="V33" i="4"/>
  <c r="V171" i="4"/>
  <c r="B168" i="3"/>
  <c r="B163" i="3"/>
  <c r="B161" i="3"/>
  <c r="B166" i="3"/>
  <c r="B165" i="3"/>
  <c r="B156" i="3"/>
  <c r="B167" i="3"/>
  <c r="B216" i="3"/>
  <c r="B158" i="3"/>
  <c r="B160" i="3"/>
  <c r="B159" i="3"/>
  <c r="V18" i="3"/>
  <c r="B137" i="3"/>
  <c r="B138" i="3"/>
  <c r="B135" i="3"/>
  <c r="B126" i="3"/>
  <c r="B132" i="3"/>
  <c r="B133" i="3"/>
  <c r="B131" i="3"/>
  <c r="B134" i="3"/>
  <c r="B136" i="3"/>
  <c r="B186" i="3"/>
  <c r="B128" i="3"/>
  <c r="B130" i="3"/>
  <c r="B129" i="3"/>
  <c r="V237" i="4"/>
  <c r="V156" i="4"/>
  <c r="V245" i="4"/>
  <c r="V246" i="4"/>
  <c r="V244" i="4"/>
  <c r="V243" i="4"/>
  <c r="V239" i="4"/>
  <c r="V241" i="4"/>
  <c r="V240" i="4"/>
  <c r="V242" i="4"/>
  <c r="V135" i="5"/>
  <c r="V81" i="5"/>
  <c r="V136" i="7" s="1"/>
  <c r="V108" i="5"/>
  <c r="W185" i="4" l="1"/>
  <c r="W189" i="4"/>
  <c r="W187" i="4"/>
  <c r="V17" i="3"/>
  <c r="V110" i="3"/>
  <c r="V121" i="5"/>
  <c r="V67" i="5"/>
  <c r="V122" i="7" s="1"/>
  <c r="V94" i="5"/>
  <c r="B52" i="5"/>
  <c r="B84" i="5"/>
  <c r="B111" i="5"/>
  <c r="B40" i="6"/>
  <c r="B78" i="6"/>
  <c r="B105" i="6"/>
  <c r="V129" i="6"/>
  <c r="V75" i="6"/>
  <c r="V217" i="7" s="1"/>
  <c r="V102" i="6"/>
  <c r="W178" i="4"/>
  <c r="W180" i="4"/>
  <c r="V170" i="4"/>
  <c r="V31" i="4"/>
  <c r="B83" i="5" l="1"/>
  <c r="B50" i="3"/>
  <c r="B110" i="5"/>
  <c r="B42" i="5"/>
  <c r="V260" i="4"/>
  <c r="V30" i="4"/>
  <c r="V249" i="4"/>
  <c r="V168" i="4"/>
  <c r="V250" i="4"/>
  <c r="V263" i="4"/>
  <c r="V261" i="4"/>
  <c r="V255" i="4"/>
  <c r="V259" i="4"/>
  <c r="V254" i="4"/>
  <c r="V262" i="4"/>
  <c r="V258" i="4"/>
  <c r="V253" i="4"/>
  <c r="V257" i="4"/>
  <c r="V256" i="4"/>
  <c r="V252" i="4"/>
  <c r="V74" i="5"/>
  <c r="V129" i="7" s="1"/>
  <c r="V128" i="5"/>
  <c r="V101" i="5"/>
  <c r="V117" i="3"/>
  <c r="V119" i="3"/>
  <c r="V115" i="3"/>
  <c r="V120" i="3"/>
  <c r="V118" i="3"/>
  <c r="V109" i="3"/>
  <c r="V114" i="3"/>
  <c r="V116" i="3"/>
  <c r="V113" i="3"/>
  <c r="V112" i="3"/>
  <c r="V111" i="3"/>
  <c r="V115" i="6"/>
  <c r="V61" i="6"/>
  <c r="V203" i="7" s="1"/>
  <c r="V88" i="6"/>
  <c r="V251" i="4"/>
  <c r="B80" i="3"/>
  <c r="B77" i="6"/>
  <c r="B104" i="6"/>
  <c r="B33" i="6"/>
  <c r="W186" i="4"/>
  <c r="W25" i="4"/>
  <c r="W14" i="4"/>
  <c r="W23" i="4"/>
  <c r="W21" i="4"/>
  <c r="W214" i="4" l="1"/>
  <c r="W205" i="4"/>
  <c r="W216" i="4"/>
  <c r="B76" i="5"/>
  <c r="B103" i="5"/>
  <c r="B17" i="5"/>
  <c r="B232" i="3"/>
  <c r="B78" i="3"/>
  <c r="W212" i="4"/>
  <c r="B17" i="6"/>
  <c r="B151" i="6" s="1"/>
  <c r="B70" i="6"/>
  <c r="B97" i="6"/>
  <c r="V122" i="6"/>
  <c r="V68" i="6"/>
  <c r="V210" i="7" s="1"/>
  <c r="V95" i="6"/>
  <c r="B202" i="3"/>
  <c r="B48" i="3"/>
  <c r="W22" i="4"/>
  <c r="W18" i="4"/>
  <c r="V11" i="4"/>
  <c r="V12" i="4"/>
  <c r="V9" i="4"/>
  <c r="V96" i="5" l="1"/>
  <c r="V203" i="4"/>
  <c r="B144" i="5"/>
  <c r="B141" i="5"/>
  <c r="B60" i="5"/>
  <c r="B154" i="5"/>
  <c r="B156" i="5"/>
  <c r="B161" i="5"/>
  <c r="B162" i="5"/>
  <c r="B163" i="5"/>
  <c r="B147" i="5"/>
  <c r="B148" i="5"/>
  <c r="B155" i="5"/>
  <c r="B152" i="5"/>
  <c r="B159" i="5"/>
  <c r="B143" i="5"/>
  <c r="B153" i="5"/>
  <c r="B160" i="5"/>
  <c r="B145" i="5"/>
  <c r="B151" i="5"/>
  <c r="B158" i="5"/>
  <c r="B146" i="5"/>
  <c r="B166" i="5"/>
  <c r="B142" i="5"/>
  <c r="B165" i="5"/>
  <c r="B164" i="5"/>
  <c r="V202" i="4"/>
  <c r="W213" i="4"/>
  <c r="V87" i="6"/>
  <c r="V200" i="4"/>
  <c r="V93" i="5"/>
  <c r="W96" i="6"/>
  <c r="W209" i="4"/>
  <c r="W102" i="5"/>
  <c r="B157" i="5"/>
  <c r="B200" i="3"/>
  <c r="B47" i="3"/>
  <c r="B140" i="3" s="1"/>
  <c r="B135" i="6"/>
  <c r="B148" i="6"/>
  <c r="B156" i="6"/>
  <c r="B155" i="6"/>
  <c r="B141" i="6"/>
  <c r="B142" i="6"/>
  <c r="B149" i="6"/>
  <c r="B54" i="6"/>
  <c r="B153" i="6"/>
  <c r="B137" i="6"/>
  <c r="B146" i="6"/>
  <c r="B154" i="6"/>
  <c r="B139" i="6"/>
  <c r="B152" i="6"/>
  <c r="B140" i="6"/>
  <c r="B147" i="6"/>
  <c r="B145" i="6"/>
  <c r="B138" i="6"/>
  <c r="B136" i="6"/>
  <c r="B160" i="6"/>
  <c r="B159" i="6"/>
  <c r="B158" i="6"/>
  <c r="B77" i="3"/>
  <c r="B230" i="3"/>
  <c r="W16" i="4"/>
  <c r="V4" i="5"/>
  <c r="V47" i="6" s="1"/>
  <c r="V7" i="4"/>
  <c r="B169" i="3" l="1"/>
  <c r="B175" i="3"/>
  <c r="B173" i="3"/>
  <c r="B176" i="3"/>
  <c r="B177" i="3"/>
  <c r="B174" i="3"/>
  <c r="B180" i="3"/>
  <c r="B179" i="3"/>
  <c r="B178" i="3"/>
  <c r="B229" i="3"/>
  <c r="B171" i="3"/>
  <c r="B172" i="3"/>
  <c r="B144" i="3"/>
  <c r="B149" i="3"/>
  <c r="B143" i="3"/>
  <c r="B199" i="3"/>
  <c r="B150" i="3"/>
  <c r="B148" i="3"/>
  <c r="B139" i="3"/>
  <c r="B145" i="3"/>
  <c r="B147" i="3"/>
  <c r="B146" i="3"/>
  <c r="B141" i="3"/>
  <c r="B142" i="3"/>
  <c r="V198" i="4"/>
  <c r="W207" i="4"/>
  <c r="V123" i="5"/>
  <c r="V69" i="5"/>
  <c r="V124" i="7" s="1"/>
  <c r="B170" i="3"/>
  <c r="V8" i="4"/>
  <c r="V6" i="4" s="1"/>
  <c r="V143" i="4" l="1"/>
  <c r="V197" i="4"/>
  <c r="V7" i="3"/>
  <c r="V4" i="4"/>
  <c r="V199" i="4"/>
  <c r="V117" i="6"/>
  <c r="V144" i="6"/>
  <c r="V63" i="6"/>
  <c r="V90" i="6"/>
  <c r="W136" i="5"/>
  <c r="W82" i="5"/>
  <c r="W137" i="7" s="1"/>
  <c r="W109" i="5"/>
  <c r="V231" i="4" l="1"/>
  <c r="V141" i="4"/>
  <c r="V195" i="4"/>
  <c r="V222" i="4"/>
  <c r="V223" i="4"/>
  <c r="V232" i="4"/>
  <c r="V236" i="4"/>
  <c r="V234" i="4"/>
  <c r="V235" i="4"/>
  <c r="V233" i="4"/>
  <c r="V228" i="4"/>
  <c r="V229" i="4"/>
  <c r="V227" i="4"/>
  <c r="V230" i="4"/>
  <c r="V225" i="4"/>
  <c r="V5" i="3"/>
  <c r="V226" i="4"/>
  <c r="V224" i="4"/>
  <c r="W157" i="6"/>
  <c r="W130" i="6"/>
  <c r="W76" i="6"/>
  <c r="W103" i="6"/>
  <c r="E55" i="7"/>
  <c r="V119" i="6" l="1"/>
  <c r="V65" i="6"/>
  <c r="V207" i="7" s="1"/>
  <c r="V92" i="6"/>
  <c r="V110" i="6"/>
  <c r="V66" i="3"/>
  <c r="V56" i="6"/>
  <c r="V198" i="7" s="1"/>
  <c r="V83" i="6"/>
  <c r="V125" i="5"/>
  <c r="V71" i="5"/>
  <c r="V126" i="7" s="1"/>
  <c r="V98" i="5"/>
  <c r="V4" i="3"/>
  <c r="V97" i="3" s="1"/>
  <c r="V78" i="5"/>
  <c r="V133" i="7" s="1"/>
  <c r="V132" i="5"/>
  <c r="V105" i="5"/>
  <c r="V126" i="6"/>
  <c r="V72" i="6"/>
  <c r="V214" i="7" s="1"/>
  <c r="V99" i="6"/>
  <c r="V62" i="5"/>
  <c r="V117" i="7" s="1"/>
  <c r="V116" i="5"/>
  <c r="V36" i="3"/>
  <c r="V89" i="5"/>
  <c r="V102" i="3" l="1"/>
  <c r="V105" i="3"/>
  <c r="V106" i="3"/>
  <c r="V108" i="3"/>
  <c r="V104" i="3"/>
  <c r="V107" i="3"/>
  <c r="V96" i="3"/>
  <c r="V103" i="3"/>
  <c r="V101" i="3"/>
  <c r="V98" i="3"/>
  <c r="V100" i="3"/>
  <c r="V99" i="3"/>
  <c r="V188" i="3"/>
  <c r="V218" i="3"/>
  <c r="V122" i="5" l="1"/>
  <c r="V68" i="5"/>
  <c r="V123" i="7" s="1"/>
  <c r="V95" i="5"/>
  <c r="V116" i="6" l="1"/>
  <c r="V62" i="6"/>
  <c r="V204" i="7" s="1"/>
  <c r="V89" i="6"/>
  <c r="V112" i="6" l="1"/>
  <c r="V58" i="6"/>
  <c r="V200" i="7" s="1"/>
  <c r="V85" i="6"/>
  <c r="W173" i="4"/>
  <c r="V118" i="5"/>
  <c r="V64" i="5"/>
  <c r="V119" i="7" s="1"/>
  <c r="V91" i="5"/>
  <c r="W172" i="4"/>
  <c r="W174" i="4"/>
  <c r="F55" i="7" l="1"/>
  <c r="W181" i="4" l="1"/>
  <c r="W179" i="4" l="1"/>
  <c r="W40" i="4"/>
  <c r="W17" i="4"/>
  <c r="W208" i="4" l="1"/>
  <c r="W177" i="4"/>
  <c r="W10" i="4"/>
  <c r="W15" i="4"/>
  <c r="W206" i="4" l="1"/>
  <c r="W13" i="4"/>
  <c r="W201" i="4"/>
  <c r="W73" i="5"/>
  <c r="W128" i="7" s="1"/>
  <c r="W127" i="5"/>
  <c r="W100" i="5"/>
  <c r="W80" i="5"/>
  <c r="W135" i="7" s="1"/>
  <c r="W134" i="5"/>
  <c r="W107" i="5"/>
  <c r="W120" i="5" l="1"/>
  <c r="W66" i="5"/>
  <c r="W121" i="7" s="1"/>
  <c r="W204" i="4"/>
  <c r="W150" i="4"/>
  <c r="W8" i="3"/>
  <c r="W121" i="6"/>
  <c r="W67" i="6"/>
  <c r="W209" i="7" s="1"/>
  <c r="W94" i="6"/>
  <c r="W128" i="6"/>
  <c r="W74" i="6"/>
  <c r="W216" i="7" s="1"/>
  <c r="W101" i="6"/>
  <c r="W114" i="6" l="1"/>
  <c r="W60" i="6"/>
  <c r="W202" i="7" s="1"/>
  <c r="W188" i="4"/>
  <c r="W47" i="4"/>
  <c r="W184" i="4" l="1"/>
  <c r="W46" i="4"/>
  <c r="W265" i="4" s="1"/>
  <c r="W24" i="4"/>
  <c r="W215" i="4" l="1"/>
  <c r="W20" i="4"/>
  <c r="W264" i="4"/>
  <c r="W272" i="4"/>
  <c r="W273" i="4"/>
  <c r="W271" i="4"/>
  <c r="W266" i="4"/>
  <c r="W268" i="4"/>
  <c r="W270" i="4"/>
  <c r="W267" i="4"/>
  <c r="W269" i="4"/>
  <c r="W176" i="4"/>
  <c r="W19" i="4" l="1"/>
  <c r="W211" i="4"/>
  <c r="W157" i="4"/>
  <c r="W19" i="3"/>
  <c r="C107" i="4"/>
  <c r="C100" i="4" s="1"/>
  <c r="C84" i="4" s="1"/>
  <c r="D54" i="7"/>
  <c r="D134" i="4"/>
  <c r="W175" i="4"/>
  <c r="D107" i="4"/>
  <c r="D100" i="4" s="1"/>
  <c r="D84" i="4" s="1"/>
  <c r="X129" i="5"/>
  <c r="X75" i="5"/>
  <c r="X130" i="7" s="1"/>
  <c r="G55" i="7"/>
  <c r="W33" i="4" l="1"/>
  <c r="W171" i="4"/>
  <c r="C80" i="4"/>
  <c r="C27" i="7"/>
  <c r="C191" i="4"/>
  <c r="C218" i="4"/>
  <c r="W18" i="3"/>
  <c r="C54" i="7"/>
  <c r="C134" i="4"/>
  <c r="B134" i="4"/>
  <c r="B54" i="7"/>
  <c r="B107" i="4"/>
  <c r="B100" i="4" s="1"/>
  <c r="B84" i="4" s="1"/>
  <c r="X69" i="6"/>
  <c r="X123" i="6"/>
  <c r="X150" i="6"/>
  <c r="D53" i="7"/>
  <c r="D127" i="4"/>
  <c r="D80" i="4"/>
  <c r="D27" i="7"/>
  <c r="D191" i="4"/>
  <c r="D218" i="4"/>
  <c r="W238" i="4"/>
  <c r="W237" i="4"/>
  <c r="W156" i="4"/>
  <c r="W245" i="4"/>
  <c r="W246" i="4"/>
  <c r="W244" i="4"/>
  <c r="W239" i="4"/>
  <c r="W241" i="4"/>
  <c r="W243" i="4"/>
  <c r="W240" i="4"/>
  <c r="W242" i="4"/>
  <c r="C26" i="7" l="1"/>
  <c r="C73" i="4"/>
  <c r="C190" i="4"/>
  <c r="C217" i="4"/>
  <c r="B27" i="7"/>
  <c r="B80" i="4"/>
  <c r="B191" i="4"/>
  <c r="B218" i="4"/>
  <c r="B132" i="6"/>
  <c r="B138" i="5"/>
  <c r="D26" i="7"/>
  <c r="D73" i="4"/>
  <c r="D190" i="4"/>
  <c r="D217" i="4"/>
  <c r="D46" i="7"/>
  <c r="D111" i="4"/>
  <c r="D30" i="7" s="1"/>
  <c r="B53" i="7"/>
  <c r="B127" i="4"/>
  <c r="C53" i="7"/>
  <c r="C127" i="4"/>
  <c r="W170" i="4"/>
  <c r="W31" i="4"/>
  <c r="W251" i="4" s="1"/>
  <c r="W17" i="3"/>
  <c r="W110" i="3" s="1"/>
  <c r="W81" i="5"/>
  <c r="W136" i="7" s="1"/>
  <c r="W135" i="5"/>
  <c r="W108" i="5"/>
  <c r="W30" i="4" l="1"/>
  <c r="W249" i="4"/>
  <c r="W168" i="4"/>
  <c r="W250" i="4"/>
  <c r="W263" i="4"/>
  <c r="W259" i="4"/>
  <c r="W261" i="4"/>
  <c r="W254" i="4"/>
  <c r="W255" i="4"/>
  <c r="W253" i="4"/>
  <c r="W262" i="4"/>
  <c r="W260" i="4"/>
  <c r="W258" i="4"/>
  <c r="W257" i="4"/>
  <c r="W256" i="4"/>
  <c r="W252" i="4"/>
  <c r="C46" i="7"/>
  <c r="C111" i="4"/>
  <c r="C30" i="7" s="1"/>
  <c r="W109" i="3"/>
  <c r="W113" i="3"/>
  <c r="W118" i="3"/>
  <c r="W116" i="3"/>
  <c r="W114" i="3"/>
  <c r="W119" i="3"/>
  <c r="W117" i="3"/>
  <c r="W115" i="3"/>
  <c r="W120" i="3"/>
  <c r="W112" i="3"/>
  <c r="W111" i="3"/>
  <c r="W129" i="6"/>
  <c r="W75" i="6"/>
  <c r="W217" i="7" s="1"/>
  <c r="W102" i="6"/>
  <c r="D19" i="7"/>
  <c r="D57" i="4"/>
  <c r="D183" i="4"/>
  <c r="D210" i="4"/>
  <c r="C19" i="7"/>
  <c r="C57" i="4"/>
  <c r="C183" i="4"/>
  <c r="C210" i="4"/>
  <c r="B46" i="7"/>
  <c r="B111" i="4"/>
  <c r="B30" i="7" s="1"/>
  <c r="B26" i="7"/>
  <c r="B73" i="4"/>
  <c r="B190" i="4"/>
  <c r="B217" i="4"/>
  <c r="B137" i="5"/>
  <c r="B131" i="6"/>
  <c r="X180" i="4" l="1"/>
  <c r="B19" i="7"/>
  <c r="B57" i="4"/>
  <c r="B183" i="4"/>
  <c r="B210" i="4"/>
  <c r="D3" i="7"/>
  <c r="D167" i="4"/>
  <c r="W67" i="5"/>
  <c r="W122" i="7" s="1"/>
  <c r="W121" i="5"/>
  <c r="W94" i="5"/>
  <c r="E107" i="4"/>
  <c r="E100" i="4" s="1"/>
  <c r="E84" i="4" s="1"/>
  <c r="E54" i="7"/>
  <c r="E134" i="4"/>
  <c r="C3" i="7"/>
  <c r="C167" i="4"/>
  <c r="W9" i="4"/>
  <c r="W11" i="4"/>
  <c r="W12" i="4"/>
  <c r="B3" i="7" l="1"/>
  <c r="B167" i="4"/>
  <c r="W96" i="5"/>
  <c r="W203" i="4"/>
  <c r="W128" i="5"/>
  <c r="W74" i="5"/>
  <c r="W129" i="7" s="1"/>
  <c r="W101" i="5"/>
  <c r="W202" i="4"/>
  <c r="W87" i="6"/>
  <c r="W200" i="4"/>
  <c r="W93" i="5"/>
  <c r="E53" i="7"/>
  <c r="E127" i="4"/>
  <c r="W115" i="6"/>
  <c r="W61" i="6"/>
  <c r="W203" i="7" s="1"/>
  <c r="W88" i="6"/>
  <c r="E27" i="7"/>
  <c r="E80" i="4"/>
  <c r="E191" i="4"/>
  <c r="E218" i="4"/>
  <c r="W7" i="4"/>
  <c r="W4" i="5" l="1"/>
  <c r="W47" i="6" s="1"/>
  <c r="W123" i="5"/>
  <c r="W69" i="5"/>
  <c r="W124" i="7" s="1"/>
  <c r="W198" i="4"/>
  <c r="W122" i="6"/>
  <c r="W68" i="6"/>
  <c r="W210" i="7" s="1"/>
  <c r="W95" i="6"/>
  <c r="E26" i="7"/>
  <c r="E73" i="4"/>
  <c r="E190" i="4"/>
  <c r="E217" i="4"/>
  <c r="E46" i="7"/>
  <c r="E111" i="4"/>
  <c r="E30" i="7" s="1"/>
  <c r="F54" i="7"/>
  <c r="F134" i="4"/>
  <c r="F107" i="4"/>
  <c r="F100" i="4" s="1"/>
  <c r="F84" i="4" s="1"/>
  <c r="B139" i="7"/>
  <c r="B220" i="7"/>
  <c r="W8" i="4"/>
  <c r="W117" i="6" l="1"/>
  <c r="W144" i="6"/>
  <c r="W63" i="6"/>
  <c r="W90" i="6"/>
  <c r="W199" i="4"/>
  <c r="F80" i="4"/>
  <c r="F27" i="7"/>
  <c r="F191" i="4"/>
  <c r="F218" i="4"/>
  <c r="E19" i="7"/>
  <c r="E57" i="4"/>
  <c r="E183" i="4"/>
  <c r="E210" i="4"/>
  <c r="W6" i="4"/>
  <c r="F53" i="7"/>
  <c r="F127" i="4"/>
  <c r="B138" i="7"/>
  <c r="B219" i="7"/>
  <c r="E3" i="7" l="1"/>
  <c r="E167" i="4"/>
  <c r="F46" i="7"/>
  <c r="F111" i="4"/>
  <c r="F30" i="7" s="1"/>
  <c r="W197" i="4"/>
  <c r="W7" i="3"/>
  <c r="W143" i="4"/>
  <c r="W4" i="4"/>
  <c r="F26" i="7"/>
  <c r="F73" i="4"/>
  <c r="F190" i="4"/>
  <c r="F217" i="4"/>
  <c r="W119" i="6" l="1"/>
  <c r="W65" i="6"/>
  <c r="W207" i="7" s="1"/>
  <c r="W92" i="6"/>
  <c r="G107" i="4"/>
  <c r="G100" i="4" s="1"/>
  <c r="G84" i="4" s="1"/>
  <c r="W5" i="3"/>
  <c r="W126" i="6"/>
  <c r="W72" i="6"/>
  <c r="W214" i="7" s="1"/>
  <c r="W99" i="6"/>
  <c r="F19" i="7"/>
  <c r="F57" i="4"/>
  <c r="F183" i="4"/>
  <c r="F210" i="4"/>
  <c r="G54" i="7"/>
  <c r="G134" i="4"/>
  <c r="W125" i="5"/>
  <c r="W71" i="5"/>
  <c r="W126" i="7" s="1"/>
  <c r="W98" i="5"/>
  <c r="W224" i="4"/>
  <c r="W222" i="4"/>
  <c r="W195" i="4"/>
  <c r="W141" i="4"/>
  <c r="W223" i="4"/>
  <c r="W232" i="4"/>
  <c r="W236" i="4"/>
  <c r="W234" i="4"/>
  <c r="W235" i="4"/>
  <c r="W228" i="4"/>
  <c r="W233" i="4"/>
  <c r="W231" i="4"/>
  <c r="W230" i="4"/>
  <c r="W229" i="4"/>
  <c r="W227" i="4"/>
  <c r="W225" i="4"/>
  <c r="W226" i="4"/>
  <c r="W36" i="3"/>
  <c r="W116" i="5"/>
  <c r="W62" i="5"/>
  <c r="W117" i="7" s="1"/>
  <c r="W89" i="5"/>
  <c r="W132" i="5"/>
  <c r="W78" i="5"/>
  <c r="W133" i="7" s="1"/>
  <c r="W105" i="5"/>
  <c r="G53" i="7" l="1"/>
  <c r="G127" i="4"/>
  <c r="W188" i="3"/>
  <c r="W4" i="3"/>
  <c r="W97" i="3" s="1"/>
  <c r="W110" i="6"/>
  <c r="W66" i="3"/>
  <c r="W56" i="6"/>
  <c r="W198" i="7" s="1"/>
  <c r="W83" i="6"/>
  <c r="G27" i="7"/>
  <c r="G80" i="4"/>
  <c r="G191" i="4"/>
  <c r="G218" i="4"/>
  <c r="F3" i="7"/>
  <c r="F167" i="4"/>
  <c r="H55" i="7"/>
  <c r="W218" i="3" l="1"/>
  <c r="W122" i="5"/>
  <c r="W68" i="5"/>
  <c r="W123" i="7" s="1"/>
  <c r="W95" i="5"/>
  <c r="G46" i="7"/>
  <c r="G111" i="4"/>
  <c r="G30" i="7" s="1"/>
  <c r="G26" i="7"/>
  <c r="G73" i="4"/>
  <c r="G190" i="4"/>
  <c r="G217" i="4"/>
  <c r="W107" i="3"/>
  <c r="W102" i="3"/>
  <c r="W103" i="3"/>
  <c r="W105" i="3"/>
  <c r="W104" i="3"/>
  <c r="W108" i="3"/>
  <c r="W101" i="3"/>
  <c r="W106" i="3"/>
  <c r="W96" i="3"/>
  <c r="W98" i="3"/>
  <c r="W100" i="3"/>
  <c r="W99" i="3"/>
  <c r="H107" i="4" l="1"/>
  <c r="H100" i="4" s="1"/>
  <c r="H84" i="4" s="1"/>
  <c r="H134" i="4"/>
  <c r="H54" i="7"/>
  <c r="W112" i="6"/>
  <c r="W58" i="6"/>
  <c r="W200" i="7" s="1"/>
  <c r="W85" i="6"/>
  <c r="G19" i="7"/>
  <c r="G57" i="4"/>
  <c r="G183" i="4"/>
  <c r="G210" i="4"/>
  <c r="W116" i="6"/>
  <c r="W62" i="6"/>
  <c r="W204" i="7" s="1"/>
  <c r="W89" i="6"/>
  <c r="W64" i="5"/>
  <c r="W119" i="7" s="1"/>
  <c r="W118" i="5"/>
  <c r="W91" i="5"/>
  <c r="G3" i="7" l="1"/>
  <c r="G167" i="4"/>
  <c r="H27" i="7"/>
  <c r="H80" i="4"/>
  <c r="H191" i="4"/>
  <c r="H218" i="4"/>
  <c r="H53" i="7"/>
  <c r="H127" i="4"/>
  <c r="H26" i="7" l="1"/>
  <c r="H73" i="4"/>
  <c r="H190" i="4"/>
  <c r="H217" i="4"/>
  <c r="H46" i="7"/>
  <c r="H111" i="4"/>
  <c r="H30" i="7" s="1"/>
  <c r="H19" i="7" l="1"/>
  <c r="H57" i="4"/>
  <c r="H183" i="4"/>
  <c r="H210" i="4"/>
  <c r="I54" i="7"/>
  <c r="I107" i="4"/>
  <c r="I100" i="4" s="1"/>
  <c r="I84" i="4" s="1"/>
  <c r="C62" i="7"/>
  <c r="B62" i="7"/>
  <c r="X178" i="4"/>
  <c r="I27" i="7" l="1"/>
  <c r="I80" i="4"/>
  <c r="I191" i="4"/>
  <c r="I218" i="4"/>
  <c r="H3" i="7"/>
  <c r="H167" i="4"/>
  <c r="X14" i="4"/>
  <c r="C127" i="6" l="1"/>
  <c r="C73" i="6"/>
  <c r="C215" i="7" s="1"/>
  <c r="C100" i="6"/>
  <c r="C34" i="6"/>
  <c r="D62" i="7"/>
  <c r="I26" i="7"/>
  <c r="I73" i="4"/>
  <c r="I190" i="4"/>
  <c r="I217" i="4"/>
  <c r="X205" i="4"/>
  <c r="C126" i="5"/>
  <c r="C72" i="5"/>
  <c r="C127" i="7" s="1"/>
  <c r="C99" i="5"/>
  <c r="C33" i="5"/>
  <c r="C79" i="5"/>
  <c r="C134" i="7" s="1"/>
  <c r="C133" i="5"/>
  <c r="C106" i="5"/>
  <c r="C43" i="5"/>
  <c r="C120" i="6"/>
  <c r="C66" i="6"/>
  <c r="C208" i="7" s="1"/>
  <c r="C93" i="6"/>
  <c r="C27" i="6"/>
  <c r="B69" i="7"/>
  <c r="B60" i="7" s="1"/>
  <c r="X16" i="4"/>
  <c r="X18" i="4"/>
  <c r="C131" i="5" l="1"/>
  <c r="C77" i="5"/>
  <c r="C132" i="7" s="1"/>
  <c r="C49" i="3"/>
  <c r="C104" i="5"/>
  <c r="X207" i="4"/>
  <c r="C118" i="6"/>
  <c r="C68" i="3"/>
  <c r="C64" i="6"/>
  <c r="C206" i="7" s="1"/>
  <c r="C91" i="6"/>
  <c r="C125" i="6"/>
  <c r="C79" i="3"/>
  <c r="C71" i="6"/>
  <c r="C213" i="7" s="1"/>
  <c r="C98" i="6"/>
  <c r="X209" i="4"/>
  <c r="X102" i="5"/>
  <c r="X96" i="6"/>
  <c r="C124" i="5"/>
  <c r="C70" i="5"/>
  <c r="C125" i="7" s="1"/>
  <c r="C38" i="3"/>
  <c r="C97" i="5"/>
  <c r="I183" i="4"/>
  <c r="I19" i="7"/>
  <c r="I57" i="4"/>
  <c r="I210" i="4"/>
  <c r="E62" i="7"/>
  <c r="C69" i="7" l="1"/>
  <c r="C60" i="7" s="1"/>
  <c r="I3" i="7"/>
  <c r="I167" i="4"/>
  <c r="C85" i="5"/>
  <c r="C140" i="7" s="1"/>
  <c r="C139" i="5"/>
  <c r="C112" i="5"/>
  <c r="C119" i="5"/>
  <c r="C65" i="5"/>
  <c r="C120" i="7" s="1"/>
  <c r="C92" i="5"/>
  <c r="C21" i="5"/>
  <c r="C231" i="3"/>
  <c r="J107" i="4"/>
  <c r="J100" i="4" s="1"/>
  <c r="J84" i="4" s="1"/>
  <c r="J54" i="7"/>
  <c r="C113" i="6"/>
  <c r="C59" i="6"/>
  <c r="C201" i="7" s="1"/>
  <c r="C86" i="6"/>
  <c r="C20" i="6"/>
  <c r="C190" i="3"/>
  <c r="F62" i="7"/>
  <c r="C201" i="3"/>
  <c r="C220" i="3"/>
  <c r="C76" i="7"/>
  <c r="G62" i="7"/>
  <c r="B76" i="7"/>
  <c r="I62" i="7" l="1"/>
  <c r="E69" i="7"/>
  <c r="E60" i="7" s="1"/>
  <c r="X189" i="4"/>
  <c r="E76" i="7"/>
  <c r="C117" i="5"/>
  <c r="C63" i="5"/>
  <c r="C118" i="7" s="1"/>
  <c r="C37" i="3"/>
  <c r="C90" i="5"/>
  <c r="C18" i="5"/>
  <c r="X188" i="4"/>
  <c r="D69" i="7"/>
  <c r="D60" i="7" s="1"/>
  <c r="D76" i="7"/>
  <c r="C111" i="6"/>
  <c r="C67" i="3"/>
  <c r="C57" i="6"/>
  <c r="C199" i="7" s="1"/>
  <c r="C84" i="6"/>
  <c r="C18" i="6"/>
  <c r="J80" i="4"/>
  <c r="J27" i="7"/>
  <c r="J191" i="4"/>
  <c r="J218" i="4"/>
  <c r="X185" i="4"/>
  <c r="H62" i="7"/>
  <c r="X47" i="4" l="1"/>
  <c r="X46" i="4"/>
  <c r="X184" i="4"/>
  <c r="X265" i="4"/>
  <c r="X187" i="4"/>
  <c r="X268" i="4"/>
  <c r="F76" i="7"/>
  <c r="C55" i="6"/>
  <c r="C82" i="6"/>
  <c r="C61" i="5"/>
  <c r="C88" i="5"/>
  <c r="D120" i="6"/>
  <c r="D66" i="6"/>
  <c r="D208" i="7" s="1"/>
  <c r="D93" i="6"/>
  <c r="D27" i="6"/>
  <c r="D126" i="5"/>
  <c r="D72" i="5"/>
  <c r="D127" i="7" s="1"/>
  <c r="D99" i="5"/>
  <c r="D33" i="5"/>
  <c r="J62" i="7"/>
  <c r="X186" i="4"/>
  <c r="D127" i="6"/>
  <c r="D73" i="6"/>
  <c r="D215" i="7" s="1"/>
  <c r="D100" i="6"/>
  <c r="D34" i="6"/>
  <c r="C189" i="3"/>
  <c r="C35" i="3"/>
  <c r="F69" i="7"/>
  <c r="F60" i="7" s="1"/>
  <c r="J26" i="7"/>
  <c r="J73" i="4"/>
  <c r="J190" i="4"/>
  <c r="J217" i="4"/>
  <c r="C219" i="3"/>
  <c r="C65" i="3"/>
  <c r="G69" i="7"/>
  <c r="G60" i="7" s="1"/>
  <c r="D79" i="5"/>
  <c r="D134" i="7" s="1"/>
  <c r="D133" i="5"/>
  <c r="D106" i="5"/>
  <c r="D43" i="5"/>
  <c r="C133" i="6"/>
  <c r="C79" i="6"/>
  <c r="C221" i="7" s="1"/>
  <c r="C106" i="6"/>
  <c r="X25" i="4"/>
  <c r="X24" i="4"/>
  <c r="X21" i="4"/>
  <c r="D131" i="5" l="1"/>
  <c r="D77" i="5"/>
  <c r="D132" i="7" s="1"/>
  <c r="D49" i="3"/>
  <c r="D104" i="5"/>
  <c r="C187" i="3"/>
  <c r="C34" i="3"/>
  <c r="C127" i="3" s="1"/>
  <c r="D124" i="5"/>
  <c r="D70" i="5"/>
  <c r="D125" i="7" s="1"/>
  <c r="D38" i="3"/>
  <c r="D97" i="5"/>
  <c r="K54" i="7"/>
  <c r="X215" i="4"/>
  <c r="C64" i="3"/>
  <c r="C157" i="3" s="1"/>
  <c r="C217" i="3"/>
  <c r="X216" i="4"/>
  <c r="K62" i="7"/>
  <c r="K107" i="4"/>
  <c r="K100" i="4" s="1"/>
  <c r="K84" i="4" s="1"/>
  <c r="H69" i="7"/>
  <c r="H60" i="7" s="1"/>
  <c r="J19" i="7"/>
  <c r="J57" i="4"/>
  <c r="J183" i="4"/>
  <c r="J210" i="4"/>
  <c r="D125" i="6"/>
  <c r="D79" i="3"/>
  <c r="D71" i="6"/>
  <c r="D213" i="7" s="1"/>
  <c r="D98" i="6"/>
  <c r="D118" i="6"/>
  <c r="D68" i="3"/>
  <c r="D64" i="6"/>
  <c r="D206" i="7" s="1"/>
  <c r="D91" i="6"/>
  <c r="X212" i="4"/>
  <c r="X267" i="4"/>
  <c r="X264" i="4"/>
  <c r="X272" i="4"/>
  <c r="X273" i="4"/>
  <c r="X271" i="4"/>
  <c r="X266" i="4"/>
  <c r="X269" i="4"/>
  <c r="X270" i="4"/>
  <c r="X22" i="4"/>
  <c r="X23" i="4"/>
  <c r="G76" i="7"/>
  <c r="X20" i="4" l="1"/>
  <c r="X157" i="4"/>
  <c r="X19" i="3"/>
  <c r="X211" i="4"/>
  <c r="X19" i="4"/>
  <c r="X240" i="4" s="1"/>
  <c r="C84" i="5"/>
  <c r="C139" i="7" s="1"/>
  <c r="C52" i="5"/>
  <c r="C138" i="5"/>
  <c r="C111" i="5"/>
  <c r="C132" i="6"/>
  <c r="C40" i="6"/>
  <c r="C78" i="6"/>
  <c r="C220" i="7" s="1"/>
  <c r="C105" i="6"/>
  <c r="D220" i="3"/>
  <c r="C165" i="3"/>
  <c r="C163" i="3"/>
  <c r="C167" i="3"/>
  <c r="C161" i="3"/>
  <c r="C166" i="3"/>
  <c r="C156" i="3"/>
  <c r="C168" i="3"/>
  <c r="C216" i="3"/>
  <c r="C158" i="3"/>
  <c r="C160" i="3"/>
  <c r="C159" i="3"/>
  <c r="D190" i="3"/>
  <c r="D201" i="3"/>
  <c r="D113" i="6"/>
  <c r="D59" i="6"/>
  <c r="D201" i="7" s="1"/>
  <c r="D86" i="6"/>
  <c r="D20" i="6"/>
  <c r="X213" i="4"/>
  <c r="K80" i="4"/>
  <c r="K27" i="7"/>
  <c r="K191" i="4"/>
  <c r="K218" i="4"/>
  <c r="L62" i="7"/>
  <c r="D119" i="5"/>
  <c r="D65" i="5"/>
  <c r="D120" i="7" s="1"/>
  <c r="D92" i="5"/>
  <c r="D21" i="5"/>
  <c r="X174" i="4"/>
  <c r="J3" i="7"/>
  <c r="J167" i="4"/>
  <c r="H76" i="7"/>
  <c r="X172" i="4"/>
  <c r="D139" i="5"/>
  <c r="D85" i="5"/>
  <c r="D140" i="7" s="1"/>
  <c r="D112" i="5"/>
  <c r="D231" i="3"/>
  <c r="C133" i="3"/>
  <c r="C137" i="3"/>
  <c r="C134" i="3"/>
  <c r="C135" i="3"/>
  <c r="C186" i="3"/>
  <c r="C126" i="3"/>
  <c r="C131" i="3"/>
  <c r="C136" i="3"/>
  <c r="C132" i="3"/>
  <c r="C138" i="3"/>
  <c r="C128" i="3"/>
  <c r="C130" i="3"/>
  <c r="C129" i="3"/>
  <c r="I76" i="7"/>
  <c r="X214" i="4"/>
  <c r="I69" i="7"/>
  <c r="I60" i="7" s="1"/>
  <c r="X241" i="4" l="1"/>
  <c r="X238" i="4"/>
  <c r="J69" i="7"/>
  <c r="J60" i="7" s="1"/>
  <c r="C131" i="6"/>
  <c r="C80" i="3"/>
  <c r="C77" i="6"/>
  <c r="C219" i="7" s="1"/>
  <c r="C104" i="6"/>
  <c r="C33" i="6"/>
  <c r="X173" i="4"/>
  <c r="J76" i="7"/>
  <c r="D63" i="5"/>
  <c r="D118" i="7" s="1"/>
  <c r="D117" i="5"/>
  <c r="D37" i="3"/>
  <c r="D18" i="5"/>
  <c r="D90" i="5"/>
  <c r="I55" i="7"/>
  <c r="I134" i="4"/>
  <c r="X244" i="4"/>
  <c r="X237" i="4"/>
  <c r="X156" i="4"/>
  <c r="X245" i="4"/>
  <c r="X246" i="4"/>
  <c r="X243" i="4"/>
  <c r="X242" i="4"/>
  <c r="X239" i="4"/>
  <c r="M62" i="7"/>
  <c r="L107" i="4"/>
  <c r="L100" i="4" s="1"/>
  <c r="L84" i="4" s="1"/>
  <c r="L54" i="7"/>
  <c r="D111" i="6"/>
  <c r="D67" i="3"/>
  <c r="D57" i="6"/>
  <c r="D199" i="7" s="1"/>
  <c r="D84" i="6"/>
  <c r="D18" i="6"/>
  <c r="X18" i="3"/>
  <c r="X136" i="5"/>
  <c r="X82" i="5"/>
  <c r="X137" i="7" s="1"/>
  <c r="X109" i="5"/>
  <c r="K26" i="7"/>
  <c r="K73" i="4"/>
  <c r="K190" i="4"/>
  <c r="K217" i="4"/>
  <c r="C137" i="5"/>
  <c r="C83" i="5"/>
  <c r="C138" i="7" s="1"/>
  <c r="C50" i="3"/>
  <c r="C110" i="5"/>
  <c r="C42" i="5"/>
  <c r="N62" i="7" l="1"/>
  <c r="D219" i="3"/>
  <c r="D65" i="3"/>
  <c r="C232" i="3"/>
  <c r="C78" i="3"/>
  <c r="D61" i="5"/>
  <c r="D88" i="5"/>
  <c r="X17" i="3"/>
  <c r="X110" i="3" s="1"/>
  <c r="D189" i="3"/>
  <c r="D35" i="3"/>
  <c r="X157" i="6"/>
  <c r="X130" i="6"/>
  <c r="X76" i="6"/>
  <c r="X103" i="6"/>
  <c r="C76" i="5"/>
  <c r="C103" i="5"/>
  <c r="C17" i="5"/>
  <c r="K57" i="4"/>
  <c r="K19" i="7"/>
  <c r="K183" i="4"/>
  <c r="K210" i="4"/>
  <c r="D133" i="6"/>
  <c r="D79" i="6"/>
  <c r="D221" i="7" s="1"/>
  <c r="D106" i="6"/>
  <c r="D55" i="6"/>
  <c r="D82" i="6"/>
  <c r="L80" i="4"/>
  <c r="L27" i="7"/>
  <c r="L191" i="4"/>
  <c r="L218" i="4"/>
  <c r="C70" i="6"/>
  <c r="C97" i="6"/>
  <c r="C17" i="6"/>
  <c r="I53" i="7"/>
  <c r="I127" i="4"/>
  <c r="K76" i="7"/>
  <c r="K69" i="7"/>
  <c r="K60" i="7" s="1"/>
  <c r="C202" i="3"/>
  <c r="C48" i="3"/>
  <c r="C151" i="6" l="1"/>
  <c r="C135" i="6"/>
  <c r="C156" i="6"/>
  <c r="C155" i="6"/>
  <c r="C142" i="6"/>
  <c r="C149" i="6"/>
  <c r="C148" i="6"/>
  <c r="C141" i="6"/>
  <c r="C146" i="6"/>
  <c r="C54" i="6"/>
  <c r="C153" i="6"/>
  <c r="C137" i="6"/>
  <c r="C139" i="6"/>
  <c r="C154" i="6"/>
  <c r="C147" i="6"/>
  <c r="C152" i="6"/>
  <c r="C145" i="6"/>
  <c r="C140" i="6"/>
  <c r="C138" i="6"/>
  <c r="C160" i="6"/>
  <c r="C136" i="6"/>
  <c r="C159" i="6"/>
  <c r="C158" i="6"/>
  <c r="X120" i="3"/>
  <c r="X115" i="3"/>
  <c r="X118" i="3"/>
  <c r="X116" i="3"/>
  <c r="X114" i="3"/>
  <c r="X109" i="3"/>
  <c r="X119" i="3"/>
  <c r="X113" i="3"/>
  <c r="X117" i="3"/>
  <c r="X112" i="3"/>
  <c r="X111" i="3"/>
  <c r="D64" i="3"/>
  <c r="D217" i="3"/>
  <c r="O62" i="7"/>
  <c r="L76" i="7"/>
  <c r="L69" i="7"/>
  <c r="L60" i="7" s="1"/>
  <c r="C200" i="3"/>
  <c r="C47" i="3"/>
  <c r="C140" i="3" s="1"/>
  <c r="K3" i="7"/>
  <c r="K167" i="4"/>
  <c r="D187" i="3"/>
  <c r="D34" i="3"/>
  <c r="C77" i="3"/>
  <c r="C230" i="3"/>
  <c r="I46" i="7"/>
  <c r="I111" i="4"/>
  <c r="I30" i="7" s="1"/>
  <c r="C157" i="5"/>
  <c r="C141" i="5"/>
  <c r="C60" i="5"/>
  <c r="C156" i="5"/>
  <c r="C161" i="5"/>
  <c r="C162" i="5"/>
  <c r="C163" i="5"/>
  <c r="C148" i="5"/>
  <c r="C154" i="5"/>
  <c r="C155" i="5"/>
  <c r="C147" i="5"/>
  <c r="C143" i="5"/>
  <c r="C159" i="5"/>
  <c r="C152" i="5"/>
  <c r="C145" i="5"/>
  <c r="C160" i="5"/>
  <c r="C153" i="5"/>
  <c r="C158" i="5"/>
  <c r="C151" i="5"/>
  <c r="C146" i="5"/>
  <c r="C166" i="5"/>
  <c r="C144" i="5"/>
  <c r="C142" i="5"/>
  <c r="C165" i="5"/>
  <c r="C164" i="5"/>
  <c r="L190" i="4"/>
  <c r="L26" i="7"/>
  <c r="L73" i="4"/>
  <c r="L217" i="4"/>
  <c r="C170" i="3" l="1"/>
  <c r="D157" i="3"/>
  <c r="D132" i="3"/>
  <c r="D186" i="3"/>
  <c r="D134" i="3"/>
  <c r="D136" i="3"/>
  <c r="D135" i="3"/>
  <c r="D131" i="3"/>
  <c r="D137" i="3"/>
  <c r="D126" i="3"/>
  <c r="D138" i="3"/>
  <c r="D133" i="3"/>
  <c r="D128" i="3"/>
  <c r="D130" i="3"/>
  <c r="D129" i="3"/>
  <c r="L183" i="4"/>
  <c r="L19" i="7"/>
  <c r="L57" i="4"/>
  <c r="L210" i="4"/>
  <c r="M76" i="7"/>
  <c r="M69" i="7"/>
  <c r="M60" i="7" s="1"/>
  <c r="P62" i="7"/>
  <c r="D52" i="5"/>
  <c r="D138" i="5"/>
  <c r="D84" i="5"/>
  <c r="D139" i="7" s="1"/>
  <c r="D111" i="5"/>
  <c r="C146" i="3"/>
  <c r="C147" i="3"/>
  <c r="C199" i="3"/>
  <c r="C143" i="3"/>
  <c r="C144" i="3"/>
  <c r="C150" i="3"/>
  <c r="C149" i="3"/>
  <c r="C148" i="3"/>
  <c r="C139" i="3"/>
  <c r="C145" i="3"/>
  <c r="C141" i="3"/>
  <c r="C142" i="3"/>
  <c r="D165" i="3"/>
  <c r="D156" i="3"/>
  <c r="D167" i="3"/>
  <c r="D168" i="3"/>
  <c r="D163" i="3"/>
  <c r="D161" i="3"/>
  <c r="D166" i="3"/>
  <c r="D158" i="3"/>
  <c r="D216" i="3"/>
  <c r="D160" i="3"/>
  <c r="D159" i="3"/>
  <c r="D40" i="6"/>
  <c r="D132" i="6"/>
  <c r="D78" i="6"/>
  <c r="D220" i="7" s="1"/>
  <c r="D105" i="6"/>
  <c r="C169" i="3"/>
  <c r="C175" i="3"/>
  <c r="C176" i="3"/>
  <c r="C174" i="3"/>
  <c r="C173" i="3"/>
  <c r="C180" i="3"/>
  <c r="C179" i="3"/>
  <c r="C178" i="3"/>
  <c r="C177" i="3"/>
  <c r="C229" i="3"/>
  <c r="C171" i="3"/>
  <c r="C172" i="3"/>
  <c r="Y129" i="5"/>
  <c r="Y75" i="5"/>
  <c r="Y130" i="7" s="1"/>
  <c r="X176" i="4"/>
  <c r="D127" i="3"/>
  <c r="X10" i="4"/>
  <c r="X175" i="4" l="1"/>
  <c r="D80" i="3"/>
  <c r="D77" i="6"/>
  <c r="D219" i="7" s="1"/>
  <c r="D104" i="6"/>
  <c r="D131" i="6"/>
  <c r="D33" i="6"/>
  <c r="L167" i="4"/>
  <c r="L3" i="7"/>
  <c r="Q62" i="7"/>
  <c r="X201" i="4"/>
  <c r="M54" i="7"/>
  <c r="N69" i="7"/>
  <c r="N60" i="7" s="1"/>
  <c r="Y150" i="6"/>
  <c r="Y123" i="6"/>
  <c r="Y69" i="6"/>
  <c r="N76" i="7"/>
  <c r="X181" i="4"/>
  <c r="D137" i="5"/>
  <c r="D83" i="5"/>
  <c r="D138" i="7" s="1"/>
  <c r="D50" i="3"/>
  <c r="D110" i="5"/>
  <c r="D42" i="5"/>
  <c r="M107" i="4"/>
  <c r="M100" i="4" s="1"/>
  <c r="M84" i="4" s="1"/>
  <c r="E72" i="5" l="1"/>
  <c r="E127" i="7" s="1"/>
  <c r="E126" i="5"/>
  <c r="E99" i="5"/>
  <c r="E33" i="5"/>
  <c r="D76" i="5"/>
  <c r="D103" i="5"/>
  <c r="D17" i="5"/>
  <c r="D157" i="5" s="1"/>
  <c r="R62" i="7"/>
  <c r="M27" i="7"/>
  <c r="M80" i="4"/>
  <c r="M191" i="4"/>
  <c r="M218" i="4"/>
  <c r="D232" i="3"/>
  <c r="D78" i="3"/>
  <c r="E120" i="6"/>
  <c r="E66" i="6"/>
  <c r="E208" i="7" s="1"/>
  <c r="E93" i="6"/>
  <c r="E27" i="6"/>
  <c r="D202" i="3"/>
  <c r="D48" i="3"/>
  <c r="X171" i="4"/>
  <c r="X33" i="4"/>
  <c r="O69" i="7"/>
  <c r="O60" i="7" s="1"/>
  <c r="X179" i="4"/>
  <c r="X40" i="4"/>
  <c r="O76" i="7"/>
  <c r="E79" i="5"/>
  <c r="E134" i="7" s="1"/>
  <c r="E133" i="5"/>
  <c r="E106" i="5"/>
  <c r="E43" i="5"/>
  <c r="D70" i="6"/>
  <c r="D97" i="6"/>
  <c r="D17" i="6"/>
  <c r="E127" i="6"/>
  <c r="E73" i="6"/>
  <c r="E215" i="7" s="1"/>
  <c r="E100" i="6"/>
  <c r="E34" i="6"/>
  <c r="X17" i="4"/>
  <c r="E131" i="5" l="1"/>
  <c r="E77" i="5"/>
  <c r="E132" i="7" s="1"/>
  <c r="E49" i="3"/>
  <c r="E104" i="5"/>
  <c r="D200" i="3"/>
  <c r="D47" i="3"/>
  <c r="D140" i="3" s="1"/>
  <c r="X177" i="4"/>
  <c r="M26" i="7"/>
  <c r="M73" i="4"/>
  <c r="M190" i="4"/>
  <c r="M217" i="4"/>
  <c r="X127" i="5"/>
  <c r="X73" i="5"/>
  <c r="X128" i="7" s="1"/>
  <c r="X100" i="5"/>
  <c r="E70" i="5"/>
  <c r="E125" i="7" s="1"/>
  <c r="E124" i="5"/>
  <c r="E38" i="3"/>
  <c r="E97" i="5"/>
  <c r="P69" i="7"/>
  <c r="P60" i="7" s="1"/>
  <c r="X170" i="4"/>
  <c r="X31" i="4"/>
  <c r="X251" i="4" s="1"/>
  <c r="X208" i="4"/>
  <c r="E79" i="3"/>
  <c r="E125" i="6"/>
  <c r="E71" i="6"/>
  <c r="E213" i="7" s="1"/>
  <c r="E98" i="6"/>
  <c r="X134" i="5"/>
  <c r="X80" i="5"/>
  <c r="X135" i="7" s="1"/>
  <c r="X107" i="5"/>
  <c r="D77" i="3"/>
  <c r="D230" i="3"/>
  <c r="P76" i="7"/>
  <c r="S62" i="7"/>
  <c r="D151" i="6"/>
  <c r="D135" i="6"/>
  <c r="D155" i="6"/>
  <c r="D156" i="6"/>
  <c r="D142" i="6"/>
  <c r="D149" i="6"/>
  <c r="D148" i="6"/>
  <c r="D137" i="6"/>
  <c r="D141" i="6"/>
  <c r="D146" i="6"/>
  <c r="D153" i="6"/>
  <c r="D54" i="6"/>
  <c r="D139" i="6"/>
  <c r="D147" i="6"/>
  <c r="D154" i="6"/>
  <c r="D152" i="6"/>
  <c r="D145" i="6"/>
  <c r="D140" i="6"/>
  <c r="D138" i="6"/>
  <c r="D136" i="6"/>
  <c r="D160" i="6"/>
  <c r="D159" i="6"/>
  <c r="D158" i="6"/>
  <c r="E118" i="6"/>
  <c r="E68" i="3"/>
  <c r="E64" i="6"/>
  <c r="E206" i="7" s="1"/>
  <c r="E91" i="6"/>
  <c r="D142" i="5"/>
  <c r="D141" i="5"/>
  <c r="D60" i="5"/>
  <c r="D156" i="5"/>
  <c r="D161" i="5"/>
  <c r="D162" i="5"/>
  <c r="D163" i="5"/>
  <c r="D148" i="5"/>
  <c r="D155" i="5"/>
  <c r="D154" i="5"/>
  <c r="D147" i="5"/>
  <c r="D143" i="5"/>
  <c r="D159" i="5"/>
  <c r="D152" i="5"/>
  <c r="D145" i="5"/>
  <c r="D153" i="5"/>
  <c r="D160" i="5"/>
  <c r="D158" i="5"/>
  <c r="D151" i="5"/>
  <c r="D146" i="5"/>
  <c r="D166" i="5"/>
  <c r="D144" i="5"/>
  <c r="D165" i="5"/>
  <c r="D164" i="5"/>
  <c r="X15" i="4"/>
  <c r="D170" i="3" l="1"/>
  <c r="X258" i="4"/>
  <c r="X168" i="4"/>
  <c r="X30" i="4"/>
  <c r="X249" i="4"/>
  <c r="X250" i="4"/>
  <c r="X263" i="4"/>
  <c r="X261" i="4"/>
  <c r="X259" i="4"/>
  <c r="X253" i="4"/>
  <c r="X255" i="4"/>
  <c r="X254" i="4"/>
  <c r="X257" i="4"/>
  <c r="X262" i="4"/>
  <c r="X256" i="4"/>
  <c r="X252" i="4"/>
  <c r="X260" i="4"/>
  <c r="X128" i="6"/>
  <c r="X74" i="6"/>
  <c r="X216" i="7" s="1"/>
  <c r="X101" i="6"/>
  <c r="T62" i="7"/>
  <c r="X13" i="4"/>
  <c r="X206" i="4"/>
  <c r="E113" i="6"/>
  <c r="E59" i="6"/>
  <c r="E201" i="7" s="1"/>
  <c r="E86" i="6"/>
  <c r="E20" i="6"/>
  <c r="X120" i="5"/>
  <c r="X66" i="5"/>
  <c r="X121" i="7" s="1"/>
  <c r="N107" i="4"/>
  <c r="N100" i="4" s="1"/>
  <c r="N84" i="4" s="1"/>
  <c r="N54" i="7"/>
  <c r="E201" i="3"/>
  <c r="E119" i="5"/>
  <c r="E65" i="5"/>
  <c r="E120" i="7" s="1"/>
  <c r="E92" i="5"/>
  <c r="E21" i="5"/>
  <c r="D173" i="3"/>
  <c r="D179" i="3"/>
  <c r="D180" i="3"/>
  <c r="D178" i="3"/>
  <c r="D169" i="3"/>
  <c r="D175" i="3"/>
  <c r="D177" i="3"/>
  <c r="D174" i="3"/>
  <c r="D176" i="3"/>
  <c r="D229" i="3"/>
  <c r="D171" i="3"/>
  <c r="D172" i="3"/>
  <c r="E231" i="3"/>
  <c r="E190" i="3"/>
  <c r="Q76" i="7"/>
  <c r="E139" i="5"/>
  <c r="E85" i="5"/>
  <c r="E140" i="7" s="1"/>
  <c r="E112" i="5"/>
  <c r="X121" i="6"/>
  <c r="X67" i="6"/>
  <c r="X209" i="7" s="1"/>
  <c r="X94" i="6"/>
  <c r="M19" i="7"/>
  <c r="M57" i="4"/>
  <c r="M183" i="4"/>
  <c r="M210" i="4"/>
  <c r="D144" i="3"/>
  <c r="D150" i="3"/>
  <c r="D149" i="3"/>
  <c r="D146" i="3"/>
  <c r="D148" i="3"/>
  <c r="D139" i="3"/>
  <c r="D143" i="3"/>
  <c r="D145" i="3"/>
  <c r="D147" i="3"/>
  <c r="D199" i="3"/>
  <c r="D141" i="3"/>
  <c r="D142" i="3"/>
  <c r="Q69" i="7"/>
  <c r="Q60" i="7" s="1"/>
  <c r="E220" i="3"/>
  <c r="E63" i="5" l="1"/>
  <c r="E118" i="7" s="1"/>
  <c r="E117" i="5"/>
  <c r="E37" i="3"/>
  <c r="E18" i="5"/>
  <c r="E90" i="5"/>
  <c r="E111" i="6"/>
  <c r="E67" i="3"/>
  <c r="E57" i="6"/>
  <c r="E199" i="7" s="1"/>
  <c r="E84" i="6"/>
  <c r="E18" i="6"/>
  <c r="U62" i="7"/>
  <c r="X150" i="4"/>
  <c r="X204" i="4"/>
  <c r="X8" i="3"/>
  <c r="R69" i="7"/>
  <c r="R60" i="7" s="1"/>
  <c r="X114" i="6"/>
  <c r="X60" i="6"/>
  <c r="X202" i="7" s="1"/>
  <c r="M3" i="7"/>
  <c r="M167" i="4"/>
  <c r="N80" i="4"/>
  <c r="N27" i="7"/>
  <c r="N191" i="4"/>
  <c r="N218" i="4"/>
  <c r="Y180" i="4"/>
  <c r="R76" i="7"/>
  <c r="X11" i="4"/>
  <c r="X12" i="4"/>
  <c r="X9" i="4"/>
  <c r="X202" i="4" l="1"/>
  <c r="E133" i="6"/>
  <c r="E79" i="6"/>
  <c r="E221" i="7" s="1"/>
  <c r="E106" i="6"/>
  <c r="V62" i="7"/>
  <c r="X96" i="5"/>
  <c r="E61" i="5"/>
  <c r="E88" i="5"/>
  <c r="J55" i="7"/>
  <c r="J134" i="4"/>
  <c r="E55" i="6"/>
  <c r="E82" i="6"/>
  <c r="E189" i="3"/>
  <c r="E35" i="3"/>
  <c r="O107" i="4"/>
  <c r="O100" i="4" s="1"/>
  <c r="O84" i="4" s="1"/>
  <c r="S69" i="7"/>
  <c r="S60" i="7" s="1"/>
  <c r="X87" i="6"/>
  <c r="X200" i="4"/>
  <c r="X93" i="5"/>
  <c r="N26" i="7"/>
  <c r="N73" i="4"/>
  <c r="N190" i="4"/>
  <c r="N217" i="4"/>
  <c r="S76" i="7"/>
  <c r="O54" i="7"/>
  <c r="X203" i="4"/>
  <c r="E219" i="3"/>
  <c r="E65" i="3"/>
  <c r="X7" i="4"/>
  <c r="X4" i="5"/>
  <c r="X47" i="6" s="1"/>
  <c r="E64" i="3" l="1"/>
  <c r="E157" i="3" s="1"/>
  <c r="E217" i="3"/>
  <c r="N19" i="7"/>
  <c r="N57" i="4"/>
  <c r="N183" i="4"/>
  <c r="N210" i="4"/>
  <c r="X198" i="4"/>
  <c r="O27" i="7"/>
  <c r="O80" i="4"/>
  <c r="O191" i="4"/>
  <c r="O218" i="4"/>
  <c r="X123" i="5"/>
  <c r="X69" i="5"/>
  <c r="X124" i="7" s="1"/>
  <c r="W62" i="7"/>
  <c r="T69" i="7"/>
  <c r="T60" i="7" s="1"/>
  <c r="T76" i="7"/>
  <c r="E187" i="3"/>
  <c r="E34" i="3"/>
  <c r="E127" i="3" s="1"/>
  <c r="J53" i="7"/>
  <c r="J127" i="4"/>
  <c r="X8" i="4"/>
  <c r="X62" i="7"/>
  <c r="U69" i="7" l="1"/>
  <c r="U60" i="7" s="1"/>
  <c r="O26" i="7"/>
  <c r="O73" i="4"/>
  <c r="O190" i="4"/>
  <c r="O217" i="4"/>
  <c r="E40" i="6"/>
  <c r="E132" i="6"/>
  <c r="E78" i="6"/>
  <c r="E220" i="7" s="1"/>
  <c r="E105" i="6"/>
  <c r="N3" i="7"/>
  <c r="N167" i="4"/>
  <c r="X135" i="5"/>
  <c r="X81" i="5"/>
  <c r="X136" i="7" s="1"/>
  <c r="X108" i="5"/>
  <c r="U76" i="7"/>
  <c r="X199" i="4"/>
  <c r="J46" i="7"/>
  <c r="J111" i="4"/>
  <c r="J30" i="7" s="1"/>
  <c r="X6" i="4"/>
  <c r="X144" i="6"/>
  <c r="X117" i="6"/>
  <c r="X63" i="6"/>
  <c r="X90" i="6"/>
  <c r="E165" i="3"/>
  <c r="E156" i="3"/>
  <c r="E167" i="3"/>
  <c r="E168" i="3"/>
  <c r="E163" i="3"/>
  <c r="E161" i="3"/>
  <c r="E166" i="3"/>
  <c r="E158" i="3"/>
  <c r="E216" i="3"/>
  <c r="E160" i="3"/>
  <c r="E159" i="3"/>
  <c r="E135" i="3"/>
  <c r="E134" i="3"/>
  <c r="E133" i="3"/>
  <c r="E126" i="3"/>
  <c r="E131" i="3"/>
  <c r="E136" i="3"/>
  <c r="E137" i="3"/>
  <c r="E132" i="3"/>
  <c r="E138" i="3"/>
  <c r="E186" i="3"/>
  <c r="E128" i="3"/>
  <c r="E130" i="3"/>
  <c r="E129" i="3"/>
  <c r="E138" i="5"/>
  <c r="E84" i="5"/>
  <c r="E139" i="7" s="1"/>
  <c r="E52" i="5"/>
  <c r="E111" i="5"/>
  <c r="P107" i="4" l="1"/>
  <c r="P100" i="4" s="1"/>
  <c r="P84" i="4" s="1"/>
  <c r="V76" i="7"/>
  <c r="X143" i="4"/>
  <c r="X7" i="3"/>
  <c r="X197" i="4"/>
  <c r="X4" i="4"/>
  <c r="X126" i="6"/>
  <c r="X72" i="6"/>
  <c r="X214" i="7" s="1"/>
  <c r="X99" i="6"/>
  <c r="E137" i="5"/>
  <c r="E83" i="5"/>
  <c r="E138" i="7" s="1"/>
  <c r="E50" i="3"/>
  <c r="E110" i="5"/>
  <c r="E42" i="5"/>
  <c r="X119" i="6"/>
  <c r="X65" i="6"/>
  <c r="X207" i="7" s="1"/>
  <c r="X92" i="6"/>
  <c r="E33" i="6"/>
  <c r="E131" i="6"/>
  <c r="E80" i="3"/>
  <c r="E77" i="6"/>
  <c r="E219" i="7" s="1"/>
  <c r="E104" i="6"/>
  <c r="P54" i="7"/>
  <c r="V69" i="7"/>
  <c r="V60" i="7" s="1"/>
  <c r="X36" i="3"/>
  <c r="X116" i="5"/>
  <c r="X62" i="5"/>
  <c r="X117" i="7" s="1"/>
  <c r="X89" i="5"/>
  <c r="X71" i="5"/>
  <c r="X126" i="7" s="1"/>
  <c r="X125" i="5"/>
  <c r="X98" i="5"/>
  <c r="X78" i="5"/>
  <c r="X133" i="7" s="1"/>
  <c r="X132" i="5"/>
  <c r="X105" i="5"/>
  <c r="O19" i="7"/>
  <c r="O57" i="4"/>
  <c r="O183" i="4"/>
  <c r="O210" i="4"/>
  <c r="W76" i="7" l="1"/>
  <c r="E202" i="3"/>
  <c r="E48" i="3"/>
  <c r="X129" i="6"/>
  <c r="X75" i="6"/>
  <c r="X217" i="7" s="1"/>
  <c r="X102" i="6"/>
  <c r="W69" i="7"/>
  <c r="W60" i="7" s="1"/>
  <c r="X188" i="3"/>
  <c r="E232" i="3"/>
  <c r="E78" i="3"/>
  <c r="X224" i="4"/>
  <c r="X195" i="4"/>
  <c r="X222" i="4"/>
  <c r="X141" i="4"/>
  <c r="X223" i="4"/>
  <c r="X232" i="4"/>
  <c r="X234" i="4"/>
  <c r="X236" i="4"/>
  <c r="X228" i="4"/>
  <c r="X235" i="4"/>
  <c r="X233" i="4"/>
  <c r="X231" i="4"/>
  <c r="X227" i="4"/>
  <c r="X229" i="4"/>
  <c r="X230" i="4"/>
  <c r="X225" i="4"/>
  <c r="X226" i="4"/>
  <c r="O3" i="7"/>
  <c r="O167" i="4"/>
  <c r="X110" i="6"/>
  <c r="X66" i="3"/>
  <c r="X56" i="6"/>
  <c r="X198" i="7" s="1"/>
  <c r="X83" i="6"/>
  <c r="X5" i="3"/>
  <c r="E70" i="6"/>
  <c r="E97" i="6"/>
  <c r="E17" i="6"/>
  <c r="E151" i="6" s="1"/>
  <c r="E76" i="5"/>
  <c r="E103" i="5"/>
  <c r="E17" i="5"/>
  <c r="P27" i="7"/>
  <c r="P80" i="4"/>
  <c r="P191" i="4"/>
  <c r="P218" i="4"/>
  <c r="X69" i="7"/>
  <c r="X60" i="7" s="1"/>
  <c r="X76" i="7"/>
  <c r="Q107" i="4" l="1"/>
  <c r="Q100" i="4" s="1"/>
  <c r="Q84" i="4" s="1"/>
  <c r="P26" i="7"/>
  <c r="P73" i="4"/>
  <c r="P190" i="4"/>
  <c r="P217" i="4"/>
  <c r="E77" i="3"/>
  <c r="E230" i="3"/>
  <c r="E200" i="3"/>
  <c r="E47" i="3"/>
  <c r="E140" i="3" s="1"/>
  <c r="X4" i="3"/>
  <c r="E157" i="5"/>
  <c r="E141" i="5"/>
  <c r="E60" i="5"/>
  <c r="E150" i="5"/>
  <c r="E156" i="5"/>
  <c r="E161" i="5"/>
  <c r="E162" i="5"/>
  <c r="E163" i="5"/>
  <c r="E148" i="5"/>
  <c r="E155" i="5"/>
  <c r="E154" i="5"/>
  <c r="E147" i="5"/>
  <c r="E159" i="5"/>
  <c r="E143" i="5"/>
  <c r="E152" i="5"/>
  <c r="E145" i="5"/>
  <c r="E153" i="5"/>
  <c r="E160" i="5"/>
  <c r="E151" i="5"/>
  <c r="E158" i="5"/>
  <c r="E146" i="5"/>
  <c r="E166" i="5"/>
  <c r="E144" i="5"/>
  <c r="E142" i="5"/>
  <c r="E165" i="5"/>
  <c r="E164" i="5"/>
  <c r="F127" i="6"/>
  <c r="F73" i="6"/>
  <c r="F215" i="7" s="1"/>
  <c r="F100" i="6"/>
  <c r="F34" i="6"/>
  <c r="Q54" i="7"/>
  <c r="X218" i="3"/>
  <c r="F79" i="5"/>
  <c r="F134" i="7" s="1"/>
  <c r="F133" i="5"/>
  <c r="F106" i="5"/>
  <c r="F43" i="5"/>
  <c r="F120" i="6"/>
  <c r="F66" i="6"/>
  <c r="F208" i="7" s="1"/>
  <c r="F93" i="6"/>
  <c r="F27" i="6"/>
  <c r="E136" i="6"/>
  <c r="E135" i="6"/>
  <c r="E155" i="6"/>
  <c r="E156" i="6"/>
  <c r="E142" i="6"/>
  <c r="E149" i="6"/>
  <c r="E148" i="6"/>
  <c r="E141" i="6"/>
  <c r="E153" i="6"/>
  <c r="E146" i="6"/>
  <c r="E137" i="6"/>
  <c r="E54" i="6"/>
  <c r="E139" i="6"/>
  <c r="E147" i="6"/>
  <c r="E154" i="6"/>
  <c r="E152" i="6"/>
  <c r="E145" i="6"/>
  <c r="E140" i="6"/>
  <c r="E138" i="6"/>
  <c r="E160" i="6"/>
  <c r="E159" i="6"/>
  <c r="E158" i="6"/>
  <c r="F72" i="5"/>
  <c r="F127" i="7" s="1"/>
  <c r="F126" i="5"/>
  <c r="F99" i="5"/>
  <c r="F33" i="5"/>
  <c r="X68" i="5"/>
  <c r="X123" i="7" s="1"/>
  <c r="X122" i="5"/>
  <c r="X95" i="5"/>
  <c r="E170" i="3" l="1"/>
  <c r="X67" i="5"/>
  <c r="X122" i="7" s="1"/>
  <c r="X121" i="5"/>
  <c r="X94" i="5"/>
  <c r="X64" i="5"/>
  <c r="X119" i="7" s="1"/>
  <c r="X118" i="5"/>
  <c r="X91" i="5"/>
  <c r="P19" i="7"/>
  <c r="P57" i="4"/>
  <c r="P183" i="4"/>
  <c r="P210" i="4"/>
  <c r="E144" i="3"/>
  <c r="E150" i="3"/>
  <c r="E145" i="3"/>
  <c r="E149" i="3"/>
  <c r="E139" i="3"/>
  <c r="E146" i="3"/>
  <c r="E147" i="3"/>
  <c r="E199" i="3"/>
  <c r="E148" i="3"/>
  <c r="E143" i="3"/>
  <c r="E141" i="3"/>
  <c r="E142" i="3"/>
  <c r="F77" i="5"/>
  <c r="F132" i="7" s="1"/>
  <c r="F131" i="5"/>
  <c r="F49" i="3"/>
  <c r="F104" i="5"/>
  <c r="F125" i="6"/>
  <c r="F79" i="3"/>
  <c r="F71" i="6"/>
  <c r="F213" i="7" s="1"/>
  <c r="F98" i="6"/>
  <c r="Q27" i="7"/>
  <c r="Q80" i="4"/>
  <c r="Q191" i="4"/>
  <c r="Q218" i="4"/>
  <c r="X116" i="6"/>
  <c r="X62" i="6"/>
  <c r="X204" i="7" s="1"/>
  <c r="X89" i="6"/>
  <c r="F64" i="6"/>
  <c r="F206" i="7" s="1"/>
  <c r="F118" i="6"/>
  <c r="F68" i="3"/>
  <c r="F91" i="6"/>
  <c r="E169" i="3"/>
  <c r="E175" i="3"/>
  <c r="E173" i="3"/>
  <c r="E177" i="3"/>
  <c r="E176" i="3"/>
  <c r="E174" i="3"/>
  <c r="E180" i="3"/>
  <c r="E179" i="3"/>
  <c r="E178" i="3"/>
  <c r="E229" i="3"/>
  <c r="E171" i="3"/>
  <c r="E172" i="3"/>
  <c r="X112" i="6"/>
  <c r="X58" i="6"/>
  <c r="X200" i="7" s="1"/>
  <c r="X85" i="6"/>
  <c r="F70" i="5"/>
  <c r="F125" i="7" s="1"/>
  <c r="F124" i="5"/>
  <c r="F38" i="3"/>
  <c r="F97" i="5"/>
  <c r="X97" i="3"/>
  <c r="X102" i="3"/>
  <c r="X103" i="3"/>
  <c r="X108" i="3"/>
  <c r="X101" i="3"/>
  <c r="X106" i="3"/>
  <c r="X105" i="3"/>
  <c r="X107" i="3"/>
  <c r="X104" i="3"/>
  <c r="X96" i="3"/>
  <c r="X98" i="3"/>
  <c r="X100" i="3"/>
  <c r="X99" i="3"/>
  <c r="F85" i="5" l="1"/>
  <c r="F140" i="7" s="1"/>
  <c r="F139" i="5"/>
  <c r="F112" i="5"/>
  <c r="F220" i="3"/>
  <c r="F201" i="3"/>
  <c r="F113" i="6"/>
  <c r="F59" i="6"/>
  <c r="F201" i="7" s="1"/>
  <c r="F86" i="6"/>
  <c r="F20" i="6"/>
  <c r="F231" i="3"/>
  <c r="P3" i="7"/>
  <c r="P167" i="4"/>
  <c r="Q26" i="7"/>
  <c r="Q73" i="4"/>
  <c r="Q190" i="4"/>
  <c r="Q217" i="4"/>
  <c r="F65" i="5"/>
  <c r="F120" i="7" s="1"/>
  <c r="F119" i="5"/>
  <c r="F92" i="5"/>
  <c r="F21" i="5"/>
  <c r="X128" i="5"/>
  <c r="X74" i="5"/>
  <c r="X129" i="7" s="1"/>
  <c r="X101" i="5"/>
  <c r="X61" i="6"/>
  <c r="X203" i="7" s="1"/>
  <c r="X115" i="6"/>
  <c r="X88" i="6"/>
  <c r="F190" i="3"/>
  <c r="R107" i="4" l="1"/>
  <c r="R100" i="4" s="1"/>
  <c r="R84" i="4" s="1"/>
  <c r="X122" i="6"/>
  <c r="X68" i="6"/>
  <c r="X210" i="7" s="1"/>
  <c r="X95" i="6"/>
  <c r="Y178" i="4"/>
  <c r="F111" i="6"/>
  <c r="F67" i="3"/>
  <c r="F57" i="6"/>
  <c r="F199" i="7" s="1"/>
  <c r="F84" i="6"/>
  <c r="F18" i="6"/>
  <c r="Q19" i="7"/>
  <c r="Q57" i="4"/>
  <c r="Q183" i="4"/>
  <c r="Q210" i="4"/>
  <c r="F63" i="5"/>
  <c r="F118" i="7" s="1"/>
  <c r="F117" i="5"/>
  <c r="F37" i="3"/>
  <c r="F90" i="5"/>
  <c r="F18" i="5"/>
  <c r="R54" i="7"/>
  <c r="F219" i="3" l="1"/>
  <c r="F65" i="3"/>
  <c r="F61" i="5"/>
  <c r="F88" i="5"/>
  <c r="Q3" i="7"/>
  <c r="Q167" i="4"/>
  <c r="F189" i="3"/>
  <c r="F35" i="3"/>
  <c r="F133" i="6"/>
  <c r="F79" i="6"/>
  <c r="F221" i="7" s="1"/>
  <c r="F106" i="6"/>
  <c r="F55" i="6"/>
  <c r="F82" i="6"/>
  <c r="R27" i="7"/>
  <c r="R80" i="4"/>
  <c r="R191" i="4"/>
  <c r="R218" i="4"/>
  <c r="Y14" i="4"/>
  <c r="R26" i="7" l="1"/>
  <c r="R73" i="4"/>
  <c r="R190" i="4"/>
  <c r="R217" i="4"/>
  <c r="Y205" i="4"/>
  <c r="F34" i="3"/>
  <c r="F127" i="3" s="1"/>
  <c r="F187" i="3"/>
  <c r="F64" i="3"/>
  <c r="F157" i="3" s="1"/>
  <c r="F217" i="3"/>
  <c r="Y16" i="4"/>
  <c r="Y18" i="4"/>
  <c r="F52" i="5" l="1"/>
  <c r="F84" i="5"/>
  <c r="F139" i="7" s="1"/>
  <c r="F138" i="5"/>
  <c r="F111" i="5"/>
  <c r="G126" i="5"/>
  <c r="G72" i="5"/>
  <c r="G127" i="7" s="1"/>
  <c r="G99" i="5"/>
  <c r="G33" i="5"/>
  <c r="Y188" i="4"/>
  <c r="Y96" i="6"/>
  <c r="Y209" i="4"/>
  <c r="Y102" i="5"/>
  <c r="S54" i="7"/>
  <c r="Y207" i="4"/>
  <c r="F161" i="3"/>
  <c r="F166" i="3"/>
  <c r="F156" i="3"/>
  <c r="F168" i="3"/>
  <c r="F165" i="3"/>
  <c r="F167" i="3"/>
  <c r="F163" i="3"/>
  <c r="F216" i="3"/>
  <c r="F158" i="3"/>
  <c r="F160" i="3"/>
  <c r="F159" i="3"/>
  <c r="Y185" i="4"/>
  <c r="S107" i="4"/>
  <c r="S100" i="4" s="1"/>
  <c r="S84" i="4" s="1"/>
  <c r="F40" i="6"/>
  <c r="F132" i="6"/>
  <c r="F78" i="6"/>
  <c r="F220" i="7" s="1"/>
  <c r="F105" i="6"/>
  <c r="Y189" i="4"/>
  <c r="F135" i="3"/>
  <c r="F126" i="3"/>
  <c r="F131" i="3"/>
  <c r="F136" i="3"/>
  <c r="F132" i="3"/>
  <c r="F138" i="3"/>
  <c r="F186" i="3"/>
  <c r="F137" i="3"/>
  <c r="F134" i="3"/>
  <c r="F133" i="3"/>
  <c r="F128" i="3"/>
  <c r="F130" i="3"/>
  <c r="F129" i="3"/>
  <c r="G79" i="5"/>
  <c r="G134" i="7" s="1"/>
  <c r="G133" i="5"/>
  <c r="G106" i="5"/>
  <c r="G43" i="5"/>
  <c r="R19" i="7"/>
  <c r="R57" i="4"/>
  <c r="R183" i="4"/>
  <c r="R210" i="4"/>
  <c r="Y47" i="4" l="1"/>
  <c r="Y46" i="4" s="1"/>
  <c r="Y184" i="4"/>
  <c r="G127" i="6"/>
  <c r="G73" i="6"/>
  <c r="G215" i="7" s="1"/>
  <c r="G100" i="6"/>
  <c r="G34" i="6"/>
  <c r="Y186" i="4"/>
  <c r="R3" i="7"/>
  <c r="R167" i="4"/>
  <c r="F131" i="6"/>
  <c r="F80" i="3"/>
  <c r="F77" i="6"/>
  <c r="F219" i="7" s="1"/>
  <c r="F104" i="6"/>
  <c r="F33" i="6"/>
  <c r="G124" i="5"/>
  <c r="G70" i="5"/>
  <c r="G125" i="7" s="1"/>
  <c r="G38" i="3"/>
  <c r="G97" i="5"/>
  <c r="Y187" i="4"/>
  <c r="S80" i="4"/>
  <c r="S27" i="7"/>
  <c r="S191" i="4"/>
  <c r="S218" i="4"/>
  <c r="F137" i="5"/>
  <c r="F83" i="5"/>
  <c r="F138" i="7" s="1"/>
  <c r="F50" i="3"/>
  <c r="F110" i="5"/>
  <c r="F42" i="5"/>
  <c r="G131" i="5"/>
  <c r="G77" i="5"/>
  <c r="G132" i="7" s="1"/>
  <c r="G49" i="3"/>
  <c r="G104" i="5"/>
  <c r="Y25" i="4"/>
  <c r="Y24" i="4"/>
  <c r="Y21" i="4"/>
  <c r="Y268" i="4" l="1"/>
  <c r="Y265" i="4"/>
  <c r="Y267" i="4"/>
  <c r="F70" i="6"/>
  <c r="F97" i="6"/>
  <c r="F17" i="6"/>
  <c r="G201" i="3"/>
  <c r="F202" i="3"/>
  <c r="F48" i="3"/>
  <c r="G139" i="5"/>
  <c r="G85" i="5"/>
  <c r="G140" i="7" s="1"/>
  <c r="G112" i="5"/>
  <c r="S26" i="7"/>
  <c r="S73" i="4"/>
  <c r="S190" i="4"/>
  <c r="S217" i="4"/>
  <c r="G190" i="3"/>
  <c r="G119" i="5"/>
  <c r="G65" i="5"/>
  <c r="G120" i="7" s="1"/>
  <c r="G92" i="5"/>
  <c r="G21" i="5"/>
  <c r="Y215" i="4"/>
  <c r="F232" i="3"/>
  <c r="F78" i="3"/>
  <c r="Y216" i="4"/>
  <c r="G120" i="6"/>
  <c r="G66" i="6"/>
  <c r="G208" i="7" s="1"/>
  <c r="G93" i="6"/>
  <c r="G27" i="6"/>
  <c r="K55" i="7"/>
  <c r="K134" i="4"/>
  <c r="G79" i="3"/>
  <c r="G125" i="6"/>
  <c r="G71" i="6"/>
  <c r="G213" i="7" s="1"/>
  <c r="G98" i="6"/>
  <c r="Y264" i="4"/>
  <c r="Y272" i="4"/>
  <c r="Y273" i="4"/>
  <c r="Y271" i="4"/>
  <c r="Y269" i="4"/>
  <c r="Y270" i="4"/>
  <c r="Y266" i="4"/>
  <c r="Y212" i="4"/>
  <c r="G113" i="6"/>
  <c r="G59" i="6"/>
  <c r="G201" i="7" s="1"/>
  <c r="G86" i="6"/>
  <c r="G20" i="6"/>
  <c r="F76" i="5"/>
  <c r="F103" i="5"/>
  <c r="F17" i="5"/>
  <c r="Y22" i="4"/>
  <c r="Y23" i="4"/>
  <c r="Y20" i="4" l="1"/>
  <c r="Y211" i="4"/>
  <c r="Y19" i="3"/>
  <c r="Y157" i="4"/>
  <c r="Y19" i="4"/>
  <c r="G111" i="6"/>
  <c r="G67" i="3"/>
  <c r="G57" i="6"/>
  <c r="G199" i="7" s="1"/>
  <c r="G84" i="6"/>
  <c r="G18" i="6"/>
  <c r="G231" i="3"/>
  <c r="F200" i="3"/>
  <c r="F47" i="3"/>
  <c r="F140" i="3" s="1"/>
  <c r="T107" i="4"/>
  <c r="T100" i="4" s="1"/>
  <c r="T84" i="4" s="1"/>
  <c r="F77" i="3"/>
  <c r="F230" i="3"/>
  <c r="G63" i="5"/>
  <c r="G118" i="7" s="1"/>
  <c r="G117" i="5"/>
  <c r="G37" i="3"/>
  <c r="G90" i="5"/>
  <c r="G18" i="5"/>
  <c r="F136" i="6"/>
  <c r="F135" i="6"/>
  <c r="F155" i="6"/>
  <c r="F156" i="6"/>
  <c r="F142" i="6"/>
  <c r="F148" i="6"/>
  <c r="F149" i="6"/>
  <c r="F146" i="6"/>
  <c r="F141" i="6"/>
  <c r="F153" i="6"/>
  <c r="F137" i="6"/>
  <c r="F54" i="6"/>
  <c r="F139" i="6"/>
  <c r="F154" i="6"/>
  <c r="F147" i="6"/>
  <c r="F152" i="6"/>
  <c r="F145" i="6"/>
  <c r="F140" i="6"/>
  <c r="F138" i="6"/>
  <c r="F160" i="6"/>
  <c r="F159" i="6"/>
  <c r="F158" i="6"/>
  <c r="F142" i="5"/>
  <c r="F60" i="5"/>
  <c r="F141" i="5"/>
  <c r="F150" i="5"/>
  <c r="F156" i="5"/>
  <c r="F161" i="5"/>
  <c r="F162" i="5"/>
  <c r="F163" i="5"/>
  <c r="F148" i="5"/>
  <c r="F155" i="5"/>
  <c r="F154" i="5"/>
  <c r="F147" i="5"/>
  <c r="F159" i="5"/>
  <c r="F152" i="5"/>
  <c r="F143" i="5"/>
  <c r="F145" i="5"/>
  <c r="F160" i="5"/>
  <c r="F153" i="5"/>
  <c r="F158" i="5"/>
  <c r="F151" i="5"/>
  <c r="F146" i="5"/>
  <c r="F166" i="5"/>
  <c r="F144" i="5"/>
  <c r="F165" i="5"/>
  <c r="F164" i="5"/>
  <c r="G68" i="3"/>
  <c r="G118" i="6"/>
  <c r="G64" i="6"/>
  <c r="G206" i="7" s="1"/>
  <c r="G91" i="6"/>
  <c r="S19" i="7"/>
  <c r="S57" i="4"/>
  <c r="S183" i="4"/>
  <c r="S210" i="4"/>
  <c r="T54" i="7"/>
  <c r="Y214" i="4"/>
  <c r="F157" i="5"/>
  <c r="F151" i="6"/>
  <c r="Y213" i="4"/>
  <c r="K53" i="7"/>
  <c r="K127" i="4"/>
  <c r="F170" i="3" l="1"/>
  <c r="S3" i="7"/>
  <c r="S167" i="4"/>
  <c r="G189" i="3"/>
  <c r="G35" i="3"/>
  <c r="Y156" i="4"/>
  <c r="Y237" i="4"/>
  <c r="Y245" i="4"/>
  <c r="Y246" i="4"/>
  <c r="Y244" i="4"/>
  <c r="Y242" i="4"/>
  <c r="Y239" i="4"/>
  <c r="Y243" i="4"/>
  <c r="F147" i="3"/>
  <c r="F144" i="3"/>
  <c r="F143" i="3"/>
  <c r="F150" i="3"/>
  <c r="F149" i="3"/>
  <c r="F199" i="3"/>
  <c r="F148" i="3"/>
  <c r="F139" i="3"/>
  <c r="F145" i="3"/>
  <c r="F146" i="3"/>
  <c r="F141" i="3"/>
  <c r="F142" i="3"/>
  <c r="G219" i="3"/>
  <c r="G65" i="3"/>
  <c r="Y238" i="4"/>
  <c r="Y136" i="5"/>
  <c r="Y82" i="5"/>
  <c r="Y137" i="7" s="1"/>
  <c r="Y109" i="5"/>
  <c r="Y18" i="3"/>
  <c r="K46" i="7"/>
  <c r="K111" i="4"/>
  <c r="K30" i="7" s="1"/>
  <c r="Y241" i="4"/>
  <c r="G220" i="3"/>
  <c r="G61" i="5"/>
  <c r="G88" i="5"/>
  <c r="F177" i="3"/>
  <c r="F169" i="3"/>
  <c r="F175" i="3"/>
  <c r="F176" i="3"/>
  <c r="F173" i="3"/>
  <c r="F174" i="3"/>
  <c r="F180" i="3"/>
  <c r="F179" i="3"/>
  <c r="F178" i="3"/>
  <c r="F229" i="3"/>
  <c r="F171" i="3"/>
  <c r="F172" i="3"/>
  <c r="Y240" i="4"/>
  <c r="T80" i="4"/>
  <c r="T27" i="7"/>
  <c r="T191" i="4"/>
  <c r="T218" i="4"/>
  <c r="G55" i="6"/>
  <c r="G82" i="6"/>
  <c r="Y17" i="3" l="1"/>
  <c r="G64" i="3"/>
  <c r="G217" i="3"/>
  <c r="T26" i="7"/>
  <c r="T73" i="4"/>
  <c r="T190" i="4"/>
  <c r="T217" i="4"/>
  <c r="G187" i="3"/>
  <c r="G34" i="3"/>
  <c r="G127" i="3" s="1"/>
  <c r="Y157" i="6"/>
  <c r="Y130" i="6"/>
  <c r="Y76" i="6"/>
  <c r="Y103" i="6"/>
  <c r="G133" i="6"/>
  <c r="G79" i="6"/>
  <c r="G221" i="7" s="1"/>
  <c r="G106" i="6"/>
  <c r="G157" i="3" l="1"/>
  <c r="T19" i="7"/>
  <c r="T57" i="4"/>
  <c r="T183" i="4"/>
  <c r="T210" i="4"/>
  <c r="Y120" i="3"/>
  <c r="Y114" i="3"/>
  <c r="Y117" i="3"/>
  <c r="Y115" i="3"/>
  <c r="Y109" i="3"/>
  <c r="Y113" i="3"/>
  <c r="Y116" i="3"/>
  <c r="Y118" i="3"/>
  <c r="Y119" i="3"/>
  <c r="Y112" i="3"/>
  <c r="Y111" i="3"/>
  <c r="U54" i="7"/>
  <c r="G135" i="3"/>
  <c r="G133" i="3"/>
  <c r="G126" i="3"/>
  <c r="G131" i="3"/>
  <c r="G136" i="3"/>
  <c r="G138" i="3"/>
  <c r="G186" i="3"/>
  <c r="G134" i="3"/>
  <c r="G137" i="3"/>
  <c r="G132" i="3"/>
  <c r="G128" i="3"/>
  <c r="G130" i="3"/>
  <c r="G129" i="3"/>
  <c r="G161" i="3"/>
  <c r="G165" i="3"/>
  <c r="G166" i="3"/>
  <c r="G156" i="3"/>
  <c r="G167" i="3"/>
  <c r="G163" i="3"/>
  <c r="G168" i="3"/>
  <c r="G158" i="3"/>
  <c r="G216" i="3"/>
  <c r="G159" i="3"/>
  <c r="G160" i="3"/>
  <c r="G132" i="6"/>
  <c r="G40" i="6"/>
  <c r="G78" i="6"/>
  <c r="G220" i="7" s="1"/>
  <c r="G105" i="6"/>
  <c r="Y110" i="3"/>
  <c r="U107" i="4"/>
  <c r="U100" i="4" s="1"/>
  <c r="U84" i="4" s="1"/>
  <c r="G52" i="5"/>
  <c r="G138" i="5"/>
  <c r="G84" i="5"/>
  <c r="G139" i="7" s="1"/>
  <c r="G111" i="5"/>
  <c r="G83" i="5" l="1"/>
  <c r="G138" i="7" s="1"/>
  <c r="G137" i="5"/>
  <c r="G50" i="3"/>
  <c r="G110" i="5"/>
  <c r="G42" i="5"/>
  <c r="U27" i="7"/>
  <c r="U80" i="4"/>
  <c r="U191" i="4"/>
  <c r="U218" i="4"/>
  <c r="G77" i="6"/>
  <c r="G219" i="7" s="1"/>
  <c r="G131" i="6"/>
  <c r="G80" i="3"/>
  <c r="G104" i="6"/>
  <c r="G33" i="6"/>
  <c r="T3" i="7"/>
  <c r="T167" i="4"/>
  <c r="G76" i="5" l="1"/>
  <c r="G103" i="5"/>
  <c r="G17" i="5"/>
  <c r="G232" i="3"/>
  <c r="G78" i="3"/>
  <c r="G202" i="3"/>
  <c r="G48" i="3"/>
  <c r="G70" i="6"/>
  <c r="G97" i="6"/>
  <c r="G17" i="6"/>
  <c r="G151" i="6" s="1"/>
  <c r="U26" i="7"/>
  <c r="U73" i="4"/>
  <c r="U190" i="4"/>
  <c r="U217" i="4"/>
  <c r="G77" i="3" l="1"/>
  <c r="G170" i="3" s="1"/>
  <c r="G230" i="3"/>
  <c r="U19" i="7"/>
  <c r="U57" i="4"/>
  <c r="U183" i="4"/>
  <c r="U210" i="4"/>
  <c r="V54" i="7"/>
  <c r="G200" i="3"/>
  <c r="G47" i="3"/>
  <c r="G140" i="3" s="1"/>
  <c r="G60" i="5"/>
  <c r="G141" i="5"/>
  <c r="G150" i="5"/>
  <c r="G156" i="5"/>
  <c r="G161" i="5"/>
  <c r="G162" i="5"/>
  <c r="G163" i="5"/>
  <c r="G148" i="5"/>
  <c r="G155" i="5"/>
  <c r="G154" i="5"/>
  <c r="G147" i="5"/>
  <c r="G159" i="5"/>
  <c r="G143" i="5"/>
  <c r="G152" i="5"/>
  <c r="G145" i="5"/>
  <c r="G153" i="5"/>
  <c r="G160" i="5"/>
  <c r="G151" i="5"/>
  <c r="G158" i="5"/>
  <c r="G166" i="5"/>
  <c r="G146" i="5"/>
  <c r="G144" i="5"/>
  <c r="G142" i="5"/>
  <c r="G165" i="5"/>
  <c r="G164" i="5"/>
  <c r="V107" i="4"/>
  <c r="V100" i="4" s="1"/>
  <c r="V84" i="4" s="1"/>
  <c r="G54" i="6"/>
  <c r="G135" i="6"/>
  <c r="G155" i="6"/>
  <c r="G156" i="6"/>
  <c r="G142" i="6"/>
  <c r="G149" i="6"/>
  <c r="G148" i="6"/>
  <c r="G153" i="6"/>
  <c r="G141" i="6"/>
  <c r="G137" i="6"/>
  <c r="G146" i="6"/>
  <c r="G139" i="6"/>
  <c r="G154" i="6"/>
  <c r="G147" i="6"/>
  <c r="G140" i="6"/>
  <c r="G152" i="6"/>
  <c r="G145" i="6"/>
  <c r="G138" i="6"/>
  <c r="G136" i="6"/>
  <c r="G160" i="6"/>
  <c r="G159" i="6"/>
  <c r="G158" i="6"/>
  <c r="G157" i="5"/>
  <c r="H72" i="5" l="1"/>
  <c r="H127" i="7" s="1"/>
  <c r="H126" i="5"/>
  <c r="H99" i="5"/>
  <c r="H33" i="5"/>
  <c r="V80" i="4"/>
  <c r="V27" i="7"/>
  <c r="V191" i="4"/>
  <c r="V218" i="4"/>
  <c r="U3" i="7"/>
  <c r="U167" i="4"/>
  <c r="H133" i="5"/>
  <c r="H79" i="5"/>
  <c r="H134" i="7" s="1"/>
  <c r="H106" i="5"/>
  <c r="H43" i="5"/>
  <c r="H127" i="6"/>
  <c r="H73" i="6"/>
  <c r="H215" i="7" s="1"/>
  <c r="H100" i="6"/>
  <c r="H34" i="6"/>
  <c r="G139" i="3"/>
  <c r="G145" i="3"/>
  <c r="G147" i="3"/>
  <c r="G143" i="3"/>
  <c r="G146" i="3"/>
  <c r="G150" i="3"/>
  <c r="G144" i="3"/>
  <c r="G149" i="3"/>
  <c r="G199" i="3"/>
  <c r="G148" i="3"/>
  <c r="G141" i="3"/>
  <c r="G142" i="3"/>
  <c r="G169" i="3"/>
  <c r="G175" i="3"/>
  <c r="G176" i="3"/>
  <c r="G173" i="3"/>
  <c r="G177" i="3"/>
  <c r="G174" i="3"/>
  <c r="G180" i="3"/>
  <c r="G179" i="3"/>
  <c r="G178" i="3"/>
  <c r="G229" i="3"/>
  <c r="G171" i="3"/>
  <c r="G172" i="3"/>
  <c r="W54" i="7" l="1"/>
  <c r="H113" i="6"/>
  <c r="H59" i="6"/>
  <c r="H201" i="7" s="1"/>
  <c r="H86" i="6"/>
  <c r="H20" i="6"/>
  <c r="H131" i="5"/>
  <c r="H77" i="5"/>
  <c r="H132" i="7" s="1"/>
  <c r="H49" i="3"/>
  <c r="H104" i="5"/>
  <c r="V73" i="4"/>
  <c r="V26" i="7"/>
  <c r="V190" i="4"/>
  <c r="V217" i="4"/>
  <c r="H70" i="5"/>
  <c r="H125" i="7" s="1"/>
  <c r="H124" i="5"/>
  <c r="H38" i="3"/>
  <c r="H97" i="5"/>
  <c r="W107" i="4"/>
  <c r="W100" i="4" s="1"/>
  <c r="W84" i="4" s="1"/>
  <c r="H71" i="6"/>
  <c r="H213" i="7" s="1"/>
  <c r="H125" i="6"/>
  <c r="H79" i="3"/>
  <c r="H98" i="6"/>
  <c r="H65" i="5"/>
  <c r="H120" i="7" s="1"/>
  <c r="H119" i="5"/>
  <c r="H92" i="5"/>
  <c r="H21" i="5"/>
  <c r="H85" i="5"/>
  <c r="H140" i="7" s="1"/>
  <c r="H139" i="5"/>
  <c r="H112" i="5"/>
  <c r="H57" i="6" l="1"/>
  <c r="H199" i="7" s="1"/>
  <c r="H111" i="6"/>
  <c r="H67" i="3"/>
  <c r="H84" i="6"/>
  <c r="H120" i="6"/>
  <c r="H66" i="6"/>
  <c r="H208" i="7" s="1"/>
  <c r="H93" i="6"/>
  <c r="H27" i="6"/>
  <c r="H201" i="3"/>
  <c r="H63" i="5"/>
  <c r="H118" i="7" s="1"/>
  <c r="H117" i="5"/>
  <c r="H37" i="3"/>
  <c r="H90" i="5"/>
  <c r="H18" i="5"/>
  <c r="W27" i="7"/>
  <c r="W80" i="4"/>
  <c r="W191" i="4"/>
  <c r="W218" i="4"/>
  <c r="H190" i="3"/>
  <c r="H231" i="3"/>
  <c r="V19" i="7"/>
  <c r="V57" i="4"/>
  <c r="V183" i="4"/>
  <c r="V210" i="4"/>
  <c r="H189" i="3" l="1"/>
  <c r="H35" i="3"/>
  <c r="H219" i="3"/>
  <c r="H118" i="6"/>
  <c r="H68" i="3"/>
  <c r="H65" i="3" s="1"/>
  <c r="H64" i="6"/>
  <c r="H206" i="7" s="1"/>
  <c r="H91" i="6"/>
  <c r="V3" i="7"/>
  <c r="V167" i="4"/>
  <c r="W26" i="7"/>
  <c r="W73" i="4"/>
  <c r="W190" i="4"/>
  <c r="W217" i="4"/>
  <c r="H133" i="6"/>
  <c r="H79" i="6"/>
  <c r="H221" i="7" s="1"/>
  <c r="H106" i="6"/>
  <c r="H61" i="5"/>
  <c r="H88" i="5"/>
  <c r="H18" i="6"/>
  <c r="H55" i="6" l="1"/>
  <c r="H82" i="6"/>
  <c r="H64" i="3"/>
  <c r="H157" i="3" s="1"/>
  <c r="H217" i="3"/>
  <c r="X107" i="4"/>
  <c r="X100" i="4" s="1"/>
  <c r="X84" i="4" s="1"/>
  <c r="H187" i="3"/>
  <c r="H34" i="3"/>
  <c r="H127" i="3" s="1"/>
  <c r="X54" i="7"/>
  <c r="H220" i="3"/>
  <c r="W19" i="7"/>
  <c r="W57" i="4"/>
  <c r="W183" i="4"/>
  <c r="W210" i="4"/>
  <c r="H160" i="3" l="1"/>
  <c r="H40" i="6"/>
  <c r="H132" i="6"/>
  <c r="H78" i="6"/>
  <c r="H220" i="7" s="1"/>
  <c r="H105" i="6"/>
  <c r="H52" i="5"/>
  <c r="H138" i="5"/>
  <c r="H84" i="5"/>
  <c r="H139" i="7" s="1"/>
  <c r="H111" i="5"/>
  <c r="H163" i="3"/>
  <c r="H161" i="3"/>
  <c r="H166" i="3"/>
  <c r="H156" i="3"/>
  <c r="H167" i="3"/>
  <c r="H168" i="3"/>
  <c r="H165" i="3"/>
  <c r="H216" i="3"/>
  <c r="H158" i="3"/>
  <c r="H159" i="3"/>
  <c r="L55" i="7"/>
  <c r="L134" i="4"/>
  <c r="H132" i="3"/>
  <c r="H136" i="3"/>
  <c r="H137" i="3"/>
  <c r="H134" i="3"/>
  <c r="H138" i="3"/>
  <c r="H131" i="3"/>
  <c r="H186" i="3"/>
  <c r="H133" i="3"/>
  <c r="H126" i="3"/>
  <c r="H135" i="3"/>
  <c r="H128" i="3"/>
  <c r="H130" i="3"/>
  <c r="H129" i="3"/>
  <c r="W3" i="7"/>
  <c r="W167" i="4"/>
  <c r="X80" i="4"/>
  <c r="X27" i="7"/>
  <c r="X191" i="4"/>
  <c r="X218" i="4"/>
  <c r="L53" i="7" l="1"/>
  <c r="L127" i="4"/>
  <c r="H42" i="5"/>
  <c r="H137" i="5"/>
  <c r="H83" i="5"/>
  <c r="H138" i="7" s="1"/>
  <c r="H50" i="3"/>
  <c r="H110" i="5"/>
  <c r="X26" i="7"/>
  <c r="X73" i="4"/>
  <c r="X190" i="4"/>
  <c r="X217" i="4"/>
  <c r="H131" i="6"/>
  <c r="H80" i="3"/>
  <c r="H77" i="6"/>
  <c r="H219" i="7" s="1"/>
  <c r="H104" i="6"/>
  <c r="H33" i="6"/>
  <c r="Y54" i="7" l="1"/>
  <c r="H76" i="5"/>
  <c r="H103" i="5"/>
  <c r="H17" i="5"/>
  <c r="X19" i="7"/>
  <c r="X57" i="4"/>
  <c r="X183" i="4"/>
  <c r="X210" i="4"/>
  <c r="L46" i="7"/>
  <c r="L111" i="4"/>
  <c r="L30" i="7" s="1"/>
  <c r="Y107" i="4"/>
  <c r="Y100" i="4" s="1"/>
  <c r="Y84" i="4" s="1"/>
  <c r="H70" i="6"/>
  <c r="H97" i="6"/>
  <c r="H17" i="6"/>
  <c r="H151" i="6" s="1"/>
  <c r="H202" i="3"/>
  <c r="H48" i="3"/>
  <c r="H232" i="3"/>
  <c r="H78" i="3"/>
  <c r="X3" i="7" l="1"/>
  <c r="X167" i="4"/>
  <c r="H77" i="3"/>
  <c r="H170" i="3"/>
  <c r="H230" i="3"/>
  <c r="H141" i="5"/>
  <c r="H60" i="5"/>
  <c r="H150" i="5"/>
  <c r="H156" i="5"/>
  <c r="H161" i="5"/>
  <c r="H162" i="5"/>
  <c r="H163" i="5"/>
  <c r="H148" i="5"/>
  <c r="H155" i="5"/>
  <c r="H154" i="5"/>
  <c r="H147" i="5"/>
  <c r="H143" i="5"/>
  <c r="H152" i="5"/>
  <c r="H159" i="5"/>
  <c r="H145" i="5"/>
  <c r="H153" i="5"/>
  <c r="H160" i="5"/>
  <c r="H151" i="5"/>
  <c r="H146" i="5"/>
  <c r="H158" i="5"/>
  <c r="H166" i="5"/>
  <c r="H144" i="5"/>
  <c r="H142" i="5"/>
  <c r="H165" i="5"/>
  <c r="H164" i="5"/>
  <c r="H157" i="5"/>
  <c r="H200" i="3"/>
  <c r="H47" i="3"/>
  <c r="H140" i="3"/>
  <c r="H135" i="6"/>
  <c r="H156" i="6"/>
  <c r="H155" i="6"/>
  <c r="H142" i="6"/>
  <c r="H149" i="6"/>
  <c r="H54" i="6"/>
  <c r="H148" i="6"/>
  <c r="H141" i="6"/>
  <c r="H146" i="6"/>
  <c r="H153" i="6"/>
  <c r="H137" i="6"/>
  <c r="H139" i="6"/>
  <c r="H154" i="6"/>
  <c r="H140" i="6"/>
  <c r="H152" i="6"/>
  <c r="H147" i="6"/>
  <c r="H138" i="6"/>
  <c r="H145" i="6"/>
  <c r="H160" i="6"/>
  <c r="H136" i="6"/>
  <c r="H159" i="6"/>
  <c r="H158" i="6"/>
  <c r="Y80" i="4"/>
  <c r="Y27" i="7"/>
  <c r="Y191" i="4"/>
  <c r="Y218" i="4"/>
  <c r="H174" i="3" l="1"/>
  <c r="H180" i="3"/>
  <c r="H179" i="3"/>
  <c r="H178" i="3"/>
  <c r="H169" i="3"/>
  <c r="H175" i="3"/>
  <c r="H177" i="3"/>
  <c r="H176" i="3"/>
  <c r="H173" i="3"/>
  <c r="H229" i="3"/>
  <c r="H171" i="3"/>
  <c r="H172" i="3"/>
  <c r="Y26" i="7"/>
  <c r="Y73" i="4"/>
  <c r="Y190" i="4"/>
  <c r="Y217" i="4"/>
  <c r="H144" i="3"/>
  <c r="H139" i="3"/>
  <c r="H145" i="3"/>
  <c r="H150" i="3"/>
  <c r="H199" i="3"/>
  <c r="H146" i="3"/>
  <c r="H147" i="3"/>
  <c r="H143" i="3"/>
  <c r="H149" i="3"/>
  <c r="H148" i="3"/>
  <c r="H141" i="3"/>
  <c r="H142" i="3"/>
  <c r="I133" i="5" l="1"/>
  <c r="I79" i="5"/>
  <c r="I134" i="7" s="1"/>
  <c r="I106" i="5"/>
  <c r="I43" i="5"/>
  <c r="I72" i="5"/>
  <c r="I127" i="7" s="1"/>
  <c r="I126" i="5"/>
  <c r="I99" i="5"/>
  <c r="I33" i="5"/>
  <c r="I127" i="6"/>
  <c r="I73" i="6"/>
  <c r="I215" i="7" s="1"/>
  <c r="I100" i="6"/>
  <c r="I34" i="6"/>
  <c r="Y19" i="7"/>
  <c r="Y57" i="4"/>
  <c r="Y3" i="7" s="1"/>
  <c r="Y183" i="4"/>
  <c r="Y210" i="4"/>
  <c r="I139" i="5" l="1"/>
  <c r="I85" i="5"/>
  <c r="I140" i="7" s="1"/>
  <c r="I112" i="5"/>
  <c r="I71" i="6"/>
  <c r="I213" i="7" s="1"/>
  <c r="I125" i="6"/>
  <c r="I79" i="3"/>
  <c r="I98" i="6"/>
  <c r="I77" i="5"/>
  <c r="I132" i="7" s="1"/>
  <c r="I131" i="5"/>
  <c r="I49" i="3"/>
  <c r="I104" i="5"/>
  <c r="I119" i="5"/>
  <c r="I65" i="5"/>
  <c r="I120" i="7" s="1"/>
  <c r="I92" i="5"/>
  <c r="I21" i="5"/>
  <c r="I124" i="5"/>
  <c r="I70" i="5"/>
  <c r="I125" i="7" s="1"/>
  <c r="I38" i="3"/>
  <c r="I97" i="5"/>
  <c r="I18" i="5" l="1"/>
  <c r="I117" i="5"/>
  <c r="I63" i="5"/>
  <c r="I118" i="7" s="1"/>
  <c r="I37" i="3"/>
  <c r="I90" i="5"/>
  <c r="I201" i="3"/>
  <c r="I190" i="3"/>
  <c r="I120" i="6"/>
  <c r="I66" i="6"/>
  <c r="I208" i="7" s="1"/>
  <c r="I93" i="6"/>
  <c r="I27" i="6"/>
  <c r="I231" i="3"/>
  <c r="I113" i="6" l="1"/>
  <c r="I59" i="6"/>
  <c r="I201" i="7" s="1"/>
  <c r="I86" i="6"/>
  <c r="I20" i="6"/>
  <c r="I64" i="6"/>
  <c r="I206" i="7" s="1"/>
  <c r="I118" i="6"/>
  <c r="I68" i="3"/>
  <c r="I91" i="6"/>
  <c r="I189" i="3"/>
  <c r="I35" i="3"/>
  <c r="I61" i="5"/>
  <c r="I88" i="5"/>
  <c r="I187" i="3" l="1"/>
  <c r="I34" i="3"/>
  <c r="I127" i="3"/>
  <c r="I111" i="6"/>
  <c r="I67" i="3"/>
  <c r="I57" i="6"/>
  <c r="I199" i="7" s="1"/>
  <c r="I84" i="6"/>
  <c r="I18" i="6"/>
  <c r="I220" i="3"/>
  <c r="I219" i="3" l="1"/>
  <c r="I65" i="3"/>
  <c r="I133" i="6"/>
  <c r="I79" i="6"/>
  <c r="I221" i="7" s="1"/>
  <c r="I106" i="6"/>
  <c r="I55" i="6"/>
  <c r="I82" i="6"/>
  <c r="I134" i="3"/>
  <c r="I131" i="3"/>
  <c r="I135" i="3"/>
  <c r="I186" i="3"/>
  <c r="I126" i="3"/>
  <c r="I133" i="3"/>
  <c r="I136" i="3"/>
  <c r="I137" i="3"/>
  <c r="I132" i="3"/>
  <c r="I138" i="3"/>
  <c r="I128" i="3"/>
  <c r="I130" i="3"/>
  <c r="I129" i="3"/>
  <c r="I52" i="5" l="1"/>
  <c r="I84" i="5"/>
  <c r="I139" i="7" s="1"/>
  <c r="I138" i="5"/>
  <c r="I111" i="5"/>
  <c r="I64" i="3"/>
  <c r="I217" i="3"/>
  <c r="I40" i="6"/>
  <c r="I132" i="6"/>
  <c r="I78" i="6"/>
  <c r="I220" i="7" s="1"/>
  <c r="I105" i="6"/>
  <c r="I157" i="3" l="1"/>
  <c r="I83" i="5"/>
  <c r="I138" i="7" s="1"/>
  <c r="I137" i="5"/>
  <c r="I50" i="3"/>
  <c r="I110" i="5"/>
  <c r="I42" i="5"/>
  <c r="I166" i="3"/>
  <c r="I156" i="3"/>
  <c r="I167" i="3"/>
  <c r="I168" i="3"/>
  <c r="I163" i="3"/>
  <c r="I161" i="3"/>
  <c r="I165" i="3"/>
  <c r="I158" i="3"/>
  <c r="I216" i="3"/>
  <c r="I160" i="3"/>
  <c r="I159" i="3"/>
  <c r="I77" i="6"/>
  <c r="I219" i="7" s="1"/>
  <c r="I131" i="6"/>
  <c r="I80" i="3"/>
  <c r="I104" i="6"/>
  <c r="I33" i="6"/>
  <c r="I232" i="3" l="1"/>
  <c r="I78" i="3"/>
  <c r="I17" i="5"/>
  <c r="I157" i="5"/>
  <c r="I76" i="5"/>
  <c r="I103" i="5"/>
  <c r="I202" i="3"/>
  <c r="I48" i="3"/>
  <c r="I70" i="6"/>
  <c r="I97" i="6"/>
  <c r="I17" i="6"/>
  <c r="I136" i="6" l="1"/>
  <c r="I135" i="6"/>
  <c r="I156" i="6"/>
  <c r="I155" i="6"/>
  <c r="I148" i="6"/>
  <c r="I141" i="6"/>
  <c r="I54" i="6"/>
  <c r="I142" i="6"/>
  <c r="I149" i="6"/>
  <c r="I146" i="6"/>
  <c r="I153" i="6"/>
  <c r="I137" i="6"/>
  <c r="I139" i="6"/>
  <c r="I154" i="6"/>
  <c r="I152" i="6"/>
  <c r="I147" i="6"/>
  <c r="I145" i="6"/>
  <c r="I140" i="6"/>
  <c r="I138" i="6"/>
  <c r="I160" i="6"/>
  <c r="I159" i="6"/>
  <c r="I158" i="6"/>
  <c r="I141" i="5"/>
  <c r="I60" i="5"/>
  <c r="I150" i="5"/>
  <c r="I156" i="5"/>
  <c r="I162" i="5"/>
  <c r="I161" i="5"/>
  <c r="I163" i="5"/>
  <c r="I154" i="5"/>
  <c r="I147" i="5"/>
  <c r="I148" i="5"/>
  <c r="I155" i="5"/>
  <c r="I143" i="5"/>
  <c r="I152" i="5"/>
  <c r="I159" i="5"/>
  <c r="I145" i="5"/>
  <c r="I160" i="5"/>
  <c r="I153" i="5"/>
  <c r="I166" i="5"/>
  <c r="I151" i="5"/>
  <c r="I158" i="5"/>
  <c r="I146" i="5"/>
  <c r="I144" i="5"/>
  <c r="I142" i="5"/>
  <c r="I165" i="5"/>
  <c r="I164" i="5"/>
  <c r="M55" i="7"/>
  <c r="M134" i="4"/>
  <c r="I151" i="6"/>
  <c r="J133" i="5"/>
  <c r="J79" i="5"/>
  <c r="J134" i="7" s="1"/>
  <c r="J106" i="5"/>
  <c r="J43" i="5"/>
  <c r="I77" i="3"/>
  <c r="I230" i="3"/>
  <c r="I200" i="3"/>
  <c r="I47" i="3"/>
  <c r="I140" i="3" s="1"/>
  <c r="J126" i="5"/>
  <c r="J72" i="5"/>
  <c r="J127" i="7" s="1"/>
  <c r="J99" i="5"/>
  <c r="J33" i="5"/>
  <c r="I170" i="3" l="1"/>
  <c r="J70" i="5"/>
  <c r="J125" i="7" s="1"/>
  <c r="J124" i="5"/>
  <c r="J38" i="3"/>
  <c r="J97" i="5"/>
  <c r="J113" i="6"/>
  <c r="J59" i="6"/>
  <c r="J201" i="7" s="1"/>
  <c r="J86" i="6"/>
  <c r="J20" i="6"/>
  <c r="M53" i="7"/>
  <c r="M127" i="4"/>
  <c r="J127" i="6"/>
  <c r="J73" i="6"/>
  <c r="J215" i="7" s="1"/>
  <c r="J100" i="6"/>
  <c r="J34" i="6"/>
  <c r="I174" i="3"/>
  <c r="I176" i="3"/>
  <c r="I177" i="3"/>
  <c r="I173" i="3"/>
  <c r="I179" i="3"/>
  <c r="I180" i="3"/>
  <c r="I178" i="3"/>
  <c r="I169" i="3"/>
  <c r="I175" i="3"/>
  <c r="I229" i="3"/>
  <c r="I171" i="3"/>
  <c r="I172" i="3"/>
  <c r="J77" i="5"/>
  <c r="J132" i="7" s="1"/>
  <c r="J131" i="5"/>
  <c r="J49" i="3"/>
  <c r="J104" i="5"/>
  <c r="I147" i="3"/>
  <c r="I199" i="3"/>
  <c r="I143" i="3"/>
  <c r="I145" i="3"/>
  <c r="I144" i="3"/>
  <c r="I139" i="3"/>
  <c r="I146" i="3"/>
  <c r="I148" i="3"/>
  <c r="I149" i="3"/>
  <c r="I150" i="3"/>
  <c r="I141" i="3"/>
  <c r="I142" i="3"/>
  <c r="J65" i="5"/>
  <c r="J120" i="7" s="1"/>
  <c r="J119" i="5"/>
  <c r="J92" i="5"/>
  <c r="J21" i="5"/>
  <c r="J85" i="5"/>
  <c r="J140" i="7" s="1"/>
  <c r="J139" i="5"/>
  <c r="J112" i="5"/>
  <c r="J63" i="5" l="1"/>
  <c r="J118" i="7" s="1"/>
  <c r="J117" i="5"/>
  <c r="J37" i="3"/>
  <c r="J90" i="5"/>
  <c r="J18" i="5"/>
  <c r="J111" i="6"/>
  <c r="J67" i="3"/>
  <c r="J57" i="6"/>
  <c r="J199" i="7" s="1"/>
  <c r="J84" i="6"/>
  <c r="J190" i="3"/>
  <c r="J201" i="3"/>
  <c r="M46" i="7"/>
  <c r="M111" i="4"/>
  <c r="M30" i="7" s="1"/>
  <c r="J71" i="6"/>
  <c r="J213" i="7" s="1"/>
  <c r="J125" i="6"/>
  <c r="J79" i="3"/>
  <c r="J98" i="6"/>
  <c r="J120" i="6"/>
  <c r="J66" i="6"/>
  <c r="J208" i="7" s="1"/>
  <c r="J93" i="6"/>
  <c r="J27" i="6"/>
  <c r="J231" i="3" l="1"/>
  <c r="J18" i="6"/>
  <c r="J118" i="6"/>
  <c r="J68" i="3"/>
  <c r="J65" i="3" s="1"/>
  <c r="J64" i="6"/>
  <c r="J206" i="7" s="1"/>
  <c r="J91" i="6"/>
  <c r="J189" i="3"/>
  <c r="J35" i="3"/>
  <c r="J61" i="5"/>
  <c r="J88" i="5"/>
  <c r="J219" i="3"/>
  <c r="J133" i="6"/>
  <c r="J79" i="6"/>
  <c r="J221" i="7" s="1"/>
  <c r="J106" i="6"/>
  <c r="J187" i="3" l="1"/>
  <c r="J34" i="3"/>
  <c r="J127" i="3" s="1"/>
  <c r="J55" i="6"/>
  <c r="J82" i="6"/>
  <c r="J64" i="3"/>
  <c r="J217" i="3"/>
  <c r="J220" i="3"/>
  <c r="J157" i="3" l="1"/>
  <c r="J135" i="3"/>
  <c r="J136" i="3"/>
  <c r="J138" i="3"/>
  <c r="J126" i="3"/>
  <c r="J131" i="3"/>
  <c r="J186" i="3"/>
  <c r="J133" i="3"/>
  <c r="J132" i="3"/>
  <c r="J134" i="3"/>
  <c r="J137" i="3"/>
  <c r="J128" i="3"/>
  <c r="J130" i="3"/>
  <c r="J129" i="3"/>
  <c r="J40" i="6"/>
  <c r="J132" i="6"/>
  <c r="J78" i="6"/>
  <c r="J220" i="7" s="1"/>
  <c r="J105" i="6"/>
  <c r="J166" i="3"/>
  <c r="J156" i="3"/>
  <c r="J167" i="3"/>
  <c r="J168" i="3"/>
  <c r="J163" i="3"/>
  <c r="J161" i="3"/>
  <c r="J165" i="3"/>
  <c r="J158" i="3"/>
  <c r="J216" i="3"/>
  <c r="J159" i="3"/>
  <c r="J160" i="3"/>
  <c r="J84" i="5"/>
  <c r="J139" i="7" s="1"/>
  <c r="J52" i="5"/>
  <c r="J138" i="5"/>
  <c r="J111" i="5"/>
  <c r="J131" i="6" l="1"/>
  <c r="J80" i="3"/>
  <c r="J77" i="6"/>
  <c r="J219" i="7" s="1"/>
  <c r="J104" i="6"/>
  <c r="J33" i="6"/>
  <c r="J137" i="5"/>
  <c r="J83" i="5"/>
  <c r="J138" i="7" s="1"/>
  <c r="J50" i="3"/>
  <c r="J110" i="5"/>
  <c r="J42" i="5"/>
  <c r="J202" i="3" l="1"/>
  <c r="J48" i="3"/>
  <c r="J232" i="3"/>
  <c r="J78" i="3"/>
  <c r="J70" i="6"/>
  <c r="J97" i="6"/>
  <c r="J17" i="6"/>
  <c r="J76" i="5"/>
  <c r="J103" i="5"/>
  <c r="J17" i="5"/>
  <c r="J157" i="5" s="1"/>
  <c r="J77" i="3" l="1"/>
  <c r="J230" i="3"/>
  <c r="J135" i="6"/>
  <c r="J156" i="6"/>
  <c r="J155" i="6"/>
  <c r="J148" i="6"/>
  <c r="J54" i="6"/>
  <c r="J142" i="6"/>
  <c r="J141" i="6"/>
  <c r="J143" i="6"/>
  <c r="J149" i="6"/>
  <c r="J137" i="6"/>
  <c r="J146" i="6"/>
  <c r="J153" i="6"/>
  <c r="J139" i="6"/>
  <c r="J140" i="6"/>
  <c r="J154" i="6"/>
  <c r="J138" i="6"/>
  <c r="J147" i="6"/>
  <c r="J152" i="6"/>
  <c r="J145" i="6"/>
  <c r="J160" i="6"/>
  <c r="J136" i="6"/>
  <c r="J159" i="6"/>
  <c r="J158" i="6"/>
  <c r="J151" i="6"/>
  <c r="J200" i="3"/>
  <c r="J47" i="3"/>
  <c r="J140" i="3" s="1"/>
  <c r="J164" i="5"/>
  <c r="J60" i="5"/>
  <c r="J141" i="5"/>
  <c r="J156" i="5"/>
  <c r="J162" i="5"/>
  <c r="J161" i="5"/>
  <c r="J163" i="5"/>
  <c r="J154" i="5"/>
  <c r="J147" i="5"/>
  <c r="J148" i="5"/>
  <c r="J149" i="5"/>
  <c r="J155" i="5"/>
  <c r="J150" i="5"/>
  <c r="J152" i="5"/>
  <c r="J159" i="5"/>
  <c r="J143" i="5"/>
  <c r="J145" i="5"/>
  <c r="J160" i="5"/>
  <c r="J153" i="5"/>
  <c r="J166" i="5"/>
  <c r="J158" i="5"/>
  <c r="J146" i="5"/>
  <c r="J151" i="5"/>
  <c r="J144" i="5"/>
  <c r="J142" i="5"/>
  <c r="J165" i="5"/>
  <c r="J170" i="3" l="1"/>
  <c r="J148" i="3"/>
  <c r="J147" i="3"/>
  <c r="J150" i="3"/>
  <c r="J139" i="3"/>
  <c r="J145" i="3"/>
  <c r="J144" i="3"/>
  <c r="J143" i="3"/>
  <c r="J199" i="3"/>
  <c r="J146" i="3"/>
  <c r="J149" i="3"/>
  <c r="J141" i="3"/>
  <c r="J142" i="3"/>
  <c r="J174" i="3"/>
  <c r="J179" i="3"/>
  <c r="J178" i="3"/>
  <c r="J169" i="3"/>
  <c r="J175" i="3"/>
  <c r="J176" i="3"/>
  <c r="J173" i="3"/>
  <c r="J177" i="3"/>
  <c r="J180" i="3"/>
  <c r="J229" i="3"/>
  <c r="J171" i="3"/>
  <c r="J172" i="3"/>
  <c r="K126" i="5" l="1"/>
  <c r="K72" i="5"/>
  <c r="K127" i="7" s="1"/>
  <c r="K99" i="5"/>
  <c r="K33" i="5"/>
  <c r="K133" i="5"/>
  <c r="K79" i="5"/>
  <c r="K134" i="7" s="1"/>
  <c r="K106" i="5"/>
  <c r="K43" i="5"/>
  <c r="K131" i="5" l="1"/>
  <c r="K77" i="5"/>
  <c r="K132" i="7" s="1"/>
  <c r="K49" i="3"/>
  <c r="K104" i="5"/>
  <c r="K127" i="6"/>
  <c r="K73" i="6"/>
  <c r="K215" i="7" s="1"/>
  <c r="K100" i="6"/>
  <c r="K34" i="6"/>
  <c r="K139" i="5"/>
  <c r="K85" i="5"/>
  <c r="K140" i="7" s="1"/>
  <c r="K112" i="5"/>
  <c r="K119" i="5"/>
  <c r="K65" i="5"/>
  <c r="K120" i="7" s="1"/>
  <c r="K92" i="5"/>
  <c r="K21" i="5"/>
  <c r="K70" i="5"/>
  <c r="K125" i="7" s="1"/>
  <c r="K124" i="5"/>
  <c r="K38" i="3"/>
  <c r="K97" i="5"/>
  <c r="K120" i="6" l="1"/>
  <c r="K66" i="6"/>
  <c r="K208" i="7" s="1"/>
  <c r="K93" i="6"/>
  <c r="K27" i="6"/>
  <c r="K18" i="5"/>
  <c r="K117" i="5"/>
  <c r="K63" i="5"/>
  <c r="K118" i="7" s="1"/>
  <c r="K37" i="3"/>
  <c r="K90" i="5"/>
  <c r="K125" i="6"/>
  <c r="K79" i="3"/>
  <c r="K71" i="6"/>
  <c r="K213" i="7" s="1"/>
  <c r="K98" i="6"/>
  <c r="K201" i="3"/>
  <c r="K190" i="3"/>
  <c r="K61" i="5" l="1"/>
  <c r="K88" i="5"/>
  <c r="K113" i="6"/>
  <c r="K59" i="6"/>
  <c r="K201" i="7" s="1"/>
  <c r="K86" i="6"/>
  <c r="K20" i="6"/>
  <c r="K118" i="6"/>
  <c r="K68" i="3"/>
  <c r="K64" i="6"/>
  <c r="K206" i="7" s="1"/>
  <c r="K91" i="6"/>
  <c r="N55" i="7"/>
  <c r="N134" i="4"/>
  <c r="K189" i="3"/>
  <c r="K35" i="3"/>
  <c r="K231" i="3"/>
  <c r="K220" i="3" l="1"/>
  <c r="K187" i="3"/>
  <c r="K34" i="3"/>
  <c r="K127" i="3" s="1"/>
  <c r="K111" i="6"/>
  <c r="K67" i="3"/>
  <c r="K57" i="6"/>
  <c r="K199" i="7" s="1"/>
  <c r="K84" i="6"/>
  <c r="K18" i="6"/>
  <c r="Y169" i="4"/>
  <c r="N53" i="7"/>
  <c r="N127" i="4"/>
  <c r="K219" i="3" l="1"/>
  <c r="K65" i="3"/>
  <c r="K133" i="6"/>
  <c r="K79" i="6"/>
  <c r="K221" i="7" s="1"/>
  <c r="K106" i="6"/>
  <c r="K186" i="3"/>
  <c r="K133" i="3"/>
  <c r="K135" i="3"/>
  <c r="K137" i="3"/>
  <c r="K126" i="3"/>
  <c r="K134" i="3"/>
  <c r="K131" i="3"/>
  <c r="K136" i="3"/>
  <c r="K138" i="3"/>
  <c r="K132" i="3"/>
  <c r="K128" i="3"/>
  <c r="K130" i="3"/>
  <c r="K129" i="3"/>
  <c r="K55" i="6"/>
  <c r="K82" i="6"/>
  <c r="N46" i="7"/>
  <c r="N111" i="4"/>
  <c r="N30" i="7" s="1"/>
  <c r="K64" i="3" l="1"/>
  <c r="K157" i="3" s="1"/>
  <c r="K217" i="3"/>
  <c r="K138" i="5" l="1"/>
  <c r="K52" i="5"/>
  <c r="K84" i="5"/>
  <c r="K139" i="7" s="1"/>
  <c r="K111" i="5"/>
  <c r="K132" i="6"/>
  <c r="K40" i="6"/>
  <c r="K78" i="6"/>
  <c r="K220" i="7" s="1"/>
  <c r="K105" i="6"/>
  <c r="K165" i="3"/>
  <c r="K163" i="3"/>
  <c r="K161" i="3"/>
  <c r="K166" i="3"/>
  <c r="K156" i="3"/>
  <c r="K167" i="3"/>
  <c r="K168" i="3"/>
  <c r="K158" i="3"/>
  <c r="K216" i="3"/>
  <c r="K160" i="3"/>
  <c r="K159" i="3"/>
  <c r="K42" i="5" l="1"/>
  <c r="K137" i="5"/>
  <c r="K83" i="5"/>
  <c r="K138" i="7" s="1"/>
  <c r="K50" i="3"/>
  <c r="K110" i="5"/>
  <c r="K131" i="6"/>
  <c r="K80" i="3"/>
  <c r="K77" i="6"/>
  <c r="K219" i="7" s="1"/>
  <c r="K104" i="6"/>
  <c r="K33" i="6"/>
  <c r="Y5" i="4"/>
  <c r="K70" i="6" l="1"/>
  <c r="K97" i="6"/>
  <c r="K17" i="6"/>
  <c r="K202" i="3"/>
  <c r="K48" i="3"/>
  <c r="L126" i="5"/>
  <c r="L72" i="5"/>
  <c r="L127" i="7" s="1"/>
  <c r="L99" i="5"/>
  <c r="L33" i="5"/>
  <c r="K232" i="3"/>
  <c r="K78" i="3"/>
  <c r="L127" i="6"/>
  <c r="L73" i="6"/>
  <c r="L215" i="7" s="1"/>
  <c r="L100" i="6"/>
  <c r="L34" i="6"/>
  <c r="Y6" i="3"/>
  <c r="Y196" i="4"/>
  <c r="L133" i="5"/>
  <c r="L79" i="5"/>
  <c r="L134" i="7" s="1"/>
  <c r="L106" i="5"/>
  <c r="L43" i="5"/>
  <c r="K76" i="5"/>
  <c r="K103" i="5"/>
  <c r="K17" i="5"/>
  <c r="Y174" i="4" l="1"/>
  <c r="L77" i="5"/>
  <c r="L132" i="7" s="1"/>
  <c r="L131" i="5"/>
  <c r="L49" i="3"/>
  <c r="L104" i="5"/>
  <c r="L124" i="5"/>
  <c r="L70" i="5"/>
  <c r="L125" i="7" s="1"/>
  <c r="L38" i="3"/>
  <c r="L97" i="5"/>
  <c r="Y175" i="4"/>
  <c r="K151" i="6"/>
  <c r="K135" i="6"/>
  <c r="K155" i="6"/>
  <c r="K156" i="6"/>
  <c r="K142" i="6"/>
  <c r="K148" i="6"/>
  <c r="K149" i="6"/>
  <c r="K143" i="6"/>
  <c r="K141" i="6"/>
  <c r="K54" i="6"/>
  <c r="K137" i="6"/>
  <c r="K153" i="6"/>
  <c r="K146" i="6"/>
  <c r="K139" i="6"/>
  <c r="K154" i="6"/>
  <c r="K147" i="6"/>
  <c r="K152" i="6"/>
  <c r="K145" i="6"/>
  <c r="K140" i="6"/>
  <c r="K138" i="6"/>
  <c r="K160" i="6"/>
  <c r="K136" i="6"/>
  <c r="K159" i="6"/>
  <c r="K158" i="6"/>
  <c r="K142" i="5"/>
  <c r="K141" i="5"/>
  <c r="K60" i="5"/>
  <c r="K156" i="5"/>
  <c r="K161" i="5"/>
  <c r="K162" i="5"/>
  <c r="K163" i="5"/>
  <c r="K148" i="5"/>
  <c r="K154" i="5"/>
  <c r="K155" i="5"/>
  <c r="K149" i="5"/>
  <c r="K147" i="5"/>
  <c r="K150" i="5"/>
  <c r="K143" i="5"/>
  <c r="K152" i="5"/>
  <c r="K159" i="5"/>
  <c r="K145" i="5"/>
  <c r="K153" i="5"/>
  <c r="K160" i="5"/>
  <c r="K151" i="5"/>
  <c r="K158" i="5"/>
  <c r="K146" i="5"/>
  <c r="K166" i="5"/>
  <c r="K144" i="5"/>
  <c r="K165" i="5"/>
  <c r="K164" i="5"/>
  <c r="K77" i="3"/>
  <c r="K230" i="3"/>
  <c r="K200" i="3"/>
  <c r="K47" i="3"/>
  <c r="K140" i="3" s="1"/>
  <c r="K157" i="5"/>
  <c r="L125" i="6"/>
  <c r="L79" i="3"/>
  <c r="L71" i="6"/>
  <c r="L213" i="7" s="1"/>
  <c r="L98" i="6"/>
  <c r="K170" i="3" l="1"/>
  <c r="L120" i="6"/>
  <c r="L66" i="6"/>
  <c r="L208" i="7" s="1"/>
  <c r="L93" i="6"/>
  <c r="L27" i="6"/>
  <c r="L65" i="5"/>
  <c r="L120" i="7" s="1"/>
  <c r="L119" i="5"/>
  <c r="L92" i="5"/>
  <c r="L21" i="5"/>
  <c r="L190" i="3"/>
  <c r="L231" i="3"/>
  <c r="Y172" i="4"/>
  <c r="L85" i="5"/>
  <c r="L140" i="7" s="1"/>
  <c r="L139" i="5"/>
  <c r="L112" i="5"/>
  <c r="Y173" i="4"/>
  <c r="L201" i="3"/>
  <c r="L113" i="6"/>
  <c r="L59" i="6"/>
  <c r="L201" i="7" s="1"/>
  <c r="L86" i="6"/>
  <c r="L20" i="6"/>
  <c r="K144" i="3"/>
  <c r="K199" i="3"/>
  <c r="K146" i="3"/>
  <c r="K150" i="3"/>
  <c r="K149" i="3"/>
  <c r="K145" i="3"/>
  <c r="K148" i="3"/>
  <c r="K147" i="3"/>
  <c r="K139" i="3"/>
  <c r="K143" i="3"/>
  <c r="K141" i="3"/>
  <c r="K142" i="3"/>
  <c r="K173" i="3"/>
  <c r="K174" i="3"/>
  <c r="K176" i="3"/>
  <c r="K180" i="3"/>
  <c r="K179" i="3"/>
  <c r="K178" i="3"/>
  <c r="K169" i="3"/>
  <c r="K175" i="3"/>
  <c r="K177" i="3"/>
  <c r="K229" i="3"/>
  <c r="K171" i="3"/>
  <c r="K172" i="3"/>
  <c r="L117" i="5" l="1"/>
  <c r="L63" i="5"/>
  <c r="L118" i="7" s="1"/>
  <c r="L37" i="3"/>
  <c r="L18" i="5"/>
  <c r="L90" i="5"/>
  <c r="L118" i="6"/>
  <c r="L68" i="3"/>
  <c r="L64" i="6"/>
  <c r="L206" i="7" s="1"/>
  <c r="L91" i="6"/>
  <c r="Y176" i="4"/>
  <c r="Y171" i="4"/>
  <c r="Y33" i="4"/>
  <c r="L111" i="6"/>
  <c r="L67" i="3"/>
  <c r="L57" i="6"/>
  <c r="L199" i="7" s="1"/>
  <c r="L18" i="6"/>
  <c r="L84" i="6"/>
  <c r="L220" i="3" l="1"/>
  <c r="L55" i="6"/>
  <c r="L82" i="6"/>
  <c r="L65" i="3"/>
  <c r="L219" i="3"/>
  <c r="L133" i="6"/>
  <c r="L79" i="6"/>
  <c r="L221" i="7" s="1"/>
  <c r="L106" i="6"/>
  <c r="L61" i="5"/>
  <c r="L88" i="5"/>
  <c r="Y170" i="4"/>
  <c r="L189" i="3"/>
  <c r="L35" i="3"/>
  <c r="L138" i="5" l="1"/>
  <c r="L84" i="5"/>
  <c r="L139" i="7" s="1"/>
  <c r="L52" i="5"/>
  <c r="L111" i="5"/>
  <c r="L40" i="6"/>
  <c r="L132" i="6"/>
  <c r="L78" i="6"/>
  <c r="L220" i="7" s="1"/>
  <c r="L105" i="6"/>
  <c r="L187" i="3"/>
  <c r="L34" i="3"/>
  <c r="L127" i="3" s="1"/>
  <c r="L64" i="3"/>
  <c r="L217" i="3"/>
  <c r="L157" i="3" l="1"/>
  <c r="L137" i="5"/>
  <c r="L83" i="5"/>
  <c r="L138" i="7" s="1"/>
  <c r="L50" i="3"/>
  <c r="L110" i="5"/>
  <c r="L42" i="5"/>
  <c r="L161" i="3"/>
  <c r="L166" i="3"/>
  <c r="L156" i="3"/>
  <c r="L167" i="3"/>
  <c r="L168" i="3"/>
  <c r="L163" i="3"/>
  <c r="L165" i="3"/>
  <c r="L158" i="3"/>
  <c r="L216" i="3"/>
  <c r="L159" i="3"/>
  <c r="L160" i="3"/>
  <c r="L131" i="6"/>
  <c r="L80" i="3"/>
  <c r="L77" i="6"/>
  <c r="L219" i="7" s="1"/>
  <c r="L104" i="6"/>
  <c r="L33" i="6"/>
  <c r="Y181" i="4"/>
  <c r="L133" i="3"/>
  <c r="L186" i="3"/>
  <c r="L131" i="3"/>
  <c r="L126" i="3"/>
  <c r="L134" i="3"/>
  <c r="L136" i="3"/>
  <c r="L132" i="3"/>
  <c r="L138" i="3"/>
  <c r="L135" i="3"/>
  <c r="L137" i="3"/>
  <c r="L128" i="3"/>
  <c r="L130" i="3"/>
  <c r="L129" i="3"/>
  <c r="Y9" i="4"/>
  <c r="Y12" i="4"/>
  <c r="Y4" i="5"/>
  <c r="Y47" i="6" s="1"/>
  <c r="Y10" i="4"/>
  <c r="Y11" i="4"/>
  <c r="Y202" i="4" l="1"/>
  <c r="L76" i="5"/>
  <c r="L103" i="5"/>
  <c r="L17" i="5"/>
  <c r="Y201" i="4"/>
  <c r="Y96" i="5"/>
  <c r="Y203" i="4"/>
  <c r="L202" i="3"/>
  <c r="L48" i="3"/>
  <c r="Y179" i="4"/>
  <c r="Y40" i="4"/>
  <c r="Y200" i="4"/>
  <c r="L70" i="6"/>
  <c r="L97" i="6"/>
  <c r="L17" i="6"/>
  <c r="L232" i="3"/>
  <c r="L78" i="3"/>
  <c r="Y123" i="5"/>
  <c r="Y69" i="5"/>
  <c r="Y124" i="7" s="1"/>
  <c r="Y7" i="4"/>
  <c r="Y17" i="4"/>
  <c r="Y208" i="4" l="1"/>
  <c r="Y177" i="4"/>
  <c r="Y31" i="4"/>
  <c r="Y258" i="4" s="1"/>
  <c r="L151" i="6"/>
  <c r="L135" i="6"/>
  <c r="L155" i="6"/>
  <c r="L156" i="6"/>
  <c r="L142" i="6"/>
  <c r="L149" i="6"/>
  <c r="L54" i="6"/>
  <c r="L148" i="6"/>
  <c r="L143" i="6"/>
  <c r="L141" i="6"/>
  <c r="L137" i="6"/>
  <c r="L153" i="6"/>
  <c r="L146" i="6"/>
  <c r="L139" i="6"/>
  <c r="L154" i="6"/>
  <c r="L152" i="6"/>
  <c r="L147" i="6"/>
  <c r="L140" i="6"/>
  <c r="L138" i="6"/>
  <c r="L145" i="6"/>
  <c r="L160" i="6"/>
  <c r="L136" i="6"/>
  <c r="L159" i="6"/>
  <c r="L158" i="6"/>
  <c r="L144" i="5"/>
  <c r="L141" i="5"/>
  <c r="L60" i="5"/>
  <c r="L156" i="5"/>
  <c r="L162" i="5"/>
  <c r="L161" i="5"/>
  <c r="L148" i="5"/>
  <c r="L155" i="5"/>
  <c r="L163" i="5"/>
  <c r="L154" i="5"/>
  <c r="L149" i="5"/>
  <c r="L147" i="5"/>
  <c r="L150" i="5"/>
  <c r="L152" i="5"/>
  <c r="L159" i="5"/>
  <c r="L143" i="5"/>
  <c r="L145" i="5"/>
  <c r="L153" i="5"/>
  <c r="L160" i="5"/>
  <c r="L158" i="5"/>
  <c r="L151" i="5"/>
  <c r="L166" i="5"/>
  <c r="L146" i="5"/>
  <c r="L142" i="5"/>
  <c r="L165" i="5"/>
  <c r="L164" i="5"/>
  <c r="Y198" i="4"/>
  <c r="L77" i="3"/>
  <c r="L230" i="3"/>
  <c r="L157" i="5"/>
  <c r="L200" i="3"/>
  <c r="L47" i="3"/>
  <c r="L140" i="3" s="1"/>
  <c r="Y15" i="4"/>
  <c r="Y8" i="4"/>
  <c r="L170" i="3" l="1"/>
  <c r="Y249" i="4"/>
  <c r="Y30" i="4"/>
  <c r="Y168" i="4"/>
  <c r="Y263" i="4"/>
  <c r="Y261" i="4"/>
  <c r="Y259" i="4"/>
  <c r="Y250" i="4"/>
  <c r="Y256" i="4"/>
  <c r="Y255" i="4"/>
  <c r="Y254" i="4"/>
  <c r="Y253" i="4"/>
  <c r="Y252" i="4"/>
  <c r="Y257" i="4"/>
  <c r="Y251" i="4"/>
  <c r="Y262" i="4"/>
  <c r="Y260" i="4"/>
  <c r="Y6" i="4"/>
  <c r="Y199" i="4"/>
  <c r="L144" i="3"/>
  <c r="L149" i="3"/>
  <c r="L150" i="3"/>
  <c r="L148" i="3"/>
  <c r="L139" i="3"/>
  <c r="L145" i="3"/>
  <c r="L146" i="3"/>
  <c r="L143" i="3"/>
  <c r="L147" i="3"/>
  <c r="L199" i="3"/>
  <c r="L141" i="3"/>
  <c r="L142" i="3"/>
  <c r="Y134" i="5"/>
  <c r="Y80" i="5"/>
  <c r="Y135" i="7" s="1"/>
  <c r="Y107" i="5"/>
  <c r="Y206" i="4"/>
  <c r="Y13" i="4"/>
  <c r="Y144" i="6"/>
  <c r="Y117" i="6"/>
  <c r="Y63" i="6"/>
  <c r="Y90" i="6"/>
  <c r="L177" i="3"/>
  <c r="L169" i="3"/>
  <c r="L175" i="3"/>
  <c r="L173" i="3"/>
  <c r="L176" i="3"/>
  <c r="L180" i="3"/>
  <c r="L179" i="3"/>
  <c r="L174" i="3"/>
  <c r="L178" i="3"/>
  <c r="L229" i="3"/>
  <c r="L171" i="3"/>
  <c r="L172" i="3"/>
  <c r="Y127" i="5"/>
  <c r="Y73" i="5"/>
  <c r="Y128" i="7" s="1"/>
  <c r="Y100" i="5"/>
  <c r="Y101" i="6" l="1"/>
  <c r="Y128" i="6"/>
  <c r="Y74" i="6"/>
  <c r="Y216" i="7" s="1"/>
  <c r="Y7" i="3"/>
  <c r="Y197" i="4"/>
  <c r="Y143" i="4"/>
  <c r="Y4" i="4"/>
  <c r="Y231" i="4" s="1"/>
  <c r="Y167" i="4"/>
  <c r="Y132" i="5"/>
  <c r="Y78" i="5"/>
  <c r="Y133" i="7" s="1"/>
  <c r="Y105" i="5"/>
  <c r="Y121" i="6"/>
  <c r="Y67" i="6"/>
  <c r="Y209" i="7" s="1"/>
  <c r="Y94" i="6"/>
  <c r="Y150" i="4"/>
  <c r="Y204" i="4"/>
  <c r="Y8" i="3"/>
  <c r="Y71" i="5"/>
  <c r="Y126" i="7" s="1"/>
  <c r="Y125" i="5"/>
  <c r="Y98" i="5"/>
  <c r="Y116" i="5"/>
  <c r="Y36" i="3"/>
  <c r="Y62" i="5"/>
  <c r="Y117" i="7" s="1"/>
  <c r="Y89" i="5"/>
  <c r="O55" i="7"/>
  <c r="O134" i="4"/>
  <c r="Y120" i="5"/>
  <c r="Y66" i="5"/>
  <c r="Y121" i="7" s="1"/>
  <c r="Y93" i="5"/>
  <c r="Y224" i="4" l="1"/>
  <c r="O53" i="7"/>
  <c r="O127" i="4"/>
  <c r="Y188" i="3"/>
  <c r="Y60" i="6"/>
  <c r="Y202" i="7" s="1"/>
  <c r="Y114" i="6"/>
  <c r="Y87" i="6"/>
  <c r="Y234" i="4"/>
  <c r="Y141" i="4"/>
  <c r="Y222" i="4"/>
  <c r="Y195" i="4"/>
  <c r="Y232" i="4"/>
  <c r="Y236" i="4"/>
  <c r="Y223" i="4"/>
  <c r="Y227" i="4"/>
  <c r="Y229" i="4"/>
  <c r="Y230" i="4"/>
  <c r="Y228" i="4"/>
  <c r="Y225" i="4"/>
  <c r="Y235" i="4"/>
  <c r="Y226" i="4"/>
  <c r="Y233" i="4"/>
  <c r="Y5" i="3"/>
  <c r="Y66" i="3" l="1"/>
  <c r="Y110" i="6"/>
  <c r="Y56" i="6"/>
  <c r="Y198" i="7" s="1"/>
  <c r="Y83" i="6"/>
  <c r="Y4" i="3"/>
  <c r="O46" i="7"/>
  <c r="O111" i="4"/>
  <c r="O30" i="7" s="1"/>
  <c r="Y218" i="3" l="1"/>
  <c r="Y126" i="6"/>
  <c r="Y72" i="6"/>
  <c r="Y214" i="7" s="1"/>
  <c r="Y99" i="6"/>
  <c r="Y97" i="3"/>
  <c r="Y96" i="3"/>
  <c r="Y105" i="3"/>
  <c r="Y104" i="3"/>
  <c r="Y103" i="3"/>
  <c r="Y108" i="3"/>
  <c r="Y106" i="3"/>
  <c r="Y101" i="3"/>
  <c r="Y102" i="3"/>
  <c r="Y107" i="3"/>
  <c r="Y98" i="3"/>
  <c r="Y99" i="3"/>
  <c r="Y100" i="3"/>
  <c r="M113" i="6" l="1"/>
  <c r="M59" i="6"/>
  <c r="M201" i="7" s="1"/>
  <c r="M86" i="6"/>
  <c r="M20" i="6"/>
  <c r="Y135" i="5"/>
  <c r="Y81" i="5"/>
  <c r="Y136" i="7" s="1"/>
  <c r="Y108" i="5"/>
  <c r="Y119" i="6"/>
  <c r="Y65" i="6"/>
  <c r="Y207" i="7" s="1"/>
  <c r="Y92" i="6"/>
  <c r="Y68" i="5"/>
  <c r="Y123" i="7" s="1"/>
  <c r="Y122" i="5"/>
  <c r="Y95" i="5"/>
  <c r="M72" i="5"/>
  <c r="M127" i="7" s="1"/>
  <c r="M126" i="5"/>
  <c r="M99" i="5"/>
  <c r="M33" i="5"/>
  <c r="M79" i="5"/>
  <c r="M134" i="7" s="1"/>
  <c r="M133" i="5"/>
  <c r="M106" i="5"/>
  <c r="M43" i="5"/>
  <c r="M124" i="5" l="1"/>
  <c r="M70" i="5"/>
  <c r="M125" i="7" s="1"/>
  <c r="M38" i="3"/>
  <c r="M97" i="5"/>
  <c r="M119" i="5"/>
  <c r="M65" i="5"/>
  <c r="M120" i="7" s="1"/>
  <c r="M92" i="5"/>
  <c r="M21" i="5"/>
  <c r="Y116" i="6"/>
  <c r="Y62" i="6"/>
  <c r="Y204" i="7" s="1"/>
  <c r="Y89" i="6"/>
  <c r="Y129" i="6"/>
  <c r="Y75" i="6"/>
  <c r="Y217" i="7" s="1"/>
  <c r="Y102" i="6"/>
  <c r="M139" i="5"/>
  <c r="M85" i="5"/>
  <c r="M140" i="7" s="1"/>
  <c r="M112" i="5"/>
  <c r="M77" i="5"/>
  <c r="M132" i="7" s="1"/>
  <c r="M131" i="5"/>
  <c r="M49" i="3"/>
  <c r="M104" i="5"/>
  <c r="Y121" i="5"/>
  <c r="Y67" i="5"/>
  <c r="Y122" i="7" s="1"/>
  <c r="Y94" i="5"/>
  <c r="M127" i="6"/>
  <c r="M73" i="6"/>
  <c r="M215" i="7" s="1"/>
  <c r="M100" i="6"/>
  <c r="M34" i="6"/>
  <c r="M57" i="6"/>
  <c r="M199" i="7" s="1"/>
  <c r="M111" i="6"/>
  <c r="M67" i="3"/>
  <c r="M84" i="6"/>
  <c r="M63" i="5" l="1"/>
  <c r="M118" i="7" s="1"/>
  <c r="M117" i="5"/>
  <c r="M37" i="3"/>
  <c r="M90" i="5"/>
  <c r="M18" i="5"/>
  <c r="M71" i="6"/>
  <c r="M213" i="7" s="1"/>
  <c r="M125" i="6"/>
  <c r="M79" i="3"/>
  <c r="M98" i="6"/>
  <c r="Y118" i="5"/>
  <c r="Y64" i="5"/>
  <c r="Y119" i="7" s="1"/>
  <c r="Y91" i="5"/>
  <c r="M201" i="3"/>
  <c r="M219" i="3"/>
  <c r="M120" i="6"/>
  <c r="M66" i="6"/>
  <c r="M208" i="7" s="1"/>
  <c r="M93" i="6"/>
  <c r="M27" i="6"/>
  <c r="Y115" i="6"/>
  <c r="Y61" i="6"/>
  <c r="Y203" i="7" s="1"/>
  <c r="Y88" i="6"/>
  <c r="M190" i="3"/>
  <c r="M231" i="3" l="1"/>
  <c r="M61" i="5"/>
  <c r="M88" i="5"/>
  <c r="Y58" i="6"/>
  <c r="Y200" i="7" s="1"/>
  <c r="Y112" i="6"/>
  <c r="Y85" i="6"/>
  <c r="M189" i="3"/>
  <c r="M35" i="3"/>
  <c r="M64" i="6"/>
  <c r="M206" i="7" s="1"/>
  <c r="M118" i="6"/>
  <c r="M68" i="3"/>
  <c r="M91" i="6"/>
  <c r="M18" i="6"/>
  <c r="Y128" i="5"/>
  <c r="Y74" i="5"/>
  <c r="Y129" i="7" s="1"/>
  <c r="Y101" i="5"/>
  <c r="M133" i="6" l="1"/>
  <c r="M79" i="6"/>
  <c r="M221" i="7" s="1"/>
  <c r="M106" i="6"/>
  <c r="M55" i="6"/>
  <c r="M82" i="6"/>
  <c r="M187" i="3"/>
  <c r="M34" i="3"/>
  <c r="M127" i="3" s="1"/>
  <c r="M220" i="3"/>
  <c r="M65" i="3"/>
  <c r="Y68" i="6"/>
  <c r="Y210" i="7" s="1"/>
  <c r="Y122" i="6"/>
  <c r="Y95" i="6"/>
  <c r="M64" i="3" l="1"/>
  <c r="M217" i="3"/>
  <c r="M132" i="6"/>
  <c r="M40" i="6"/>
  <c r="M78" i="6"/>
  <c r="M220" i="7" s="1"/>
  <c r="M105" i="6"/>
  <c r="M138" i="5"/>
  <c r="M52" i="5"/>
  <c r="M84" i="5"/>
  <c r="M139" i="7" s="1"/>
  <c r="M111" i="5"/>
  <c r="M133" i="3"/>
  <c r="M135" i="3"/>
  <c r="M186" i="3"/>
  <c r="M126" i="3"/>
  <c r="M131" i="3"/>
  <c r="M134" i="3"/>
  <c r="M136" i="3"/>
  <c r="M138" i="3"/>
  <c r="M137" i="3"/>
  <c r="M132" i="3"/>
  <c r="M128" i="3"/>
  <c r="M130" i="3"/>
  <c r="M129" i="3"/>
  <c r="M157" i="3" l="1"/>
  <c r="M137" i="5"/>
  <c r="M83" i="5"/>
  <c r="M138" i="7" s="1"/>
  <c r="M50" i="3"/>
  <c r="M110" i="5"/>
  <c r="M42" i="5"/>
  <c r="M131" i="6"/>
  <c r="M80" i="3"/>
  <c r="M77" i="6"/>
  <c r="M219" i="7" s="1"/>
  <c r="M104" i="6"/>
  <c r="M33" i="6"/>
  <c r="M163" i="3"/>
  <c r="M161" i="3"/>
  <c r="M166" i="3"/>
  <c r="M156" i="3"/>
  <c r="M168" i="3"/>
  <c r="M167" i="3"/>
  <c r="M165" i="3"/>
  <c r="M158" i="3"/>
  <c r="M216" i="3"/>
  <c r="M159" i="3"/>
  <c r="M160" i="3"/>
  <c r="M76" i="5" l="1"/>
  <c r="M103" i="5"/>
  <c r="M17" i="5"/>
  <c r="M70" i="6"/>
  <c r="M97" i="6"/>
  <c r="M17" i="6"/>
  <c r="M202" i="3"/>
  <c r="M48" i="3"/>
  <c r="M232" i="3"/>
  <c r="M78" i="3"/>
  <c r="M200" i="3" l="1"/>
  <c r="M47" i="3"/>
  <c r="M140" i="3" s="1"/>
  <c r="M142" i="5"/>
  <c r="M60" i="5"/>
  <c r="M141" i="5"/>
  <c r="M156" i="5"/>
  <c r="M163" i="5"/>
  <c r="M161" i="5"/>
  <c r="M162" i="5"/>
  <c r="M148" i="5"/>
  <c r="M154" i="5"/>
  <c r="M155" i="5"/>
  <c r="M149" i="5"/>
  <c r="M147" i="5"/>
  <c r="M150" i="5"/>
  <c r="M143" i="5"/>
  <c r="M152" i="5"/>
  <c r="M159" i="5"/>
  <c r="M145" i="5"/>
  <c r="M160" i="5"/>
  <c r="M153" i="5"/>
  <c r="M158" i="5"/>
  <c r="M146" i="5"/>
  <c r="M166" i="5"/>
  <c r="M151" i="5"/>
  <c r="M144" i="5"/>
  <c r="M165" i="5"/>
  <c r="M164" i="5"/>
  <c r="M157" i="5"/>
  <c r="M151" i="6"/>
  <c r="M135" i="6"/>
  <c r="M155" i="6"/>
  <c r="M156" i="6"/>
  <c r="M142" i="6"/>
  <c r="M148" i="6"/>
  <c r="M54" i="6"/>
  <c r="M149" i="6"/>
  <c r="M143" i="6"/>
  <c r="M141" i="6"/>
  <c r="M137" i="6"/>
  <c r="M146" i="6"/>
  <c r="M153" i="6"/>
  <c r="M139" i="6"/>
  <c r="M140" i="6"/>
  <c r="M154" i="6"/>
  <c r="M138" i="6"/>
  <c r="M147" i="6"/>
  <c r="M152" i="6"/>
  <c r="M145" i="6"/>
  <c r="M160" i="6"/>
  <c r="M136" i="6"/>
  <c r="M159" i="6"/>
  <c r="M158" i="6"/>
  <c r="M77" i="3"/>
  <c r="M230" i="3"/>
  <c r="M170" i="3" l="1"/>
  <c r="M147" i="3"/>
  <c r="M148" i="3"/>
  <c r="M139" i="3"/>
  <c r="M145" i="3"/>
  <c r="M146" i="3"/>
  <c r="M199" i="3"/>
  <c r="M144" i="3"/>
  <c r="M143" i="3"/>
  <c r="M150" i="3"/>
  <c r="M149" i="3"/>
  <c r="M141" i="3"/>
  <c r="M142" i="3"/>
  <c r="M174" i="3"/>
  <c r="M169" i="3"/>
  <c r="M175" i="3"/>
  <c r="M173" i="3"/>
  <c r="M176" i="3"/>
  <c r="M177" i="3"/>
  <c r="M179" i="3"/>
  <c r="M180" i="3"/>
  <c r="M178" i="3"/>
  <c r="M229" i="3"/>
  <c r="M171" i="3"/>
  <c r="M172" i="3"/>
  <c r="N72" i="5" l="1"/>
  <c r="N127" i="7" s="1"/>
  <c r="N126" i="5"/>
  <c r="N99" i="5"/>
  <c r="N33" i="5"/>
  <c r="N133" i="5"/>
  <c r="N79" i="5"/>
  <c r="N134" i="7" s="1"/>
  <c r="N106" i="5"/>
  <c r="N43" i="5"/>
  <c r="N77" i="5" l="1"/>
  <c r="N132" i="7" s="1"/>
  <c r="N131" i="5"/>
  <c r="N49" i="3"/>
  <c r="N104" i="5"/>
  <c r="N127" i="6"/>
  <c r="N73" i="6"/>
  <c r="N215" i="7" s="1"/>
  <c r="N100" i="6"/>
  <c r="N34" i="6"/>
  <c r="N70" i="5"/>
  <c r="N125" i="7" s="1"/>
  <c r="N124" i="5"/>
  <c r="N38" i="3"/>
  <c r="N97" i="5"/>
  <c r="N190" i="3" l="1"/>
  <c r="N201" i="3"/>
  <c r="N120" i="6"/>
  <c r="N66" i="6"/>
  <c r="N208" i="7" s="1"/>
  <c r="N93" i="6"/>
  <c r="N27" i="6"/>
  <c r="N125" i="6"/>
  <c r="N79" i="3"/>
  <c r="N71" i="6"/>
  <c r="N213" i="7" s="1"/>
  <c r="N98" i="6"/>
  <c r="N65" i="5"/>
  <c r="N120" i="7" s="1"/>
  <c r="N119" i="5"/>
  <c r="N92" i="5"/>
  <c r="N21" i="5"/>
  <c r="N85" i="5"/>
  <c r="N140" i="7" s="1"/>
  <c r="N139" i="5"/>
  <c r="N112" i="5"/>
  <c r="N63" i="5" l="1"/>
  <c r="N118" i="7" s="1"/>
  <c r="N117" i="5"/>
  <c r="N37" i="3"/>
  <c r="N90" i="5"/>
  <c r="N18" i="5"/>
  <c r="N64" i="6"/>
  <c r="N206" i="7" s="1"/>
  <c r="N118" i="6"/>
  <c r="N68" i="3"/>
  <c r="N91" i="6"/>
  <c r="N231" i="3"/>
  <c r="N113" i="6"/>
  <c r="N59" i="6"/>
  <c r="N201" i="7" s="1"/>
  <c r="N86" i="6"/>
  <c r="N20" i="6"/>
  <c r="P55" i="7"/>
  <c r="P134" i="4"/>
  <c r="N133" i="6" l="1"/>
  <c r="N79" i="6"/>
  <c r="N221" i="7" s="1"/>
  <c r="N106" i="6"/>
  <c r="N61" i="5"/>
  <c r="N88" i="5"/>
  <c r="N220" i="3"/>
  <c r="N111" i="6"/>
  <c r="N67" i="3"/>
  <c r="N57" i="6"/>
  <c r="N199" i="7" s="1"/>
  <c r="N84" i="6"/>
  <c r="N18" i="6"/>
  <c r="N189" i="3"/>
  <c r="N35" i="3"/>
  <c r="P53" i="7"/>
  <c r="P127" i="4"/>
  <c r="N55" i="6" l="1"/>
  <c r="N82" i="6"/>
  <c r="N40" i="6"/>
  <c r="N132" i="6"/>
  <c r="N78" i="6"/>
  <c r="N220" i="7" s="1"/>
  <c r="N105" i="6"/>
  <c r="P46" i="7"/>
  <c r="P111" i="4"/>
  <c r="P30" i="7" s="1"/>
  <c r="N219" i="3"/>
  <c r="N65" i="3"/>
  <c r="N187" i="3"/>
  <c r="N34" i="3"/>
  <c r="N127" i="3" s="1"/>
  <c r="N52" i="5"/>
  <c r="N138" i="5"/>
  <c r="N84" i="5"/>
  <c r="N139" i="7" s="1"/>
  <c r="N111" i="5"/>
  <c r="N135" i="3" l="1"/>
  <c r="N136" i="3"/>
  <c r="N132" i="3"/>
  <c r="N137" i="3"/>
  <c r="N138" i="3"/>
  <c r="N186" i="3"/>
  <c r="N134" i="3"/>
  <c r="N133" i="3"/>
  <c r="N126" i="3"/>
  <c r="N131" i="3"/>
  <c r="N128" i="3"/>
  <c r="N130" i="3"/>
  <c r="N129" i="3"/>
  <c r="N77" i="6"/>
  <c r="N219" i="7" s="1"/>
  <c r="N131" i="6"/>
  <c r="N80" i="3"/>
  <c r="N104" i="6"/>
  <c r="N33" i="6"/>
  <c r="N83" i="5"/>
  <c r="N138" i="7" s="1"/>
  <c r="N137" i="5"/>
  <c r="N50" i="3"/>
  <c r="N110" i="5"/>
  <c r="N42" i="5"/>
  <c r="N64" i="3"/>
  <c r="N217" i="3"/>
  <c r="N157" i="3" l="1"/>
  <c r="N202" i="3"/>
  <c r="N48" i="3"/>
  <c r="N70" i="6"/>
  <c r="N97" i="6"/>
  <c r="N17" i="6"/>
  <c r="N161" i="3"/>
  <c r="N166" i="3"/>
  <c r="N156" i="3"/>
  <c r="N167" i="3"/>
  <c r="N168" i="3"/>
  <c r="N163" i="3"/>
  <c r="N165" i="3"/>
  <c r="N216" i="3"/>
  <c r="N158" i="3"/>
  <c r="N160" i="3"/>
  <c r="N159" i="3"/>
  <c r="N17" i="5"/>
  <c r="N157" i="5" s="1"/>
  <c r="N76" i="5"/>
  <c r="N103" i="5"/>
  <c r="N232" i="3"/>
  <c r="N78" i="3"/>
  <c r="N77" i="3" l="1"/>
  <c r="N230" i="3"/>
  <c r="N136" i="6"/>
  <c r="N135" i="6"/>
  <c r="N155" i="6"/>
  <c r="N156" i="6"/>
  <c r="N142" i="6"/>
  <c r="N54" i="6"/>
  <c r="N149" i="6"/>
  <c r="N148" i="6"/>
  <c r="N143" i="6"/>
  <c r="N141" i="6"/>
  <c r="N137" i="6"/>
  <c r="N153" i="6"/>
  <c r="N146" i="6"/>
  <c r="N139" i="6"/>
  <c r="N154" i="6"/>
  <c r="N152" i="6"/>
  <c r="N147" i="6"/>
  <c r="N145" i="6"/>
  <c r="N140" i="6"/>
  <c r="N160" i="6"/>
  <c r="N138" i="6"/>
  <c r="N159" i="6"/>
  <c r="N158" i="6"/>
  <c r="N200" i="3"/>
  <c r="N47" i="3"/>
  <c r="N140" i="3" s="1"/>
  <c r="N151" i="6"/>
  <c r="N141" i="5"/>
  <c r="N60" i="5"/>
  <c r="N163" i="5"/>
  <c r="N156" i="5"/>
  <c r="N161" i="5"/>
  <c r="N162" i="5"/>
  <c r="N148" i="5"/>
  <c r="N154" i="5"/>
  <c r="N155" i="5"/>
  <c r="N147" i="5"/>
  <c r="N149" i="5"/>
  <c r="N150" i="5"/>
  <c r="N152" i="5"/>
  <c r="N159" i="5"/>
  <c r="N143" i="5"/>
  <c r="N145" i="5"/>
  <c r="N160" i="5"/>
  <c r="N153" i="5"/>
  <c r="N158" i="5"/>
  <c r="N151" i="5"/>
  <c r="N166" i="5"/>
  <c r="N146" i="5"/>
  <c r="N144" i="5"/>
  <c r="N142" i="5"/>
  <c r="N165" i="5"/>
  <c r="N164" i="5"/>
  <c r="N170" i="3" l="1"/>
  <c r="N147" i="3"/>
  <c r="N144" i="3"/>
  <c r="N143" i="3"/>
  <c r="N150" i="3"/>
  <c r="N149" i="3"/>
  <c r="N199" i="3"/>
  <c r="N148" i="3"/>
  <c r="N139" i="3"/>
  <c r="N145" i="3"/>
  <c r="N146" i="3"/>
  <c r="N141" i="3"/>
  <c r="N142" i="3"/>
  <c r="N180" i="3"/>
  <c r="N179" i="3"/>
  <c r="N178" i="3"/>
  <c r="N169" i="3"/>
  <c r="N175" i="3"/>
  <c r="N177" i="3"/>
  <c r="N176" i="3"/>
  <c r="N174" i="3"/>
  <c r="N173" i="3"/>
  <c r="N229" i="3"/>
  <c r="N171" i="3"/>
  <c r="N172" i="3"/>
  <c r="O127" i="6" l="1"/>
  <c r="O73" i="6"/>
  <c r="O215" i="7" s="1"/>
  <c r="O100" i="6"/>
  <c r="O34" i="6"/>
  <c r="O79" i="5"/>
  <c r="O134" i="7" s="1"/>
  <c r="O133" i="5"/>
  <c r="O106" i="5"/>
  <c r="O43" i="5"/>
  <c r="O126" i="5"/>
  <c r="O72" i="5"/>
  <c r="O127" i="7" s="1"/>
  <c r="O99" i="5"/>
  <c r="O33" i="5"/>
  <c r="O77" i="5" l="1"/>
  <c r="O132" i="7" s="1"/>
  <c r="O131" i="5"/>
  <c r="O49" i="3"/>
  <c r="O104" i="5"/>
  <c r="O125" i="6"/>
  <c r="O79" i="3"/>
  <c r="O71" i="6"/>
  <c r="O213" i="7" s="1"/>
  <c r="O98" i="6"/>
  <c r="O70" i="5"/>
  <c r="O125" i="7" s="1"/>
  <c r="O124" i="5"/>
  <c r="O38" i="3"/>
  <c r="O97" i="5"/>
  <c r="O201" i="3" l="1"/>
  <c r="O231" i="3"/>
  <c r="O119" i="5"/>
  <c r="O65" i="5"/>
  <c r="O120" i="7" s="1"/>
  <c r="O92" i="5"/>
  <c r="O21" i="5"/>
  <c r="O190" i="3"/>
  <c r="O85" i="5"/>
  <c r="O140" i="7" s="1"/>
  <c r="O139" i="5"/>
  <c r="O112" i="5"/>
  <c r="O120" i="6"/>
  <c r="O66" i="6"/>
  <c r="O208" i="7" s="1"/>
  <c r="O93" i="6"/>
  <c r="O27" i="6"/>
  <c r="O64" i="6" l="1"/>
  <c r="O206" i="7" s="1"/>
  <c r="O118" i="6"/>
  <c r="O68" i="3"/>
  <c r="O91" i="6"/>
  <c r="O63" i="5"/>
  <c r="O118" i="7" s="1"/>
  <c r="O117" i="5"/>
  <c r="O37" i="3"/>
  <c r="O90" i="5"/>
  <c r="O18" i="5"/>
  <c r="O113" i="6"/>
  <c r="O59" i="6"/>
  <c r="O201" i="7" s="1"/>
  <c r="O86" i="6"/>
  <c r="O20" i="6"/>
  <c r="O61" i="5" l="1"/>
  <c r="O88" i="5"/>
  <c r="O57" i="6"/>
  <c r="O199" i="7" s="1"/>
  <c r="O111" i="6"/>
  <c r="O67" i="3"/>
  <c r="O84" i="6"/>
  <c r="O18" i="6"/>
  <c r="O220" i="3"/>
  <c r="O189" i="3"/>
  <c r="O35" i="3"/>
  <c r="O133" i="6"/>
  <c r="O79" i="6"/>
  <c r="O221" i="7" s="1"/>
  <c r="O106" i="6"/>
  <c r="Q55" i="7" l="1"/>
  <c r="Q134" i="4"/>
  <c r="O219" i="3"/>
  <c r="O65" i="3"/>
  <c r="O187" i="3"/>
  <c r="O34" i="3"/>
  <c r="O127" i="3" s="1"/>
  <c r="O55" i="6"/>
  <c r="O82" i="6"/>
  <c r="O64" i="3" l="1"/>
  <c r="O157" i="3"/>
  <c r="O217" i="3"/>
  <c r="O52" i="5"/>
  <c r="O84" i="5"/>
  <c r="O139" i="7" s="1"/>
  <c r="O138" i="5"/>
  <c r="O111" i="5"/>
  <c r="Q53" i="7"/>
  <c r="Q127" i="4"/>
  <c r="O40" i="6"/>
  <c r="O132" i="6"/>
  <c r="O78" i="6"/>
  <c r="O220" i="7" s="1"/>
  <c r="O105" i="6"/>
  <c r="O126" i="3"/>
  <c r="O131" i="3"/>
  <c r="O186" i="3"/>
  <c r="O132" i="3"/>
  <c r="O136" i="3"/>
  <c r="O135" i="3"/>
  <c r="O138" i="3"/>
  <c r="O134" i="3"/>
  <c r="O137" i="3"/>
  <c r="O133" i="3"/>
  <c r="O128" i="3"/>
  <c r="O130" i="3"/>
  <c r="O129" i="3"/>
  <c r="O131" i="6" l="1"/>
  <c r="O80" i="3"/>
  <c r="O77" i="6"/>
  <c r="O219" i="7" s="1"/>
  <c r="O104" i="6"/>
  <c r="O33" i="6"/>
  <c r="O83" i="5"/>
  <c r="O138" i="7" s="1"/>
  <c r="O137" i="5"/>
  <c r="O50" i="3"/>
  <c r="O110" i="5"/>
  <c r="O42" i="5"/>
  <c r="Q46" i="7"/>
  <c r="Q111" i="4"/>
  <c r="Q30" i="7" s="1"/>
  <c r="O165" i="3"/>
  <c r="O156" i="3"/>
  <c r="O168" i="3"/>
  <c r="O167" i="3"/>
  <c r="O163" i="3"/>
  <c r="O161" i="3"/>
  <c r="O166" i="3"/>
  <c r="O158" i="3"/>
  <c r="O216" i="3"/>
  <c r="O160" i="3"/>
  <c r="O159" i="3"/>
  <c r="O70" i="6" l="1"/>
  <c r="O97" i="6"/>
  <c r="O17" i="6"/>
  <c r="O232" i="3"/>
  <c r="O78" i="3"/>
  <c r="O202" i="3"/>
  <c r="O48" i="3"/>
  <c r="O76" i="5"/>
  <c r="O103" i="5"/>
  <c r="O17" i="5"/>
  <c r="O77" i="3" l="1"/>
  <c r="O170" i="3"/>
  <c r="O230" i="3"/>
  <c r="O142" i="5"/>
  <c r="O141" i="5"/>
  <c r="O60" i="5"/>
  <c r="O163" i="5"/>
  <c r="O154" i="5"/>
  <c r="O156" i="5"/>
  <c r="O161" i="5"/>
  <c r="O162" i="5"/>
  <c r="O148" i="5"/>
  <c r="O155" i="5"/>
  <c r="O147" i="5"/>
  <c r="O149" i="5"/>
  <c r="O150" i="5"/>
  <c r="O159" i="5"/>
  <c r="O143" i="5"/>
  <c r="O152" i="5"/>
  <c r="O145" i="5"/>
  <c r="O153" i="5"/>
  <c r="O160" i="5"/>
  <c r="O151" i="5"/>
  <c r="O158" i="5"/>
  <c r="O146" i="5"/>
  <c r="O166" i="5"/>
  <c r="O144" i="5"/>
  <c r="O165" i="5"/>
  <c r="O164" i="5"/>
  <c r="O157" i="5"/>
  <c r="O136" i="6"/>
  <c r="O135" i="6"/>
  <c r="O148" i="6"/>
  <c r="O155" i="6"/>
  <c r="O156" i="6"/>
  <c r="O142" i="6"/>
  <c r="O149" i="6"/>
  <c r="O141" i="6"/>
  <c r="O54" i="6"/>
  <c r="O143" i="6"/>
  <c r="O137" i="6"/>
  <c r="O146" i="6"/>
  <c r="O153" i="6"/>
  <c r="O139" i="6"/>
  <c r="O154" i="6"/>
  <c r="O152" i="6"/>
  <c r="O147" i="6"/>
  <c r="O140" i="6"/>
  <c r="O145" i="6"/>
  <c r="O160" i="6"/>
  <c r="O138" i="6"/>
  <c r="O159" i="6"/>
  <c r="O158" i="6"/>
  <c r="O200" i="3"/>
  <c r="O47" i="3"/>
  <c r="O140" i="3" s="1"/>
  <c r="O151" i="6"/>
  <c r="O139" i="3" l="1"/>
  <c r="O145" i="3"/>
  <c r="O199" i="3"/>
  <c r="O146" i="3"/>
  <c r="O143" i="3"/>
  <c r="O147" i="3"/>
  <c r="O150" i="3"/>
  <c r="O149" i="3"/>
  <c r="O144" i="3"/>
  <c r="O148" i="3"/>
  <c r="O141" i="3"/>
  <c r="O142" i="3"/>
  <c r="O179" i="3"/>
  <c r="O178" i="3"/>
  <c r="O169" i="3"/>
  <c r="O175" i="3"/>
  <c r="O173" i="3"/>
  <c r="O176" i="3"/>
  <c r="O174" i="3"/>
  <c r="O177" i="3"/>
  <c r="O180" i="3"/>
  <c r="O229" i="3"/>
  <c r="O171" i="3"/>
  <c r="O172" i="3"/>
  <c r="P127" i="6" l="1"/>
  <c r="P73" i="6"/>
  <c r="P215" i="7" s="1"/>
  <c r="P100" i="6"/>
  <c r="P34" i="6"/>
  <c r="P133" i="5"/>
  <c r="P79" i="5"/>
  <c r="P134" i="7" s="1"/>
  <c r="P106" i="5"/>
  <c r="P43" i="5"/>
  <c r="P126" i="5"/>
  <c r="P72" i="5"/>
  <c r="P127" i="7" s="1"/>
  <c r="P99" i="5"/>
  <c r="P33" i="5"/>
  <c r="P125" i="6" l="1"/>
  <c r="P79" i="3"/>
  <c r="P71" i="6"/>
  <c r="P213" i="7" s="1"/>
  <c r="P98" i="6"/>
  <c r="P131" i="5"/>
  <c r="P77" i="5"/>
  <c r="P132" i="7" s="1"/>
  <c r="P49" i="3"/>
  <c r="P104" i="5"/>
  <c r="P70" i="5"/>
  <c r="P125" i="7" s="1"/>
  <c r="P124" i="5"/>
  <c r="P38" i="3"/>
  <c r="P97" i="5"/>
  <c r="P231" i="3" l="1"/>
  <c r="P190" i="3"/>
  <c r="P201" i="3"/>
  <c r="P139" i="5"/>
  <c r="P85" i="5"/>
  <c r="P140" i="7" s="1"/>
  <c r="P112" i="5"/>
  <c r="P113" i="6"/>
  <c r="P59" i="6"/>
  <c r="P201" i="7" s="1"/>
  <c r="P86" i="6"/>
  <c r="P20" i="6"/>
  <c r="P120" i="6"/>
  <c r="P66" i="6"/>
  <c r="P208" i="7" s="1"/>
  <c r="P93" i="6"/>
  <c r="P27" i="6"/>
  <c r="P119" i="5"/>
  <c r="P65" i="5"/>
  <c r="P120" i="7" s="1"/>
  <c r="P92" i="5"/>
  <c r="P21" i="5"/>
  <c r="P63" i="5" l="1"/>
  <c r="P118" i="7" s="1"/>
  <c r="P117" i="5"/>
  <c r="P37" i="3"/>
  <c r="P18" i="5"/>
  <c r="P90" i="5"/>
  <c r="P111" i="6"/>
  <c r="P67" i="3"/>
  <c r="P57" i="6"/>
  <c r="P199" i="7" s="1"/>
  <c r="P84" i="6"/>
  <c r="P18" i="6"/>
  <c r="P68" i="3"/>
  <c r="P118" i="6"/>
  <c r="P64" i="6"/>
  <c r="P206" i="7" s="1"/>
  <c r="P91" i="6"/>
  <c r="P133" i="6" l="1"/>
  <c r="P79" i="6"/>
  <c r="P221" i="7" s="1"/>
  <c r="P106" i="6"/>
  <c r="P55" i="6"/>
  <c r="P82" i="6"/>
  <c r="P61" i="5"/>
  <c r="P88" i="5"/>
  <c r="P189" i="3"/>
  <c r="P35" i="3"/>
  <c r="P220" i="3"/>
  <c r="P219" i="3"/>
  <c r="P65" i="3"/>
  <c r="P64" i="3" l="1"/>
  <c r="P157" i="3" s="1"/>
  <c r="P217" i="3"/>
  <c r="R55" i="7"/>
  <c r="R134" i="4"/>
  <c r="P187" i="3"/>
  <c r="P34" i="3"/>
  <c r="P127" i="3" s="1"/>
  <c r="P135" i="3" l="1"/>
  <c r="P134" i="3"/>
  <c r="P137" i="3"/>
  <c r="P138" i="3"/>
  <c r="P133" i="3"/>
  <c r="P186" i="3"/>
  <c r="P126" i="3"/>
  <c r="P131" i="3"/>
  <c r="P132" i="3"/>
  <c r="P136" i="3"/>
  <c r="P128" i="3"/>
  <c r="P130" i="3"/>
  <c r="P129" i="3"/>
  <c r="P52" i="5"/>
  <c r="P138" i="5"/>
  <c r="P84" i="5"/>
  <c r="P139" i="7" s="1"/>
  <c r="P111" i="5"/>
  <c r="R53" i="7"/>
  <c r="R127" i="4"/>
  <c r="P40" i="6"/>
  <c r="P132" i="6"/>
  <c r="P78" i="6"/>
  <c r="P220" i="7" s="1"/>
  <c r="P105" i="6"/>
  <c r="P163" i="3"/>
  <c r="P165" i="3"/>
  <c r="P161" i="3"/>
  <c r="P166" i="3"/>
  <c r="P156" i="3"/>
  <c r="P167" i="3"/>
  <c r="P168" i="3"/>
  <c r="P158" i="3"/>
  <c r="P216" i="3"/>
  <c r="P160" i="3"/>
  <c r="P159" i="3"/>
  <c r="R46" i="7" l="1"/>
  <c r="R111" i="4"/>
  <c r="R30" i="7" s="1"/>
  <c r="P137" i="5"/>
  <c r="P83" i="5"/>
  <c r="P138" i="7" s="1"/>
  <c r="P50" i="3"/>
  <c r="P110" i="5"/>
  <c r="P42" i="5"/>
  <c r="P77" i="6"/>
  <c r="P219" i="7" s="1"/>
  <c r="P131" i="6"/>
  <c r="P80" i="3"/>
  <c r="P104" i="6"/>
  <c r="P33" i="6"/>
  <c r="P232" i="3" l="1"/>
  <c r="P78" i="3"/>
  <c r="P70" i="6"/>
  <c r="P97" i="6"/>
  <c r="P17" i="6"/>
  <c r="P76" i="5"/>
  <c r="P103" i="5"/>
  <c r="P17" i="5"/>
  <c r="P202" i="3"/>
  <c r="P48" i="3"/>
  <c r="P200" i="3" l="1"/>
  <c r="P47" i="3"/>
  <c r="P140" i="3"/>
  <c r="P142" i="5"/>
  <c r="P60" i="5"/>
  <c r="P141" i="5"/>
  <c r="P156" i="5"/>
  <c r="P150" i="5"/>
  <c r="P163" i="5"/>
  <c r="P154" i="5"/>
  <c r="P161" i="5"/>
  <c r="P162" i="5"/>
  <c r="P147" i="5"/>
  <c r="P148" i="5"/>
  <c r="P155" i="5"/>
  <c r="P152" i="5"/>
  <c r="P143" i="5"/>
  <c r="P159" i="5"/>
  <c r="P149" i="5"/>
  <c r="P145" i="5"/>
  <c r="P153" i="5"/>
  <c r="P160" i="5"/>
  <c r="P158" i="5"/>
  <c r="P151" i="5"/>
  <c r="P146" i="5"/>
  <c r="P166" i="5"/>
  <c r="P144" i="5"/>
  <c r="P165" i="5"/>
  <c r="P164" i="5"/>
  <c r="P230" i="3"/>
  <c r="P77" i="3"/>
  <c r="P151" i="6"/>
  <c r="P135" i="6"/>
  <c r="P148" i="6"/>
  <c r="P155" i="6"/>
  <c r="P156" i="6"/>
  <c r="P141" i="6"/>
  <c r="P54" i="6"/>
  <c r="P149" i="6"/>
  <c r="P142" i="6"/>
  <c r="P137" i="6"/>
  <c r="P153" i="6"/>
  <c r="P146" i="6"/>
  <c r="P143" i="6"/>
  <c r="P139" i="6"/>
  <c r="P154" i="6"/>
  <c r="P152" i="6"/>
  <c r="P140" i="6"/>
  <c r="P147" i="6"/>
  <c r="P138" i="6"/>
  <c r="P145" i="6"/>
  <c r="P160" i="6"/>
  <c r="P136" i="6"/>
  <c r="P159" i="6"/>
  <c r="P158" i="6"/>
  <c r="P157" i="5"/>
  <c r="P170" i="3" l="1"/>
  <c r="P144" i="3"/>
  <c r="P139" i="3"/>
  <c r="P145" i="3"/>
  <c r="P147" i="3"/>
  <c r="P146" i="3"/>
  <c r="P149" i="3"/>
  <c r="P143" i="3"/>
  <c r="P150" i="3"/>
  <c r="P199" i="3"/>
  <c r="P148" i="3"/>
  <c r="P141" i="3"/>
  <c r="P142" i="3"/>
  <c r="P178" i="3"/>
  <c r="P169" i="3"/>
  <c r="P175" i="3"/>
  <c r="P176" i="3"/>
  <c r="P173" i="3"/>
  <c r="P177" i="3"/>
  <c r="P174" i="3"/>
  <c r="P180" i="3"/>
  <c r="P179" i="3"/>
  <c r="P229" i="3"/>
  <c r="P171" i="3"/>
  <c r="P172" i="3"/>
  <c r="Q126" i="5" l="1"/>
  <c r="Q72" i="5"/>
  <c r="Q127" i="7" s="1"/>
  <c r="Q99" i="5"/>
  <c r="Q33" i="5"/>
  <c r="Q133" i="5"/>
  <c r="Q79" i="5"/>
  <c r="Q134" i="7" s="1"/>
  <c r="Q106" i="5"/>
  <c r="Q43" i="5"/>
  <c r="Q77" i="5" l="1"/>
  <c r="Q132" i="7" s="1"/>
  <c r="Q131" i="5"/>
  <c r="Q49" i="3"/>
  <c r="Q104" i="5"/>
  <c r="Q70" i="5"/>
  <c r="Q125" i="7" s="1"/>
  <c r="Q124" i="5"/>
  <c r="Q38" i="3"/>
  <c r="Q97" i="5"/>
  <c r="Q127" i="6"/>
  <c r="Q73" i="6"/>
  <c r="Q215" i="7" s="1"/>
  <c r="Q100" i="6"/>
  <c r="Q34" i="6"/>
  <c r="Q139" i="5" l="1"/>
  <c r="Q85" i="5"/>
  <c r="Q140" i="7" s="1"/>
  <c r="Q112" i="5"/>
  <c r="Q201" i="3"/>
  <c r="Q190" i="3"/>
  <c r="Q71" i="6"/>
  <c r="Q213" i="7" s="1"/>
  <c r="Q125" i="6"/>
  <c r="Q79" i="3"/>
  <c r="Q98" i="6"/>
  <c r="Q120" i="6"/>
  <c r="Q66" i="6"/>
  <c r="Q208" i="7" s="1"/>
  <c r="Q93" i="6"/>
  <c r="Q27" i="6"/>
  <c r="Q113" i="6"/>
  <c r="Q59" i="6"/>
  <c r="Q201" i="7" s="1"/>
  <c r="Q86" i="6"/>
  <c r="Q20" i="6"/>
  <c r="Q119" i="5"/>
  <c r="Q65" i="5"/>
  <c r="Q120" i="7" s="1"/>
  <c r="Q92" i="5"/>
  <c r="Q21" i="5"/>
  <c r="Q63" i="5" l="1"/>
  <c r="Q118" i="7" s="1"/>
  <c r="Q117" i="5"/>
  <c r="Q37" i="3"/>
  <c r="Q90" i="5"/>
  <c r="Q18" i="5"/>
  <c r="Q231" i="3"/>
  <c r="Q118" i="6"/>
  <c r="Q68" i="3"/>
  <c r="Q64" i="6"/>
  <c r="Q206" i="7" s="1"/>
  <c r="Q91" i="6"/>
  <c r="Q18" i="6"/>
  <c r="Q111" i="6"/>
  <c r="Q67" i="3"/>
  <c r="Q57" i="6"/>
  <c r="Q199" i="7" s="1"/>
  <c r="Q84" i="6"/>
  <c r="Q219" i="3" l="1"/>
  <c r="Q65" i="3"/>
  <c r="Q220" i="3"/>
  <c r="Q189" i="3"/>
  <c r="Q35" i="3"/>
  <c r="Q61" i="5"/>
  <c r="Q88" i="5"/>
  <c r="Q55" i="6"/>
  <c r="Q82" i="6"/>
  <c r="Q64" i="3" l="1"/>
  <c r="Q217" i="3"/>
  <c r="Q187" i="3"/>
  <c r="Q34" i="3"/>
  <c r="Q133" i="6"/>
  <c r="Q79" i="6"/>
  <c r="Q221" i="7" s="1"/>
  <c r="Q106" i="6"/>
  <c r="Q157" i="3" l="1"/>
  <c r="Q40" i="6"/>
  <c r="Q132" i="6"/>
  <c r="Q78" i="6"/>
  <c r="Q220" i="7" s="1"/>
  <c r="Q105" i="6"/>
  <c r="Q165" i="3"/>
  <c r="Q168" i="3"/>
  <c r="Q163" i="3"/>
  <c r="Q161" i="3"/>
  <c r="Q166" i="3"/>
  <c r="Q156" i="3"/>
  <c r="Q167" i="3"/>
  <c r="Q158" i="3"/>
  <c r="Q216" i="3"/>
  <c r="Q159" i="3"/>
  <c r="Q160" i="3"/>
  <c r="Q134" i="3"/>
  <c r="Q133" i="3"/>
  <c r="Q137" i="3"/>
  <c r="Q138" i="3"/>
  <c r="Q186" i="3"/>
  <c r="Q135" i="3"/>
  <c r="Q126" i="3"/>
  <c r="Q131" i="3"/>
  <c r="Q132" i="3"/>
  <c r="Q136" i="3"/>
  <c r="Q128" i="3"/>
  <c r="Q130" i="3"/>
  <c r="Q129" i="3"/>
  <c r="Q52" i="5"/>
  <c r="Q84" i="5"/>
  <c r="Q139" i="7" s="1"/>
  <c r="Q138" i="5"/>
  <c r="Q111" i="5"/>
  <c r="Q127" i="3"/>
  <c r="Q83" i="5" l="1"/>
  <c r="Q138" i="7" s="1"/>
  <c r="Q137" i="5"/>
  <c r="Q50" i="3"/>
  <c r="Q110" i="5"/>
  <c r="Q42" i="5"/>
  <c r="Q77" i="6"/>
  <c r="Q219" i="7" s="1"/>
  <c r="Q131" i="6"/>
  <c r="Q80" i="3"/>
  <c r="Q104" i="6"/>
  <c r="Q33" i="6"/>
  <c r="Q232" i="3" l="1"/>
  <c r="Q78" i="3"/>
  <c r="Q202" i="3"/>
  <c r="Q48" i="3"/>
  <c r="S55" i="7"/>
  <c r="S134" i="4"/>
  <c r="Q17" i="5"/>
  <c r="Q76" i="5"/>
  <c r="Q103" i="5"/>
  <c r="Q70" i="6"/>
  <c r="Q97" i="6"/>
  <c r="Q17" i="6"/>
  <c r="Q157" i="5" l="1"/>
  <c r="Q141" i="5"/>
  <c r="Q60" i="5"/>
  <c r="Q150" i="5"/>
  <c r="Q156" i="5"/>
  <c r="Q154" i="5"/>
  <c r="Q163" i="5"/>
  <c r="Q161" i="5"/>
  <c r="Q147" i="5"/>
  <c r="Q162" i="5"/>
  <c r="Q155" i="5"/>
  <c r="Q148" i="5"/>
  <c r="Q143" i="5"/>
  <c r="Q152" i="5"/>
  <c r="Q159" i="5"/>
  <c r="Q149" i="5"/>
  <c r="Q145" i="5"/>
  <c r="Q160" i="5"/>
  <c r="Q153" i="5"/>
  <c r="Q151" i="5"/>
  <c r="Q158" i="5"/>
  <c r="Q166" i="5"/>
  <c r="Q146" i="5"/>
  <c r="Q144" i="5"/>
  <c r="Q142" i="5"/>
  <c r="Q165" i="5"/>
  <c r="Q164" i="5"/>
  <c r="Q200" i="3"/>
  <c r="Q47" i="3"/>
  <c r="Q140" i="3" s="1"/>
  <c r="Q54" i="6"/>
  <c r="Q135" i="6"/>
  <c r="Q148" i="6"/>
  <c r="Q155" i="6"/>
  <c r="Q141" i="6"/>
  <c r="Q156" i="6"/>
  <c r="Q149" i="6"/>
  <c r="Q142" i="6"/>
  <c r="Q137" i="6"/>
  <c r="Q153" i="6"/>
  <c r="Q146" i="6"/>
  <c r="Q143" i="6"/>
  <c r="Q139" i="6"/>
  <c r="Q154" i="6"/>
  <c r="Q147" i="6"/>
  <c r="Q152" i="6"/>
  <c r="Q140" i="6"/>
  <c r="Q145" i="6"/>
  <c r="Q138" i="6"/>
  <c r="Q136" i="6"/>
  <c r="Q160" i="6"/>
  <c r="Q159" i="6"/>
  <c r="Q158" i="6"/>
  <c r="Q77" i="3"/>
  <c r="Q230" i="3"/>
  <c r="S53" i="7"/>
  <c r="S127" i="4"/>
  <c r="Q151" i="6"/>
  <c r="Q170" i="3" l="1"/>
  <c r="S46" i="7"/>
  <c r="S111" i="4"/>
  <c r="S30" i="7" s="1"/>
  <c r="Q144" i="3"/>
  <c r="Q147" i="3"/>
  <c r="Q150" i="3"/>
  <c r="Q199" i="3"/>
  <c r="Q146" i="3"/>
  <c r="Q143" i="3"/>
  <c r="Q149" i="3"/>
  <c r="Q148" i="3"/>
  <c r="Q139" i="3"/>
  <c r="Q145" i="3"/>
  <c r="Q141" i="3"/>
  <c r="Q142" i="3"/>
  <c r="Q174" i="3"/>
  <c r="Q180" i="3"/>
  <c r="Q179" i="3"/>
  <c r="Q178" i="3"/>
  <c r="Q169" i="3"/>
  <c r="Q175" i="3"/>
  <c r="Q176" i="3"/>
  <c r="Q177" i="3"/>
  <c r="Q173" i="3"/>
  <c r="Q229" i="3"/>
  <c r="Q171" i="3"/>
  <c r="Q172" i="3"/>
  <c r="R133" i="5" l="1"/>
  <c r="R79" i="5"/>
  <c r="R134" i="7" s="1"/>
  <c r="R106" i="5"/>
  <c r="R43" i="5"/>
  <c r="R127" i="6" l="1"/>
  <c r="R73" i="6"/>
  <c r="R215" i="7" s="1"/>
  <c r="R100" i="6"/>
  <c r="R34" i="6"/>
  <c r="R131" i="5"/>
  <c r="R77" i="5"/>
  <c r="R132" i="7" s="1"/>
  <c r="R49" i="3"/>
  <c r="R104" i="5"/>
  <c r="R85" i="5"/>
  <c r="R140" i="7" s="1"/>
  <c r="R139" i="5"/>
  <c r="R112" i="5"/>
  <c r="R72" i="5"/>
  <c r="R127" i="7" s="1"/>
  <c r="R126" i="5"/>
  <c r="R99" i="5"/>
  <c r="R33" i="5"/>
  <c r="R70" i="5" l="1"/>
  <c r="R125" i="7" s="1"/>
  <c r="R38" i="3"/>
  <c r="R124" i="5"/>
  <c r="R97" i="5"/>
  <c r="R119" i="5"/>
  <c r="R65" i="5"/>
  <c r="R120" i="7" s="1"/>
  <c r="R92" i="5"/>
  <c r="R21" i="5"/>
  <c r="R120" i="6"/>
  <c r="R66" i="6"/>
  <c r="R208" i="7" s="1"/>
  <c r="R93" i="6"/>
  <c r="R27" i="6"/>
  <c r="R113" i="6"/>
  <c r="R59" i="6"/>
  <c r="R201" i="7" s="1"/>
  <c r="R86" i="6"/>
  <c r="R20" i="6"/>
  <c r="R71" i="6"/>
  <c r="R213" i="7" s="1"/>
  <c r="R125" i="6"/>
  <c r="R79" i="3"/>
  <c r="R98" i="6"/>
  <c r="R201" i="3"/>
  <c r="R64" i="6" l="1"/>
  <c r="R206" i="7" s="1"/>
  <c r="R118" i="6"/>
  <c r="R68" i="3"/>
  <c r="R91" i="6"/>
  <c r="R57" i="6"/>
  <c r="R199" i="7" s="1"/>
  <c r="R111" i="6"/>
  <c r="R67" i="3"/>
  <c r="R84" i="6"/>
  <c r="R18" i="6"/>
  <c r="R117" i="5"/>
  <c r="R63" i="5"/>
  <c r="R118" i="7" s="1"/>
  <c r="R37" i="3"/>
  <c r="R90" i="5"/>
  <c r="R18" i="5"/>
  <c r="R190" i="3"/>
  <c r="R231" i="3"/>
  <c r="R220" i="3" l="1"/>
  <c r="R55" i="6"/>
  <c r="R82" i="6"/>
  <c r="R61" i="5"/>
  <c r="R88" i="5"/>
  <c r="R219" i="3"/>
  <c r="R65" i="3"/>
  <c r="R189" i="3"/>
  <c r="R35" i="3"/>
  <c r="R52" i="5" l="1"/>
  <c r="R84" i="5"/>
  <c r="R139" i="7" s="1"/>
  <c r="R138" i="5"/>
  <c r="R111" i="5"/>
  <c r="R64" i="3"/>
  <c r="R217" i="3"/>
  <c r="R133" i="6"/>
  <c r="R79" i="6"/>
  <c r="R221" i="7" s="1"/>
  <c r="R106" i="6"/>
  <c r="R187" i="3"/>
  <c r="R34" i="3"/>
  <c r="R127" i="3" s="1"/>
  <c r="R157" i="3" l="1"/>
  <c r="R40" i="6"/>
  <c r="R132" i="6"/>
  <c r="R78" i="6"/>
  <c r="R220" i="7" s="1"/>
  <c r="R105" i="6"/>
  <c r="R126" i="3"/>
  <c r="R131" i="3"/>
  <c r="R135" i="3"/>
  <c r="R186" i="3"/>
  <c r="R136" i="3"/>
  <c r="R137" i="3"/>
  <c r="R132" i="3"/>
  <c r="R138" i="3"/>
  <c r="R133" i="3"/>
  <c r="R134" i="3"/>
  <c r="R128" i="3"/>
  <c r="R130" i="3"/>
  <c r="R129" i="3"/>
  <c r="R216" i="3"/>
  <c r="R163" i="3"/>
  <c r="R161" i="3"/>
  <c r="R166" i="3"/>
  <c r="R156" i="3"/>
  <c r="R167" i="3"/>
  <c r="R168" i="3"/>
  <c r="R165" i="3"/>
  <c r="R158" i="3"/>
  <c r="R160" i="3"/>
  <c r="R159" i="3"/>
  <c r="R137" i="5"/>
  <c r="R83" i="5"/>
  <c r="R138" i="7" s="1"/>
  <c r="R50" i="3"/>
  <c r="R110" i="5"/>
  <c r="R42" i="5"/>
  <c r="R76" i="5" l="1"/>
  <c r="R103" i="5"/>
  <c r="R17" i="5"/>
  <c r="R202" i="3"/>
  <c r="R48" i="3"/>
  <c r="R77" i="6"/>
  <c r="R219" i="7" s="1"/>
  <c r="R131" i="6"/>
  <c r="R80" i="3"/>
  <c r="R104" i="6"/>
  <c r="R33" i="6"/>
  <c r="R142" i="5" l="1"/>
  <c r="R141" i="5"/>
  <c r="R60" i="5"/>
  <c r="R156" i="5"/>
  <c r="R150" i="5"/>
  <c r="R163" i="5"/>
  <c r="R154" i="5"/>
  <c r="R161" i="5"/>
  <c r="R147" i="5"/>
  <c r="R152" i="5"/>
  <c r="R143" i="5"/>
  <c r="R159" i="5"/>
  <c r="R162" i="5"/>
  <c r="R148" i="5"/>
  <c r="R149" i="5"/>
  <c r="R155" i="5"/>
  <c r="R145" i="5"/>
  <c r="R160" i="5"/>
  <c r="R166" i="5"/>
  <c r="R158" i="5"/>
  <c r="R153" i="5"/>
  <c r="R146" i="5"/>
  <c r="R151" i="5"/>
  <c r="R144" i="5"/>
  <c r="R165" i="5"/>
  <c r="R164" i="5"/>
  <c r="R17" i="6"/>
  <c r="R151" i="6" s="1"/>
  <c r="R70" i="6"/>
  <c r="R97" i="6"/>
  <c r="R157" i="5"/>
  <c r="R232" i="3"/>
  <c r="R78" i="3"/>
  <c r="R200" i="3"/>
  <c r="R47" i="3"/>
  <c r="R136" i="6" l="1"/>
  <c r="R135" i="6"/>
  <c r="R54" i="6"/>
  <c r="R148" i="6"/>
  <c r="R155" i="6"/>
  <c r="R141" i="6"/>
  <c r="R156" i="6"/>
  <c r="R137" i="6"/>
  <c r="R146" i="6"/>
  <c r="R153" i="6"/>
  <c r="R142" i="6"/>
  <c r="R149" i="6"/>
  <c r="R143" i="6"/>
  <c r="R139" i="6"/>
  <c r="R154" i="6"/>
  <c r="R140" i="6"/>
  <c r="R147" i="6"/>
  <c r="R152" i="6"/>
  <c r="R138" i="6"/>
  <c r="R145" i="6"/>
  <c r="R160" i="6"/>
  <c r="R159" i="6"/>
  <c r="R158" i="6"/>
  <c r="R77" i="3"/>
  <c r="R230" i="3"/>
  <c r="R143" i="3"/>
  <c r="R145" i="3"/>
  <c r="R148" i="3"/>
  <c r="R144" i="3"/>
  <c r="R149" i="3"/>
  <c r="R139" i="3"/>
  <c r="R150" i="3"/>
  <c r="R199" i="3"/>
  <c r="R147" i="3"/>
  <c r="R146" i="3"/>
  <c r="R141" i="3"/>
  <c r="R142" i="3"/>
  <c r="R140" i="3"/>
  <c r="R174" i="3" l="1"/>
  <c r="R178" i="3"/>
  <c r="R169" i="3"/>
  <c r="R175" i="3"/>
  <c r="R176" i="3"/>
  <c r="R177" i="3"/>
  <c r="R173" i="3"/>
  <c r="R180" i="3"/>
  <c r="R179" i="3"/>
  <c r="R229" i="3"/>
  <c r="R171" i="3"/>
  <c r="R172" i="3"/>
  <c r="R170" i="3"/>
  <c r="T55" i="7" l="1"/>
  <c r="T134" i="4"/>
  <c r="T53" i="7" l="1"/>
  <c r="T127" i="4"/>
  <c r="T46" i="7" l="1"/>
  <c r="T111" i="4"/>
  <c r="T30" i="7" s="1"/>
  <c r="S126" i="5" l="1"/>
  <c r="S72" i="5"/>
  <c r="S127" i="7" s="1"/>
  <c r="S99" i="5"/>
  <c r="S33" i="5"/>
  <c r="S70" i="5" l="1"/>
  <c r="S125" i="7" s="1"/>
  <c r="S124" i="5"/>
  <c r="S38" i="3"/>
  <c r="S97" i="5"/>
  <c r="S127" i="6"/>
  <c r="S73" i="6"/>
  <c r="S215" i="7" s="1"/>
  <c r="S100" i="6"/>
  <c r="S34" i="6"/>
  <c r="S133" i="5"/>
  <c r="S79" i="5"/>
  <c r="S134" i="7" s="1"/>
  <c r="S106" i="5"/>
  <c r="S43" i="5"/>
  <c r="S190" i="3" l="1"/>
  <c r="S125" i="6"/>
  <c r="S79" i="3"/>
  <c r="S71" i="6"/>
  <c r="S213" i="7" s="1"/>
  <c r="S98" i="6"/>
  <c r="S131" i="5"/>
  <c r="S77" i="5"/>
  <c r="S132" i="7" s="1"/>
  <c r="S49" i="3"/>
  <c r="S104" i="5"/>
  <c r="S120" i="6"/>
  <c r="S66" i="6"/>
  <c r="S208" i="7" s="1"/>
  <c r="S93" i="6"/>
  <c r="S27" i="6"/>
  <c r="S201" i="3" l="1"/>
  <c r="S231" i="3"/>
  <c r="S85" i="5"/>
  <c r="S140" i="7" s="1"/>
  <c r="S139" i="5"/>
  <c r="S112" i="5"/>
  <c r="S118" i="6"/>
  <c r="S68" i="3"/>
  <c r="S64" i="6"/>
  <c r="S206" i="7" s="1"/>
  <c r="S91" i="6"/>
  <c r="S113" i="6"/>
  <c r="S59" i="6"/>
  <c r="S201" i="7" s="1"/>
  <c r="S86" i="6"/>
  <c r="S20" i="6"/>
  <c r="S65" i="5"/>
  <c r="S120" i="7" s="1"/>
  <c r="S119" i="5"/>
  <c r="S92" i="5"/>
  <c r="S21" i="5"/>
  <c r="S220" i="3" l="1"/>
  <c r="S18" i="6"/>
  <c r="S111" i="6"/>
  <c r="S67" i="3"/>
  <c r="S57" i="6"/>
  <c r="S199" i="7" s="1"/>
  <c r="S84" i="6"/>
  <c r="S63" i="5"/>
  <c r="S118" i="7" s="1"/>
  <c r="S117" i="5"/>
  <c r="S37" i="3"/>
  <c r="S90" i="5"/>
  <c r="S18" i="5"/>
  <c r="S61" i="5" l="1"/>
  <c r="S88" i="5"/>
  <c r="S189" i="3"/>
  <c r="S35" i="3"/>
  <c r="S65" i="3"/>
  <c r="S219" i="3"/>
  <c r="S55" i="6"/>
  <c r="S82" i="6"/>
  <c r="S133" i="6" l="1"/>
  <c r="S79" i="6"/>
  <c r="S221" i="7" s="1"/>
  <c r="S106" i="6"/>
  <c r="S64" i="3"/>
  <c r="S217" i="3"/>
  <c r="S187" i="3"/>
  <c r="S34" i="3"/>
  <c r="S127" i="3" s="1"/>
  <c r="S157" i="3" l="1"/>
  <c r="S138" i="3"/>
  <c r="S186" i="3"/>
  <c r="S135" i="3"/>
  <c r="S132" i="3"/>
  <c r="S137" i="3"/>
  <c r="S133" i="3"/>
  <c r="S136" i="3"/>
  <c r="S134" i="3"/>
  <c r="S131" i="3"/>
  <c r="S126" i="3"/>
  <c r="S128" i="3"/>
  <c r="S130" i="3"/>
  <c r="S129" i="3"/>
  <c r="S168" i="3"/>
  <c r="S163" i="3"/>
  <c r="S156" i="3"/>
  <c r="S161" i="3"/>
  <c r="S166" i="3"/>
  <c r="S165" i="3"/>
  <c r="S167" i="3"/>
  <c r="S158" i="3"/>
  <c r="S216" i="3"/>
  <c r="S160" i="3"/>
  <c r="S159" i="3"/>
  <c r="S52" i="5" l="1"/>
  <c r="S138" i="5"/>
  <c r="S84" i="5"/>
  <c r="S139" i="7" s="1"/>
  <c r="S111" i="5"/>
  <c r="S40" i="6"/>
  <c r="S132" i="6"/>
  <c r="S78" i="6"/>
  <c r="S220" i="7" s="1"/>
  <c r="S105" i="6"/>
  <c r="S131" i="6" l="1"/>
  <c r="S80" i="3"/>
  <c r="S77" i="6"/>
  <c r="S219" i="7" s="1"/>
  <c r="S104" i="6"/>
  <c r="S33" i="6"/>
  <c r="S137" i="5"/>
  <c r="S83" i="5"/>
  <c r="S138" i="7" s="1"/>
  <c r="S50" i="3"/>
  <c r="S110" i="5"/>
  <c r="S42" i="5"/>
  <c r="S17" i="6" l="1"/>
  <c r="S151" i="6"/>
  <c r="S70" i="6"/>
  <c r="S97" i="6"/>
  <c r="S76" i="5"/>
  <c r="S103" i="5"/>
  <c r="S17" i="5"/>
  <c r="S232" i="3"/>
  <c r="S78" i="3"/>
  <c r="S202" i="3"/>
  <c r="S48" i="3"/>
  <c r="S162" i="5" l="1"/>
  <c r="S141" i="5"/>
  <c r="S60" i="5"/>
  <c r="S156" i="5"/>
  <c r="S150" i="5"/>
  <c r="S163" i="5"/>
  <c r="S154" i="5"/>
  <c r="S161" i="5"/>
  <c r="S147" i="5"/>
  <c r="S152" i="5"/>
  <c r="S159" i="5"/>
  <c r="S143" i="5"/>
  <c r="S155" i="5"/>
  <c r="S149" i="5"/>
  <c r="S148" i="5"/>
  <c r="S145" i="5"/>
  <c r="S153" i="5"/>
  <c r="S151" i="5"/>
  <c r="S160" i="5"/>
  <c r="S158" i="5"/>
  <c r="S166" i="5"/>
  <c r="S146" i="5"/>
  <c r="S144" i="5"/>
  <c r="S142" i="5"/>
  <c r="S165" i="5"/>
  <c r="S164" i="5"/>
  <c r="S77" i="3"/>
  <c r="S230" i="3"/>
  <c r="S157" i="5"/>
  <c r="S200" i="3"/>
  <c r="S47" i="3"/>
  <c r="S140" i="3" s="1"/>
  <c r="S135" i="6"/>
  <c r="S148" i="6"/>
  <c r="S155" i="6"/>
  <c r="S54" i="6"/>
  <c r="S137" i="6"/>
  <c r="S141" i="6"/>
  <c r="S153" i="6"/>
  <c r="S146" i="6"/>
  <c r="S156" i="6"/>
  <c r="S149" i="6"/>
  <c r="S143" i="6"/>
  <c r="S139" i="6"/>
  <c r="S142" i="6"/>
  <c r="S154" i="6"/>
  <c r="S147" i="6"/>
  <c r="S152" i="6"/>
  <c r="S140" i="6"/>
  <c r="S145" i="6"/>
  <c r="S138" i="6"/>
  <c r="S136" i="6"/>
  <c r="S160" i="6"/>
  <c r="S159" i="6"/>
  <c r="S158" i="6"/>
  <c r="S170" i="3" l="1"/>
  <c r="S147" i="3"/>
  <c r="S144" i="3"/>
  <c r="S150" i="3"/>
  <c r="S199" i="3"/>
  <c r="S139" i="3"/>
  <c r="S148" i="3"/>
  <c r="S149" i="3"/>
  <c r="S146" i="3"/>
  <c r="S145" i="3"/>
  <c r="S143" i="3"/>
  <c r="S141" i="3"/>
  <c r="S142" i="3"/>
  <c r="S177" i="3"/>
  <c r="S176" i="3"/>
  <c r="S174" i="3"/>
  <c r="S173" i="3"/>
  <c r="S180" i="3"/>
  <c r="S179" i="3"/>
  <c r="S178" i="3"/>
  <c r="S169" i="3"/>
  <c r="S175" i="3"/>
  <c r="S229" i="3"/>
  <c r="S171" i="3"/>
  <c r="S172" i="3"/>
  <c r="U55" i="7" l="1"/>
  <c r="U134" i="4"/>
  <c r="U53" i="7" l="1"/>
  <c r="U127" i="4"/>
  <c r="U46" i="7" l="1"/>
  <c r="U111" i="4"/>
  <c r="U30" i="7" s="1"/>
  <c r="T133" i="5" l="1"/>
  <c r="T79" i="5"/>
  <c r="T134" i="7" s="1"/>
  <c r="T106" i="5"/>
  <c r="T43" i="5"/>
  <c r="T126" i="5"/>
  <c r="T72" i="5"/>
  <c r="T127" i="7" s="1"/>
  <c r="T99" i="5"/>
  <c r="T33" i="5"/>
  <c r="T70" i="5" l="1"/>
  <c r="T125" i="7" s="1"/>
  <c r="T124" i="5"/>
  <c r="T38" i="3"/>
  <c r="T97" i="5"/>
  <c r="T131" i="5"/>
  <c r="T77" i="5"/>
  <c r="T132" i="7" s="1"/>
  <c r="T49" i="3"/>
  <c r="T104" i="5"/>
  <c r="T120" i="6" l="1"/>
  <c r="T66" i="6"/>
  <c r="T208" i="7" s="1"/>
  <c r="T93" i="6"/>
  <c r="T27" i="6"/>
  <c r="T127" i="6"/>
  <c r="T73" i="6"/>
  <c r="T215" i="7" s="1"/>
  <c r="T100" i="6"/>
  <c r="T34" i="6"/>
  <c r="T201" i="3"/>
  <c r="T190" i="3"/>
  <c r="T119" i="5"/>
  <c r="T65" i="5"/>
  <c r="T120" i="7" s="1"/>
  <c r="T92" i="5"/>
  <c r="T21" i="5"/>
  <c r="T139" i="5"/>
  <c r="T85" i="5"/>
  <c r="T140" i="7" s="1"/>
  <c r="T112" i="5"/>
  <c r="T118" i="6" l="1"/>
  <c r="T68" i="3"/>
  <c r="T64" i="6"/>
  <c r="T206" i="7" s="1"/>
  <c r="T91" i="6"/>
  <c r="T125" i="6"/>
  <c r="T79" i="3"/>
  <c r="T71" i="6"/>
  <c r="T213" i="7" s="1"/>
  <c r="T98" i="6"/>
  <c r="T113" i="6"/>
  <c r="T59" i="6"/>
  <c r="T201" i="7" s="1"/>
  <c r="T86" i="6"/>
  <c r="T20" i="6"/>
  <c r="T63" i="5"/>
  <c r="T118" i="7" s="1"/>
  <c r="T117" i="5"/>
  <c r="T37" i="3"/>
  <c r="T90" i="5"/>
  <c r="T18" i="5"/>
  <c r="T61" i="5" l="1"/>
  <c r="T88" i="5"/>
  <c r="T189" i="3"/>
  <c r="T35" i="3"/>
  <c r="T220" i="3"/>
  <c r="T231" i="3"/>
  <c r="T111" i="6"/>
  <c r="T67" i="3"/>
  <c r="T57" i="6"/>
  <c r="T199" i="7" s="1"/>
  <c r="T84" i="6"/>
  <c r="T18" i="6"/>
  <c r="T133" i="6"/>
  <c r="T79" i="6"/>
  <c r="T221" i="7" s="1"/>
  <c r="T106" i="6"/>
  <c r="T55" i="6" l="1"/>
  <c r="T82" i="6"/>
  <c r="T187" i="3"/>
  <c r="T34" i="3"/>
  <c r="T127" i="3" s="1"/>
  <c r="T219" i="3"/>
  <c r="T65" i="3"/>
  <c r="T40" i="6" l="1"/>
  <c r="T132" i="6"/>
  <c r="T78" i="6"/>
  <c r="T220" i="7" s="1"/>
  <c r="T105" i="6"/>
  <c r="T84" i="5"/>
  <c r="T139" i="7" s="1"/>
  <c r="T52" i="5"/>
  <c r="T138" i="5"/>
  <c r="T111" i="5"/>
  <c r="T135" i="3"/>
  <c r="T133" i="3"/>
  <c r="T138" i="3"/>
  <c r="T186" i="3"/>
  <c r="T131" i="3"/>
  <c r="T126" i="3"/>
  <c r="T132" i="3"/>
  <c r="T136" i="3"/>
  <c r="T134" i="3"/>
  <c r="T137" i="3"/>
  <c r="T128" i="3"/>
  <c r="T130" i="3"/>
  <c r="T129" i="3"/>
  <c r="T64" i="3"/>
  <c r="T217" i="3"/>
  <c r="T165" i="3" l="1"/>
  <c r="T166" i="3"/>
  <c r="T156" i="3"/>
  <c r="T167" i="3"/>
  <c r="T168" i="3"/>
  <c r="T163" i="3"/>
  <c r="T161" i="3"/>
  <c r="T158" i="3"/>
  <c r="T216" i="3"/>
  <c r="T160" i="3"/>
  <c r="T159" i="3"/>
  <c r="T42" i="5"/>
  <c r="T137" i="5"/>
  <c r="T83" i="5"/>
  <c r="T138" i="7" s="1"/>
  <c r="T50" i="3"/>
  <c r="T110" i="5"/>
  <c r="T157" i="3"/>
  <c r="T131" i="6"/>
  <c r="T80" i="3"/>
  <c r="T77" i="6"/>
  <c r="T219" i="7" s="1"/>
  <c r="T104" i="6"/>
  <c r="T33" i="6"/>
  <c r="T76" i="5" l="1"/>
  <c r="T103" i="5"/>
  <c r="T17" i="5"/>
  <c r="T232" i="3"/>
  <c r="T78" i="3"/>
  <c r="T202" i="3"/>
  <c r="T48" i="3"/>
  <c r="T70" i="6"/>
  <c r="T97" i="6"/>
  <c r="T17" i="6"/>
  <c r="T200" i="3" l="1"/>
  <c r="T47" i="3"/>
  <c r="T140" i="3" s="1"/>
  <c r="T151" i="5"/>
  <c r="T141" i="5"/>
  <c r="T60" i="5"/>
  <c r="T156" i="5"/>
  <c r="T150" i="5"/>
  <c r="T163" i="5"/>
  <c r="T161" i="5"/>
  <c r="T154" i="5"/>
  <c r="T147" i="5"/>
  <c r="T159" i="5"/>
  <c r="T143" i="5"/>
  <c r="T162" i="5"/>
  <c r="T152" i="5"/>
  <c r="T155" i="5"/>
  <c r="T148" i="5"/>
  <c r="T149" i="5"/>
  <c r="T145" i="5"/>
  <c r="T153" i="5"/>
  <c r="T160" i="5"/>
  <c r="T158" i="5"/>
  <c r="T166" i="5"/>
  <c r="T146" i="5"/>
  <c r="T144" i="5"/>
  <c r="T142" i="5"/>
  <c r="T165" i="5"/>
  <c r="T164" i="5"/>
  <c r="T157" i="5"/>
  <c r="T77" i="3"/>
  <c r="T230" i="3"/>
  <c r="T151" i="6"/>
  <c r="T135" i="6"/>
  <c r="T54" i="6"/>
  <c r="T148" i="6"/>
  <c r="T155" i="6"/>
  <c r="T156" i="6"/>
  <c r="T141" i="6"/>
  <c r="T137" i="6"/>
  <c r="T153" i="6"/>
  <c r="T149" i="6"/>
  <c r="T146" i="6"/>
  <c r="T142" i="6"/>
  <c r="T143" i="6"/>
  <c r="T139" i="6"/>
  <c r="T147" i="6"/>
  <c r="T154" i="6"/>
  <c r="T152" i="6"/>
  <c r="T145" i="6"/>
  <c r="T140" i="6"/>
  <c r="T160" i="6"/>
  <c r="T138" i="6"/>
  <c r="T136" i="6"/>
  <c r="T159" i="6"/>
  <c r="T158" i="6"/>
  <c r="T170" i="3" l="1"/>
  <c r="T177" i="3"/>
  <c r="T173" i="3"/>
  <c r="T176" i="3"/>
  <c r="T179" i="3"/>
  <c r="T180" i="3"/>
  <c r="T178" i="3"/>
  <c r="T174" i="3"/>
  <c r="T169" i="3"/>
  <c r="T175" i="3"/>
  <c r="T229" i="3"/>
  <c r="T171" i="3"/>
  <c r="T172" i="3"/>
  <c r="T144" i="3"/>
  <c r="T150" i="3"/>
  <c r="T199" i="3"/>
  <c r="T149" i="3"/>
  <c r="T148" i="3"/>
  <c r="T139" i="3"/>
  <c r="T145" i="3"/>
  <c r="T146" i="3"/>
  <c r="T143" i="3"/>
  <c r="T147" i="3"/>
  <c r="T141" i="3"/>
  <c r="T142" i="3"/>
  <c r="V55" i="7" l="1"/>
  <c r="V134" i="4"/>
  <c r="V53" i="7" l="1"/>
  <c r="V127" i="4"/>
  <c r="V46" i="7" l="1"/>
  <c r="V111" i="4"/>
  <c r="V30" i="7" s="1"/>
  <c r="U127" i="6" l="1"/>
  <c r="U73" i="6"/>
  <c r="U215" i="7" s="1"/>
  <c r="U100" i="6"/>
  <c r="U34" i="6"/>
  <c r="U79" i="5"/>
  <c r="U134" i="7" s="1"/>
  <c r="U133" i="5"/>
  <c r="U106" i="5"/>
  <c r="U43" i="5"/>
  <c r="U72" i="5"/>
  <c r="U127" i="7" s="1"/>
  <c r="U126" i="5"/>
  <c r="U99" i="5"/>
  <c r="U33" i="5"/>
  <c r="U77" i="5" l="1"/>
  <c r="U132" i="7" s="1"/>
  <c r="U131" i="5"/>
  <c r="U49" i="3"/>
  <c r="U104" i="5"/>
  <c r="U139" i="5"/>
  <c r="U85" i="5"/>
  <c r="U140" i="7" s="1"/>
  <c r="U112" i="5"/>
  <c r="U70" i="5"/>
  <c r="U125" i="7" s="1"/>
  <c r="U124" i="5"/>
  <c r="U38" i="3"/>
  <c r="U97" i="5"/>
  <c r="U71" i="6"/>
  <c r="U213" i="7" s="1"/>
  <c r="U125" i="6"/>
  <c r="U79" i="3"/>
  <c r="U98" i="6"/>
  <c r="U201" i="3" l="1"/>
  <c r="U231" i="3"/>
  <c r="U65" i="5"/>
  <c r="U120" i="7" s="1"/>
  <c r="U119" i="5"/>
  <c r="U92" i="5"/>
  <c r="U21" i="5"/>
  <c r="U190" i="3"/>
  <c r="U120" i="6"/>
  <c r="U66" i="6"/>
  <c r="U208" i="7" s="1"/>
  <c r="U93" i="6"/>
  <c r="U27" i="6"/>
  <c r="U113" i="6"/>
  <c r="U59" i="6"/>
  <c r="U201" i="7" s="1"/>
  <c r="U86" i="6"/>
  <c r="U20" i="6"/>
  <c r="U111" i="6" l="1"/>
  <c r="U67" i="3"/>
  <c r="U57" i="6"/>
  <c r="U199" i="7" s="1"/>
  <c r="U84" i="6"/>
  <c r="U18" i="6"/>
  <c r="U63" i="5"/>
  <c r="U118" i="7" s="1"/>
  <c r="U117" i="5"/>
  <c r="U37" i="3"/>
  <c r="U90" i="5"/>
  <c r="U18" i="5"/>
  <c r="U64" i="6"/>
  <c r="U206" i="7" s="1"/>
  <c r="U118" i="6"/>
  <c r="U68" i="3"/>
  <c r="U91" i="6"/>
  <c r="U133" i="6" l="1"/>
  <c r="U79" i="6"/>
  <c r="U221" i="7" s="1"/>
  <c r="U106" i="6"/>
  <c r="U55" i="6"/>
  <c r="U82" i="6"/>
  <c r="U189" i="3"/>
  <c r="U35" i="3"/>
  <c r="U61" i="5"/>
  <c r="U88" i="5"/>
  <c r="U219" i="3"/>
  <c r="U65" i="3"/>
  <c r="U220" i="3"/>
  <c r="U64" i="3" l="1"/>
  <c r="U217" i="3"/>
  <c r="U187" i="3"/>
  <c r="U34" i="3"/>
  <c r="U127" i="3" s="1"/>
  <c r="U157" i="3" l="1"/>
  <c r="U138" i="3"/>
  <c r="U132" i="3"/>
  <c r="U134" i="3"/>
  <c r="U133" i="3"/>
  <c r="U135" i="3"/>
  <c r="U126" i="3"/>
  <c r="U131" i="3"/>
  <c r="U136" i="3"/>
  <c r="U186" i="3"/>
  <c r="U137" i="3"/>
  <c r="U128" i="3"/>
  <c r="U130" i="3"/>
  <c r="U129" i="3"/>
  <c r="U163" i="3"/>
  <c r="U168" i="3"/>
  <c r="U161" i="3"/>
  <c r="U165" i="3"/>
  <c r="U166" i="3"/>
  <c r="U156" i="3"/>
  <c r="U167" i="3"/>
  <c r="U216" i="3"/>
  <c r="U158" i="3"/>
  <c r="U160" i="3"/>
  <c r="U159" i="3"/>
  <c r="U52" i="5" l="1"/>
  <c r="U138" i="5"/>
  <c r="U84" i="5"/>
  <c r="U139" i="7" s="1"/>
  <c r="U111" i="5"/>
  <c r="U132" i="6"/>
  <c r="U40" i="6"/>
  <c r="U78" i="6"/>
  <c r="U220" i="7" s="1"/>
  <c r="U105" i="6"/>
  <c r="U83" i="5" l="1"/>
  <c r="U138" i="7" s="1"/>
  <c r="U50" i="3"/>
  <c r="U110" i="5"/>
  <c r="U137" i="5"/>
  <c r="U42" i="5"/>
  <c r="U131" i="6"/>
  <c r="U80" i="3"/>
  <c r="U77" i="6"/>
  <c r="U219" i="7" s="1"/>
  <c r="U104" i="6"/>
  <c r="U33" i="6"/>
  <c r="U70" i="6" l="1"/>
  <c r="U97" i="6"/>
  <c r="U17" i="6"/>
  <c r="U76" i="5"/>
  <c r="U103" i="5"/>
  <c r="U17" i="5"/>
  <c r="U157" i="5" s="1"/>
  <c r="U232" i="3"/>
  <c r="U78" i="3"/>
  <c r="U202" i="3"/>
  <c r="U48" i="3"/>
  <c r="U200" i="3" l="1"/>
  <c r="U47" i="3"/>
  <c r="U140" i="3"/>
  <c r="U77" i="3"/>
  <c r="U170" i="3" s="1"/>
  <c r="U230" i="3"/>
  <c r="U136" i="6"/>
  <c r="U135" i="6"/>
  <c r="U54" i="6"/>
  <c r="U148" i="6"/>
  <c r="U155" i="6"/>
  <c r="U141" i="6"/>
  <c r="U137" i="6"/>
  <c r="U153" i="6"/>
  <c r="U146" i="6"/>
  <c r="U139" i="6"/>
  <c r="U143" i="6"/>
  <c r="U156" i="6"/>
  <c r="U142" i="6"/>
  <c r="U149" i="6"/>
  <c r="U154" i="6"/>
  <c r="U152" i="6"/>
  <c r="U140" i="6"/>
  <c r="U147" i="6"/>
  <c r="U145" i="6"/>
  <c r="U138" i="6"/>
  <c r="U160" i="6"/>
  <c r="U159" i="6"/>
  <c r="U158" i="6"/>
  <c r="U60" i="5"/>
  <c r="U141" i="5"/>
  <c r="U156" i="5"/>
  <c r="U163" i="5"/>
  <c r="U150" i="5"/>
  <c r="U154" i="5"/>
  <c r="U161" i="5"/>
  <c r="U147" i="5"/>
  <c r="U152" i="5"/>
  <c r="U159" i="5"/>
  <c r="U143" i="5"/>
  <c r="U162" i="5"/>
  <c r="U149" i="5"/>
  <c r="U145" i="5"/>
  <c r="U148" i="5"/>
  <c r="U155" i="5"/>
  <c r="U153" i="5"/>
  <c r="U160" i="5"/>
  <c r="U151" i="5"/>
  <c r="U166" i="5"/>
  <c r="U158" i="5"/>
  <c r="U146" i="5"/>
  <c r="U144" i="5"/>
  <c r="U142" i="5"/>
  <c r="U165" i="5"/>
  <c r="U164" i="5"/>
  <c r="U151" i="6"/>
  <c r="U178" i="3" l="1"/>
  <c r="U169" i="3"/>
  <c r="U175" i="3"/>
  <c r="U176" i="3"/>
  <c r="U173" i="3"/>
  <c r="U177" i="3"/>
  <c r="U179" i="3"/>
  <c r="U174" i="3"/>
  <c r="U180" i="3"/>
  <c r="U229" i="3"/>
  <c r="U171" i="3"/>
  <c r="U172" i="3"/>
  <c r="U144" i="3"/>
  <c r="U150" i="3"/>
  <c r="U149" i="3"/>
  <c r="U148" i="3"/>
  <c r="U199" i="3"/>
  <c r="U139" i="3"/>
  <c r="U145" i="3"/>
  <c r="U147" i="3"/>
  <c r="U143" i="3"/>
  <c r="U146" i="3"/>
  <c r="U141" i="3"/>
  <c r="U142" i="3"/>
  <c r="W55" i="7" l="1"/>
  <c r="W134" i="4"/>
  <c r="W53" i="7" l="1"/>
  <c r="W127" i="4"/>
  <c r="W46" i="7" l="1"/>
  <c r="W111" i="4"/>
  <c r="W30" i="7" s="1"/>
  <c r="V127" i="6" l="1"/>
  <c r="V73" i="6"/>
  <c r="V215" i="7" s="1"/>
  <c r="V100" i="6"/>
  <c r="V34" i="6"/>
  <c r="V72" i="5"/>
  <c r="V127" i="7" s="1"/>
  <c r="V126" i="5"/>
  <c r="V99" i="5"/>
  <c r="V33" i="5"/>
  <c r="V79" i="5"/>
  <c r="V134" i="7" s="1"/>
  <c r="V133" i="5"/>
  <c r="V106" i="5"/>
  <c r="V43" i="5"/>
  <c r="V113" i="6" l="1"/>
  <c r="V59" i="6"/>
  <c r="V201" i="7" s="1"/>
  <c r="V86" i="6"/>
  <c r="V20" i="6"/>
  <c r="V125" i="6"/>
  <c r="V79" i="3"/>
  <c r="V71" i="6"/>
  <c r="V213" i="7" s="1"/>
  <c r="V98" i="6"/>
  <c r="V70" i="5"/>
  <c r="V125" i="7" s="1"/>
  <c r="V124" i="5"/>
  <c r="V38" i="3"/>
  <c r="V190" i="3" s="1"/>
  <c r="V97" i="5"/>
  <c r="V77" i="5"/>
  <c r="V132" i="7" s="1"/>
  <c r="V49" i="3"/>
  <c r="V131" i="5"/>
  <c r="V104" i="5"/>
  <c r="V139" i="5"/>
  <c r="V85" i="5"/>
  <c r="V140" i="7" s="1"/>
  <c r="V112" i="5"/>
  <c r="V65" i="5"/>
  <c r="V120" i="7" s="1"/>
  <c r="V119" i="5"/>
  <c r="V92" i="5"/>
  <c r="V21" i="5"/>
  <c r="V201" i="3" l="1"/>
  <c r="V231" i="3"/>
  <c r="V120" i="6"/>
  <c r="V66" i="6"/>
  <c r="V208" i="7" s="1"/>
  <c r="V93" i="6"/>
  <c r="V27" i="6"/>
  <c r="V18" i="6" s="1"/>
  <c r="V63" i="5"/>
  <c r="V118" i="7" s="1"/>
  <c r="V117" i="5"/>
  <c r="V37" i="3"/>
  <c r="V90" i="5"/>
  <c r="V18" i="5"/>
  <c r="V111" i="6"/>
  <c r="V67" i="3"/>
  <c r="V57" i="6"/>
  <c r="V199" i="7" s="1"/>
  <c r="V84" i="6"/>
  <c r="V61" i="5" l="1"/>
  <c r="V88" i="5"/>
  <c r="V64" i="6"/>
  <c r="V206" i="7" s="1"/>
  <c r="V118" i="6"/>
  <c r="V68" i="3"/>
  <c r="V91" i="6"/>
  <c r="V55" i="6"/>
  <c r="V82" i="6"/>
  <c r="V189" i="3"/>
  <c r="V35" i="3"/>
  <c r="V219" i="3"/>
  <c r="V133" i="6"/>
  <c r="V79" i="6"/>
  <c r="V221" i="7" s="1"/>
  <c r="V106" i="6"/>
  <c r="V187" i="3" l="1"/>
  <c r="V34" i="3"/>
  <c r="V127" i="3"/>
  <c r="V220" i="3"/>
  <c r="V65" i="3"/>
  <c r="V130" i="3" l="1"/>
  <c r="V135" i="3"/>
  <c r="V133" i="3"/>
  <c r="V131" i="3"/>
  <c r="V136" i="3"/>
  <c r="V134" i="3"/>
  <c r="V138" i="3"/>
  <c r="V132" i="3"/>
  <c r="V186" i="3"/>
  <c r="V126" i="3"/>
  <c r="V137" i="3"/>
  <c r="V128" i="3"/>
  <c r="V129" i="3"/>
  <c r="V64" i="3"/>
  <c r="V217" i="3"/>
  <c r="V157" i="3" l="1"/>
  <c r="V138" i="5"/>
  <c r="V84" i="5"/>
  <c r="V139" i="7" s="1"/>
  <c r="V52" i="5"/>
  <c r="V111" i="5"/>
  <c r="V168" i="3"/>
  <c r="V165" i="3"/>
  <c r="V163" i="3"/>
  <c r="V161" i="3"/>
  <c r="V166" i="3"/>
  <c r="V156" i="3"/>
  <c r="V167" i="3"/>
  <c r="V158" i="3"/>
  <c r="V216" i="3"/>
  <c r="V159" i="3"/>
  <c r="V160" i="3"/>
  <c r="V40" i="6"/>
  <c r="V132" i="6"/>
  <c r="V78" i="6"/>
  <c r="V220" i="7" s="1"/>
  <c r="V105" i="6"/>
  <c r="V83" i="5" l="1"/>
  <c r="V138" i="7" s="1"/>
  <c r="V137" i="5"/>
  <c r="V50" i="3"/>
  <c r="V110" i="5"/>
  <c r="V42" i="5"/>
  <c r="V131" i="6"/>
  <c r="V80" i="3"/>
  <c r="V77" i="6"/>
  <c r="V219" i="7" s="1"/>
  <c r="V104" i="6"/>
  <c r="V33" i="6"/>
  <c r="V70" i="6" l="1"/>
  <c r="V97" i="6"/>
  <c r="V17" i="6"/>
  <c r="V76" i="5"/>
  <c r="V103" i="5"/>
  <c r="V17" i="5"/>
  <c r="V202" i="3"/>
  <c r="V48" i="3"/>
  <c r="V232" i="3"/>
  <c r="V78" i="3"/>
  <c r="V150" i="5" l="1"/>
  <c r="V141" i="5"/>
  <c r="V60" i="5"/>
  <c r="V156" i="5"/>
  <c r="V163" i="5"/>
  <c r="V154" i="5"/>
  <c r="V161" i="5"/>
  <c r="V147" i="5"/>
  <c r="V162" i="5"/>
  <c r="V148" i="5"/>
  <c r="V155" i="5"/>
  <c r="V152" i="5"/>
  <c r="V143" i="5"/>
  <c r="V159" i="5"/>
  <c r="V149" i="5"/>
  <c r="V145" i="5"/>
  <c r="V160" i="5"/>
  <c r="V153" i="5"/>
  <c r="V166" i="5"/>
  <c r="V151" i="5"/>
  <c r="V158" i="5"/>
  <c r="V146" i="5"/>
  <c r="V144" i="5"/>
  <c r="V142" i="5"/>
  <c r="V165" i="5"/>
  <c r="V164" i="5"/>
  <c r="V157" i="5"/>
  <c r="V77" i="3"/>
  <c r="V230" i="3"/>
  <c r="V136" i="6"/>
  <c r="V135" i="6"/>
  <c r="V148" i="6"/>
  <c r="V155" i="6"/>
  <c r="V141" i="6"/>
  <c r="V156" i="6"/>
  <c r="V142" i="6"/>
  <c r="V54" i="6"/>
  <c r="V149" i="6"/>
  <c r="V137" i="6"/>
  <c r="V146" i="6"/>
  <c r="V153" i="6"/>
  <c r="V143" i="6"/>
  <c r="V139" i="6"/>
  <c r="V154" i="6"/>
  <c r="V152" i="6"/>
  <c r="V140" i="6"/>
  <c r="V138" i="6"/>
  <c r="V147" i="6"/>
  <c r="V145" i="6"/>
  <c r="V160" i="6"/>
  <c r="V159" i="6"/>
  <c r="V158" i="6"/>
  <c r="V200" i="3"/>
  <c r="V47" i="3"/>
  <c r="V140" i="3" s="1"/>
  <c r="V151" i="6"/>
  <c r="V170" i="3" l="1"/>
  <c r="V174" i="3"/>
  <c r="V180" i="3"/>
  <c r="V176" i="3"/>
  <c r="V179" i="3"/>
  <c r="V177" i="3"/>
  <c r="V178" i="3"/>
  <c r="V169" i="3"/>
  <c r="V175" i="3"/>
  <c r="V173" i="3"/>
  <c r="V229" i="3"/>
  <c r="V171" i="3"/>
  <c r="V172" i="3"/>
  <c r="V142" i="3"/>
  <c r="V150" i="3"/>
  <c r="V144" i="3"/>
  <c r="V145" i="3"/>
  <c r="V143" i="3"/>
  <c r="V147" i="3"/>
  <c r="V146" i="3"/>
  <c r="V139" i="3"/>
  <c r="V149" i="3"/>
  <c r="V199" i="3"/>
  <c r="V148" i="3"/>
  <c r="V141" i="3"/>
  <c r="X55" i="7" l="1"/>
  <c r="X134" i="4"/>
  <c r="X53" i="7" l="1"/>
  <c r="X127" i="4"/>
  <c r="X46" i="7" l="1"/>
  <c r="X111" i="4"/>
  <c r="X30" i="7" s="1"/>
  <c r="W133" i="5" l="1"/>
  <c r="W79" i="5"/>
  <c r="W134" i="7" s="1"/>
  <c r="W106" i="5"/>
  <c r="W43" i="5"/>
  <c r="W72" i="5"/>
  <c r="W127" i="7" s="1"/>
  <c r="W126" i="5"/>
  <c r="W99" i="5"/>
  <c r="W33" i="5"/>
  <c r="W124" i="5" l="1"/>
  <c r="W70" i="5"/>
  <c r="W125" i="7" s="1"/>
  <c r="W38" i="3"/>
  <c r="W97" i="5"/>
  <c r="W127" i="6"/>
  <c r="W73" i="6"/>
  <c r="W215" i="7" s="1"/>
  <c r="W100" i="6"/>
  <c r="W34" i="6"/>
  <c r="W65" i="5"/>
  <c r="W120" i="7" s="1"/>
  <c r="W119" i="5"/>
  <c r="W92" i="5"/>
  <c r="W21" i="5"/>
  <c r="W85" i="5"/>
  <c r="W140" i="7" s="1"/>
  <c r="W139" i="5"/>
  <c r="W112" i="5"/>
  <c r="W131" i="5"/>
  <c r="W77" i="5"/>
  <c r="W132" i="7" s="1"/>
  <c r="W49" i="3"/>
  <c r="W104" i="5"/>
  <c r="W63" i="5" l="1"/>
  <c r="W118" i="7" s="1"/>
  <c r="W117" i="5"/>
  <c r="W37" i="3"/>
  <c r="W90" i="5"/>
  <c r="W18" i="5"/>
  <c r="W120" i="6"/>
  <c r="W66" i="6"/>
  <c r="W208" i="7" s="1"/>
  <c r="W93" i="6"/>
  <c r="W27" i="6"/>
  <c r="W190" i="3"/>
  <c r="W201" i="3"/>
  <c r="W125" i="6"/>
  <c r="W79" i="3"/>
  <c r="W71" i="6"/>
  <c r="W213" i="7" s="1"/>
  <c r="W98" i="6"/>
  <c r="W231" i="3" l="1"/>
  <c r="W118" i="6"/>
  <c r="W68" i="3"/>
  <c r="W64" i="6"/>
  <c r="W206" i="7" s="1"/>
  <c r="W91" i="6"/>
  <c r="W189" i="3"/>
  <c r="W35" i="3"/>
  <c r="W113" i="6"/>
  <c r="W59" i="6"/>
  <c r="W201" i="7" s="1"/>
  <c r="W86" i="6"/>
  <c r="W20" i="6"/>
  <c r="W61" i="5"/>
  <c r="W88" i="5"/>
  <c r="W220" i="3" l="1"/>
  <c r="W34" i="3"/>
  <c r="W127" i="3" s="1"/>
  <c r="W187" i="3"/>
  <c r="W57" i="6"/>
  <c r="W199" i="7" s="1"/>
  <c r="W111" i="6"/>
  <c r="W67" i="3"/>
  <c r="W84" i="6"/>
  <c r="W18" i="6"/>
  <c r="W219" i="3" l="1"/>
  <c r="W65" i="3"/>
  <c r="W132" i="3"/>
  <c r="W134" i="3"/>
  <c r="W136" i="3"/>
  <c r="W135" i="3"/>
  <c r="W126" i="3"/>
  <c r="W133" i="3"/>
  <c r="W138" i="3"/>
  <c r="W131" i="3"/>
  <c r="W137" i="3"/>
  <c r="W186" i="3"/>
  <c r="W128" i="3"/>
  <c r="W130" i="3"/>
  <c r="W129" i="3"/>
  <c r="W133" i="6"/>
  <c r="W79" i="6"/>
  <c r="W221" i="7" s="1"/>
  <c r="W106" i="6"/>
  <c r="W55" i="6"/>
  <c r="W82" i="6"/>
  <c r="W64" i="3" l="1"/>
  <c r="W217" i="3"/>
  <c r="W157" i="3" l="1"/>
  <c r="W40" i="6"/>
  <c r="W132" i="6"/>
  <c r="W78" i="6"/>
  <c r="W220" i="7" s="1"/>
  <c r="W105" i="6"/>
  <c r="W166" i="3"/>
  <c r="W168" i="3"/>
  <c r="W163" i="3"/>
  <c r="W165" i="3"/>
  <c r="W156" i="3"/>
  <c r="W167" i="3"/>
  <c r="W161" i="3"/>
  <c r="W158" i="3"/>
  <c r="W216" i="3"/>
  <c r="W160" i="3"/>
  <c r="W159" i="3"/>
  <c r="W52" i="5"/>
  <c r="W84" i="5"/>
  <c r="W139" i="7" s="1"/>
  <c r="W138" i="5"/>
  <c r="W111" i="5"/>
  <c r="W50" i="3" l="1"/>
  <c r="W83" i="5"/>
  <c r="W138" i="7" s="1"/>
  <c r="W137" i="5"/>
  <c r="W110" i="5"/>
  <c r="W42" i="5"/>
  <c r="W33" i="6"/>
  <c r="W80" i="3"/>
  <c r="W131" i="6"/>
  <c r="W77" i="6"/>
  <c r="W219" i="7" s="1"/>
  <c r="W104" i="6"/>
  <c r="W202" i="3" l="1"/>
  <c r="W48" i="3"/>
  <c r="W232" i="3"/>
  <c r="W78" i="3"/>
  <c r="W76" i="5"/>
  <c r="W103" i="5"/>
  <c r="W17" i="5"/>
  <c r="W70" i="6"/>
  <c r="W97" i="6"/>
  <c r="W17" i="6"/>
  <c r="W136" i="6" l="1"/>
  <c r="W135" i="6"/>
  <c r="W155" i="6"/>
  <c r="W148" i="6"/>
  <c r="W141" i="6"/>
  <c r="W156" i="6"/>
  <c r="W54" i="6"/>
  <c r="W142" i="6"/>
  <c r="W149" i="6"/>
  <c r="W153" i="6"/>
  <c r="W146" i="6"/>
  <c r="W137" i="6"/>
  <c r="W139" i="6"/>
  <c r="W143" i="6"/>
  <c r="W154" i="6"/>
  <c r="W147" i="6"/>
  <c r="W152" i="6"/>
  <c r="W145" i="6"/>
  <c r="W140" i="6"/>
  <c r="W138" i="6"/>
  <c r="W160" i="6"/>
  <c r="W159" i="6"/>
  <c r="W158" i="6"/>
  <c r="W77" i="3"/>
  <c r="W230" i="3"/>
  <c r="W151" i="6"/>
  <c r="W47" i="3"/>
  <c r="W200" i="3"/>
  <c r="W142" i="5"/>
  <c r="W141" i="5"/>
  <c r="W60" i="5"/>
  <c r="W156" i="5"/>
  <c r="W163" i="5"/>
  <c r="W154" i="5"/>
  <c r="W161" i="5"/>
  <c r="W147" i="5"/>
  <c r="W162" i="5"/>
  <c r="W148" i="5"/>
  <c r="W155" i="5"/>
  <c r="W150" i="5"/>
  <c r="W143" i="5"/>
  <c r="W152" i="5"/>
  <c r="W159" i="5"/>
  <c r="W149" i="5"/>
  <c r="W145" i="5"/>
  <c r="W153" i="5"/>
  <c r="W160" i="5"/>
  <c r="W158" i="5"/>
  <c r="W151" i="5"/>
  <c r="W146" i="5"/>
  <c r="W166" i="5"/>
  <c r="W144" i="5"/>
  <c r="W165" i="5"/>
  <c r="W164" i="5"/>
  <c r="W157" i="5"/>
  <c r="W169" i="3" l="1"/>
  <c r="W174" i="3"/>
  <c r="W180" i="3"/>
  <c r="W173" i="3"/>
  <c r="W175" i="3"/>
  <c r="W176" i="3"/>
  <c r="W177" i="3"/>
  <c r="W179" i="3"/>
  <c r="W178" i="3"/>
  <c r="W229" i="3"/>
  <c r="W171" i="3"/>
  <c r="W172" i="3"/>
  <c r="W140" i="3"/>
  <c r="W148" i="3"/>
  <c r="W139" i="3"/>
  <c r="W144" i="3"/>
  <c r="W150" i="3"/>
  <c r="W143" i="3"/>
  <c r="W146" i="3"/>
  <c r="W145" i="3"/>
  <c r="W149" i="3"/>
  <c r="W147" i="3"/>
  <c r="W199" i="3"/>
  <c r="W141" i="3"/>
  <c r="W142" i="3"/>
  <c r="W170" i="3"/>
  <c r="Y55" i="7" l="1"/>
  <c r="Y134" i="4"/>
  <c r="Y82" i="7" l="1"/>
  <c r="Y75" i="7" s="1"/>
  <c r="Y59" i="7" s="1"/>
  <c r="Y53" i="7"/>
  <c r="Y127" i="4"/>
  <c r="Y46" i="7" l="1"/>
  <c r="Y111" i="4"/>
  <c r="Y30" i="7" s="1"/>
  <c r="B82" i="7" l="1"/>
  <c r="B75" i="7" s="1"/>
  <c r="B59" i="7" s="1"/>
  <c r="C82" i="7" l="1"/>
  <c r="C75" i="7" s="1"/>
  <c r="C59" i="7" s="1"/>
  <c r="E82" i="7" l="1"/>
  <c r="E75" i="7" s="1"/>
  <c r="E59" i="7" s="1"/>
  <c r="D82" i="7"/>
  <c r="D75" i="7" s="1"/>
  <c r="D59" i="7" s="1"/>
  <c r="F82" i="7" l="1"/>
  <c r="F75" i="7" s="1"/>
  <c r="F59" i="7" s="1"/>
  <c r="G82" i="7" l="1"/>
  <c r="G75" i="7" s="1"/>
  <c r="G59" i="7" s="1"/>
  <c r="X126" i="5"/>
  <c r="X72" i="5"/>
  <c r="X127" i="7" s="1"/>
  <c r="X99" i="5"/>
  <c r="X33" i="5"/>
  <c r="X79" i="5"/>
  <c r="X134" i="7" s="1"/>
  <c r="X133" i="5"/>
  <c r="X106" i="5"/>
  <c r="X43" i="5"/>
  <c r="X127" i="6"/>
  <c r="X73" i="6"/>
  <c r="X215" i="7" s="1"/>
  <c r="X100" i="6"/>
  <c r="X34" i="6"/>
  <c r="H82" i="7"/>
  <c r="H75" i="7" s="1"/>
  <c r="H59" i="7" s="1"/>
  <c r="X49" i="3" l="1"/>
  <c r="X131" i="5"/>
  <c r="X77" i="5"/>
  <c r="X132" i="7" s="1"/>
  <c r="X104" i="5"/>
  <c r="X125" i="6"/>
  <c r="X79" i="3"/>
  <c r="X71" i="6"/>
  <c r="X213" i="7" s="1"/>
  <c r="X98" i="6"/>
  <c r="I82" i="7"/>
  <c r="I75" i="7" s="1"/>
  <c r="I59" i="7" s="1"/>
  <c r="X124" i="5"/>
  <c r="X70" i="5"/>
  <c r="X125" i="7" s="1"/>
  <c r="X38" i="3"/>
  <c r="X97" i="5"/>
  <c r="J82" i="7"/>
  <c r="J75" i="7" s="1"/>
  <c r="J59" i="7" s="1"/>
  <c r="X190" i="3" l="1"/>
  <c r="X231" i="3"/>
  <c r="X201" i="3"/>
  <c r="X113" i="6"/>
  <c r="X59" i="6"/>
  <c r="X201" i="7" s="1"/>
  <c r="X86" i="6"/>
  <c r="X20" i="6"/>
  <c r="X85" i="5"/>
  <c r="X140" i="7" s="1"/>
  <c r="X139" i="5"/>
  <c r="X112" i="5"/>
  <c r="X120" i="6"/>
  <c r="X66" i="6"/>
  <c r="X208" i="7" s="1"/>
  <c r="X93" i="6"/>
  <c r="X27" i="6"/>
  <c r="X119" i="5"/>
  <c r="X65" i="5"/>
  <c r="X120" i="7" s="1"/>
  <c r="X92" i="5"/>
  <c r="X21" i="5"/>
  <c r="K82" i="7"/>
  <c r="K75" i="7" s="1"/>
  <c r="K59" i="7" s="1"/>
  <c r="X117" i="5" l="1"/>
  <c r="X37" i="3"/>
  <c r="X63" i="5"/>
  <c r="X118" i="7" s="1"/>
  <c r="X90" i="5"/>
  <c r="X18" i="5"/>
  <c r="X111" i="6"/>
  <c r="X67" i="3"/>
  <c r="X57" i="6"/>
  <c r="X199" i="7" s="1"/>
  <c r="X84" i="6"/>
  <c r="X18" i="6"/>
  <c r="X68" i="3"/>
  <c r="X118" i="6"/>
  <c r="X64" i="6"/>
  <c r="X206" i="7" s="1"/>
  <c r="X91" i="6"/>
  <c r="L82" i="7"/>
  <c r="L75" i="7" s="1"/>
  <c r="L59" i="7" s="1"/>
  <c r="X61" i="5" l="1"/>
  <c r="X88" i="5"/>
  <c r="X220" i="3"/>
  <c r="X55" i="6"/>
  <c r="X82" i="6"/>
  <c r="X189" i="3"/>
  <c r="X35" i="3"/>
  <c r="X219" i="3"/>
  <c r="X65" i="3"/>
  <c r="X133" i="6"/>
  <c r="X79" i="6"/>
  <c r="X221" i="7" s="1"/>
  <c r="X106" i="6"/>
  <c r="X34" i="3" l="1"/>
  <c r="X187" i="3"/>
  <c r="X64" i="3"/>
  <c r="X217" i="3"/>
  <c r="M82" i="7"/>
  <c r="M75" i="7" s="1"/>
  <c r="M59" i="7" s="1"/>
  <c r="N82" i="7"/>
  <c r="N75" i="7" s="1"/>
  <c r="N59" i="7" s="1"/>
  <c r="X138" i="5" l="1"/>
  <c r="X84" i="5"/>
  <c r="X139" i="7" s="1"/>
  <c r="X52" i="5"/>
  <c r="X111" i="5"/>
  <c r="X40" i="6"/>
  <c r="X132" i="6"/>
  <c r="X78" i="6"/>
  <c r="X220" i="7" s="1"/>
  <c r="X105" i="6"/>
  <c r="X157" i="3"/>
  <c r="X161" i="3"/>
  <c r="X168" i="3"/>
  <c r="X163" i="3"/>
  <c r="X165" i="3"/>
  <c r="X156" i="3"/>
  <c r="X166" i="3"/>
  <c r="X167" i="3"/>
  <c r="X158" i="3"/>
  <c r="X216" i="3"/>
  <c r="X159" i="3"/>
  <c r="X160" i="3"/>
  <c r="X127" i="3"/>
  <c r="X138" i="3"/>
  <c r="X136" i="3"/>
  <c r="X137" i="3"/>
  <c r="X135" i="3"/>
  <c r="X134" i="3"/>
  <c r="X133" i="3"/>
  <c r="X126" i="3"/>
  <c r="X131" i="3"/>
  <c r="X132" i="3"/>
  <c r="X186" i="3"/>
  <c r="X128" i="3"/>
  <c r="X130" i="3"/>
  <c r="X129" i="3"/>
  <c r="X131" i="6" l="1"/>
  <c r="X80" i="3"/>
  <c r="X77" i="6"/>
  <c r="X219" i="7" s="1"/>
  <c r="X104" i="6"/>
  <c r="X33" i="6"/>
  <c r="X42" i="5"/>
  <c r="X137" i="5"/>
  <c r="X50" i="3"/>
  <c r="X83" i="5"/>
  <c r="X138" i="7" s="1"/>
  <c r="X110" i="5"/>
  <c r="O82" i="7"/>
  <c r="O75" i="7" s="1"/>
  <c r="O59" i="7" s="1"/>
  <c r="X202" i="3" l="1"/>
  <c r="X48" i="3"/>
  <c r="X76" i="5"/>
  <c r="X103" i="5"/>
  <c r="X17" i="5"/>
  <c r="X70" i="6"/>
  <c r="X97" i="6"/>
  <c r="X17" i="6"/>
  <c r="X232" i="3"/>
  <c r="X78" i="3"/>
  <c r="P82" i="7"/>
  <c r="P75" i="7" s="1"/>
  <c r="P59" i="7" s="1"/>
  <c r="X60" i="5" l="1"/>
  <c r="X141" i="5"/>
  <c r="X156" i="5"/>
  <c r="X163" i="5"/>
  <c r="X161" i="5"/>
  <c r="X154" i="5"/>
  <c r="X147" i="5"/>
  <c r="X150" i="5"/>
  <c r="X162" i="5"/>
  <c r="X143" i="5"/>
  <c r="X159" i="5"/>
  <c r="X152" i="5"/>
  <c r="X149" i="5"/>
  <c r="X145" i="5"/>
  <c r="X148" i="5"/>
  <c r="X155" i="5"/>
  <c r="X160" i="5"/>
  <c r="X153" i="5"/>
  <c r="X158" i="5"/>
  <c r="X151" i="5"/>
  <c r="X166" i="5"/>
  <c r="X146" i="5"/>
  <c r="X144" i="5"/>
  <c r="X142" i="5"/>
  <c r="X165" i="5"/>
  <c r="X164" i="5"/>
  <c r="X157" i="5"/>
  <c r="Q82" i="7"/>
  <c r="Q75" i="7" s="1"/>
  <c r="Q59" i="7" s="1"/>
  <c r="X135" i="6"/>
  <c r="X148" i="6"/>
  <c r="X155" i="6"/>
  <c r="X54" i="6"/>
  <c r="X141" i="6"/>
  <c r="X153" i="6"/>
  <c r="X146" i="6"/>
  <c r="X156" i="6"/>
  <c r="X137" i="6"/>
  <c r="X139" i="6"/>
  <c r="X143" i="6"/>
  <c r="X142" i="6"/>
  <c r="X149" i="6"/>
  <c r="X154" i="6"/>
  <c r="X152" i="6"/>
  <c r="X140" i="6"/>
  <c r="X147" i="6"/>
  <c r="X138" i="6"/>
  <c r="X145" i="6"/>
  <c r="X136" i="6"/>
  <c r="X160" i="6"/>
  <c r="X159" i="6"/>
  <c r="X158" i="6"/>
  <c r="X200" i="3"/>
  <c r="X47" i="3"/>
  <c r="X77" i="3"/>
  <c r="X230" i="3"/>
  <c r="X151" i="6"/>
  <c r="X147" i="3" l="1"/>
  <c r="X148" i="3"/>
  <c r="X146" i="3"/>
  <c r="X145" i="3"/>
  <c r="X144" i="3"/>
  <c r="X150" i="3"/>
  <c r="X139" i="3"/>
  <c r="X149" i="3"/>
  <c r="X143" i="3"/>
  <c r="X199" i="3"/>
  <c r="X141" i="3"/>
  <c r="X142" i="3"/>
  <c r="X170" i="3"/>
  <c r="X180" i="3"/>
  <c r="X174" i="3"/>
  <c r="X177" i="3"/>
  <c r="X169" i="3"/>
  <c r="X173" i="3"/>
  <c r="X176" i="3"/>
  <c r="X178" i="3"/>
  <c r="X175" i="3"/>
  <c r="X179" i="3"/>
  <c r="X229" i="3"/>
  <c r="X171" i="3"/>
  <c r="X172" i="3"/>
  <c r="R82" i="7"/>
  <c r="R75" i="7" s="1"/>
  <c r="R59" i="7" s="1"/>
  <c r="X140" i="3"/>
  <c r="S82" i="7" l="1"/>
  <c r="S75" i="7" s="1"/>
  <c r="S59" i="7" s="1"/>
  <c r="T82" i="7" l="1"/>
  <c r="T75" i="7" s="1"/>
  <c r="T59" i="7" s="1"/>
  <c r="U82" i="7" l="1"/>
  <c r="U75" i="7" s="1"/>
  <c r="U59" i="7" s="1"/>
  <c r="V82" i="7" l="1"/>
  <c r="V75" i="7" s="1"/>
  <c r="V59" i="7" s="1"/>
  <c r="W82" i="7"/>
  <c r="W75" i="7" s="1"/>
  <c r="W59" i="7" s="1"/>
  <c r="X82" i="7" l="1"/>
  <c r="X75" i="7" s="1"/>
  <c r="X59" i="7" s="1"/>
  <c r="Y127" i="6" l="1"/>
  <c r="Y73" i="6"/>
  <c r="Y215" i="7" s="1"/>
  <c r="Y100" i="6"/>
  <c r="Y34" i="6"/>
  <c r="Y79" i="5"/>
  <c r="Y134" i="7" s="1"/>
  <c r="Y133" i="5"/>
  <c r="Y106" i="5"/>
  <c r="Y43" i="5"/>
  <c r="Y126" i="5"/>
  <c r="Y72" i="5"/>
  <c r="Y127" i="7" s="1"/>
  <c r="Y99" i="5"/>
  <c r="Y33" i="5"/>
  <c r="Y79" i="3" l="1"/>
  <c r="Y125" i="6"/>
  <c r="Y71" i="6"/>
  <c r="Y213" i="7" s="1"/>
  <c r="Y98" i="6"/>
  <c r="Y49" i="3"/>
  <c r="Y131" i="5"/>
  <c r="Y77" i="5"/>
  <c r="Y132" i="7" s="1"/>
  <c r="Y104" i="5"/>
  <c r="Y38" i="3"/>
  <c r="Y70" i="5"/>
  <c r="Y125" i="7" s="1"/>
  <c r="Y124" i="5"/>
  <c r="Y97" i="5"/>
  <c r="Y119" i="5" l="1"/>
  <c r="Y65" i="5"/>
  <c r="Y120" i="7" s="1"/>
  <c r="Y92" i="5"/>
  <c r="Y21" i="5"/>
  <c r="Y113" i="6"/>
  <c r="Y59" i="6"/>
  <c r="Y201" i="7" s="1"/>
  <c r="Y86" i="6"/>
  <c r="Y20" i="6"/>
  <c r="Y85" i="5"/>
  <c r="Y140" i="7" s="1"/>
  <c r="Y139" i="5"/>
  <c r="Y112" i="5"/>
  <c r="Y201" i="3"/>
  <c r="Y231" i="3"/>
  <c r="Y120" i="6"/>
  <c r="Y66" i="6"/>
  <c r="Y208" i="7" s="1"/>
  <c r="Y93" i="6"/>
  <c r="Y27" i="6"/>
  <c r="Y190" i="3"/>
  <c r="Y37" i="3" l="1"/>
  <c r="Y117" i="5"/>
  <c r="Y63" i="5"/>
  <c r="Y118" i="7" s="1"/>
  <c r="Y90" i="5"/>
  <c r="Y18" i="5"/>
  <c r="Y68" i="3"/>
  <c r="Y118" i="6"/>
  <c r="Y64" i="6"/>
  <c r="Y206" i="7" s="1"/>
  <c r="Y91" i="6"/>
  <c r="Y67" i="3"/>
  <c r="Y111" i="6"/>
  <c r="Y57" i="6"/>
  <c r="Y199" i="7" s="1"/>
  <c r="Y84" i="6"/>
  <c r="Y18" i="6"/>
  <c r="Y61" i="5" l="1"/>
  <c r="Y88" i="5"/>
  <c r="Y220" i="3"/>
  <c r="Y219" i="3"/>
  <c r="Y65" i="3"/>
  <c r="Y55" i="6"/>
  <c r="Y82" i="6"/>
  <c r="Y133" i="6"/>
  <c r="Y79" i="6"/>
  <c r="Y221" i="7" s="1"/>
  <c r="Y106" i="6"/>
  <c r="Y189" i="3"/>
  <c r="Y35" i="3"/>
  <c r="Y78" i="6" l="1"/>
  <c r="Y220" i="7" s="1"/>
  <c r="Y132" i="6"/>
  <c r="Y40" i="6"/>
  <c r="Y105" i="6"/>
  <c r="Y64" i="3"/>
  <c r="Y157" i="3"/>
  <c r="Y217" i="3"/>
  <c r="Y187" i="3"/>
  <c r="Y34" i="3"/>
  <c r="Y127" i="3" s="1"/>
  <c r="Y111" i="5"/>
  <c r="Y52" i="5"/>
  <c r="Y138" i="5"/>
  <c r="Y84" i="5"/>
  <c r="Y139" i="7" s="1"/>
  <c r="Y80" i="3" l="1"/>
  <c r="Y131" i="6"/>
  <c r="Y77" i="6"/>
  <c r="Y219" i="7" s="1"/>
  <c r="Y104" i="6"/>
  <c r="Y33" i="6"/>
  <c r="Y161" i="3"/>
  <c r="Y168" i="3"/>
  <c r="Y167" i="3"/>
  <c r="Y165" i="3"/>
  <c r="Y166" i="3"/>
  <c r="Y156" i="3"/>
  <c r="Y163" i="3"/>
  <c r="Y216" i="3"/>
  <c r="Y158" i="3"/>
  <c r="Y159" i="3"/>
  <c r="Y160" i="3"/>
  <c r="Y50" i="3"/>
  <c r="Y137" i="5"/>
  <c r="Y83" i="5"/>
  <c r="Y138" i="7" s="1"/>
  <c r="Y110" i="5"/>
  <c r="Y42" i="5"/>
  <c r="Y135" i="3"/>
  <c r="Y126" i="3"/>
  <c r="Y136" i="3"/>
  <c r="Y137" i="3"/>
  <c r="Y133" i="3"/>
  <c r="Y134" i="3"/>
  <c r="Y132" i="3"/>
  <c r="Y131" i="3"/>
  <c r="Y138" i="3"/>
  <c r="Y186" i="3"/>
  <c r="Y128" i="3"/>
  <c r="Y130" i="3"/>
  <c r="Y129" i="3"/>
  <c r="Y202" i="3" l="1"/>
  <c r="Y48" i="3"/>
  <c r="Y70" i="6"/>
  <c r="Y97" i="6"/>
  <c r="Y17" i="6"/>
  <c r="Y76" i="5"/>
  <c r="Y103" i="5"/>
  <c r="Y17" i="5"/>
  <c r="Y232" i="3"/>
  <c r="Y78" i="3"/>
  <c r="Y142" i="5" l="1"/>
  <c r="Y141" i="5"/>
  <c r="Y60" i="5"/>
  <c r="Y156" i="5"/>
  <c r="Y163" i="5"/>
  <c r="Y150" i="5"/>
  <c r="Y154" i="5"/>
  <c r="Y161" i="5"/>
  <c r="Y147" i="5"/>
  <c r="Y159" i="5"/>
  <c r="Y143" i="5"/>
  <c r="Y152" i="5"/>
  <c r="Y149" i="5"/>
  <c r="Y162" i="5"/>
  <c r="Y148" i="5"/>
  <c r="Y145" i="5"/>
  <c r="Y155" i="5"/>
  <c r="Y153" i="5"/>
  <c r="Y160" i="5"/>
  <c r="Y151" i="5"/>
  <c r="Y158" i="5"/>
  <c r="Y146" i="5"/>
  <c r="Y166" i="5"/>
  <c r="Y144" i="5"/>
  <c r="Y165" i="5"/>
  <c r="Y164" i="5"/>
  <c r="Y47" i="3"/>
  <c r="Y140" i="3" s="1"/>
  <c r="Y200" i="3"/>
  <c r="Y151" i="6"/>
  <c r="Y135" i="6"/>
  <c r="Y54" i="6"/>
  <c r="Y148" i="6"/>
  <c r="Y155" i="6"/>
  <c r="Y141" i="6"/>
  <c r="Y137" i="6"/>
  <c r="Y153" i="6"/>
  <c r="Y146" i="6"/>
  <c r="Y143" i="6"/>
  <c r="Y156" i="6"/>
  <c r="Y142" i="6"/>
  <c r="Y139" i="6"/>
  <c r="Y149" i="6"/>
  <c r="Y154" i="6"/>
  <c r="Y152" i="6"/>
  <c r="Y140" i="6"/>
  <c r="Y147" i="6"/>
  <c r="Y138" i="6"/>
  <c r="Y145" i="6"/>
  <c r="Y136" i="6"/>
  <c r="Y160" i="6"/>
  <c r="Y159" i="6"/>
  <c r="Y158" i="6"/>
  <c r="Y157" i="5"/>
  <c r="Y77" i="3"/>
  <c r="Y230" i="3"/>
  <c r="Y170" i="3" l="1"/>
  <c r="Y143" i="3"/>
  <c r="Y150" i="3"/>
  <c r="Y144" i="3"/>
  <c r="Y147" i="3"/>
  <c r="Y139" i="3"/>
  <c r="Y149" i="3"/>
  <c r="Y146" i="3"/>
  <c r="Y145" i="3"/>
  <c r="Y148" i="3"/>
  <c r="Y199" i="3"/>
  <c r="Y141" i="3"/>
  <c r="Y142" i="3"/>
  <c r="Y177" i="3"/>
  <c r="Y173" i="3"/>
  <c r="Y178" i="3"/>
  <c r="Y180" i="3"/>
  <c r="Y176" i="3"/>
  <c r="Y175" i="3"/>
  <c r="Y174" i="3"/>
  <c r="Y179" i="3"/>
  <c r="Y169" i="3"/>
  <c r="Y229" i="3"/>
  <c r="Y171" i="3"/>
  <c r="Y172" i="3"/>
</calcChain>
</file>

<file path=xl/sharedStrings.xml><?xml version="1.0" encoding="utf-8"?>
<sst xmlns="http://schemas.openxmlformats.org/spreadsheetml/2006/main" count="2657" uniqueCount="1169">
  <si>
    <t>Prepared by JRC C.6</t>
  </si>
  <si>
    <t>Legal Notice</t>
  </si>
  <si>
    <t>The information made available is property of the Joint Research Centre of the European Commission.</t>
  </si>
  <si>
    <t>Neither the European Commission nor any person acting on behalf of the Commission is responsible for the use which might be made of this information.</t>
  </si>
  <si>
    <t>Use conditions</t>
  </si>
  <si>
    <t>This work is licensed under</t>
  </si>
  <si>
    <t>CC BY 4.0</t>
  </si>
  <si>
    <t>Overview: Transport sectors</t>
  </si>
  <si>
    <t>Road transport - activity related data</t>
  </si>
  <si>
    <t>energy consumption</t>
  </si>
  <si>
    <t>CO2 emissions</t>
  </si>
  <si>
    <t>technology data</t>
  </si>
  <si>
    <t>Rail, metro and tram - activity related data</t>
  </si>
  <si>
    <t>Aviation - activity related data</t>
  </si>
  <si>
    <t>passenger transport specific data</t>
  </si>
  <si>
    <t>Coastal shipping and inland waterways - activity related data</t>
  </si>
  <si>
    <t>Click on the link to jump to the sheet</t>
  </si>
  <si>
    <t>Transport activity</t>
  </si>
  <si>
    <t>Passenger transport (mio pkm)</t>
  </si>
  <si>
    <t>Road transport</t>
  </si>
  <si>
    <t>Passenger cars</t>
  </si>
  <si>
    <t>Motor coaches, buses and trolley buses</t>
  </si>
  <si>
    <t>Rail, metro and tram</t>
  </si>
  <si>
    <t>Metro and tram, urban light rail</t>
  </si>
  <si>
    <t>Conventional passenger trains</t>
  </si>
  <si>
    <t>High speed passenger trains</t>
  </si>
  <si>
    <t>Aviation</t>
  </si>
  <si>
    <t>Domestic</t>
  </si>
  <si>
    <t>Freight transport (mio tkm)</t>
  </si>
  <si>
    <t>Rail transport</t>
  </si>
  <si>
    <t>Domestic coastal shipping</t>
  </si>
  <si>
    <t>Inland waterways</t>
  </si>
  <si>
    <t>Energy consumption (ktoe)</t>
  </si>
  <si>
    <t>Passenger transport</t>
  </si>
  <si>
    <t>Freight transport</t>
  </si>
  <si>
    <t>CO2 emissions (kt of CO2)</t>
  </si>
  <si>
    <t>Indicators</t>
  </si>
  <si>
    <t>Market shares of activity</t>
  </si>
  <si>
    <t>Passenger transport (% of pkm)</t>
  </si>
  <si>
    <t>Freight transport (% of tkm)</t>
  </si>
  <si>
    <t>Shares of total energy consumption (%)</t>
  </si>
  <si>
    <t>Shares of CO2 emissions (%)</t>
  </si>
  <si>
    <t>Energy consumption per activity</t>
  </si>
  <si>
    <t>Emission intensity</t>
  </si>
  <si>
    <t>CO2 emissions (kt CO2)</t>
  </si>
  <si>
    <t>by fuel</t>
  </si>
  <si>
    <t>Liquids</t>
  </si>
  <si>
    <t>Split of CO2 emissions (kt CO2)</t>
  </si>
  <si>
    <t>Emission factors (kt CO2 / ktoe)</t>
  </si>
  <si>
    <t>Emission intensity (kg of CO2 / 100 km)</t>
  </si>
  <si>
    <t>Emission intensity over activity (kg of CO2 / 000 tkm)</t>
  </si>
  <si>
    <t>by fuel (EUROSTAT DATA)</t>
  </si>
  <si>
    <t>Liquified petroleum gas (LPG)</t>
  </si>
  <si>
    <t>Gasoline (without biofuels)</t>
  </si>
  <si>
    <t>Gas/Diesel oil (without biofuels)</t>
  </si>
  <si>
    <t>Natural gas</t>
  </si>
  <si>
    <t>Renewable energies and wastes</t>
  </si>
  <si>
    <t>Biogas</t>
  </si>
  <si>
    <t>Biogasoline</t>
  </si>
  <si>
    <t>Biodiesel</t>
  </si>
  <si>
    <t>Other biofuels</t>
  </si>
  <si>
    <t>Total energy consumption (ktoe)</t>
  </si>
  <si>
    <t>Vehicle-efficiency (kgoe/100 km)</t>
  </si>
  <si>
    <t>Energy intensity over activity (kgoe / 000 tkm)</t>
  </si>
  <si>
    <t>Vehicle-km (mio km)</t>
  </si>
  <si>
    <t>Market shares of activity (% of tkm)</t>
  </si>
  <si>
    <t>Market shares of vehicle km (% of km)</t>
  </si>
  <si>
    <t>Number of seats available</t>
  </si>
  <si>
    <t>Seats available per flight</t>
  </si>
  <si>
    <t>Occupancy ratio (%)</t>
  </si>
  <si>
    <t>Energy consumption per seat-km (kgoe/seat-km)</t>
  </si>
  <si>
    <t>Emission intensity over activity</t>
  </si>
  <si>
    <t>CO2 emissions per flight (kg of CO2 / flight)</t>
  </si>
  <si>
    <t>Vehicle-efficiency - effective (kgoe/100 km)</t>
  </si>
  <si>
    <t>Energy intensity over activity</t>
  </si>
  <si>
    <t>Energy consumption per flight (kgoe/flight)</t>
  </si>
  <si>
    <t>Vehicle-efficiency - theoretical (kgoe/100 km)*</t>
  </si>
  <si>
    <t>Discrepancy between effective and theoretical efficiencies (ratio)</t>
  </si>
  <si>
    <t>* Theoretical efficiency is derived for the representative aircraft based on the distance travelled per flight</t>
  </si>
  <si>
    <t>Passenger transport (passengers)</t>
  </si>
  <si>
    <t>Freight transport (tonnes)</t>
  </si>
  <si>
    <t>Stock of aircrafts - total</t>
  </si>
  <si>
    <t>New aircrafts</t>
  </si>
  <si>
    <t>Load factor of flights</t>
  </si>
  <si>
    <t>Passenger transport (p/flight)</t>
  </si>
  <si>
    <t>Freight transport (t/flight)</t>
  </si>
  <si>
    <t>Passenger-km and tonne-km per flight</t>
  </si>
  <si>
    <t>Passenger transport (pkm/flight)</t>
  </si>
  <si>
    <t>Freight transport (tkm/flight)</t>
  </si>
  <si>
    <t>Flights per year by airplance</t>
  </si>
  <si>
    <t>Diesel</t>
  </si>
  <si>
    <t>Electricity</t>
  </si>
  <si>
    <t>Diesel oil</t>
  </si>
  <si>
    <t>Electric</t>
  </si>
  <si>
    <t>CO2 emissions per vehicle annum (t of CO2 / vehicle)</t>
  </si>
  <si>
    <t>Diesel oil (incl. biofuels)</t>
  </si>
  <si>
    <t>Energy consumption per vehicle annum (kgoe/vehicle)</t>
  </si>
  <si>
    <t>Stock of vehicles - total (representative train configuration)</t>
  </si>
  <si>
    <t>New vehicles - total (representative train configuration)</t>
  </si>
  <si>
    <t>Load factor of vehicles</t>
  </si>
  <si>
    <t>Passenger transport (p/movement)</t>
  </si>
  <si>
    <t>Freight transport (t/movement)</t>
  </si>
  <si>
    <t>Capacity of representative train configuration</t>
  </si>
  <si>
    <t>Passenger transport (passenger-seats)</t>
  </si>
  <si>
    <t>Occupancy / utilisation</t>
  </si>
  <si>
    <t>Vehicle-km per vehicle annum (km/vehicle)</t>
  </si>
  <si>
    <t>Passenger-km and tonne-km per vehicle annum</t>
  </si>
  <si>
    <t>Passenger transport (pkm/vehicle)</t>
  </si>
  <si>
    <t>Freight transport (tkm/vehicle)</t>
  </si>
  <si>
    <t>Stock of vehicles - total (vehicles)</t>
  </si>
  <si>
    <t>Gasoline engine</t>
  </si>
  <si>
    <t>Diesel oil engine</t>
  </si>
  <si>
    <t>LPG engine</t>
  </si>
  <si>
    <t>Natural gas engine</t>
  </si>
  <si>
    <t>Plug-in hybrid electric</t>
  </si>
  <si>
    <t>Battery electric vehicles</t>
  </si>
  <si>
    <t>International</t>
  </si>
  <si>
    <t>New vehicle-registrations</t>
  </si>
  <si>
    <t>Year of registration:</t>
  </si>
  <si>
    <t>&lt;=2000</t>
  </si>
  <si>
    <t>Test cycle efficiency of total stock (kgoe/100 km)</t>
  </si>
  <si>
    <t>Discrepancy between effective and test cycle efficiencies (ratio)</t>
  </si>
  <si>
    <t>Test cycle efficiency of new vehicles (kgoe/100 km)</t>
  </si>
  <si>
    <t>Test cycle emission intensity of total stock (g of CO2 / km)</t>
  </si>
  <si>
    <t>Discrepancy between effective and test cycle emission intensities (ratio)</t>
  </si>
  <si>
    <t>Test cycle emission intensity of new vehicles (g of CO2 / km)</t>
  </si>
  <si>
    <t>Gasoline (incl. biofuels)</t>
  </si>
  <si>
    <t>LPG</t>
  </si>
  <si>
    <t>Natural gas (incl. biogas)</t>
  </si>
  <si>
    <t>Emission intensity (g of CO2 / km)</t>
  </si>
  <si>
    <t>CO2 emissions per vehicle annum (kg of CO2 / vehicle)</t>
  </si>
  <si>
    <t>of which biofuels</t>
  </si>
  <si>
    <t>of which biogas</t>
  </si>
  <si>
    <t>of which electricity</t>
  </si>
  <si>
    <t>Vehicle-km driven (mio km)</t>
  </si>
  <si>
    <t>Stock of vehicles - in use (vehicles)</t>
  </si>
  <si>
    <t>Vehicle-km driven per vehicle annum (km/vehicle)</t>
  </si>
  <si>
    <t>Passenger-km and tonne-km driven per vehicle annum</t>
  </si>
  <si>
    <t>Number of departing flights</t>
  </si>
  <si>
    <t>Distance travelled per flight (km/flight)</t>
  </si>
  <si>
    <t>Volume carried in departing flights</t>
  </si>
  <si>
    <t>Domestic navigation</t>
  </si>
  <si>
    <t>Transport sector</t>
  </si>
  <si>
    <t>Load factor of vessels (t/movement)</t>
  </si>
  <si>
    <t>Gas oil and diesel oil (excluding biofuel portion)</t>
  </si>
  <si>
    <t>Fuel oil and Other oil products</t>
  </si>
  <si>
    <t>Blended biofuels</t>
  </si>
  <si>
    <t>Biogases</t>
  </si>
  <si>
    <t>Emission factor (kt CO2 / ktoe)</t>
  </si>
  <si>
    <t>Transport activity (Mtkm)</t>
  </si>
  <si>
    <t>Diesel oil (blend)</t>
  </si>
  <si>
    <t>Age structure in 2021</t>
  </si>
  <si>
    <t>Code</t>
  </si>
  <si>
    <t>Light commercial vehicles</t>
  </si>
  <si>
    <t>Heavy goods vehicles</t>
  </si>
  <si>
    <t>Passenger transport (kgoe / kpkm)</t>
  </si>
  <si>
    <t>Freight transport (kgoe / ktkm)</t>
  </si>
  <si>
    <t>Passenger transport  (g of CO2 / pkm)</t>
  </si>
  <si>
    <t>Freight transport  (g of CO2 / tkm)</t>
  </si>
  <si>
    <t>Freight transport (g of CO2 / tkm)</t>
  </si>
  <si>
    <t>Passenger transport (g of CO2 / pkm)</t>
  </si>
  <si>
    <t>Vehicle-km (Mkm)</t>
  </si>
  <si>
    <t>Energy intensity over activity (kgoe / ktkm)</t>
  </si>
  <si>
    <t>Emission intensity over activity (g of CO2 / tkm)</t>
  </si>
  <si>
    <t>Transport activity (mio tkm)</t>
  </si>
  <si>
    <t>International maritime bunkers - activity related data</t>
  </si>
  <si>
    <t>Intra-EEA</t>
  </si>
  <si>
    <t>Extra-EEA</t>
  </si>
  <si>
    <t>*EEA = European Economic Area (European Union + Iceland + Liechtenstein + Norway), United Kingdom excluded</t>
  </si>
  <si>
    <t>International maritime bunkers</t>
  </si>
  <si>
    <t>International maritime bunkers (mio tkm)</t>
  </si>
  <si>
    <t>International maritime bunkers (% of international tkm)</t>
  </si>
  <si>
    <t>International maritime bunkers (kgoe / ktkm)</t>
  </si>
  <si>
    <t>Powered two-wheelers</t>
  </si>
  <si>
    <t>Powered two-wheelers (Gasoline)</t>
  </si>
  <si>
    <t>excluding biofuels</t>
  </si>
  <si>
    <t>blended liquid biofuels</t>
  </si>
  <si>
    <t>Biodiesel and other biofuels</t>
  </si>
  <si>
    <t>Hydrogen</t>
  </si>
  <si>
    <t>JRC-IDEES-2023 - Integrated Database of the European Energy System</t>
  </si>
  <si>
    <t>v2023-1.00</t>
  </si>
  <si>
    <t>International - Intra-EEAwCHUK</t>
  </si>
  <si>
    <t>International - Extra-EEAwCHUK</t>
  </si>
  <si>
    <t>*EEAwCHUK = European Economic Area (European Union + Iceland + Liechtenstein + Norway), Switzerland and the United Kingdom</t>
  </si>
  <si>
    <t>**EEAwCHUK = European Economic Area (European Union + Iceland + Liechtenstein + Norway), Switzerland and the United Kingdom</t>
  </si>
  <si>
    <t>Plug-in hybrid electric (gasoline and electricity)</t>
  </si>
  <si>
    <t>Heavy goods vehicles (diesel oil incl. biofuels)</t>
  </si>
  <si>
    <t>ES</t>
  </si>
  <si>
    <t>Spain</t>
  </si>
  <si>
    <t>Aviation - ES - Spain</t>
  </si>
  <si>
    <t>Activity.Mpkm.ES.Tr.Avia.Passenger</t>
  </si>
  <si>
    <t>Activity.Mpkm.ES.Tr.Avia.Passenger.Domestic</t>
  </si>
  <si>
    <t>Activity.Mpkm.ES.Tr.Avia.Passenger.IntraEEAwCHUK</t>
  </si>
  <si>
    <t>Activity.Mpkm.ES.Tr.Avia.Passenger.ExtraEEAwCHUK</t>
  </si>
  <si>
    <t>Activity.Mtkm.ES.Tr.Avia.Freight</t>
  </si>
  <si>
    <t>Activity.Mtkm.ES.Tr.Avia.Freight.Domestic</t>
  </si>
  <si>
    <t>Activity.Mtkm.ES.Tr.Avia.Freight.IntraEEAwCHUK</t>
  </si>
  <si>
    <t>Activity.Mtkm.ES.Tr.Avia.Freight.ExtraEEAwCHUK</t>
  </si>
  <si>
    <t>VehicleKm.Mkm.ES.Tr.Avia</t>
  </si>
  <si>
    <t>VehicleKm.Mkm.ES.Tr.Avia.Passenger</t>
  </si>
  <si>
    <t>VehicleKm.Mkm.ES.Tr.Avia.Passenger.Domestic</t>
  </si>
  <si>
    <t>VehicleKm.Mkm.ES.Tr.Avia.Passenger.IntraEEAwCHUK</t>
  </si>
  <si>
    <t>VehicleKm.Mkm.ES.Tr.Avia.Passenger.ExtraEEAwCHUK</t>
  </si>
  <si>
    <t>VehicleKm.Mkm.ES.Tr.Avia.Freight</t>
  </si>
  <si>
    <t>VehicleKm.Mkm.ES.Tr.Avia.Freight.Domestic</t>
  </si>
  <si>
    <t>VehicleKm.Mkm.ES.Tr.Avia.Freight.IntraEEAwCHUK</t>
  </si>
  <si>
    <t>VehicleKm.Mkm.ES.Tr.Avia.Freight.ExtraEEAwCHUK</t>
  </si>
  <si>
    <t>Flights.number.ES.Tr.Avia</t>
  </si>
  <si>
    <t>Flights.number.ES.Tr.Avia.Passenger</t>
  </si>
  <si>
    <t>Flights.number.ES.Tr.Avia.Passenger.Domestic</t>
  </si>
  <si>
    <t>Flights.number.ES.Tr.Avia.Passenger.IntraEEAwCHUK</t>
  </si>
  <si>
    <t>Flights.number.ES.Tr.Avia.Passenger.ExtraEEAwCHUK</t>
  </si>
  <si>
    <t>Flights.number.ES.Tr.Avia.Freight</t>
  </si>
  <si>
    <t>Flights.number.ES.Tr.Avia.Freight.Domestic</t>
  </si>
  <si>
    <t>Flights.number.ES.Tr.Avia.Freight.IntraEEAwCHUK</t>
  </si>
  <si>
    <t>Flights.number.ES.Tr.Avia.Freight.ExtraEEAwCHUK</t>
  </si>
  <si>
    <t>VolCarried.passenger.ES.Tr.Avia.Passenger</t>
  </si>
  <si>
    <t>VolCarried.passenger.ES.Tr.Avia.Passenger.Domestic</t>
  </si>
  <si>
    <t>VolCarried.passenger.ES.Tr.Avia.Passenger.IntraEEAwCHUK</t>
  </si>
  <si>
    <t>VolCarried.passenger.ES.Tr.Avia.Passenger.ExtraEEAwCHUK</t>
  </si>
  <si>
    <t>VolCarried.t.ES.Tr.Avia.Freight</t>
  </si>
  <si>
    <t>VolCarried.t.ES.Tr.Avia.Freight.Domestic</t>
  </si>
  <si>
    <t>VolCarried.t.ES.Tr.Avia.Freight.IntraEEAwCHUK</t>
  </si>
  <si>
    <t>VolCarried.t.ES.Tr.Avia.Freight.ExtraEEAwCHUK</t>
  </si>
  <si>
    <t>Stock.number.ES.Tr.Avia</t>
  </si>
  <si>
    <t>Stock.number.ES.Tr.Avia.Passenger</t>
  </si>
  <si>
    <t>Stock.number.ES.Tr.Avia.Passenger.Domestic</t>
  </si>
  <si>
    <t>Stock.number.ES.Tr.Avia.Passenger.IntraEEAwCHUK</t>
  </si>
  <si>
    <t>Stock.number.ES.Tr.Avia.Passenger.ExtraEEAwCHUK</t>
  </si>
  <si>
    <t>Stock.number.ES.Tr.Avia.Freight</t>
  </si>
  <si>
    <t>Stock.number.ES.Tr.Avia.Freight.Domestic</t>
  </si>
  <si>
    <t>Stock.number.ES.Tr.Avia.Freight.IntraEEAwCHUK</t>
  </si>
  <si>
    <t>Stock.number.ES.Tr.Avia.Freight.ExtraEEAwCHUK</t>
  </si>
  <si>
    <t>StockNew.number.ES.Tr.Avia</t>
  </si>
  <si>
    <t>StockNew.number.ES.Tr.Avia.Passenger</t>
  </si>
  <si>
    <t>StockNew.number.ES.Tr.Avia.Passenger.Domestic</t>
  </si>
  <si>
    <t>StockNew.number.ES.Tr.Avia.Passenger.IntraEEAwCHUK</t>
  </si>
  <si>
    <t>StockNew.number.ES.Tr.Avia.Passenger.ExtraEEAwCHUK</t>
  </si>
  <si>
    <t>StockNew.number.ES.Tr.Avia.Freight</t>
  </si>
  <si>
    <t>StockNew.number.ES.Tr.Avia.Freight.Domestic</t>
  </si>
  <si>
    <t>StockNew.number.ES.Tr.Avia.Freight.IntraEEAwCHUK</t>
  </si>
  <si>
    <t>StockNew.number.ES.Tr.Avia.Freight.ExtraEEAwCHUK</t>
  </si>
  <si>
    <t>Load.passenger_per_movement.ES.Tr.Avia.Passenger</t>
  </si>
  <si>
    <t>Load.passenger_per_movement.ES.Tr.Avia.Passenger.Domestic</t>
  </si>
  <si>
    <t>Load.passenger_per_movement.ES.Tr.Avia.Passenger.IntraEEAwCHUK</t>
  </si>
  <si>
    <t>Load.passenger_per_movement.ES.Tr.Avia.Passenger.ExtraEEAwCHUK</t>
  </si>
  <si>
    <t>Load.t_per_movement.ES.Tr.Avia.Freight</t>
  </si>
  <si>
    <t>Load.t_per_movement.ES.Tr.Avia.Freight.Domestic</t>
  </si>
  <si>
    <t>Load.t_per_movement.ES.Tr.Avia.Freight.IntraEEAwCHUK</t>
  </si>
  <si>
    <t>Load.t_per_movement.ES.Tr.Avia.Freight.ExtraEEAwCHUK</t>
  </si>
  <si>
    <t>VehicleKm_per_flight.km.ES.Tr.Avia</t>
  </si>
  <si>
    <t>VehicleKm_per_flight.km.ES.Tr.Avia.Passenger</t>
  </si>
  <si>
    <t>VehicleKm_per_flight.km.ES.Tr.Avia.Passenger.Domestic</t>
  </si>
  <si>
    <t>VehicleKm_per_flight.km.ES.Tr.Avia.Passenger.IntraEEAwCHUK</t>
  </si>
  <si>
    <t>VehicleKm_per_flight.km.ES.Tr.Avia.Passenger.ExtraEEAwCHUK</t>
  </si>
  <si>
    <t>VehicleKm_per_flight.km.ES.Tr.Avia.Freight</t>
  </si>
  <si>
    <t>VehicleKm_per_flight.km.ES.Tr.Avia.Freight.Domestic</t>
  </si>
  <si>
    <t>VehicleKm_per_flight.km.ES.Tr.Avia.Freight.IntraEEAwCHUK</t>
  </si>
  <si>
    <t>VehicleKm_per_flight.km.ES.Tr.Avia.Freight.ExtraEEAwCHUK</t>
  </si>
  <si>
    <t>Activity_per_flight.pkm.ES.Tr.Avia.Passenger</t>
  </si>
  <si>
    <t>Activity_per_flight.pkm.ES.Tr.Avia.Passenger.Domestic</t>
  </si>
  <si>
    <t>Activity_per_flight.pkm.ES.Tr.Avia.Passenger.IntraEEAwCHUK</t>
  </si>
  <si>
    <t>Activity_per_flight.pkm.ES.Tr.Avia.Passenger.ExtraEEAwCHUK</t>
  </si>
  <si>
    <t>Activity_per_flight.tkm.ES.Tr.Avia.Freight</t>
  </si>
  <si>
    <t>Activity_per_flight.tkm.ES.Tr.Avia.Freight.Domestic</t>
  </si>
  <si>
    <t>Activity_per_flight.tkm.ES.Tr.Avia.Freight.IntraEEAwCHUK</t>
  </si>
  <si>
    <t>Activity_per_flight.tkm.ES.Tr.Avia.Freight.ExtraEEAwCHUK</t>
  </si>
  <si>
    <t>Flights_per_vehicle.number.ES.Tr.Avia</t>
  </si>
  <si>
    <t>Flights_per_vehicle.number.ES.Tr.Avia.Passenger</t>
  </si>
  <si>
    <t>Flights_per_vehicle.number.ES.Tr.Avia.Passenger.Domestic</t>
  </si>
  <si>
    <t>Flights_per_vehicle.number.ES.Tr.Avia.Passenger.IntraEEAwCHUK</t>
  </si>
  <si>
    <t>Flights_per_vehicle.number.ES.Tr.Avia.Passenger.ExtraEEAwCHUK</t>
  </si>
  <si>
    <t>Flights_per_vehicle.number.ES.Tr.Avia.Freight</t>
  </si>
  <si>
    <t>Flights_per_vehicle.number.ES.Tr.Avia.Freight.Domestic</t>
  </si>
  <si>
    <t>Flights_per_vehicle.number.ES.Tr.Avia.Freight.IntraEEAwCHUK</t>
  </si>
  <si>
    <t>Flights_per_vehicle.number.ES.Tr.Avia.Freight.ExtraEEAwCHUK</t>
  </si>
  <si>
    <t>Aviation / energy consumption - ES - Spain</t>
  </si>
  <si>
    <t>FEC.ktoe.ES.Tr.Avia</t>
  </si>
  <si>
    <t>FEC.ktoe.ES.Tr.Avia.Domestic</t>
  </si>
  <si>
    <t>FEC.ktoe.ES.Tr.Avia.International</t>
  </si>
  <si>
    <t>FEC.ktoe.ES.Tr.Avia.Passenger</t>
  </si>
  <si>
    <t>FEC.ktoe.ES.Tr.Avia.Passenger.Domestic</t>
  </si>
  <si>
    <t>FEC.ktoe.ES.Tr.Avia.Passenger.IntraEEAwCHUK</t>
  </si>
  <si>
    <t>FEC.ktoe.ES.Tr.Avia.Passenger.ExtraEEAwCHUK</t>
  </si>
  <si>
    <t>FEC.ktoe.ES.Tr.Avia.Freight</t>
  </si>
  <si>
    <t>FEC.ktoe.ES.Tr.Avia.Freight.Domestic</t>
  </si>
  <si>
    <t>FEC.ktoe.ES.Tr.Avia.Freight.IntraEEAwCHUK</t>
  </si>
  <si>
    <t>FEC.ktoe.ES.Tr.Avia.Freight.ExtraEEAwCHUK</t>
  </si>
  <si>
    <t>Eff.kgoe_per_100km.ES.Tr.Avia</t>
  </si>
  <si>
    <t>Eff.kgoe_per_100km.ES.Tr.Avia.Passenger</t>
  </si>
  <si>
    <t>Eff.kgoe_per_100km.ES.Tr.Avia.Passenger.Domestic</t>
  </si>
  <si>
    <t>Eff.kgoe_per_100km.ES.Tr.Avia.Passenger.IntraEEAwCHUK</t>
  </si>
  <si>
    <t>Eff.kgoe_per_100km.ES.Tr.Avia.Passenger.ExtraEEAwCHUK</t>
  </si>
  <si>
    <t>Eff.kgoe_per_100km.ES.Tr.Avia.Freight</t>
  </si>
  <si>
    <t>Eff.kgoe_per_100km.ES.Tr.Avia.Freight.Domestic</t>
  </si>
  <si>
    <t>Eff.kgoe_per_100km.ES.Tr.Avia.Freight.IntraEEAwCHUK</t>
  </si>
  <si>
    <t>Eff.kgoe_per_100km.ES.Tr.Avia.Freight.ExtraEEAwCHUK</t>
  </si>
  <si>
    <t>Eff.kgoe_per_kpkm.ES.Tr.Avia.Passenger</t>
  </si>
  <si>
    <t>Eff.kgoe_per_kpkm.ES.Tr.Avia.Passenger.Domestic</t>
  </si>
  <si>
    <t>Eff.kgoe_per_kpkm.ES.Tr.Avia.Passenger.IntraEEAwCHUK</t>
  </si>
  <si>
    <t>Eff.kgoe_per_kpkm.ES.Tr.Avia.Passenger.ExtraEEAwCHUK</t>
  </si>
  <si>
    <t>Eff.kgoe_per_ktkm.ES.Tr.Avia.Freight</t>
  </si>
  <si>
    <t>Eff.kgoe_per_ktkm.ES.Tr.Avia.Freight.Domestic</t>
  </si>
  <si>
    <t>Eff.kgoe_per_ktkm.ES.Tr.Avia.Freight.IntraEEAwCHUK</t>
  </si>
  <si>
    <t>Eff.kgoe_per_ktkm.ES.Tr.Avia.Freight.ExtraEEAwCHUK</t>
  </si>
  <si>
    <t>FEC_per_flight.kgoe.ES.Tr.Avia</t>
  </si>
  <si>
    <t>FEC_per_flight.kgoe.ES.Tr.Avia.Passenger</t>
  </si>
  <si>
    <t>FEC_per_flight.kgoe.ES.Tr.Avia.Passenger.Domestic</t>
  </si>
  <si>
    <t>FEC_per_flight.kgoe.ES.Tr.Avia.Passenger.IntraEEAwCHUK</t>
  </si>
  <si>
    <t>FEC_per_flight.kgoe.ES.Tr.Avia.Passenger.ExtraEEAwCHUK</t>
  </si>
  <si>
    <t>FEC_per_flight.kgoe.ES.Tr.Avia.Freight</t>
  </si>
  <si>
    <t>FEC_per_flight.kgoe.ES.Tr.Avia.Freight.Domestic</t>
  </si>
  <si>
    <t>FEC_per_flight.kgoe.ES.Tr.Avia.Freight.IntraEEAwCHUK</t>
  </si>
  <si>
    <t>FEC_per_flight.kgoe.ES.Tr.Avia.Freight.ExtraEEAwCHUK</t>
  </si>
  <si>
    <t>Eff_theor.kgoe_per_100km.ES.Tr.Avia</t>
  </si>
  <si>
    <t>Eff_theor.kgoe_per_100km.ES.Tr.Avia.Passenger</t>
  </si>
  <si>
    <t>Eff_theor.kgoe_per_100km.ES.Tr.Avia.Passenger.Domestic</t>
  </si>
  <si>
    <t>Eff_theor.kgoe_per_100km.ES.Tr.Avia.Passenger.IntraEEAwCHUK</t>
  </si>
  <si>
    <t>Eff_theor.kgoe_per_100km.ES.Tr.Avia.Passenger.ExtraEEAwCHUK</t>
  </si>
  <si>
    <t>Eff_theor.kgoe_per_100km.ES.Tr.Avia.Freight</t>
  </si>
  <si>
    <t>Eff_theor.kgoe_per_100km.ES.Tr.Avia.Freight.Domestic</t>
  </si>
  <si>
    <t>Eff_theor.kgoe_per_100km.ES.Tr.Avia.Freight.IntraEEAwCHUK</t>
  </si>
  <si>
    <t>Eff_theor.kgoe_per_100km.ES.Tr.Avia.Freight.ExtraEEAwCHUK</t>
  </si>
  <si>
    <t>Aviation / CO2 emissions - ES - Spain</t>
  </si>
  <si>
    <t>EMI.ktCO2.ES.Tr.Avia</t>
  </si>
  <si>
    <t>EMI.ktCO2.ES.Tr.Avia.Domestic</t>
  </si>
  <si>
    <t>EMI.ktCO2.ES.Tr.Avia.International</t>
  </si>
  <si>
    <t>EMI.ktCO2.ES.Tr.Avia.Passenger</t>
  </si>
  <si>
    <t>EMI.ktCO2.ES.Tr.Avia.Passenger.Domestic</t>
  </si>
  <si>
    <t>EMI.ktCO2.ES.Tr.Avia.Passenger.IntraEEAwCHUK</t>
  </si>
  <si>
    <t>EMI.ktCO2.ES.Tr.Avia.Passenger.ExtraEEAwCHUK</t>
  </si>
  <si>
    <t>EMI.ktCO2.ES.Tr.Avia.Freight</t>
  </si>
  <si>
    <t>EMI.ktCO2.ES.Tr.Avia.Freight.Domestic</t>
  </si>
  <si>
    <t>EMI.ktCO2.ES.Tr.Avia.Freight.IntraEEAwCHUK</t>
  </si>
  <si>
    <t>EMI.ktCO2.ES.Tr.Avia.Freight.ExtraEEAwCHUK</t>
  </si>
  <si>
    <t>EMIint.gCO2_per_km.ES.Tr.Avia</t>
  </si>
  <si>
    <t>EMIint.gCO2_per_km.ES.Tr.Avia.Passenger</t>
  </si>
  <si>
    <t>EMIint.gCO2_per_km.ES.Tr.Avia.Passenger.Domestic</t>
  </si>
  <si>
    <t>EMIint.gCO2_per_km.ES.Tr.Avia.Passenger.IntraEEAwCHUK</t>
  </si>
  <si>
    <t>EMIint.gCO2_per_km.ES.Tr.Avia.Passenger.ExtraEEAwCHUK</t>
  </si>
  <si>
    <t>EMIint.gCO2_per_km.ES.Tr.Avia.Freight</t>
  </si>
  <si>
    <t>EMIint.gCO2_per_km.ES.Tr.Avia.Freight.Domestic</t>
  </si>
  <si>
    <t>EMIint.gCO2_per_km.ES.Tr.Avia.Freight.IntraEEAwCHUK</t>
  </si>
  <si>
    <t>EMIint.gCO2_per_km.ES.Tr.Avia.Freight.ExtraEEAwCHUK</t>
  </si>
  <si>
    <t>EMIint.gCO2_per_pkm.ES.Tr.Avia.Passenger</t>
  </si>
  <si>
    <t>EMIint.gCO2_per_pkm.ES.Tr.Avia.Passenger.Domestic</t>
  </si>
  <si>
    <t>EMIint.gCO2_per_pkm.ES.Tr.Avia.Passenger.IntraEEAwCHUK</t>
  </si>
  <si>
    <t>EMIint.gCO2_per_pkm.ES.Tr.Avia.Passenger.ExtraEEAwCHUK</t>
  </si>
  <si>
    <t>EMIint.gCO2_per_tkm.ES.Tr.Avia.Freight</t>
  </si>
  <si>
    <t>EMIint.gCO2_per_tkm.ES.Tr.Avia.Freight.Domestic</t>
  </si>
  <si>
    <t>EMIint.gCO2_per_tkm.ES.Tr.Avia.Freight.IntraEEAwCHUK</t>
  </si>
  <si>
    <t>EMIint.gCO2_per_tkm.ES.Tr.Avia.Freight.ExtraEEAwCHUK</t>
  </si>
  <si>
    <t>EMI_per_flight.kgCO2.ES.Tr.Avia</t>
  </si>
  <si>
    <t>EMI_per_flight.kgCO2.ES.Tr.Avia.Passenger</t>
  </si>
  <si>
    <t>EMI_per_flight.kgCO2.ES.Tr.Avia.Passenger.Domestic</t>
  </si>
  <si>
    <t>EMI_per_flight.kgCO2.ES.Tr.Avia.Passenger.IntraEEAwCHUK</t>
  </si>
  <si>
    <t>EMI_per_flight.kgCO2.ES.Tr.Avia.Passenger.ExtraEEAwCHUK</t>
  </si>
  <si>
    <t>EMI_per_flight.kgCO2.ES.Tr.Avia.Freight</t>
  </si>
  <si>
    <t>EMI_per_flight.kgCO2.ES.Tr.Avia.Freight.Domestic</t>
  </si>
  <si>
    <t>EMI_per_flight.kgCO2.ES.Tr.Avia.Freight.IntraEEAwCHUK</t>
  </si>
  <si>
    <t>EMI_per_flight.kgCO2.ES.Tr.Avia.Freight.ExtraEEAwCHUK</t>
  </si>
  <si>
    <t>Aviation / passenger transport specific data - ES - Spain</t>
  </si>
  <si>
    <t>TrCap.seats.ES.Tr.Avia.Passenger</t>
  </si>
  <si>
    <t>TrCap.seats.ES.Tr.Avia.Passenger.Domestic</t>
  </si>
  <si>
    <t>TrCap.seats.ES.Tr.Avia.Passenger.IntraEEAwCHUK</t>
  </si>
  <si>
    <t>TrCap.seats.ES.Tr.Avia.Passenger.ExtraEEAwCHUK</t>
  </si>
  <si>
    <t>TrCap_per_flight.seats.ES.Tr.Avia.Passenger</t>
  </si>
  <si>
    <t>TrCap_per_flight.seats.ES.Tr.Avia.Passenger.Domestic</t>
  </si>
  <si>
    <t>TrCap_per_flight.seats.ES.Tr.Avia.Passenger.IntraEEAwCHUK</t>
  </si>
  <si>
    <t>TrCap_per_flight.seats.ES.Tr.Avia.Passenger.ExtraEEAwCHUK</t>
  </si>
  <si>
    <t>Transport overview - ES - Spain</t>
  </si>
  <si>
    <t>Activity.Mpkm.ES.Tr</t>
  </si>
  <si>
    <t>Activity.Mpkm.ES.Tr.Road.Passenger</t>
  </si>
  <si>
    <t>Activity.Mpkm.ES.Tr.Road.Passenger.P2W</t>
  </si>
  <si>
    <t>Activity.Mpkm.ES.Tr.Road.Passenger.Car</t>
  </si>
  <si>
    <t>Activity.Mpkm.ES.Tr.Road.Passenger.Bus</t>
  </si>
  <si>
    <t>Activity.Mpkm.ES.Tr.Rail.Passenger</t>
  </si>
  <si>
    <t>Activity.Mpkm.ES.Tr.Rail.Passenger.MTU</t>
  </si>
  <si>
    <t>Activity.Mpkm.ES.Tr.Rail.Passenger.CPT</t>
  </si>
  <si>
    <t>Activity.Mpkm.ES.Tr.Rail.Passenger.HST</t>
  </si>
  <si>
    <t>Activity.Mtkm.ES.Tr</t>
  </si>
  <si>
    <t>Activity.Mtkm.ES.Tr.Road.Freight</t>
  </si>
  <si>
    <t>Activity.Mtkm.ES.Tr.Road.Freight.LCV</t>
  </si>
  <si>
    <t>Activity.Mtkm.ES.Tr.Road.Freight.HGV_All</t>
  </si>
  <si>
    <t>Activity.Mtkm.ES.Tr.Rail.Freight</t>
  </si>
  <si>
    <t>Activity.Mtkm.ES.Tr.DNavi.Freight</t>
  </si>
  <si>
    <t>Activity.Mtkm.ES.Tr.DNavi.Freight.DCS</t>
  </si>
  <si>
    <t>Activity.Mtkm.ES.Tr.DNavi.Freight.IWW</t>
  </si>
  <si>
    <t>Activity.Mtkm.ES.MBunk.Freight</t>
  </si>
  <si>
    <t>Activity.Mtkm.ES.MBunk.Freight.IntraEEA</t>
  </si>
  <si>
    <t>Activity.Mtkm.ES.MBunk.Freight.ExtraEEA</t>
  </si>
  <si>
    <t>FEC.ktoe.ES.Tr.Road.Passenger</t>
  </si>
  <si>
    <t>FEC.ktoe.ES.Tr.Road.Passenger.P2W</t>
  </si>
  <si>
    <t>FEC.ktoe.ES.Tr.Road.Passenger.Car</t>
  </si>
  <si>
    <t>FEC.ktoe.ES.Tr.Road.Passenger.Bus</t>
  </si>
  <si>
    <t>FEC.ktoe.ES.Tr.Rail.Passenger</t>
  </si>
  <si>
    <t>FEC.ktoe.ES.Tr.Rail.Passenger.MTU</t>
  </si>
  <si>
    <t>FEC.ktoe.ES.Tr.Rail.Passenger.CPT</t>
  </si>
  <si>
    <t>FEC.ktoe.ES.Tr.Rail.Passenger.HST</t>
  </si>
  <si>
    <t>FEC.ktoe.ES.Tr.Road.Freight</t>
  </si>
  <si>
    <t>FEC.ktoe.ES.Tr.Road.Freight.LCV</t>
  </si>
  <si>
    <t>FEC.ktoe.ES.Tr.Road.Freight.HGV_All</t>
  </si>
  <si>
    <t>FEC.ktoe.ES.Tr.Rail.Freight</t>
  </si>
  <si>
    <t>EMI.ktCO2.ES.Tr.Road.Passenger</t>
  </si>
  <si>
    <t>EMI.ktCO2.ES.Tr.Road.Passenger.P2W</t>
  </si>
  <si>
    <t>EMI.ktCO2.ES.Tr.Road.Passenger.Car</t>
  </si>
  <si>
    <t>EMI.ktCO2.ES.Tr.Road.Passenger.Bus</t>
  </si>
  <si>
    <t>EMI.ktCO2.ES.Tr.Rail.Passenger</t>
  </si>
  <si>
    <t>EMI.ktCO2.ES.Tr.Rail.Passenger.MTU</t>
  </si>
  <si>
    <t>EMI.ktCO2.ES.Tr.Rail.Passenger.CPT</t>
  </si>
  <si>
    <t>EMI.ktCO2.ES.Tr.Rail.Passenger.HST</t>
  </si>
  <si>
    <t>EMI.ktCO2.ES.Tr.Road.Freight</t>
  </si>
  <si>
    <t>EMI.ktCO2.ES.Tr.Road.Freight.LCV</t>
  </si>
  <si>
    <t>EMI.ktCO2.ES.Tr.Road.Freight.HGV_All</t>
  </si>
  <si>
    <t>EMI.ktCO2.ES.Tr.Rail.Freight</t>
  </si>
  <si>
    <t>Eff.kgoe_per_kpkm.ES.Tr</t>
  </si>
  <si>
    <t>Eff.kgoe_per_kpkm.ES.Tr.Road.Passenger</t>
  </si>
  <si>
    <t>Eff.kgoe_per_kpkm.ES.Tr.Road.Passenger.P2W</t>
  </si>
  <si>
    <t>Eff.kgoe_per_kpkm.ES.Tr.Road.Passenger.Car</t>
  </si>
  <si>
    <t>Eff.kgoe_per_kpkm.ES.Tr.Road.Passenger.Bus</t>
  </si>
  <si>
    <t>Eff.kgoe_per_kpkm.ES.Tr.Rail.Passenger</t>
  </si>
  <si>
    <t>Eff.kgoe_per_kpkm.ES.Tr.Rail.Passenger.MTU</t>
  </si>
  <si>
    <t>Eff.kgoe_per_kpkm.ES.Tr.Rail.Passenger.CPT</t>
  </si>
  <si>
    <t>Eff.kgoe_per_kpkm.ES.Tr.Rail.Passenger.HST</t>
  </si>
  <si>
    <t>Eff.kgoe_per_ktkm.ES.Tr</t>
  </si>
  <si>
    <t>Eff.kgoe_per_ktkm.ES.Tr.Road.Freight</t>
  </si>
  <si>
    <t>Eff.kgoe_per_ktkm.ES.Tr.Road.Freight.LCV</t>
  </si>
  <si>
    <t>Eff.kgoe_per_ktkm.ES.Tr.Road.Freight.HGV_All</t>
  </si>
  <si>
    <t>Eff.kgoe_per_ktkm.ES.Tr.Rail.Freight</t>
  </si>
  <si>
    <t>Eff.kgoe_per_ktkm.ES.Tr.DNavi.Freight</t>
  </si>
  <si>
    <t>Eff.kgoe_per_ktkm.ES.Tr.DNavi.Freight.DCS</t>
  </si>
  <si>
    <t>Eff.kgoe_per_ktkm.ES.Tr.DNavi.Freight.IWW</t>
  </si>
  <si>
    <t>Eff.kgoe_per_ktkm.ES.MBunk.Freight</t>
  </si>
  <si>
    <t>Eff.kgoe_per_ktkm.ES.MBunk.Freight.IntraEEA</t>
  </si>
  <si>
    <t>Eff.kgoe_per_ktkm.ES.MBunk.Freight.ExtraEEA</t>
  </si>
  <si>
    <t>EMIint.gCO2_per_pkm.ES.Tr</t>
  </si>
  <si>
    <t>EMIint.gCO2_per_pkm.ES.Tr.Road.Passenger</t>
  </si>
  <si>
    <t>EMIint.gCO2_per_pkm.ES.Tr.Road.Passenger.P2W</t>
  </si>
  <si>
    <t>EMIint.gCO2_per_pkm.ES.Tr.Road.Passenger.Car</t>
  </si>
  <si>
    <t>EMIint.gCO2_per_pkm.ES.Tr.Road.Passenger.Bus</t>
  </si>
  <si>
    <t>EMIint.gCO2_per_pkm.ES.Tr.Rail.Passenger</t>
  </si>
  <si>
    <t>EMIint.gCO2_per_pkm.ES.Tr.Rail.Passenger.MTU</t>
  </si>
  <si>
    <t>EMIint.gCO2_per_pkm.ES.Tr.Rail.Passenger.CPT</t>
  </si>
  <si>
    <t>EMIint.gCO2_per_pkm.ES.Tr.Rail.Passenger.HST</t>
  </si>
  <si>
    <t>EMIint.gCO2_per_tkm.ES.Tr</t>
  </si>
  <si>
    <t>EMIint.gCO2_per_tkm.ES.Tr.Road.Freight</t>
  </si>
  <si>
    <t>EMIint.gCO2_per_tkm.ES.Tr.Road.Freight.LCV</t>
  </si>
  <si>
    <t>EMIint.gCO2_per_tkm.ES.Tr.Road.Freight.HGV_All</t>
  </si>
  <si>
    <t>EMIint.gCO2_per_tkm.ES.Tr.Rail.Freight</t>
  </si>
  <si>
    <t>EMIint.gCO2_per_tkm.ES.Tr.DNavi.Freight</t>
  </si>
  <si>
    <t>EMIint.gCO2_per_tkm.ES.Tr.DNavi.Freight.DCS</t>
  </si>
  <si>
    <t>EMIint.gCO2_per_tkm.ES.Tr.DNavi.Freight.IWW</t>
  </si>
  <si>
    <t>EMIint.gCO2_per_tkm.ES.MBunk.Freight</t>
  </si>
  <si>
    <t>EMIint.gCO2_per_tkm.ES.MBunk.Freight.IntraEEA</t>
  </si>
  <si>
    <t>EMIint.gCO2_per_tkm.ES.MBunk.Freight.ExtraEEA</t>
  </si>
  <si>
    <t>Road transport - ES - Spain</t>
  </si>
  <si>
    <t>Activity.Mpkm.ES.Tr.Road.Passenger.Car.ICE.Gasoline</t>
  </si>
  <si>
    <t>Activity.Mpkm.ES.Tr.Road.Passenger.Car.ICE.Diesel</t>
  </si>
  <si>
    <t>Activity.Mpkm.ES.Tr.Road.Passenger.Car.ICE.LPG</t>
  </si>
  <si>
    <t>Activity.Mpkm.ES.Tr.Road.Passenger.Car.ICE.NGas</t>
  </si>
  <si>
    <t>Activity.Mpkm.ES.Tr.Road.Passenger.Car.PHEV.Gasoline</t>
  </si>
  <si>
    <t>Activity.Mpkm.ES.Tr.Road.Passenger.Car.BEV</t>
  </si>
  <si>
    <t>Activity.Mpkm.ES.Tr.Road.Passenger.Bus.ICE.Gasoline</t>
  </si>
  <si>
    <t>Activity.Mpkm.ES.Tr.Road.Passenger.Bus.ICE.Diesel</t>
  </si>
  <si>
    <t>Activity.Mpkm.ES.Tr.Road.Passenger.Bus.ICE.LPG</t>
  </si>
  <si>
    <t>Activity.Mpkm.ES.Tr.Road.Passenger.Bus.ICE.NGas</t>
  </si>
  <si>
    <t>Activity.Mpkm.ES.Tr.Road.Passenger.Bus.BEV</t>
  </si>
  <si>
    <t>Activity.Mtkm.ES.Tr.Road.Freight.LCV.ICE.Gasoline</t>
  </si>
  <si>
    <t>Activity.Mtkm.ES.Tr.Road.Freight.LCV.ICE.Diesel</t>
  </si>
  <si>
    <t>Activity.Mtkm.ES.Tr.Road.Freight.LCV.ICE.LPG</t>
  </si>
  <si>
    <t>Activity.Mtkm.ES.Tr.Road.Freight.LCV.ICE.NGas</t>
  </si>
  <si>
    <t>Activity.Mtkm.ES.Tr.Road.Freight.LCV.BEV</t>
  </si>
  <si>
    <t>Activity.Mtkm.ES.Tr.Road.Freight.HGV_Domestic</t>
  </si>
  <si>
    <t>Activity.Mtkm.ES.Tr.Road.Freight.HGV_International</t>
  </si>
  <si>
    <t>VehicleKm.Mkm.ES.Tr.Road</t>
  </si>
  <si>
    <t>VehicleKm.Mkm.ES.Tr.Road.Passenger</t>
  </si>
  <si>
    <t>VehicleKm.Mkm.ES.Tr.Road.Passenger.P2W</t>
  </si>
  <si>
    <t>VehicleKm.Mkm.ES.Tr.Road.Passenger.Car</t>
  </si>
  <si>
    <t>VehicleKm.Mkm.ES.Tr.Road.Passenger.Car.ICE.Gasoline</t>
  </si>
  <si>
    <t>VehicleKm.Mkm.ES.Tr.Road.Passenger.Car.ICE.Diesel</t>
  </si>
  <si>
    <t>VehicleKm.Mkm.ES.Tr.Road.Passenger.Car.ICE.LPG</t>
  </si>
  <si>
    <t>VehicleKm.Mkm.ES.Tr.Road.Passenger.Car.ICE.NGas</t>
  </si>
  <si>
    <t>VehicleKm.Mkm.ES.Tr.Road.Passenger.Car.PHEV.Gasoline</t>
  </si>
  <si>
    <t>VehicleKm.Mkm.ES.Tr.Road.Passenger.Car.BEV</t>
  </si>
  <si>
    <t>VehicleKm.Mkm.ES.Tr.Road.Passenger.Bus</t>
  </si>
  <si>
    <t>VehicleKm.Mkm.ES.Tr.Road.Passenger.Bus.ICE.Gasoline</t>
  </si>
  <si>
    <t>VehicleKm.Mkm.ES.Tr.Road.Passenger.Bus.ICE.Diesel</t>
  </si>
  <si>
    <t>VehicleKm.Mkm.ES.Tr.Road.Passenger.Bus.ICE.LPG</t>
  </si>
  <si>
    <t>VehicleKm.Mkm.ES.Tr.Road.Passenger.Bus.ICE.NGas</t>
  </si>
  <si>
    <t>VehicleKm.Mkm.ES.Tr.Road.Passenger.Bus.BEV</t>
  </si>
  <si>
    <t>VehicleKm.Mkm.ES.Tr.Road.Freight</t>
  </si>
  <si>
    <t>VehicleKm.Mkm.ES.Tr.Road.Freight.LCV</t>
  </si>
  <si>
    <t>VehicleKm.Mkm.ES.Tr.Road.Freight.LCV.ICE.Gasoline</t>
  </si>
  <si>
    <t>VehicleKm.Mkm.ES.Tr.Road.Freight.LCV.ICE.Diesel</t>
  </si>
  <si>
    <t>VehicleKm.Mkm.ES.Tr.Road.Freight.LCV.ICE.LPG</t>
  </si>
  <si>
    <t>VehicleKm.Mkm.ES.Tr.Road.Freight.LCV.ICE.NGas</t>
  </si>
  <si>
    <t>VehicleKm.Mkm.ES.Tr.Road.Freight.LCV.BEV</t>
  </si>
  <si>
    <t>VehicleKm.Mkm.ES.Tr.Road.Freight.HGV_All</t>
  </si>
  <si>
    <t>VehicleKm.Mkm.ES.Tr.Road.Freight.HGV_Domestic</t>
  </si>
  <si>
    <t>VehicleKm.Mkm.ES.Tr.Road.Freight.HGV_International</t>
  </si>
  <si>
    <t>Stock.number.ES.Tr.Road</t>
  </si>
  <si>
    <t>Stock.number.ES.Tr.Road.Passenger</t>
  </si>
  <si>
    <t>Stock.number.ES.Tr.Road.Passenger.P2W</t>
  </si>
  <si>
    <t>Stock.number.ES.Tr.Road.Passenger.Car</t>
  </si>
  <si>
    <t>Stock.number.ES.Tr.Road.Passenger.Car.ICE.Gasoline</t>
  </si>
  <si>
    <t>Stock.number.ES.Tr.Road.Passenger.Car.ICE.Diesel</t>
  </si>
  <si>
    <t>Stock.number.ES.Tr.Road.Passenger.Car.ICE.LPG</t>
  </si>
  <si>
    <t>Stock.number.ES.Tr.Road.Passenger.Car.ICE.NGas</t>
  </si>
  <si>
    <t>Stock.number.ES.Tr.Road.Passenger.Car.PHEV.Gasoline</t>
  </si>
  <si>
    <t>Stock.number.ES.Tr.Road.Passenger.Car.BEV</t>
  </si>
  <si>
    <t>Stock.number.ES.Tr.Road.Passenger.Bus</t>
  </si>
  <si>
    <t>Stock.number.ES.Tr.Road.Passenger.Bus.ICE.Gasoline</t>
  </si>
  <si>
    <t>Stock.number.ES.Tr.Road.Passenger.Bus.ICE.Diesel</t>
  </si>
  <si>
    <t>Stock.number.ES.Tr.Road.Passenger.Bus.ICE.LPG</t>
  </si>
  <si>
    <t>Stock.number.ES.Tr.Road.Passenger.Bus.ICE.NGas</t>
  </si>
  <si>
    <t>Stock.number.ES.Tr.Road.Passenger.Bus.BEV</t>
  </si>
  <si>
    <t>Stock.number.ES.Tr.Road.Freight</t>
  </si>
  <si>
    <t>Stock.number.ES.Tr.Road.Freight.LCV</t>
  </si>
  <si>
    <t>Stock.number.ES.Tr.Road.Freight.LCV.ICE.Gasoline</t>
  </si>
  <si>
    <t>Stock.number.ES.Tr.Road.Freight.LCV.ICE.Diesel</t>
  </si>
  <si>
    <t>Stock.number.ES.Tr.Road.Freight.LCV.ICE.LPG</t>
  </si>
  <si>
    <t>Stock.number.ES.Tr.Road.Freight.LCV.ICE.NGas</t>
  </si>
  <si>
    <t>Stock.number.ES.Tr.Road.Freight.LCV.BEV</t>
  </si>
  <si>
    <t>Stock.number.ES.Tr.Road.Freight.HGV_All</t>
  </si>
  <si>
    <t>Stock.number.ES.Tr.Road.Freight.HGV_Domestic</t>
  </si>
  <si>
    <t>Stock.number.ES.Tr.Road.Freight.HGV_International</t>
  </si>
  <si>
    <t>StockNew.number.ES.Tr.Road</t>
  </si>
  <si>
    <t>StockNew.number.ES.Tr.Road.Passenger</t>
  </si>
  <si>
    <t>StockNew.number.ES.Tr.Road.Passenger.P2W</t>
  </si>
  <si>
    <t>StockNew.number.ES.Tr.Road.Passenger.Car</t>
  </si>
  <si>
    <t>StockNew.number.ES.Tr.Road.Passenger.Car.ICE.Gasoline</t>
  </si>
  <si>
    <t>StockNew.number.ES.Tr.Road.Passenger.Car.ICE.Diesel</t>
  </si>
  <si>
    <t>StockNew.number.ES.Tr.Road.Passenger.Car.ICE.LPG</t>
  </si>
  <si>
    <t>StockNew.number.ES.Tr.Road.Passenger.Car.ICE.NGas</t>
  </si>
  <si>
    <t>StockNew.number.ES.Tr.Road.Passenger.Car.PHEV.Gasoline</t>
  </si>
  <si>
    <t>StockNew.number.ES.Tr.Road.Passenger.Car.BEV</t>
  </si>
  <si>
    <t>StockNew.number.ES.Tr.Road.Passenger.Bus</t>
  </si>
  <si>
    <t>StockNew.number.ES.Tr.Road.Passenger.Bus.ICE.Gasoline</t>
  </si>
  <si>
    <t>StockNew.number.ES.Tr.Road.Passenger.Bus.ICE.Diesel</t>
  </si>
  <si>
    <t>StockNew.number.ES.Tr.Road.Passenger.Bus.ICE.LPG</t>
  </si>
  <si>
    <t>StockNew.number.ES.Tr.Road.Passenger.Bus.ICE.NGas</t>
  </si>
  <si>
    <t>StockNew.number.ES.Tr.Road.Passenger.Bus.BEV</t>
  </si>
  <si>
    <t>StockNew.number.ES.Tr.Road.Freight</t>
  </si>
  <si>
    <t>StockNew.number.ES.Tr.Road.Freight.LCV</t>
  </si>
  <si>
    <t>StockNew.number.ES.Tr.Road.Freight.LCV.ICE.Gasoline</t>
  </si>
  <si>
    <t>StockNew.number.ES.Tr.Road.Freight.LCV.ICE.Diesel</t>
  </si>
  <si>
    <t>StockNew.number.ES.Tr.Road.Freight.LCV.ICE.LPG</t>
  </si>
  <si>
    <t>StockNew.number.ES.Tr.Road.Freight.LCV.ICE.NGas</t>
  </si>
  <si>
    <t>StockNew.number.ES.Tr.Road.Freight.LCV.BEV</t>
  </si>
  <si>
    <t>StockNew.number.ES.Tr.Road.Freight.HGV_All</t>
  </si>
  <si>
    <t>StockNew.number.ES.Tr.Road.Freight.HGV_Domestic</t>
  </si>
  <si>
    <t>StockNew.number.ES.Tr.Road.Freight.HGV_International</t>
  </si>
  <si>
    <t>Load.passenger_per_movement.ES.Tr.Road.Passenger</t>
  </si>
  <si>
    <t>Load.passenger_per_movement.ES.Tr.Road.Passenger.P2W</t>
  </si>
  <si>
    <t>Load.passenger_per_movement.ES.Tr.Road.Passenger.Car</t>
  </si>
  <si>
    <t>Load.passenger_per_movement.ES.Tr.Road.Passenger.Car.ICE.Gasoline</t>
  </si>
  <si>
    <t>Load.passenger_per_movement.ES.Tr.Road.Passenger.Car.ICE.Diesel</t>
  </si>
  <si>
    <t>Load.passenger_per_movement.ES.Tr.Road.Passenger.Car.ICE.LPG</t>
  </si>
  <si>
    <t>Load.passenger_per_movement.ES.Tr.Road.Passenger.Car.ICE.NGas</t>
  </si>
  <si>
    <t>Load.passenger_per_movement.ES.Tr.Road.Passenger.Car.PHEV.Gasoline</t>
  </si>
  <si>
    <t>Load.passenger_per_movement.ES.Tr.Road.Passenger.Car.BEV</t>
  </si>
  <si>
    <t>Load.passenger_per_movement.ES.Tr.Road.Passenger.Bus</t>
  </si>
  <si>
    <t>Load.passenger_per_movement.ES.Tr.Road.Passenger.Bus.ICE.Gasoline</t>
  </si>
  <si>
    <t>Load.passenger_per_movement.ES.Tr.Road.Passenger.Bus.ICE.Diesel</t>
  </si>
  <si>
    <t>Load.passenger_per_movement.ES.Tr.Road.Passenger.Bus.ICE.LPG</t>
  </si>
  <si>
    <t>Load.passenger_per_movement.ES.Tr.Road.Passenger.Bus.ICE.NGas</t>
  </si>
  <si>
    <t>Load.passenger_per_movement.ES.Tr.Road.Passenger.Bus.BEV</t>
  </si>
  <si>
    <t>Load.t_per_movement.ES.Tr.Road.Freight</t>
  </si>
  <si>
    <t>Load.t_per_movement.ES.Tr.Road.Freight.LCV</t>
  </si>
  <si>
    <t>Load.t_per_movement.ES.Tr.Road.Freight.LCV.ICE.Gasoline</t>
  </si>
  <si>
    <t>Load.t_per_movement.ES.Tr.Road.Freight.LCV.ICE.Diesel</t>
  </si>
  <si>
    <t>Load.t_per_movement.ES.Tr.Road.Freight.LCV.ICE.LPG</t>
  </si>
  <si>
    <t>Load.t_per_movement.ES.Tr.Road.Freight.LCV.ICE.NGas</t>
  </si>
  <si>
    <t>Load.t_per_movement.ES.Tr.Road.Freight.LCV.BEV</t>
  </si>
  <si>
    <t>Load.t_per_movement.ES.Tr.Road.Freight.HGV_All</t>
  </si>
  <si>
    <t>Load.t_per_movement.ES.Tr.Road.Freight.HGV_Domestic</t>
  </si>
  <si>
    <t>Load.t_per_movement.ES.Tr.Road.Freight.HGV_International</t>
  </si>
  <si>
    <t>VehicleKm_per_vehicle.km.ES.Tr.Road</t>
  </si>
  <si>
    <t>VehicleKm_per_vehicle.km.ES.Tr.Road.Passenger</t>
  </si>
  <si>
    <t>VehicleKm_per_vehicle.km.ES.Tr.Road.Passenger.P2W</t>
  </si>
  <si>
    <t>VehicleKm_per_vehicle.km.ES.Tr.Road.Passenger.Car</t>
  </si>
  <si>
    <t>VehicleKm_per_vehicle.km.ES.Tr.Road.Passenger.Car.ICE.Gasoline</t>
  </si>
  <si>
    <t>VehicleKm_per_vehicle.km.ES.Tr.Road.Passenger.Car.ICE.Diesel</t>
  </si>
  <si>
    <t>VehicleKm_per_vehicle.km.ES.Tr.Road.Passenger.Car.ICE.LPG</t>
  </si>
  <si>
    <t>VehicleKm_per_vehicle.km.ES.Tr.Road.Passenger.Car.ICE.NGas</t>
  </si>
  <si>
    <t>VehicleKm_per_vehicle.km.ES.Tr.Road.Passenger.Car.PHEV.Gasoline</t>
  </si>
  <si>
    <t>VehicleKm_per_vehicle.km.ES.Tr.Road.Passenger.Car.BEV</t>
  </si>
  <si>
    <t>VehicleKm_per_vehicle.km.ES.Tr.Road.Passenger.Bus</t>
  </si>
  <si>
    <t>VehicleKm_per_vehicle.km.ES.Tr.Road.Passenger.Bus.ICE.Gasoline</t>
  </si>
  <si>
    <t>VehicleKm_per_vehicle.km.ES.Tr.Road.Passenger.Bus.ICE.Diesel</t>
  </si>
  <si>
    <t>VehicleKm_per_vehicle.km.ES.Tr.Road.Passenger.Bus.ICE.LPG</t>
  </si>
  <si>
    <t>VehicleKm_per_vehicle.km.ES.Tr.Road.Passenger.Bus.ICE.NGas</t>
  </si>
  <si>
    <t>VehicleKm_per_vehicle.km.ES.Tr.Road.Passenger.Bus.BEV</t>
  </si>
  <si>
    <t>VehicleKm_per_vehicle.km.ES.Tr.Road.Freight</t>
  </si>
  <si>
    <t>VehicleKm_per_vehicle.km.ES.Tr.Road.Freight.LCV</t>
  </si>
  <si>
    <t>VehicleKm_per_vehicle.km.ES.Tr.Road.Freight.LCV.ICE.Gasoline</t>
  </si>
  <si>
    <t>VehicleKm_per_vehicle.km.ES.Tr.Road.Freight.LCV.ICE.Diesel</t>
  </si>
  <si>
    <t>VehicleKm_per_vehicle.km.ES.Tr.Road.Freight.LCV.ICE.LPG</t>
  </si>
  <si>
    <t>VehicleKm_per_vehicle.km.ES.Tr.Road.Freight.LCV.ICE.NGas</t>
  </si>
  <si>
    <t>VehicleKm_per_vehicle.km.ES.Tr.Road.Freight.LCV.BEV</t>
  </si>
  <si>
    <t>VehicleKm_per_vehicle.km.ES.Tr.Road.Freight.HGV_All</t>
  </si>
  <si>
    <t>VehicleKm_per_vehicle.km.ES.Tr.Road.Freight.HGV_Domestic</t>
  </si>
  <si>
    <t>VehicleKm_per_vehicle.km.ES.Tr.Road.Freight.HGV_International</t>
  </si>
  <si>
    <t>Activity_per_vehicle.pkm.ES.Tr.Road.Passenger</t>
  </si>
  <si>
    <t>Activity_per_vehicle.pkm.ES.Tr.Road.Passenger.P2W</t>
  </si>
  <si>
    <t>Activity_per_vehicle.pkm.ES.Tr.Road.Passenger.Car</t>
  </si>
  <si>
    <t>Activity_per_vehicle.pkm.ES.Tr.Road.Passenger.Car.ICE.Gasoline</t>
  </si>
  <si>
    <t>Activity_per_vehicle.pkm.ES.Tr.Road.Passenger.Car.ICE.Diesel</t>
  </si>
  <si>
    <t>Activity_per_vehicle.pkm.ES.Tr.Road.Passenger.Car.ICE.LPG</t>
  </si>
  <si>
    <t>Activity_per_vehicle.pkm.ES.Tr.Road.Passenger.Car.ICE.NGas</t>
  </si>
  <si>
    <t>Activity_per_vehicle.pkm.ES.Tr.Road.Passenger.Car.PHEV.Gasoline</t>
  </si>
  <si>
    <t>Activity_per_vehicle.pkm.ES.Tr.Road.Passenger.Car.BEV</t>
  </si>
  <si>
    <t>Activity_per_vehicle.pkm.ES.Tr.Road.Passenger.Bus</t>
  </si>
  <si>
    <t>Activity_per_vehicle.pkm.ES.Tr.Road.Passenger.Bus.ICE.Gasoline</t>
  </si>
  <si>
    <t>Activity_per_vehicle.pkm.ES.Tr.Road.Passenger.Bus.ICE.Diesel</t>
  </si>
  <si>
    <t>Activity_per_vehicle.pkm.ES.Tr.Road.Passenger.Bus.ICE.LPG</t>
  </si>
  <si>
    <t>Activity_per_vehicle.pkm.ES.Tr.Road.Passenger.Bus.ICE.NGas</t>
  </si>
  <si>
    <t>Activity_per_vehicle.pkm.ES.Tr.Road.Passenger.Bus.BEV</t>
  </si>
  <si>
    <t>Activity_per_vehicle.tkm.ES.Tr.Road.Freight</t>
  </si>
  <si>
    <t>Activity_per_vehicle.tkm.ES.Tr.Road.Freight.LCV</t>
  </si>
  <si>
    <t>Activity_per_vehicle.tkm.ES.Tr.Road.Freight.LCV.ICE.Gasoline</t>
  </si>
  <si>
    <t>Activity_per_vehicle.tkm.ES.Tr.Road.Freight.LCV.ICE.Diesel</t>
  </si>
  <si>
    <t>Activity_per_vehicle.tkm.ES.Tr.Road.Freight.LCV.ICE.LPG</t>
  </si>
  <si>
    <t>Activity_per_vehicle.tkm.ES.Tr.Road.Freight.LCV.ICE.NGas</t>
  </si>
  <si>
    <t>Activity_per_vehicle.tkm.ES.Tr.Road.Freight.LCV.BEV</t>
  </si>
  <si>
    <t>Activity_per_vehicle.tkm.ES.Tr.Road.Freight.HGV_All</t>
  </si>
  <si>
    <t>Activity_per_vehicle.tkm.ES.Tr.Road.Freight.HGV_Domestic</t>
  </si>
  <si>
    <t>Activity_per_vehicle.tkm.ES.Tr.Road.Freight.HGV_International</t>
  </si>
  <si>
    <t>Road transport / energy consumption - ES - Spain</t>
  </si>
  <si>
    <t>FEC.ktoe.ES.ES.Tr.Road</t>
  </si>
  <si>
    <t>FEC.ktoe.ES.ES.Tr.Road.LPG</t>
  </si>
  <si>
    <t>FEC.ktoe.ES.ES.Tr.Road.Gasoline</t>
  </si>
  <si>
    <t>FEC.ktoe.ES.ES.Tr.Road.Diesel</t>
  </si>
  <si>
    <t>FEC.ktoe.ES.ES.Tr.Road.NG</t>
  </si>
  <si>
    <t>FEC.ktoe.ES.ES.Tr.Road.Biogas</t>
  </si>
  <si>
    <t>FEC.ktoe.ES.ES.Tr.Road.Biogasoline</t>
  </si>
  <si>
    <t>FEC.ktoe.ES.ES.Tr.Road.Biodiesel</t>
  </si>
  <si>
    <t>FEC.ktoe.ES.ES.Tr.Road.OthLiqBio</t>
  </si>
  <si>
    <t>FEC.ktoe.ES.ES.Tr.Road.Elec</t>
  </si>
  <si>
    <t>FEC.ktoe.ES.Tr.Road</t>
  </si>
  <si>
    <t>FEC.ktoe.ES.Tr.Road.Passenger.P2W.Total.Total.Biogasoline</t>
  </si>
  <si>
    <t>FEC.ktoe.ES.Tr.Road.Passenger.Car.ICE.Gasoline</t>
  </si>
  <si>
    <t>FEC.ktoe.ES.Tr.Road.Passenger.Car.ICE.Gasoline.Biogasoline</t>
  </si>
  <si>
    <t>FEC.ktoe.ES.Tr.Road.Passenger.Car.ICE.Diesel</t>
  </si>
  <si>
    <t>FEC.ktoe.ES.Tr.Road.Passenger.Car.ICE.Diesel.BioDiesel_OthLiqBio</t>
  </si>
  <si>
    <t>FEC.ktoe.ES.Tr.Road.Passenger.Car.ICE.LPG</t>
  </si>
  <si>
    <t>FEC.ktoe.ES.Tr.Road.Passenger.Car.ICE.NGas</t>
  </si>
  <si>
    <t>FEC.ktoe.ES.Tr.Road.Passenger.Car.ICE.NGas.Biogas</t>
  </si>
  <si>
    <t>FEC.ktoe.ES.Tr.Road.Passenger.Car.PHEV.Gasoline</t>
  </si>
  <si>
    <t>FEC.ktoe.ES.Tr.Road.Passenger.Car.PHEV.Gasoline.Biogasoline</t>
  </si>
  <si>
    <t>FEC.ktoe.ES.Tr.Road.Passenger.Car.PHEV.Gasoline.Elec</t>
  </si>
  <si>
    <t>FEC.ktoe.ES.Tr.Road.Passenger.Car.BEV</t>
  </si>
  <si>
    <t>FEC.ktoe.ES.Tr.Road.Passenger.Bus.ICE.Gasoline</t>
  </si>
  <si>
    <t>FEC.ktoe.ES.Tr.Road.Passenger.Bus.ICE.Gasoline.Biogasoline</t>
  </si>
  <si>
    <t>FEC.ktoe.ES.Tr.Road.Passenger.Bus.ICE.Diesel</t>
  </si>
  <si>
    <t>FEC.ktoe.ES.Tr.Road.Passenger.Bus.ICE.Diesel.BioDiesel_OthLiqBio</t>
  </si>
  <si>
    <t>FEC.ktoe.ES.Tr.Road.Passenger.Bus.ICE.LPG</t>
  </si>
  <si>
    <t>FEC.ktoe.ES.Tr.Road.Passenger.Bus.ICE.NGas</t>
  </si>
  <si>
    <t>FEC.ktoe.ES.Tr.Road.Passenger.Bus.ICE.NGas.Biogas</t>
  </si>
  <si>
    <t>FEC.ktoe.ES.Tr.Road.Passenger.Bus.BEV</t>
  </si>
  <si>
    <t>FEC.ktoe.ES.Tr.Road.Freight.LCV.ICE.Gasoline</t>
  </si>
  <si>
    <t>FEC.ktoe.ES.Tr.Road.Freight.LCV.ICE.Gasoline.Biogasoline</t>
  </si>
  <si>
    <t>FEC.ktoe.ES.Tr.Road.Freight.LCV.ICE.Diesel</t>
  </si>
  <si>
    <t>FEC.ktoe.ES.Tr.Road.Freight.LCV.ICE.Diesel.BioDiesel_OthLiqBio</t>
  </si>
  <si>
    <t>FEC.ktoe.ES.Tr.Road.Freight.LCV.ICE.LPG</t>
  </si>
  <si>
    <t>FEC.ktoe.ES.Tr.Road.Freight.LCV.ICE.NGas</t>
  </si>
  <si>
    <t>FEC.ktoe.ES.Tr.Road.Freight.LCV.ICE.NGas.Biogas</t>
  </si>
  <si>
    <t>FEC.ktoe.ES.Tr.Road.Freight.LCV.BEV</t>
  </si>
  <si>
    <t>FEC.ktoe.ES.Tr.Road.Freight.HGV_Domestic</t>
  </si>
  <si>
    <t>FEC.ktoe.ES.Tr.Road.Freight.HGV_Domestic.Total.Total.BioDiesel_OthLiqBio</t>
  </si>
  <si>
    <t>FEC.ktoe.ES.Tr.Road.Freight.HGV_International</t>
  </si>
  <si>
    <t>FEC.ktoe.ES.Tr.Road.Freight.HGV_International.Total.Total.BioDiesel_OthLiqBio</t>
  </si>
  <si>
    <t>Eff.kgoe_per_100km.ES.Tr.Road</t>
  </si>
  <si>
    <t>Eff.kgoe_per_100km.ES.Tr.Road.Passenger</t>
  </si>
  <si>
    <t>Eff.kgoe_per_100km.ES.Tr.Road.Passenger.P2W</t>
  </si>
  <si>
    <t>Eff.kgoe_per_100km.ES.Tr.Road.Passenger.Car</t>
  </si>
  <si>
    <t>Eff.kgoe_per_100km.ES.Tr.Road.Passenger.Car.ICE.Gasoline</t>
  </si>
  <si>
    <t>Eff.kgoe_per_100km.ES.Tr.Road.Passenger.Car.ICE.Diesel</t>
  </si>
  <si>
    <t>Eff.kgoe_per_100km.ES.Tr.Road.Passenger.Car.ICE.LPG</t>
  </si>
  <si>
    <t>Eff.kgoe_per_100km.ES.Tr.Road.Passenger.Car.ICE.NGas</t>
  </si>
  <si>
    <t>Eff.kgoe_per_100km.ES.Tr.Road.Passenger.Car.PHEV.Gasoline</t>
  </si>
  <si>
    <t>Eff.kgoe_per_100km.ES.Tr.Road.Passenger.Car.BEV</t>
  </si>
  <si>
    <t>Eff.kgoe_per_100km.ES.Tr.Road.Passenger.Bus</t>
  </si>
  <si>
    <t>Eff.kgoe_per_100km.ES.Tr.Road.Passenger.Bus.ICE.Gasoline</t>
  </si>
  <si>
    <t>Eff.kgoe_per_100km.ES.Tr.Road.Passenger.Bus.ICE.Diesel</t>
  </si>
  <si>
    <t>Eff.kgoe_per_100km.ES.Tr.Road.Passenger.Bus.ICE.LPG</t>
  </si>
  <si>
    <t>Eff.kgoe_per_100km.ES.Tr.Road.Passenger.Bus.ICE.NGas</t>
  </si>
  <si>
    <t>Eff.kgoe_per_100km.ES.Tr.Road.Passenger.Bus.BEV</t>
  </si>
  <si>
    <t>Eff.kgoe_per_100km.ES.Tr.Road.Freight</t>
  </si>
  <si>
    <t>Eff.kgoe_per_100km.ES.Tr.Road.Freight.LCV</t>
  </si>
  <si>
    <t>Eff.kgoe_per_100km.ES.Tr.Road.Freight.LCV.ICE.Gasoline</t>
  </si>
  <si>
    <t>Eff.kgoe_per_100km.ES.Tr.Road.Freight.LCV.ICE.Diesel</t>
  </si>
  <si>
    <t>Eff.kgoe_per_100km.ES.Tr.Road.Freight.LCV.ICE.LPG</t>
  </si>
  <si>
    <t>Eff.kgoe_per_100km.ES.Tr.Road.Freight.LCV.ICE.NGas</t>
  </si>
  <si>
    <t>Eff.kgoe_per_100km.ES.Tr.Road.Freight.LCV.BEV</t>
  </si>
  <si>
    <t>Eff.kgoe_per_100km.ES.Tr.Road.Freight.HGV_All</t>
  </si>
  <si>
    <t>Eff.kgoe_per_100km.ES.Tr.Road.Freight.HGV_Domestic</t>
  </si>
  <si>
    <t>Eff.kgoe_per_100km.ES.Tr.Road.Freight.HGV_International</t>
  </si>
  <si>
    <t>Eff.kgoe_per_kpkm.ES.Tr.Road.Passenger.Car.ICE.Gasoline</t>
  </si>
  <si>
    <t>Eff.kgoe_per_kpkm.ES.Tr.Road.Passenger.Car.ICE.Diesel</t>
  </si>
  <si>
    <t>Eff.kgoe_per_kpkm.ES.Tr.Road.Passenger.Car.ICE.LPG</t>
  </si>
  <si>
    <t>Eff.kgoe_per_kpkm.ES.Tr.Road.Passenger.Car.ICE.NGas</t>
  </si>
  <si>
    <t>Eff.kgoe_per_kpkm.ES.Tr.Road.Passenger.Car.PHEV.Gasoline</t>
  </si>
  <si>
    <t>Eff.kgoe_per_kpkm.ES.Tr.Road.Passenger.Car.BEV</t>
  </si>
  <si>
    <t>Eff.kgoe_per_kpkm.ES.Tr.Road.Passenger.Bus.ICE.Gasoline</t>
  </si>
  <si>
    <t>Eff.kgoe_per_kpkm.ES.Tr.Road.Passenger.Bus.ICE.Diesel</t>
  </si>
  <si>
    <t>Eff.kgoe_per_kpkm.ES.Tr.Road.Passenger.Bus.ICE.LPG</t>
  </si>
  <si>
    <t>Eff.kgoe_per_kpkm.ES.Tr.Road.Passenger.Bus.ICE.NGas</t>
  </si>
  <si>
    <t>Eff.kgoe_per_kpkm.ES.Tr.Road.Passenger.Bus.BEV</t>
  </si>
  <si>
    <t>Eff.kgoe_per_ktkm.ES.Tr.Road.Freight.LCV.ICE.Gasoline</t>
  </si>
  <si>
    <t>Eff.kgoe_per_ktkm.ES.Tr.Road.Freight.LCV.ICE.Diesel</t>
  </si>
  <si>
    <t>Eff.kgoe_per_ktkm.ES.Tr.Road.Freight.LCV.ICE.LPG</t>
  </si>
  <si>
    <t>Eff.kgoe_per_ktkm.ES.Tr.Road.Freight.LCV.ICE.NGas</t>
  </si>
  <si>
    <t>Eff.kgoe_per_ktkm.ES.Tr.Road.Freight.LCV.BEV</t>
  </si>
  <si>
    <t>Eff.kgoe_per_ktkm.ES.Tr.Road.Freight.HGV_Domestic</t>
  </si>
  <si>
    <t>Eff.kgoe_per_ktkm.ES.Tr.Road.Freight.HGV_International</t>
  </si>
  <si>
    <t>FEC_per_vehicle.kgoe.ES.Tr.Road.Passenger.P2W</t>
  </si>
  <si>
    <t>FEC_per_vehicle.kgoe.ES.Tr.Road.Passenger.Car</t>
  </si>
  <si>
    <t>FEC_per_vehicle.kgoe.ES.Tr.Road.Passenger.Car.ICE.Gasoline</t>
  </si>
  <si>
    <t>FEC_per_vehicle.kgoe.ES.Tr.Road.Passenger.Car.ICE.Diesel</t>
  </si>
  <si>
    <t>FEC_per_vehicle.kgoe.ES.Tr.Road.Passenger.Car.ICE.LPG</t>
  </si>
  <si>
    <t>FEC_per_vehicle.kgoe.ES.Tr.Road.Passenger.Car.ICE.NGas</t>
  </si>
  <si>
    <t>FEC_per_vehicle.kgoe.ES.Tr.Road.Passenger.Car.PHEV.Gasoline</t>
  </si>
  <si>
    <t>FEC_per_vehicle.kgoe.ES.Tr.Road.Passenger.Car.BEV</t>
  </si>
  <si>
    <t>FEC_per_vehicle.kgoe.ES.Tr.Road.Passenger.Bus</t>
  </si>
  <si>
    <t>FEC_per_vehicle.kgoe.ES.Tr.Road.Passenger.Bus.ICE.Gasoline</t>
  </si>
  <si>
    <t>FEC_per_vehicle.kgoe.ES.Tr.Road.Passenger.Bus.ICE.Diesel</t>
  </si>
  <si>
    <t>FEC_per_vehicle.kgoe.ES.Tr.Road.Passenger.Bus.ICE.LPG</t>
  </si>
  <si>
    <t>FEC_per_vehicle.kgoe.ES.Tr.Road.Passenger.Bus.ICE.NGas</t>
  </si>
  <si>
    <t>FEC_per_vehicle.kgoe.ES.Tr.Road.Passenger.Bus.BEV</t>
  </si>
  <si>
    <t>FEC_per_vehicle.kgoe.ES.Tr.Road.Freight.LCV</t>
  </si>
  <si>
    <t>FEC_per_vehicle.kgoe.ES.Tr.Road.Freight.LCV.ICE.Gasoline</t>
  </si>
  <si>
    <t>FEC_per_vehicle.kgoe.ES.Tr.Road.Freight.LCV.ICE.Diesel</t>
  </si>
  <si>
    <t>FEC_per_vehicle.kgoe.ES.Tr.Road.Freight.LCV.ICE.LPG</t>
  </si>
  <si>
    <t>FEC_per_vehicle.kgoe.ES.Tr.Road.Freight.LCV.ICE.NGas</t>
  </si>
  <si>
    <t>FEC_per_vehicle.kgoe.ES.Tr.Road.Freight.LCV.BEV</t>
  </si>
  <si>
    <t>FEC_per_vehicle.kgoe.ES.Tr.Road.Freight.HGV_All</t>
  </si>
  <si>
    <t>FEC_per_vehicle.kgoe.ES.Tr.Road.Freight.HGV_Domestic</t>
  </si>
  <si>
    <t>FEC_per_vehicle.kgoe.ES.Tr.Road.Freight.HGV_International</t>
  </si>
  <si>
    <t>Road transport / CO2 emissions - ES - Spain</t>
  </si>
  <si>
    <t>EMI.ktCO2.ES.ES.Tr.Road</t>
  </si>
  <si>
    <t>EMI.ktCO2.ES.ES.Tr.Road.LPG</t>
  </si>
  <si>
    <t>EMI.ktCO2.ES.ES.Tr.Road.Gasoline</t>
  </si>
  <si>
    <t>EMI.ktCO2.ES.ES.Tr.Road.Diesel</t>
  </si>
  <si>
    <t>EMI.ktCO2.ES.ES.Tr.Road.NG</t>
  </si>
  <si>
    <t>EMI.ktCO2.ES.ES.Tr.Road.Biogas</t>
  </si>
  <si>
    <t>EMI.ktCO2.ES.ES.Tr.Road.Biogasoline</t>
  </si>
  <si>
    <t>EMI.ktCO2.ES.ES.Tr.Road.Biodiesel</t>
  </si>
  <si>
    <t>EMI.ktCO2.ES.ES.Tr.Road.OthLiqBio</t>
  </si>
  <si>
    <t>EMI.ktCO2.ES.ES.Tr.Road.Elec</t>
  </si>
  <si>
    <t>EMI.ktCO2.ES.Tr.Road</t>
  </si>
  <si>
    <t>EMI.ktCO2.ES.Tr.Road.Passenger.Car.ICE.Gasoline</t>
  </si>
  <si>
    <t>EMI.ktCO2.ES.Tr.Road.Passenger.Car.ICE.Diesel</t>
  </si>
  <si>
    <t>EMI.ktCO2.ES.Tr.Road.Passenger.Car.ICE.LPG</t>
  </si>
  <si>
    <t>EMI.ktCO2.ES.Tr.Road.Passenger.Car.ICE.NGas</t>
  </si>
  <si>
    <t>EMI.ktCO2.ES.Tr.Road.Passenger.Car.PHEV.Gasoline</t>
  </si>
  <si>
    <t>EMI.ktCO2.ES.Tr.Road.Passenger.Car.BEV</t>
  </si>
  <si>
    <t>EMI.ktCO2.ES.Tr.Road.Passenger.Bus.ICE.Gasoline</t>
  </si>
  <si>
    <t>EMI.ktCO2.ES.Tr.Road.Passenger.Bus.ICE.Diesel</t>
  </si>
  <si>
    <t>EMI.ktCO2.ES.Tr.Road.Passenger.Bus.ICE.LPG</t>
  </si>
  <si>
    <t>EMI.ktCO2.ES.Tr.Road.Passenger.Bus.ICE.NGas</t>
  </si>
  <si>
    <t>EMI.ktCO2.ES.Tr.Road.Passenger.Bus.BEV</t>
  </si>
  <si>
    <t>EMI.ktCO2.ES.Tr.Road.Freight.LCV.ICE.Gasoline</t>
  </si>
  <si>
    <t>EMI.ktCO2.ES.Tr.Road.Freight.LCV.ICE.Diesel</t>
  </si>
  <si>
    <t>EMI.ktCO2.ES.Tr.Road.Freight.LCV.ICE.LPG</t>
  </si>
  <si>
    <t>EMI.ktCO2.ES.Tr.Road.Freight.LCV.ICE.NGas</t>
  </si>
  <si>
    <t>EMI.ktCO2.ES.Tr.Road.Freight.LCV.BEV</t>
  </si>
  <si>
    <t>EMI.ktCO2.ES.Tr.Road.Freight.HGV_Domestic</t>
  </si>
  <si>
    <t>EMI.ktCO2.ES.Tr.Road.Freight.HGV_International</t>
  </si>
  <si>
    <t>EMIint.gCO2_per_km.ES.Tr.Road</t>
  </si>
  <si>
    <t>EMIint.gCO2_per_km.ES.Tr.Road.Passenger</t>
  </si>
  <si>
    <t>EMIint.gCO2_per_km.ES.Tr.Road.Passenger.P2W</t>
  </si>
  <si>
    <t>EMIint.gCO2_per_km.ES.Tr.Road.Passenger.Car</t>
  </si>
  <si>
    <t>EMIint.gCO2_per_km.ES.Tr.Road.Passenger.Car.ICE.Gasoline</t>
  </si>
  <si>
    <t>EMIint.gCO2_per_km.ES.Tr.Road.Passenger.Car.ICE.Diesel</t>
  </si>
  <si>
    <t>EMIint.gCO2_per_km.ES.Tr.Road.Passenger.Car.ICE.LPG</t>
  </si>
  <si>
    <t>EMIint.gCO2_per_km.ES.Tr.Road.Passenger.Car.ICE.NGas</t>
  </si>
  <si>
    <t>EMIint.gCO2_per_km.ES.Tr.Road.Passenger.Car.PHEV.Gasoline</t>
  </si>
  <si>
    <t>EMIint.gCO2_per_km.ES.Tr.Road.Passenger.Car.BEV</t>
  </si>
  <si>
    <t>EMIint.gCO2_per_km.ES.Tr.Road.Passenger.Bus</t>
  </si>
  <si>
    <t>EMIint.gCO2_per_km.ES.Tr.Road.Passenger.Bus.ICE.Gasoline</t>
  </si>
  <si>
    <t>EMIint.gCO2_per_km.ES.Tr.Road.Passenger.Bus.ICE.Diesel</t>
  </si>
  <si>
    <t>EMIint.gCO2_per_km.ES.Tr.Road.Passenger.Bus.ICE.LPG</t>
  </si>
  <si>
    <t>EMIint.gCO2_per_km.ES.Tr.Road.Passenger.Bus.ICE.NGas</t>
  </si>
  <si>
    <t>EMIint.gCO2_per_km.ES.Tr.Road.Passenger.Bus.BEV</t>
  </si>
  <si>
    <t>EMIint.gCO2_per_km.ES.Tr.Road.Freight</t>
  </si>
  <si>
    <t>EMIint.gCO2_per_km.ES.Tr.Road.Freight.LCV</t>
  </si>
  <si>
    <t>EMIint.gCO2_per_km.ES.Tr.Road.Freight.LCV.ICE.Gasoline</t>
  </si>
  <si>
    <t>EMIint.gCO2_per_km.ES.Tr.Road.Freight.LCV.ICE.Diesel</t>
  </si>
  <si>
    <t>EMIint.gCO2_per_km.ES.Tr.Road.Freight.LCV.ICE.LPG</t>
  </si>
  <si>
    <t>EMIint.gCO2_per_km.ES.Tr.Road.Freight.LCV.ICE.NGas</t>
  </si>
  <si>
    <t>EMIint.gCO2_per_km.ES.Tr.Road.Freight.LCV.BEV</t>
  </si>
  <si>
    <t>EMIint.gCO2_per_km.ES.Tr.Road.Freight.HGV_All</t>
  </si>
  <si>
    <t>EMIint.gCO2_per_km.ES.Tr.Road.Freight.HGV_Domestic</t>
  </si>
  <si>
    <t>EMIint.gCO2_per_km.ES.Tr.Road.Freight.HGV_International</t>
  </si>
  <si>
    <t>EMIint.gCO2_per_pkm.ES.Tr.Road.Passenger.Car.ICE.Gasoline</t>
  </si>
  <si>
    <t>EMIint.gCO2_per_pkm.ES.Tr.Road.Passenger.Car.ICE.Diesel</t>
  </si>
  <si>
    <t>EMIint.gCO2_per_pkm.ES.Tr.Road.Passenger.Car.ICE.LPG</t>
  </si>
  <si>
    <t>EMIint.gCO2_per_pkm.ES.Tr.Road.Passenger.Car.ICE.NGas</t>
  </si>
  <si>
    <t>EMIint.gCO2_per_pkm.ES.Tr.Road.Passenger.Car.PHEV.Gasoline</t>
  </si>
  <si>
    <t>EMIint.gCO2_per_pkm.ES.Tr.Road.Passenger.Car.BEV</t>
  </si>
  <si>
    <t>EMIint.gCO2_per_pkm.ES.Tr.Road.Passenger.Bus.ICE.Gasoline</t>
  </si>
  <si>
    <t>EMIint.gCO2_per_pkm.ES.Tr.Road.Passenger.Bus.ICE.Diesel</t>
  </si>
  <si>
    <t>EMIint.gCO2_per_pkm.ES.Tr.Road.Passenger.Bus.ICE.LPG</t>
  </si>
  <si>
    <t>EMIint.gCO2_per_pkm.ES.Tr.Road.Passenger.Bus.ICE.NGas</t>
  </si>
  <si>
    <t>EMIint.gCO2_per_pkm.ES.Tr.Road.Passenger.Bus.BEV</t>
  </si>
  <si>
    <t>EMIint.gCO2_per_tkm.ES.Tr.Road.Freight.LCV.ICE.Gasoline</t>
  </si>
  <si>
    <t>EMIint.gCO2_per_tkm.ES.Tr.Road.Freight.LCV.ICE.Diesel</t>
  </si>
  <si>
    <t>EMIint.gCO2_per_tkm.ES.Tr.Road.Freight.LCV.ICE.LPG</t>
  </si>
  <si>
    <t>EMIint.gCO2_per_tkm.ES.Tr.Road.Freight.LCV.ICE.NGas</t>
  </si>
  <si>
    <t>EMIint.gCO2_per_tkm.ES.Tr.Road.Freight.LCV.BEV</t>
  </si>
  <si>
    <t>EMIint.gCO2_per_tkm.ES.Tr.Road.Freight.HGV_Domestic</t>
  </si>
  <si>
    <t>EMIint.gCO2_per_tkm.ES.Tr.Road.Freight.HGV_International</t>
  </si>
  <si>
    <t>EMI_per_vehicle.kgCO2.ES.Tr.Road.Passenger.P2W</t>
  </si>
  <si>
    <t>EMI_per_vehicle.kgCO2.ES.Tr.Road.Passenger.Car</t>
  </si>
  <si>
    <t>EMI_per_vehicle.kgCO2.ES.Tr.Road.Passenger.Car.ICE.Gasoline</t>
  </si>
  <si>
    <t>EMI_per_vehicle.kgCO2.ES.Tr.Road.Passenger.Car.ICE.Diesel</t>
  </si>
  <si>
    <t>EMI_per_vehicle.kgCO2.ES.Tr.Road.Passenger.Car.ICE.LPG</t>
  </si>
  <si>
    <t>EMI_per_vehicle.kgCO2.ES.Tr.Road.Passenger.Car.ICE.NGas</t>
  </si>
  <si>
    <t>EMI_per_vehicle.kgCO2.ES.Tr.Road.Passenger.Car.PHEV.Gasoline</t>
  </si>
  <si>
    <t>EMI_per_vehicle.kgCO2.ES.Tr.Road.Passenger.Car.BEV</t>
  </si>
  <si>
    <t>EMI_per_vehicle.kgCO2.ES.Tr.Road.Passenger.Bus</t>
  </si>
  <si>
    <t>EMI_per_vehicle.kgCO2.ES.Tr.Road.Passenger.Bus.ICE.Gasoline</t>
  </si>
  <si>
    <t>EMI_per_vehicle.kgCO2.ES.Tr.Road.Passenger.Bus.ICE.Diesel</t>
  </si>
  <si>
    <t>EMI_per_vehicle.kgCO2.ES.Tr.Road.Passenger.Bus.ICE.LPG</t>
  </si>
  <si>
    <t>EMI_per_vehicle.kgCO2.ES.Tr.Road.Passenger.Bus.ICE.NGas</t>
  </si>
  <si>
    <t>EMI_per_vehicle.kgCO2.ES.Tr.Road.Passenger.Bus.BEV</t>
  </si>
  <si>
    <t>EMI_per_vehicle.kgCO2.ES.Tr.Road.Freight.LCV</t>
  </si>
  <si>
    <t>EMI_per_vehicle.kgCO2.ES.Tr.Road.Freight.LCV.ICE.Gasoline</t>
  </si>
  <si>
    <t>EMI_per_vehicle.kgCO2.ES.Tr.Road.Freight.LCV.ICE.Diesel</t>
  </si>
  <si>
    <t>EMI_per_vehicle.kgCO2.ES.Tr.Road.Freight.LCV.ICE.LPG</t>
  </si>
  <si>
    <t>EMI_per_vehicle.kgCO2.ES.Tr.Road.Freight.LCV.ICE.NGas</t>
  </si>
  <si>
    <t>EMI_per_vehicle.kgCO2.ES.Tr.Road.Freight.LCV.BEV</t>
  </si>
  <si>
    <t>EMI_per_vehicle.kgCO2.ES.Tr.Road.Freight.HGV_All</t>
  </si>
  <si>
    <t>EMI_per_vehicle.kgCO2.ES.Tr.Road.Freight.HGV_Domestic</t>
  </si>
  <si>
    <t>EMI_per_vehicle.kgCO2.ES.Tr.Road.Freight.HGV_International</t>
  </si>
  <si>
    <t>Road transport / technologies - ES - Spain</t>
  </si>
  <si>
    <t>Stock.number.ES.Tr.Road.Freight.HGV_all</t>
  </si>
  <si>
    <t>StockVin.number.ES.Tr.Road</t>
  </si>
  <si>
    <t>StockVin.number.ES.Tr.Road.Passenger</t>
  </si>
  <si>
    <t>StockVin.number.ES.Tr.Road.Passenger.P2W</t>
  </si>
  <si>
    <t>StockVin.number.ES.Tr.Road.Passenger.Car</t>
  </si>
  <si>
    <t>StockVin.number.ES.Tr.Road.Passenger.Car.ICE.Gasoline</t>
  </si>
  <si>
    <t>StockVin.number.ES.Tr.Road.Passenger.Car.ICE.Diesel</t>
  </si>
  <si>
    <t>StockVin.number.ES.Tr.Road.Passenger.Car.ICE.LPG</t>
  </si>
  <si>
    <t>StockVin.number.ES.Tr.Road.Passenger.Car.ICE.NGas</t>
  </si>
  <si>
    <t>StockVin.number.ES.Tr.Road.Passenger.Car.PHEV.Gasoline</t>
  </si>
  <si>
    <t>StockVin.number.ES.Tr.Road.Passenger.Car.BEV</t>
  </si>
  <si>
    <t>StockVin.number.ES.Tr.Road.Passenger.Bus</t>
  </si>
  <si>
    <t>StockVin.number.ES.Tr.Road.Passenger.Bus.ICE.Gasoline</t>
  </si>
  <si>
    <t>StockVin.number.ES.Tr.Road.Passenger.Bus.ICE.Diesel</t>
  </si>
  <si>
    <t>StockVin.number.ES.Tr.Road.Passenger.Bus.ICE.LPG</t>
  </si>
  <si>
    <t>StockVin.number.ES.Tr.Road.Passenger.Bus.ICE.NGas</t>
  </si>
  <si>
    <t>StockVin.number.ES.Tr.Road.Passenger.Bus.BEV</t>
  </si>
  <si>
    <t>StockVin.number.ES.Tr.Road.Freight</t>
  </si>
  <si>
    <t>StockVin.number.ES.Tr.Road.Freight.LCV</t>
  </si>
  <si>
    <t>StockVin.number.ES.Tr.Road.Freight.LCV.ICE.Gasoline</t>
  </si>
  <si>
    <t>StockVin.number.ES.Tr.Road.Freight.LCV.ICE.Diesel</t>
  </si>
  <si>
    <t>StockVin.number.ES.Tr.Road.Freight.LCV.ICE.LPG</t>
  </si>
  <si>
    <t>StockVin.number.ES.Tr.Road.Freight.LCV.ICE.NGas</t>
  </si>
  <si>
    <t>StockVin.number.ES.Tr.Road.Freight.LCV.BEV</t>
  </si>
  <si>
    <t>StockVin.number.ES.Tr.Road.Freight.HGV_All</t>
  </si>
  <si>
    <t>StockVin.number.ES.Tr.Road.Freight.HGV_Domestic</t>
  </si>
  <si>
    <t>StockVin.number.ES.Tr.Road.Freight.HGV_International</t>
  </si>
  <si>
    <t>Eff_test_stock.kgoe_per_100km.ES.Tr.Road.Passenger.P2W</t>
  </si>
  <si>
    <t>Eff_test_stock.kgoe_per_100km.ES.Tr.Road.Passenger.Car</t>
  </si>
  <si>
    <t>Eff_test_stock.kgoe_per_100km.ES.Tr.Road.Passenger.Car.ICE.Gasoline</t>
  </si>
  <si>
    <t>Eff_test_stock.kgoe_per_100km.ES.Tr.Road.Passenger.Car.ICE.Diesel</t>
  </si>
  <si>
    <t>Eff_test_stock.kgoe_per_100km.ES.Tr.Road.Passenger.Car.ICE.LPG</t>
  </si>
  <si>
    <t>Eff_test_stock.kgoe_per_100km.ES.Tr.Road.Passenger.Car.ICE.NGas</t>
  </si>
  <si>
    <t>Eff_test_stock.kgoe_per_100km.ES.Tr.Road.Passenger.Car.PHEV.Gasoline</t>
  </si>
  <si>
    <t>Eff_test_stock.kgoe_per_100km.ES.Tr.Road.Passenger.Car.BEV</t>
  </si>
  <si>
    <t>Eff_test_stock.kgoe_per_100km.ES.Tr.Road.Passenger.Bus</t>
  </si>
  <si>
    <t>Eff_test_stock.kgoe_per_100km.ES.Tr.Road.Passenger.Bus.ICE.Gasoline</t>
  </si>
  <si>
    <t>Eff_test_stock.kgoe_per_100km.ES.Tr.Road.Passenger.Bus.ICE.Diesel</t>
  </si>
  <si>
    <t>Eff_test_stock.kgoe_per_100km.ES.Tr.Road.Passenger.Bus.ICE.LPG</t>
  </si>
  <si>
    <t>Eff_test_stock.kgoe_per_100km.ES.Tr.Road.Passenger.Bus.ICE.NGas</t>
  </si>
  <si>
    <t>Eff_test_stock.kgoe_per_100km.ES.Tr.Road.Passenger.Bus.BEV</t>
  </si>
  <si>
    <t>Eff_test_stock.kgoe_per_100km.ES.Tr.Road.Freight.LCV</t>
  </si>
  <si>
    <t>Eff_test_stock.kgoe_per_100km.ES.Tr.Road.Freight.LCV.ICE.Gasoline</t>
  </si>
  <si>
    <t>Eff_test_stock.kgoe_per_100km.ES.Tr.Road.Freight.LCV.ICE.Diesel</t>
  </si>
  <si>
    <t>Eff_test_stock.kgoe_per_100km.ES.Tr.Road.Freight.LCV.ICE.LPG</t>
  </si>
  <si>
    <t>Eff_test_stock.kgoe_per_100km.ES.Tr.Road.Freight.LCV.ICE.NGas</t>
  </si>
  <si>
    <t>Eff_test_stock.kgoe_per_100km.ES.Tr.Road.Freight.LCV.BEV</t>
  </si>
  <si>
    <t>Eff_test_stock.kgoe_per_100km.ES.Tr.Road.Freight.HGV_All</t>
  </si>
  <si>
    <t>Eff_test_stock.kgoe_per_100km.ES.Tr.Road.Freight.HGV_Domestic</t>
  </si>
  <si>
    <t>Eff_test_stock.kgoe_per_100km.ES.Tr.Road.Freight.HGV_International</t>
  </si>
  <si>
    <t>Eff_test_new.kgoe_per_100km.ES.Tr.Road.Passenger.P2W</t>
  </si>
  <si>
    <t>Eff_test_new.kgoe_per_100km.ES.Tr.Road.Passenger.Car</t>
  </si>
  <si>
    <t>Eff_test_new.kgoe_per_100km.ES.Tr.Road.Passenger.Car.ICE.Gasoline</t>
  </si>
  <si>
    <t>Eff_test_new.kgoe_per_100km.ES.Tr.Road.Passenger.Car.ICE.Diesel</t>
  </si>
  <si>
    <t>Eff_test_new.kgoe_per_100km.ES.Tr.Road.Passenger.Car.ICE.LPG</t>
  </si>
  <si>
    <t>Eff_test_new.kgoe_per_100km.ES.Tr.Road.Passenger.Car.ICE.NGas</t>
  </si>
  <si>
    <t>Eff_test_new.kgoe_per_100km.ES.Tr.Road.Passenger.Car.PHEV.Gasoline</t>
  </si>
  <si>
    <t>Eff_test_new.kgoe_per_100km.ES.Tr.Road.Passenger.Car.BEV</t>
  </si>
  <si>
    <t>Eff_test_new.kgoe_per_100km.ES.Tr.Road.Passenger.Bus</t>
  </si>
  <si>
    <t>Eff_test_new.kgoe_per_100km.ES.Tr.Road.Passenger.Bus.ICE.Gasoline</t>
  </si>
  <si>
    <t>Eff_test_new.kgoe_per_100km.ES.Tr.Road.Passenger.Bus.ICE.Diesel</t>
  </si>
  <si>
    <t>Eff_test_new.kgoe_per_100km.ES.Tr.Road.Passenger.Bus.ICE.LPG</t>
  </si>
  <si>
    <t>Eff_test_new.kgoe_per_100km.ES.Tr.Road.Passenger.Bus.ICE.NGas</t>
  </si>
  <si>
    <t>Eff_test_new.kgoe_per_100km.ES.Tr.Road.Passenger.Bus.BEV</t>
  </si>
  <si>
    <t>Eff_test_new.kgoe_per_100km.ES.Tr.Road.Freight.LCV</t>
  </si>
  <si>
    <t>Eff_test_new.kgoe_per_100km.ES.Tr.Road.Freight.LCV.ICE.Gasoline</t>
  </si>
  <si>
    <t>Eff_test_new.kgoe_per_100km.ES.Tr.Road.Freight.LCV.ICE.Diesel</t>
  </si>
  <si>
    <t>Eff_test_new.kgoe_per_100km.ES.Tr.Road.Freight.LCV.ICE.LPG</t>
  </si>
  <si>
    <t>Eff_test_new.kgoe_per_100km.ES.Tr.Road.Freight.LCV.ICE.NGas</t>
  </si>
  <si>
    <t>Eff_test_new.kgoe_per_100km.ES.Tr.Road.Freight.LCV.BEV</t>
  </si>
  <si>
    <t>Eff_test_new.kgoe_per_100km.ES.Tr.Road.Freight.HGV_All</t>
  </si>
  <si>
    <t>Eff_test_new.kgoe_per_100km.ES.Tr.Road.Freight.HGV_Domestic</t>
  </si>
  <si>
    <t>Eff_test_new.kgoe_per_100km.ES.Tr.Road.Freight.HGV_International</t>
  </si>
  <si>
    <t>EMIint_test_stock.gCO2_per_km.ES.Tr.Road.Passenger.P2W</t>
  </si>
  <si>
    <t>EMIint_test_stock.gCO2_per_km.ES.Tr.Road.Passenger.Car</t>
  </si>
  <si>
    <t>EMIint_test_stock.gCO2_per_km.ES.Tr.Road.Passenger.Car.ICE.Gasoline</t>
  </si>
  <si>
    <t>EMIint_test_stock.gCO2_per_km.ES.Tr.Road.Passenger.Car.ICE.Diesel</t>
  </si>
  <si>
    <t>EMIint_test_stock.gCO2_per_km.ES.Tr.Road.Passenger.Car.ICE.LPG</t>
  </si>
  <si>
    <t>EMIint_test_stock.gCO2_per_km.ES.Tr.Road.Passenger.Car.ICE.NGas</t>
  </si>
  <si>
    <t>EMIint_test_stock.gCO2_per_km.ES.Tr.Road.Passenger.Car.PHEV.Gasoline</t>
  </si>
  <si>
    <t>EMIint_test_stock.gCO2_per_km.ES.Tr.Road.Passenger.Car.BEV</t>
  </si>
  <si>
    <t>EMIint_test_stock.gCO2_per_km.ES.Tr.Road.Passenger.Bus</t>
  </si>
  <si>
    <t>EMIint_test_stock.gCO2_per_km.ES.Tr.Road.Passenger.Bus.ICE.Gasoline</t>
  </si>
  <si>
    <t>EMIint_test_stock.gCO2_per_km.ES.Tr.Road.Passenger.Bus.ICE.Diesel</t>
  </si>
  <si>
    <t>EMIint_test_stock.gCO2_per_km.ES.Tr.Road.Passenger.Bus.ICE.LPG</t>
  </si>
  <si>
    <t>EMIint_test_stock.gCO2_per_km.ES.Tr.Road.Passenger.Bus.ICE.NGas</t>
  </si>
  <si>
    <t>EMIint_test_stock.gCO2_per_km.ES.Tr.Road.Passenger.Bus.BEV</t>
  </si>
  <si>
    <t>EMIint_test_stock.gCO2_per_km.ES.Tr.Road.Freight.LCV</t>
  </si>
  <si>
    <t>EMIint_test_stock.gCO2_per_km.ES.Tr.Road.Freight.LCV.ICE.Gasoline</t>
  </si>
  <si>
    <t>EMIint_test_stock.gCO2_per_km.ES.Tr.Road.Freight.LCV.ICE.Diesel</t>
  </si>
  <si>
    <t>EMIint_test_stock.gCO2_per_km.ES.Tr.Road.Freight.LCV.ICE.LPG</t>
  </si>
  <si>
    <t>EMIint_test_stock.gCO2_per_km.ES.Tr.Road.Freight.LCV.ICE.NGas</t>
  </si>
  <si>
    <t>EMIint_test_stock.gCO2_per_km.ES.Tr.Road.Freight.LCV.BEV</t>
  </si>
  <si>
    <t>EMIint_test_stock.gCO2_per_km.ES.Tr.Road.Freight.HGV_All</t>
  </si>
  <si>
    <t>EMIint_test_stock.gCO2_per_km.ES.Tr.Road.Freight.HGV_Domestic</t>
  </si>
  <si>
    <t>EMIint_test_stock.gCO2_per_km.ES.Tr.Road.Freight.HGV_International</t>
  </si>
  <si>
    <t>EMIint_test_new.gCO2_per_km.ES.Tr.Road.Passenger.P2W</t>
  </si>
  <si>
    <t>EMIint_test_new.gCO2_per_km.ES.Tr.Road.Passenger.Car</t>
  </si>
  <si>
    <t>EMIint_test_new.gCO2_per_km.ES.Tr.Road.Passenger.Car.ICE.Gasoline</t>
  </si>
  <si>
    <t>EMIint_test_new.gCO2_per_km.ES.Tr.Road.Passenger.Car.ICE.Diesel</t>
  </si>
  <si>
    <t>EMIint_test_new.gCO2_per_km.ES.Tr.Road.Passenger.Car.ICE.LPG</t>
  </si>
  <si>
    <t>EMIint_test_new.gCO2_per_km.ES.Tr.Road.Passenger.Car.ICE.NGas</t>
  </si>
  <si>
    <t>EMIint_test_new.gCO2_per_km.ES.Tr.Road.Passenger.Car.PHEV.Gasoline</t>
  </si>
  <si>
    <t>EMIint_test_new.gCO2_per_km.ES.Tr.Road.Passenger.Car.BEV</t>
  </si>
  <si>
    <t>EMIint_test_new.gCO2_per_km.ES.Tr.Road.Passenger.Bus</t>
  </si>
  <si>
    <t>EMIint_test_new.gCO2_per_km.ES.Tr.Road.Passenger.Bus.ICE.Gasoline</t>
  </si>
  <si>
    <t>EMIint_test_new.gCO2_per_km.ES.Tr.Road.Passenger.Bus.ICE.Diesel</t>
  </si>
  <si>
    <t>EMIint_test_new.gCO2_per_km.ES.Tr.Road.Passenger.Bus.ICE.LPG</t>
  </si>
  <si>
    <t>EMIint_test_new.gCO2_per_km.ES.Tr.Road.Passenger.Bus.ICE.NGas</t>
  </si>
  <si>
    <t>EMIint_test_new.gCO2_per_km.ES.Tr.Road.Passenger.Bus.BEV</t>
  </si>
  <si>
    <t>EMIint_test_new.gCO2_per_km.ES.Tr.Road.Freight.LCV</t>
  </si>
  <si>
    <t>EMIint_test_new.gCO2_per_km.ES.Tr.Road.Freight.LCV.ICE.Gasoline</t>
  </si>
  <si>
    <t>EMIint_test_new.gCO2_per_km.ES.Tr.Road.Freight.LCV.ICE.Diesel</t>
  </si>
  <si>
    <t>EMIint_test_new.gCO2_per_km.ES.Tr.Road.Freight.LCV.ICE.LPG</t>
  </si>
  <si>
    <t>EMIint_test_new.gCO2_per_km.ES.Tr.Road.Freight.LCV.ICE.NGas</t>
  </si>
  <si>
    <t>EMIint_test_new.gCO2_per_km.ES.Tr.Road.Freight.LCV.BEV</t>
  </si>
  <si>
    <t>EMIint_test_new.gCO2_per_km.ES.Tr.Road.Freight.HGV_All</t>
  </si>
  <si>
    <t>EMIint_test_new.gCO2_per_km.ES.Tr.Road.Freight.HGV_Domestic</t>
  </si>
  <si>
    <t>EMIint_test_new.gCO2_per_km.ES.Tr.Road.Freight.HGV_International</t>
  </si>
  <si>
    <t>FEC.ktoe.ES.MBunk</t>
  </si>
  <si>
    <t>FEC.ktoe.ES.MBunk.IntraEEA</t>
  </si>
  <si>
    <t>FEC.ktoe.ES.MBunk.ExtraEEA</t>
  </si>
  <si>
    <t>EMI.ktCO2.ES.MBunk</t>
  </si>
  <si>
    <t>EMI.ktCO2.ES.MBunk.IntraEEA</t>
  </si>
  <si>
    <t>EMI.ktCO2.ES.MBunk.ExtraEEA</t>
  </si>
  <si>
    <t>International maritime bunkers - ES - Spain</t>
  </si>
  <si>
    <t>VehicleKm.Mkm.ES.MBunk.Freight</t>
  </si>
  <si>
    <t>VehicleKm.Mkm.ES.MBunk.Freight.IntraEEA</t>
  </si>
  <si>
    <t>VehicleKm.Mkm.ES.MBunk.Freight.ExtraEEA</t>
  </si>
  <si>
    <t>Load.t_per_movement.ES.MBunk.Freight</t>
  </si>
  <si>
    <t>Load.t_per_movement.ES.MBunk.Freight.IntraEEA</t>
  </si>
  <si>
    <t>Load.t_per_movement.ES.MBunk.Freight.ExtraEEA</t>
  </si>
  <si>
    <t>International maritime bunkers / energy consumption - ES - Spain</t>
  </si>
  <si>
    <t>FEC.ktoe.ES.ES.MBunk</t>
  </si>
  <si>
    <t>FEC.ktoe.ES.ES.MBunk.IntraEEA</t>
  </si>
  <si>
    <t>FEC.ktoe.ES.ES.MBunk.IntraEEA.Diesel</t>
  </si>
  <si>
    <t>FEC.ktoe.ES.ES.MBunk.IntraEEA.RFO_Other</t>
  </si>
  <si>
    <t>FEC.ktoe.ES.ES.MBunk.IntraEEA.LiqBio</t>
  </si>
  <si>
    <t>FEC.ktoe.ES.ES.MBunk.IntraEEA.NG</t>
  </si>
  <si>
    <t>FEC.ktoe.ES.ES.MBunk.IntraEEA.Biogas</t>
  </si>
  <si>
    <t>FEC.ktoe.ES.ES.MBunk.ExtraEEA</t>
  </si>
  <si>
    <t>FEC.ktoe.ES.ES.MBunk.ExtraEEA.Diesel</t>
  </si>
  <si>
    <t>FEC.ktoe.ES.ES.MBunk.ExtraEEA.RFO_Other</t>
  </si>
  <si>
    <t>FEC.ktoe.ES.ES.MBunk.ExtraEEA.LiqBio</t>
  </si>
  <si>
    <t>FEC.ktoe.ES.ES.MBunk.ExtraEEA.NG</t>
  </si>
  <si>
    <t>FEC.ktoe.ES.ES.MBunk.ExtraEEA.Biogas</t>
  </si>
  <si>
    <t>Eff.kgoe_per_100km.ES.MBunk.Freight</t>
  </si>
  <si>
    <t>Eff.kgoe_per_100km.ES.MBunk.Freight.IntraEEA</t>
  </si>
  <si>
    <t>Eff.kgoe_per_100km.ES.MBunk.Freight.ExtraEEA</t>
  </si>
  <si>
    <t>International maritime bunkers / CO2 emissions - ES - Spain</t>
  </si>
  <si>
    <t>EMI.ktCO2.ES.ES.MBunk</t>
  </si>
  <si>
    <t>EMI.ktCO2.ES.ES.MBunk.IntraEEA</t>
  </si>
  <si>
    <t>EMI.ktCO2.ES.ES.MBunk.ExtraEEA</t>
  </si>
  <si>
    <t>EMIint.gCO2_per_km.ES.MBunk.Freight</t>
  </si>
  <si>
    <t>EMIint.gCO2_per_km.ES.MBunk.Freight.IntraEEA</t>
  </si>
  <si>
    <t>EMIint.gCO2_per_km.ES.MBunk.Freight.ExtraEEA</t>
  </si>
  <si>
    <t>FEC.ktoe.ES.Tr.DNavi</t>
  </si>
  <si>
    <t>FEC.ktoe.ES.Tr.Dnavi.DCS</t>
  </si>
  <si>
    <t>FEC.ktoe.ES.Tr.Dnavi.IWW</t>
  </si>
  <si>
    <t>EMI.ktCO2.ES.Tr.DNavi</t>
  </si>
  <si>
    <t>EMI.ktCO2.ES.Tr.Dnavi.DCS</t>
  </si>
  <si>
    <t>EMI.ktCO2.ES.Tr.Dnavi.IWW</t>
  </si>
  <si>
    <t>Domestic navigation - ES - Spain</t>
  </si>
  <si>
    <t>VehicleKm.Mkm.ES.Tr.DNavi.Freight</t>
  </si>
  <si>
    <t>VehicleKm.Mkm.ES.Tr.DNavi.Freight.DCS</t>
  </si>
  <si>
    <t>VehicleKm.Mkm.ES.Tr.DNavi.Freight.IWW</t>
  </si>
  <si>
    <t>Load.t_per_movement.ES.Tr.DNavi.Freight</t>
  </si>
  <si>
    <t>Load.t_per_movement.ES.Tr.DNavi.Freight.DCS</t>
  </si>
  <si>
    <t>Load.t_per_movement.ES.Tr.DNavi.Freight.IWW</t>
  </si>
  <si>
    <t>Domestic navigation / energy consumption - ES - Spain</t>
  </si>
  <si>
    <t>FEC.ktoe.ES.ES.Tr.DNavi</t>
  </si>
  <si>
    <t>FEC.ktoe.ES.ES.Tr.DNavi.DCS</t>
  </si>
  <si>
    <t>FEC.ktoe.ES.ES.Tr.DNavi.DCS.Diesel</t>
  </si>
  <si>
    <t>FEC.ktoe.ES.ES.Tr.DNavi.DCS.RFO_Other</t>
  </si>
  <si>
    <t>FEC.ktoe.ES.ES.Tr.DNavi.DCS.LiqBio</t>
  </si>
  <si>
    <t>FEC.ktoe.ES.ES.Tr.DNavi.DCS.NG</t>
  </si>
  <si>
    <t>FEC.ktoe.ES.ES.Tr.DNavi.DCS.Biogas</t>
  </si>
  <si>
    <t>FEC.ktoe.ES.ES.Tr.DNavi.IWW</t>
  </si>
  <si>
    <t>FEC.ktoe.ES.ES.Tr.DNavi.IWW.Diesel</t>
  </si>
  <si>
    <t>FEC.ktoe.ES.ES.Tr.DNavi.IWW.RFO_Other</t>
  </si>
  <si>
    <t>FEC.ktoe.ES.ES.Tr.DNavi.IWW.LiqBio</t>
  </si>
  <si>
    <t>FEC.ktoe.ES.ES.Tr.DNavi.IWW.NG</t>
  </si>
  <si>
    <t>FEC.ktoe.ES.ES.Tr.DNavi.IWW.Biogas</t>
  </si>
  <si>
    <t>Eff.kgoe_per_100km.ES.Tr.DNavi.Freight</t>
  </si>
  <si>
    <t>Eff.kgoe_per_100km.ES.Tr.DNavi.Freight.DCS</t>
  </si>
  <si>
    <t>Eff.kgoe_per_100km.ES.Tr.DNavi.Freight.IWW</t>
  </si>
  <si>
    <t>Domestic navigation / CO2 emissions - ES - Spain</t>
  </si>
  <si>
    <t>EMI.ktCO2.ES.ES.Tr.DNavi</t>
  </si>
  <si>
    <t>EMI.ktCO2.ES.ES.Tr.DNavi.DCS</t>
  </si>
  <si>
    <t>EMI.ktCO2.ES.ES.Tr.DNavi.IWW</t>
  </si>
  <si>
    <t>EMIint.gCO2_per_km.ES.Tr.DNavi.Freight</t>
  </si>
  <si>
    <t>EMIint.gCO2_per_km.ES.Tr.DNavi.Freight.DCS</t>
  </si>
  <si>
    <t>EMIint.gCO2_per_km.ES.Tr.DNavi.Freight.IWW</t>
  </si>
  <si>
    <t>Rail, metro and tram - ES - Spain</t>
  </si>
  <si>
    <t>Activity.Mpkm.ES.Tr.Rail.Passenger.CPT.Diesel</t>
  </si>
  <si>
    <t>Activity.Mpkm.ES.Tr.Rail.Passenger.CPT.Elc</t>
  </si>
  <si>
    <t>Activity.Mtkm.ES.Tr.Rail.Freight.Diesel</t>
  </si>
  <si>
    <t>Activity.Mtkm.ES.Tr.Rail.Freight.Elc</t>
  </si>
  <si>
    <t>VehicleKm.Mkm.ES.Tr.Rail</t>
  </si>
  <si>
    <t>VehicleKm.Mkm.ES.Tr.Rail.Passenger</t>
  </si>
  <si>
    <t>VehicleKm.Mkm.ES.Tr.Rail.Passenger.MTU</t>
  </si>
  <si>
    <t>VehicleKm.Mkm.ES.Tr.Rail.Passenger.CPT</t>
  </si>
  <si>
    <t>VehicleKm.Mkm.ES.Tr.Rail.Passenger.CPT.Diesel</t>
  </si>
  <si>
    <t>VehicleKm.Mkm.ES.Tr.Rail.Passenger.CPT.Elc</t>
  </si>
  <si>
    <t>VehicleKm.Mkm.ES.Tr.Rail.Passenger.HST</t>
  </si>
  <si>
    <t>VehicleKm.Mkm.ES.Tr.Rail.Freight</t>
  </si>
  <si>
    <t>VehicleKm.Mkm.ES.Tr.Rail.Freight.Diesel</t>
  </si>
  <si>
    <t>VehicleKm.Mkm.ES.Tr.Rail.Freight.Elc</t>
  </si>
  <si>
    <t>Stock.number.ES.Tr.Rail</t>
  </si>
  <si>
    <t>Stock.number.ES.Tr.Rail.Passenger</t>
  </si>
  <si>
    <t>Stock.number.ES.Tr.Rail.Passenger.MTU</t>
  </si>
  <si>
    <t>Stock.number.ES.Tr.Rail.Passenger.CPT</t>
  </si>
  <si>
    <t>Stock.number.ES.Tr.Rail.Passenger.CPT.Diesel</t>
  </si>
  <si>
    <t>Stock.number.ES.Tr.Rail.Passenger.CPT.Elc</t>
  </si>
  <si>
    <t>Stock.number.ES.Tr.Rail.Passenger.HST</t>
  </si>
  <si>
    <t>Stock.number.ES.Tr.Rail.Freight</t>
  </si>
  <si>
    <t>Stock.number.ES.Tr.Rail.Freight.Diesel</t>
  </si>
  <si>
    <t>Stock.number.ES.Tr.Rail.Freight.Elc</t>
  </si>
  <si>
    <t>StockNew.number.ES.Tr.Rail</t>
  </si>
  <si>
    <t>StockNew.number.ES.Tr.Rail.Passenger</t>
  </si>
  <si>
    <t>StockNew.number.ES.Tr.Rail.Passenger.MTU</t>
  </si>
  <si>
    <t>StockNew.number.ES.Tr.Rail.Passenger.CPT</t>
  </si>
  <si>
    <t>StockNew.number.ES.Tr.Rail.Passenger.CPT.Diesel</t>
  </si>
  <si>
    <t>StockNew.number.ES.Tr.Rail.Passenger.CPT.Elc</t>
  </si>
  <si>
    <t>StockNew.number.ES.Tr.Rail.Passenger.HST</t>
  </si>
  <si>
    <t>StockNew.number.ES.Tr.Rail.Freight</t>
  </si>
  <si>
    <t>StockNew.number.ES.Tr.Rail.Freight.Diesel</t>
  </si>
  <si>
    <t>StockNew.number.ES.Tr.Rail.Freight.Elc</t>
  </si>
  <si>
    <t>Load.passenger_per_movement.ES.Tr.Rail.Passenger</t>
  </si>
  <si>
    <t>Load.passenger_per_movement.ES.Tr.Rail.Passenger.MTU</t>
  </si>
  <si>
    <t>Load.passenger_per_movement.ES.Tr.Rail.Passenger.CPT</t>
  </si>
  <si>
    <t>Load.passenger_per_movement.ES.Tr.Rail.Passenger.CPT.Diesel</t>
  </si>
  <si>
    <t>Load.passenger_per_movement.ES.Tr.Rail.Passenger.CPT.Elc</t>
  </si>
  <si>
    <t>Load.passenger_per_movement.ES.Tr.Rail.Passenger.HST</t>
  </si>
  <si>
    <t>Load.t_per_movement.ES.Tr.Rail.Freight</t>
  </si>
  <si>
    <t>Load.t_per_movement.ES.Tr.Rail.Freight.Diesel</t>
  </si>
  <si>
    <t>Load.t_per_movement.ES.Tr.Rail.Freight.Elc</t>
  </si>
  <si>
    <t>TrCap.seats.ES.Tr.Rail.Passenger</t>
  </si>
  <si>
    <t>TrCap.seats.ES.Tr.Rail.Passenger.MTU</t>
  </si>
  <si>
    <t>TrCap.seats.ES.Tr.Rail.Passenger.CPT</t>
  </si>
  <si>
    <t>TrCap.seats.ES.Tr.Rail.Passenger.CPT.Diesel</t>
  </si>
  <si>
    <t>TrCap.seats.ES.Tr.Rail.Passenger.CPT.Elc</t>
  </si>
  <si>
    <t>TrCap.seats.ES.Tr.Rail.Passenger.HST</t>
  </si>
  <si>
    <t>TrCap.t.ES.Tr.Rail.Freight</t>
  </si>
  <si>
    <t>TrCap.t.ES.Tr.Rail.Freight.Diesel</t>
  </si>
  <si>
    <t>TrCap.t.ES.Tr.Rail.Freight.Elc</t>
  </si>
  <si>
    <t>VehicleKm_per_vehicle.km.ES.Tr.Rail</t>
  </si>
  <si>
    <t>VehicleKm_per_vehicle.km.ES.Tr.Rail.Passenger</t>
  </si>
  <si>
    <t>VehicleKm_per_vehicle.km.ES.Tr.Rail.Passenger.MTU</t>
  </si>
  <si>
    <t>VehicleKm_per_vehicle.km.ES.Tr.Rail.Passenger.CPT</t>
  </si>
  <si>
    <t>VehicleKm_per_vehicle.km.ES.Tr.Rail.Passenger.CPT.Diesel</t>
  </si>
  <si>
    <t>VehicleKm_per_vehicle.km.ES.Tr.Rail.Passenger.CPT.Elc</t>
  </si>
  <si>
    <t>VehicleKm_per_vehicle.km.ES.Tr.Rail.Passenger.HST</t>
  </si>
  <si>
    <t>VehicleKm_per_vehicle.km.ES.Tr.Rail.Freight</t>
  </si>
  <si>
    <t>VehicleKm_per_vehicle.km.ES.Tr.Rail.Freight.Diesel</t>
  </si>
  <si>
    <t>VehicleKm_per_vehicle.km.ES.Tr.Rail.Freight.Elc</t>
  </si>
  <si>
    <t>Activity_per_vehicle.pkm.ES.Tr.Rail.Passenger</t>
  </si>
  <si>
    <t>Activity_per_vehicle.pkm.ES.Tr.Rail.Passenger.MTU</t>
  </si>
  <si>
    <t>Activity_per_vehicle.pkm.ES.Tr.Rail.Passenger.CPT</t>
  </si>
  <si>
    <t>Activity_per_vehicle.pkm.ES.Tr.Rail.Passenger.CPT.Diesel</t>
  </si>
  <si>
    <t>Activity_per_vehicle.pkm.ES.Tr.Rail.Passenger.CPT.Elc</t>
  </si>
  <si>
    <t>Activity_per_vehicle.pkm.ES.Tr.Rail.Passenger.HST</t>
  </si>
  <si>
    <t>Activity_per_vehicle.tkm.ES.Tr.Rail.Freight</t>
  </si>
  <si>
    <t>Activity_per_vehicle.tkm.ES.Tr.Rail.Freight.Diesel</t>
  </si>
  <si>
    <t>Activity_per_vehicle.tkm.ES.Tr.Rail.Freight.Elc</t>
  </si>
  <si>
    <t>Rail, metro and tram / energy consumption - ES - Spain</t>
  </si>
  <si>
    <t>FEC.ktoe.ES.ES.Tr.Rail</t>
  </si>
  <si>
    <t>FEC.ktoe.ES.ES.Tr.Rail.Diesel</t>
  </si>
  <si>
    <t>FEC.ktoe.ES.ES.Tr.Rail.LiqBio</t>
  </si>
  <si>
    <t>FEC.ktoe.ES.ES.Tr.Rail.Elec</t>
  </si>
  <si>
    <t>FEC.ktoe.ES.Tr.Rail</t>
  </si>
  <si>
    <t>FEC.ktoe.ES.Tr.Rail.Passenger.CPT.Diesel</t>
  </si>
  <si>
    <t>FEC.ktoe.ES.Tr.Rail.Passenger.CPT.Elc</t>
  </si>
  <si>
    <t>FEC.ktoe.ES.Tr.Rail.Freight.Diesel</t>
  </si>
  <si>
    <t>FEC.ktoe.ES.Tr.Rail.Freight.Elc</t>
  </si>
  <si>
    <t>Eff.kgoe_per_100km.ES.Tr.Rail</t>
  </si>
  <si>
    <t>Eff.kgoe_per_100km.ES.Tr.Rail.Passenger</t>
  </si>
  <si>
    <t>Eff.kgoe_per_100km.ES.Tr.Rail.Passenger.MTU</t>
  </si>
  <si>
    <t>Eff.kgoe_per_100km.ES.Tr.Rail.Passenger.CPT</t>
  </si>
  <si>
    <t>Eff.kgoe_per_100km.ES.Tr.Rail.Passenger.CPT.Diesel</t>
  </si>
  <si>
    <t>Eff.kgoe_per_100km.ES.Tr.Rail.Passenger.CPT.Elc</t>
  </si>
  <si>
    <t>Eff.kgoe_per_100km.ES.Tr.Rail.Passenger.HST</t>
  </si>
  <si>
    <t>Eff.kgoe_per_100km.ES.Tr.Rail.Freight</t>
  </si>
  <si>
    <t>Eff.kgoe_per_100km.ES.Tr.Rail.Freight.Diesel</t>
  </si>
  <si>
    <t>Eff.kgoe_per_100km.ES.Tr.Rail.Freight.Elc</t>
  </si>
  <si>
    <t>Eff.kgoe_per_kpkm.ES.Tr.Rail.Passenger.CPT.Diesel</t>
  </si>
  <si>
    <t>Eff.kgoe_per_kpkm.ES.Tr.Rail.Passenger.CPT.Elc</t>
  </si>
  <si>
    <t>Eff.kgoe_per_ktkm.ES.Tr.Rail.Freight.Diesel</t>
  </si>
  <si>
    <t>Eff.kgoe_per_ktkm.ES.Tr.Rail.Freight.Elc</t>
  </si>
  <si>
    <t>FEC_per_vehicle.kgoe.ES.Tr.Rail</t>
  </si>
  <si>
    <t>FEC_per_vehicle.kgoe.ES.Tr.Rail.Passenger</t>
  </si>
  <si>
    <t>FEC_per_vehicle.kgoe.ES.Tr.Rail.Passenger.MTU</t>
  </si>
  <si>
    <t>FEC_per_vehicle.kgoe.ES.Tr.Rail.Passenger.CPT</t>
  </si>
  <si>
    <t>FEC_per_vehicle.kgoe.ES.Tr.Rail.Passenger.CPT.Diesel</t>
  </si>
  <si>
    <t>FEC_per_vehicle.kgoe.ES.Tr.Rail.Passenger.CPT.Elc</t>
  </si>
  <si>
    <t>FEC_per_vehicle.kgoe.ES.Tr.Rail.Passenger.HST</t>
  </si>
  <si>
    <t>FEC_per_vehicle.kgoe.ES.Tr.Rail.Freight</t>
  </si>
  <si>
    <t>FEC_per_vehicle.kgoe.ES.Tr.Rail.Freight.Diesel</t>
  </si>
  <si>
    <t>FEC_per_vehicle.kgoe.ES.Tr.Rail.Freight.Elc</t>
  </si>
  <si>
    <t>Rail, metro and tram / CO2 emissions - ES - Spain</t>
  </si>
  <si>
    <t>EMI.ktCO2.ES.ES.Tr.Rail</t>
  </si>
  <si>
    <t>EMI.ktCO2.ES.ES.Tr.Rail.Diesel</t>
  </si>
  <si>
    <t>EMI.ktCO2.ES.ES.Tr.Rail.Elec</t>
  </si>
  <si>
    <t>EMI.ktCO2.ES.Tr.Rail</t>
  </si>
  <si>
    <t>EMI.ktCO2.ES.Tr.Rail.Passenger.CPT.Diesel</t>
  </si>
  <si>
    <t>EMI.ktCO2.ES.Tr.Rail.Passenger.CPT.Elc</t>
  </si>
  <si>
    <t>EMI.ktCO2.ES.Tr.Rail.Freight.Diesel</t>
  </si>
  <si>
    <t>EMI.ktCO2.ES.Tr.Rail.Freight.Elc</t>
  </si>
  <si>
    <t>EMIint.gCO2_per_km.ES.Tr.Rail</t>
  </si>
  <si>
    <t>EMIint.gCO2_per_km.ES.Tr.Rail.Passenger</t>
  </si>
  <si>
    <t>EMIint.gCO2_per_km.ES.Tr.Rail.Passenger.MTU</t>
  </si>
  <si>
    <t>EMIint.gCO2_per_km.ES.Tr.Rail.Passenger.CPT</t>
  </si>
  <si>
    <t>EMIint.gCO2_per_km.ES.Tr.Rail.Passenger.CPT.Diesel</t>
  </si>
  <si>
    <t>EMIint.gCO2_per_km.ES.Tr.Rail.Passenger.CPT.Elc</t>
  </si>
  <si>
    <t>EMIint.gCO2_per_km.ES.Tr.Rail.Passenger.HST</t>
  </si>
  <si>
    <t>EMIint.gCO2_per_km.ES.Tr.Rail.Freight</t>
  </si>
  <si>
    <t>EMIint.gCO2_per_km.ES.Tr.Rail.Freight.Diesel</t>
  </si>
  <si>
    <t>EMIint.gCO2_per_km.ES.Tr.Rail.Freight.Elc</t>
  </si>
  <si>
    <t>EMIint.gCO2_per_pkm.ES.Tr.Rail.Passenger.CPT.Diesel</t>
  </si>
  <si>
    <t>EMIint.gCO2_per_pkm.ES.Tr.Rail.Passenger.CPT.Elc</t>
  </si>
  <si>
    <t>EMIint.gCO2_per_tkm.ES.Tr.Rail.Freight.Diesel</t>
  </si>
  <si>
    <t>EMIint.gCO2_per_tkm.ES.Tr.Rail.Freight.Elc</t>
  </si>
  <si>
    <t>EMI_per_vehicle.tCO2.ES.Tr.Rail</t>
  </si>
  <si>
    <t>EMI_per_vehicle.tCO2.ES.Tr.Rail.Passenger</t>
  </si>
  <si>
    <t>EMI_per_vehicle.tCO2.ES.Tr.Rail.Passenger.MTU</t>
  </si>
  <si>
    <t>EMI_per_vehicle.tCO2.ES.Tr.Rail.Passenger.CPT</t>
  </si>
  <si>
    <t>EMI_per_vehicle.tCO2.ES.Tr.Rail.Passenger.CPT.Diesel</t>
  </si>
  <si>
    <t>EMI_per_vehicle.tCO2.ES.Tr.Rail.Passenger.CPT.Elc</t>
  </si>
  <si>
    <t>EMI_per_vehicle.tCO2.ES.Tr.Rail.Passenger.HST</t>
  </si>
  <si>
    <t>EMI_per_vehicle.tCO2.ES.Tr.Rail.Freight</t>
  </si>
  <si>
    <t>EMI_per_vehicle.tCO2.ES.Tr.Rail.Freight.Diesel</t>
  </si>
  <si>
    <t>EMI_per_vehicle.tCO2.ES.Tr.Rail.Freight.Elc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</si>
</sst>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164" formatCode="mmmm\ yyyy"/>
    <numFmt numFmtId="165" formatCode="#,##0.0"/>
    <numFmt numFmtId="166" formatCode="#,##0;\-#,##0;&quot;-&quot;"/>
    <numFmt numFmtId="167" formatCode="#,##0.000;\-#,##0.000;&quot;-&quot;"/>
    <numFmt numFmtId="168" formatCode="0.00%;\-0.00%;&quot;-&quot;"/>
    <numFmt numFmtId="169" formatCode="#,##0.00;\-#,##0.00;&quot;-&quot;"/>
    <numFmt numFmtId="170" formatCode="#,##0.0;\-#,##0.0;&quot;-&quot;"/>
    <numFmt numFmtId="171" formatCode="0.0%;\-0.0%;&quot;-&quot;"/>
    <numFmt numFmtId="172" formatCode="0.0%"/>
  </numFmts>
  <fonts count="3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006EBE"/>
      <name val="Calibri"/>
      <family val="2"/>
      <scheme val="minor"/>
    </font>
    <font>
      <u/>
      <sz val="9"/>
      <color rgb="FF0564C3"/>
      <name val="Calibri"/>
      <family val="2"/>
      <scheme val="minor"/>
    </font>
    <font>
      <sz val="8"/>
      <color rgb="FF001E5F"/>
      <name val="Calibri"/>
      <family val="2"/>
      <scheme val="minor"/>
    </font>
    <font>
      <sz val="8"/>
      <color rgb="FFBE0000"/>
      <name val="Calibri"/>
      <family val="2"/>
      <scheme val="minor"/>
    </font>
    <font>
      <sz val="8"/>
      <color rgb="FF232D37"/>
      <name val="Calibri"/>
      <family val="2"/>
      <scheme val="minor"/>
    </font>
    <font>
      <i/>
      <sz val="8"/>
      <color rgb="FF001E5F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b/>
      <sz val="8"/>
      <color rgb="FF00143C"/>
      <name val="Calibri"/>
      <family val="2"/>
      <scheme val="minor"/>
    </font>
    <font>
      <sz val="8"/>
      <color rgb="FF00143C"/>
      <name val="Calibri"/>
      <family val="2"/>
      <scheme val="minor"/>
    </font>
    <font>
      <b/>
      <sz val="10"/>
      <color rgb="FF00143C"/>
      <name val="Calibri"/>
      <family val="2"/>
      <scheme val="minor"/>
    </font>
    <font>
      <sz val="10"/>
      <color rgb="FF00143C"/>
      <name val="Calibri"/>
      <family val="2"/>
      <scheme val="minor"/>
    </font>
    <font>
      <sz val="8"/>
      <color rgb="FF282428"/>
      <name val="Calibri"/>
      <family val="2"/>
      <scheme val="minor"/>
    </font>
    <font>
      <i/>
      <sz val="8"/>
      <color rgb="FF00143C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i/>
      <sz val="9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  <font>
      <sz val="16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BEBEBE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7E1F0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auto="1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1" fillId="0" borderId="0"/>
    <xf numFmtId="0" fontId="4" fillId="0" borderId="0" applyNumberFormat="0" applyFill="0" applyBorder="0" applyAlignment="0" applyProtection="0"/>
  </cellStyleXfs>
  <cellXfs count="232">
    <xf numFmtId="0" fontId="0" fillId="0" borderId="0" xfId="0"/>
    <xf numFmtId="0" fontId="5" fillId="0" borderId="0" xfId="0" applyFont="1"/>
    <xf numFmtId="0" fontId="6" fillId="0" borderId="0" xfId="0" applyFont="1"/>
    <xf numFmtId="0" fontId="7" fillId="0" borderId="2" xfId="0" applyFont="1" applyBorder="1"/>
    <xf numFmtId="0" fontId="4" fillId="0" borderId="0" xfId="4"/>
    <xf numFmtId="0" fontId="8" fillId="0" borderId="0" xfId="4" applyFont="1"/>
    <xf numFmtId="0" fontId="9" fillId="0" borderId="0" xfId="0" applyFont="1"/>
    <xf numFmtId="0" fontId="10" fillId="0" borderId="0" xfId="4" applyFont="1"/>
    <xf numFmtId="0" fontId="10" fillId="0" borderId="0" xfId="4" applyFont="1" applyAlignment="1">
      <alignment horizontal="left" indent="1"/>
    </xf>
    <xf numFmtId="0" fontId="0" fillId="0" borderId="2" xfId="0" applyBorder="1"/>
    <xf numFmtId="0" fontId="12" fillId="4" borderId="3" xfId="3" applyFont="1" applyFill="1" applyBorder="1" applyAlignment="1">
      <alignment horizontal="left" vertical="center" indent="1"/>
    </xf>
    <xf numFmtId="166" fontId="12" fillId="4" borderId="3" xfId="3" applyNumberFormat="1" applyFont="1" applyFill="1" applyBorder="1" applyAlignment="1">
      <alignment vertical="center"/>
    </xf>
    <xf numFmtId="0" fontId="12" fillId="4" borderId="4" xfId="3" applyFont="1" applyFill="1" applyBorder="1" applyAlignment="1">
      <alignment horizontal="left" vertical="center" indent="1"/>
    </xf>
    <xf numFmtId="166" fontId="12" fillId="4" borderId="4" xfId="3" applyNumberFormat="1" applyFont="1" applyFill="1" applyBorder="1" applyAlignment="1">
      <alignment vertical="center"/>
    </xf>
    <xf numFmtId="170" fontId="12" fillId="4" borderId="3" xfId="3" applyNumberFormat="1" applyFont="1" applyFill="1" applyBorder="1" applyAlignment="1">
      <alignment vertical="center"/>
    </xf>
    <xf numFmtId="170" fontId="12" fillId="4" borderId="4" xfId="3" applyNumberFormat="1" applyFont="1" applyFill="1" applyBorder="1" applyAlignment="1">
      <alignment vertical="center"/>
    </xf>
    <xf numFmtId="168" fontId="12" fillId="4" borderId="3" xfId="1" applyNumberFormat="1" applyFont="1" applyFill="1" applyBorder="1" applyAlignment="1">
      <alignment vertical="center"/>
    </xf>
    <xf numFmtId="168" fontId="12" fillId="4" borderId="4" xfId="1" applyNumberFormat="1" applyFont="1" applyFill="1" applyBorder="1" applyAlignment="1">
      <alignment vertical="center"/>
    </xf>
    <xf numFmtId="0" fontId="3" fillId="0" borderId="0" xfId="3" applyFont="1" applyFill="1" applyAlignment="1">
      <alignment vertical="center"/>
    </xf>
    <xf numFmtId="0" fontId="3" fillId="0" borderId="0" xfId="3" applyNumberFormat="1" applyFont="1" applyFill="1" applyAlignment="1">
      <alignment vertical="center"/>
    </xf>
    <xf numFmtId="0" fontId="14" fillId="4" borderId="1" xfId="3" applyFont="1" applyFill="1" applyBorder="1" applyAlignment="1">
      <alignment horizontal="left" vertical="center" indent="1"/>
    </xf>
    <xf numFmtId="169" fontId="12" fillId="4" borderId="3" xfId="3" applyNumberFormat="1" applyFont="1" applyFill="1" applyBorder="1" applyAlignment="1">
      <alignment vertical="center"/>
    </xf>
    <xf numFmtId="169" fontId="12" fillId="4" borderId="4" xfId="3" applyNumberFormat="1" applyFont="1" applyFill="1" applyBorder="1" applyAlignment="1">
      <alignment vertical="center"/>
    </xf>
    <xf numFmtId="167" fontId="12" fillId="4" borderId="3" xfId="3" applyNumberFormat="1" applyFont="1" applyFill="1" applyBorder="1" applyAlignment="1">
      <alignment vertical="center"/>
    </xf>
    <xf numFmtId="167" fontId="12" fillId="4" borderId="4" xfId="3" applyNumberFormat="1" applyFont="1" applyFill="1" applyBorder="1" applyAlignment="1">
      <alignment vertical="center"/>
    </xf>
    <xf numFmtId="171" fontId="12" fillId="4" borderId="3" xfId="1" applyNumberFormat="1" applyFont="1" applyFill="1" applyBorder="1" applyAlignment="1">
      <alignment vertical="center"/>
    </xf>
    <xf numFmtId="169" fontId="11" fillId="4" borderId="0" xfId="3" applyNumberFormat="1" applyFont="1" applyFill="1" applyBorder="1" applyAlignment="1">
      <alignment vertical="center"/>
    </xf>
    <xf numFmtId="0" fontId="12" fillId="4" borderId="1" xfId="3" applyFont="1" applyFill="1" applyBorder="1" applyAlignment="1">
      <alignment horizontal="left" vertical="center" indent="1"/>
    </xf>
    <xf numFmtId="166" fontId="12" fillId="4" borderId="1" xfId="3" applyNumberFormat="1" applyFont="1" applyFill="1" applyBorder="1" applyAlignment="1">
      <alignment vertical="center"/>
    </xf>
    <xf numFmtId="170" fontId="12" fillId="4" borderId="1" xfId="3" applyNumberFormat="1" applyFont="1" applyFill="1" applyBorder="1" applyAlignment="1">
      <alignment vertical="center"/>
    </xf>
    <xf numFmtId="171" fontId="12" fillId="4" borderId="1" xfId="3" applyNumberFormat="1" applyFont="1" applyFill="1" applyBorder="1" applyAlignment="1">
      <alignment vertical="center"/>
    </xf>
    <xf numFmtId="168" fontId="12" fillId="4" borderId="1" xfId="3" applyNumberFormat="1" applyFont="1" applyFill="1" applyBorder="1" applyAlignment="1">
      <alignment vertical="center"/>
    </xf>
    <xf numFmtId="169" fontId="12" fillId="4" borderId="1" xfId="3" applyNumberFormat="1" applyFont="1" applyFill="1" applyBorder="1" applyAlignment="1">
      <alignment vertical="center"/>
    </xf>
    <xf numFmtId="0" fontId="3" fillId="2" borderId="0" xfId="3" applyNumberFormat="1" applyFont="1" applyFill="1" applyAlignment="1">
      <alignment vertical="center"/>
    </xf>
    <xf numFmtId="166" fontId="13" fillId="2" borderId="0" xfId="3" applyNumberFormat="1" applyFont="1" applyFill="1" applyBorder="1" applyAlignment="1">
      <alignment vertical="center"/>
    </xf>
    <xf numFmtId="166" fontId="13" fillId="2" borderId="2" xfId="3" applyNumberFormat="1" applyFont="1" applyFill="1" applyBorder="1" applyAlignment="1">
      <alignment vertical="center"/>
    </xf>
    <xf numFmtId="166" fontId="13" fillId="2" borderId="0" xfId="3" applyNumberFormat="1" applyFont="1" applyFill="1" applyAlignment="1">
      <alignment vertical="center"/>
    </xf>
    <xf numFmtId="0" fontId="13" fillId="2" borderId="0" xfId="3" applyFont="1" applyFill="1" applyAlignment="1">
      <alignment horizontal="left" vertical="center" indent="2"/>
    </xf>
    <xf numFmtId="0" fontId="13" fillId="2" borderId="2" xfId="3" applyFont="1" applyFill="1" applyBorder="1" applyAlignment="1">
      <alignment horizontal="left" vertical="center" indent="2"/>
    </xf>
    <xf numFmtId="170" fontId="13" fillId="2" borderId="0" xfId="3" applyNumberFormat="1" applyFont="1" applyFill="1" applyAlignment="1">
      <alignment vertical="center"/>
    </xf>
    <xf numFmtId="170" fontId="13" fillId="2" borderId="2" xfId="3" applyNumberFormat="1" applyFont="1" applyFill="1" applyBorder="1" applyAlignment="1">
      <alignment vertical="center"/>
    </xf>
    <xf numFmtId="170" fontId="13" fillId="2" borderId="0" xfId="3" applyNumberFormat="1" applyFont="1" applyFill="1" applyBorder="1" applyAlignment="1">
      <alignment vertical="center"/>
    </xf>
    <xf numFmtId="0" fontId="13" fillId="2" borderId="0" xfId="3" applyFont="1" applyFill="1" applyBorder="1" applyAlignment="1">
      <alignment horizontal="left" vertical="center" indent="2"/>
    </xf>
    <xf numFmtId="168" fontId="13" fillId="2" borderId="0" xfId="1" applyNumberFormat="1" applyFont="1" applyFill="1" applyAlignment="1">
      <alignment vertical="center"/>
    </xf>
    <xf numFmtId="168" fontId="13" fillId="2" borderId="0" xfId="1" applyNumberFormat="1" applyFont="1" applyFill="1" applyBorder="1" applyAlignment="1">
      <alignment vertical="center"/>
    </xf>
    <xf numFmtId="168" fontId="13" fillId="2" borderId="2" xfId="1" applyNumberFormat="1" applyFont="1" applyFill="1" applyBorder="1" applyAlignment="1">
      <alignment vertical="center"/>
    </xf>
    <xf numFmtId="168" fontId="12" fillId="4" borderId="1" xfId="1" applyNumberFormat="1" applyFont="1" applyFill="1" applyBorder="1" applyAlignment="1">
      <alignment vertical="center"/>
    </xf>
    <xf numFmtId="167" fontId="12" fillId="4" borderId="1" xfId="3" applyNumberFormat="1" applyFont="1" applyFill="1" applyBorder="1" applyAlignment="1">
      <alignment vertical="center"/>
    </xf>
    <xf numFmtId="0" fontId="15" fillId="6" borderId="1" xfId="3" applyFont="1" applyFill="1" applyBorder="1" applyAlignment="1">
      <alignment horizontal="left" vertical="center"/>
    </xf>
    <xf numFmtId="1" fontId="16" fillId="6" borderId="1" xfId="3" applyNumberFormat="1" applyFont="1" applyFill="1" applyBorder="1" applyAlignment="1">
      <alignment horizontal="center" vertical="center"/>
    </xf>
    <xf numFmtId="0" fontId="17" fillId="8" borderId="0" xfId="3" applyNumberFormat="1" applyFont="1" applyFill="1" applyAlignment="1">
      <alignment vertical="center"/>
    </xf>
    <xf numFmtId="0" fontId="17" fillId="8" borderId="0" xfId="3" applyFont="1" applyFill="1" applyAlignment="1">
      <alignment vertical="center"/>
    </xf>
    <xf numFmtId="0" fontId="18" fillId="8" borderId="0" xfId="3" applyNumberFormat="1" applyFont="1" applyFill="1" applyAlignment="1">
      <alignment vertical="center"/>
    </xf>
    <xf numFmtId="0" fontId="19" fillId="3" borderId="1" xfId="3" applyFont="1" applyFill="1" applyBorder="1" applyAlignment="1">
      <alignment horizontal="left" vertical="center"/>
    </xf>
    <xf numFmtId="166" fontId="20" fillId="3" borderId="1" xfId="3" applyNumberFormat="1" applyFont="1" applyFill="1" applyBorder="1" applyAlignment="1">
      <alignment vertical="center"/>
    </xf>
    <xf numFmtId="0" fontId="17" fillId="8" borderId="0" xfId="3" applyFont="1" applyFill="1" applyAlignment="1">
      <alignment horizontal="left" vertical="center" indent="1"/>
    </xf>
    <xf numFmtId="166" fontId="17" fillId="8" borderId="0" xfId="3" applyNumberFormat="1" applyFont="1" applyFill="1" applyAlignment="1">
      <alignment vertical="center"/>
    </xf>
    <xf numFmtId="0" fontId="17" fillId="8" borderId="2" xfId="3" applyFont="1" applyFill="1" applyBorder="1" applyAlignment="1">
      <alignment horizontal="left" vertical="center" indent="1"/>
    </xf>
    <xf numFmtId="166" fontId="17" fillId="8" borderId="2" xfId="3" applyNumberFormat="1" applyFont="1" applyFill="1" applyBorder="1" applyAlignment="1">
      <alignment vertical="center"/>
    </xf>
    <xf numFmtId="167" fontId="20" fillId="3" borderId="1" xfId="3" applyNumberFormat="1" applyFont="1" applyFill="1" applyBorder="1" applyAlignment="1">
      <alignment vertical="center"/>
    </xf>
    <xf numFmtId="167" fontId="17" fillId="8" borderId="0" xfId="3" applyNumberFormat="1" applyFont="1" applyFill="1" applyAlignment="1">
      <alignment vertical="center"/>
    </xf>
    <xf numFmtId="167" fontId="17" fillId="8" borderId="2" xfId="3" applyNumberFormat="1" applyFont="1" applyFill="1" applyBorder="1" applyAlignment="1">
      <alignment vertical="center"/>
    </xf>
    <xf numFmtId="170" fontId="20" fillId="3" borderId="1" xfId="3" applyNumberFormat="1" applyFont="1" applyFill="1" applyBorder="1" applyAlignment="1">
      <alignment vertical="center"/>
    </xf>
    <xf numFmtId="170" fontId="17" fillId="8" borderId="0" xfId="3" applyNumberFormat="1" applyFont="1" applyFill="1" applyAlignment="1">
      <alignment vertical="center"/>
    </xf>
    <xf numFmtId="170" fontId="17" fillId="8" borderId="2" xfId="3" applyNumberFormat="1" applyFont="1" applyFill="1" applyBorder="1" applyAlignment="1">
      <alignment vertical="center"/>
    </xf>
    <xf numFmtId="168" fontId="20" fillId="3" borderId="1" xfId="3" applyNumberFormat="1" applyFont="1" applyFill="1" applyBorder="1" applyAlignment="1">
      <alignment vertical="center"/>
    </xf>
    <xf numFmtId="168" fontId="17" fillId="8" borderId="0" xfId="3" applyNumberFormat="1" applyFont="1" applyFill="1" applyAlignment="1">
      <alignment vertical="center"/>
    </xf>
    <xf numFmtId="168" fontId="17" fillId="8" borderId="2" xfId="3" applyNumberFormat="1" applyFont="1" applyFill="1" applyBorder="1" applyAlignment="1">
      <alignment vertical="center"/>
    </xf>
    <xf numFmtId="0" fontId="21" fillId="5" borderId="1" xfId="3" applyFont="1" applyFill="1" applyBorder="1" applyAlignment="1">
      <alignment horizontal="left" vertical="center"/>
    </xf>
    <xf numFmtId="167" fontId="22" fillId="5" borderId="1" xfId="3" applyNumberFormat="1" applyFont="1" applyFill="1" applyBorder="1" applyAlignment="1">
      <alignment vertical="center"/>
    </xf>
    <xf numFmtId="0" fontId="17" fillId="8" borderId="1" xfId="3" applyFont="1" applyFill="1" applyBorder="1" applyAlignment="1">
      <alignment horizontal="left" vertical="center" indent="1"/>
    </xf>
    <xf numFmtId="170" fontId="17" fillId="8" borderId="1" xfId="3" applyNumberFormat="1" applyFont="1" applyFill="1" applyBorder="1" applyAlignment="1">
      <alignment vertical="center"/>
    </xf>
    <xf numFmtId="0" fontId="23" fillId="8" borderId="0" xfId="3" applyFont="1" applyFill="1" applyAlignment="1">
      <alignment horizontal="left" vertical="center" indent="2"/>
    </xf>
    <xf numFmtId="170" fontId="23" fillId="8" borderId="0" xfId="3" applyNumberFormat="1" applyFont="1" applyFill="1" applyAlignment="1">
      <alignment vertical="center"/>
    </xf>
    <xf numFmtId="0" fontId="23" fillId="8" borderId="2" xfId="3" applyFont="1" applyFill="1" applyBorder="1" applyAlignment="1">
      <alignment horizontal="left" vertical="center" indent="2"/>
    </xf>
    <xf numFmtId="170" fontId="23" fillId="8" borderId="2" xfId="3" applyNumberFormat="1" applyFont="1" applyFill="1" applyBorder="1" applyAlignment="1">
      <alignment vertical="center"/>
    </xf>
    <xf numFmtId="168" fontId="20" fillId="3" borderId="1" xfId="1" applyNumberFormat="1" applyFont="1" applyFill="1" applyBorder="1" applyAlignment="1">
      <alignment vertical="center"/>
    </xf>
    <xf numFmtId="168" fontId="17" fillId="8" borderId="0" xfId="1" applyNumberFormat="1" applyFont="1" applyFill="1" applyAlignment="1">
      <alignment vertical="center"/>
    </xf>
    <xf numFmtId="168" fontId="17" fillId="8" borderId="2" xfId="1" applyNumberFormat="1" applyFont="1" applyFill="1" applyBorder="1" applyAlignment="1">
      <alignment vertical="center"/>
    </xf>
    <xf numFmtId="169" fontId="20" fillId="3" borderId="1" xfId="3" applyNumberFormat="1" applyFont="1" applyFill="1" applyBorder="1" applyAlignment="1">
      <alignment vertical="center"/>
    </xf>
    <xf numFmtId="169" fontId="17" fillId="8" borderId="0" xfId="3" applyNumberFormat="1" applyFont="1" applyFill="1" applyAlignment="1">
      <alignment vertical="center"/>
    </xf>
    <xf numFmtId="169" fontId="17" fillId="8" borderId="2" xfId="3" applyNumberFormat="1" applyFont="1" applyFill="1" applyBorder="1" applyAlignment="1">
      <alignment vertical="center"/>
    </xf>
    <xf numFmtId="171" fontId="20" fillId="3" borderId="1" xfId="1" applyNumberFormat="1" applyFont="1" applyFill="1" applyBorder="1" applyAlignment="1">
      <alignment vertical="center"/>
    </xf>
    <xf numFmtId="0" fontId="17" fillId="2" borderId="0" xfId="3" applyFont="1" applyFill="1" applyAlignment="1">
      <alignment horizontal="left" vertical="center" indent="2"/>
    </xf>
    <xf numFmtId="166" fontId="17" fillId="2" borderId="0" xfId="3" applyNumberFormat="1" applyFont="1" applyFill="1" applyAlignment="1">
      <alignment vertical="center"/>
    </xf>
    <xf numFmtId="0" fontId="17" fillId="2" borderId="2" xfId="3" applyFont="1" applyFill="1" applyBorder="1" applyAlignment="1">
      <alignment horizontal="left" vertical="center" indent="2"/>
    </xf>
    <xf numFmtId="166" fontId="17" fillId="2" borderId="2" xfId="3" applyNumberFormat="1" applyFont="1" applyFill="1" applyBorder="1" applyAlignment="1">
      <alignment vertical="center"/>
    </xf>
    <xf numFmtId="170" fontId="17" fillId="2" borderId="0" xfId="3" applyNumberFormat="1" applyFont="1" applyFill="1" applyAlignment="1">
      <alignment vertical="center"/>
    </xf>
    <xf numFmtId="170" fontId="17" fillId="2" borderId="2" xfId="3" applyNumberFormat="1" applyFont="1" applyFill="1" applyBorder="1" applyAlignment="1">
      <alignment vertical="center"/>
    </xf>
    <xf numFmtId="171" fontId="17" fillId="2" borderId="0" xfId="1" applyNumberFormat="1" applyFont="1" applyFill="1" applyAlignment="1">
      <alignment vertical="center"/>
    </xf>
    <xf numFmtId="171" fontId="17" fillId="2" borderId="2" xfId="1" applyNumberFormat="1" applyFont="1" applyFill="1" applyBorder="1" applyAlignment="1">
      <alignment vertical="center"/>
    </xf>
    <xf numFmtId="167" fontId="17" fillId="2" borderId="0" xfId="3" applyNumberFormat="1" applyFont="1" applyFill="1" applyAlignment="1">
      <alignment vertical="center"/>
    </xf>
    <xf numFmtId="0" fontId="17" fillId="2" borderId="0" xfId="3" applyFont="1" applyFill="1" applyBorder="1" applyAlignment="1">
      <alignment horizontal="left" vertical="center" indent="2"/>
    </xf>
    <xf numFmtId="167" fontId="17" fillId="2" borderId="0" xfId="3" applyNumberFormat="1" applyFont="1" applyFill="1" applyBorder="1" applyAlignment="1">
      <alignment vertical="center"/>
    </xf>
    <xf numFmtId="167" fontId="17" fillId="2" borderId="2" xfId="3" applyNumberFormat="1" applyFont="1" applyFill="1" applyBorder="1" applyAlignment="1">
      <alignment vertical="center"/>
    </xf>
    <xf numFmtId="0" fontId="17" fillId="2" borderId="0" xfId="3" applyFont="1" applyFill="1" applyAlignment="1">
      <alignment horizontal="left" vertical="center" indent="1"/>
    </xf>
    <xf numFmtId="169" fontId="17" fillId="2" borderId="0" xfId="3" applyNumberFormat="1" applyFont="1" applyFill="1" applyAlignment="1">
      <alignment vertical="center"/>
    </xf>
    <xf numFmtId="169" fontId="17" fillId="2" borderId="0" xfId="3" applyNumberFormat="1" applyFont="1" applyFill="1" applyBorder="1" applyAlignment="1">
      <alignment vertical="center"/>
    </xf>
    <xf numFmtId="169" fontId="17" fillId="2" borderId="2" xfId="3" applyNumberFormat="1" applyFont="1" applyFill="1" applyBorder="1" applyAlignment="1">
      <alignment vertical="center"/>
    </xf>
    <xf numFmtId="0" fontId="17" fillId="2" borderId="0" xfId="3" applyFont="1" applyFill="1" applyBorder="1" applyAlignment="1">
      <alignment horizontal="left" vertical="center" indent="1"/>
    </xf>
    <xf numFmtId="0" fontId="17" fillId="2" borderId="2" xfId="3" applyFont="1" applyFill="1" applyBorder="1" applyAlignment="1">
      <alignment horizontal="left" vertical="center" indent="1"/>
    </xf>
    <xf numFmtId="170" fontId="17" fillId="2" borderId="0" xfId="3" applyNumberFormat="1" applyFont="1" applyFill="1" applyBorder="1" applyAlignment="1">
      <alignment vertical="center"/>
    </xf>
    <xf numFmtId="166" fontId="17" fillId="2" borderId="0" xfId="3" applyNumberFormat="1" applyFont="1" applyFill="1" applyBorder="1" applyAlignment="1">
      <alignment vertical="center"/>
    </xf>
    <xf numFmtId="168" fontId="17" fillId="2" borderId="0" xfId="1" applyNumberFormat="1" applyFont="1" applyFill="1" applyAlignment="1">
      <alignment vertical="center"/>
    </xf>
    <xf numFmtId="168" fontId="17" fillId="2" borderId="0" xfId="1" applyNumberFormat="1" applyFont="1" applyFill="1" applyBorder="1" applyAlignment="1">
      <alignment vertical="center"/>
    </xf>
    <xf numFmtId="168" fontId="17" fillId="2" borderId="2" xfId="1" applyNumberFormat="1" applyFont="1" applyFill="1" applyBorder="1" applyAlignment="1">
      <alignment vertical="center"/>
    </xf>
    <xf numFmtId="0" fontId="17" fillId="2" borderId="0" xfId="3" applyNumberFormat="1" applyFont="1" applyFill="1" applyAlignment="1">
      <alignment vertical="center"/>
    </xf>
    <xf numFmtId="0" fontId="17" fillId="2" borderId="5" xfId="3" applyFont="1" applyFill="1" applyBorder="1" applyAlignment="1">
      <alignment horizontal="left" vertical="center" indent="2"/>
    </xf>
    <xf numFmtId="166" fontId="17" fillId="2" borderId="5" xfId="3" applyNumberFormat="1" applyFont="1" applyFill="1" applyBorder="1" applyAlignment="1">
      <alignment vertical="center"/>
    </xf>
    <xf numFmtId="0" fontId="17" fillId="2" borderId="4" xfId="3" applyFont="1" applyFill="1" applyBorder="1" applyAlignment="1">
      <alignment horizontal="left" vertical="center" indent="2"/>
    </xf>
    <xf numFmtId="166" fontId="17" fillId="2" borderId="4" xfId="3" applyNumberFormat="1" applyFont="1" applyFill="1" applyBorder="1" applyAlignment="1">
      <alignment vertical="center"/>
    </xf>
    <xf numFmtId="0" fontId="17" fillId="2" borderId="0" xfId="3" applyFont="1" applyFill="1" applyAlignment="1">
      <alignment horizontal="left" vertical="center" indent="3"/>
    </xf>
    <xf numFmtId="0" fontId="17" fillId="2" borderId="6" xfId="3" applyFont="1" applyFill="1" applyBorder="1" applyAlignment="1">
      <alignment horizontal="left" vertical="center" indent="2"/>
    </xf>
    <xf numFmtId="166" fontId="17" fillId="2" borderId="6" xfId="3" applyNumberFormat="1" applyFont="1" applyFill="1" applyBorder="1" applyAlignment="1">
      <alignment vertical="center"/>
    </xf>
    <xf numFmtId="0" fontId="17" fillId="0" borderId="0" xfId="3" applyNumberFormat="1" applyFont="1" applyFill="1" applyAlignment="1">
      <alignment vertical="center"/>
    </xf>
    <xf numFmtId="170" fontId="17" fillId="2" borderId="5" xfId="3" applyNumberFormat="1" applyFont="1" applyFill="1" applyBorder="1" applyAlignment="1">
      <alignment vertical="center"/>
    </xf>
    <xf numFmtId="170" fontId="17" fillId="2" borderId="4" xfId="3" applyNumberFormat="1" applyFont="1" applyFill="1" applyBorder="1" applyAlignment="1">
      <alignment vertical="center"/>
    </xf>
    <xf numFmtId="170" fontId="17" fillId="2" borderId="6" xfId="3" applyNumberFormat="1" applyFont="1" applyFill="1" applyBorder="1" applyAlignment="1">
      <alignment vertical="center"/>
    </xf>
    <xf numFmtId="171" fontId="17" fillId="2" borderId="5" xfId="3" applyNumberFormat="1" applyFont="1" applyFill="1" applyBorder="1" applyAlignment="1">
      <alignment vertical="center"/>
    </xf>
    <xf numFmtId="171" fontId="17" fillId="2" borderId="4" xfId="3" applyNumberFormat="1" applyFont="1" applyFill="1" applyBorder="1" applyAlignment="1">
      <alignment vertical="center"/>
    </xf>
    <xf numFmtId="171" fontId="17" fillId="2" borderId="0" xfId="3" applyNumberFormat="1" applyFont="1" applyFill="1" applyAlignment="1">
      <alignment vertical="center"/>
    </xf>
    <xf numFmtId="171" fontId="17" fillId="2" borderId="6" xfId="3" applyNumberFormat="1" applyFont="1" applyFill="1" applyBorder="1" applyAlignment="1">
      <alignment vertical="center"/>
    </xf>
    <xf numFmtId="171" fontId="17" fillId="2" borderId="2" xfId="3" applyNumberFormat="1" applyFont="1" applyFill="1" applyBorder="1" applyAlignment="1">
      <alignment vertical="center"/>
    </xf>
    <xf numFmtId="168" fontId="17" fillId="2" borderId="5" xfId="3" applyNumberFormat="1" applyFont="1" applyFill="1" applyBorder="1" applyAlignment="1">
      <alignment vertical="center"/>
    </xf>
    <xf numFmtId="168" fontId="17" fillId="2" borderId="4" xfId="3" applyNumberFormat="1" applyFont="1" applyFill="1" applyBorder="1" applyAlignment="1">
      <alignment vertical="center"/>
    </xf>
    <xf numFmtId="168" fontId="17" fillId="2" borderId="0" xfId="3" applyNumberFormat="1" applyFont="1" applyFill="1" applyAlignment="1">
      <alignment vertical="center"/>
    </xf>
    <xf numFmtId="168" fontId="17" fillId="2" borderId="6" xfId="3" applyNumberFormat="1" applyFont="1" applyFill="1" applyBorder="1" applyAlignment="1">
      <alignment vertical="center"/>
    </xf>
    <xf numFmtId="168" fontId="17" fillId="2" borderId="2" xfId="3" applyNumberFormat="1" applyFont="1" applyFill="1" applyBorder="1" applyAlignment="1">
      <alignment vertical="center"/>
    </xf>
    <xf numFmtId="0" fontId="17" fillId="2" borderId="0" xfId="3" applyFont="1" applyFill="1" applyBorder="1" applyAlignment="1">
      <alignment horizontal="left" vertical="center" indent="3"/>
    </xf>
    <xf numFmtId="169" fontId="17" fillId="2" borderId="5" xfId="3" applyNumberFormat="1" applyFont="1" applyFill="1" applyBorder="1" applyAlignment="1">
      <alignment vertical="center"/>
    </xf>
    <xf numFmtId="169" fontId="17" fillId="2" borderId="4" xfId="3" applyNumberFormat="1" applyFont="1" applyFill="1" applyBorder="1" applyAlignment="1">
      <alignment vertical="center"/>
    </xf>
    <xf numFmtId="169" fontId="17" fillId="2" borderId="6" xfId="3" applyNumberFormat="1" applyFont="1" applyFill="1" applyBorder="1" applyAlignment="1">
      <alignment vertical="center"/>
    </xf>
    <xf numFmtId="3" fontId="20" fillId="3" borderId="1" xfId="3" applyNumberFormat="1" applyFont="1" applyFill="1" applyBorder="1" applyAlignment="1">
      <alignment vertical="center"/>
    </xf>
    <xf numFmtId="0" fontId="24" fillId="4" borderId="1" xfId="3" applyFont="1" applyFill="1" applyBorder="1" applyAlignment="1">
      <alignment horizontal="left" vertical="center" indent="1"/>
    </xf>
    <xf numFmtId="169" fontId="20" fillId="4" borderId="0" xfId="3" applyNumberFormat="1" applyFont="1" applyFill="1" applyBorder="1" applyAlignment="1">
      <alignment vertical="center"/>
    </xf>
    <xf numFmtId="171" fontId="20" fillId="3" borderId="1" xfId="3" applyNumberFormat="1" applyFont="1" applyFill="1" applyBorder="1" applyAlignment="1">
      <alignment vertical="center"/>
    </xf>
    <xf numFmtId="0" fontId="17" fillId="2" borderId="3" xfId="3" applyFont="1" applyFill="1" applyBorder="1" applyAlignment="1">
      <alignment horizontal="left" vertical="center" indent="2"/>
    </xf>
    <xf numFmtId="166" fontId="17" fillId="2" borderId="3" xfId="3" applyNumberFormat="1" applyFont="1" applyFill="1" applyBorder="1" applyAlignment="1">
      <alignment vertical="center"/>
    </xf>
    <xf numFmtId="0" fontId="17" fillId="2" borderId="2" xfId="3" applyFont="1" applyFill="1" applyBorder="1" applyAlignment="1">
      <alignment horizontal="left" vertical="center" indent="3"/>
    </xf>
    <xf numFmtId="168" fontId="17" fillId="2" borderId="3" xfId="3" applyNumberFormat="1" applyFont="1" applyFill="1" applyBorder="1" applyAlignment="1">
      <alignment vertical="center"/>
    </xf>
    <xf numFmtId="168" fontId="17" fillId="2" borderId="0" xfId="3" applyNumberFormat="1" applyFont="1" applyFill="1" applyBorder="1" applyAlignment="1">
      <alignment vertical="center"/>
    </xf>
    <xf numFmtId="169" fontId="17" fillId="2" borderId="3" xfId="3" applyNumberFormat="1" applyFont="1" applyFill="1" applyBorder="1" applyAlignment="1">
      <alignment vertical="center"/>
    </xf>
    <xf numFmtId="165" fontId="20" fillId="3" borderId="1" xfId="3" applyNumberFormat="1" applyFont="1" applyFill="1" applyBorder="1" applyAlignment="1">
      <alignment vertical="center"/>
    </xf>
    <xf numFmtId="0" fontId="21" fillId="5" borderId="1" xfId="3" applyNumberFormat="1" applyFont="1" applyFill="1" applyBorder="1" applyAlignment="1">
      <alignment horizontal="left" vertical="center"/>
    </xf>
    <xf numFmtId="0" fontId="22" fillId="5" borderId="1" xfId="3" applyNumberFormat="1" applyFont="1" applyFill="1" applyBorder="1" applyAlignment="1">
      <alignment vertical="center"/>
    </xf>
    <xf numFmtId="169" fontId="20" fillId="4" borderId="1" xfId="3" applyNumberFormat="1" applyFont="1" applyFill="1" applyBorder="1" applyAlignment="1">
      <alignment vertical="center"/>
    </xf>
    <xf numFmtId="170" fontId="20" fillId="4" borderId="1" xfId="3" applyNumberFormat="1" applyFont="1" applyFill="1" applyBorder="1" applyAlignment="1">
      <alignment vertical="center"/>
    </xf>
    <xf numFmtId="1" fontId="19" fillId="7" borderId="1" xfId="3" applyNumberFormat="1" applyFont="1" applyFill="1" applyBorder="1" applyAlignment="1">
      <alignment horizontal="center" vertical="center"/>
    </xf>
    <xf numFmtId="0" fontId="21" fillId="6" borderId="1" xfId="3" applyFont="1" applyFill="1" applyBorder="1" applyAlignment="1">
      <alignment horizontal="left" vertical="center"/>
    </xf>
    <xf numFmtId="1" fontId="19" fillId="7" borderId="1" xfId="3" applyNumberFormat="1" applyFont="1" applyFill="1" applyBorder="1" applyAlignment="1">
      <alignment horizontal="right" vertical="center"/>
    </xf>
    <xf numFmtId="167" fontId="17" fillId="2" borderId="3" xfId="3" applyNumberFormat="1" applyFont="1" applyFill="1" applyBorder="1" applyAlignment="1">
      <alignment vertical="center"/>
    </xf>
    <xf numFmtId="167" fontId="17" fillId="2" borderId="4" xfId="3" applyNumberFormat="1" applyFont="1" applyFill="1" applyBorder="1" applyAlignment="1">
      <alignment vertical="center"/>
    </xf>
    <xf numFmtId="170" fontId="17" fillId="2" borderId="3" xfId="3" applyNumberFormat="1" applyFont="1" applyFill="1" applyBorder="1" applyAlignment="1">
      <alignment vertical="center"/>
    </xf>
    <xf numFmtId="172" fontId="17" fillId="2" borderId="3" xfId="1" applyNumberFormat="1" applyFont="1" applyFill="1" applyBorder="1" applyAlignment="1">
      <alignment horizontal="left" vertical="center" indent="2"/>
    </xf>
    <xf numFmtId="168" fontId="17" fillId="2" borderId="3" xfId="1" applyNumberFormat="1" applyFont="1" applyFill="1" applyBorder="1" applyAlignment="1">
      <alignment vertical="center"/>
    </xf>
    <xf numFmtId="172" fontId="17" fillId="2" borderId="4" xfId="1" applyNumberFormat="1" applyFont="1" applyFill="1" applyBorder="1" applyAlignment="1">
      <alignment horizontal="left" vertical="center" indent="2"/>
    </xf>
    <xf numFmtId="168" fontId="17" fillId="2" borderId="4" xfId="1" applyNumberFormat="1" applyFont="1" applyFill="1" applyBorder="1" applyAlignment="1">
      <alignment vertical="center"/>
    </xf>
    <xf numFmtId="172" fontId="17" fillId="2" borderId="0" xfId="1" applyNumberFormat="1" applyFont="1" applyFill="1" applyAlignment="1">
      <alignment horizontal="left" vertical="center" indent="3"/>
    </xf>
    <xf numFmtId="172" fontId="17" fillId="2" borderId="2" xfId="1" applyNumberFormat="1" applyFont="1" applyFill="1" applyBorder="1" applyAlignment="1">
      <alignment horizontal="left" vertical="center" indent="3"/>
    </xf>
    <xf numFmtId="0" fontId="18" fillId="2" borderId="7" xfId="3" applyFont="1" applyFill="1" applyBorder="1" applyAlignment="1">
      <alignment horizontal="left" vertical="center" indent="3"/>
    </xf>
    <xf numFmtId="0" fontId="18" fillId="2" borderId="0" xfId="3" applyFont="1" applyFill="1" applyAlignment="1">
      <alignment horizontal="left" vertical="center" indent="4"/>
    </xf>
    <xf numFmtId="0" fontId="18" fillId="2" borderId="2" xfId="3" applyFont="1" applyFill="1" applyBorder="1" applyAlignment="1">
      <alignment horizontal="left" vertical="center" indent="4"/>
    </xf>
    <xf numFmtId="172" fontId="17" fillId="2" borderId="0" xfId="1" applyNumberFormat="1" applyFont="1" applyFill="1" applyBorder="1" applyAlignment="1">
      <alignment horizontal="left" vertical="center" indent="3"/>
    </xf>
    <xf numFmtId="166" fontId="17" fillId="2" borderId="8" xfId="3" applyNumberFormat="1" applyFont="1" applyFill="1" applyBorder="1" applyAlignment="1">
      <alignment vertical="center"/>
    </xf>
    <xf numFmtId="0" fontId="17" fillId="2" borderId="8" xfId="3" applyFont="1" applyFill="1" applyBorder="1" applyAlignment="1">
      <alignment horizontal="left" vertical="center" indent="3"/>
    </xf>
    <xf numFmtId="170" fontId="17" fillId="2" borderId="8" xfId="3" applyNumberFormat="1" applyFont="1" applyFill="1" applyBorder="1" applyAlignment="1">
      <alignment vertical="center"/>
    </xf>
    <xf numFmtId="0" fontId="17" fillId="2" borderId="7" xfId="3" applyFont="1" applyFill="1" applyBorder="1" applyAlignment="1">
      <alignment horizontal="left" vertical="center" indent="3"/>
    </xf>
    <xf numFmtId="170" fontId="17" fillId="2" borderId="7" xfId="3" applyNumberFormat="1" applyFont="1" applyFill="1" applyBorder="1" applyAlignment="1">
      <alignment vertical="center"/>
    </xf>
    <xf numFmtId="1" fontId="19" fillId="6" borderId="1" xfId="3" applyNumberFormat="1" applyFont="1" applyFill="1" applyBorder="1" applyAlignment="1">
      <alignment vertical="center"/>
    </xf>
    <xf numFmtId="166" fontId="17" fillId="2" borderId="7" xfId="3" applyNumberFormat="1" applyFont="1" applyFill="1" applyBorder="1" applyAlignment="1">
      <alignment vertical="center"/>
    </xf>
    <xf numFmtId="1" fontId="16" fillId="6" borderId="1" xfId="3" applyNumberFormat="1" applyFont="1" applyFill="1" applyBorder="1" applyAlignment="1">
      <alignment horizontal="center" vertical="center" shrinkToFit="1"/>
    </xf>
    <xf numFmtId="0" fontId="17" fillId="2" borderId="0" xfId="3" applyNumberFormat="1" applyFont="1" applyFill="1" applyAlignment="1">
      <alignment vertical="center" shrinkToFit="1"/>
    </xf>
    <xf numFmtId="0" fontId="20" fillId="3" borderId="1" xfId="3" applyNumberFormat="1" applyFont="1" applyFill="1" applyBorder="1" applyAlignment="1">
      <alignment vertical="center" shrinkToFit="1"/>
    </xf>
    <xf numFmtId="0" fontId="12" fillId="4" borderId="1" xfId="3" applyNumberFormat="1" applyFont="1" applyFill="1" applyBorder="1" applyAlignment="1">
      <alignment vertical="center" shrinkToFit="1"/>
    </xf>
    <xf numFmtId="0" fontId="17" fillId="2" borderId="3" xfId="3" applyNumberFormat="1" applyFont="1" applyFill="1" applyBorder="1" applyAlignment="1">
      <alignment vertical="center" shrinkToFit="1"/>
    </xf>
    <xf numFmtId="0" fontId="17" fillId="2" borderId="0" xfId="3" applyNumberFormat="1" applyFont="1" applyFill="1" applyBorder="1" applyAlignment="1">
      <alignment vertical="center" shrinkToFit="1"/>
    </xf>
    <xf numFmtId="0" fontId="17" fillId="2" borderId="4" xfId="3" applyNumberFormat="1" applyFont="1" applyFill="1" applyBorder="1" applyAlignment="1">
      <alignment vertical="center" shrinkToFit="1"/>
    </xf>
    <xf numFmtId="0" fontId="17" fillId="2" borderId="7" xfId="3" applyNumberFormat="1" applyFont="1" applyFill="1" applyBorder="1" applyAlignment="1">
      <alignment vertical="center" shrinkToFit="1"/>
    </xf>
    <xf numFmtId="0" fontId="17" fillId="2" borderId="2" xfId="3" applyNumberFormat="1" applyFont="1" applyFill="1" applyBorder="1" applyAlignment="1">
      <alignment vertical="center" shrinkToFit="1"/>
    </xf>
    <xf numFmtId="0" fontId="22" fillId="5" borderId="1" xfId="3" applyNumberFormat="1" applyFont="1" applyFill="1" applyBorder="1" applyAlignment="1">
      <alignment vertical="center" shrinkToFit="1"/>
    </xf>
    <xf numFmtId="0" fontId="3" fillId="0" borderId="0" xfId="3" applyNumberFormat="1" applyFont="1" applyFill="1" applyAlignment="1">
      <alignment vertical="center" shrinkToFit="1"/>
    </xf>
    <xf numFmtId="0" fontId="17" fillId="8" borderId="0" xfId="3" applyNumberFormat="1" applyFont="1" applyFill="1" applyAlignment="1">
      <alignment vertical="center" shrinkToFit="1"/>
    </xf>
    <xf numFmtId="0" fontId="17" fillId="8" borderId="2" xfId="3" applyNumberFormat="1" applyFont="1" applyFill="1" applyBorder="1" applyAlignment="1">
      <alignment vertical="center" shrinkToFit="1"/>
    </xf>
    <xf numFmtId="0" fontId="20" fillId="3" borderId="1" xfId="1" applyNumberFormat="1" applyFont="1" applyFill="1" applyBorder="1" applyAlignment="1">
      <alignment vertical="center" shrinkToFit="1"/>
    </xf>
    <xf numFmtId="0" fontId="17" fillId="8" borderId="0" xfId="1" applyNumberFormat="1" applyFont="1" applyFill="1" applyAlignment="1">
      <alignment vertical="center" shrinkToFit="1"/>
    </xf>
    <xf numFmtId="0" fontId="17" fillId="8" borderId="2" xfId="1" applyNumberFormat="1" applyFont="1" applyFill="1" applyBorder="1" applyAlignment="1">
      <alignment vertical="center" shrinkToFit="1"/>
    </xf>
    <xf numFmtId="0" fontId="17" fillId="8" borderId="1" xfId="3" applyNumberFormat="1" applyFont="1" applyFill="1" applyBorder="1" applyAlignment="1">
      <alignment vertical="center" shrinkToFit="1"/>
    </xf>
    <xf numFmtId="0" fontId="23" fillId="8" borderId="0" xfId="3" applyNumberFormat="1" applyFont="1" applyFill="1" applyAlignment="1">
      <alignment vertical="center" shrinkToFit="1"/>
    </xf>
    <xf numFmtId="0" fontId="23" fillId="8" borderId="2" xfId="3" applyNumberFormat="1" applyFont="1" applyFill="1" applyBorder="1" applyAlignment="1">
      <alignment vertical="center" shrinkToFit="1"/>
    </xf>
    <xf numFmtId="0" fontId="12" fillId="4" borderId="3" xfId="3" applyNumberFormat="1" applyFont="1" applyFill="1" applyBorder="1" applyAlignment="1">
      <alignment vertical="center" shrinkToFit="1"/>
    </xf>
    <xf numFmtId="0" fontId="12" fillId="4" borderId="3" xfId="1" applyNumberFormat="1" applyFont="1" applyFill="1" applyBorder="1" applyAlignment="1">
      <alignment vertical="center" shrinkToFit="1"/>
    </xf>
    <xf numFmtId="0" fontId="17" fillId="2" borderId="0" xfId="1" applyNumberFormat="1" applyFont="1" applyFill="1" applyAlignment="1">
      <alignment vertical="center" shrinkToFit="1"/>
    </xf>
    <xf numFmtId="0" fontId="17" fillId="2" borderId="2" xfId="1" applyNumberFormat="1" applyFont="1" applyFill="1" applyBorder="1" applyAlignment="1">
      <alignment vertical="center" shrinkToFit="1"/>
    </xf>
    <xf numFmtId="0" fontId="12" fillId="4" borderId="4" xfId="3" applyNumberFormat="1" applyFont="1" applyFill="1" applyBorder="1" applyAlignment="1">
      <alignment vertical="center" shrinkToFit="1"/>
    </xf>
    <xf numFmtId="0" fontId="12" fillId="4" borderId="4" xfId="1" applyNumberFormat="1" applyFont="1" applyFill="1" applyBorder="1" applyAlignment="1">
      <alignment vertical="center" shrinkToFit="1"/>
    </xf>
    <xf numFmtId="0" fontId="17" fillId="2" borderId="0" xfId="1" applyNumberFormat="1" applyFont="1" applyFill="1" applyBorder="1" applyAlignment="1">
      <alignment vertical="center" shrinkToFit="1"/>
    </xf>
    <xf numFmtId="0" fontId="13" fillId="2" borderId="0" xfId="3" applyNumberFormat="1" applyFont="1" applyFill="1" applyBorder="1" applyAlignment="1">
      <alignment vertical="center" shrinkToFit="1"/>
    </xf>
    <xf numFmtId="0" fontId="13" fillId="2" borderId="2" xfId="3" applyNumberFormat="1" applyFont="1" applyFill="1" applyBorder="1" applyAlignment="1">
      <alignment vertical="center" shrinkToFit="1"/>
    </xf>
    <xf numFmtId="0" fontId="13" fillId="2" borderId="0" xfId="3" applyNumberFormat="1" applyFont="1" applyFill="1" applyAlignment="1">
      <alignment vertical="center" shrinkToFit="1"/>
    </xf>
    <xf numFmtId="0" fontId="13" fillId="2" borderId="0" xfId="1" applyNumberFormat="1" applyFont="1" applyFill="1" applyAlignment="1">
      <alignment vertical="center" shrinkToFit="1"/>
    </xf>
    <xf numFmtId="0" fontId="13" fillId="2" borderId="0" xfId="1" applyNumberFormat="1" applyFont="1" applyFill="1" applyBorder="1" applyAlignment="1">
      <alignment vertical="center" shrinkToFit="1"/>
    </xf>
    <xf numFmtId="0" fontId="13" fillId="2" borderId="2" xfId="1" applyNumberFormat="1" applyFont="1" applyFill="1" applyBorder="1" applyAlignment="1">
      <alignment vertical="center" shrinkToFit="1"/>
    </xf>
    <xf numFmtId="0" fontId="11" fillId="4" borderId="0" xfId="3" applyNumberFormat="1" applyFont="1" applyFill="1" applyBorder="1" applyAlignment="1">
      <alignment vertical="center" shrinkToFit="1"/>
    </xf>
    <xf numFmtId="0" fontId="17" fillId="2" borderId="5" xfId="3" applyNumberFormat="1" applyFont="1" applyFill="1" applyBorder="1" applyAlignment="1">
      <alignment vertical="center" shrinkToFit="1"/>
    </xf>
    <xf numFmtId="0" fontId="17" fillId="2" borderId="6" xfId="3" applyNumberFormat="1" applyFont="1" applyFill="1" applyBorder="1" applyAlignment="1">
      <alignment vertical="center" shrinkToFit="1"/>
    </xf>
    <xf numFmtId="0" fontId="20" fillId="4" borderId="0" xfId="3" applyNumberFormat="1" applyFont="1" applyFill="1" applyBorder="1" applyAlignment="1">
      <alignment vertical="center" shrinkToFit="1"/>
    </xf>
    <xf numFmtId="0" fontId="20" fillId="4" borderId="1" xfId="3" applyNumberFormat="1" applyFont="1" applyFill="1" applyBorder="1" applyAlignment="1">
      <alignment vertical="center" shrinkToFit="1"/>
    </xf>
    <xf numFmtId="0" fontId="17" fillId="2" borderId="8" xfId="3" applyNumberFormat="1" applyFont="1" applyFill="1" applyBorder="1" applyAlignment="1">
      <alignment vertical="center" shrinkToFit="1"/>
    </xf>
    <xf numFmtId="0" fontId="3" fillId="2" borderId="0" xfId="3" applyNumberFormat="1" applyFont="1" applyFill="1" applyAlignment="1">
      <alignment vertical="center" shrinkToFit="1"/>
    </xf>
    <xf numFmtId="0" fontId="19" fillId="6" borderId="1" xfId="3" applyNumberFormat="1" applyFont="1" applyFill="1" applyBorder="1" applyAlignment="1">
      <alignment vertical="center" shrinkToFit="1"/>
    </xf>
    <xf numFmtId="0" fontId="19" fillId="7" borderId="1" xfId="3" applyNumberFormat="1" applyFont="1" applyFill="1" applyBorder="1" applyAlignment="1">
      <alignment horizontal="center" vertical="center" shrinkToFit="1"/>
    </xf>
    <xf numFmtId="0" fontId="12" fillId="4" borderId="1" xfId="1" applyNumberFormat="1" applyFont="1" applyFill="1" applyBorder="1" applyAlignment="1">
      <alignment vertical="center" shrinkToFit="1"/>
    </xf>
    <xf numFmtId="0" fontId="17" fillId="2" borderId="3" xfId="1" applyNumberFormat="1" applyFont="1" applyFill="1" applyBorder="1" applyAlignment="1">
      <alignment vertical="center" shrinkToFit="1"/>
    </xf>
    <xf numFmtId="0" fontId="17" fillId="2" borderId="4" xfId="1" applyNumberFormat="1" applyFont="1" applyFill="1" applyBorder="1" applyAlignment="1">
      <alignment vertical="center" shrinkToFit="1"/>
    </xf>
    <xf numFmtId="0" fontId="25" fillId="2" borderId="0" xfId="2" applyFont="1" applyFill="1"/>
    <xf numFmtId="0" fontId="17" fillId="2" borderId="0" xfId="2" applyFont="1" applyFill="1" applyAlignment="1">
      <alignment vertical="center"/>
    </xf>
    <xf numFmtId="0" fontId="17" fillId="2" borderId="0" xfId="2" applyFont="1" applyFill="1" applyAlignment="1">
      <alignment horizontal="center" vertical="center"/>
    </xf>
    <xf numFmtId="0" fontId="26" fillId="2" borderId="1" xfId="2" applyFont="1" applyFill="1" applyBorder="1" applyAlignment="1">
      <alignment vertical="center"/>
    </xf>
    <xf numFmtId="0" fontId="27" fillId="2" borderId="1" xfId="2" applyFont="1" applyFill="1" applyBorder="1" applyAlignment="1">
      <alignment vertical="center"/>
    </xf>
    <xf numFmtId="0" fontId="28" fillId="2" borderId="0" xfId="2" applyFont="1" applyFill="1" applyAlignment="1">
      <alignment vertical="center"/>
    </xf>
    <xf numFmtId="0" fontId="27" fillId="2" borderId="0" xfId="2" applyFont="1" applyFill="1" applyAlignment="1">
      <alignment vertical="center"/>
    </xf>
    <xf numFmtId="0" fontId="15" fillId="2" borderId="0" xfId="2" applyFont="1" applyFill="1" applyAlignment="1">
      <alignment vertical="center"/>
    </xf>
    <xf numFmtId="0" fontId="31" fillId="2" borderId="0" xfId="2" applyFont="1" applyFill="1" applyAlignment="1">
      <alignment vertical="center"/>
    </xf>
    <xf numFmtId="0" fontId="32" fillId="2" borderId="0" xfId="3" applyFont="1" applyFill="1" applyAlignment="1">
      <alignment vertical="center"/>
    </xf>
    <xf numFmtId="0" fontId="33" fillId="2" borderId="0" xfId="4" applyFont="1" applyFill="1" applyAlignment="1">
      <alignment horizontal="left" vertical="center" indent="1"/>
    </xf>
    <xf numFmtId="0" fontId="34" fillId="0" borderId="2" xfId="0" applyFont="1" applyBorder="1"/>
    <xf numFmtId="0" fontId="35" fillId="0" borderId="0" xfId="0" applyFont="1"/>
    <xf numFmtId="0" fontId="35" fillId="0" borderId="0" xfId="0" applyFont="1" applyAlignment="1">
      <alignment horizontal="left" indent="1"/>
    </xf>
    <xf numFmtId="0" fontId="29" fillId="2" borderId="0" xfId="2" applyFont="1" applyFill="1" applyAlignment="1">
      <alignment horizontal="left" vertical="center"/>
    </xf>
    <xf numFmtId="164" fontId="30" fillId="2" borderId="0" xfId="2" quotePrefix="1" applyNumberFormat="1" applyFont="1" applyFill="1" applyAlignment="1">
      <alignment horizontal="left" vertical="center"/>
    </xf>
    <xf numFmtId="0" fontId="36" fillId="0" borderId="0" xfId="2" applyFont="1" applyAlignment="1">
      <alignment horizontal="left" vertical="center"/>
    </xf>
    <xf numFmtId="1" fontId="19" fillId="6" borderId="1" xfId="3" applyNumberFormat="1" applyFont="1" applyFill="1" applyBorder="1" applyAlignment="1">
      <alignment horizontal="center" vertical="center"/>
    </xf>
  </cellXfs>
  <cellStyles count="5">
    <cellStyle name="Hyperlink" xfId="4" builtinId="8"/>
    <cellStyle name="Normal" xfId="0" builtinId="0"/>
    <cellStyle name="Normal 2" xfId="3"/>
    <cellStyle name="Normal 3" xfId="2"/>
    <cellStyle name="Percent" xfId="1" builtinId="5"/>
  </cellStyles>
  <dxfs count="0"/>
  <tableStyles count="0" defaultTableStyle="TableStyleMedium2" defaultPivotStyle="PivotStyleLight16"/>
  <colors>
    <mruColors>
      <color rgb="FF0564C3"/>
      <color rgb="FF050505"/>
      <color rgb="FFD7D7D7"/>
      <color rgb="FF00143C"/>
      <color rgb="FF001E5F"/>
      <color rgb="FF232D37"/>
      <color rgb="FFDCEBF5"/>
      <color rgb="FFD7E1F0"/>
      <color rgb="FFF0F0F0"/>
      <color rgb="FFBEBEB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9661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215"/>
    <col min="5" max="21" width="9.7109375" style="215" customWidth="1"/>
    <col min="22" max="22" width="9.7109375" style="216" customWidth="1"/>
    <col min="23" max="23" width="107.42578125" style="215" customWidth="1"/>
    <col min="24" max="24" width="44.7109375" style="215" customWidth="1"/>
    <col min="25" max="26" width="9.7109375" style="215" customWidth="1"/>
    <col min="27" max="16384" width="9.140625" style="215"/>
  </cols>
  <sheetData>
    <row r="2" spans="1:23" ht="21" x14ac:dyDescent="0.35">
      <c r="A2" s="214"/>
      <c r="B2" s="230"/>
      <c r="C2" s="230"/>
      <c r="D2" s="230"/>
      <c r="E2" s="230"/>
      <c r="F2" s="230"/>
      <c r="G2" s="230"/>
      <c r="H2" s="230"/>
      <c r="I2" s="230"/>
      <c r="J2" s="230"/>
      <c r="K2" s="230"/>
    </row>
    <row r="3" spans="1:23" ht="15" customHeight="1" x14ac:dyDescent="0.25">
      <c r="B3" s="230"/>
      <c r="C3" s="230"/>
      <c r="D3" s="230"/>
      <c r="E3" s="230"/>
      <c r="F3" s="230"/>
      <c r="G3" s="230"/>
      <c r="H3" s="230"/>
      <c r="I3" s="230"/>
      <c r="J3" s="230"/>
      <c r="K3" s="230"/>
    </row>
    <row r="6" spans="1:23" ht="31.5" x14ac:dyDescent="0.25">
      <c r="A6" s="217"/>
      <c r="B6" s="218" t="s">
        <v>179</v>
      </c>
      <c r="C6" s="218"/>
      <c r="D6" s="218"/>
      <c r="E6" s="218"/>
      <c r="F6" s="218"/>
      <c r="G6" s="218"/>
      <c r="H6" s="218"/>
      <c r="I6" s="218"/>
      <c r="J6" s="218"/>
      <c r="K6" s="218"/>
      <c r="L6" s="218"/>
      <c r="M6" s="218"/>
      <c r="N6" s="218"/>
      <c r="O6" s="218"/>
      <c r="P6" s="218"/>
      <c r="Q6" s="218"/>
      <c r="V6" s="215"/>
    </row>
    <row r="7" spans="1:23" ht="15" customHeight="1" x14ac:dyDescent="0.25">
      <c r="V7" s="215"/>
    </row>
    <row r="8" spans="1:23" ht="15" customHeight="1" x14ac:dyDescent="0.25">
      <c r="V8" s="215"/>
    </row>
    <row r="9" spans="1:23" ht="15" customHeight="1" x14ac:dyDescent="0.25">
      <c r="V9" s="215"/>
    </row>
    <row r="10" spans="1:23" ht="28.5" x14ac:dyDescent="0.25">
      <c r="C10" s="219" t="s">
        <v>188</v>
      </c>
      <c r="V10" s="215"/>
    </row>
    <row r="11" spans="1:23" ht="15" customHeight="1" x14ac:dyDescent="0.25">
      <c r="V11" s="215"/>
    </row>
    <row r="15" spans="1:23" ht="30" customHeight="1" x14ac:dyDescent="0.25">
      <c r="C15" s="219" t="s">
        <v>142</v>
      </c>
    </row>
    <row r="16" spans="1:23" ht="15" customHeight="1" x14ac:dyDescent="0.25">
      <c r="W16" s="220"/>
    </row>
    <row r="17" spans="12:32" ht="15" customHeight="1" x14ac:dyDescent="0.25">
      <c r="W17" s="220"/>
    </row>
    <row r="28" spans="12:32" ht="21" x14ac:dyDescent="0.25">
      <c r="L28" s="228" t="s">
        <v>0</v>
      </c>
      <c r="M28" s="228"/>
      <c r="N28" s="228"/>
      <c r="O28" s="228"/>
    </row>
    <row r="29" spans="12:32" ht="15" customHeight="1" x14ac:dyDescent="0.25">
      <c r="V29" s="215"/>
    </row>
    <row r="30" spans="12:32" ht="18.75" x14ac:dyDescent="0.25">
      <c r="L30" s="229">
        <v>45967.474606481483</v>
      </c>
      <c r="M30" s="229"/>
      <c r="N30" s="229"/>
      <c r="O30" s="229"/>
      <c r="V30" s="215"/>
    </row>
    <row r="31" spans="12:32" ht="15" customHeight="1" x14ac:dyDescent="0.25">
      <c r="L31" s="221" t="s">
        <v>180</v>
      </c>
      <c r="V31" s="215"/>
      <c r="AA31" s="222"/>
      <c r="AB31" s="222"/>
      <c r="AC31" s="222"/>
      <c r="AD31" s="222"/>
      <c r="AE31" s="222"/>
      <c r="AF31" s="222"/>
    </row>
    <row r="32" spans="12:32" ht="15" customHeight="1" x14ac:dyDescent="0.25">
      <c r="V32" s="215"/>
    </row>
    <row r="33" spans="2:32" ht="15" customHeight="1" x14ac:dyDescent="0.25">
      <c r="B33" s="223" t="s">
        <v>1</v>
      </c>
      <c r="V33" s="215"/>
    </row>
    <row r="34" spans="2:32" ht="15" customHeight="1" x14ac:dyDescent="0.25">
      <c r="B34" s="223"/>
      <c r="V34" s="223"/>
    </row>
    <row r="35" spans="2:32" ht="15" customHeight="1" x14ac:dyDescent="0.25">
      <c r="B35" s="223" t="s">
        <v>2</v>
      </c>
      <c r="V35" s="223"/>
    </row>
    <row r="36" spans="2:32" ht="15" customHeight="1" x14ac:dyDescent="0.25">
      <c r="B36" s="223" t="s">
        <v>3</v>
      </c>
      <c r="E36" s="222"/>
      <c r="F36" s="222"/>
      <c r="G36" s="222"/>
      <c r="H36" s="222"/>
      <c r="I36" s="222"/>
      <c r="J36" s="222"/>
      <c r="K36" s="222"/>
      <c r="L36" s="222"/>
      <c r="M36" s="222"/>
      <c r="N36" s="222"/>
      <c r="O36" s="222"/>
      <c r="P36" s="222"/>
      <c r="Q36" s="222"/>
      <c r="R36" s="222"/>
      <c r="S36" s="222"/>
      <c r="T36" s="222"/>
      <c r="U36" s="222"/>
      <c r="W36" s="222"/>
      <c r="X36" s="222"/>
      <c r="Y36" s="222"/>
      <c r="Z36" s="222"/>
    </row>
    <row r="38" spans="2:32" ht="15" customHeight="1" x14ac:dyDescent="0.25">
      <c r="B38" s="223" t="s">
        <v>4</v>
      </c>
    </row>
    <row r="39" spans="2:32" ht="15" customHeight="1" x14ac:dyDescent="0.25">
      <c r="B39" s="223" t="s">
        <v>5</v>
      </c>
    </row>
    <row r="40" spans="2:32" ht="15" customHeight="1" x14ac:dyDescent="0.25">
      <c r="B40" s="224" t="s">
        <v>6</v>
      </c>
      <c r="AA40" s="222"/>
      <c r="AB40" s="222"/>
      <c r="AC40" s="222"/>
      <c r="AD40" s="222"/>
      <c r="AE40" s="222"/>
      <c r="AF40" s="222"/>
    </row>
  </sheetData>
  <mergeCells count="3">
    <mergeCell ref="L28:O28"/>
    <mergeCell ref="L30:O30"/>
    <mergeCell ref="B2:K3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D26"/>
  <sheetViews>
    <sheetView showGridLines="0" workbookViewId="0"/>
  </sheetViews>
  <sheetFormatPr defaultRowHeight="15" x14ac:dyDescent="0.25"/>
  <cols>
    <col min="1" max="1" width="7.7109375" customWidth="1"/>
    <col min="2" max="2" width="15.85546875" customWidth="1"/>
    <col min="3" max="3" width="2.85546875" customWidth="1"/>
    <col min="4" max="4" width="54.7109375" customWidth="1"/>
  </cols>
  <sheetData>
    <row r="1" spans="1:4" ht="18.75" x14ac:dyDescent="0.3">
      <c r="A1" s="6" t="s">
        <v>187</v>
      </c>
      <c r="B1" s="6" t="s">
        <v>188</v>
      </c>
      <c r="C1" s="2"/>
    </row>
    <row r="2" spans="1:4" ht="18.75" x14ac:dyDescent="0.3">
      <c r="A2" s="1"/>
      <c r="B2" s="2"/>
      <c r="C2" s="2"/>
    </row>
    <row r="3" spans="1:4" ht="18.75" x14ac:dyDescent="0.3">
      <c r="A3" s="1"/>
      <c r="B3" s="225" t="s">
        <v>16</v>
      </c>
      <c r="C3" s="3"/>
      <c r="D3" s="9"/>
    </row>
    <row r="4" spans="1:4" x14ac:dyDescent="0.25">
      <c r="A4" s="4"/>
      <c r="B4" s="7" t="str">
        <f ca="1">HYPERLINK("#"&amp;CELL("address",Transport!$B$2),MID(CELL("filename",Transport!$B$2),FIND("]",CELL("filename",Transport!$B$2))+1,256))</f>
        <v>Transport</v>
      </c>
      <c r="C4" s="5"/>
      <c r="D4" s="226" t="s">
        <v>7</v>
      </c>
    </row>
    <row r="5" spans="1:4" ht="5.0999999999999996" customHeight="1" x14ac:dyDescent="0.25">
      <c r="B5" s="7"/>
      <c r="C5" s="5"/>
      <c r="D5" s="2"/>
    </row>
    <row r="6" spans="1:4" x14ac:dyDescent="0.25">
      <c r="B6" s="7" t="str">
        <f ca="1">HYPERLINK("#"&amp;CELL("address",TrRoad_act!$B$2),MID(CELL("filename",TrRoad_act!$B$2),FIND("]",CELL("filename",TrRoad_act!$B$2))+1,256))</f>
        <v>TrRoad_act</v>
      </c>
      <c r="C6" s="5"/>
      <c r="D6" s="226" t="s">
        <v>8</v>
      </c>
    </row>
    <row r="7" spans="1:4" x14ac:dyDescent="0.25">
      <c r="B7" s="8" t="str">
        <f ca="1">HYPERLINK("#"&amp;CELL("address",TrRoad_ene!$B$2),MID(CELL("filename",TrRoad_ene!$B$2),FIND("]",CELL("filename",TrRoad_ene!$B$2))+1,256))</f>
        <v>TrRoad_ene</v>
      </c>
      <c r="C7" s="5"/>
      <c r="D7" s="227" t="s">
        <v>9</v>
      </c>
    </row>
    <row r="8" spans="1:4" x14ac:dyDescent="0.25">
      <c r="B8" s="8" t="str">
        <f ca="1">HYPERLINK("#"&amp;CELL("address",TrRoad_emi!$B$2),MID(CELL("filename",TrRoad_emi!$B$2),FIND("]",CELL("filename",TrRoad_emi!$B$2))+1,256))</f>
        <v>TrRoad_emi</v>
      </c>
      <c r="C8" s="5"/>
      <c r="D8" s="227" t="s">
        <v>10</v>
      </c>
    </row>
    <row r="9" spans="1:4" x14ac:dyDescent="0.25">
      <c r="B9" s="8" t="str">
        <f ca="1">HYPERLINK("#"&amp;CELL("address",TrRoad_tech!$B$2),MID(CELL("filename",TrRoad_tech!$B$2),FIND("]",CELL("filename",TrRoad_tech!$B$2))+1,256))</f>
        <v>TrRoad_tech</v>
      </c>
      <c r="C9" s="5"/>
      <c r="D9" s="227" t="s">
        <v>11</v>
      </c>
    </row>
    <row r="10" spans="1:4" ht="5.0999999999999996" customHeight="1" x14ac:dyDescent="0.25">
      <c r="B10" s="7"/>
      <c r="C10" s="5"/>
      <c r="D10" s="2"/>
    </row>
    <row r="11" spans="1:4" x14ac:dyDescent="0.25">
      <c r="B11" s="7" t="str">
        <f ca="1">HYPERLINK("#"&amp;CELL("address",TrRail_act!$B$2),MID(CELL("filename",TrRail_act!$B$2),FIND("]",CELL("filename",TrRail_act!$B$2))+1,256))</f>
        <v>TrRail_act</v>
      </c>
      <c r="C11" s="5"/>
      <c r="D11" s="226" t="s">
        <v>12</v>
      </c>
    </row>
    <row r="12" spans="1:4" x14ac:dyDescent="0.25">
      <c r="B12" s="8" t="str">
        <f ca="1">HYPERLINK("#"&amp;CELL("address",TrRail_ene!$B$2),MID(CELL("filename",TrRail_ene!$B$2),FIND("]",CELL("filename",TrRail_ene!$B$2))+1,256))</f>
        <v>TrRail_ene</v>
      </c>
      <c r="C12" s="5"/>
      <c r="D12" s="227" t="s">
        <v>9</v>
      </c>
    </row>
    <row r="13" spans="1:4" x14ac:dyDescent="0.25">
      <c r="B13" s="8" t="str">
        <f ca="1">HYPERLINK("#"&amp;CELL("address",TrRail_emi!$B$2),MID(CELL("filename",TrRail_emi!$B$2),FIND("]",CELL("filename",TrRail_emi!$B$2))+1,256))</f>
        <v>TrRail_emi</v>
      </c>
      <c r="C13" s="5"/>
      <c r="D13" s="227" t="s">
        <v>10</v>
      </c>
    </row>
    <row r="14" spans="1:4" ht="5.0999999999999996" customHeight="1" x14ac:dyDescent="0.25">
      <c r="B14" s="7"/>
      <c r="C14" s="5"/>
      <c r="D14" s="2"/>
    </row>
    <row r="15" spans="1:4" x14ac:dyDescent="0.25">
      <c r="B15" s="7" t="str">
        <f ca="1">HYPERLINK("#"&amp;CELL("address",TrAvia_act!$B$2),MID(CELL("filename",TrAvia_act!$B$2),FIND("]",CELL("filename",TrAvia_act!$B$2))+1,256))</f>
        <v>TrAvia_act</v>
      </c>
      <c r="C15" s="5"/>
      <c r="D15" s="226" t="s">
        <v>13</v>
      </c>
    </row>
    <row r="16" spans="1:4" x14ac:dyDescent="0.25">
      <c r="B16" s="8" t="str">
        <f ca="1">HYPERLINK("#"&amp;CELL("address",TrAvia_ene!$B$2),MID(CELL("filename",TrAvia_ene!$B$2),FIND("]",CELL("filename",TrAvia_ene!$B$2))+1,256))</f>
        <v>TrAvia_ene</v>
      </c>
      <c r="C16" s="5"/>
      <c r="D16" s="227" t="s">
        <v>9</v>
      </c>
    </row>
    <row r="17" spans="2:4" x14ac:dyDescent="0.25">
      <c r="B17" s="8" t="str">
        <f ca="1">HYPERLINK("#"&amp;CELL("address",TrAvia_emi!$B$2),MID(CELL("filename",TrAvia_emi!$B$2),FIND("]",CELL("filename",TrAvia_emi!$B$2))+1,256))</f>
        <v>TrAvia_emi</v>
      </c>
      <c r="C17" s="5"/>
      <c r="D17" s="227" t="s">
        <v>10</v>
      </c>
    </row>
    <row r="18" spans="2:4" x14ac:dyDescent="0.25">
      <c r="B18" s="8" t="str">
        <f ca="1">HYPERLINK("#"&amp;CELL("address",TrAvia_png!$B$2),MID(CELL("filename",TrAvia_png!$B$2),FIND("]",CELL("filename",TrAvia_png!$B$2))+1,256))</f>
        <v>TrAvia_png</v>
      </c>
      <c r="C18" s="5"/>
      <c r="D18" s="227" t="s">
        <v>14</v>
      </c>
    </row>
    <row r="19" spans="2:4" ht="5.0999999999999996" customHeight="1" x14ac:dyDescent="0.25">
      <c r="B19" s="7"/>
      <c r="C19" s="5"/>
      <c r="D19" s="2"/>
    </row>
    <row r="20" spans="2:4" x14ac:dyDescent="0.25">
      <c r="B20" s="7" t="str">
        <f ca="1">HYPERLINK("#"&amp;CELL("address",TrNavi_act!$B$2),MID(CELL("filename",TrNavi_act!$B$2),FIND("]",CELL("filename",TrNavi_act!$B$2))+1,256))</f>
        <v>TrNavi_act</v>
      </c>
      <c r="C20" s="5"/>
      <c r="D20" s="226" t="s">
        <v>15</v>
      </c>
    </row>
    <row r="21" spans="2:4" x14ac:dyDescent="0.25">
      <c r="B21" s="8" t="str">
        <f ca="1">HYPERLINK("#"&amp;CELL("address",TrNavi_ene!$B$2),MID(CELL("filename",TrNavi_ene!$B$2),FIND("]",CELL("filename",TrNavi_ene!$B$2))+1,256))</f>
        <v>TrNavi_ene</v>
      </c>
      <c r="C21" s="5"/>
      <c r="D21" s="227" t="s">
        <v>9</v>
      </c>
    </row>
    <row r="22" spans="2:4" x14ac:dyDescent="0.25">
      <c r="B22" s="8" t="str">
        <f ca="1">HYPERLINK("#"&amp;CELL("address",TrNavi_emi!$B$2),MID(CELL("filename",TrNavi_emi!$B$2),FIND("]",CELL("filename",TrNavi_emi!$B$2))+1,256))</f>
        <v>TrNavi_emi</v>
      </c>
      <c r="C22" s="5"/>
      <c r="D22" s="227" t="s">
        <v>10</v>
      </c>
    </row>
    <row r="23" spans="2:4" ht="5.0999999999999996" customHeight="1" x14ac:dyDescent="0.25">
      <c r="B23" s="7"/>
      <c r="C23" s="5"/>
      <c r="D23" s="2"/>
    </row>
    <row r="24" spans="2:4" x14ac:dyDescent="0.25">
      <c r="B24" s="7" t="str">
        <f ca="1">HYPERLINK("#"&amp;CELL("address",MBunk_act!$B$2),MID(CELL("filename",MBunk_act!$B$2),FIND("]",CELL("filename",MBunk_act!$B$2))+1,256))</f>
        <v>MBunk_act</v>
      </c>
      <c r="C24" s="5"/>
      <c r="D24" s="226" t="s">
        <v>165</v>
      </c>
    </row>
    <row r="25" spans="2:4" x14ac:dyDescent="0.25">
      <c r="B25" s="8" t="str">
        <f ca="1">HYPERLINK("#"&amp;CELL("address",MBunk_ene!$B$2),MID(CELL("filename",MBunk_ene!$B$2),FIND("]",CELL("filename",MBunk_ene!$B$2))+1,256))</f>
        <v>MBunk_ene</v>
      </c>
      <c r="C25" s="5"/>
      <c r="D25" s="227" t="s">
        <v>9</v>
      </c>
    </row>
    <row r="26" spans="2:4" x14ac:dyDescent="0.25">
      <c r="B26" s="8" t="str">
        <f ca="1">HYPERLINK("#"&amp;CELL("address",MBunk_emi!$B$2),MID(CELL("filename",MBunk_emi!$B$2),FIND("]",CELL("filename",MBunk_emi!$B$2))+1,256))</f>
        <v>MBunk_emi</v>
      </c>
      <c r="C26" s="5"/>
      <c r="D26" s="227" t="s">
        <v>10</v>
      </c>
    </row>
  </sheetData>
  <pageMargins left="0.39370078740157483" right="0.39370078740157483" top="0.39370078740157483" bottom="0.39370078740157483" header="0.31496062992125984" footer="0.31496062992125984"/>
  <pageSetup paperSize="9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DA246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370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DA2" s="171"/>
    </row>
    <row r="3" spans="1:105" ht="11.45" customHeight="1" x14ac:dyDescent="0.25">
      <c r="A3" s="53" t="s">
        <v>17</v>
      </c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  <c r="P3" s="142"/>
      <c r="Q3" s="142"/>
      <c r="R3" s="142"/>
      <c r="S3" s="142"/>
      <c r="T3" s="142"/>
      <c r="U3" s="142"/>
      <c r="V3" s="142"/>
      <c r="W3" s="142"/>
      <c r="X3" s="142"/>
      <c r="Y3" s="142"/>
      <c r="DA3" s="172"/>
    </row>
    <row r="4" spans="1:105" ht="11.45" customHeight="1" x14ac:dyDescent="0.25">
      <c r="A4" s="27" t="s">
        <v>18</v>
      </c>
      <c r="B4" s="28">
        <f t="shared" ref="B4:Q4" si="0">B5+B9+B13</f>
        <v>524867.56631288049</v>
      </c>
      <c r="C4" s="28">
        <f t="shared" si="0"/>
        <v>525574.48575726734</v>
      </c>
      <c r="D4" s="28">
        <f t="shared" si="0"/>
        <v>528109.62245233031</v>
      </c>
      <c r="E4" s="28">
        <f t="shared" si="0"/>
        <v>540476.65776466916</v>
      </c>
      <c r="F4" s="28">
        <f t="shared" si="0"/>
        <v>565064.36442442494</v>
      </c>
      <c r="G4" s="28">
        <f t="shared" si="0"/>
        <v>641811.93972743873</v>
      </c>
      <c r="H4" s="28">
        <f t="shared" si="0"/>
        <v>644369.43264975876</v>
      </c>
      <c r="I4" s="28">
        <f t="shared" si="0"/>
        <v>680735.57517029624</v>
      </c>
      <c r="J4" s="28">
        <f t="shared" si="0"/>
        <v>686259.19843167427</v>
      </c>
      <c r="K4" s="28">
        <f t="shared" si="0"/>
        <v>672839.07274807198</v>
      </c>
      <c r="L4" s="28">
        <f t="shared" si="0"/>
        <v>660105.95701386384</v>
      </c>
      <c r="M4" s="28">
        <f t="shared" si="0"/>
        <v>676413.82486481755</v>
      </c>
      <c r="N4" s="28">
        <f t="shared" si="0"/>
        <v>655254.50296809874</v>
      </c>
      <c r="O4" s="28">
        <f t="shared" si="0"/>
        <v>650149.96346715896</v>
      </c>
      <c r="P4" s="28">
        <f t="shared" si="0"/>
        <v>623581.70388699078</v>
      </c>
      <c r="Q4" s="28">
        <f t="shared" si="0"/>
        <v>655072.88727474818</v>
      </c>
      <c r="R4" s="28">
        <f t="shared" ref="R4:V4" si="1">R5+R9+R13</f>
        <v>697147.85104550794</v>
      </c>
      <c r="S4" s="28">
        <f t="shared" si="1"/>
        <v>682890.93341562198</v>
      </c>
      <c r="T4" s="28">
        <f t="shared" si="1"/>
        <v>706756.10404071561</v>
      </c>
      <c r="U4" s="28">
        <f t="shared" si="1"/>
        <v>721406.58421715</v>
      </c>
      <c r="V4" s="28">
        <f t="shared" si="1"/>
        <v>403811.34131035092</v>
      </c>
      <c r="W4" s="28">
        <f t="shared" ref="W4:Y4" si="2">W5+W9+W13</f>
        <v>518328.92241603608</v>
      </c>
      <c r="X4" s="28">
        <f t="shared" si="2"/>
        <v>697418.00275973405</v>
      </c>
      <c r="Y4" s="28">
        <f t="shared" si="2"/>
        <v>766591.1827309106</v>
      </c>
      <c r="DA4" s="173" t="s">
        <v>371</v>
      </c>
    </row>
    <row r="5" spans="1:105" ht="11.45" customHeight="1" x14ac:dyDescent="0.25">
      <c r="A5" s="136" t="s">
        <v>19</v>
      </c>
      <c r="B5" s="137">
        <f t="shared" ref="B5:Q5" si="3">B6+B7+B8</f>
        <v>363532.00853690819</v>
      </c>
      <c r="C5" s="137">
        <f t="shared" si="3"/>
        <v>370980.77703673177</v>
      </c>
      <c r="D5" s="137">
        <f t="shared" si="3"/>
        <v>375563.264308527</v>
      </c>
      <c r="E5" s="137">
        <f t="shared" si="3"/>
        <v>383125.70415170508</v>
      </c>
      <c r="F5" s="137">
        <f t="shared" si="3"/>
        <v>395161.30496386153</v>
      </c>
      <c r="G5" s="137">
        <f t="shared" si="3"/>
        <v>459111.76157717995</v>
      </c>
      <c r="H5" s="137">
        <f t="shared" si="3"/>
        <v>455344.63808441622</v>
      </c>
      <c r="I5" s="137">
        <f t="shared" si="3"/>
        <v>479777.00759609707</v>
      </c>
      <c r="J5" s="137">
        <f t="shared" si="3"/>
        <v>481767.88985529845</v>
      </c>
      <c r="K5" s="137">
        <f t="shared" si="3"/>
        <v>483402.17220106191</v>
      </c>
      <c r="L5" s="137">
        <f t="shared" si="3"/>
        <v>462604.24657638994</v>
      </c>
      <c r="M5" s="137">
        <f t="shared" si="3"/>
        <v>462696.16785907879</v>
      </c>
      <c r="N5" s="137">
        <f t="shared" si="3"/>
        <v>446512.98570399609</v>
      </c>
      <c r="O5" s="137">
        <f t="shared" si="3"/>
        <v>440408.37851614226</v>
      </c>
      <c r="P5" s="137">
        <f t="shared" si="3"/>
        <v>405683.35826962965</v>
      </c>
      <c r="Q5" s="137">
        <f t="shared" si="3"/>
        <v>429722.85166145209</v>
      </c>
      <c r="R5" s="137">
        <f t="shared" ref="R5:V5" si="4">R6+R7+R8</f>
        <v>448416.70449435007</v>
      </c>
      <c r="S5" s="137">
        <f t="shared" si="4"/>
        <v>415832.30820553831</v>
      </c>
      <c r="T5" s="137">
        <f t="shared" si="4"/>
        <v>426054.55009384407</v>
      </c>
      <c r="U5" s="137">
        <f t="shared" si="4"/>
        <v>430930.73454936192</v>
      </c>
      <c r="V5" s="137">
        <f t="shared" si="4"/>
        <v>321802.23798090656</v>
      </c>
      <c r="W5" s="137">
        <f t="shared" ref="W5:Y5" si="5">W6+W7+W8</f>
        <v>399358.35326299624</v>
      </c>
      <c r="X5" s="137">
        <f t="shared" si="5"/>
        <v>440197.04879494436</v>
      </c>
      <c r="Y5" s="137">
        <f t="shared" si="5"/>
        <v>455843.95990090061</v>
      </c>
      <c r="DA5" s="174" t="s">
        <v>372</v>
      </c>
    </row>
    <row r="6" spans="1:105" ht="11.45" customHeight="1" x14ac:dyDescent="0.25">
      <c r="A6" s="128" t="str">
        <f>TrRoad_act!$A$5</f>
        <v>Powered two-wheelers</v>
      </c>
      <c r="B6" s="102">
        <f>TrRoad_act!B$5</f>
        <v>10643.008536908241</v>
      </c>
      <c r="C6" s="102">
        <f>TrRoad_act!C$5</f>
        <v>11313.777036731812</v>
      </c>
      <c r="D6" s="102">
        <f>TrRoad_act!D$5</f>
        <v>10510.264308526986</v>
      </c>
      <c r="E6" s="102">
        <f>TrRoad_act!E$5</f>
        <v>11988.704151705082</v>
      </c>
      <c r="F6" s="102">
        <f>TrRoad_act!F$5</f>
        <v>11511.304963861543</v>
      </c>
      <c r="G6" s="102">
        <f>TrRoad_act!G$5</f>
        <v>13339.76157717991</v>
      </c>
      <c r="H6" s="102">
        <f>TrRoad_act!H$5</f>
        <v>13525.638084416209</v>
      </c>
      <c r="I6" s="102">
        <f>TrRoad_act!I$5</f>
        <v>15531.007596097086</v>
      </c>
      <c r="J6" s="102">
        <f>TrRoad_act!J$5</f>
        <v>15517.889855298521</v>
      </c>
      <c r="K6" s="102">
        <f>TrRoad_act!K$5</f>
        <v>16167.17220106184</v>
      </c>
      <c r="L6" s="102">
        <f>TrRoad_act!L$5</f>
        <v>16369.779553373883</v>
      </c>
      <c r="M6" s="102">
        <f>TrRoad_act!M$5</f>
        <v>15243.167859078809</v>
      </c>
      <c r="N6" s="102">
        <f>TrRoad_act!N$5</f>
        <v>14437.985703996143</v>
      </c>
      <c r="O6" s="102">
        <f>TrRoad_act!O$5</f>
        <v>14259.857741442283</v>
      </c>
      <c r="P6" s="102">
        <f>TrRoad_act!P$5</f>
        <v>15821.161796565651</v>
      </c>
      <c r="Q6" s="102">
        <f>TrRoad_act!Q$5</f>
        <v>17241.598935795049</v>
      </c>
      <c r="R6" s="102">
        <f>TrRoad_act!R$5</f>
        <v>17609.633946949965</v>
      </c>
      <c r="S6" s="102">
        <f>TrRoad_act!S$5</f>
        <v>16605.184311753394</v>
      </c>
      <c r="T6" s="102">
        <f>TrRoad_act!T$5</f>
        <v>15818.134247731154</v>
      </c>
      <c r="U6" s="102">
        <f>TrRoad_act!U$5</f>
        <v>17180.297052982838</v>
      </c>
      <c r="V6" s="102">
        <f>TrRoad_act!V$5</f>
        <v>15022.704845274564</v>
      </c>
      <c r="W6" s="102">
        <f>TrRoad_act!W$5</f>
        <v>16047.908566998336</v>
      </c>
      <c r="X6" s="102">
        <f>TrRoad_act!X$5</f>
        <v>16226.552303246372</v>
      </c>
      <c r="Y6" s="102">
        <f>TrRoad_act!Y$5</f>
        <v>17542.691871794559</v>
      </c>
      <c r="DA6" s="175" t="s">
        <v>373</v>
      </c>
    </row>
    <row r="7" spans="1:105" ht="11.45" customHeight="1" x14ac:dyDescent="0.25">
      <c r="A7" s="128" t="str">
        <f>TrRoad_act!$A$6</f>
        <v>Passenger cars</v>
      </c>
      <c r="B7" s="102">
        <f>TrRoad_act!B$6</f>
        <v>302610.99999999994</v>
      </c>
      <c r="C7" s="102">
        <f>TrRoad_act!C$6</f>
        <v>307954.99999999994</v>
      </c>
      <c r="D7" s="102">
        <f>TrRoad_act!D$6</f>
        <v>315000</v>
      </c>
      <c r="E7" s="102">
        <f>TrRoad_act!E$6</f>
        <v>321928</v>
      </c>
      <c r="F7" s="102">
        <f>TrRoad_act!F$6</f>
        <v>330192</v>
      </c>
      <c r="G7" s="102">
        <f>TrRoad_act!G$6</f>
        <v>392596.00000000006</v>
      </c>
      <c r="H7" s="102">
        <f>TrRoad_act!H$6</f>
        <v>392450</v>
      </c>
      <c r="I7" s="102">
        <f>TrRoad_act!I$6</f>
        <v>405083</v>
      </c>
      <c r="J7" s="102">
        <f>TrRoad_act!J$6</f>
        <v>405385.99999999994</v>
      </c>
      <c r="K7" s="102">
        <f>TrRoad_act!K$6</f>
        <v>410192.00000000006</v>
      </c>
      <c r="L7" s="102">
        <f>TrRoad_act!L$6</f>
        <v>395332.46702301607</v>
      </c>
      <c r="M7" s="102">
        <f>TrRoad_act!M$6</f>
        <v>391711</v>
      </c>
      <c r="N7" s="102">
        <f>TrRoad_act!N$6</f>
        <v>377543.99999999994</v>
      </c>
      <c r="O7" s="102">
        <f>TrRoad_act!O$6</f>
        <v>372312.52077469998</v>
      </c>
      <c r="P7" s="102">
        <f>TrRoad_act!P$6</f>
        <v>350393.19647306402</v>
      </c>
      <c r="Q7" s="102">
        <f>TrRoad_act!Q$6</f>
        <v>366092.25272565702</v>
      </c>
      <c r="R7" s="102">
        <f>TrRoad_act!R$6</f>
        <v>383044.0705474001</v>
      </c>
      <c r="S7" s="102">
        <f>TrRoad_act!S$6</f>
        <v>368717.12389378494</v>
      </c>
      <c r="T7" s="102">
        <f>TrRoad_act!T$6</f>
        <v>378048.41584611294</v>
      </c>
      <c r="U7" s="102">
        <f>TrRoad_act!U$6</f>
        <v>380500.43749637908</v>
      </c>
      <c r="V7" s="102">
        <f>TrRoad_act!V$6</f>
        <v>287850.53313563199</v>
      </c>
      <c r="W7" s="102">
        <f>TrRoad_act!W$6</f>
        <v>353627.44469599793</v>
      </c>
      <c r="X7" s="102">
        <f>TrRoad_act!X$6</f>
        <v>386108.49649169797</v>
      </c>
      <c r="Y7" s="102">
        <f>TrRoad_act!Y$6</f>
        <v>396151.26802910602</v>
      </c>
      <c r="DA7" s="175" t="s">
        <v>374</v>
      </c>
    </row>
    <row r="8" spans="1:105" ht="11.45" customHeight="1" x14ac:dyDescent="0.25">
      <c r="A8" s="128" t="str">
        <f>TrRoad_act!$A$13</f>
        <v>Motor coaches, buses and trolley buses</v>
      </c>
      <c r="B8" s="102">
        <f>TrRoad_act!B$13</f>
        <v>50278</v>
      </c>
      <c r="C8" s="102">
        <f>TrRoad_act!C$13</f>
        <v>51712.000000000007</v>
      </c>
      <c r="D8" s="102">
        <f>TrRoad_act!D$13</f>
        <v>50053</v>
      </c>
      <c r="E8" s="102">
        <f>TrRoad_act!E$13</f>
        <v>49208.999999999993</v>
      </c>
      <c r="F8" s="102">
        <f>TrRoad_act!F$13</f>
        <v>53458</v>
      </c>
      <c r="G8" s="102">
        <f>TrRoad_act!G$13</f>
        <v>53176</v>
      </c>
      <c r="H8" s="102">
        <f>TrRoad_act!H$13</f>
        <v>49369</v>
      </c>
      <c r="I8" s="102">
        <f>TrRoad_act!I$13</f>
        <v>59163</v>
      </c>
      <c r="J8" s="102">
        <f>TrRoad_act!J$13</f>
        <v>60864.000000000007</v>
      </c>
      <c r="K8" s="102">
        <f>TrRoad_act!K$13</f>
        <v>57043</v>
      </c>
      <c r="L8" s="102">
        <f>TrRoad_act!L$13</f>
        <v>50902</v>
      </c>
      <c r="M8" s="102">
        <f>TrRoad_act!M$13</f>
        <v>55742.000000000007</v>
      </c>
      <c r="N8" s="102">
        <f>TrRoad_act!N$13</f>
        <v>54531</v>
      </c>
      <c r="O8" s="102">
        <f>TrRoad_act!O$13</f>
        <v>53836</v>
      </c>
      <c r="P8" s="102">
        <f>TrRoad_act!P$13</f>
        <v>39468.999999999993</v>
      </c>
      <c r="Q8" s="102">
        <f>TrRoad_act!Q$13</f>
        <v>46389</v>
      </c>
      <c r="R8" s="102">
        <f>TrRoad_act!R$13</f>
        <v>47763</v>
      </c>
      <c r="S8" s="102">
        <f>TrRoad_act!S$13</f>
        <v>30510</v>
      </c>
      <c r="T8" s="102">
        <f>TrRoad_act!T$13</f>
        <v>32188.000000000007</v>
      </c>
      <c r="U8" s="102">
        <f>TrRoad_act!U$13</f>
        <v>33250.000000000007</v>
      </c>
      <c r="V8" s="102">
        <f>TrRoad_act!V$13</f>
        <v>18929</v>
      </c>
      <c r="W8" s="102">
        <f>TrRoad_act!W$13</f>
        <v>29683.000000000004</v>
      </c>
      <c r="X8" s="102">
        <f>TrRoad_act!X$13</f>
        <v>37862</v>
      </c>
      <c r="Y8" s="102">
        <f>TrRoad_act!Y$13</f>
        <v>42150</v>
      </c>
      <c r="DA8" s="175" t="s">
        <v>375</v>
      </c>
    </row>
    <row r="9" spans="1:105" ht="11.45" customHeight="1" x14ac:dyDescent="0.25">
      <c r="A9" s="109" t="s">
        <v>22</v>
      </c>
      <c r="B9" s="110">
        <f t="shared" ref="B9:Q9" si="6">B10+B11+B12</f>
        <v>25374</v>
      </c>
      <c r="C9" s="110">
        <f t="shared" si="6"/>
        <v>26168</v>
      </c>
      <c r="D9" s="110">
        <f t="shared" si="6"/>
        <v>26711</v>
      </c>
      <c r="E9" s="110">
        <f t="shared" si="6"/>
        <v>26727</v>
      </c>
      <c r="F9" s="110">
        <f t="shared" si="6"/>
        <v>26186</v>
      </c>
      <c r="G9" s="110">
        <f t="shared" si="6"/>
        <v>27624</v>
      </c>
      <c r="H9" s="110">
        <f t="shared" si="6"/>
        <v>28305</v>
      </c>
      <c r="I9" s="110">
        <f t="shared" si="6"/>
        <v>28257</v>
      </c>
      <c r="J9" s="110">
        <f t="shared" si="6"/>
        <v>30469</v>
      </c>
      <c r="K9" s="110">
        <f t="shared" si="6"/>
        <v>29409.5</v>
      </c>
      <c r="L9" s="110">
        <f t="shared" si="6"/>
        <v>30044.9</v>
      </c>
      <c r="M9" s="110">
        <f t="shared" si="6"/>
        <v>30426.1</v>
      </c>
      <c r="N9" s="110">
        <f t="shared" si="6"/>
        <v>29792.9</v>
      </c>
      <c r="O9" s="110">
        <f t="shared" si="6"/>
        <v>30757.9</v>
      </c>
      <c r="P9" s="110">
        <f t="shared" si="6"/>
        <v>32224.7</v>
      </c>
      <c r="Q9" s="110">
        <f t="shared" si="6"/>
        <v>33343.9</v>
      </c>
      <c r="R9" s="110">
        <f t="shared" ref="R9:V9" si="7">R10+R11+R12</f>
        <v>34156.400000000001</v>
      </c>
      <c r="S9" s="110">
        <f t="shared" si="7"/>
        <v>35199.1</v>
      </c>
      <c r="T9" s="110">
        <f t="shared" si="7"/>
        <v>37149.599999999999</v>
      </c>
      <c r="U9" s="110">
        <f t="shared" si="7"/>
        <v>36820.799999999996</v>
      </c>
      <c r="V9" s="110">
        <f t="shared" si="7"/>
        <v>16308.4</v>
      </c>
      <c r="W9" s="110">
        <f t="shared" ref="W9:Y9" si="8">W10+W11+W12</f>
        <v>22338.400000000001</v>
      </c>
      <c r="X9" s="110">
        <f t="shared" si="8"/>
        <v>34552</v>
      </c>
      <c r="Y9" s="110">
        <f t="shared" si="8"/>
        <v>42681</v>
      </c>
      <c r="DA9" s="176" t="s">
        <v>376</v>
      </c>
    </row>
    <row r="10" spans="1:105" ht="11.45" customHeight="1" x14ac:dyDescent="0.25">
      <c r="A10" s="128" t="str">
        <f>TrRail_act!$A$5</f>
        <v>Metro and tram, urban light rail</v>
      </c>
      <c r="B10" s="102">
        <f>TrRail_act!B$5</f>
        <v>5230</v>
      </c>
      <c r="C10" s="102">
        <f>TrRail_act!C$5</f>
        <v>5340</v>
      </c>
      <c r="D10" s="102">
        <f>TrRail_act!D$5</f>
        <v>5500</v>
      </c>
      <c r="E10" s="102">
        <f>TrRail_act!E$5</f>
        <v>5600</v>
      </c>
      <c r="F10" s="102">
        <f>TrRail_act!F$5</f>
        <v>5800</v>
      </c>
      <c r="G10" s="102">
        <f>TrRail_act!G$5</f>
        <v>6000</v>
      </c>
      <c r="H10" s="102">
        <f>TrRail_act!H$5</f>
        <v>6200</v>
      </c>
      <c r="I10" s="102">
        <f>TrRail_act!I$5</f>
        <v>6400</v>
      </c>
      <c r="J10" s="102">
        <f>TrRail_act!J$5</f>
        <v>6500</v>
      </c>
      <c r="K10" s="102">
        <f>TrRail_act!K$5</f>
        <v>6272.5</v>
      </c>
      <c r="L10" s="102">
        <f>TrRail_act!L$5</f>
        <v>7588.9000000000005</v>
      </c>
      <c r="M10" s="102">
        <f>TrRail_act!M$5</f>
        <v>7631.1</v>
      </c>
      <c r="N10" s="102">
        <f>TrRail_act!N$5</f>
        <v>7316.9000000000005</v>
      </c>
      <c r="O10" s="102">
        <f>TrRail_act!O$5</f>
        <v>6969.9000000000015</v>
      </c>
      <c r="P10" s="102">
        <f>TrRail_act!P$5</f>
        <v>7152.7000000000007</v>
      </c>
      <c r="Q10" s="102">
        <f>TrRail_act!Q$5</f>
        <v>7201.9</v>
      </c>
      <c r="R10" s="102">
        <f>TrRail_act!R$5</f>
        <v>7486.3000000000011</v>
      </c>
      <c r="S10" s="102">
        <f>TrRail_act!S$5</f>
        <v>7683.0999999999995</v>
      </c>
      <c r="T10" s="102">
        <f>TrRail_act!T$5</f>
        <v>8729.6000000000022</v>
      </c>
      <c r="U10" s="102">
        <f>TrRail_act!U$5</f>
        <v>7973.7999999999993</v>
      </c>
      <c r="V10" s="102">
        <f>TrRail_act!V$5</f>
        <v>4248.3999999999996</v>
      </c>
      <c r="W10" s="102">
        <f>TrRail_act!W$5</f>
        <v>5336.4000000000015</v>
      </c>
      <c r="X10" s="102">
        <f>TrRail_act!X$5</f>
        <v>7063</v>
      </c>
      <c r="Y10" s="102">
        <f>TrRail_act!Y$5</f>
        <v>8048.9999999999991</v>
      </c>
      <c r="DA10" s="175" t="s">
        <v>377</v>
      </c>
    </row>
    <row r="11" spans="1:105" ht="11.45" customHeight="1" x14ac:dyDescent="0.25">
      <c r="A11" s="128" t="str">
        <f>TrRail_act!$A$6</f>
        <v>Conventional passenger trains</v>
      </c>
      <c r="B11" s="102">
        <f>TrRail_act!B$6</f>
        <v>18202</v>
      </c>
      <c r="C11" s="102">
        <f>TrRail_act!C$6</f>
        <v>18751</v>
      </c>
      <c r="D11" s="102">
        <f>TrRail_act!D$6</f>
        <v>19030</v>
      </c>
      <c r="E11" s="102">
        <f>TrRail_act!E$6</f>
        <v>19100</v>
      </c>
      <c r="F11" s="102">
        <f>TrRail_act!F$6</f>
        <v>18301</v>
      </c>
      <c r="G11" s="102">
        <f>TrRail_act!G$6</f>
        <v>19300</v>
      </c>
      <c r="H11" s="102">
        <f>TrRail_act!H$6</f>
        <v>19408</v>
      </c>
      <c r="I11" s="102">
        <f>TrRail_act!I$6</f>
        <v>19265</v>
      </c>
      <c r="J11" s="102">
        <f>TrRail_act!J$6</f>
        <v>18486</v>
      </c>
      <c r="K11" s="102">
        <f>TrRail_act!K$6</f>
        <v>11632</v>
      </c>
      <c r="L11" s="102">
        <f>TrRail_act!L$6</f>
        <v>10741</v>
      </c>
      <c r="M11" s="102">
        <f>TrRail_act!M$6</f>
        <v>11564</v>
      </c>
      <c r="N11" s="102">
        <f>TrRail_act!N$6</f>
        <v>11299</v>
      </c>
      <c r="O11" s="102">
        <f>TrRail_act!O$6</f>
        <v>11044</v>
      </c>
      <c r="P11" s="102">
        <f>TrRail_act!P$6</f>
        <v>12284</v>
      </c>
      <c r="Q11" s="102">
        <f>TrRail_act!Q$6</f>
        <v>12013</v>
      </c>
      <c r="R11" s="102">
        <f>TrRail_act!R$6</f>
        <v>11611.100000000002</v>
      </c>
      <c r="S11" s="102">
        <f>TrRail_act!S$6</f>
        <v>11976</v>
      </c>
      <c r="T11" s="102">
        <f>TrRail_act!T$6</f>
        <v>12293.999999999998</v>
      </c>
      <c r="U11" s="102">
        <f>TrRail_act!U$6</f>
        <v>12775.999999999996</v>
      </c>
      <c r="V11" s="102">
        <f>TrRail_act!V$6</f>
        <v>6451</v>
      </c>
      <c r="W11" s="102">
        <f>TrRail_act!W$6</f>
        <v>10632</v>
      </c>
      <c r="X11" s="102">
        <f>TrRail_act!X$6</f>
        <v>17744</v>
      </c>
      <c r="Y11" s="102">
        <f>TrRail_act!Y$6</f>
        <v>24699</v>
      </c>
      <c r="DA11" s="175" t="s">
        <v>378</v>
      </c>
    </row>
    <row r="12" spans="1:105" ht="11.45" customHeight="1" x14ac:dyDescent="0.25">
      <c r="A12" s="128" t="str">
        <f>TrRail_act!$A$9</f>
        <v>High speed passenger trains</v>
      </c>
      <c r="B12" s="102">
        <f>TrRail_act!B$9</f>
        <v>1942</v>
      </c>
      <c r="C12" s="102">
        <f>TrRail_act!C$9</f>
        <v>2077</v>
      </c>
      <c r="D12" s="102">
        <f>TrRail_act!D$9</f>
        <v>2181</v>
      </c>
      <c r="E12" s="102">
        <f>TrRail_act!E$9</f>
        <v>2027.0000000000002</v>
      </c>
      <c r="F12" s="102">
        <f>TrRail_act!F$9</f>
        <v>2085</v>
      </c>
      <c r="G12" s="102">
        <f>TrRail_act!G$9</f>
        <v>2324</v>
      </c>
      <c r="H12" s="102">
        <f>TrRail_act!H$9</f>
        <v>2697</v>
      </c>
      <c r="I12" s="102">
        <f>TrRail_act!I$9</f>
        <v>2592</v>
      </c>
      <c r="J12" s="102">
        <f>TrRail_act!J$9</f>
        <v>5483</v>
      </c>
      <c r="K12" s="102">
        <f>TrRail_act!K$9</f>
        <v>11505</v>
      </c>
      <c r="L12" s="102">
        <f>TrRail_act!L$9</f>
        <v>11715</v>
      </c>
      <c r="M12" s="102">
        <f>TrRail_act!M$9</f>
        <v>11231</v>
      </c>
      <c r="N12" s="102">
        <f>TrRail_act!N$9</f>
        <v>11177</v>
      </c>
      <c r="O12" s="102">
        <f>TrRail_act!O$9</f>
        <v>12744</v>
      </c>
      <c r="P12" s="102">
        <f>TrRail_act!P$9</f>
        <v>12788</v>
      </c>
      <c r="Q12" s="102">
        <f>TrRail_act!Q$9</f>
        <v>14129</v>
      </c>
      <c r="R12" s="102">
        <f>TrRail_act!R$9</f>
        <v>15059</v>
      </c>
      <c r="S12" s="102">
        <f>TrRail_act!S$9</f>
        <v>15540</v>
      </c>
      <c r="T12" s="102">
        <f>TrRail_act!T$9</f>
        <v>16126.000000000002</v>
      </c>
      <c r="U12" s="102">
        <f>TrRail_act!U$9</f>
        <v>16071.000000000002</v>
      </c>
      <c r="V12" s="102">
        <f>TrRail_act!V$9</f>
        <v>5609</v>
      </c>
      <c r="W12" s="102">
        <f>TrRail_act!W$9</f>
        <v>6370</v>
      </c>
      <c r="X12" s="102">
        <f>TrRail_act!X$9</f>
        <v>9745</v>
      </c>
      <c r="Y12" s="102">
        <f>TrRail_act!Y$9</f>
        <v>9933</v>
      </c>
      <c r="DA12" s="175" t="s">
        <v>379</v>
      </c>
    </row>
    <row r="13" spans="1:105" ht="11.45" customHeight="1" x14ac:dyDescent="0.25">
      <c r="A13" s="109" t="s">
        <v>26</v>
      </c>
      <c r="B13" s="110">
        <f t="shared" ref="B13" si="9">B14+B15+B16</f>
        <v>135961.55777597235</v>
      </c>
      <c r="C13" s="110">
        <f t="shared" ref="C13:V13" si="10">C14+C15+C16</f>
        <v>128425.70872053553</v>
      </c>
      <c r="D13" s="110">
        <f t="shared" si="10"/>
        <v>125835.35814380331</v>
      </c>
      <c r="E13" s="110">
        <f t="shared" si="10"/>
        <v>130623.95361296408</v>
      </c>
      <c r="F13" s="110">
        <f t="shared" si="10"/>
        <v>143717.05946056347</v>
      </c>
      <c r="G13" s="110">
        <f t="shared" si="10"/>
        <v>155076.17815025878</v>
      </c>
      <c r="H13" s="110">
        <f t="shared" si="10"/>
        <v>160719.79456534254</v>
      </c>
      <c r="I13" s="110">
        <f t="shared" si="10"/>
        <v>172701.56757419911</v>
      </c>
      <c r="J13" s="110">
        <f t="shared" si="10"/>
        <v>174022.30857637586</v>
      </c>
      <c r="K13" s="110">
        <f t="shared" si="10"/>
        <v>160027.40054701004</v>
      </c>
      <c r="L13" s="110">
        <f t="shared" si="10"/>
        <v>167456.81043747382</v>
      </c>
      <c r="M13" s="110">
        <f t="shared" si="10"/>
        <v>183291.55700573884</v>
      </c>
      <c r="N13" s="110">
        <f t="shared" si="10"/>
        <v>178948.61726410268</v>
      </c>
      <c r="O13" s="110">
        <f t="shared" si="10"/>
        <v>178983.68495101668</v>
      </c>
      <c r="P13" s="110">
        <f t="shared" si="10"/>
        <v>185673.64561736112</v>
      </c>
      <c r="Q13" s="110">
        <f t="shared" si="10"/>
        <v>192006.13561329606</v>
      </c>
      <c r="R13" s="110">
        <f t="shared" si="10"/>
        <v>214574.74655115779</v>
      </c>
      <c r="S13" s="110">
        <f t="shared" si="10"/>
        <v>231859.52521008367</v>
      </c>
      <c r="T13" s="110">
        <f t="shared" si="10"/>
        <v>243551.95394687157</v>
      </c>
      <c r="U13" s="110">
        <f t="shared" si="10"/>
        <v>253655.04966778809</v>
      </c>
      <c r="V13" s="110">
        <f t="shared" si="10"/>
        <v>65700.703329444339</v>
      </c>
      <c r="W13" s="110">
        <f t="shared" ref="W13:Y13" si="11">W14+W15+W16</f>
        <v>96632.169153039809</v>
      </c>
      <c r="X13" s="110">
        <f t="shared" si="11"/>
        <v>222668.95396478969</v>
      </c>
      <c r="Y13" s="110">
        <f t="shared" si="11"/>
        <v>268066.22283001</v>
      </c>
      <c r="DA13" s="176" t="s">
        <v>190</v>
      </c>
    </row>
    <row r="14" spans="1:105" ht="11.45" customHeight="1" x14ac:dyDescent="0.25">
      <c r="A14" s="128" t="s">
        <v>27</v>
      </c>
      <c r="B14" s="102">
        <f>TrAvia_act!B$5</f>
        <v>24843.192925534193</v>
      </c>
      <c r="C14" s="102">
        <f>TrAvia_act!C$5</f>
        <v>22916.863899829783</v>
      </c>
      <c r="D14" s="102">
        <f>TrAvia_act!D$5</f>
        <v>22621.265990776854</v>
      </c>
      <c r="E14" s="102">
        <f>TrAvia_act!E$5</f>
        <v>24434.770529235549</v>
      </c>
      <c r="F14" s="102">
        <f>TrAvia_act!F$5</f>
        <v>27174.766588658989</v>
      </c>
      <c r="G14" s="102">
        <f>TrAvia_act!G$5</f>
        <v>30528.36975634838</v>
      </c>
      <c r="H14" s="102">
        <f>TrAvia_act!H$5</f>
        <v>32394.214343428655</v>
      </c>
      <c r="I14" s="102">
        <f>TrAvia_act!I$5</f>
        <v>35075.956761181842</v>
      </c>
      <c r="J14" s="102">
        <f>TrAvia_act!J$5</f>
        <v>32068.22441312833</v>
      </c>
      <c r="K14" s="102">
        <f>TrAvia_act!K$5</f>
        <v>29166.133369335912</v>
      </c>
      <c r="L14" s="102">
        <f>TrAvia_act!L$5</f>
        <v>29980.699673039704</v>
      </c>
      <c r="M14" s="102">
        <f>TrAvia_act!M$5</f>
        <v>30171.505838112545</v>
      </c>
      <c r="N14" s="102">
        <f>TrAvia_act!N$5</f>
        <v>26290.414241557297</v>
      </c>
      <c r="O14" s="102">
        <f>TrAvia_act!O$5</f>
        <v>22799.461357155687</v>
      </c>
      <c r="P14" s="102">
        <f>TrAvia_act!P$5</f>
        <v>22922.693756234974</v>
      </c>
      <c r="Q14" s="102">
        <f>TrAvia_act!Q$5</f>
        <v>24373.491231108128</v>
      </c>
      <c r="R14" s="102">
        <f>TrAvia_act!R$5</f>
        <v>26712.952339132815</v>
      </c>
      <c r="S14" s="102">
        <f>TrAvia_act!S$5</f>
        <v>28710.672383547335</v>
      </c>
      <c r="T14" s="102">
        <f>TrAvia_act!T$5</f>
        <v>31831.073566013674</v>
      </c>
      <c r="U14" s="102">
        <f>TrAvia_act!U$5</f>
        <v>33800.883474707131</v>
      </c>
      <c r="V14" s="102">
        <f>TrAvia_act!V$5</f>
        <v>12728.484362913834</v>
      </c>
      <c r="W14" s="102">
        <f>TrAvia_act!W$5</f>
        <v>21364.363715420848</v>
      </c>
      <c r="X14" s="102">
        <f>TrAvia_act!X$5</f>
        <v>34767.616182722631</v>
      </c>
      <c r="Y14" s="102">
        <f>TrAvia_act!Y$5</f>
        <v>38920.261575163197</v>
      </c>
      <c r="DA14" s="175" t="s">
        <v>191</v>
      </c>
    </row>
    <row r="15" spans="1:105" ht="11.45" customHeight="1" x14ac:dyDescent="0.25">
      <c r="A15" s="128" t="s">
        <v>181</v>
      </c>
      <c r="B15" s="102">
        <f>TrAvia_act!B$6</f>
        <v>82403.624846208404</v>
      </c>
      <c r="C15" s="102">
        <f>TrAvia_act!C$6</f>
        <v>83061.055453009729</v>
      </c>
      <c r="D15" s="102">
        <f>TrAvia_act!D$6</f>
        <v>81104.807013332786</v>
      </c>
      <c r="E15" s="102">
        <f>TrAvia_act!E$6</f>
        <v>83702.335535878388</v>
      </c>
      <c r="F15" s="102">
        <f>TrAvia_act!F$6</f>
        <v>88492.433755601305</v>
      </c>
      <c r="G15" s="102">
        <f>TrAvia_act!G$6</f>
        <v>93007.152604769435</v>
      </c>
      <c r="H15" s="102">
        <f>TrAvia_act!H$6</f>
        <v>93253.884552932985</v>
      </c>
      <c r="I15" s="102">
        <f>TrAvia_act!I$6</f>
        <v>98034.37071478492</v>
      </c>
      <c r="J15" s="102">
        <f>TrAvia_act!J$6</f>
        <v>98159.696511458431</v>
      </c>
      <c r="K15" s="102">
        <f>TrAvia_act!K$6</f>
        <v>89158.698935804568</v>
      </c>
      <c r="L15" s="102">
        <f>TrAvia_act!L$6</f>
        <v>92489.832925242343</v>
      </c>
      <c r="M15" s="102">
        <f>TrAvia_act!M$6</f>
        <v>103941.74919313869</v>
      </c>
      <c r="N15" s="102">
        <f>TrAvia_act!N$6</f>
        <v>103656.12293438017</v>
      </c>
      <c r="O15" s="102">
        <f>TrAvia_act!O$6</f>
        <v>106748.90601983288</v>
      </c>
      <c r="P15" s="102">
        <f>TrAvia_act!P$6</f>
        <v>112096.33028249478</v>
      </c>
      <c r="Q15" s="102">
        <f>TrAvia_act!Q$6</f>
        <v>115240.71256496264</v>
      </c>
      <c r="R15" s="102">
        <f>TrAvia_act!R$6</f>
        <v>131844.66360533115</v>
      </c>
      <c r="S15" s="102">
        <f>TrAvia_act!S$6</f>
        <v>141972.48932550426</v>
      </c>
      <c r="T15" s="102">
        <f>TrAvia_act!T$6</f>
        <v>143593.47855022328</v>
      </c>
      <c r="U15" s="102">
        <f>TrAvia_act!U$6</f>
        <v>143884.01040774983</v>
      </c>
      <c r="V15" s="102">
        <f>TrAvia_act!V$6</f>
        <v>35363.862304322633</v>
      </c>
      <c r="W15" s="102">
        <f>TrAvia_act!W$6</f>
        <v>53305.641121362394</v>
      </c>
      <c r="X15" s="102">
        <f>TrAvia_act!X$6</f>
        <v>125818.83075595569</v>
      </c>
      <c r="Y15" s="102">
        <f>TrAvia_act!Y$6</f>
        <v>145805.92317967408</v>
      </c>
      <c r="DA15" s="175" t="s">
        <v>192</v>
      </c>
    </row>
    <row r="16" spans="1:105" ht="11.45" customHeight="1" x14ac:dyDescent="0.25">
      <c r="A16" s="128" t="s">
        <v>182</v>
      </c>
      <c r="B16" s="102">
        <f>TrAvia_act!B$7</f>
        <v>28714.740004229763</v>
      </c>
      <c r="C16" s="102">
        <f>TrAvia_act!C$7</f>
        <v>22447.789367696016</v>
      </c>
      <c r="D16" s="102">
        <f>TrAvia_act!D$7</f>
        <v>22109.285139693682</v>
      </c>
      <c r="E16" s="102">
        <f>TrAvia_act!E$7</f>
        <v>22486.847547850128</v>
      </c>
      <c r="F16" s="102">
        <f>TrAvia_act!F$7</f>
        <v>28049.859116303185</v>
      </c>
      <c r="G16" s="102">
        <f>TrAvia_act!G$7</f>
        <v>31540.655789140957</v>
      </c>
      <c r="H16" s="102">
        <f>TrAvia_act!H$7</f>
        <v>35071.695668980901</v>
      </c>
      <c r="I16" s="102">
        <f>TrAvia_act!I$7</f>
        <v>39591.240098232338</v>
      </c>
      <c r="J16" s="102">
        <f>TrAvia_act!J$7</f>
        <v>43794.387651789089</v>
      </c>
      <c r="K16" s="102">
        <f>TrAvia_act!K$7</f>
        <v>41702.568241869572</v>
      </c>
      <c r="L16" s="102">
        <f>TrAvia_act!L$7</f>
        <v>44986.277839191753</v>
      </c>
      <c r="M16" s="102">
        <f>TrAvia_act!M$7</f>
        <v>49178.3019744876</v>
      </c>
      <c r="N16" s="102">
        <f>TrAvia_act!N$7</f>
        <v>49002.080088165196</v>
      </c>
      <c r="O16" s="102">
        <f>TrAvia_act!O$7</f>
        <v>49435.317574028122</v>
      </c>
      <c r="P16" s="102">
        <f>TrAvia_act!P$7</f>
        <v>50654.621578631362</v>
      </c>
      <c r="Q16" s="102">
        <f>TrAvia_act!Q$7</f>
        <v>52391.93181722529</v>
      </c>
      <c r="R16" s="102">
        <f>TrAvia_act!R$7</f>
        <v>56017.130606693841</v>
      </c>
      <c r="S16" s="102">
        <f>TrAvia_act!S$7</f>
        <v>61176.363501032094</v>
      </c>
      <c r="T16" s="102">
        <f>TrAvia_act!T$7</f>
        <v>68127.401830634612</v>
      </c>
      <c r="U16" s="102">
        <f>TrAvia_act!U$7</f>
        <v>75970.15578533111</v>
      </c>
      <c r="V16" s="102">
        <f>TrAvia_act!V$7</f>
        <v>17608.356662207865</v>
      </c>
      <c r="W16" s="102">
        <f>TrAvia_act!W$7</f>
        <v>21962.164316256563</v>
      </c>
      <c r="X16" s="102">
        <f>TrAvia_act!X$7</f>
        <v>62082.507026111358</v>
      </c>
      <c r="Y16" s="102">
        <f>TrAvia_act!Y$7</f>
        <v>83340.03807517275</v>
      </c>
      <c r="DA16" s="175" t="s">
        <v>193</v>
      </c>
    </row>
    <row r="17" spans="1:105" ht="11.45" customHeight="1" x14ac:dyDescent="0.25">
      <c r="A17" s="27" t="s">
        <v>28</v>
      </c>
      <c r="B17" s="28">
        <f t="shared" ref="B17:Q17" si="12">B18+B21+B22+B26</f>
        <v>171804.81743711128</v>
      </c>
      <c r="C17" s="28">
        <f t="shared" si="12"/>
        <v>182879.2286677084</v>
      </c>
      <c r="D17" s="28">
        <f t="shared" si="12"/>
        <v>197803.58757333944</v>
      </c>
      <c r="E17" s="28">
        <f t="shared" si="12"/>
        <v>207407.73825131779</v>
      </c>
      <c r="F17" s="28">
        <f t="shared" si="12"/>
        <v>230798.4426817194</v>
      </c>
      <c r="G17" s="28">
        <f t="shared" si="12"/>
        <v>243227.86295514856</v>
      </c>
      <c r="H17" s="28">
        <f t="shared" si="12"/>
        <v>253843.63882224559</v>
      </c>
      <c r="I17" s="28">
        <f t="shared" si="12"/>
        <v>271713.7154168546</v>
      </c>
      <c r="J17" s="28">
        <f t="shared" si="12"/>
        <v>249882.06136528851</v>
      </c>
      <c r="K17" s="28">
        <f t="shared" si="12"/>
        <v>216001.49545664314</v>
      </c>
      <c r="L17" s="28">
        <f t="shared" si="12"/>
        <v>212822.45744766062</v>
      </c>
      <c r="M17" s="28">
        <f t="shared" si="12"/>
        <v>208918.46811713395</v>
      </c>
      <c r="N17" s="28">
        <f t="shared" si="12"/>
        <v>196620.78736726896</v>
      </c>
      <c r="O17" s="28">
        <f t="shared" si="12"/>
        <v>192849.15676569357</v>
      </c>
      <c r="P17" s="28">
        <f t="shared" si="12"/>
        <v>195333.20257068059</v>
      </c>
      <c r="Q17" s="28">
        <f t="shared" si="12"/>
        <v>208786.9961224072</v>
      </c>
      <c r="R17" s="28">
        <f t="shared" ref="R17:V17" si="13">R18+R21+R22+R26</f>
        <v>217282.47973326701</v>
      </c>
      <c r="S17" s="28">
        <f t="shared" si="13"/>
        <v>228612.25460813797</v>
      </c>
      <c r="T17" s="28">
        <f t="shared" si="13"/>
        <v>236067.90288482324</v>
      </c>
      <c r="U17" s="28">
        <f t="shared" si="13"/>
        <v>245642.72652517763</v>
      </c>
      <c r="V17" s="28">
        <f t="shared" si="13"/>
        <v>232521.87490333003</v>
      </c>
      <c r="W17" s="28">
        <f t="shared" ref="W17:Y17" si="14">W18+W21+W22+W26</f>
        <v>260795.05720103165</v>
      </c>
      <c r="X17" s="28">
        <f t="shared" si="14"/>
        <v>260448.76298797692</v>
      </c>
      <c r="Y17" s="28">
        <f t="shared" si="14"/>
        <v>257719.85916368995</v>
      </c>
      <c r="DA17" s="173" t="s">
        <v>380</v>
      </c>
    </row>
    <row r="18" spans="1:105" ht="11.45" customHeight="1" x14ac:dyDescent="0.25">
      <c r="A18" s="136" t="s">
        <v>19</v>
      </c>
      <c r="B18" s="137">
        <f t="shared" ref="B18:Q18" si="15">B19+B20</f>
        <v>146884.87208546381</v>
      </c>
      <c r="C18" s="137">
        <f t="shared" si="15"/>
        <v>157787.47682362059</v>
      </c>
      <c r="D18" s="137">
        <f t="shared" si="15"/>
        <v>174693.64093064258</v>
      </c>
      <c r="E18" s="137">
        <f t="shared" si="15"/>
        <v>184938.47676938048</v>
      </c>
      <c r="F18" s="137">
        <f t="shared" si="15"/>
        <v>208083.94961100677</v>
      </c>
      <c r="G18" s="137">
        <f t="shared" si="15"/>
        <v>220522.477830875</v>
      </c>
      <c r="H18" s="137">
        <f t="shared" si="15"/>
        <v>230517.91536959974</v>
      </c>
      <c r="I18" s="137">
        <f t="shared" si="15"/>
        <v>249462.86576073235</v>
      </c>
      <c r="J18" s="137">
        <f t="shared" si="15"/>
        <v>228584.16659562287</v>
      </c>
      <c r="K18" s="137">
        <f t="shared" si="15"/>
        <v>199324.67094322172</v>
      </c>
      <c r="L18" s="137">
        <f t="shared" si="15"/>
        <v>194234.67244239751</v>
      </c>
      <c r="M18" s="137">
        <f t="shared" si="15"/>
        <v>189489.83312380352</v>
      </c>
      <c r="N18" s="137">
        <f t="shared" si="15"/>
        <v>178649.24175523431</v>
      </c>
      <c r="O18" s="137">
        <f t="shared" si="15"/>
        <v>174948.02482057587</v>
      </c>
      <c r="P18" s="137">
        <f t="shared" si="15"/>
        <v>175862.36189815833</v>
      </c>
      <c r="Q18" s="137">
        <f t="shared" si="15"/>
        <v>187202.04181922294</v>
      </c>
      <c r="R18" s="137">
        <f t="shared" ref="R18:V18" si="16">R19+R20</f>
        <v>195605.40370755704</v>
      </c>
      <c r="S18" s="137">
        <f t="shared" si="16"/>
        <v>207463.36120564945</v>
      </c>
      <c r="T18" s="137">
        <f t="shared" si="16"/>
        <v>213350.20135275373</v>
      </c>
      <c r="U18" s="137">
        <f t="shared" si="16"/>
        <v>222504.49566412598</v>
      </c>
      <c r="V18" s="137">
        <f t="shared" si="16"/>
        <v>214088.985302182</v>
      </c>
      <c r="W18" s="137">
        <f t="shared" ref="W18:Y18" si="17">W19+W20</f>
        <v>240521.88470095722</v>
      </c>
      <c r="X18" s="137">
        <f t="shared" si="17"/>
        <v>238218.31772204334</v>
      </c>
      <c r="Y18" s="137">
        <f t="shared" si="17"/>
        <v>235284.13966996592</v>
      </c>
      <c r="DA18" s="174" t="s">
        <v>381</v>
      </c>
    </row>
    <row r="19" spans="1:105" ht="11.45" customHeight="1" x14ac:dyDescent="0.25">
      <c r="A19" s="128" t="str">
        <f>TrRoad_act!$A$20</f>
        <v>Light commercial vehicles</v>
      </c>
      <c r="B19" s="102">
        <f>TrRoad_act!B$20</f>
        <v>7942.1168096632382</v>
      </c>
      <c r="C19" s="102">
        <f>TrRoad_act!C$20</f>
        <v>9498.0083721805368</v>
      </c>
      <c r="D19" s="102">
        <f>TrRoad_act!D$20</f>
        <v>8875.7415535758882</v>
      </c>
      <c r="E19" s="102">
        <f>TrRoad_act!E$20</f>
        <v>9632.1072943945437</v>
      </c>
      <c r="F19" s="102">
        <f>TrRoad_act!F$20</f>
        <v>10248.986496141955</v>
      </c>
      <c r="G19" s="102">
        <f>TrRoad_act!G$20</f>
        <v>9801.2822175987731</v>
      </c>
      <c r="H19" s="102">
        <f>TrRoad_act!H$20</f>
        <v>10388.612584367535</v>
      </c>
      <c r="I19" s="102">
        <f>TrRoad_act!I$20</f>
        <v>12196.700337464581</v>
      </c>
      <c r="J19" s="102">
        <f>TrRoad_act!J$20</f>
        <v>11264.382696461873</v>
      </c>
      <c r="K19" s="102">
        <f>TrRoad_act!K$20</f>
        <v>9889.8752271941594</v>
      </c>
      <c r="L19" s="102">
        <f>TrRoad_act!L$20</f>
        <v>9833.1809135148033</v>
      </c>
      <c r="M19" s="102">
        <f>TrRoad_act!M$20</f>
        <v>9621.2806481579501</v>
      </c>
      <c r="N19" s="102">
        <f>TrRoad_act!N$20</f>
        <v>8879.6702438273878</v>
      </c>
      <c r="O19" s="102">
        <f>TrRoad_act!O$20</f>
        <v>8832.3895909653111</v>
      </c>
      <c r="P19" s="102">
        <f>TrRoad_act!P$20</f>
        <v>8750.912102795628</v>
      </c>
      <c r="Q19" s="102">
        <f>TrRoad_act!Q$20</f>
        <v>9206.9591293522099</v>
      </c>
      <c r="R19" s="102">
        <f>TrRoad_act!R$20</f>
        <v>8904.7899955007306</v>
      </c>
      <c r="S19" s="102">
        <f>TrRoad_act!S$20</f>
        <v>9505.6153336949683</v>
      </c>
      <c r="T19" s="102">
        <f>TrRoad_act!T$20</f>
        <v>9728.2013527537292</v>
      </c>
      <c r="U19" s="102">
        <f>TrRoad_act!U$20</f>
        <v>9799.4956641259887</v>
      </c>
      <c r="V19" s="102">
        <f>TrRoad_act!V$20</f>
        <v>6635.985302182009</v>
      </c>
      <c r="W19" s="102">
        <f>TrRoad_act!W$20</f>
        <v>9453.8847009572055</v>
      </c>
      <c r="X19" s="102">
        <f>TrRoad_act!X$20</f>
        <v>10087.317722043346</v>
      </c>
      <c r="Y19" s="102">
        <f>TrRoad_act!Y$20</f>
        <v>10022.139669965924</v>
      </c>
      <c r="DA19" s="175" t="s">
        <v>382</v>
      </c>
    </row>
    <row r="20" spans="1:105" ht="11.45" customHeight="1" x14ac:dyDescent="0.25">
      <c r="A20" s="128" t="str">
        <f>TrRoad_act!$A$26</f>
        <v>Heavy goods vehicles</v>
      </c>
      <c r="B20" s="102">
        <f>TrRoad_act!B$26</f>
        <v>138942.75527580056</v>
      </c>
      <c r="C20" s="102">
        <f>TrRoad_act!C$26</f>
        <v>148289.46845144004</v>
      </c>
      <c r="D20" s="102">
        <f>TrRoad_act!D$26</f>
        <v>165817.8993770667</v>
      </c>
      <c r="E20" s="102">
        <f>TrRoad_act!E$26</f>
        <v>175306.36947498593</v>
      </c>
      <c r="F20" s="102">
        <f>TrRoad_act!F$26</f>
        <v>197834.9631148648</v>
      </c>
      <c r="G20" s="102">
        <f>TrRoad_act!G$26</f>
        <v>210721.19561327621</v>
      </c>
      <c r="H20" s="102">
        <f>TrRoad_act!H$26</f>
        <v>220129.3027852322</v>
      </c>
      <c r="I20" s="102">
        <f>TrRoad_act!I$26</f>
        <v>237266.16542326778</v>
      </c>
      <c r="J20" s="102">
        <f>TrRoad_act!J$26</f>
        <v>217319.783899161</v>
      </c>
      <c r="K20" s="102">
        <f>TrRoad_act!K$26</f>
        <v>189434.79571602755</v>
      </c>
      <c r="L20" s="102">
        <f>TrRoad_act!L$26</f>
        <v>184401.4915288827</v>
      </c>
      <c r="M20" s="102">
        <f>TrRoad_act!M$26</f>
        <v>179868.55247564556</v>
      </c>
      <c r="N20" s="102">
        <f>TrRoad_act!N$26</f>
        <v>169769.57151140692</v>
      </c>
      <c r="O20" s="102">
        <f>TrRoad_act!O$26</f>
        <v>166115.63522961055</v>
      </c>
      <c r="P20" s="102">
        <f>TrRoad_act!P$26</f>
        <v>167111.44979536269</v>
      </c>
      <c r="Q20" s="102">
        <f>TrRoad_act!Q$26</f>
        <v>177995.08268987073</v>
      </c>
      <c r="R20" s="102">
        <f>TrRoad_act!R$26</f>
        <v>186700.61371205631</v>
      </c>
      <c r="S20" s="102">
        <f>TrRoad_act!S$26</f>
        <v>197957.74587195448</v>
      </c>
      <c r="T20" s="102">
        <f>TrRoad_act!T$26</f>
        <v>203622</v>
      </c>
      <c r="U20" s="102">
        <f>TrRoad_act!U$26</f>
        <v>212705</v>
      </c>
      <c r="V20" s="102">
        <f>TrRoad_act!V$26</f>
        <v>207453</v>
      </c>
      <c r="W20" s="102">
        <f>TrRoad_act!W$26</f>
        <v>231068</v>
      </c>
      <c r="X20" s="102">
        <f>TrRoad_act!X$26</f>
        <v>228131</v>
      </c>
      <c r="Y20" s="102">
        <f>TrRoad_act!Y$26</f>
        <v>225262</v>
      </c>
      <c r="DA20" s="175" t="s">
        <v>383</v>
      </c>
    </row>
    <row r="21" spans="1:105" ht="11.45" customHeight="1" x14ac:dyDescent="0.25">
      <c r="A21" s="109" t="s">
        <v>29</v>
      </c>
      <c r="B21" s="110">
        <f>TrRail_act!B$10</f>
        <v>12171</v>
      </c>
      <c r="C21" s="110">
        <f>TrRail_act!C$10</f>
        <v>12322</v>
      </c>
      <c r="D21" s="110">
        <f>TrRail_act!D$10</f>
        <v>12247</v>
      </c>
      <c r="E21" s="110">
        <f>TrRail_act!E$10</f>
        <v>12411</v>
      </c>
      <c r="F21" s="110">
        <f>TrRail_act!F$10</f>
        <v>12436</v>
      </c>
      <c r="G21" s="110">
        <f>TrRail_act!G$10</f>
        <v>11585</v>
      </c>
      <c r="H21" s="110">
        <f>TrRail_act!H$10</f>
        <v>11541</v>
      </c>
      <c r="I21" s="110">
        <f>TrRail_act!I$10</f>
        <v>11237</v>
      </c>
      <c r="J21" s="110">
        <f>TrRail_act!J$10</f>
        <v>10971</v>
      </c>
      <c r="K21" s="110">
        <f>TrRail_act!K$10</f>
        <v>7806</v>
      </c>
      <c r="L21" s="110">
        <f>TrRail_act!L$10</f>
        <v>8913</v>
      </c>
      <c r="M21" s="110">
        <f>TrRail_act!M$10</f>
        <v>9451</v>
      </c>
      <c r="N21" s="110">
        <f>TrRail_act!N$10</f>
        <v>9458</v>
      </c>
      <c r="O21" s="110">
        <f>TrRail_act!O$10</f>
        <v>9338</v>
      </c>
      <c r="P21" s="110">
        <f>TrRail_act!P$10</f>
        <v>10385</v>
      </c>
      <c r="Q21" s="110">
        <f>TrRail_act!Q$10</f>
        <v>11028</v>
      </c>
      <c r="R21" s="110">
        <f>TrRail_act!R$10</f>
        <v>10550</v>
      </c>
      <c r="S21" s="110">
        <f>TrRail_act!S$10</f>
        <v>10549</v>
      </c>
      <c r="T21" s="110">
        <f>TrRail_act!T$10</f>
        <v>10650</v>
      </c>
      <c r="U21" s="110">
        <f>TrRail_act!U$10</f>
        <v>10710</v>
      </c>
      <c r="V21" s="110">
        <f>TrRail_act!V$10</f>
        <v>8920</v>
      </c>
      <c r="W21" s="110">
        <f>TrRail_act!W$10</f>
        <v>10299</v>
      </c>
      <c r="X21" s="110">
        <f>TrRail_act!X$10</f>
        <v>10566</v>
      </c>
      <c r="Y21" s="110">
        <f>TrRail_act!Y$10</f>
        <v>9972</v>
      </c>
      <c r="DA21" s="176" t="s">
        <v>384</v>
      </c>
    </row>
    <row r="22" spans="1:105" ht="11.45" customHeight="1" x14ac:dyDescent="0.25">
      <c r="A22" s="109" t="s">
        <v>26</v>
      </c>
      <c r="B22" s="110">
        <f t="shared" ref="B22" si="18">B23+B24+B25</f>
        <v>902.19035164746538</v>
      </c>
      <c r="C22" s="110">
        <f t="shared" ref="C22:V22" si="19">C23+C24+C25</f>
        <v>903.87984408782711</v>
      </c>
      <c r="D22" s="110">
        <f t="shared" si="19"/>
        <v>817.30164269686907</v>
      </c>
      <c r="E22" s="110">
        <f t="shared" si="19"/>
        <v>767.63848193730712</v>
      </c>
      <c r="F22" s="110">
        <f t="shared" si="19"/>
        <v>919.21607071261985</v>
      </c>
      <c r="G22" s="110">
        <f t="shared" si="19"/>
        <v>851.42312427356683</v>
      </c>
      <c r="H22" s="110">
        <f t="shared" si="19"/>
        <v>886.00645264583829</v>
      </c>
      <c r="I22" s="110">
        <f t="shared" si="19"/>
        <v>979.61765612225929</v>
      </c>
      <c r="J22" s="110">
        <f t="shared" si="19"/>
        <v>1029.4687696656374</v>
      </c>
      <c r="K22" s="110">
        <f t="shared" si="19"/>
        <v>985.63751342142598</v>
      </c>
      <c r="L22" s="110">
        <f t="shared" si="19"/>
        <v>1278.3430052631099</v>
      </c>
      <c r="M22" s="110">
        <f t="shared" si="19"/>
        <v>1349.5159933304246</v>
      </c>
      <c r="N22" s="110">
        <f t="shared" si="19"/>
        <v>1294.1656120346354</v>
      </c>
      <c r="O22" s="110">
        <f t="shared" si="19"/>
        <v>1300.3409451176979</v>
      </c>
      <c r="P22" s="110">
        <f t="shared" si="19"/>
        <v>1397.2806725222626</v>
      </c>
      <c r="Q22" s="110">
        <f t="shared" si="19"/>
        <v>1519.899303184256</v>
      </c>
      <c r="R22" s="110">
        <f t="shared" si="19"/>
        <v>1635.9500257099949</v>
      </c>
      <c r="S22" s="110">
        <f t="shared" si="19"/>
        <v>2080.0174024885259</v>
      </c>
      <c r="T22" s="110">
        <f t="shared" si="19"/>
        <v>2366.6575320694992</v>
      </c>
      <c r="U22" s="110">
        <f t="shared" si="19"/>
        <v>2386.0318610516661</v>
      </c>
      <c r="V22" s="110">
        <f t="shared" si="19"/>
        <v>1182.1076011480166</v>
      </c>
      <c r="W22" s="110">
        <f t="shared" ref="W22:Y22" si="20">W23+W24+W25</f>
        <v>1560.2755000744455</v>
      </c>
      <c r="X22" s="110">
        <f t="shared" si="20"/>
        <v>2081.9232659335744</v>
      </c>
      <c r="Y22" s="110">
        <f t="shared" si="20"/>
        <v>2653.89049372403</v>
      </c>
      <c r="DA22" s="176" t="s">
        <v>194</v>
      </c>
    </row>
    <row r="23" spans="1:105" ht="11.45" customHeight="1" x14ac:dyDescent="0.25">
      <c r="A23" s="128" t="s">
        <v>27</v>
      </c>
      <c r="B23" s="102">
        <f>TrAvia_act!B$9</f>
        <v>101.70827179641714</v>
      </c>
      <c r="C23" s="102">
        <f>TrAvia_act!C$9</f>
        <v>96.087719092546379</v>
      </c>
      <c r="D23" s="102">
        <f>TrAvia_act!D$9</f>
        <v>92.487522718016621</v>
      </c>
      <c r="E23" s="102">
        <f>TrAvia_act!E$9</f>
        <v>83.028132467280201</v>
      </c>
      <c r="F23" s="102">
        <f>TrAvia_act!F$9</f>
        <v>105.862481250977</v>
      </c>
      <c r="G23" s="102">
        <f>TrAvia_act!G$9</f>
        <v>102.35592551616276</v>
      </c>
      <c r="H23" s="102">
        <f>TrAvia_act!H$9</f>
        <v>100.16214205647076</v>
      </c>
      <c r="I23" s="102">
        <f>TrAvia_act!I$9</f>
        <v>97.143611112726276</v>
      </c>
      <c r="J23" s="102">
        <f>TrAvia_act!J$9</f>
        <v>90.894496040711189</v>
      </c>
      <c r="K23" s="102">
        <f>TrAvia_act!K$9</f>
        <v>72.562790295691528</v>
      </c>
      <c r="L23" s="102">
        <f>TrAvia_act!L$9</f>
        <v>72.056631811434599</v>
      </c>
      <c r="M23" s="102">
        <f>TrAvia_act!M$9</f>
        <v>66.533321318850653</v>
      </c>
      <c r="N23" s="102">
        <f>TrAvia_act!N$9</f>
        <v>56.184942680653926</v>
      </c>
      <c r="O23" s="102">
        <f>TrAvia_act!O$9</f>
        <v>53.147104470754329</v>
      </c>
      <c r="P23" s="102">
        <f>TrAvia_act!P$9</f>
        <v>54.264714549165909</v>
      </c>
      <c r="Q23" s="102">
        <f>TrAvia_act!Q$9</f>
        <v>51.823279417346285</v>
      </c>
      <c r="R23" s="102">
        <f>TrAvia_act!R$9</f>
        <v>54.451523155579324</v>
      </c>
      <c r="S23" s="102">
        <f>TrAvia_act!S$9</f>
        <v>55.362580224664875</v>
      </c>
      <c r="T23" s="102">
        <f>TrAvia_act!T$9</f>
        <v>54.596388550013096</v>
      </c>
      <c r="U23" s="102">
        <f>TrAvia_act!U$9</f>
        <v>53.030952839619104</v>
      </c>
      <c r="V23" s="102">
        <f>TrAvia_act!V$9</f>
        <v>36.562455390428077</v>
      </c>
      <c r="W23" s="102">
        <f>TrAvia_act!W$9</f>
        <v>38.023797793679599</v>
      </c>
      <c r="X23" s="102">
        <f>TrAvia_act!X$9</f>
        <v>27.499556478127317</v>
      </c>
      <c r="Y23" s="102">
        <f>TrAvia_act!Y$9</f>
        <v>27.397207515441856</v>
      </c>
      <c r="DA23" s="175" t="s">
        <v>195</v>
      </c>
    </row>
    <row r="24" spans="1:105" ht="11.45" customHeight="1" x14ac:dyDescent="0.25">
      <c r="A24" s="128" t="s">
        <v>181</v>
      </c>
      <c r="B24" s="102">
        <f>TrAvia_act!B$10</f>
        <v>168.78561359556977</v>
      </c>
      <c r="C24" s="102">
        <f>TrAvia_act!C$10</f>
        <v>165.62685562740288</v>
      </c>
      <c r="D24" s="102">
        <f>TrAvia_act!D$10</f>
        <v>152.83683706572359</v>
      </c>
      <c r="E24" s="102">
        <f>TrAvia_act!E$10</f>
        <v>148.60107622313285</v>
      </c>
      <c r="F24" s="102">
        <f>TrAvia_act!F$10</f>
        <v>167.26162040665091</v>
      </c>
      <c r="G24" s="102">
        <f>TrAvia_act!G$10</f>
        <v>155.48771233068135</v>
      </c>
      <c r="H24" s="102">
        <f>TrAvia_act!H$10</f>
        <v>133.0125052212386</v>
      </c>
      <c r="I24" s="102">
        <f>TrAvia_act!I$10</f>
        <v>113.30202899969186</v>
      </c>
      <c r="J24" s="102">
        <f>TrAvia_act!J$10</f>
        <v>113.54019955989382</v>
      </c>
      <c r="K24" s="102">
        <f>TrAvia_act!K$10</f>
        <v>106.33318393123342</v>
      </c>
      <c r="L24" s="102">
        <f>TrAvia_act!L$10</f>
        <v>117.95610488025004</v>
      </c>
      <c r="M24" s="102">
        <f>TrAvia_act!M$10</f>
        <v>119.14324984695021</v>
      </c>
      <c r="N24" s="102">
        <f>TrAvia_act!N$10</f>
        <v>113.07522898408995</v>
      </c>
      <c r="O24" s="102">
        <f>TrAvia_act!O$10</f>
        <v>114.18328796503582</v>
      </c>
      <c r="P24" s="102">
        <f>TrAvia_act!P$10</f>
        <v>121.05055633367328</v>
      </c>
      <c r="Q24" s="102">
        <f>TrAvia_act!Q$10</f>
        <v>127.47614318977023</v>
      </c>
      <c r="R24" s="102">
        <f>TrAvia_act!R$10</f>
        <v>129.98238934995854</v>
      </c>
      <c r="S24" s="102">
        <f>TrAvia_act!S$10</f>
        <v>141.34751630682018</v>
      </c>
      <c r="T24" s="102">
        <f>TrAvia_act!T$10</f>
        <v>143.5736438992603</v>
      </c>
      <c r="U24" s="102">
        <f>TrAvia_act!U$10</f>
        <v>161.97247429908964</v>
      </c>
      <c r="V24" s="102">
        <f>TrAvia_act!V$10</f>
        <v>144.33036890737782</v>
      </c>
      <c r="W24" s="102">
        <f>TrAvia_act!W$10</f>
        <v>166.07029358641211</v>
      </c>
      <c r="X24" s="102">
        <f>TrAvia_act!X$10</f>
        <v>179.69742476866054</v>
      </c>
      <c r="Y24" s="102">
        <f>TrAvia_act!Y$10</f>
        <v>161.34609917171679</v>
      </c>
      <c r="DA24" s="175" t="s">
        <v>196</v>
      </c>
    </row>
    <row r="25" spans="1:105" ht="11.45" customHeight="1" x14ac:dyDescent="0.25">
      <c r="A25" s="128" t="s">
        <v>182</v>
      </c>
      <c r="B25" s="102">
        <f>TrAvia_act!B$11</f>
        <v>631.69646625547853</v>
      </c>
      <c r="C25" s="102">
        <f>TrAvia_act!C$11</f>
        <v>642.16526936787784</v>
      </c>
      <c r="D25" s="102">
        <f>TrAvia_act!D$11</f>
        <v>571.97728291312887</v>
      </c>
      <c r="E25" s="102">
        <f>TrAvia_act!E$11</f>
        <v>536.00927324689405</v>
      </c>
      <c r="F25" s="102">
        <f>TrAvia_act!F$11</f>
        <v>646.09196905499198</v>
      </c>
      <c r="G25" s="102">
        <f>TrAvia_act!G$11</f>
        <v>593.57948642672272</v>
      </c>
      <c r="H25" s="102">
        <f>TrAvia_act!H$11</f>
        <v>652.83180536812893</v>
      </c>
      <c r="I25" s="102">
        <f>TrAvia_act!I$11</f>
        <v>769.17201600984117</v>
      </c>
      <c r="J25" s="102">
        <f>TrAvia_act!J$11</f>
        <v>825.03407406503231</v>
      </c>
      <c r="K25" s="102">
        <f>TrAvia_act!K$11</f>
        <v>806.741539194501</v>
      </c>
      <c r="L25" s="102">
        <f>TrAvia_act!L$11</f>
        <v>1088.3302685714252</v>
      </c>
      <c r="M25" s="102">
        <f>TrAvia_act!M$11</f>
        <v>1163.8394221646238</v>
      </c>
      <c r="N25" s="102">
        <f>TrAvia_act!N$11</f>
        <v>1124.9054403698915</v>
      </c>
      <c r="O25" s="102">
        <f>TrAvia_act!O$11</f>
        <v>1133.0105526819077</v>
      </c>
      <c r="P25" s="102">
        <f>TrAvia_act!P$11</f>
        <v>1221.9654016394234</v>
      </c>
      <c r="Q25" s="102">
        <f>TrAvia_act!Q$11</f>
        <v>1340.5998805771394</v>
      </c>
      <c r="R25" s="102">
        <f>TrAvia_act!R$11</f>
        <v>1451.516113204457</v>
      </c>
      <c r="S25" s="102">
        <f>TrAvia_act!S$11</f>
        <v>1883.3073059570409</v>
      </c>
      <c r="T25" s="102">
        <f>TrAvia_act!T$11</f>
        <v>2168.4874996202257</v>
      </c>
      <c r="U25" s="102">
        <f>TrAvia_act!U$11</f>
        <v>2171.0284339129576</v>
      </c>
      <c r="V25" s="102">
        <f>TrAvia_act!V$11</f>
        <v>1001.2147768502106</v>
      </c>
      <c r="W25" s="102">
        <f>TrAvia_act!W$11</f>
        <v>1356.1814086943539</v>
      </c>
      <c r="X25" s="102">
        <f>TrAvia_act!X$11</f>
        <v>1874.7262846867866</v>
      </c>
      <c r="Y25" s="102">
        <f>TrAvia_act!Y$11</f>
        <v>2465.1471870368714</v>
      </c>
      <c r="DA25" s="175" t="s">
        <v>197</v>
      </c>
    </row>
    <row r="26" spans="1:105" ht="11.45" customHeight="1" x14ac:dyDescent="0.25">
      <c r="A26" s="109" t="s">
        <v>141</v>
      </c>
      <c r="B26" s="110">
        <f t="shared" ref="B26:Q26" si="21">B27+B28</f>
        <v>11846.754999999999</v>
      </c>
      <c r="C26" s="110">
        <f t="shared" si="21"/>
        <v>11865.871999999999</v>
      </c>
      <c r="D26" s="110">
        <f t="shared" si="21"/>
        <v>10045.645</v>
      </c>
      <c r="E26" s="110">
        <f t="shared" si="21"/>
        <v>9290.6229999999996</v>
      </c>
      <c r="F26" s="110">
        <f t="shared" si="21"/>
        <v>9359.277</v>
      </c>
      <c r="G26" s="110">
        <f t="shared" si="21"/>
        <v>10268.962</v>
      </c>
      <c r="H26" s="110">
        <f t="shared" si="21"/>
        <v>10898.717000000001</v>
      </c>
      <c r="I26" s="110">
        <f t="shared" si="21"/>
        <v>10034.232</v>
      </c>
      <c r="J26" s="110">
        <f t="shared" si="21"/>
        <v>9297.4259999999995</v>
      </c>
      <c r="K26" s="110">
        <f t="shared" si="21"/>
        <v>7885.1869999999999</v>
      </c>
      <c r="L26" s="110">
        <f t="shared" si="21"/>
        <v>8396.4419999999991</v>
      </c>
      <c r="M26" s="110">
        <f t="shared" si="21"/>
        <v>8628.1190000000006</v>
      </c>
      <c r="N26" s="110">
        <f t="shared" si="21"/>
        <v>7219.38</v>
      </c>
      <c r="O26" s="110">
        <f t="shared" si="21"/>
        <v>7262.7910000000002</v>
      </c>
      <c r="P26" s="110">
        <f t="shared" si="21"/>
        <v>7688.56</v>
      </c>
      <c r="Q26" s="110">
        <f t="shared" si="21"/>
        <v>9037.0550000000003</v>
      </c>
      <c r="R26" s="110">
        <f t="shared" ref="R26:V26" si="22">R27+R28</f>
        <v>9491.1260000000002</v>
      </c>
      <c r="S26" s="110">
        <f t="shared" si="22"/>
        <v>8519.8760000000002</v>
      </c>
      <c r="T26" s="110">
        <f t="shared" si="22"/>
        <v>9701.0439999999999</v>
      </c>
      <c r="U26" s="110">
        <f t="shared" si="22"/>
        <v>10042.199000000001</v>
      </c>
      <c r="V26" s="110">
        <f t="shared" si="22"/>
        <v>8330.7819999999992</v>
      </c>
      <c r="W26" s="110">
        <f t="shared" ref="W26:Y26" si="23">W27+W28</f>
        <v>8413.8970000000008</v>
      </c>
      <c r="X26" s="110">
        <f t="shared" si="23"/>
        <v>9582.5220000000008</v>
      </c>
      <c r="Y26" s="110">
        <f t="shared" si="23"/>
        <v>9809.8289999999997</v>
      </c>
      <c r="DA26" s="176" t="s">
        <v>385</v>
      </c>
    </row>
    <row r="27" spans="1:105" ht="11.45" customHeight="1" x14ac:dyDescent="0.25">
      <c r="A27" s="128" t="str">
        <f>TrNavi_act!$A$4</f>
        <v>Domestic coastal shipping</v>
      </c>
      <c r="B27" s="102">
        <f>TrNavi_act!B4</f>
        <v>11846.754999999999</v>
      </c>
      <c r="C27" s="102">
        <f>TrNavi_act!C4</f>
        <v>11865.871999999999</v>
      </c>
      <c r="D27" s="102">
        <f>TrNavi_act!D4</f>
        <v>10045.645</v>
      </c>
      <c r="E27" s="102">
        <f>TrNavi_act!E4</f>
        <v>9290.6229999999996</v>
      </c>
      <c r="F27" s="102">
        <f>TrNavi_act!F4</f>
        <v>9359.277</v>
      </c>
      <c r="G27" s="102">
        <f>TrNavi_act!G4</f>
        <v>10268.962</v>
      </c>
      <c r="H27" s="102">
        <f>TrNavi_act!H4</f>
        <v>10898.717000000001</v>
      </c>
      <c r="I27" s="102">
        <f>TrNavi_act!I4</f>
        <v>10034.232</v>
      </c>
      <c r="J27" s="102">
        <f>TrNavi_act!J4</f>
        <v>9297.4259999999995</v>
      </c>
      <c r="K27" s="102">
        <f>TrNavi_act!K4</f>
        <v>7885.1869999999999</v>
      </c>
      <c r="L27" s="102">
        <f>TrNavi_act!L4</f>
        <v>8396.4419999999991</v>
      </c>
      <c r="M27" s="102">
        <f>TrNavi_act!M4</f>
        <v>8628.1190000000006</v>
      </c>
      <c r="N27" s="102">
        <f>TrNavi_act!N4</f>
        <v>7219.38</v>
      </c>
      <c r="O27" s="102">
        <f>TrNavi_act!O4</f>
        <v>7262.7910000000002</v>
      </c>
      <c r="P27" s="102">
        <f>TrNavi_act!P4</f>
        <v>7688.56</v>
      </c>
      <c r="Q27" s="102">
        <f>TrNavi_act!Q4</f>
        <v>9037.0550000000003</v>
      </c>
      <c r="R27" s="102">
        <f>TrNavi_act!R4</f>
        <v>9491.1260000000002</v>
      </c>
      <c r="S27" s="102">
        <f>TrNavi_act!S4</f>
        <v>8519.8760000000002</v>
      </c>
      <c r="T27" s="102">
        <f>TrNavi_act!T4</f>
        <v>9701.0439999999999</v>
      </c>
      <c r="U27" s="102">
        <f>TrNavi_act!U4</f>
        <v>10042.199000000001</v>
      </c>
      <c r="V27" s="102">
        <f>TrNavi_act!V4</f>
        <v>8330.7819999999992</v>
      </c>
      <c r="W27" s="102">
        <f>TrNavi_act!W4</f>
        <v>8413.8970000000008</v>
      </c>
      <c r="X27" s="102">
        <f>TrNavi_act!X4</f>
        <v>9582.5220000000008</v>
      </c>
      <c r="Y27" s="102">
        <f>TrNavi_act!Y4</f>
        <v>9809.8289999999997</v>
      </c>
      <c r="DA27" s="175" t="s">
        <v>386</v>
      </c>
    </row>
    <row r="28" spans="1:105" ht="11.45" customHeight="1" x14ac:dyDescent="0.25">
      <c r="A28" s="166" t="str">
        <f>TrNavi_act!$A$5</f>
        <v>Inland waterways</v>
      </c>
      <c r="B28" s="169">
        <f>TrNavi_act!B5</f>
        <v>0</v>
      </c>
      <c r="C28" s="169">
        <f>TrNavi_act!C5</f>
        <v>0</v>
      </c>
      <c r="D28" s="169">
        <f>TrNavi_act!D5</f>
        <v>0</v>
      </c>
      <c r="E28" s="169">
        <f>TrNavi_act!E5</f>
        <v>0</v>
      </c>
      <c r="F28" s="169">
        <f>TrNavi_act!F5</f>
        <v>0</v>
      </c>
      <c r="G28" s="169">
        <f>TrNavi_act!G5</f>
        <v>0</v>
      </c>
      <c r="H28" s="169">
        <f>TrNavi_act!H5</f>
        <v>0</v>
      </c>
      <c r="I28" s="169">
        <f>TrNavi_act!I5</f>
        <v>0</v>
      </c>
      <c r="J28" s="169">
        <f>TrNavi_act!J5</f>
        <v>0</v>
      </c>
      <c r="K28" s="169">
        <f>TrNavi_act!K5</f>
        <v>0</v>
      </c>
      <c r="L28" s="169">
        <f>TrNavi_act!L5</f>
        <v>0</v>
      </c>
      <c r="M28" s="169">
        <f>TrNavi_act!M5</f>
        <v>0</v>
      </c>
      <c r="N28" s="169">
        <f>TrNavi_act!N5</f>
        <v>0</v>
      </c>
      <c r="O28" s="169">
        <f>TrNavi_act!O5</f>
        <v>0</v>
      </c>
      <c r="P28" s="169">
        <f>TrNavi_act!P5</f>
        <v>0</v>
      </c>
      <c r="Q28" s="169">
        <f>TrNavi_act!Q5</f>
        <v>0</v>
      </c>
      <c r="R28" s="169">
        <f>TrNavi_act!R5</f>
        <v>0</v>
      </c>
      <c r="S28" s="169">
        <f>TrNavi_act!S5</f>
        <v>0</v>
      </c>
      <c r="T28" s="169">
        <f>TrNavi_act!T5</f>
        <v>0</v>
      </c>
      <c r="U28" s="169">
        <f>TrNavi_act!U5</f>
        <v>0</v>
      </c>
      <c r="V28" s="169">
        <f>TrNavi_act!V5</f>
        <v>0</v>
      </c>
      <c r="W28" s="169">
        <f>TrNavi_act!W5</f>
        <v>0</v>
      </c>
      <c r="X28" s="169">
        <f>TrNavi_act!X5</f>
        <v>0</v>
      </c>
      <c r="Y28" s="169">
        <f>TrNavi_act!Y5</f>
        <v>0</v>
      </c>
      <c r="DA28" s="177" t="s">
        <v>387</v>
      </c>
    </row>
    <row r="29" spans="1:105" ht="11.45" customHeight="1" x14ac:dyDescent="0.25">
      <c r="A29" s="27" t="s">
        <v>170</v>
      </c>
      <c r="B29" s="28">
        <f t="shared" ref="B29:W29" si="24">B30+B31</f>
        <v>610521.44012199994</v>
      </c>
      <c r="C29" s="28">
        <f t="shared" si="24"/>
        <v>733609.77781699994</v>
      </c>
      <c r="D29" s="28">
        <f t="shared" si="24"/>
        <v>775781.49471899995</v>
      </c>
      <c r="E29" s="28">
        <f t="shared" si="24"/>
        <v>820706.49188799993</v>
      </c>
      <c r="F29" s="28">
        <f t="shared" si="24"/>
        <v>920636.79541299993</v>
      </c>
      <c r="G29" s="28">
        <f t="shared" si="24"/>
        <v>1018630.5638059999</v>
      </c>
      <c r="H29" s="28">
        <f t="shared" si="24"/>
        <v>1095158.411202</v>
      </c>
      <c r="I29" s="28">
        <f t="shared" si="24"/>
        <v>1188923.1658719999</v>
      </c>
      <c r="J29" s="28">
        <f t="shared" si="24"/>
        <v>1136546.2627119999</v>
      </c>
      <c r="K29" s="28">
        <f t="shared" si="24"/>
        <v>932697.11116199999</v>
      </c>
      <c r="L29" s="28">
        <f t="shared" si="24"/>
        <v>957852.09275500011</v>
      </c>
      <c r="M29" s="28">
        <f t="shared" si="24"/>
        <v>1063270.4440319999</v>
      </c>
      <c r="N29" s="28">
        <f t="shared" si="24"/>
        <v>1109290.8522910001</v>
      </c>
      <c r="O29" s="28">
        <f t="shared" si="24"/>
        <v>1019308.0460340001</v>
      </c>
      <c r="P29" s="28">
        <f t="shared" si="24"/>
        <v>1042546.029128</v>
      </c>
      <c r="Q29" s="28">
        <f t="shared" si="24"/>
        <v>992160.050911</v>
      </c>
      <c r="R29" s="28">
        <f t="shared" si="24"/>
        <v>995687.71158799995</v>
      </c>
      <c r="S29" s="28">
        <f t="shared" si="24"/>
        <v>1049895.7669000002</v>
      </c>
      <c r="T29" s="28">
        <f t="shared" si="24"/>
        <v>1126357.076347</v>
      </c>
      <c r="U29" s="28">
        <f t="shared" si="24"/>
        <v>1236221.1522520001</v>
      </c>
      <c r="V29" s="28">
        <f t="shared" si="24"/>
        <v>1140348.1722589999</v>
      </c>
      <c r="W29" s="28">
        <f t="shared" si="24"/>
        <v>1183262.8305510001</v>
      </c>
      <c r="X29" s="28">
        <f t="shared" ref="X29:Y29" si="25">X30+X31</f>
        <v>1259282.299474</v>
      </c>
      <c r="Y29" s="28">
        <f t="shared" si="25"/>
        <v>1239706.6515430002</v>
      </c>
      <c r="DA29" s="173" t="s">
        <v>388</v>
      </c>
    </row>
    <row r="30" spans="1:105" ht="11.45" customHeight="1" x14ac:dyDescent="0.25">
      <c r="A30" s="128" t="s">
        <v>166</v>
      </c>
      <c r="B30" s="102">
        <f>MBunk_act!B$4</f>
        <v>81249.036166000005</v>
      </c>
      <c r="C30" s="102">
        <f>MBunk_act!C$4</f>
        <v>93100.742295000004</v>
      </c>
      <c r="D30" s="102">
        <f>MBunk_act!D$4</f>
        <v>96568.344681000002</v>
      </c>
      <c r="E30" s="102">
        <f>MBunk_act!E$4</f>
        <v>101746.349131</v>
      </c>
      <c r="F30" s="102">
        <f>MBunk_act!F$4</f>
        <v>113810.029779</v>
      </c>
      <c r="G30" s="102">
        <f>MBunk_act!G$4</f>
        <v>120262.57239300001</v>
      </c>
      <c r="H30" s="102">
        <f>MBunk_act!H$4</f>
        <v>116580.53730700001</v>
      </c>
      <c r="I30" s="102">
        <f>MBunk_act!I$4</f>
        <v>115940.437091</v>
      </c>
      <c r="J30" s="102">
        <f>MBunk_act!J$4</f>
        <v>109487.862492</v>
      </c>
      <c r="K30" s="102">
        <f>MBunk_act!K$4</f>
        <v>102737.40494200001</v>
      </c>
      <c r="L30" s="102">
        <f>MBunk_act!L$4</f>
        <v>104352.055398</v>
      </c>
      <c r="M30" s="102">
        <f>MBunk_act!M$4</f>
        <v>106646.28104900001</v>
      </c>
      <c r="N30" s="102">
        <f>MBunk_act!N$4</f>
        <v>106470.35304399999</v>
      </c>
      <c r="O30" s="102">
        <f>MBunk_act!O$4</f>
        <v>106516.72536</v>
      </c>
      <c r="P30" s="102">
        <f>MBunk_act!P$4</f>
        <v>116223.69357399999</v>
      </c>
      <c r="Q30" s="102">
        <f>MBunk_act!Q$4</f>
        <v>112961.24156000001</v>
      </c>
      <c r="R30" s="102">
        <f>MBunk_act!R$4</f>
        <v>118230.44491000001</v>
      </c>
      <c r="S30" s="102">
        <f>MBunk_act!S$4</f>
        <v>118689.981436</v>
      </c>
      <c r="T30" s="102">
        <f>MBunk_act!T$4</f>
        <v>128124.232772</v>
      </c>
      <c r="U30" s="102">
        <f>MBunk_act!U$4</f>
        <v>142028.34385400001</v>
      </c>
      <c r="V30" s="102">
        <f>MBunk_act!V$4</f>
        <v>141307.27697599999</v>
      </c>
      <c r="W30" s="102">
        <f>MBunk_act!W$4</f>
        <v>151728.380653</v>
      </c>
      <c r="X30" s="102">
        <f>MBunk_act!X$4</f>
        <v>159921.49429800001</v>
      </c>
      <c r="Y30" s="102">
        <f>MBunk_act!Y$4</f>
        <v>161308.92423899999</v>
      </c>
      <c r="DA30" s="175" t="s">
        <v>389</v>
      </c>
    </row>
    <row r="31" spans="1:105" ht="11.45" customHeight="1" x14ac:dyDescent="0.25">
      <c r="A31" s="138" t="s">
        <v>167</v>
      </c>
      <c r="B31" s="86">
        <f>MBunk_act!B$5</f>
        <v>529272.40395599999</v>
      </c>
      <c r="C31" s="86">
        <f>MBunk_act!C$5</f>
        <v>640509.03552199993</v>
      </c>
      <c r="D31" s="86">
        <f>MBunk_act!D$5</f>
        <v>679213.15003799996</v>
      </c>
      <c r="E31" s="86">
        <f>MBunk_act!E$5</f>
        <v>718960.14275699994</v>
      </c>
      <c r="F31" s="86">
        <f>MBunk_act!F$5</f>
        <v>806826.76563399995</v>
      </c>
      <c r="G31" s="86">
        <f>MBunk_act!G$5</f>
        <v>898367.99141299992</v>
      </c>
      <c r="H31" s="86">
        <f>MBunk_act!H$5</f>
        <v>978577.87389499997</v>
      </c>
      <c r="I31" s="86">
        <f>MBunk_act!I$5</f>
        <v>1072982.728781</v>
      </c>
      <c r="J31" s="86">
        <f>MBunk_act!J$5</f>
        <v>1027058.40022</v>
      </c>
      <c r="K31" s="86">
        <f>MBunk_act!K$5</f>
        <v>829959.70621999993</v>
      </c>
      <c r="L31" s="86">
        <f>MBunk_act!L$5</f>
        <v>853500.03735700005</v>
      </c>
      <c r="M31" s="86">
        <f>MBunk_act!M$5</f>
        <v>956624.16298299993</v>
      </c>
      <c r="N31" s="86">
        <f>MBunk_act!N$5</f>
        <v>1002820.499247</v>
      </c>
      <c r="O31" s="86">
        <f>MBunk_act!O$5</f>
        <v>912791.32067400008</v>
      </c>
      <c r="P31" s="86">
        <f>MBunk_act!P$5</f>
        <v>926322.33555399999</v>
      </c>
      <c r="Q31" s="86">
        <f>MBunk_act!Q$5</f>
        <v>879198.809351</v>
      </c>
      <c r="R31" s="86">
        <f>MBunk_act!R$5</f>
        <v>877457.26667799999</v>
      </c>
      <c r="S31" s="86">
        <f>MBunk_act!S$5</f>
        <v>931205.78546400007</v>
      </c>
      <c r="T31" s="86">
        <f>MBunk_act!T$5</f>
        <v>998232.84357500006</v>
      </c>
      <c r="U31" s="86">
        <f>MBunk_act!U$5</f>
        <v>1094192.808398</v>
      </c>
      <c r="V31" s="86">
        <f>MBunk_act!V$5</f>
        <v>999040.89528299996</v>
      </c>
      <c r="W31" s="86">
        <f>MBunk_act!W$5</f>
        <v>1031534.449898</v>
      </c>
      <c r="X31" s="86">
        <f>MBunk_act!X$5</f>
        <v>1099360.8051759999</v>
      </c>
      <c r="Y31" s="86">
        <f>MBunk_act!Y$5</f>
        <v>1078397.7273040002</v>
      </c>
      <c r="DA31" s="178" t="s">
        <v>390</v>
      </c>
    </row>
    <row r="32" spans="1:105" ht="11.45" customHeight="1" x14ac:dyDescent="0.25">
      <c r="A32" s="106"/>
      <c r="B32" s="106"/>
      <c r="C32" s="106"/>
      <c r="D32" s="106"/>
      <c r="E32" s="106"/>
      <c r="F32" s="106"/>
      <c r="G32" s="106"/>
      <c r="H32" s="106"/>
      <c r="I32" s="106"/>
      <c r="J32" s="106"/>
      <c r="K32" s="106"/>
      <c r="L32" s="106"/>
      <c r="M32" s="106"/>
      <c r="N32" s="106"/>
      <c r="O32" s="106"/>
      <c r="P32" s="106"/>
      <c r="Q32" s="106"/>
      <c r="R32" s="106"/>
      <c r="S32" s="106"/>
      <c r="T32" s="106"/>
      <c r="U32" s="106"/>
      <c r="V32" s="106"/>
      <c r="W32" s="106"/>
      <c r="X32" s="106"/>
      <c r="Y32" s="106"/>
      <c r="DA32" s="171"/>
    </row>
    <row r="33" spans="1:105" ht="11.45" customHeight="1" x14ac:dyDescent="0.25">
      <c r="A33" s="53" t="s">
        <v>32</v>
      </c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DA33" s="172"/>
    </row>
    <row r="34" spans="1:105" ht="11.45" customHeight="1" x14ac:dyDescent="0.25">
      <c r="A34" s="27" t="s">
        <v>33</v>
      </c>
      <c r="B34" s="28">
        <f t="shared" ref="B34:Q34" si="26">B35+B39+B43</f>
        <v>22223.018965661337</v>
      </c>
      <c r="C34" s="28">
        <f t="shared" si="26"/>
        <v>22730.922708138933</v>
      </c>
      <c r="D34" s="28">
        <f t="shared" si="26"/>
        <v>23240.847095638695</v>
      </c>
      <c r="E34" s="28">
        <f t="shared" si="26"/>
        <v>24336.541722107704</v>
      </c>
      <c r="F34" s="28">
        <f t="shared" si="26"/>
        <v>25395.70613551628</v>
      </c>
      <c r="G34" s="28">
        <f t="shared" si="26"/>
        <v>26740.92635672076</v>
      </c>
      <c r="H34" s="28">
        <f t="shared" si="26"/>
        <v>27504.368613231109</v>
      </c>
      <c r="I34" s="28">
        <f t="shared" si="26"/>
        <v>28468.42439014987</v>
      </c>
      <c r="J34" s="28">
        <f t="shared" si="26"/>
        <v>27821.602921997503</v>
      </c>
      <c r="K34" s="28">
        <f t="shared" si="26"/>
        <v>27001.057477383176</v>
      </c>
      <c r="L34" s="28">
        <f t="shared" si="26"/>
        <v>26592.271292550267</v>
      </c>
      <c r="M34" s="28">
        <f t="shared" si="26"/>
        <v>26301.53758536742</v>
      </c>
      <c r="N34" s="28">
        <f t="shared" si="26"/>
        <v>24709.774331323581</v>
      </c>
      <c r="O34" s="28">
        <f t="shared" si="26"/>
        <v>23744.497450434872</v>
      </c>
      <c r="P34" s="28">
        <f t="shared" si="26"/>
        <v>24128.388100005472</v>
      </c>
      <c r="Q34" s="28">
        <f t="shared" si="26"/>
        <v>24856.793722156628</v>
      </c>
      <c r="R34" s="28">
        <f t="shared" ref="R34:V34" si="27">R35+R39+R43</f>
        <v>25355.832987521098</v>
      </c>
      <c r="S34" s="28">
        <f t="shared" si="27"/>
        <v>26101.452121117425</v>
      </c>
      <c r="T34" s="28">
        <f t="shared" si="27"/>
        <v>26686.252529887002</v>
      </c>
      <c r="U34" s="28">
        <f t="shared" si="27"/>
        <v>27504.708557213875</v>
      </c>
      <c r="V34" s="28">
        <f t="shared" si="27"/>
        <v>18875.699386965043</v>
      </c>
      <c r="W34" s="28">
        <f t="shared" ref="W34:Y34" si="28">W35+W39+W43</f>
        <v>22436.280711533305</v>
      </c>
      <c r="X34" s="28">
        <f t="shared" si="28"/>
        <v>25891.09221211807</v>
      </c>
      <c r="Y34" s="28">
        <f t="shared" si="28"/>
        <v>26862.952204988433</v>
      </c>
      <c r="DA34" s="173"/>
    </row>
    <row r="35" spans="1:105" ht="11.45" customHeight="1" x14ac:dyDescent="0.25">
      <c r="A35" s="136" t="str">
        <f>$A$5</f>
        <v>Road transport</v>
      </c>
      <c r="B35" s="137">
        <f t="shared" ref="B35:Q35" si="29">B36+B37+B38</f>
        <v>17223.910754375906</v>
      </c>
      <c r="C35" s="137">
        <f t="shared" si="29"/>
        <v>17658.419132729166</v>
      </c>
      <c r="D35" s="137">
        <f t="shared" si="29"/>
        <v>18358.28666697102</v>
      </c>
      <c r="E35" s="137">
        <f t="shared" si="29"/>
        <v>19145.867566976845</v>
      </c>
      <c r="F35" s="137">
        <f t="shared" si="29"/>
        <v>19636.179973243579</v>
      </c>
      <c r="G35" s="137">
        <f t="shared" si="29"/>
        <v>20549.471677460962</v>
      </c>
      <c r="H35" s="137">
        <f t="shared" si="29"/>
        <v>21242.740785652539</v>
      </c>
      <c r="I35" s="137">
        <f t="shared" si="29"/>
        <v>21828.169161685761</v>
      </c>
      <c r="J35" s="137">
        <f t="shared" si="29"/>
        <v>21263.399026857918</v>
      </c>
      <c r="K35" s="137">
        <f t="shared" si="29"/>
        <v>21037.527884951047</v>
      </c>
      <c r="L35" s="137">
        <f t="shared" si="29"/>
        <v>20524.563965049889</v>
      </c>
      <c r="M35" s="137">
        <f t="shared" si="29"/>
        <v>19824.471948630151</v>
      </c>
      <c r="N35" s="137">
        <f t="shared" si="29"/>
        <v>18509.948677177836</v>
      </c>
      <c r="O35" s="137">
        <f t="shared" si="29"/>
        <v>18241.383291367922</v>
      </c>
      <c r="P35" s="137">
        <f t="shared" si="29"/>
        <v>18458.588214406533</v>
      </c>
      <c r="Q35" s="137">
        <f t="shared" si="29"/>
        <v>18832.719067709848</v>
      </c>
      <c r="R35" s="137">
        <f t="shared" ref="R35:V35" si="30">R36+R37+R38</f>
        <v>18932.08776827058</v>
      </c>
      <c r="S35" s="137">
        <f t="shared" si="30"/>
        <v>19157.628604857375</v>
      </c>
      <c r="T35" s="137">
        <f t="shared" si="30"/>
        <v>19473.69574236999</v>
      </c>
      <c r="U35" s="137">
        <f t="shared" si="30"/>
        <v>20052.743100213313</v>
      </c>
      <c r="V35" s="137">
        <f t="shared" si="30"/>
        <v>16214.037117396221</v>
      </c>
      <c r="W35" s="137">
        <f t="shared" ref="W35:Y35" si="31">W36+W37+W38</f>
        <v>18772.820114040918</v>
      </c>
      <c r="X35" s="137">
        <f t="shared" si="31"/>
        <v>19560.95983969422</v>
      </c>
      <c r="Y35" s="137">
        <f t="shared" si="31"/>
        <v>19787.87890958244</v>
      </c>
      <c r="DA35" s="174" t="s">
        <v>391</v>
      </c>
    </row>
    <row r="36" spans="1:105" ht="11.45" customHeight="1" x14ac:dyDescent="0.25">
      <c r="A36" s="128" t="str">
        <f>$A$6</f>
        <v>Powered two-wheelers</v>
      </c>
      <c r="B36" s="102">
        <f>TrRoad_ene!B$19</f>
        <v>376.50521239735724</v>
      </c>
      <c r="C36" s="102">
        <f>TrRoad_ene!C$19</f>
        <v>397.94173419415108</v>
      </c>
      <c r="D36" s="102">
        <f>TrRoad_ene!D$19</f>
        <v>363.9059791781898</v>
      </c>
      <c r="E36" s="102">
        <f>TrRoad_ene!E$19</f>
        <v>409.2505584830559</v>
      </c>
      <c r="F36" s="102">
        <f>TrRoad_ene!F$19</f>
        <v>395.0361973530371</v>
      </c>
      <c r="G36" s="102">
        <f>TrRoad_ene!G$19</f>
        <v>450.99094763830504</v>
      </c>
      <c r="H36" s="102">
        <f>TrRoad_ene!H$19</f>
        <v>458.02725194351808</v>
      </c>
      <c r="I36" s="102">
        <f>TrRoad_ene!I$19</f>
        <v>517.37196063861188</v>
      </c>
      <c r="J36" s="102">
        <f>TrRoad_ene!J$19</f>
        <v>517.3861059307319</v>
      </c>
      <c r="K36" s="102">
        <f>TrRoad_ene!K$19</f>
        <v>533.805869159743</v>
      </c>
      <c r="L36" s="102">
        <f>TrRoad_ene!L$19</f>
        <v>540.16087522011571</v>
      </c>
      <c r="M36" s="102">
        <f>TrRoad_ene!M$19</f>
        <v>495.08161881735691</v>
      </c>
      <c r="N36" s="102">
        <f>TrRoad_ene!N$19</f>
        <v>467.82219407636342</v>
      </c>
      <c r="O36" s="102">
        <f>TrRoad_ene!O$19</f>
        <v>461.77085934985564</v>
      </c>
      <c r="P36" s="102">
        <f>TrRoad_ene!P$19</f>
        <v>512.92429466211797</v>
      </c>
      <c r="Q36" s="102">
        <f>TrRoad_ene!Q$19</f>
        <v>550.47825860831233</v>
      </c>
      <c r="R36" s="102">
        <f>TrRoad_ene!R$19</f>
        <v>567.78372103302218</v>
      </c>
      <c r="S36" s="102">
        <f>TrRoad_ene!S$19</f>
        <v>527.1724198079396</v>
      </c>
      <c r="T36" s="102">
        <f>TrRoad_ene!T$19</f>
        <v>499.5082661700585</v>
      </c>
      <c r="U36" s="102">
        <f>TrRoad_ene!U$19</f>
        <v>538.90736846784148</v>
      </c>
      <c r="V36" s="102">
        <f>TrRoad_ene!V$19</f>
        <v>446.49874198158898</v>
      </c>
      <c r="W36" s="102">
        <f>TrRoad_ene!W$19</f>
        <v>493.68881036835432</v>
      </c>
      <c r="X36" s="102">
        <f>TrRoad_ene!X$19</f>
        <v>477.49145113154196</v>
      </c>
      <c r="Y36" s="102">
        <f>TrRoad_ene!Y$19</f>
        <v>513.14360299904263</v>
      </c>
      <c r="DA36" s="175" t="s">
        <v>392</v>
      </c>
    </row>
    <row r="37" spans="1:105" ht="11.45" customHeight="1" x14ac:dyDescent="0.25">
      <c r="A37" s="128" t="str">
        <f>$A$7</f>
        <v>Passenger cars</v>
      </c>
      <c r="B37" s="102">
        <f>TrRoad_ene!B$21</f>
        <v>15664.212404541175</v>
      </c>
      <c r="C37" s="102">
        <f>TrRoad_ene!C$21</f>
        <v>16083.790785118115</v>
      </c>
      <c r="D37" s="102">
        <f>TrRoad_ene!D$21</f>
        <v>16836.898558778837</v>
      </c>
      <c r="E37" s="102">
        <f>TrRoad_ene!E$21</f>
        <v>17587.990140511971</v>
      </c>
      <c r="F37" s="102">
        <f>TrRoad_ene!F$21</f>
        <v>18062.385555826088</v>
      </c>
      <c r="G37" s="102">
        <f>TrRoad_ene!G$21</f>
        <v>18932.117883284784</v>
      </c>
      <c r="H37" s="102">
        <f>TrRoad_ene!H$21</f>
        <v>19571.49067704453</v>
      </c>
      <c r="I37" s="102">
        <f>TrRoad_ene!I$21</f>
        <v>20059.496207942095</v>
      </c>
      <c r="J37" s="102">
        <f>TrRoad_ene!J$21</f>
        <v>19502.856224974614</v>
      </c>
      <c r="K37" s="102">
        <f>TrRoad_ene!K$21</f>
        <v>19274.369855141889</v>
      </c>
      <c r="L37" s="102">
        <f>TrRoad_ene!L$21</f>
        <v>18770.523795029163</v>
      </c>
      <c r="M37" s="102">
        <f>TrRoad_ene!M$21</f>
        <v>18120.401559414404</v>
      </c>
      <c r="N37" s="102">
        <f>TrRoad_ene!N$21</f>
        <v>16855.47734145249</v>
      </c>
      <c r="O37" s="102">
        <f>TrRoad_ene!O$21</f>
        <v>16659.356939225028</v>
      </c>
      <c r="P37" s="102">
        <f>TrRoad_ene!P$21</f>
        <v>16837.904972879667</v>
      </c>
      <c r="Q37" s="102">
        <f>TrRoad_ene!Q$21</f>
        <v>17170.804430980334</v>
      </c>
      <c r="R37" s="102">
        <f>TrRoad_ene!R$21</f>
        <v>17233.184968387708</v>
      </c>
      <c r="S37" s="102">
        <f>TrRoad_ene!S$21</f>
        <v>17895.287581051212</v>
      </c>
      <c r="T37" s="102">
        <f>TrRoad_ene!T$21</f>
        <v>18235.938035148847</v>
      </c>
      <c r="U37" s="102">
        <f>TrRoad_ene!U$21</f>
        <v>18753.405624033643</v>
      </c>
      <c r="V37" s="102">
        <f>TrRoad_ene!V$21</f>
        <v>15218.326281631558</v>
      </c>
      <c r="W37" s="102">
        <f>TrRoad_ene!W$21</f>
        <v>17583.369849052702</v>
      </c>
      <c r="X37" s="102">
        <f>TrRoad_ene!X$21</f>
        <v>18294.29420362278</v>
      </c>
      <c r="Y37" s="102">
        <f>TrRoad_ene!Y$21</f>
        <v>18386.339585230355</v>
      </c>
      <c r="DA37" s="175" t="s">
        <v>393</v>
      </c>
    </row>
    <row r="38" spans="1:105" ht="11.45" customHeight="1" x14ac:dyDescent="0.25">
      <c r="A38" s="128" t="str">
        <f>$A$8</f>
        <v>Motor coaches, buses and trolley buses</v>
      </c>
      <c r="B38" s="102">
        <f>TrRoad_ene!B$33</f>
        <v>1183.1931374373728</v>
      </c>
      <c r="C38" s="102">
        <f>TrRoad_ene!C$33</f>
        <v>1176.6866134168984</v>
      </c>
      <c r="D38" s="102">
        <f>TrRoad_ene!D$33</f>
        <v>1157.4821290139903</v>
      </c>
      <c r="E38" s="102">
        <f>TrRoad_ene!E$33</f>
        <v>1148.6268679818202</v>
      </c>
      <c r="F38" s="102">
        <f>TrRoad_ene!F$33</f>
        <v>1178.758220064454</v>
      </c>
      <c r="G38" s="102">
        <f>TrRoad_ene!G$33</f>
        <v>1166.3628465378758</v>
      </c>
      <c r="H38" s="102">
        <f>TrRoad_ene!H$33</f>
        <v>1213.2228566644903</v>
      </c>
      <c r="I38" s="102">
        <f>TrRoad_ene!I$33</f>
        <v>1251.300993105056</v>
      </c>
      <c r="J38" s="102">
        <f>TrRoad_ene!J$33</f>
        <v>1243.1566959525746</v>
      </c>
      <c r="K38" s="102">
        <f>TrRoad_ene!K$33</f>
        <v>1229.3521606494148</v>
      </c>
      <c r="L38" s="102">
        <f>TrRoad_ene!L$33</f>
        <v>1213.8792948006089</v>
      </c>
      <c r="M38" s="102">
        <f>TrRoad_ene!M$33</f>
        <v>1208.9887703983918</v>
      </c>
      <c r="N38" s="102">
        <f>TrRoad_ene!N$33</f>
        <v>1186.6491416489794</v>
      </c>
      <c r="O38" s="102">
        <f>TrRoad_ene!O$33</f>
        <v>1120.2554927930357</v>
      </c>
      <c r="P38" s="102">
        <f>TrRoad_ene!P$33</f>
        <v>1107.75894686475</v>
      </c>
      <c r="Q38" s="102">
        <f>TrRoad_ene!Q$33</f>
        <v>1111.4363781212014</v>
      </c>
      <c r="R38" s="102">
        <f>TrRoad_ene!R$33</f>
        <v>1131.1190788498486</v>
      </c>
      <c r="S38" s="102">
        <f>TrRoad_ene!S$33</f>
        <v>735.16860399822349</v>
      </c>
      <c r="T38" s="102">
        <f>TrRoad_ene!T$33</f>
        <v>738.24944105108284</v>
      </c>
      <c r="U38" s="102">
        <f>TrRoad_ene!U$33</f>
        <v>760.4301077118306</v>
      </c>
      <c r="V38" s="102">
        <f>TrRoad_ene!V$33</f>
        <v>549.21209378307401</v>
      </c>
      <c r="W38" s="102">
        <f>TrRoad_ene!W$33</f>
        <v>695.76145461985845</v>
      </c>
      <c r="X38" s="102">
        <f>TrRoad_ene!X$33</f>
        <v>789.17418493989726</v>
      </c>
      <c r="Y38" s="102">
        <f>TrRoad_ene!Y$33</f>
        <v>888.39572135304047</v>
      </c>
      <c r="DA38" s="175" t="s">
        <v>394</v>
      </c>
    </row>
    <row r="39" spans="1:105" ht="11.45" customHeight="1" x14ac:dyDescent="0.25">
      <c r="A39" s="109" t="str">
        <f>$A$9</f>
        <v>Rail, metro and tram</v>
      </c>
      <c r="B39" s="110">
        <f t="shared" ref="B39:Q39" si="32">B40+B41+B42</f>
        <v>502.79059147107421</v>
      </c>
      <c r="C39" s="110">
        <f t="shared" si="32"/>
        <v>540.57577783006252</v>
      </c>
      <c r="D39" s="110">
        <f t="shared" si="32"/>
        <v>571.39196474407856</v>
      </c>
      <c r="E39" s="110">
        <f t="shared" si="32"/>
        <v>667.39253513144172</v>
      </c>
      <c r="F39" s="110">
        <f t="shared" si="32"/>
        <v>764.25123608008084</v>
      </c>
      <c r="G39" s="110">
        <f t="shared" si="32"/>
        <v>852.29780735937027</v>
      </c>
      <c r="H39" s="110">
        <f t="shared" si="32"/>
        <v>672.17427862749355</v>
      </c>
      <c r="I39" s="110">
        <f t="shared" si="32"/>
        <v>749.94175681594254</v>
      </c>
      <c r="J39" s="110">
        <f t="shared" si="32"/>
        <v>744.14373225902784</v>
      </c>
      <c r="K39" s="110">
        <f t="shared" si="32"/>
        <v>656.64304404753807</v>
      </c>
      <c r="L39" s="110">
        <f t="shared" si="32"/>
        <v>654.57336338430821</v>
      </c>
      <c r="M39" s="110">
        <f t="shared" si="32"/>
        <v>694.27560630025835</v>
      </c>
      <c r="N39" s="110">
        <f t="shared" si="32"/>
        <v>739.01076163951211</v>
      </c>
      <c r="O39" s="110">
        <f t="shared" si="32"/>
        <v>327.0499656307594</v>
      </c>
      <c r="P39" s="110">
        <f t="shared" si="32"/>
        <v>329.03358310294016</v>
      </c>
      <c r="Q39" s="110">
        <f t="shared" si="32"/>
        <v>343.2116747053098</v>
      </c>
      <c r="R39" s="110">
        <f t="shared" ref="R39:V39" si="33">R40+R41+R42</f>
        <v>339.39980915972291</v>
      </c>
      <c r="S39" s="110">
        <f t="shared" si="33"/>
        <v>329.05231611294039</v>
      </c>
      <c r="T39" s="110">
        <f t="shared" si="33"/>
        <v>327.57257537335147</v>
      </c>
      <c r="U39" s="110">
        <f t="shared" si="33"/>
        <v>309.87396340906116</v>
      </c>
      <c r="V39" s="110">
        <f t="shared" si="33"/>
        <v>234.59888601257467</v>
      </c>
      <c r="W39" s="110">
        <f t="shared" ref="W39:Y39" si="34">W40+W41+W42</f>
        <v>267.49702356574966</v>
      </c>
      <c r="X39" s="110">
        <f t="shared" si="34"/>
        <v>279.84844624770346</v>
      </c>
      <c r="Y39" s="110">
        <f t="shared" si="34"/>
        <v>287.94856779859305</v>
      </c>
      <c r="DA39" s="176" t="s">
        <v>395</v>
      </c>
    </row>
    <row r="40" spans="1:105" ht="11.45" customHeight="1" x14ac:dyDescent="0.25">
      <c r="A40" s="128" t="str">
        <f>$A$10</f>
        <v>Metro and tram, urban light rail</v>
      </c>
      <c r="B40" s="102">
        <f>TrRail_ene!B$12</f>
        <v>28.913711748319191</v>
      </c>
      <c r="C40" s="102">
        <f>TrRail_ene!C$12</f>
        <v>29.45801089683766</v>
      </c>
      <c r="D40" s="102">
        <f>TrRail_ene!D$12</f>
        <v>29.485117589125331</v>
      </c>
      <c r="E40" s="102">
        <f>TrRail_ene!E$12</f>
        <v>31.761299992753646</v>
      </c>
      <c r="F40" s="102">
        <f>TrRail_ene!F$12</f>
        <v>32.12061192158815</v>
      </c>
      <c r="G40" s="102">
        <f>TrRail_ene!G$12</f>
        <v>31.482022159180314</v>
      </c>
      <c r="H40" s="102">
        <f>TrRail_ene!H$12</f>
        <v>32.109690131708298</v>
      </c>
      <c r="I40" s="102">
        <f>TrRail_ene!I$12</f>
        <v>32.614018949336682</v>
      </c>
      <c r="J40" s="102">
        <f>TrRail_ene!J$12</f>
        <v>32.270304238377626</v>
      </c>
      <c r="K40" s="102">
        <f>TrRail_ene!K$12</f>
        <v>31.202828052495864</v>
      </c>
      <c r="L40" s="102">
        <f>TrRail_ene!L$12</f>
        <v>37.943805322022513</v>
      </c>
      <c r="M40" s="102">
        <f>TrRail_ene!M$12</f>
        <v>37.02254062874718</v>
      </c>
      <c r="N40" s="102">
        <f>TrRail_ene!N$12</f>
        <v>35.751554702808349</v>
      </c>
      <c r="O40" s="102">
        <f>TrRail_ene!O$12</f>
        <v>32.557854562077203</v>
      </c>
      <c r="P40" s="102">
        <f>TrRail_ene!P$12</f>
        <v>32.410299445726459</v>
      </c>
      <c r="Q40" s="102">
        <f>TrRail_ene!Q$12</f>
        <v>31.535366341441708</v>
      </c>
      <c r="R40" s="102">
        <f>TrRail_ene!R$12</f>
        <v>32.001844539637204</v>
      </c>
      <c r="S40" s="102">
        <f>TrRail_ene!S$12</f>
        <v>32.583795286266408</v>
      </c>
      <c r="T40" s="102">
        <f>TrRail_ene!T$12</f>
        <v>36.339600914247086</v>
      </c>
      <c r="U40" s="102">
        <f>TrRail_ene!U$12</f>
        <v>35.718052289970444</v>
      </c>
      <c r="V40" s="102">
        <f>TrRail_ene!V$12</f>
        <v>26.990999782440969</v>
      </c>
      <c r="W40" s="102">
        <f>TrRail_ene!W$12</f>
        <v>26.175781934283265</v>
      </c>
      <c r="X40" s="102">
        <f>TrRail_ene!X$12</f>
        <v>30.500624214527221</v>
      </c>
      <c r="Y40" s="102">
        <f>TrRail_ene!Y$12</f>
        <v>30.644851566629406</v>
      </c>
      <c r="DA40" s="175" t="s">
        <v>396</v>
      </c>
    </row>
    <row r="41" spans="1:105" ht="11.45" customHeight="1" x14ac:dyDescent="0.25">
      <c r="A41" s="128" t="str">
        <f>$A$11</f>
        <v>Conventional passenger trains</v>
      </c>
      <c r="B41" s="102">
        <f>TrRail_ene!B$13</f>
        <v>448.40473170489065</v>
      </c>
      <c r="C41" s="102">
        <f>TrRail_ene!C$13</f>
        <v>484.24506026108065</v>
      </c>
      <c r="D41" s="102">
        <f>TrRail_ene!D$13</f>
        <v>512.7077233961005</v>
      </c>
      <c r="E41" s="102">
        <f>TrRail_ene!E$13</f>
        <v>609.37993097219669</v>
      </c>
      <c r="F41" s="102">
        <f>TrRail_ene!F$13</f>
        <v>704.79737994492416</v>
      </c>
      <c r="G41" s="102">
        <f>TrRail_ene!G$13</f>
        <v>791.79523301265147</v>
      </c>
      <c r="H41" s="102">
        <f>TrRail_ene!H$13</f>
        <v>607.17945682632603</v>
      </c>
      <c r="I41" s="102">
        <f>TrRail_ene!I$13</f>
        <v>684.76225640046562</v>
      </c>
      <c r="J41" s="102">
        <f>TrRail_ene!J$13</f>
        <v>646.05130832150292</v>
      </c>
      <c r="K41" s="102">
        <f>TrRail_ene!K$13</f>
        <v>484.8498458557292</v>
      </c>
      <c r="L41" s="102">
        <f>TrRail_ene!L$13</f>
        <v>470.09055711227728</v>
      </c>
      <c r="M41" s="102">
        <f>TrRail_ene!M$13</f>
        <v>518.87175406644576</v>
      </c>
      <c r="N41" s="102">
        <f>TrRail_ene!N$13</f>
        <v>571.22735970042083</v>
      </c>
      <c r="O41" s="102">
        <f>TrRail_ene!O$13</f>
        <v>159.21250228659432</v>
      </c>
      <c r="P41" s="102">
        <f>TrRail_ene!P$13</f>
        <v>166.97499023866791</v>
      </c>
      <c r="Q41" s="102">
        <f>TrRail_ene!Q$13</f>
        <v>186.59990092445511</v>
      </c>
      <c r="R41" s="102">
        <f>TrRail_ene!R$13</f>
        <v>182.61928037343353</v>
      </c>
      <c r="S41" s="102">
        <f>TrRail_ene!S$13</f>
        <v>165.64293221540274</v>
      </c>
      <c r="T41" s="102">
        <f>TrRail_ene!T$13</f>
        <v>160.19597126323401</v>
      </c>
      <c r="U41" s="102">
        <f>TrRail_ene!U$13</f>
        <v>144.28674920210528</v>
      </c>
      <c r="V41" s="102">
        <f>TrRail_ene!V$13</f>
        <v>145.05906190057053</v>
      </c>
      <c r="W41" s="102">
        <f>TrRail_ene!W$13</f>
        <v>175.19679262963453</v>
      </c>
      <c r="X41" s="102">
        <f>TrRail_ene!X$13</f>
        <v>181.57021765827184</v>
      </c>
      <c r="Y41" s="102">
        <f>TrRail_ene!Y$13</f>
        <v>195.56488603730079</v>
      </c>
      <c r="DA41" s="175" t="s">
        <v>397</v>
      </c>
    </row>
    <row r="42" spans="1:105" ht="11.45" customHeight="1" x14ac:dyDescent="0.25">
      <c r="A42" s="128" t="str">
        <f>$A$12</f>
        <v>High speed passenger trains</v>
      </c>
      <c r="B42" s="102">
        <f>TrRail_ene!B$16</f>
        <v>25.472148017864356</v>
      </c>
      <c r="C42" s="102">
        <f>TrRail_ene!C$16</f>
        <v>26.872706672144183</v>
      </c>
      <c r="D42" s="102">
        <f>TrRail_ene!D$16</f>
        <v>29.199123758852647</v>
      </c>
      <c r="E42" s="102">
        <f>TrRail_ene!E$16</f>
        <v>26.251304166491444</v>
      </c>
      <c r="F42" s="102">
        <f>TrRail_ene!F$16</f>
        <v>27.333244213568516</v>
      </c>
      <c r="G42" s="102">
        <f>TrRail_ene!G$16</f>
        <v>29.020552187538449</v>
      </c>
      <c r="H42" s="102">
        <f>TrRail_ene!H$16</f>
        <v>32.885131669459255</v>
      </c>
      <c r="I42" s="102">
        <f>TrRail_ene!I$16</f>
        <v>32.565481466140199</v>
      </c>
      <c r="J42" s="102">
        <f>TrRail_ene!J$16</f>
        <v>65.822119699147308</v>
      </c>
      <c r="K42" s="102">
        <f>TrRail_ene!K$16</f>
        <v>140.59037013931305</v>
      </c>
      <c r="L42" s="102">
        <f>TrRail_ene!L$16</f>
        <v>146.53900095000844</v>
      </c>
      <c r="M42" s="102">
        <f>TrRail_ene!M$16</f>
        <v>138.38131160506541</v>
      </c>
      <c r="N42" s="102">
        <f>TrRail_ene!N$16</f>
        <v>132.03184723628297</v>
      </c>
      <c r="O42" s="102">
        <f>TrRail_ene!O$16</f>
        <v>135.27960878208791</v>
      </c>
      <c r="P42" s="102">
        <f>TrRail_ene!P$16</f>
        <v>129.64829341854582</v>
      </c>
      <c r="Q42" s="102">
        <f>TrRail_ene!Q$16</f>
        <v>125.07640743941298</v>
      </c>
      <c r="R42" s="102">
        <f>TrRail_ene!R$16</f>
        <v>124.77868424665216</v>
      </c>
      <c r="S42" s="102">
        <f>TrRail_ene!S$16</f>
        <v>130.82558861127126</v>
      </c>
      <c r="T42" s="102">
        <f>TrRail_ene!T$16</f>
        <v>131.03700319587034</v>
      </c>
      <c r="U42" s="102">
        <f>TrRail_ene!U$16</f>
        <v>129.86916191698546</v>
      </c>
      <c r="V42" s="102">
        <f>TrRail_ene!V$16</f>
        <v>62.548824329563175</v>
      </c>
      <c r="W42" s="102">
        <f>TrRail_ene!W$16</f>
        <v>66.124449001831863</v>
      </c>
      <c r="X42" s="102">
        <f>TrRail_ene!X$16</f>
        <v>67.777604374904371</v>
      </c>
      <c r="Y42" s="102">
        <f>TrRail_ene!Y$16</f>
        <v>61.738830194662832</v>
      </c>
      <c r="DA42" s="175" t="s">
        <v>398</v>
      </c>
    </row>
    <row r="43" spans="1:105" ht="11.45" customHeight="1" x14ac:dyDescent="0.25">
      <c r="A43" s="109" t="str">
        <f>$A$13</f>
        <v>Aviation</v>
      </c>
      <c r="B43" s="110">
        <f t="shared" ref="B43:Q43" si="35">B44+B45+B46</f>
        <v>4496.3176198143537</v>
      </c>
      <c r="C43" s="110">
        <f t="shared" si="35"/>
        <v>4531.927797579704</v>
      </c>
      <c r="D43" s="110">
        <f t="shared" si="35"/>
        <v>4311.1684639235973</v>
      </c>
      <c r="E43" s="110">
        <f t="shared" si="35"/>
        <v>4523.2816199994149</v>
      </c>
      <c r="F43" s="110">
        <f t="shared" si="35"/>
        <v>4995.2749261926201</v>
      </c>
      <c r="G43" s="110">
        <f t="shared" si="35"/>
        <v>5339.1568719004281</v>
      </c>
      <c r="H43" s="110">
        <f t="shared" si="35"/>
        <v>5589.4535489510772</v>
      </c>
      <c r="I43" s="110">
        <f t="shared" si="35"/>
        <v>5890.3134716481636</v>
      </c>
      <c r="J43" s="110">
        <f t="shared" si="35"/>
        <v>5814.0601628805543</v>
      </c>
      <c r="K43" s="110">
        <f t="shared" si="35"/>
        <v>5306.8865483845912</v>
      </c>
      <c r="L43" s="110">
        <f t="shared" si="35"/>
        <v>5413.1339641160694</v>
      </c>
      <c r="M43" s="110">
        <f t="shared" si="35"/>
        <v>5782.7900304370078</v>
      </c>
      <c r="N43" s="110">
        <f t="shared" si="35"/>
        <v>5460.8148925062351</v>
      </c>
      <c r="O43" s="110">
        <f t="shared" si="35"/>
        <v>5176.0641934361902</v>
      </c>
      <c r="P43" s="110">
        <f t="shared" si="35"/>
        <v>5340.7663024959984</v>
      </c>
      <c r="Q43" s="110">
        <f t="shared" si="35"/>
        <v>5680.8629797414687</v>
      </c>
      <c r="R43" s="110">
        <f t="shared" ref="R43:V43" si="36">R44+R45+R46</f>
        <v>6084.3454100907966</v>
      </c>
      <c r="S43" s="110">
        <f t="shared" si="36"/>
        <v>6614.7712001471118</v>
      </c>
      <c r="T43" s="110">
        <f t="shared" si="36"/>
        <v>6884.9842121436586</v>
      </c>
      <c r="U43" s="110">
        <f t="shared" si="36"/>
        <v>7142.0914935915016</v>
      </c>
      <c r="V43" s="110">
        <f t="shared" si="36"/>
        <v>2427.0633835562467</v>
      </c>
      <c r="W43" s="110">
        <f t="shared" ref="W43:Y43" si="37">W44+W45+W46</f>
        <v>3395.9635739266382</v>
      </c>
      <c r="X43" s="110">
        <f t="shared" si="37"/>
        <v>6050.2839261761455</v>
      </c>
      <c r="Y43" s="110">
        <f t="shared" si="37"/>
        <v>6787.1247276073973</v>
      </c>
      <c r="DA43" s="176" t="s">
        <v>280</v>
      </c>
    </row>
    <row r="44" spans="1:105" ht="11.45" customHeight="1" x14ac:dyDescent="0.25">
      <c r="A44" s="128" t="str">
        <f>$A$14</f>
        <v>Domestic</v>
      </c>
      <c r="B44" s="102">
        <f>TrAvia_ene!B$7</f>
        <v>1778.5827662706113</v>
      </c>
      <c r="C44" s="102">
        <f>TrAvia_ene!C$7</f>
        <v>1767.1092775742616</v>
      </c>
      <c r="D44" s="102">
        <f>TrAvia_ene!D$7</f>
        <v>1643.9345983419403</v>
      </c>
      <c r="E44" s="102">
        <f>TrAvia_ene!E$7</f>
        <v>1731.8156340405428</v>
      </c>
      <c r="F44" s="102">
        <f>TrAvia_ene!F$7</f>
        <v>1907.3979292196434</v>
      </c>
      <c r="G44" s="102">
        <f>TrAvia_ene!G$7</f>
        <v>2231.0845177393862</v>
      </c>
      <c r="H44" s="102">
        <f>TrAvia_ene!H$7</f>
        <v>2347.4172536027036</v>
      </c>
      <c r="I44" s="102">
        <f>TrAvia_ene!I$7</f>
        <v>2476.293801312032</v>
      </c>
      <c r="J44" s="102">
        <f>TrAvia_ene!J$7</f>
        <v>2388.3643193059479</v>
      </c>
      <c r="K44" s="102">
        <f>TrAvia_ene!K$7</f>
        <v>2119.246978865991</v>
      </c>
      <c r="L44" s="102">
        <f>TrAvia_ene!L$7</f>
        <v>2365.8042476368582</v>
      </c>
      <c r="M44" s="102">
        <f>TrAvia_ene!M$7</f>
        <v>2126.7463331016188</v>
      </c>
      <c r="N44" s="102">
        <f>TrAvia_ene!N$7</f>
        <v>1841.0178903939798</v>
      </c>
      <c r="O44" s="102">
        <f>TrAvia_ene!O$7</f>
        <v>1566.2790653361908</v>
      </c>
      <c r="P44" s="102">
        <f>TrAvia_ene!P$7</f>
        <v>1662.3929351412423</v>
      </c>
      <c r="Q44" s="102">
        <f>TrAvia_ene!Q$7</f>
        <v>1801.1784728591795</v>
      </c>
      <c r="R44" s="102">
        <f>TrAvia_ene!R$7</f>
        <v>1963.6764584789873</v>
      </c>
      <c r="S44" s="102">
        <f>TrAvia_ene!S$7</f>
        <v>2132.7924813663844</v>
      </c>
      <c r="T44" s="102">
        <f>TrAvia_ene!T$7</f>
        <v>2223.315321763936</v>
      </c>
      <c r="U44" s="102">
        <f>TrAvia_ene!U$7</f>
        <v>2354.8000957557265</v>
      </c>
      <c r="V44" s="102">
        <f>TrAvia_ene!V$7</f>
        <v>944.08561407671391</v>
      </c>
      <c r="W44" s="102">
        <f>TrAvia_ene!W$7</f>
        <v>1644.0133557010338</v>
      </c>
      <c r="X44" s="102">
        <f>TrAvia_ene!X$7</f>
        <v>2485.4907743089557</v>
      </c>
      <c r="Y44" s="102">
        <f>TrAvia_ene!Y$7</f>
        <v>2627.0815344989842</v>
      </c>
      <c r="DA44" s="175" t="s">
        <v>281</v>
      </c>
    </row>
    <row r="45" spans="1:105" ht="11.45" customHeight="1" x14ac:dyDescent="0.25">
      <c r="A45" s="128" t="str">
        <f>$A$15</f>
        <v>International - Intra-EEAwCHUK</v>
      </c>
      <c r="B45" s="102">
        <f>TrAvia_ene!B$8</f>
        <v>1661.383016200265</v>
      </c>
      <c r="C45" s="102">
        <f>TrAvia_ene!C$8</f>
        <v>1869.6521673298473</v>
      </c>
      <c r="D45" s="102">
        <f>TrAvia_ene!D$8</f>
        <v>1679.7600279299972</v>
      </c>
      <c r="E45" s="102">
        <f>TrAvia_ene!E$8</f>
        <v>2021.3541794999419</v>
      </c>
      <c r="F45" s="102">
        <f>TrAvia_ene!F$8</f>
        <v>2144.0956449986697</v>
      </c>
      <c r="G45" s="102">
        <f>TrAvia_ene!G$8</f>
        <v>2167.2247470586676</v>
      </c>
      <c r="H45" s="102">
        <f>TrAvia_ene!H$8</f>
        <v>2277.2617381810546</v>
      </c>
      <c r="I45" s="102">
        <f>TrAvia_ene!I$8</f>
        <v>2414.1656505247679</v>
      </c>
      <c r="J45" s="102">
        <f>TrAvia_ene!J$8</f>
        <v>2397.8191209807028</v>
      </c>
      <c r="K45" s="102">
        <f>TrAvia_ene!K$8</f>
        <v>2171.2248514801058</v>
      </c>
      <c r="L45" s="102">
        <f>TrAvia_ene!L$8</f>
        <v>2063.3840791926932</v>
      </c>
      <c r="M45" s="102">
        <f>TrAvia_ene!M$8</f>
        <v>2509.3195597529384</v>
      </c>
      <c r="N45" s="102">
        <f>TrAvia_ene!N$8</f>
        <v>2463.637066725054</v>
      </c>
      <c r="O45" s="102">
        <f>TrAvia_ene!O$8</f>
        <v>2473.6743117476854</v>
      </c>
      <c r="P45" s="102">
        <f>TrAvia_ene!P$8</f>
        <v>2535.0583509754474</v>
      </c>
      <c r="Q45" s="102">
        <f>TrAvia_ene!Q$8</f>
        <v>2674.0928608925719</v>
      </c>
      <c r="R45" s="102">
        <f>TrAvia_ene!R$8</f>
        <v>2931.5390412603197</v>
      </c>
      <c r="S45" s="102">
        <f>TrAvia_ene!S$8</f>
        <v>3239.1509758450179</v>
      </c>
      <c r="T45" s="102">
        <f>TrAvia_ene!T$8</f>
        <v>3335.2986003890314</v>
      </c>
      <c r="U45" s="102">
        <f>TrAvia_ene!U$8</f>
        <v>3389.3386238047742</v>
      </c>
      <c r="V45" s="102">
        <f>TrAvia_ene!V$8</f>
        <v>888.2744225852548</v>
      </c>
      <c r="W45" s="102">
        <f>TrAvia_ene!W$8</f>
        <v>1123.891981231799</v>
      </c>
      <c r="X45" s="102">
        <f>TrAvia_ene!X$8</f>
        <v>2564.425587966995</v>
      </c>
      <c r="Y45" s="102">
        <f>TrAvia_ene!Y$8</f>
        <v>2979.2740908623005</v>
      </c>
      <c r="DA45" s="175" t="s">
        <v>282</v>
      </c>
    </row>
    <row r="46" spans="1:105" ht="11.45" customHeight="1" x14ac:dyDescent="0.25">
      <c r="A46" s="128" t="str">
        <f>$A$16</f>
        <v>International - Extra-EEAwCHUK</v>
      </c>
      <c r="B46" s="102">
        <f>TrAvia_ene!B$9</f>
        <v>1056.3518373434767</v>
      </c>
      <c r="C46" s="102">
        <f>TrAvia_ene!C$9</f>
        <v>895.16635267559536</v>
      </c>
      <c r="D46" s="102">
        <f>TrAvia_ene!D$9</f>
        <v>987.47383765166001</v>
      </c>
      <c r="E46" s="102">
        <f>TrAvia_ene!E$9</f>
        <v>770.11180645893012</v>
      </c>
      <c r="F46" s="102">
        <f>TrAvia_ene!F$9</f>
        <v>943.78135197430663</v>
      </c>
      <c r="G46" s="102">
        <f>TrAvia_ene!G$9</f>
        <v>940.84760710237447</v>
      </c>
      <c r="H46" s="102">
        <f>TrAvia_ene!H$9</f>
        <v>964.7745571673197</v>
      </c>
      <c r="I46" s="102">
        <f>TrAvia_ene!I$9</f>
        <v>999.85401981136374</v>
      </c>
      <c r="J46" s="102">
        <f>TrAvia_ene!J$9</f>
        <v>1027.8767225939041</v>
      </c>
      <c r="K46" s="102">
        <f>TrAvia_ene!K$9</f>
        <v>1016.4147180384939</v>
      </c>
      <c r="L46" s="102">
        <f>TrAvia_ene!L$9</f>
        <v>983.94563728651826</v>
      </c>
      <c r="M46" s="102">
        <f>TrAvia_ene!M$9</f>
        <v>1146.7241375824506</v>
      </c>
      <c r="N46" s="102">
        <f>TrAvia_ene!N$9</f>
        <v>1156.1599353872014</v>
      </c>
      <c r="O46" s="102">
        <f>TrAvia_ene!O$9</f>
        <v>1136.1108163523136</v>
      </c>
      <c r="P46" s="102">
        <f>TrAvia_ene!P$9</f>
        <v>1143.3150163793086</v>
      </c>
      <c r="Q46" s="102">
        <f>TrAvia_ene!Q$9</f>
        <v>1205.5916459897167</v>
      </c>
      <c r="R46" s="102">
        <f>TrAvia_ene!R$9</f>
        <v>1189.1299103514898</v>
      </c>
      <c r="S46" s="102">
        <f>TrAvia_ene!S$9</f>
        <v>1242.827742935709</v>
      </c>
      <c r="T46" s="102">
        <f>TrAvia_ene!T$9</f>
        <v>1326.3702899906909</v>
      </c>
      <c r="U46" s="102">
        <f>TrAvia_ene!U$9</f>
        <v>1397.9527740310011</v>
      </c>
      <c r="V46" s="102">
        <f>TrAvia_ene!V$9</f>
        <v>594.70334689427796</v>
      </c>
      <c r="W46" s="102">
        <f>TrAvia_ene!W$9</f>
        <v>628.05823699380505</v>
      </c>
      <c r="X46" s="102">
        <f>TrAvia_ene!X$9</f>
        <v>1000.3675639001954</v>
      </c>
      <c r="Y46" s="102">
        <f>TrAvia_ene!Y$9</f>
        <v>1180.7691022461127</v>
      </c>
      <c r="DA46" s="175" t="s">
        <v>283</v>
      </c>
    </row>
    <row r="47" spans="1:105" ht="11.45" customHeight="1" x14ac:dyDescent="0.25">
      <c r="A47" s="27" t="s">
        <v>34</v>
      </c>
      <c r="B47" s="28">
        <f t="shared" ref="B47:Q47" si="38">B48+B51+B52+B56</f>
        <v>10899.134000804697</v>
      </c>
      <c r="C47" s="28">
        <f t="shared" si="38"/>
        <v>11798.166199857624</v>
      </c>
      <c r="D47" s="28">
        <f t="shared" si="38"/>
        <v>11807.385406510915</v>
      </c>
      <c r="E47" s="28">
        <f t="shared" si="38"/>
        <v>12525.522164392725</v>
      </c>
      <c r="F47" s="28">
        <f t="shared" si="38"/>
        <v>13188.19584212774</v>
      </c>
      <c r="G47" s="28">
        <f t="shared" si="38"/>
        <v>13179.475276985169</v>
      </c>
      <c r="H47" s="28">
        <f t="shared" si="38"/>
        <v>13544.172143432694</v>
      </c>
      <c r="I47" s="28">
        <f t="shared" si="38"/>
        <v>13960.919891879365</v>
      </c>
      <c r="J47" s="28">
        <f t="shared" si="38"/>
        <v>12816.171110676614</v>
      </c>
      <c r="K47" s="28">
        <f t="shared" si="38"/>
        <v>11006.630021144594</v>
      </c>
      <c r="L47" s="28">
        <f t="shared" si="38"/>
        <v>10714.732697521469</v>
      </c>
      <c r="M47" s="28">
        <f t="shared" si="38"/>
        <v>9832.5676510749072</v>
      </c>
      <c r="N47" s="28">
        <f t="shared" si="38"/>
        <v>8705.2246351782087</v>
      </c>
      <c r="O47" s="28">
        <f t="shared" si="38"/>
        <v>8055.6615713958436</v>
      </c>
      <c r="P47" s="28">
        <f t="shared" si="38"/>
        <v>7964.2902945208052</v>
      </c>
      <c r="Q47" s="28">
        <f t="shared" si="38"/>
        <v>8471.3940862244235</v>
      </c>
      <c r="R47" s="28">
        <f t="shared" ref="R47:V47" si="39">R48+R51+R52+R56</f>
        <v>9399.5538195001245</v>
      </c>
      <c r="S47" s="28">
        <f t="shared" si="39"/>
        <v>10149.941601254808</v>
      </c>
      <c r="T47" s="28">
        <f t="shared" si="39"/>
        <v>10513.295691160851</v>
      </c>
      <c r="U47" s="28">
        <f t="shared" si="39"/>
        <v>10217.419452789311</v>
      </c>
      <c r="V47" s="28">
        <f t="shared" si="39"/>
        <v>8696.6335736665551</v>
      </c>
      <c r="W47" s="28">
        <f t="shared" ref="W47:Y47" si="40">W48+W51+W52+W56</f>
        <v>9677.505092850146</v>
      </c>
      <c r="X47" s="28">
        <f t="shared" si="40"/>
        <v>10127.894385798467</v>
      </c>
      <c r="Y47" s="28">
        <f t="shared" si="40"/>
        <v>9520.6886972412449</v>
      </c>
      <c r="DA47" s="173"/>
    </row>
    <row r="48" spans="1:105" ht="11.45" customHeight="1" x14ac:dyDescent="0.25">
      <c r="A48" s="136" t="str">
        <f>$A$18</f>
        <v>Road transport</v>
      </c>
      <c r="B48" s="137">
        <f t="shared" ref="B48:Q48" si="41">B49+B50</f>
        <v>9177.6966402930502</v>
      </c>
      <c r="C48" s="137">
        <f t="shared" si="41"/>
        <v>10050.98894981597</v>
      </c>
      <c r="D48" s="137">
        <f t="shared" si="41"/>
        <v>10081.743857534568</v>
      </c>
      <c r="E48" s="137">
        <f t="shared" si="41"/>
        <v>10653.35117764912</v>
      </c>
      <c r="F48" s="137">
        <f t="shared" si="41"/>
        <v>11240.504119619703</v>
      </c>
      <c r="G48" s="137">
        <f t="shared" si="41"/>
        <v>11311.254289864917</v>
      </c>
      <c r="H48" s="137">
        <f t="shared" si="41"/>
        <v>11543.757322687965</v>
      </c>
      <c r="I48" s="137">
        <f t="shared" si="41"/>
        <v>12123.968155597126</v>
      </c>
      <c r="J48" s="137">
        <f t="shared" si="41"/>
        <v>11119.430981740532</v>
      </c>
      <c r="K48" s="137">
        <f t="shared" si="41"/>
        <v>9586.7760366205748</v>
      </c>
      <c r="L48" s="137">
        <f t="shared" si="41"/>
        <v>9287.2480215824671</v>
      </c>
      <c r="M48" s="137">
        <f t="shared" si="41"/>
        <v>8734.5735285688388</v>
      </c>
      <c r="N48" s="137">
        <f t="shared" si="41"/>
        <v>7587.7840812414115</v>
      </c>
      <c r="O48" s="137">
        <f t="shared" si="41"/>
        <v>7390.6019557422442</v>
      </c>
      <c r="P48" s="137">
        <f t="shared" si="41"/>
        <v>7479.3825274972169</v>
      </c>
      <c r="Q48" s="137">
        <f t="shared" si="41"/>
        <v>7857.702446604133</v>
      </c>
      <c r="R48" s="137">
        <f t="shared" ref="R48:V48" si="42">R49+R50</f>
        <v>8620.1431488108337</v>
      </c>
      <c r="S48" s="137">
        <f t="shared" si="42"/>
        <v>8999.1050143334323</v>
      </c>
      <c r="T48" s="137">
        <f t="shared" si="42"/>
        <v>9317.7477495291096</v>
      </c>
      <c r="U48" s="137">
        <f t="shared" si="42"/>
        <v>8980.4738177864347</v>
      </c>
      <c r="V48" s="137">
        <f t="shared" si="42"/>
        <v>7707.6670384202434</v>
      </c>
      <c r="W48" s="137">
        <f t="shared" ref="W48:Y48" si="43">W49+W50</f>
        <v>8600.8934633433946</v>
      </c>
      <c r="X48" s="137">
        <f t="shared" si="43"/>
        <v>8856.0749095550764</v>
      </c>
      <c r="Y48" s="137">
        <f t="shared" si="43"/>
        <v>8439.0442798355434</v>
      </c>
      <c r="DA48" s="174" t="s">
        <v>399</v>
      </c>
    </row>
    <row r="49" spans="1:105" ht="11.45" customHeight="1" x14ac:dyDescent="0.25">
      <c r="A49" s="128" t="str">
        <f>$A$19</f>
        <v>Light commercial vehicles</v>
      </c>
      <c r="B49" s="102">
        <f>TrRoad_ene!B$43</f>
        <v>2763.0921213946472</v>
      </c>
      <c r="C49" s="102">
        <f>TrRoad_ene!C$43</f>
        <v>3288.9036877340868</v>
      </c>
      <c r="D49" s="102">
        <f>TrRoad_ene!D$43</f>
        <v>2952.9876312248093</v>
      </c>
      <c r="E49" s="102">
        <f>TrRoad_ene!E$43</f>
        <v>3102.5019957334271</v>
      </c>
      <c r="F49" s="102">
        <f>TrRoad_ene!F$43</f>
        <v>3124.7544856401855</v>
      </c>
      <c r="G49" s="102">
        <f>TrRoad_ene!G$43</f>
        <v>2833.8527256601897</v>
      </c>
      <c r="H49" s="102">
        <f>TrRoad_ene!H$43</f>
        <v>2938.8543012051687</v>
      </c>
      <c r="I49" s="102">
        <f>TrRoad_ene!I$43</f>
        <v>3265.1525338813522</v>
      </c>
      <c r="J49" s="102">
        <f>TrRoad_ene!J$43</f>
        <v>2929.2944172578113</v>
      </c>
      <c r="K49" s="102">
        <f>TrRoad_ene!K$43</f>
        <v>2456.8226128804104</v>
      </c>
      <c r="L49" s="102">
        <f>TrRoad_ene!L$43</f>
        <v>2416.7407149456744</v>
      </c>
      <c r="M49" s="102">
        <f>TrRoad_ene!M$43</f>
        <v>2364.1092952667141</v>
      </c>
      <c r="N49" s="102">
        <f>TrRoad_ene!N$43</f>
        <v>2184.0717707898775</v>
      </c>
      <c r="O49" s="102">
        <f>TrRoad_ene!O$43</f>
        <v>2175.7629107610383</v>
      </c>
      <c r="P49" s="102">
        <f>TrRoad_ene!P$43</f>
        <v>2115.2771438290952</v>
      </c>
      <c r="Q49" s="102">
        <f>TrRoad_ene!Q$43</f>
        <v>2185.7953314721804</v>
      </c>
      <c r="R49" s="102">
        <f>TrRoad_ene!R$43</f>
        <v>2098.7689611359297</v>
      </c>
      <c r="S49" s="102">
        <f>TrRoad_ene!S$43</f>
        <v>2251.3885022691065</v>
      </c>
      <c r="T49" s="102">
        <f>TrRoad_ene!T$43</f>
        <v>2289.6657849619487</v>
      </c>
      <c r="U49" s="102">
        <f>TrRoad_ene!U$43</f>
        <v>2299.5880160161241</v>
      </c>
      <c r="V49" s="102">
        <f>TrRoad_ene!V$43</f>
        <v>1514.2349122280514</v>
      </c>
      <c r="W49" s="102">
        <f>TrRoad_ene!W$43</f>
        <v>2197.0231415930634</v>
      </c>
      <c r="X49" s="102">
        <f>TrRoad_ene!X$43</f>
        <v>2376.9598086373953</v>
      </c>
      <c r="Y49" s="102">
        <f>TrRoad_ene!Y$43</f>
        <v>2340.788435810412</v>
      </c>
      <c r="DA49" s="175" t="s">
        <v>400</v>
      </c>
    </row>
    <row r="50" spans="1:105" ht="11.45" customHeight="1" x14ac:dyDescent="0.25">
      <c r="A50" s="128" t="str">
        <f>$A$20</f>
        <v>Heavy goods vehicles</v>
      </c>
      <c r="B50" s="102">
        <f>TrRoad_ene!B$52</f>
        <v>6414.6045188984026</v>
      </c>
      <c r="C50" s="102">
        <f>TrRoad_ene!C$52</f>
        <v>6762.0852620818832</v>
      </c>
      <c r="D50" s="102">
        <f>TrRoad_ene!D$52</f>
        <v>7128.7562263097579</v>
      </c>
      <c r="E50" s="102">
        <f>TrRoad_ene!E$52</f>
        <v>7550.8491819156925</v>
      </c>
      <c r="F50" s="102">
        <f>TrRoad_ene!F$52</f>
        <v>8115.749633979518</v>
      </c>
      <c r="G50" s="102">
        <f>TrRoad_ene!G$52</f>
        <v>8477.401564204727</v>
      </c>
      <c r="H50" s="102">
        <f>TrRoad_ene!H$52</f>
        <v>8604.9030214827962</v>
      </c>
      <c r="I50" s="102">
        <f>TrRoad_ene!I$52</f>
        <v>8858.8156217157739</v>
      </c>
      <c r="J50" s="102">
        <f>TrRoad_ene!J$52</f>
        <v>8190.1365644827201</v>
      </c>
      <c r="K50" s="102">
        <f>TrRoad_ene!K$52</f>
        <v>7129.9534237401649</v>
      </c>
      <c r="L50" s="102">
        <f>TrRoad_ene!L$52</f>
        <v>6870.5073066367922</v>
      </c>
      <c r="M50" s="102">
        <f>TrRoad_ene!M$52</f>
        <v>6370.4642333021256</v>
      </c>
      <c r="N50" s="102">
        <f>TrRoad_ene!N$52</f>
        <v>5403.712310451534</v>
      </c>
      <c r="O50" s="102">
        <f>TrRoad_ene!O$52</f>
        <v>5214.8390449812059</v>
      </c>
      <c r="P50" s="102">
        <f>TrRoad_ene!P$52</f>
        <v>5364.1053836681222</v>
      </c>
      <c r="Q50" s="102">
        <f>TrRoad_ene!Q$52</f>
        <v>5671.9071151319522</v>
      </c>
      <c r="R50" s="102">
        <f>TrRoad_ene!R$52</f>
        <v>6521.3741876749045</v>
      </c>
      <c r="S50" s="102">
        <f>TrRoad_ene!S$52</f>
        <v>6747.7165120643258</v>
      </c>
      <c r="T50" s="102">
        <f>TrRoad_ene!T$52</f>
        <v>7028.08196456716</v>
      </c>
      <c r="U50" s="102">
        <f>TrRoad_ene!U$52</f>
        <v>6680.8858017703114</v>
      </c>
      <c r="V50" s="102">
        <f>TrRoad_ene!V$52</f>
        <v>6193.4321261921923</v>
      </c>
      <c r="W50" s="102">
        <f>TrRoad_ene!W$52</f>
        <v>6403.8703217503316</v>
      </c>
      <c r="X50" s="102">
        <f>TrRoad_ene!X$52</f>
        <v>6479.115100917681</v>
      </c>
      <c r="Y50" s="102">
        <f>TrRoad_ene!Y$52</f>
        <v>6098.2558440251323</v>
      </c>
      <c r="DA50" s="175" t="s">
        <v>401</v>
      </c>
    </row>
    <row r="51" spans="1:105" ht="11.45" customHeight="1" x14ac:dyDescent="0.25">
      <c r="A51" s="109" t="str">
        <f>$A$21</f>
        <v>Rail transport</v>
      </c>
      <c r="B51" s="110">
        <f>TrRail_ene!B$17</f>
        <v>206.41929674904605</v>
      </c>
      <c r="C51" s="110">
        <f>TrRail_ene!C$17</f>
        <v>231.67985415617994</v>
      </c>
      <c r="D51" s="110">
        <f>TrRail_ene!D$17</f>
        <v>218.2803482395845</v>
      </c>
      <c r="E51" s="110">
        <f>TrRail_ene!E$17</f>
        <v>196.04495412049289</v>
      </c>
      <c r="F51" s="110">
        <f>TrRail_ene!F$17</f>
        <v>187.71204852868954</v>
      </c>
      <c r="G51" s="110">
        <f>TrRail_ene!G$17</f>
        <v>178.58972488482584</v>
      </c>
      <c r="H51" s="110">
        <f>TrRail_ene!H$17</f>
        <v>173.9612329804169</v>
      </c>
      <c r="I51" s="110">
        <f>TrRail_ene!I$17</f>
        <v>238.37870750048043</v>
      </c>
      <c r="J51" s="110">
        <f>TrRail_ene!J$17</f>
        <v>236.49539069883963</v>
      </c>
      <c r="K51" s="110">
        <f>TrRail_ene!K$17</f>
        <v>205.58111760336467</v>
      </c>
      <c r="L51" s="110">
        <f>TrRail_ene!L$17</f>
        <v>245.38845948757478</v>
      </c>
      <c r="M51" s="110">
        <f>TrRail_ene!M$17</f>
        <v>150.14975913396358</v>
      </c>
      <c r="N51" s="110">
        <f>TrRail_ene!N$17</f>
        <v>151.42586776719455</v>
      </c>
      <c r="O51" s="110">
        <f>TrRail_ene!O$17</f>
        <v>58.471186561845883</v>
      </c>
      <c r="P51" s="110">
        <f>TrRail_ene!P$17</f>
        <v>62.167362726810467</v>
      </c>
      <c r="Q51" s="110">
        <f>TrRail_ene!Q$17</f>
        <v>60.590732861328171</v>
      </c>
      <c r="R51" s="110">
        <f>TrRail_ene!R$17</f>
        <v>49.307585509236631</v>
      </c>
      <c r="S51" s="110">
        <f>TrRail_ene!S$17</f>
        <v>63.959033844067264</v>
      </c>
      <c r="T51" s="110">
        <f>TrRail_ene!T$17</f>
        <v>66.890967188987332</v>
      </c>
      <c r="U51" s="110">
        <f>TrRail_ene!U$17</f>
        <v>72.284248112864859</v>
      </c>
      <c r="V51" s="110">
        <f>TrRail_ene!V$17</f>
        <v>77.243074434544795</v>
      </c>
      <c r="W51" s="110">
        <f>TrRail_ene!W$17</f>
        <v>53.237714181455857</v>
      </c>
      <c r="X51" s="110">
        <f>TrRail_ene!X$17</f>
        <v>50.57691918651841</v>
      </c>
      <c r="Y51" s="110">
        <f>TrRail_ene!Y$17</f>
        <v>44.078775279652909</v>
      </c>
      <c r="DA51" s="176" t="s">
        <v>402</v>
      </c>
    </row>
    <row r="52" spans="1:105" ht="11.45" customHeight="1" x14ac:dyDescent="0.25">
      <c r="A52" s="109" t="str">
        <f>$A$22</f>
        <v>Aviation</v>
      </c>
      <c r="B52" s="110">
        <f t="shared" ref="B52:V52" si="44">B53+B54+B55</f>
        <v>115.60086685804497</v>
      </c>
      <c r="C52" s="110">
        <f t="shared" si="44"/>
        <v>121.93196166363214</v>
      </c>
      <c r="D52" s="110">
        <f t="shared" si="44"/>
        <v>106.47745181156984</v>
      </c>
      <c r="E52" s="110">
        <f t="shared" si="44"/>
        <v>109.23007389568319</v>
      </c>
      <c r="F52" s="110">
        <f t="shared" si="44"/>
        <v>138.60779091829937</v>
      </c>
      <c r="G52" s="110">
        <f t="shared" si="44"/>
        <v>130.73186412708688</v>
      </c>
      <c r="H52" s="110">
        <f t="shared" si="44"/>
        <v>132.17637366285055</v>
      </c>
      <c r="I52" s="110">
        <f t="shared" si="44"/>
        <v>129.40802448253322</v>
      </c>
      <c r="J52" s="110">
        <f t="shared" si="44"/>
        <v>128.76967374885095</v>
      </c>
      <c r="K52" s="110">
        <f t="shared" si="44"/>
        <v>110.33666743656258</v>
      </c>
      <c r="L52" s="110">
        <f t="shared" si="44"/>
        <v>122.05038670078216</v>
      </c>
      <c r="M52" s="110">
        <f t="shared" si="44"/>
        <v>117.88348632997297</v>
      </c>
      <c r="N52" s="110">
        <f t="shared" si="44"/>
        <v>103.84787619539908</v>
      </c>
      <c r="O52" s="110">
        <f t="shared" si="44"/>
        <v>99.991524534575035</v>
      </c>
      <c r="P52" s="110">
        <f t="shared" si="44"/>
        <v>95.383052620080264</v>
      </c>
      <c r="Q52" s="110">
        <f t="shared" si="44"/>
        <v>106.04346909774159</v>
      </c>
      <c r="R52" s="110">
        <f t="shared" si="44"/>
        <v>101.76568191264056</v>
      </c>
      <c r="S52" s="110">
        <f t="shared" si="44"/>
        <v>128.54109563964735</v>
      </c>
      <c r="T52" s="110">
        <f t="shared" si="44"/>
        <v>137.45534073682296</v>
      </c>
      <c r="U52" s="110">
        <f t="shared" si="44"/>
        <v>126.82750898803302</v>
      </c>
      <c r="V52" s="110">
        <f t="shared" si="44"/>
        <v>108.27384774212015</v>
      </c>
      <c r="W52" s="110">
        <f t="shared" ref="W52:Y52" si="45">W53+W54+W55</f>
        <v>115.10684739752296</v>
      </c>
      <c r="X52" s="110">
        <f t="shared" si="45"/>
        <v>119.8200291119023</v>
      </c>
      <c r="Y52" s="110">
        <f t="shared" si="45"/>
        <v>136.11499724212797</v>
      </c>
      <c r="DA52" s="176" t="s">
        <v>284</v>
      </c>
    </row>
    <row r="53" spans="1:105" ht="11.45" customHeight="1" x14ac:dyDescent="0.25">
      <c r="A53" s="128" t="s">
        <v>27</v>
      </c>
      <c r="B53" s="102">
        <f>TrAvia_ene!B$11</f>
        <v>53.649563909956456</v>
      </c>
      <c r="C53" s="102">
        <f>TrAvia_ene!C$11</f>
        <v>55.452115375007772</v>
      </c>
      <c r="D53" s="102">
        <f>TrAvia_ene!D$11</f>
        <v>50.903922724267588</v>
      </c>
      <c r="E53" s="102">
        <f>TrAvia_ene!E$11</f>
        <v>44.118243861434131</v>
      </c>
      <c r="F53" s="102">
        <f>TrAvia_ene!F$11</f>
        <v>59.180402680614165</v>
      </c>
      <c r="G53" s="102">
        <f>TrAvia_ene!G$11</f>
        <v>60.96672903619335</v>
      </c>
      <c r="H53" s="102">
        <f>TrAvia_ene!H$11</f>
        <v>61.551448031002074</v>
      </c>
      <c r="I53" s="102">
        <f>TrAvia_ene!I$11</f>
        <v>59.076877965698273</v>
      </c>
      <c r="J53" s="102">
        <f>TrAvia_ene!J$11</f>
        <v>57.474975620965331</v>
      </c>
      <c r="K53" s="102">
        <f>TrAvia_ene!K$11</f>
        <v>45.353709010191771</v>
      </c>
      <c r="L53" s="102">
        <f>TrAvia_ene!L$11</f>
        <v>47.368065346804393</v>
      </c>
      <c r="M53" s="102">
        <f>TrAvia_ene!M$11</f>
        <v>36.781869821854201</v>
      </c>
      <c r="N53" s="102">
        <f>TrAvia_ene!N$11</f>
        <v>31.791911841618028</v>
      </c>
      <c r="O53" s="102">
        <f>TrAvia_ene!O$11</f>
        <v>29.510100613938025</v>
      </c>
      <c r="P53" s="102">
        <f>TrAvia_ene!P$11</f>
        <v>28.184622898310668</v>
      </c>
      <c r="Q53" s="102">
        <f>TrAvia_ene!Q$11</f>
        <v>27.387477269797017</v>
      </c>
      <c r="R53" s="102">
        <f>TrAvia_ene!R$11</f>
        <v>26.045983481459082</v>
      </c>
      <c r="S53" s="102">
        <f>TrAvia_ene!S$11</f>
        <v>29.6728668709336</v>
      </c>
      <c r="T53" s="102">
        <f>TrAvia_ene!T$11</f>
        <v>26.574790015943659</v>
      </c>
      <c r="U53" s="102">
        <f>TrAvia_ene!U$11</f>
        <v>23.59870046095438</v>
      </c>
      <c r="V53" s="102">
        <f>TrAvia_ene!V$11</f>
        <v>15.499252647275773</v>
      </c>
      <c r="W53" s="102">
        <f>TrAvia_ene!W$11</f>
        <v>19.74949898512234</v>
      </c>
      <c r="X53" s="102">
        <f>TrAvia_ene!X$11</f>
        <v>18.844307376340755</v>
      </c>
      <c r="Y53" s="102">
        <f>TrAvia_ene!Y$11</f>
        <v>17.909695079690891</v>
      </c>
      <c r="DA53" s="175" t="s">
        <v>285</v>
      </c>
    </row>
    <row r="54" spans="1:105" ht="11.45" customHeight="1" x14ac:dyDescent="0.25">
      <c r="A54" s="128" t="str">
        <f>$A$24</f>
        <v>International - Intra-EEAwCHUK</v>
      </c>
      <c r="B54" s="102">
        <f>TrAvia_ene!B$12</f>
        <v>19.20630070099752</v>
      </c>
      <c r="C54" s="102">
        <f>TrAvia_ene!C$12</f>
        <v>20.09369965546669</v>
      </c>
      <c r="D54" s="102">
        <f>TrAvia_ene!D$12</f>
        <v>17.232982903982276</v>
      </c>
      <c r="E54" s="102">
        <f>TrAvia_ene!E$12</f>
        <v>19.192745588274967</v>
      </c>
      <c r="F54" s="102">
        <f>TrAvia_ene!F$12</f>
        <v>23.42679667854194</v>
      </c>
      <c r="G54" s="102">
        <f>TrAvia_ene!G$12</f>
        <v>21.30388798467666</v>
      </c>
      <c r="H54" s="102">
        <f>TrAvia_ene!H$12</f>
        <v>21.863203197664983</v>
      </c>
      <c r="I54" s="102">
        <f>TrAvia_ene!I$12</f>
        <v>18.508200438654768</v>
      </c>
      <c r="J54" s="102">
        <f>TrAvia_ene!J$12</f>
        <v>18.820958066986869</v>
      </c>
      <c r="K54" s="102">
        <f>TrAvia_ene!K$12</f>
        <v>17.693446847043614</v>
      </c>
      <c r="L54" s="102">
        <f>TrAvia_ene!L$12</f>
        <v>17.713497855005137</v>
      </c>
      <c r="M54" s="102">
        <f>TrAvia_ene!M$12</f>
        <v>18.689251838325664</v>
      </c>
      <c r="N54" s="102">
        <f>TrAvia_ene!N$12</f>
        <v>16.616067199216076</v>
      </c>
      <c r="O54" s="102">
        <f>TrAvia_ene!O$12</f>
        <v>16.292170709217682</v>
      </c>
      <c r="P54" s="102">
        <f>TrAvia_ene!P$12</f>
        <v>14.316789833052511</v>
      </c>
      <c r="Q54" s="102">
        <f>TrAvia_ene!Q$12</f>
        <v>15.828555231454754</v>
      </c>
      <c r="R54" s="102">
        <f>TrAvia_ene!R$12</f>
        <v>14.431396443585861</v>
      </c>
      <c r="S54" s="102">
        <f>TrAvia_ene!S$12</f>
        <v>17.444666249207042</v>
      </c>
      <c r="T54" s="102">
        <f>TrAvia_ene!T$12</f>
        <v>17.832180267566194</v>
      </c>
      <c r="U54" s="102">
        <f>TrAvia_ene!U$12</f>
        <v>19.709763842182994</v>
      </c>
      <c r="V54" s="102">
        <f>TrAvia_ene!V$12</f>
        <v>17.528559487400337</v>
      </c>
      <c r="W54" s="102">
        <f>TrAvia_ene!W$12</f>
        <v>17.798438640297693</v>
      </c>
      <c r="X54" s="102">
        <f>TrAvia_ene!X$12</f>
        <v>21.915096578005006</v>
      </c>
      <c r="Y54" s="102">
        <f>TrAvia_ene!Y$12</f>
        <v>21.160982735534944</v>
      </c>
      <c r="DA54" s="175" t="s">
        <v>286</v>
      </c>
    </row>
    <row r="55" spans="1:105" ht="11.45" customHeight="1" x14ac:dyDescent="0.25">
      <c r="A55" s="128" t="str">
        <f>$A$25</f>
        <v>International - Extra-EEAwCHUK</v>
      </c>
      <c r="B55" s="102">
        <f>TrAvia_ene!B$13</f>
        <v>42.745002247090994</v>
      </c>
      <c r="C55" s="102">
        <f>TrAvia_ene!C$13</f>
        <v>46.386146633157679</v>
      </c>
      <c r="D55" s="102">
        <f>TrAvia_ene!D$13</f>
        <v>38.340546183319965</v>
      </c>
      <c r="E55" s="102">
        <f>TrAvia_ene!E$13</f>
        <v>45.919084445974093</v>
      </c>
      <c r="F55" s="102">
        <f>TrAvia_ene!F$13</f>
        <v>56.000591559143245</v>
      </c>
      <c r="G55" s="102">
        <f>TrAvia_ene!G$13</f>
        <v>48.461247106216874</v>
      </c>
      <c r="H55" s="102">
        <f>TrAvia_ene!H$13</f>
        <v>48.761722434183483</v>
      </c>
      <c r="I55" s="102">
        <f>TrAvia_ene!I$13</f>
        <v>51.822946078180181</v>
      </c>
      <c r="J55" s="102">
        <f>TrAvia_ene!J$13</f>
        <v>52.473740060898756</v>
      </c>
      <c r="K55" s="102">
        <f>TrAvia_ene!K$13</f>
        <v>47.289511579327204</v>
      </c>
      <c r="L55" s="102">
        <f>TrAvia_ene!L$13</f>
        <v>56.968823498972625</v>
      </c>
      <c r="M55" s="102">
        <f>TrAvia_ene!M$13</f>
        <v>62.412364669793106</v>
      </c>
      <c r="N55" s="102">
        <f>TrAvia_ene!N$13</f>
        <v>55.439897154564974</v>
      </c>
      <c r="O55" s="102">
        <f>TrAvia_ene!O$13</f>
        <v>54.189253211419327</v>
      </c>
      <c r="P55" s="102">
        <f>TrAvia_ene!P$13</f>
        <v>52.881639888717096</v>
      </c>
      <c r="Q55" s="102">
        <f>TrAvia_ene!Q$13</f>
        <v>62.827436596489811</v>
      </c>
      <c r="R55" s="102">
        <f>TrAvia_ene!R$13</f>
        <v>61.288301987595609</v>
      </c>
      <c r="S55" s="102">
        <f>TrAvia_ene!S$13</f>
        <v>81.423562519506703</v>
      </c>
      <c r="T55" s="102">
        <f>TrAvia_ene!T$13</f>
        <v>93.048370453313098</v>
      </c>
      <c r="U55" s="102">
        <f>TrAvia_ene!U$13</f>
        <v>83.519044684895647</v>
      </c>
      <c r="V55" s="102">
        <f>TrAvia_ene!V$13</f>
        <v>75.246035607444043</v>
      </c>
      <c r="W55" s="102">
        <f>TrAvia_ene!W$13</f>
        <v>77.558909772102922</v>
      </c>
      <c r="X55" s="102">
        <f>TrAvia_ene!X$13</f>
        <v>79.060625157556544</v>
      </c>
      <c r="Y55" s="102">
        <f>TrAvia_ene!Y$13</f>
        <v>97.044319426902121</v>
      </c>
      <c r="DA55" s="175" t="s">
        <v>287</v>
      </c>
    </row>
    <row r="56" spans="1:105" ht="11.45" customHeight="1" x14ac:dyDescent="0.25">
      <c r="A56" s="109" t="s">
        <v>141</v>
      </c>
      <c r="B56" s="110">
        <f t="shared" ref="B56:Q56" si="46">B57+B58</f>
        <v>1399.4171969045572</v>
      </c>
      <c r="C56" s="110">
        <f t="shared" si="46"/>
        <v>1393.5654342218404</v>
      </c>
      <c r="D56" s="110">
        <f t="shared" si="46"/>
        <v>1400.8837489251928</v>
      </c>
      <c r="E56" s="110">
        <f t="shared" si="46"/>
        <v>1566.8959587274287</v>
      </c>
      <c r="F56" s="110">
        <f t="shared" si="46"/>
        <v>1621.3718830610492</v>
      </c>
      <c r="G56" s="110">
        <f t="shared" si="46"/>
        <v>1558.8993981083408</v>
      </c>
      <c r="H56" s="110">
        <f t="shared" si="46"/>
        <v>1694.2772141014616</v>
      </c>
      <c r="I56" s="110">
        <f t="shared" si="46"/>
        <v>1469.1650042992264</v>
      </c>
      <c r="J56" s="110">
        <f t="shared" si="46"/>
        <v>1331.4750644883916</v>
      </c>
      <c r="K56" s="110">
        <f t="shared" si="46"/>
        <v>1103.9361994840926</v>
      </c>
      <c r="L56" s="110">
        <f t="shared" si="46"/>
        <v>1060.0458297506448</v>
      </c>
      <c r="M56" s="110">
        <f t="shared" si="46"/>
        <v>829.96087704213232</v>
      </c>
      <c r="N56" s="110">
        <f t="shared" si="46"/>
        <v>862.16680997420451</v>
      </c>
      <c r="O56" s="110">
        <f t="shared" si="46"/>
        <v>506.59690455717958</v>
      </c>
      <c r="P56" s="110">
        <f t="shared" si="46"/>
        <v>327.35735167669816</v>
      </c>
      <c r="Q56" s="110">
        <f t="shared" si="46"/>
        <v>447.057437661221</v>
      </c>
      <c r="R56" s="110">
        <f t="shared" ref="R56:V56" si="47">R57+R58</f>
        <v>628.3374032674119</v>
      </c>
      <c r="S56" s="110">
        <f t="shared" si="47"/>
        <v>958.33645743766112</v>
      </c>
      <c r="T56" s="110">
        <f t="shared" si="47"/>
        <v>991.20163370593286</v>
      </c>
      <c r="U56" s="110">
        <f t="shared" si="47"/>
        <v>1037.8338779019775</v>
      </c>
      <c r="V56" s="110">
        <f t="shared" si="47"/>
        <v>803.44961306964728</v>
      </c>
      <c r="W56" s="110">
        <f t="shared" ref="W56:Y56" si="48">W57+W58</f>
        <v>908.26706792777281</v>
      </c>
      <c r="X56" s="110">
        <f t="shared" si="48"/>
        <v>1101.4225279449697</v>
      </c>
      <c r="Y56" s="110">
        <f t="shared" si="48"/>
        <v>901.45064488392063</v>
      </c>
      <c r="DA56" s="176" t="s">
        <v>993</v>
      </c>
    </row>
    <row r="57" spans="1:105" ht="11.45" customHeight="1" x14ac:dyDescent="0.25">
      <c r="A57" s="128" t="str">
        <f>$A$27</f>
        <v>Domestic coastal shipping</v>
      </c>
      <c r="B57" s="102">
        <f>TrNavi_ene!B4</f>
        <v>1399.4171969045572</v>
      </c>
      <c r="C57" s="102">
        <f>TrNavi_ene!C4</f>
        <v>1393.5654342218404</v>
      </c>
      <c r="D57" s="102">
        <f>TrNavi_ene!D4</f>
        <v>1400.8837489251928</v>
      </c>
      <c r="E57" s="102">
        <f>TrNavi_ene!E4</f>
        <v>1566.8959587274287</v>
      </c>
      <c r="F57" s="102">
        <f>TrNavi_ene!F4</f>
        <v>1621.3718830610492</v>
      </c>
      <c r="G57" s="102">
        <f>TrNavi_ene!G4</f>
        <v>1558.8993981083408</v>
      </c>
      <c r="H57" s="102">
        <f>TrNavi_ene!H4</f>
        <v>1694.2772141014616</v>
      </c>
      <c r="I57" s="102">
        <f>TrNavi_ene!I4</f>
        <v>1469.1650042992264</v>
      </c>
      <c r="J57" s="102">
        <f>TrNavi_ene!J4</f>
        <v>1331.4750644883916</v>
      </c>
      <c r="K57" s="102">
        <f>TrNavi_ene!K4</f>
        <v>1103.9361994840926</v>
      </c>
      <c r="L57" s="102">
        <f>TrNavi_ene!L4</f>
        <v>1060.0458297506448</v>
      </c>
      <c r="M57" s="102">
        <f>TrNavi_ene!M4</f>
        <v>829.96087704213232</v>
      </c>
      <c r="N57" s="102">
        <f>TrNavi_ene!N4</f>
        <v>862.16680997420451</v>
      </c>
      <c r="O57" s="102">
        <f>TrNavi_ene!O4</f>
        <v>506.59690455717958</v>
      </c>
      <c r="P57" s="102">
        <f>TrNavi_ene!P4</f>
        <v>327.35735167669816</v>
      </c>
      <c r="Q57" s="102">
        <f>TrNavi_ene!Q4</f>
        <v>447.057437661221</v>
      </c>
      <c r="R57" s="102">
        <f>TrNavi_ene!R4</f>
        <v>628.3374032674119</v>
      </c>
      <c r="S57" s="102">
        <f>TrNavi_ene!S4</f>
        <v>958.33645743766112</v>
      </c>
      <c r="T57" s="102">
        <f>TrNavi_ene!T4</f>
        <v>991.20163370593286</v>
      </c>
      <c r="U57" s="102">
        <f>TrNavi_ene!U4</f>
        <v>1037.8338779019775</v>
      </c>
      <c r="V57" s="102">
        <f>TrNavi_ene!V4</f>
        <v>803.44961306964728</v>
      </c>
      <c r="W57" s="102">
        <f>TrNavi_ene!W4</f>
        <v>908.26706792777281</v>
      </c>
      <c r="X57" s="102">
        <f>TrNavi_ene!X4</f>
        <v>1101.4225279449697</v>
      </c>
      <c r="Y57" s="102">
        <f>TrNavi_ene!Y4</f>
        <v>901.45064488392063</v>
      </c>
      <c r="DA57" s="175" t="s">
        <v>994</v>
      </c>
    </row>
    <row r="58" spans="1:105" ht="11.45" customHeight="1" x14ac:dyDescent="0.25">
      <c r="A58" s="166" t="str">
        <f>$A$28</f>
        <v>Inland waterways</v>
      </c>
      <c r="B58" s="169">
        <f>TrNavi_ene!B10</f>
        <v>0</v>
      </c>
      <c r="C58" s="169">
        <f>TrNavi_ene!C10</f>
        <v>0</v>
      </c>
      <c r="D58" s="169">
        <f>TrNavi_ene!D10</f>
        <v>0</v>
      </c>
      <c r="E58" s="169">
        <f>TrNavi_ene!E10</f>
        <v>0</v>
      </c>
      <c r="F58" s="169">
        <f>TrNavi_ene!F10</f>
        <v>0</v>
      </c>
      <c r="G58" s="169">
        <f>TrNavi_ene!G10</f>
        <v>0</v>
      </c>
      <c r="H58" s="169">
        <f>TrNavi_ene!H10</f>
        <v>0</v>
      </c>
      <c r="I58" s="169">
        <f>TrNavi_ene!I10</f>
        <v>0</v>
      </c>
      <c r="J58" s="169">
        <f>TrNavi_ene!J10</f>
        <v>0</v>
      </c>
      <c r="K58" s="169">
        <f>TrNavi_ene!K10</f>
        <v>0</v>
      </c>
      <c r="L58" s="169">
        <f>TrNavi_ene!L10</f>
        <v>0</v>
      </c>
      <c r="M58" s="169">
        <f>TrNavi_ene!M10</f>
        <v>0</v>
      </c>
      <c r="N58" s="169">
        <f>TrNavi_ene!N10</f>
        <v>0</v>
      </c>
      <c r="O58" s="169">
        <f>TrNavi_ene!O10</f>
        <v>0</v>
      </c>
      <c r="P58" s="169">
        <f>TrNavi_ene!P10</f>
        <v>0</v>
      </c>
      <c r="Q58" s="169">
        <f>TrNavi_ene!Q10</f>
        <v>0</v>
      </c>
      <c r="R58" s="169">
        <f>TrNavi_ene!R10</f>
        <v>0</v>
      </c>
      <c r="S58" s="169">
        <f>TrNavi_ene!S10</f>
        <v>0</v>
      </c>
      <c r="T58" s="169">
        <f>TrNavi_ene!T10</f>
        <v>0</v>
      </c>
      <c r="U58" s="169">
        <f>TrNavi_ene!U10</f>
        <v>0</v>
      </c>
      <c r="V58" s="169">
        <f>TrNavi_ene!V10</f>
        <v>0</v>
      </c>
      <c r="W58" s="169">
        <f>TrNavi_ene!W10</f>
        <v>0</v>
      </c>
      <c r="X58" s="169">
        <f>TrNavi_ene!X10</f>
        <v>0</v>
      </c>
      <c r="Y58" s="169">
        <f>TrNavi_ene!Y10</f>
        <v>0</v>
      </c>
      <c r="DA58" s="177" t="s">
        <v>995</v>
      </c>
    </row>
    <row r="59" spans="1:105" ht="11.45" customHeight="1" x14ac:dyDescent="0.25">
      <c r="A59" s="27" t="s">
        <v>169</v>
      </c>
      <c r="B59" s="28">
        <f>B60+B61</f>
        <v>6016.499484092863</v>
      </c>
      <c r="C59" s="28">
        <f t="shared" ref="C59:W59" si="49">C60+C61</f>
        <v>6732.4496130696461</v>
      </c>
      <c r="D59" s="28">
        <f t="shared" si="49"/>
        <v>6870.3162510748052</v>
      </c>
      <c r="E59" s="28">
        <f t="shared" si="49"/>
        <v>6996.9666380051576</v>
      </c>
      <c r="F59" s="28">
        <f t="shared" si="49"/>
        <v>7216.1269131556319</v>
      </c>
      <c r="G59" s="28">
        <f t="shared" si="49"/>
        <v>7917.3306964746316</v>
      </c>
      <c r="H59" s="28">
        <f t="shared" si="49"/>
        <v>8267.8943250214979</v>
      </c>
      <c r="I59" s="28">
        <f t="shared" si="49"/>
        <v>8462.6349097162492</v>
      </c>
      <c r="J59" s="28">
        <f t="shared" si="49"/>
        <v>8785.506878761822</v>
      </c>
      <c r="K59" s="28">
        <f t="shared" si="49"/>
        <v>8729.1725709372313</v>
      </c>
      <c r="L59" s="28">
        <f t="shared" si="49"/>
        <v>8418.9500429922628</v>
      </c>
      <c r="M59" s="28">
        <f t="shared" si="49"/>
        <v>8603.8693035253673</v>
      </c>
      <c r="N59" s="28">
        <f t="shared" si="49"/>
        <v>8398.7962166809957</v>
      </c>
      <c r="O59" s="28">
        <f t="shared" si="49"/>
        <v>7226.6073946689585</v>
      </c>
      <c r="P59" s="28">
        <f t="shared" si="49"/>
        <v>7811.4645743766114</v>
      </c>
      <c r="Q59" s="28">
        <f t="shared" si="49"/>
        <v>7488.5783319002567</v>
      </c>
      <c r="R59" s="28">
        <f t="shared" si="49"/>
        <v>7523.0343078245905</v>
      </c>
      <c r="S59" s="28">
        <f t="shared" si="49"/>
        <v>6681.7832330180554</v>
      </c>
      <c r="T59" s="28">
        <f t="shared" si="49"/>
        <v>7002.7944969905402</v>
      </c>
      <c r="U59" s="28">
        <f t="shared" si="49"/>
        <v>7185.4041272570921</v>
      </c>
      <c r="V59" s="28">
        <f t="shared" si="49"/>
        <v>6377.7345657781589</v>
      </c>
      <c r="W59" s="28">
        <f t="shared" si="49"/>
        <v>7323.307738607049</v>
      </c>
      <c r="X59" s="28">
        <f t="shared" ref="X59:Y59" si="50">X60+X61</f>
        <v>8634.0466895958707</v>
      </c>
      <c r="Y59" s="28">
        <f t="shared" si="50"/>
        <v>8348.760361134995</v>
      </c>
      <c r="DA59" s="173" t="s">
        <v>956</v>
      </c>
    </row>
    <row r="60" spans="1:105" ht="11.45" customHeight="1" x14ac:dyDescent="0.25">
      <c r="A60" s="128" t="str">
        <f>$A$30</f>
        <v>Intra-EEA</v>
      </c>
      <c r="B60" s="102">
        <f>MBunk_ene!B$4</f>
        <v>2199.5107944083175</v>
      </c>
      <c r="C60" s="102">
        <f>MBunk_ene!C$4</f>
        <v>2413.7567000894269</v>
      </c>
      <c r="D60" s="102">
        <f>MBunk_ene!D$4</f>
        <v>2430.5258244289707</v>
      </c>
      <c r="E60" s="102">
        <f>MBunk_ene!E$4</f>
        <v>2460.395865009853</v>
      </c>
      <c r="F60" s="102">
        <f>MBunk_ene!F$4</f>
        <v>2545.3168305163526</v>
      </c>
      <c r="G60" s="102">
        <f>MBunk_ene!G$4</f>
        <v>2735.2595251276853</v>
      </c>
      <c r="H60" s="102">
        <f>MBunk_ene!H$4</f>
        <v>2691.9528093976487</v>
      </c>
      <c r="I60" s="102">
        <f>MBunk_ene!I$4</f>
        <v>2622.2172762421674</v>
      </c>
      <c r="J60" s="102">
        <f>MBunk_ene!J$4</f>
        <v>2712.8483993765149</v>
      </c>
      <c r="K60" s="102">
        <f>MBunk_ene!K$4</f>
        <v>2921.0456405126461</v>
      </c>
      <c r="L60" s="102">
        <f>MBunk_ene!L$4</f>
        <v>2822.9831367340321</v>
      </c>
      <c r="M60" s="102">
        <f>MBunk_ene!M$4</f>
        <v>2784.4563756688917</v>
      </c>
      <c r="N60" s="102">
        <f>MBunk_ene!N$4</f>
        <v>2664.9873374973176</v>
      </c>
      <c r="O60" s="102">
        <f>MBunk_ene!O$4</f>
        <v>2410.227177589195</v>
      </c>
      <c r="P60" s="102">
        <f>MBunk_ene!P$4</f>
        <v>2705.0343527118976</v>
      </c>
      <c r="Q60" s="102">
        <f>MBunk_ene!Q$4</f>
        <v>2618.7183855069879</v>
      </c>
      <c r="R60" s="102">
        <f>MBunk_ene!R$4</f>
        <v>2682.6913623520531</v>
      </c>
      <c r="S60" s="102">
        <f>MBunk_ene!S$4</f>
        <v>2325.9439944699011</v>
      </c>
      <c r="T60" s="102">
        <f>MBunk_ene!T$4</f>
        <v>2462.3802887361476</v>
      </c>
      <c r="U60" s="102">
        <f>MBunk_ene!U$4</f>
        <v>2553.5243755483139</v>
      </c>
      <c r="V60" s="102">
        <f>MBunk_ene!V$4</f>
        <v>2095.2899179876149</v>
      </c>
      <c r="W60" s="102">
        <f>MBunk_ene!W$4</f>
        <v>2511.654433051664</v>
      </c>
      <c r="X60" s="102">
        <f>MBunk_ene!X$4</f>
        <v>3157.5620870849584</v>
      </c>
      <c r="Y60" s="102">
        <f>MBunk_ene!Y$4</f>
        <v>3103.4225954407425</v>
      </c>
      <c r="DA60" s="175" t="s">
        <v>957</v>
      </c>
    </row>
    <row r="61" spans="1:105" ht="11.45" customHeight="1" x14ac:dyDescent="0.25">
      <c r="A61" s="138" t="str">
        <f>$A$31</f>
        <v>Extra-EEA</v>
      </c>
      <c r="B61" s="86">
        <f>MBunk_ene!B$10</f>
        <v>3816.9886896845455</v>
      </c>
      <c r="C61" s="86">
        <f>MBunk_ene!C$10</f>
        <v>4318.6929129802193</v>
      </c>
      <c r="D61" s="86">
        <f>MBunk_ene!D$10</f>
        <v>4439.7904266458345</v>
      </c>
      <c r="E61" s="86">
        <f>MBunk_ene!E$10</f>
        <v>4536.5707729953047</v>
      </c>
      <c r="F61" s="86">
        <f>MBunk_ene!F$10</f>
        <v>4670.8100826392792</v>
      </c>
      <c r="G61" s="86">
        <f>MBunk_ene!G$10</f>
        <v>5182.0711713469464</v>
      </c>
      <c r="H61" s="86">
        <f>MBunk_ene!H$10</f>
        <v>5575.9415156238483</v>
      </c>
      <c r="I61" s="86">
        <f>MBunk_ene!I$10</f>
        <v>5840.4176334740823</v>
      </c>
      <c r="J61" s="86">
        <f>MBunk_ene!J$10</f>
        <v>6072.6584793853062</v>
      </c>
      <c r="K61" s="86">
        <f>MBunk_ene!K$10</f>
        <v>5808.1269304245852</v>
      </c>
      <c r="L61" s="86">
        <f>MBunk_ene!L$10</f>
        <v>5595.9669062582298</v>
      </c>
      <c r="M61" s="86">
        <f>MBunk_ene!M$10</f>
        <v>5819.4129278564751</v>
      </c>
      <c r="N61" s="86">
        <f>MBunk_ene!N$10</f>
        <v>5733.8088791836781</v>
      </c>
      <c r="O61" s="86">
        <f>MBunk_ene!O$10</f>
        <v>4816.3802170797635</v>
      </c>
      <c r="P61" s="86">
        <f>MBunk_ene!P$10</f>
        <v>5106.4302216647138</v>
      </c>
      <c r="Q61" s="86">
        <f>MBunk_ene!Q$10</f>
        <v>4869.8599463932687</v>
      </c>
      <c r="R61" s="86">
        <f>MBunk_ene!R$10</f>
        <v>4840.3429454725374</v>
      </c>
      <c r="S61" s="86">
        <f>MBunk_ene!S$10</f>
        <v>4355.8392385481548</v>
      </c>
      <c r="T61" s="86">
        <f>MBunk_ene!T$10</f>
        <v>4540.4142082543931</v>
      </c>
      <c r="U61" s="86">
        <f>MBunk_ene!U$10</f>
        <v>4631.8797517087787</v>
      </c>
      <c r="V61" s="86">
        <f>MBunk_ene!V$10</f>
        <v>4282.444647790544</v>
      </c>
      <c r="W61" s="86">
        <f>MBunk_ene!W$10</f>
        <v>4811.6533055553855</v>
      </c>
      <c r="X61" s="86">
        <f>MBunk_ene!X$10</f>
        <v>5476.4846025109127</v>
      </c>
      <c r="Y61" s="86">
        <f>MBunk_ene!Y$10</f>
        <v>5245.337765694253</v>
      </c>
      <c r="DA61" s="178" t="s">
        <v>958</v>
      </c>
    </row>
    <row r="62" spans="1:105" ht="11.45" customHeight="1" x14ac:dyDescent="0.25">
      <c r="A62" s="106"/>
      <c r="B62" s="106"/>
      <c r="C62" s="106"/>
      <c r="D62" s="106"/>
      <c r="E62" s="106"/>
      <c r="F62" s="106"/>
      <c r="G62" s="106"/>
      <c r="H62" s="106"/>
      <c r="I62" s="106"/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X62" s="106"/>
      <c r="Y62" s="106"/>
      <c r="DA62" s="171"/>
    </row>
    <row r="63" spans="1:105" ht="11.45" customHeight="1" x14ac:dyDescent="0.25">
      <c r="A63" s="53" t="s">
        <v>35</v>
      </c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DA63" s="172"/>
    </row>
    <row r="64" spans="1:105" ht="11.45" customHeight="1" x14ac:dyDescent="0.25">
      <c r="A64" s="27" t="s">
        <v>33</v>
      </c>
      <c r="B64" s="28">
        <f t="shared" ref="B64:Q64" si="51">B65+B69+B73</f>
        <v>66059.738485882292</v>
      </c>
      <c r="C64" s="28">
        <f t="shared" si="51"/>
        <v>67581.462490275604</v>
      </c>
      <c r="D64" s="28">
        <f t="shared" si="51"/>
        <v>68968.127576417886</v>
      </c>
      <c r="E64" s="28">
        <f t="shared" si="51"/>
        <v>72229.552527276086</v>
      </c>
      <c r="F64" s="28">
        <f t="shared" si="51"/>
        <v>75573.744782790236</v>
      </c>
      <c r="G64" s="28">
        <f t="shared" si="51"/>
        <v>79502.755653363769</v>
      </c>
      <c r="H64" s="28">
        <f t="shared" si="51"/>
        <v>82297.16088627062</v>
      </c>
      <c r="I64" s="28">
        <f t="shared" si="51"/>
        <v>84893.014448085829</v>
      </c>
      <c r="J64" s="28">
        <f t="shared" si="51"/>
        <v>82511.083100008545</v>
      </c>
      <c r="K64" s="28">
        <f t="shared" si="51"/>
        <v>79048.527530883046</v>
      </c>
      <c r="L64" s="28">
        <f t="shared" si="51"/>
        <v>77008.389339218658</v>
      </c>
      <c r="M64" s="28">
        <f t="shared" si="51"/>
        <v>75421.755889311113</v>
      </c>
      <c r="N64" s="28">
        <f t="shared" si="51"/>
        <v>69738.836712019547</v>
      </c>
      <c r="O64" s="28">
        <f t="shared" si="51"/>
        <v>69333.616238286442</v>
      </c>
      <c r="P64" s="28">
        <f t="shared" si="51"/>
        <v>70335.987108921458</v>
      </c>
      <c r="Q64" s="28">
        <f t="shared" si="51"/>
        <v>72548.717930425715</v>
      </c>
      <c r="R64" s="28">
        <f t="shared" ref="R64:V64" si="52">R65+R69+R73</f>
        <v>73864.569440032035</v>
      </c>
      <c r="S64" s="28">
        <f t="shared" si="52"/>
        <v>75769.471543454536</v>
      </c>
      <c r="T64" s="28">
        <f t="shared" si="52"/>
        <v>76776.474095989222</v>
      </c>
      <c r="U64" s="28">
        <f t="shared" si="52"/>
        <v>79284.561747919724</v>
      </c>
      <c r="V64" s="28">
        <f t="shared" si="52"/>
        <v>53901.814191919504</v>
      </c>
      <c r="W64" s="28">
        <f t="shared" ref="W64:Y64" si="53">W65+W69+W73</f>
        <v>64467.789798135287</v>
      </c>
      <c r="X64" s="28">
        <f t="shared" si="53"/>
        <v>74790.666374461041</v>
      </c>
      <c r="Y64" s="28">
        <f t="shared" si="53"/>
        <v>76452.508794622583</v>
      </c>
      <c r="DA64" s="173"/>
    </row>
    <row r="65" spans="1:105" ht="11.45" customHeight="1" x14ac:dyDescent="0.25">
      <c r="A65" s="136" t="str">
        <f>$A$5</f>
        <v>Road transport</v>
      </c>
      <c r="B65" s="137">
        <f t="shared" ref="B65:Q65" si="54">B66+B67+B68</f>
        <v>51519.142503333554</v>
      </c>
      <c r="C65" s="137">
        <f t="shared" si="54"/>
        <v>52881.65928196843</v>
      </c>
      <c r="D65" s="137">
        <f t="shared" si="54"/>
        <v>54897.938086105882</v>
      </c>
      <c r="E65" s="137">
        <f t="shared" si="54"/>
        <v>57255.328945407819</v>
      </c>
      <c r="F65" s="137">
        <f t="shared" si="54"/>
        <v>58900.938092219869</v>
      </c>
      <c r="G65" s="137">
        <f t="shared" si="54"/>
        <v>61595.876317225921</v>
      </c>
      <c r="H65" s="137">
        <f t="shared" si="54"/>
        <v>63955.346191891826</v>
      </c>
      <c r="I65" s="137">
        <f t="shared" si="54"/>
        <v>65448.280967555882</v>
      </c>
      <c r="J65" s="137">
        <f t="shared" si="54"/>
        <v>63406.366357980274</v>
      </c>
      <c r="K65" s="137">
        <f t="shared" si="54"/>
        <v>61778.37388409744</v>
      </c>
      <c r="L65" s="137">
        <f t="shared" si="54"/>
        <v>59464.007969267652</v>
      </c>
      <c r="M65" s="137">
        <f t="shared" si="54"/>
        <v>56777.542354783734</v>
      </c>
      <c r="N65" s="137">
        <f t="shared" si="54"/>
        <v>51915.724017778703</v>
      </c>
      <c r="O65" s="137">
        <f t="shared" si="54"/>
        <v>53598.565360960143</v>
      </c>
      <c r="P65" s="137">
        <f t="shared" si="54"/>
        <v>54112.456872225514</v>
      </c>
      <c r="Q65" s="137">
        <f t="shared" si="54"/>
        <v>55254.626676420354</v>
      </c>
      <c r="R65" s="137">
        <f t="shared" ref="R65:V65" si="55">R66+R67+R68</f>
        <v>55363.235419128752</v>
      </c>
      <c r="S65" s="137">
        <f t="shared" si="55"/>
        <v>55727.032333728857</v>
      </c>
      <c r="T65" s="137">
        <f t="shared" si="55"/>
        <v>55928.733750521722</v>
      </c>
      <c r="U65" s="137">
        <f t="shared" si="55"/>
        <v>57678.634115659719</v>
      </c>
      <c r="V65" s="137">
        <f t="shared" si="55"/>
        <v>46526.575358537564</v>
      </c>
      <c r="W65" s="137">
        <f t="shared" ref="W65:Y65" si="56">W66+W67+W68</f>
        <v>54140.482275895534</v>
      </c>
      <c r="X65" s="137">
        <f t="shared" si="56"/>
        <v>56481.618600714268</v>
      </c>
      <c r="Y65" s="137">
        <f t="shared" si="56"/>
        <v>55931.418336072042</v>
      </c>
      <c r="DA65" s="174" t="s">
        <v>403</v>
      </c>
    </row>
    <row r="66" spans="1:105" ht="11.45" customHeight="1" x14ac:dyDescent="0.25">
      <c r="A66" s="128" t="str">
        <f>$A$6</f>
        <v>Powered two-wheelers</v>
      </c>
      <c r="B66" s="102">
        <f>TrRoad_emi!B$19</f>
        <v>1092.411952122822</v>
      </c>
      <c r="C66" s="102">
        <f>TrRoad_emi!C$19</f>
        <v>1154.6089997377817</v>
      </c>
      <c r="D66" s="102">
        <f>TrRoad_emi!D$19</f>
        <v>1047.0256433722498</v>
      </c>
      <c r="E66" s="102">
        <f>TrRoad_emi!E$19</f>
        <v>1173.4544305375682</v>
      </c>
      <c r="F66" s="102">
        <f>TrRoad_emi!F$19</f>
        <v>1135.5228680967537</v>
      </c>
      <c r="G66" s="102">
        <f>TrRoad_emi!G$19</f>
        <v>1289.3697095615676</v>
      </c>
      <c r="H66" s="102">
        <f>TrRoad_emi!H$19</f>
        <v>1308.341467093441</v>
      </c>
      <c r="I66" s="102">
        <f>TrRoad_emi!I$19</f>
        <v>1477.2342952213646</v>
      </c>
      <c r="J66" s="102">
        <f>TrRoad_emi!J$19</f>
        <v>1480.025980432152</v>
      </c>
      <c r="K66" s="102">
        <f>TrRoad_emi!K$19</f>
        <v>1510.954087295474</v>
      </c>
      <c r="L66" s="102">
        <f>TrRoad_emi!L$19</f>
        <v>1505.0720957008884</v>
      </c>
      <c r="M66" s="102">
        <f>TrRoad_emi!M$19</f>
        <v>1376.6805528735506</v>
      </c>
      <c r="N66" s="102">
        <f>TrRoad_emi!N$19</f>
        <v>1302.1393659859079</v>
      </c>
      <c r="O66" s="102">
        <f>TrRoad_emi!O$19</f>
        <v>1292.549967147615</v>
      </c>
      <c r="P66" s="102">
        <f>TrRoad_emi!P$19</f>
        <v>1429.0738970728457</v>
      </c>
      <c r="Q66" s="102">
        <f>TrRoad_emi!Q$19</f>
        <v>1533.3119201118484</v>
      </c>
      <c r="R66" s="102">
        <f>TrRoad_emi!R$19</f>
        <v>1602.2874054254487</v>
      </c>
      <c r="S66" s="102">
        <f>TrRoad_emi!S$19</f>
        <v>1487.4276415511815</v>
      </c>
      <c r="T66" s="102">
        <f>TrRoad_emi!T$19</f>
        <v>1406.6450707680606</v>
      </c>
      <c r="U66" s="102">
        <f>TrRoad_emi!U$19</f>
        <v>1526.828840237426</v>
      </c>
      <c r="V66" s="102">
        <f>TrRoad_emi!V$19</f>
        <v>1269.9340591137768</v>
      </c>
      <c r="W66" s="102">
        <f>TrRoad_emi!W$19</f>
        <v>1402.6268320133643</v>
      </c>
      <c r="X66" s="102">
        <f>TrRoad_emi!X$19</f>
        <v>1361.7515536526644</v>
      </c>
      <c r="Y66" s="102">
        <f>TrRoad_emi!Y$19</f>
        <v>1452.2458095921363</v>
      </c>
      <c r="DA66" s="175" t="s">
        <v>404</v>
      </c>
    </row>
    <row r="67" spans="1:105" ht="11.45" customHeight="1" x14ac:dyDescent="0.25">
      <c r="A67" s="128" t="str">
        <f>$A$7</f>
        <v>Passenger cars</v>
      </c>
      <c r="B67" s="102">
        <f>TrRoad_emi!B$20</f>
        <v>46776.636987103877</v>
      </c>
      <c r="C67" s="102">
        <f>TrRoad_emi!C$20</f>
        <v>48098.252205189376</v>
      </c>
      <c r="D67" s="102">
        <f>TrRoad_emi!D$20</f>
        <v>50282.863557725301</v>
      </c>
      <c r="E67" s="102">
        <f>TrRoad_emi!E$20</f>
        <v>52546.568658521857</v>
      </c>
      <c r="F67" s="102">
        <f>TrRoad_emi!F$20</f>
        <v>54139.032864832967</v>
      </c>
      <c r="G67" s="102">
        <f>TrRoad_emi!G$20</f>
        <v>56725.533917120927</v>
      </c>
      <c r="H67" s="102">
        <f>TrRoad_emi!H$20</f>
        <v>58908.954525884808</v>
      </c>
      <c r="I67" s="102">
        <f>TrRoad_emi!I$20</f>
        <v>60154.720569129917</v>
      </c>
      <c r="J67" s="102">
        <f>TrRoad_emi!J$20</f>
        <v>58174.860929815201</v>
      </c>
      <c r="K67" s="102">
        <f>TrRoad_emi!K$20</f>
        <v>56627.651568640773</v>
      </c>
      <c r="L67" s="102">
        <f>TrRoad_emi!L$20</f>
        <v>54419.429129316377</v>
      </c>
      <c r="M67" s="102">
        <f>TrRoad_emi!M$20</f>
        <v>51930.874148948365</v>
      </c>
      <c r="N67" s="102">
        <f>TrRoad_emi!N$20</f>
        <v>47302.470784057317</v>
      </c>
      <c r="O67" s="102">
        <f>TrRoad_emi!O$20</f>
        <v>49001.097632574252</v>
      </c>
      <c r="P67" s="102">
        <f>TrRoad_emi!P$20</f>
        <v>49425.760480043951</v>
      </c>
      <c r="Q67" s="102">
        <f>TrRoad_emi!Q$20</f>
        <v>50454.228673364996</v>
      </c>
      <c r="R67" s="102">
        <f>TrRoad_emi!R$20</f>
        <v>50472.507140065078</v>
      </c>
      <c r="S67" s="102">
        <f>TrRoad_emi!S$20</f>
        <v>52149.11537769578</v>
      </c>
      <c r="T67" s="102">
        <f>TrRoad_emi!T$20</f>
        <v>52449.749634399312</v>
      </c>
      <c r="U67" s="102">
        <f>TrRoad_emi!U$20</f>
        <v>54033.213366395546</v>
      </c>
      <c r="V67" s="102">
        <f>TrRoad_emi!V$20</f>
        <v>43763.010025394782</v>
      </c>
      <c r="W67" s="102">
        <f>TrRoad_emi!W$20</f>
        <v>50838.164602213474</v>
      </c>
      <c r="X67" s="102">
        <f>TrRoad_emi!X$20</f>
        <v>52963.01426981642</v>
      </c>
      <c r="Y67" s="102">
        <f>TrRoad_emi!Y$20</f>
        <v>52114.585445554418</v>
      </c>
      <c r="DA67" s="175" t="s">
        <v>405</v>
      </c>
    </row>
    <row r="68" spans="1:105" ht="11.45" customHeight="1" x14ac:dyDescent="0.25">
      <c r="A68" s="128" t="str">
        <f>$A$8</f>
        <v>Motor coaches, buses and trolley buses</v>
      </c>
      <c r="B68" s="102">
        <f>TrRoad_emi!B$27</f>
        <v>3650.0935641068568</v>
      </c>
      <c r="C68" s="102">
        <f>TrRoad_emi!C$27</f>
        <v>3628.7980770412737</v>
      </c>
      <c r="D68" s="102">
        <f>TrRoad_emi!D$27</f>
        <v>3568.0488850083289</v>
      </c>
      <c r="E68" s="102">
        <f>TrRoad_emi!E$27</f>
        <v>3535.305856348391</v>
      </c>
      <c r="F68" s="102">
        <f>TrRoad_emi!F$27</f>
        <v>3626.3823592901481</v>
      </c>
      <c r="G68" s="102">
        <f>TrRoad_emi!G$27</f>
        <v>3580.9726905434313</v>
      </c>
      <c r="H68" s="102">
        <f>TrRoad_emi!H$27</f>
        <v>3738.0501989135728</v>
      </c>
      <c r="I68" s="102">
        <f>TrRoad_emi!I$27</f>
        <v>3816.3261032045993</v>
      </c>
      <c r="J68" s="102">
        <f>TrRoad_emi!J$27</f>
        <v>3751.4794477329174</v>
      </c>
      <c r="K68" s="102">
        <f>TrRoad_emi!K$27</f>
        <v>3639.7682281611956</v>
      </c>
      <c r="L68" s="102">
        <f>TrRoad_emi!L$27</f>
        <v>3539.5067442503864</v>
      </c>
      <c r="M68" s="102">
        <f>TrRoad_emi!M$27</f>
        <v>3469.9876529618177</v>
      </c>
      <c r="N68" s="102">
        <f>TrRoad_emi!N$27</f>
        <v>3311.1138677354743</v>
      </c>
      <c r="O68" s="102">
        <f>TrRoad_emi!O$27</f>
        <v>3304.9177612382769</v>
      </c>
      <c r="P68" s="102">
        <f>TrRoad_emi!P$27</f>
        <v>3257.6224951087161</v>
      </c>
      <c r="Q68" s="102">
        <f>TrRoad_emi!Q$27</f>
        <v>3267.0860829435123</v>
      </c>
      <c r="R68" s="102">
        <f>TrRoad_emi!R$27</f>
        <v>3288.4408736382256</v>
      </c>
      <c r="S68" s="102">
        <f>TrRoad_emi!S$27</f>
        <v>2090.4893144818916</v>
      </c>
      <c r="T68" s="102">
        <f>TrRoad_emi!T$27</f>
        <v>2072.339045354347</v>
      </c>
      <c r="U68" s="102">
        <f>TrRoad_emi!U$27</f>
        <v>2118.5919090267453</v>
      </c>
      <c r="V68" s="102">
        <f>TrRoad_emi!V$27</f>
        <v>1493.6312740290064</v>
      </c>
      <c r="W68" s="102">
        <f>TrRoad_emi!W$27</f>
        <v>1899.6908416686927</v>
      </c>
      <c r="X68" s="102">
        <f>TrRoad_emi!X$27</f>
        <v>2156.8527772451848</v>
      </c>
      <c r="Y68" s="102">
        <f>TrRoad_emi!Y$27</f>
        <v>2364.5870809254875</v>
      </c>
      <c r="DA68" s="175" t="s">
        <v>406</v>
      </c>
    </row>
    <row r="69" spans="1:105" ht="11.45" customHeight="1" x14ac:dyDescent="0.25">
      <c r="A69" s="109" t="str">
        <f>$A$9</f>
        <v>Rail, metro and tram</v>
      </c>
      <c r="B69" s="110">
        <f t="shared" ref="B69:Q69" si="57">B70+B71+B72</f>
        <v>1006.1067426469866</v>
      </c>
      <c r="C69" s="110">
        <f t="shared" si="57"/>
        <v>1058.1969648376503</v>
      </c>
      <c r="D69" s="110">
        <f t="shared" si="57"/>
        <v>1093.3007448977739</v>
      </c>
      <c r="E69" s="110">
        <f t="shared" si="57"/>
        <v>1358.6501755316776</v>
      </c>
      <c r="F69" s="110">
        <f t="shared" si="57"/>
        <v>1636.3009973249332</v>
      </c>
      <c r="G69" s="110">
        <f t="shared" si="57"/>
        <v>1835.1855988254476</v>
      </c>
      <c r="H69" s="110">
        <f t="shared" si="57"/>
        <v>1516.6514497232095</v>
      </c>
      <c r="I69" s="110">
        <f t="shared" si="57"/>
        <v>1713.9729414292335</v>
      </c>
      <c r="J69" s="110">
        <f t="shared" si="57"/>
        <v>1603.5020565191926</v>
      </c>
      <c r="K69" s="110">
        <f t="shared" si="57"/>
        <v>1295.6083141180757</v>
      </c>
      <c r="L69" s="110">
        <f t="shared" si="57"/>
        <v>1249.8345366023866</v>
      </c>
      <c r="M69" s="110">
        <f t="shared" si="57"/>
        <v>1236.7239362120795</v>
      </c>
      <c r="N69" s="110">
        <f t="shared" si="57"/>
        <v>1384.7850911808084</v>
      </c>
      <c r="O69" s="110">
        <f t="shared" si="57"/>
        <v>153.91028496606671</v>
      </c>
      <c r="P69" s="110">
        <f t="shared" si="57"/>
        <v>146.42060374000903</v>
      </c>
      <c r="Q69" s="110">
        <f t="shared" si="57"/>
        <v>193.26879800419346</v>
      </c>
      <c r="R69" s="110">
        <f t="shared" ref="R69:V69" si="58">R70+R71+R72</f>
        <v>185.90532820044666</v>
      </c>
      <c r="S69" s="110">
        <f t="shared" si="58"/>
        <v>130.26466868082878</v>
      </c>
      <c r="T69" s="110">
        <f t="shared" si="58"/>
        <v>122.14173156695186</v>
      </c>
      <c r="U69" s="110">
        <f t="shared" si="58"/>
        <v>106.44057765070278</v>
      </c>
      <c r="V69" s="110">
        <f t="shared" si="58"/>
        <v>69.358841315343369</v>
      </c>
      <c r="W69" s="110">
        <f t="shared" ref="W69:Y69" si="59">W70+W71+W72</f>
        <v>104.79671872007432</v>
      </c>
      <c r="X69" s="110">
        <f t="shared" si="59"/>
        <v>96.174419041064468</v>
      </c>
      <c r="Y69" s="110">
        <f t="shared" si="59"/>
        <v>90.133775101271965</v>
      </c>
      <c r="DA69" s="176" t="s">
        <v>407</v>
      </c>
    </row>
    <row r="70" spans="1:105" ht="11.45" customHeight="1" x14ac:dyDescent="0.25">
      <c r="A70" s="128" t="str">
        <f>$A$10</f>
        <v>Metro and tram, urban light rail</v>
      </c>
      <c r="B70" s="102">
        <f>TrRail_emi!B$10</f>
        <v>0</v>
      </c>
      <c r="C70" s="102">
        <f>TrRail_emi!C$10</f>
        <v>0</v>
      </c>
      <c r="D70" s="102">
        <f>TrRail_emi!D$10</f>
        <v>0</v>
      </c>
      <c r="E70" s="102">
        <f>TrRail_emi!E$10</f>
        <v>0</v>
      </c>
      <c r="F70" s="102">
        <f>TrRail_emi!F$10</f>
        <v>0</v>
      </c>
      <c r="G70" s="102">
        <f>TrRail_emi!G$10</f>
        <v>0</v>
      </c>
      <c r="H70" s="102">
        <f>TrRail_emi!H$10</f>
        <v>0</v>
      </c>
      <c r="I70" s="102">
        <f>TrRail_emi!I$10</f>
        <v>0</v>
      </c>
      <c r="J70" s="102">
        <f>TrRail_emi!J$10</f>
        <v>0</v>
      </c>
      <c r="K70" s="102">
        <f>TrRail_emi!K$10</f>
        <v>0</v>
      </c>
      <c r="L70" s="102">
        <f>TrRail_emi!L$10</f>
        <v>0</v>
      </c>
      <c r="M70" s="102">
        <f>TrRail_emi!M$10</f>
        <v>0</v>
      </c>
      <c r="N70" s="102">
        <f>TrRail_emi!N$10</f>
        <v>0</v>
      </c>
      <c r="O70" s="102">
        <f>TrRail_emi!O$10</f>
        <v>0</v>
      </c>
      <c r="P70" s="102">
        <f>TrRail_emi!P$10</f>
        <v>0</v>
      </c>
      <c r="Q70" s="102">
        <f>TrRail_emi!Q$10</f>
        <v>0</v>
      </c>
      <c r="R70" s="102">
        <f>TrRail_emi!R$10</f>
        <v>0</v>
      </c>
      <c r="S70" s="102">
        <f>TrRail_emi!S$10</f>
        <v>0</v>
      </c>
      <c r="T70" s="102">
        <f>TrRail_emi!T$10</f>
        <v>0</v>
      </c>
      <c r="U70" s="102">
        <f>TrRail_emi!U$10</f>
        <v>0</v>
      </c>
      <c r="V70" s="102">
        <f>TrRail_emi!V$10</f>
        <v>0</v>
      </c>
      <c r="W70" s="102">
        <f>TrRail_emi!W$10</f>
        <v>0</v>
      </c>
      <c r="X70" s="102">
        <f>TrRail_emi!X$10</f>
        <v>0</v>
      </c>
      <c r="Y70" s="102">
        <f>TrRail_emi!Y$10</f>
        <v>0</v>
      </c>
      <c r="DA70" s="175" t="s">
        <v>408</v>
      </c>
    </row>
    <row r="71" spans="1:105" ht="11.45" customHeight="1" x14ac:dyDescent="0.25">
      <c r="A71" s="128" t="str">
        <f>$A$11</f>
        <v>Conventional passenger trains</v>
      </c>
      <c r="B71" s="102">
        <f>TrRail_emi!B$11</f>
        <v>1006.1067426469866</v>
      </c>
      <c r="C71" s="102">
        <f>TrRail_emi!C$11</f>
        <v>1058.1969648376503</v>
      </c>
      <c r="D71" s="102">
        <f>TrRail_emi!D$11</f>
        <v>1093.3007448977739</v>
      </c>
      <c r="E71" s="102">
        <f>TrRail_emi!E$11</f>
        <v>1358.6501755316776</v>
      </c>
      <c r="F71" s="102">
        <f>TrRail_emi!F$11</f>
        <v>1636.3009973249332</v>
      </c>
      <c r="G71" s="102">
        <f>TrRail_emi!G$11</f>
        <v>1835.1855988254476</v>
      </c>
      <c r="H71" s="102">
        <f>TrRail_emi!H$11</f>
        <v>1516.6514497232095</v>
      </c>
      <c r="I71" s="102">
        <f>TrRail_emi!I$11</f>
        <v>1713.9729414292335</v>
      </c>
      <c r="J71" s="102">
        <f>TrRail_emi!J$11</f>
        <v>1603.5020565191926</v>
      </c>
      <c r="K71" s="102">
        <f>TrRail_emi!K$11</f>
        <v>1295.6083141180757</v>
      </c>
      <c r="L71" s="102">
        <f>TrRail_emi!L$11</f>
        <v>1249.8345366023866</v>
      </c>
      <c r="M71" s="102">
        <f>TrRail_emi!M$11</f>
        <v>1236.7239362120795</v>
      </c>
      <c r="N71" s="102">
        <f>TrRail_emi!N$11</f>
        <v>1384.7850911808084</v>
      </c>
      <c r="O71" s="102">
        <f>TrRail_emi!O$11</f>
        <v>153.91028496606671</v>
      </c>
      <c r="P71" s="102">
        <f>TrRail_emi!P$11</f>
        <v>146.42060374000903</v>
      </c>
      <c r="Q71" s="102">
        <f>TrRail_emi!Q$11</f>
        <v>193.26879800419346</v>
      </c>
      <c r="R71" s="102">
        <f>TrRail_emi!R$11</f>
        <v>185.90532820044666</v>
      </c>
      <c r="S71" s="102">
        <f>TrRail_emi!S$11</f>
        <v>130.26466868082878</v>
      </c>
      <c r="T71" s="102">
        <f>TrRail_emi!T$11</f>
        <v>122.14173156695186</v>
      </c>
      <c r="U71" s="102">
        <f>TrRail_emi!U$11</f>
        <v>106.44057765070278</v>
      </c>
      <c r="V71" s="102">
        <f>TrRail_emi!V$11</f>
        <v>69.358841315343369</v>
      </c>
      <c r="W71" s="102">
        <f>TrRail_emi!W$11</f>
        <v>104.79671872007432</v>
      </c>
      <c r="X71" s="102">
        <f>TrRail_emi!X$11</f>
        <v>96.174419041064468</v>
      </c>
      <c r="Y71" s="102">
        <f>TrRail_emi!Y$11</f>
        <v>90.133775101271965</v>
      </c>
      <c r="DA71" s="175" t="s">
        <v>409</v>
      </c>
    </row>
    <row r="72" spans="1:105" ht="11.45" customHeight="1" x14ac:dyDescent="0.25">
      <c r="A72" s="128" t="str">
        <f>$A$12</f>
        <v>High speed passenger trains</v>
      </c>
      <c r="B72" s="102">
        <f>TrRail_emi!B$14</f>
        <v>0</v>
      </c>
      <c r="C72" s="102">
        <f>TrRail_emi!C$14</f>
        <v>0</v>
      </c>
      <c r="D72" s="102">
        <f>TrRail_emi!D$14</f>
        <v>0</v>
      </c>
      <c r="E72" s="102">
        <f>TrRail_emi!E$14</f>
        <v>0</v>
      </c>
      <c r="F72" s="102">
        <f>TrRail_emi!F$14</f>
        <v>0</v>
      </c>
      <c r="G72" s="102">
        <f>TrRail_emi!G$14</f>
        <v>0</v>
      </c>
      <c r="H72" s="102">
        <f>TrRail_emi!H$14</f>
        <v>0</v>
      </c>
      <c r="I72" s="102">
        <f>TrRail_emi!I$14</f>
        <v>0</v>
      </c>
      <c r="J72" s="102">
        <f>TrRail_emi!J$14</f>
        <v>0</v>
      </c>
      <c r="K72" s="102">
        <f>TrRail_emi!K$14</f>
        <v>0</v>
      </c>
      <c r="L72" s="102">
        <f>TrRail_emi!L$14</f>
        <v>0</v>
      </c>
      <c r="M72" s="102">
        <f>TrRail_emi!M$14</f>
        <v>0</v>
      </c>
      <c r="N72" s="102">
        <f>TrRail_emi!N$14</f>
        <v>0</v>
      </c>
      <c r="O72" s="102">
        <f>TrRail_emi!O$14</f>
        <v>0</v>
      </c>
      <c r="P72" s="102">
        <f>TrRail_emi!P$14</f>
        <v>0</v>
      </c>
      <c r="Q72" s="102">
        <f>TrRail_emi!Q$14</f>
        <v>0</v>
      </c>
      <c r="R72" s="102">
        <f>TrRail_emi!R$14</f>
        <v>0</v>
      </c>
      <c r="S72" s="102">
        <f>TrRail_emi!S$14</f>
        <v>0</v>
      </c>
      <c r="T72" s="102">
        <f>TrRail_emi!T$14</f>
        <v>0</v>
      </c>
      <c r="U72" s="102">
        <f>TrRail_emi!U$14</f>
        <v>0</v>
      </c>
      <c r="V72" s="102">
        <f>TrRail_emi!V$14</f>
        <v>0</v>
      </c>
      <c r="W72" s="102">
        <f>TrRail_emi!W$14</f>
        <v>0</v>
      </c>
      <c r="X72" s="102">
        <f>TrRail_emi!X$14</f>
        <v>0</v>
      </c>
      <c r="Y72" s="102">
        <f>TrRail_emi!Y$14</f>
        <v>0</v>
      </c>
      <c r="DA72" s="175" t="s">
        <v>410</v>
      </c>
    </row>
    <row r="73" spans="1:105" ht="11.45" customHeight="1" x14ac:dyDescent="0.25">
      <c r="A73" s="109" t="str">
        <f>$A$13</f>
        <v>Aviation</v>
      </c>
      <c r="B73" s="110">
        <f t="shared" ref="B73:Q73" si="60">B74+B75+B76</f>
        <v>13534.489239901748</v>
      </c>
      <c r="C73" s="110">
        <f t="shared" si="60"/>
        <v>13641.60624346953</v>
      </c>
      <c r="D73" s="110">
        <f t="shared" si="60"/>
        <v>12976.888745414226</v>
      </c>
      <c r="E73" s="110">
        <f t="shared" si="60"/>
        <v>13615.573406336593</v>
      </c>
      <c r="F73" s="110">
        <f t="shared" si="60"/>
        <v>15036.505693245437</v>
      </c>
      <c r="G73" s="110">
        <f t="shared" si="60"/>
        <v>16071.693737312404</v>
      </c>
      <c r="H73" s="110">
        <f t="shared" si="60"/>
        <v>16825.163244655581</v>
      </c>
      <c r="I73" s="110">
        <f t="shared" si="60"/>
        <v>17730.760539100713</v>
      </c>
      <c r="J73" s="110">
        <f t="shared" si="60"/>
        <v>17501.214685509072</v>
      </c>
      <c r="K73" s="110">
        <f t="shared" si="60"/>
        <v>15974.545332667531</v>
      </c>
      <c r="L73" s="110">
        <f t="shared" si="60"/>
        <v>16294.546833348621</v>
      </c>
      <c r="M73" s="110">
        <f t="shared" si="60"/>
        <v>17407.489598315304</v>
      </c>
      <c r="N73" s="110">
        <f t="shared" si="60"/>
        <v>16438.327603060032</v>
      </c>
      <c r="O73" s="110">
        <f t="shared" si="60"/>
        <v>15581.140592360223</v>
      </c>
      <c r="P73" s="110">
        <f t="shared" si="60"/>
        <v>16077.109632955935</v>
      </c>
      <c r="Q73" s="110">
        <f t="shared" si="60"/>
        <v>17100.822456001162</v>
      </c>
      <c r="R73" s="110">
        <f t="shared" ref="R73:V73" si="61">R74+R75+R76</f>
        <v>18315.428692702841</v>
      </c>
      <c r="S73" s="110">
        <f t="shared" si="61"/>
        <v>19912.174541044853</v>
      </c>
      <c r="T73" s="110">
        <f t="shared" si="61"/>
        <v>20725.598613900547</v>
      </c>
      <c r="U73" s="110">
        <f t="shared" si="61"/>
        <v>21499.487054609297</v>
      </c>
      <c r="V73" s="110">
        <f t="shared" si="61"/>
        <v>7305.8799920665979</v>
      </c>
      <c r="W73" s="110">
        <f t="shared" ref="W73:Y73" si="62">W74+W75+W76</f>
        <v>10222.510803519674</v>
      </c>
      <c r="X73" s="110">
        <f t="shared" si="62"/>
        <v>18212.873354705716</v>
      </c>
      <c r="Y73" s="110">
        <f t="shared" si="62"/>
        <v>20430.956683449269</v>
      </c>
      <c r="DA73" s="176" t="s">
        <v>327</v>
      </c>
    </row>
    <row r="74" spans="1:105" ht="11.45" customHeight="1" x14ac:dyDescent="0.25">
      <c r="A74" s="128" t="str">
        <f>$A$14</f>
        <v>Domestic</v>
      </c>
      <c r="B74" s="102">
        <f>TrAvia_emi!B$7</f>
        <v>5353.2670071183675</v>
      </c>
      <c r="C74" s="102">
        <f>TrAvia_emi!C$7</f>
        <v>5318.6476163667612</v>
      </c>
      <c r="D74" s="102">
        <f>TrAvia_emi!D$7</f>
        <v>4947.6901013022016</v>
      </c>
      <c r="E74" s="102">
        <f>TrAvia_emi!E$7</f>
        <v>5212.3976673175266</v>
      </c>
      <c r="F74" s="102">
        <f>TrAvia_emi!F$7</f>
        <v>5741.0411607893075</v>
      </c>
      <c r="G74" s="102">
        <f>TrAvia_emi!G$7</f>
        <v>6715.4349353157613</v>
      </c>
      <c r="H74" s="102">
        <f>TrAvia_emi!H$7</f>
        <v>7065.6315580344517</v>
      </c>
      <c r="I74" s="102">
        <f>TrAvia_emi!I$7</f>
        <v>7453.5057165068856</v>
      </c>
      <c r="J74" s="102">
        <f>TrAvia_emi!J$7</f>
        <v>7188.8109711946672</v>
      </c>
      <c r="K74" s="102">
        <f>TrAvia_emi!K$7</f>
        <v>6378.7646102616518</v>
      </c>
      <c r="L74" s="102">
        <f>TrAvia_emi!L$7</f>
        <v>7121.1421523978561</v>
      </c>
      <c r="M74" s="102">
        <f>TrAvia_emi!M$7</f>
        <v>6401.6676206245656</v>
      </c>
      <c r="N74" s="102">
        <f>TrAvia_emi!N$7</f>
        <v>5541.6193854690937</v>
      </c>
      <c r="O74" s="102">
        <f>TrAvia_emi!O$7</f>
        <v>4714.571211217617</v>
      </c>
      <c r="P74" s="102">
        <f>TrAvia_emi!P$7</f>
        <v>5004.0684441729318</v>
      </c>
      <c r="Q74" s="102">
        <f>TrAvia_emi!Q$7</f>
        <v>5421.7724918359472</v>
      </c>
      <c r="R74" s="102">
        <f>TrAvia_emi!R$7</f>
        <v>5910.9410375114512</v>
      </c>
      <c r="S74" s="102">
        <f>TrAvia_emi!S$7</f>
        <v>6420.0327696950162</v>
      </c>
      <c r="T74" s="102">
        <f>TrAvia_emi!T$7</f>
        <v>6692.5338658366709</v>
      </c>
      <c r="U74" s="102">
        <f>TrAvia_emi!U$7</f>
        <v>7088.2597166234</v>
      </c>
      <c r="V74" s="102">
        <f>TrAvia_emi!V$7</f>
        <v>2841.6583692068816</v>
      </c>
      <c r="W74" s="102">
        <f>TrAvia_emi!W$7</f>
        <v>4948.6026152507957</v>
      </c>
      <c r="X74" s="102">
        <f>TrAvia_emi!X$7</f>
        <v>7481.7444718692113</v>
      </c>
      <c r="Y74" s="102">
        <f>TrAvia_emi!Y$7</f>
        <v>7907.9905554447041</v>
      </c>
      <c r="DA74" s="175" t="s">
        <v>328</v>
      </c>
    </row>
    <row r="75" spans="1:105" ht="11.45" customHeight="1" x14ac:dyDescent="0.25">
      <c r="A75" s="128" t="str">
        <f>$A$15</f>
        <v>International - Intra-EEAwCHUK</v>
      </c>
      <c r="B75" s="102">
        <f>TrAvia_emi!B$8</f>
        <v>5001.2765783914074</v>
      </c>
      <c r="C75" s="102">
        <f>TrAvia_emi!C$8</f>
        <v>5628.2311201129796</v>
      </c>
      <c r="D75" s="102">
        <f>TrAvia_emi!D$8</f>
        <v>5056.5970658699262</v>
      </c>
      <c r="E75" s="102">
        <f>TrAvia_emi!E$8</f>
        <v>6084.9010830071284</v>
      </c>
      <c r="F75" s="102">
        <f>TrAvia_emi!F$8</f>
        <v>6454.3908458194337</v>
      </c>
      <c r="G75" s="102">
        <f>TrAvia_emi!G$8</f>
        <v>6524.0165945383806</v>
      </c>
      <c r="H75" s="102">
        <f>TrAvia_emi!H$8</f>
        <v>6855.2619612544204</v>
      </c>
      <c r="I75" s="102">
        <f>TrAvia_emi!I$8</f>
        <v>7267.3850680986943</v>
      </c>
      <c r="J75" s="102">
        <f>TrAvia_emi!J$8</f>
        <v>7218.1769598241262</v>
      </c>
      <c r="K75" s="102">
        <f>TrAvia_emi!K$8</f>
        <v>6536.0581456791951</v>
      </c>
      <c r="L75" s="102">
        <f>TrAvia_emi!L$8</f>
        <v>6211.424076727295</v>
      </c>
      <c r="M75" s="102">
        <f>TrAvia_emi!M$8</f>
        <v>7553.8277564642212</v>
      </c>
      <c r="N75" s="102">
        <f>TrAvia_emi!N$8</f>
        <v>7416.3093274234425</v>
      </c>
      <c r="O75" s="102">
        <f>TrAvia_emi!O$8</f>
        <v>7446.5245384577256</v>
      </c>
      <c r="P75" s="102">
        <f>TrAvia_emi!P$8</f>
        <v>7631.309476478219</v>
      </c>
      <c r="Q75" s="102">
        <f>TrAvia_emi!Q$8</f>
        <v>8049.8463407992285</v>
      </c>
      <c r="R75" s="102">
        <f>TrAvia_emi!R$8</f>
        <v>8824.8389460651233</v>
      </c>
      <c r="S75" s="102">
        <f>TrAvia_emi!S$8</f>
        <v>9750.8459827752376</v>
      </c>
      <c r="T75" s="102">
        <f>TrAvia_emi!T$8</f>
        <v>10040.280061498228</v>
      </c>
      <c r="U75" s="102">
        <f>TrAvia_emi!U$8</f>
        <v>10202.957241154851</v>
      </c>
      <c r="V75" s="102">
        <f>TrAvia_emi!V$8</f>
        <v>2673.9806664330799</v>
      </c>
      <c r="W75" s="102">
        <f>TrAvia_emi!W$8</f>
        <v>3383.2600155450532</v>
      </c>
      <c r="X75" s="102">
        <f>TrAvia_emi!X$8</f>
        <v>7719.7134090384543</v>
      </c>
      <c r="Y75" s="102">
        <f>TrAvia_emi!Y$8</f>
        <v>8968.500276083043</v>
      </c>
      <c r="DA75" s="175" t="s">
        <v>329</v>
      </c>
    </row>
    <row r="76" spans="1:105" ht="11.45" customHeight="1" x14ac:dyDescent="0.25">
      <c r="A76" s="128" t="str">
        <f>$A$16</f>
        <v>International - Extra-EEAwCHUK</v>
      </c>
      <c r="B76" s="102">
        <f>TrAvia_emi!B$9</f>
        <v>3179.9456543919723</v>
      </c>
      <c r="C76" s="102">
        <f>TrAvia_emi!C$9</f>
        <v>2694.7275069897896</v>
      </c>
      <c r="D76" s="102">
        <f>TrAvia_emi!D$9</f>
        <v>2972.6015782420982</v>
      </c>
      <c r="E76" s="102">
        <f>TrAvia_emi!E$9</f>
        <v>2318.2746560119372</v>
      </c>
      <c r="F76" s="102">
        <f>TrAvia_emi!F$9</f>
        <v>2841.0736866366947</v>
      </c>
      <c r="G76" s="102">
        <f>TrAvia_emi!G$9</f>
        <v>2832.2422074582632</v>
      </c>
      <c r="H76" s="102">
        <f>TrAvia_emi!H$9</f>
        <v>2904.2697253667084</v>
      </c>
      <c r="I76" s="102">
        <f>TrAvia_emi!I$9</f>
        <v>3009.869754495131</v>
      </c>
      <c r="J76" s="102">
        <f>TrAvia_emi!J$9</f>
        <v>3094.2267544902788</v>
      </c>
      <c r="K76" s="102">
        <f>TrAvia_emi!K$9</f>
        <v>3059.7225767266837</v>
      </c>
      <c r="L76" s="102">
        <f>TrAvia_emi!L$9</f>
        <v>2961.98060422347</v>
      </c>
      <c r="M76" s="102">
        <f>TrAvia_emi!M$9</f>
        <v>3451.9942212265173</v>
      </c>
      <c r="N76" s="102">
        <f>TrAvia_emi!N$9</f>
        <v>3480.3988901674975</v>
      </c>
      <c r="O76" s="102">
        <f>TrAvia_emi!O$9</f>
        <v>3420.0448426848802</v>
      </c>
      <c r="P76" s="102">
        <f>TrAvia_emi!P$9</f>
        <v>3441.7317123047847</v>
      </c>
      <c r="Q76" s="102">
        <f>TrAvia_emi!Q$9</f>
        <v>3629.2036233659869</v>
      </c>
      <c r="R76" s="102">
        <f>TrAvia_emi!R$9</f>
        <v>3579.6487091262661</v>
      </c>
      <c r="S76" s="102">
        <f>TrAvia_emi!S$9</f>
        <v>3741.2957885746009</v>
      </c>
      <c r="T76" s="102">
        <f>TrAvia_emi!T$9</f>
        <v>3992.7846865656456</v>
      </c>
      <c r="U76" s="102">
        <f>TrAvia_emi!U$9</f>
        <v>4208.2700968310446</v>
      </c>
      <c r="V76" s="102">
        <f>TrAvia_emi!V$9</f>
        <v>1790.2409564266361</v>
      </c>
      <c r="W76" s="102">
        <f>TrAvia_emi!W$9</f>
        <v>1890.6481727238242</v>
      </c>
      <c r="X76" s="102">
        <f>TrAvia_emi!X$9</f>
        <v>3011.4154737980498</v>
      </c>
      <c r="Y76" s="102">
        <f>TrAvia_emi!Y$9</f>
        <v>3554.4658519215227</v>
      </c>
      <c r="DA76" s="175" t="s">
        <v>330</v>
      </c>
    </row>
    <row r="77" spans="1:105" ht="11.45" customHeight="1" x14ac:dyDescent="0.25">
      <c r="A77" s="27" t="s">
        <v>34</v>
      </c>
      <c r="B77" s="28">
        <f t="shared" ref="B77:Y77" si="63">B78+B81+B82+B86+B92</f>
        <v>33568.951862917696</v>
      </c>
      <c r="C77" s="28">
        <f t="shared" si="63"/>
        <v>36322.289690324382</v>
      </c>
      <c r="D77" s="28">
        <f t="shared" si="63"/>
        <v>36349.710144942117</v>
      </c>
      <c r="E77" s="28">
        <f t="shared" si="63"/>
        <v>38530.462518323919</v>
      </c>
      <c r="F77" s="28">
        <f t="shared" si="63"/>
        <v>40563.464072009752</v>
      </c>
      <c r="G77" s="28">
        <f t="shared" si="63"/>
        <v>40484.191594316253</v>
      </c>
      <c r="H77" s="28">
        <f t="shared" si="63"/>
        <v>41860.337427689396</v>
      </c>
      <c r="I77" s="28">
        <f t="shared" si="63"/>
        <v>42816.129930914176</v>
      </c>
      <c r="J77" s="28">
        <f t="shared" si="63"/>
        <v>38958.686605591465</v>
      </c>
      <c r="K77" s="28">
        <f t="shared" si="63"/>
        <v>32989.707430436967</v>
      </c>
      <c r="L77" s="28">
        <f t="shared" si="63"/>
        <v>31730.448933381369</v>
      </c>
      <c r="M77" s="28">
        <f t="shared" si="63"/>
        <v>28645.610402048904</v>
      </c>
      <c r="N77" s="28">
        <f t="shared" si="63"/>
        <v>24766.91579602045</v>
      </c>
      <c r="O77" s="28">
        <f t="shared" si="63"/>
        <v>24088.303818113556</v>
      </c>
      <c r="P77" s="28">
        <f t="shared" si="63"/>
        <v>23743.946585798556</v>
      </c>
      <c r="Q77" s="28">
        <f t="shared" si="63"/>
        <v>25281.973262014311</v>
      </c>
      <c r="R77" s="28">
        <f t="shared" si="63"/>
        <v>27910.48815048796</v>
      </c>
      <c r="S77" s="28">
        <f t="shared" si="63"/>
        <v>30052.923781298767</v>
      </c>
      <c r="T77" s="28">
        <f t="shared" si="63"/>
        <v>30694.502795896278</v>
      </c>
      <c r="U77" s="28">
        <f t="shared" si="63"/>
        <v>29881.88396153049</v>
      </c>
      <c r="V77" s="28">
        <f t="shared" si="63"/>
        <v>25257.605498623994</v>
      </c>
      <c r="W77" s="28">
        <f t="shared" si="63"/>
        <v>28363.696966734802</v>
      </c>
      <c r="X77" s="28">
        <f t="shared" si="63"/>
        <v>29782.416747667434</v>
      </c>
      <c r="Y77" s="28">
        <f t="shared" si="63"/>
        <v>27346.836733672273</v>
      </c>
      <c r="DA77" s="173"/>
    </row>
    <row r="78" spans="1:105" ht="11.45" customHeight="1" x14ac:dyDescent="0.25">
      <c r="A78" s="136" t="str">
        <f>$A$18</f>
        <v>Road transport</v>
      </c>
      <c r="B78" s="137">
        <f t="shared" ref="B78:Q78" si="64">B79+B80</f>
        <v>28313.744471306436</v>
      </c>
      <c r="C78" s="137">
        <f t="shared" si="64"/>
        <v>31016.977168511556</v>
      </c>
      <c r="D78" s="137">
        <f t="shared" si="64"/>
        <v>31131.054433654121</v>
      </c>
      <c r="E78" s="137">
        <f t="shared" si="64"/>
        <v>32870.188416272184</v>
      </c>
      <c r="F78" s="137">
        <f t="shared" si="64"/>
        <v>34686.227690340114</v>
      </c>
      <c r="G78" s="137">
        <f t="shared" si="64"/>
        <v>34854.127906414098</v>
      </c>
      <c r="H78" s="137">
        <f t="shared" si="64"/>
        <v>35711.25863006818</v>
      </c>
      <c r="I78" s="137">
        <f t="shared" si="64"/>
        <v>37208.673764844119</v>
      </c>
      <c r="J78" s="137">
        <f t="shared" si="64"/>
        <v>33769.708645379731</v>
      </c>
      <c r="K78" s="137">
        <f t="shared" si="64"/>
        <v>28592.00250570257</v>
      </c>
      <c r="L78" s="137">
        <f t="shared" si="64"/>
        <v>27331.343454372378</v>
      </c>
      <c r="M78" s="137">
        <f t="shared" si="64"/>
        <v>25307.97981949629</v>
      </c>
      <c r="N78" s="137">
        <f t="shared" si="64"/>
        <v>21359.192074981296</v>
      </c>
      <c r="O78" s="137">
        <f t="shared" si="64"/>
        <v>22100.758093639844</v>
      </c>
      <c r="P78" s="137">
        <f t="shared" si="64"/>
        <v>22327.5089913745</v>
      </c>
      <c r="Q78" s="137">
        <f t="shared" si="64"/>
        <v>23480.243808059666</v>
      </c>
      <c r="R78" s="137">
        <f t="shared" ref="R78:V78" si="65">R79+R80</f>
        <v>25563.908945831245</v>
      </c>
      <c r="S78" s="137">
        <f t="shared" si="65"/>
        <v>26512.696717984447</v>
      </c>
      <c r="T78" s="137">
        <f t="shared" si="65"/>
        <v>27010.983347963771</v>
      </c>
      <c r="U78" s="137">
        <f t="shared" si="65"/>
        <v>26053.47891635049</v>
      </c>
      <c r="V78" s="137">
        <f t="shared" si="65"/>
        <v>22275.626009445936</v>
      </c>
      <c r="W78" s="137">
        <f t="shared" ref="W78:Y78" si="66">W79+W80</f>
        <v>25081.086701654549</v>
      </c>
      <c r="X78" s="137">
        <f t="shared" si="66"/>
        <v>25878.034012094209</v>
      </c>
      <c r="Y78" s="137">
        <f t="shared" si="66"/>
        <v>24035.901647342816</v>
      </c>
      <c r="DA78" s="174" t="s">
        <v>411</v>
      </c>
    </row>
    <row r="79" spans="1:105" ht="11.45" customHeight="1" x14ac:dyDescent="0.25">
      <c r="A79" s="128" t="str">
        <f>$A$19</f>
        <v>Light commercial vehicles</v>
      </c>
      <c r="B79" s="102">
        <f>TrRoad_emi!B$34</f>
        <v>8494.3237707482876</v>
      </c>
      <c r="C79" s="102">
        <f>TrRoad_emi!C$34</f>
        <v>10117.705915225235</v>
      </c>
      <c r="D79" s="102">
        <f>TrRoad_emi!D$34</f>
        <v>9091.116380681744</v>
      </c>
      <c r="E79" s="102">
        <f>TrRoad_emi!E$34</f>
        <v>9547.3879543821931</v>
      </c>
      <c r="F79" s="102">
        <f>TrRoad_emi!F$34</f>
        <v>9621.4858457614737</v>
      </c>
      <c r="G79" s="102">
        <f>TrRoad_emi!G$34</f>
        <v>8715.0020694322338</v>
      </c>
      <c r="H79" s="102">
        <f>TrRoad_emi!H$34</f>
        <v>9075.7104610195474</v>
      </c>
      <c r="I79" s="102">
        <f>TrRoad_emi!I$34</f>
        <v>10008.269757722694</v>
      </c>
      <c r="J79" s="102">
        <f>TrRoad_emi!J$34</f>
        <v>8887.8497903006373</v>
      </c>
      <c r="K79" s="102">
        <f>TrRoad_emi!K$34</f>
        <v>7320.9355811262558</v>
      </c>
      <c r="L79" s="102">
        <f>TrRoad_emi!L$34</f>
        <v>7106.010956539365</v>
      </c>
      <c r="M79" s="102">
        <f>TrRoad_emi!M$34</f>
        <v>6845.3184047987006</v>
      </c>
      <c r="N79" s="102">
        <f>TrRoad_emi!N$34</f>
        <v>6146.8145819210986</v>
      </c>
      <c r="O79" s="102">
        <f>TrRoad_emi!O$34</f>
        <v>6499.4549291967787</v>
      </c>
      <c r="P79" s="102">
        <f>TrRoad_emi!P$34</f>
        <v>6309.1835025051041</v>
      </c>
      <c r="Q79" s="102">
        <f>TrRoad_emi!Q$34</f>
        <v>6525.4818465272756</v>
      </c>
      <c r="R79" s="102">
        <f>TrRoad_emi!R$34</f>
        <v>6219.4934326816146</v>
      </c>
      <c r="S79" s="102">
        <f>TrRoad_emi!S$34</f>
        <v>6627.9162612598375</v>
      </c>
      <c r="T79" s="102">
        <f>TrRoad_emi!T$34</f>
        <v>6632.3532840067828</v>
      </c>
      <c r="U79" s="102">
        <f>TrRoad_emi!U$34</f>
        <v>6664.8298337059559</v>
      </c>
      <c r="V79" s="102">
        <f>TrRoad_emi!V$34</f>
        <v>4370.7970806039402</v>
      </c>
      <c r="W79" s="102">
        <f>TrRoad_emi!W$34</f>
        <v>6396.5273273038483</v>
      </c>
      <c r="X79" s="102">
        <f>TrRoad_emi!X$34</f>
        <v>6933.7752301884439</v>
      </c>
      <c r="Y79" s="102">
        <f>TrRoad_emi!Y$34</f>
        <v>6654.5740467893966</v>
      </c>
      <c r="DA79" s="175" t="s">
        <v>412</v>
      </c>
    </row>
    <row r="80" spans="1:105" ht="11.45" customHeight="1" x14ac:dyDescent="0.25">
      <c r="A80" s="128" t="str">
        <f>$A$20</f>
        <v>Heavy goods vehicles</v>
      </c>
      <c r="B80" s="102">
        <f>TrRoad_emi!B$40</f>
        <v>19819.420700558148</v>
      </c>
      <c r="C80" s="102">
        <f>TrRoad_emi!C$40</f>
        <v>20899.271253286322</v>
      </c>
      <c r="D80" s="102">
        <f>TrRoad_emi!D$40</f>
        <v>22039.938052972379</v>
      </c>
      <c r="E80" s="102">
        <f>TrRoad_emi!E$40</f>
        <v>23322.800461889994</v>
      </c>
      <c r="F80" s="102">
        <f>TrRoad_emi!F$40</f>
        <v>25064.741844578642</v>
      </c>
      <c r="G80" s="102">
        <f>TrRoad_emi!G$40</f>
        <v>26139.125836981861</v>
      </c>
      <c r="H80" s="102">
        <f>TrRoad_emi!H$40</f>
        <v>26635.548169048634</v>
      </c>
      <c r="I80" s="102">
        <f>TrRoad_emi!I$40</f>
        <v>27200.404007121426</v>
      </c>
      <c r="J80" s="102">
        <f>TrRoad_emi!J$40</f>
        <v>24881.858855079092</v>
      </c>
      <c r="K80" s="102">
        <f>TrRoad_emi!K$40</f>
        <v>21271.066924576317</v>
      </c>
      <c r="L80" s="102">
        <f>TrRoad_emi!L$40</f>
        <v>20225.332497833013</v>
      </c>
      <c r="M80" s="102">
        <f>TrRoad_emi!M$40</f>
        <v>18462.661414697588</v>
      </c>
      <c r="N80" s="102">
        <f>TrRoad_emi!N$40</f>
        <v>15212.377493060198</v>
      </c>
      <c r="O80" s="102">
        <f>TrRoad_emi!O$40</f>
        <v>15601.303164443067</v>
      </c>
      <c r="P80" s="102">
        <f>TrRoad_emi!P$40</f>
        <v>16018.325488869395</v>
      </c>
      <c r="Q80" s="102">
        <f>TrRoad_emi!Q$40</f>
        <v>16954.761961532389</v>
      </c>
      <c r="R80" s="102">
        <f>TrRoad_emi!R$40</f>
        <v>19344.41551314963</v>
      </c>
      <c r="S80" s="102">
        <f>TrRoad_emi!S$40</f>
        <v>19884.780456724609</v>
      </c>
      <c r="T80" s="102">
        <f>TrRoad_emi!T$40</f>
        <v>20378.630063956989</v>
      </c>
      <c r="U80" s="102">
        <f>TrRoad_emi!U$40</f>
        <v>19388.649082644533</v>
      </c>
      <c r="V80" s="102">
        <f>TrRoad_emi!V$40</f>
        <v>17904.828928841995</v>
      </c>
      <c r="W80" s="102">
        <f>TrRoad_emi!W$40</f>
        <v>18684.559374350702</v>
      </c>
      <c r="X80" s="102">
        <f>TrRoad_emi!X$40</f>
        <v>18944.258781905766</v>
      </c>
      <c r="Y80" s="102">
        <f>TrRoad_emi!Y$40</f>
        <v>17381.327600553421</v>
      </c>
      <c r="DA80" s="175" t="s">
        <v>413</v>
      </c>
    </row>
    <row r="81" spans="1:105" ht="11.45" customHeight="1" x14ac:dyDescent="0.25">
      <c r="A81" s="109" t="str">
        <f>$A$21</f>
        <v>Rail transport</v>
      </c>
      <c r="B81" s="110">
        <f>TrRail_emi!B$15</f>
        <v>536.06242771301299</v>
      </c>
      <c r="C81" s="110">
        <f>TrRail_emi!C$15</f>
        <v>585.93374624234957</v>
      </c>
      <c r="D81" s="110">
        <f>TrRail_emi!D$15</f>
        <v>518.96708474222623</v>
      </c>
      <c r="E81" s="110">
        <f>TrRail_emi!E$15</f>
        <v>432.05048374832268</v>
      </c>
      <c r="F81" s="110">
        <f>TrRail_emi!F$15</f>
        <v>409.303513755067</v>
      </c>
      <c r="G81" s="110">
        <f>TrRail_emi!G$15</f>
        <v>388.85174189455216</v>
      </c>
      <c r="H81" s="110">
        <f>TrRail_emi!H$15</f>
        <v>458.85466883679055</v>
      </c>
      <c r="I81" s="110">
        <f>TrRail_emi!I$15</f>
        <v>627.9576474907667</v>
      </c>
      <c r="J81" s="110">
        <f>TrRail_emi!J$15</f>
        <v>642.83935456080735</v>
      </c>
      <c r="K81" s="110">
        <f>TrRail_emi!K$15</f>
        <v>616.17177480192436</v>
      </c>
      <c r="L81" s="110">
        <f>TrRail_emi!L$15</f>
        <v>725.6715819576134</v>
      </c>
      <c r="M81" s="110">
        <f>TrRail_emi!M$15</f>
        <v>388.28915270792038</v>
      </c>
      <c r="N81" s="110">
        <f>TrRail_emi!N$15</f>
        <v>405.91556809919149</v>
      </c>
      <c r="O81" s="110">
        <f>TrRail_emi!O$15</f>
        <v>97.807385393933302</v>
      </c>
      <c r="P81" s="110">
        <f>TrRail_emi!P$15</f>
        <v>102.11088517999099</v>
      </c>
      <c r="Q81" s="110">
        <f>TrRail_emi!Q$15</f>
        <v>80.752942715806512</v>
      </c>
      <c r="R81" s="110">
        <f>TrRail_emi!R$15</f>
        <v>62.626160719553333</v>
      </c>
      <c r="S81" s="110">
        <f>TrRail_emi!S$15</f>
        <v>115.08037203917121</v>
      </c>
      <c r="T81" s="110">
        <f>TrRail_emi!T$15</f>
        <v>129.57593879304812</v>
      </c>
      <c r="U81" s="110">
        <f>TrRail_emi!U$15</f>
        <v>151.64972234929724</v>
      </c>
      <c r="V81" s="110">
        <f>TrRail_emi!V$15</f>
        <v>118.63279940465664</v>
      </c>
      <c r="W81" s="110">
        <f>TrRail_emi!W$15</f>
        <v>66.5018814799257</v>
      </c>
      <c r="X81" s="110">
        <f>TrRail_emi!X$15</f>
        <v>68.375686678935551</v>
      </c>
      <c r="Y81" s="110">
        <f>TrRail_emi!Y$15</f>
        <v>55.884780178728064</v>
      </c>
      <c r="DA81" s="176" t="s">
        <v>414</v>
      </c>
    </row>
    <row r="82" spans="1:105" ht="11.45" customHeight="1" x14ac:dyDescent="0.25">
      <c r="A82" s="109" t="str">
        <f>$A$22</f>
        <v>Aviation</v>
      </c>
      <c r="B82" s="110">
        <f t="shared" ref="B82:V82" si="67">B83+B84+B85</f>
        <v>347.96970713825175</v>
      </c>
      <c r="C82" s="110">
        <f t="shared" si="67"/>
        <v>367.02473605047197</v>
      </c>
      <c r="D82" s="110">
        <f t="shared" si="67"/>
        <v>320.49718858577171</v>
      </c>
      <c r="E82" s="110">
        <f t="shared" si="67"/>
        <v>328.79329566340868</v>
      </c>
      <c r="F82" s="110">
        <f t="shared" si="67"/>
        <v>417.22697875456799</v>
      </c>
      <c r="G82" s="110">
        <f t="shared" si="67"/>
        <v>393.52094468759685</v>
      </c>
      <c r="H82" s="110">
        <f t="shared" si="67"/>
        <v>397.87024734441798</v>
      </c>
      <c r="I82" s="110">
        <f t="shared" si="67"/>
        <v>389.53659289929124</v>
      </c>
      <c r="J82" s="110">
        <f t="shared" si="67"/>
        <v>387.61477649093001</v>
      </c>
      <c r="K82" s="110">
        <f t="shared" si="67"/>
        <v>332.12984933247111</v>
      </c>
      <c r="L82" s="110">
        <f t="shared" si="67"/>
        <v>367.39618465137937</v>
      </c>
      <c r="M82" s="110">
        <f t="shared" si="67"/>
        <v>354.85715768469521</v>
      </c>
      <c r="N82" s="110">
        <f t="shared" si="67"/>
        <v>312.60707293996643</v>
      </c>
      <c r="O82" s="110">
        <f t="shared" si="67"/>
        <v>300.99762363977686</v>
      </c>
      <c r="P82" s="110">
        <f t="shared" si="67"/>
        <v>287.12827104406597</v>
      </c>
      <c r="Q82" s="110">
        <f t="shared" si="67"/>
        <v>319.21858799883876</v>
      </c>
      <c r="R82" s="110">
        <f t="shared" si="67"/>
        <v>306.34176129715945</v>
      </c>
      <c r="S82" s="110">
        <f t="shared" si="67"/>
        <v>386.94382295515055</v>
      </c>
      <c r="T82" s="110">
        <f t="shared" si="67"/>
        <v>413.77910009945856</v>
      </c>
      <c r="U82" s="110">
        <f t="shared" si="67"/>
        <v>381.78584139070301</v>
      </c>
      <c r="V82" s="110">
        <f t="shared" si="67"/>
        <v>325.93232193340407</v>
      </c>
      <c r="W82" s="110">
        <f t="shared" ref="W82:Y82" si="68">W83+W84+W85</f>
        <v>346.50236588032743</v>
      </c>
      <c r="X82" s="110">
        <f t="shared" si="68"/>
        <v>360.69265181428591</v>
      </c>
      <c r="Y82" s="110">
        <f t="shared" si="68"/>
        <v>409.74450443073022</v>
      </c>
      <c r="DA82" s="176" t="s">
        <v>331</v>
      </c>
    </row>
    <row r="83" spans="1:105" ht="11.45" customHeight="1" x14ac:dyDescent="0.25">
      <c r="A83" s="128" t="s">
        <v>27</v>
      </c>
      <c r="B83" s="102">
        <f>TrAvia_emi!B$11</f>
        <v>161.47712992163372</v>
      </c>
      <c r="C83" s="102">
        <f>TrAvia_emi!C$11</f>
        <v>166.89984315324014</v>
      </c>
      <c r="D83" s="102">
        <f>TrAvia_emi!D$11</f>
        <v>153.2036826977982</v>
      </c>
      <c r="E83" s="102">
        <f>TrAvia_emi!E$11</f>
        <v>132.78655468247234</v>
      </c>
      <c r="F83" s="102">
        <f>TrAvia_emi!F$11</f>
        <v>178.1259812106924</v>
      </c>
      <c r="G83" s="102">
        <f>TrAvia_emi!G$11</f>
        <v>183.50631668423728</v>
      </c>
      <c r="H83" s="102">
        <f>TrAvia_emi!H$11</f>
        <v>185.26738396554865</v>
      </c>
      <c r="I83" s="102">
        <f>TrAvia_emi!I$11</f>
        <v>177.81809549311507</v>
      </c>
      <c r="J83" s="102">
        <f>TrAvia_emi!J$11</f>
        <v>172.99569080533311</v>
      </c>
      <c r="K83" s="102">
        <f>TrAvia_emi!K$11</f>
        <v>136.51105173834955</v>
      </c>
      <c r="L83" s="102">
        <f>TrAvia_emi!L$11</f>
        <v>142.57930560214359</v>
      </c>
      <c r="M83" s="102">
        <f>TrAvia_emi!M$11</f>
        <v>110.71621537543332</v>
      </c>
      <c r="N83" s="102">
        <f>TrAvia_emi!N$11</f>
        <v>95.696340530907321</v>
      </c>
      <c r="O83" s="102">
        <f>TrAvia_emi!O$11</f>
        <v>88.826744782383216</v>
      </c>
      <c r="P83" s="102">
        <f>TrAvia_emi!P$11</f>
        <v>84.840219827069475</v>
      </c>
      <c r="Q83" s="102">
        <f>TrAvia_emi!Q$11</f>
        <v>82.43973216405243</v>
      </c>
      <c r="R83" s="102">
        <f>TrAvia_emi!R$11</f>
        <v>78.402056488548197</v>
      </c>
      <c r="S83" s="102">
        <f>TrAvia_emi!S$11</f>
        <v>89.319884304986857</v>
      </c>
      <c r="T83" s="102">
        <f>TrAvia_emi!T$11</f>
        <v>79.994358163328926</v>
      </c>
      <c r="U83" s="102">
        <f>TrAvia_emi!U$11</f>
        <v>71.035209376599681</v>
      </c>
      <c r="V83" s="102">
        <f>TrAvia_emi!V$11</f>
        <v>46.652104793119157</v>
      </c>
      <c r="W83" s="102">
        <f>TrAvia_emi!W$11</f>
        <v>59.447462509204897</v>
      </c>
      <c r="X83" s="102">
        <f>TrAvia_emi!X$11</f>
        <v>56.724528610789477</v>
      </c>
      <c r="Y83" s="102">
        <f>TrAvia_emi!Y$11</f>
        <v>53.91142135529514</v>
      </c>
      <c r="DA83" s="175" t="s">
        <v>332</v>
      </c>
    </row>
    <row r="84" spans="1:105" ht="11.45" customHeight="1" x14ac:dyDescent="0.25">
      <c r="A84" s="128" t="str">
        <f>$A$24</f>
        <v>International - Intra-EEAwCHUK</v>
      </c>
      <c r="B84" s="102">
        <f>TrAvia_emi!B$12</f>
        <v>57.816903698179303</v>
      </c>
      <c r="C84" s="102">
        <f>TrAvia_emi!C$12</f>
        <v>60.488248934888219</v>
      </c>
      <c r="D84" s="102">
        <f>TrAvia_emi!D$12</f>
        <v>51.876606979300554</v>
      </c>
      <c r="E84" s="102">
        <f>TrAvia_emi!E$12</f>
        <v>57.776098617643555</v>
      </c>
      <c r="F84" s="102">
        <f>TrAvia_emi!F$12</f>
        <v>70.521901567944269</v>
      </c>
      <c r="G84" s="102">
        <f>TrAvia_emi!G$12</f>
        <v>64.131289996041588</v>
      </c>
      <c r="H84" s="102">
        <f>TrAvia_emi!H$12</f>
        <v>65.815001727400343</v>
      </c>
      <c r="I84" s="102">
        <f>TrAvia_emi!I$12</f>
        <v>55.715406055926479</v>
      </c>
      <c r="J84" s="102">
        <f>TrAvia_emi!J$12</f>
        <v>56.656903221864816</v>
      </c>
      <c r="K84" s="102">
        <f>TrAvia_emi!K$12</f>
        <v>53.26274582336638</v>
      </c>
      <c r="L84" s="102">
        <f>TrAvia_emi!L$12</f>
        <v>53.323105557102252</v>
      </c>
      <c r="M84" s="102">
        <f>TrAvia_emi!M$12</f>
        <v>56.260426750028678</v>
      </c>
      <c r="N84" s="102">
        <f>TrAvia_emi!N$12</f>
        <v>50.019499957618372</v>
      </c>
      <c r="O84" s="102">
        <f>TrAvia_emi!O$12</f>
        <v>49.044471373928509</v>
      </c>
      <c r="P84" s="102">
        <f>TrAvia_emi!P$12</f>
        <v>43.097964148904445</v>
      </c>
      <c r="Q84" s="102">
        <f>TrAvia_emi!Q$12</f>
        <v>47.648845435956375</v>
      </c>
      <c r="R84" s="102">
        <f>TrAvia_emi!R$12</f>
        <v>43.442965482973811</v>
      </c>
      <c r="S84" s="102">
        <f>TrAvia_emi!S$12</f>
        <v>52.513839300917468</v>
      </c>
      <c r="T84" s="102">
        <f>TrAvia_emi!T$12</f>
        <v>53.680376315512987</v>
      </c>
      <c r="U84" s="102">
        <f>TrAvia_emi!U$12</f>
        <v>59.332483423950819</v>
      </c>
      <c r="V84" s="102">
        <f>TrAvia_emi!V$12</f>
        <v>52.766383887668518</v>
      </c>
      <c r="W84" s="102">
        <f>TrAvia_emi!W$12</f>
        <v>53.578766283974176</v>
      </c>
      <c r="X84" s="102">
        <f>TrAvia_emi!X$12</f>
        <v>65.971212308686162</v>
      </c>
      <c r="Y84" s="102">
        <f>TrAvia_emi!Y$12</f>
        <v>63.700845816070711</v>
      </c>
      <c r="DA84" s="175" t="s">
        <v>333</v>
      </c>
    </row>
    <row r="85" spans="1:105" ht="11.45" customHeight="1" x14ac:dyDescent="0.25">
      <c r="A85" s="128" t="str">
        <f>$A$25</f>
        <v>International - Extra-EEAwCHUK</v>
      </c>
      <c r="B85" s="102">
        <f>TrAvia_emi!B$13</f>
        <v>128.67567351843871</v>
      </c>
      <c r="C85" s="102">
        <f>TrAvia_emi!C$13</f>
        <v>139.63664396234361</v>
      </c>
      <c r="D85" s="102">
        <f>TrAvia_emi!D$13</f>
        <v>115.41689890867298</v>
      </c>
      <c r="E85" s="102">
        <f>TrAvia_emi!E$13</f>
        <v>138.23064236329276</v>
      </c>
      <c r="F85" s="102">
        <f>TrAvia_emi!F$13</f>
        <v>168.57909597593132</v>
      </c>
      <c r="G85" s="102">
        <f>TrAvia_emi!G$13</f>
        <v>145.88333800731803</v>
      </c>
      <c r="H85" s="102">
        <f>TrAvia_emi!H$13</f>
        <v>146.78786165146894</v>
      </c>
      <c r="I85" s="102">
        <f>TrAvia_emi!I$13</f>
        <v>156.00309135024972</v>
      </c>
      <c r="J85" s="102">
        <f>TrAvia_emi!J$13</f>
        <v>157.96218246373212</v>
      </c>
      <c r="K85" s="102">
        <f>TrAvia_emi!K$13</f>
        <v>142.35605177075519</v>
      </c>
      <c r="L85" s="102">
        <f>TrAvia_emi!L$13</f>
        <v>171.49377349213356</v>
      </c>
      <c r="M85" s="102">
        <f>TrAvia_emi!M$13</f>
        <v>187.8805155592332</v>
      </c>
      <c r="N85" s="102">
        <f>TrAvia_emi!N$13</f>
        <v>166.89123245144074</v>
      </c>
      <c r="O85" s="102">
        <f>TrAvia_emi!O$13</f>
        <v>163.12640748346513</v>
      </c>
      <c r="P85" s="102">
        <f>TrAvia_emi!P$13</f>
        <v>159.19008706809208</v>
      </c>
      <c r="Q85" s="102">
        <f>TrAvia_emi!Q$13</f>
        <v>189.13001039882997</v>
      </c>
      <c r="R85" s="102">
        <f>TrAvia_emi!R$13</f>
        <v>184.49673932563741</v>
      </c>
      <c r="S85" s="102">
        <f>TrAvia_emi!S$13</f>
        <v>245.11009934924624</v>
      </c>
      <c r="T85" s="102">
        <f>TrAvia_emi!T$13</f>
        <v>280.10436562061665</v>
      </c>
      <c r="U85" s="102">
        <f>TrAvia_emi!U$13</f>
        <v>251.4181485901525</v>
      </c>
      <c r="V85" s="102">
        <f>TrAvia_emi!V$13</f>
        <v>226.51383325261639</v>
      </c>
      <c r="W85" s="102">
        <f>TrAvia_emi!W$13</f>
        <v>233.47613708714837</v>
      </c>
      <c r="X85" s="102">
        <f>TrAvia_emi!X$13</f>
        <v>237.99691089481024</v>
      </c>
      <c r="Y85" s="102">
        <f>TrAvia_emi!Y$13</f>
        <v>292.13223725936433</v>
      </c>
      <c r="DA85" s="175" t="s">
        <v>334</v>
      </c>
    </row>
    <row r="86" spans="1:105" ht="11.45" customHeight="1" x14ac:dyDescent="0.25">
      <c r="A86" s="109" t="s">
        <v>141</v>
      </c>
      <c r="B86" s="110">
        <f t="shared" ref="B86:Q86" si="69">B87+B88</f>
        <v>4371.1752567599997</v>
      </c>
      <c r="C86" s="110">
        <f t="shared" si="69"/>
        <v>4352.3540395200016</v>
      </c>
      <c r="D86" s="110">
        <f t="shared" si="69"/>
        <v>4379.1914379599984</v>
      </c>
      <c r="E86" s="110">
        <f t="shared" si="69"/>
        <v>4899.4303226399988</v>
      </c>
      <c r="F86" s="110">
        <f t="shared" si="69"/>
        <v>5050.7058891600009</v>
      </c>
      <c r="G86" s="110">
        <f t="shared" si="69"/>
        <v>4847.6910013200013</v>
      </c>
      <c r="H86" s="110">
        <f t="shared" si="69"/>
        <v>5292.3538814399999</v>
      </c>
      <c r="I86" s="110">
        <f t="shared" si="69"/>
        <v>4589.9619256800015</v>
      </c>
      <c r="J86" s="110">
        <f t="shared" si="69"/>
        <v>4158.523829159999</v>
      </c>
      <c r="K86" s="110">
        <f t="shared" si="69"/>
        <v>3449.4033005999995</v>
      </c>
      <c r="L86" s="110">
        <f t="shared" si="69"/>
        <v>3306.0377124000001</v>
      </c>
      <c r="M86" s="110">
        <f t="shared" si="69"/>
        <v>2594.4842721600003</v>
      </c>
      <c r="N86" s="110">
        <f t="shared" si="69"/>
        <v>2689.2010799999998</v>
      </c>
      <c r="O86" s="110">
        <f t="shared" si="69"/>
        <v>1588.7407154399998</v>
      </c>
      <c r="P86" s="110">
        <f t="shared" si="69"/>
        <v>1027.1984382000001</v>
      </c>
      <c r="Q86" s="110">
        <f t="shared" si="69"/>
        <v>1401.7579232400001</v>
      </c>
      <c r="R86" s="110">
        <f t="shared" ref="R86:V86" si="70">R87+R88</f>
        <v>1977.6112826400006</v>
      </c>
      <c r="S86" s="110">
        <f t="shared" si="70"/>
        <v>3038.2028683200001</v>
      </c>
      <c r="T86" s="110">
        <f t="shared" si="70"/>
        <v>3140.16440904</v>
      </c>
      <c r="U86" s="110">
        <f t="shared" si="70"/>
        <v>3294.96948144</v>
      </c>
      <c r="V86" s="110">
        <f t="shared" si="70"/>
        <v>2537.4143678399996</v>
      </c>
      <c r="W86" s="110">
        <f t="shared" ref="W86:Y86" si="71">W87+W88</f>
        <v>2869.6060177199997</v>
      </c>
      <c r="X86" s="110">
        <f t="shared" si="71"/>
        <v>3475.3143970799997</v>
      </c>
      <c r="Y86" s="110">
        <f t="shared" si="71"/>
        <v>2845.3058017199992</v>
      </c>
      <c r="DA86" s="176" t="s">
        <v>996</v>
      </c>
    </row>
    <row r="87" spans="1:105" ht="11.45" customHeight="1" x14ac:dyDescent="0.25">
      <c r="A87" s="128" t="str">
        <f>$A$27</f>
        <v>Domestic coastal shipping</v>
      </c>
      <c r="B87" s="102">
        <f>TrNavi_emi!B$4</f>
        <v>4371.1752567599997</v>
      </c>
      <c r="C87" s="102">
        <f>TrNavi_emi!C$4</f>
        <v>4352.3540395200016</v>
      </c>
      <c r="D87" s="102">
        <f>TrNavi_emi!D$4</f>
        <v>4379.1914379599984</v>
      </c>
      <c r="E87" s="102">
        <f>TrNavi_emi!E$4</f>
        <v>4899.4303226399988</v>
      </c>
      <c r="F87" s="102">
        <f>TrNavi_emi!F$4</f>
        <v>5050.7058891600009</v>
      </c>
      <c r="G87" s="102">
        <f>TrNavi_emi!G$4</f>
        <v>4847.6910013200013</v>
      </c>
      <c r="H87" s="102">
        <f>TrNavi_emi!H$4</f>
        <v>5292.3538814399999</v>
      </c>
      <c r="I87" s="102">
        <f>TrNavi_emi!I$4</f>
        <v>4589.9619256800015</v>
      </c>
      <c r="J87" s="102">
        <f>TrNavi_emi!J$4</f>
        <v>4158.523829159999</v>
      </c>
      <c r="K87" s="102">
        <f>TrNavi_emi!K$4</f>
        <v>3449.4033005999995</v>
      </c>
      <c r="L87" s="102">
        <f>TrNavi_emi!L$4</f>
        <v>3306.0377124000001</v>
      </c>
      <c r="M87" s="102">
        <f>TrNavi_emi!M$4</f>
        <v>2594.4842721600003</v>
      </c>
      <c r="N87" s="102">
        <f>TrNavi_emi!N$4</f>
        <v>2689.2010799999998</v>
      </c>
      <c r="O87" s="102">
        <f>TrNavi_emi!O$4</f>
        <v>1588.7407154399998</v>
      </c>
      <c r="P87" s="102">
        <f>TrNavi_emi!P$4</f>
        <v>1027.1984382000001</v>
      </c>
      <c r="Q87" s="102">
        <f>TrNavi_emi!Q$4</f>
        <v>1401.7579232400001</v>
      </c>
      <c r="R87" s="102">
        <f>TrNavi_emi!R$4</f>
        <v>1977.6112826400006</v>
      </c>
      <c r="S87" s="102">
        <f>TrNavi_emi!S$4</f>
        <v>3038.2028683200001</v>
      </c>
      <c r="T87" s="102">
        <f>TrNavi_emi!T$4</f>
        <v>3140.16440904</v>
      </c>
      <c r="U87" s="102">
        <f>TrNavi_emi!U$4</f>
        <v>3294.96948144</v>
      </c>
      <c r="V87" s="102">
        <f>TrNavi_emi!V$4</f>
        <v>2537.4143678399996</v>
      </c>
      <c r="W87" s="102">
        <f>TrNavi_emi!W$4</f>
        <v>2869.6060177199997</v>
      </c>
      <c r="X87" s="102">
        <f>TrNavi_emi!X$4</f>
        <v>3475.3143970799997</v>
      </c>
      <c r="Y87" s="102">
        <f>TrNavi_emi!Y$4</f>
        <v>2845.3058017199992</v>
      </c>
      <c r="DA87" s="175" t="s">
        <v>997</v>
      </c>
    </row>
    <row r="88" spans="1:105" ht="11.45" customHeight="1" x14ac:dyDescent="0.25">
      <c r="A88" s="166" t="str">
        <f>$A$28</f>
        <v>Inland waterways</v>
      </c>
      <c r="B88" s="169">
        <f>TrNavi_emi!B$5</f>
        <v>0</v>
      </c>
      <c r="C88" s="169">
        <f>TrNavi_emi!C$5</f>
        <v>0</v>
      </c>
      <c r="D88" s="169">
        <f>TrNavi_emi!D$5</f>
        <v>0</v>
      </c>
      <c r="E88" s="169">
        <f>TrNavi_emi!E$5</f>
        <v>0</v>
      </c>
      <c r="F88" s="169">
        <f>TrNavi_emi!F$5</f>
        <v>0</v>
      </c>
      <c r="G88" s="169">
        <f>TrNavi_emi!G$5</f>
        <v>0</v>
      </c>
      <c r="H88" s="169">
        <f>TrNavi_emi!H$5</f>
        <v>0</v>
      </c>
      <c r="I88" s="169">
        <f>TrNavi_emi!I$5</f>
        <v>0</v>
      </c>
      <c r="J88" s="169">
        <f>TrNavi_emi!J$5</f>
        <v>0</v>
      </c>
      <c r="K88" s="169">
        <f>TrNavi_emi!K$5</f>
        <v>0</v>
      </c>
      <c r="L88" s="169">
        <f>TrNavi_emi!L$5</f>
        <v>0</v>
      </c>
      <c r="M88" s="169">
        <f>TrNavi_emi!M$5</f>
        <v>0</v>
      </c>
      <c r="N88" s="169">
        <f>TrNavi_emi!N$5</f>
        <v>0</v>
      </c>
      <c r="O88" s="169">
        <f>TrNavi_emi!O$5</f>
        <v>0</v>
      </c>
      <c r="P88" s="169">
        <f>TrNavi_emi!P$5</f>
        <v>0</v>
      </c>
      <c r="Q88" s="169">
        <f>TrNavi_emi!Q$5</f>
        <v>0</v>
      </c>
      <c r="R88" s="169">
        <f>TrNavi_emi!R$5</f>
        <v>0</v>
      </c>
      <c r="S88" s="169">
        <f>TrNavi_emi!S$5</f>
        <v>0</v>
      </c>
      <c r="T88" s="169">
        <f>TrNavi_emi!T$5</f>
        <v>0</v>
      </c>
      <c r="U88" s="169">
        <f>TrNavi_emi!U$5</f>
        <v>0</v>
      </c>
      <c r="V88" s="169">
        <f>TrNavi_emi!V$5</f>
        <v>0</v>
      </c>
      <c r="W88" s="169">
        <f>TrNavi_emi!W$5</f>
        <v>0</v>
      </c>
      <c r="X88" s="169">
        <f>TrNavi_emi!X$5</f>
        <v>0</v>
      </c>
      <c r="Y88" s="169">
        <f>TrNavi_emi!Y$5</f>
        <v>0</v>
      </c>
      <c r="DA88" s="177" t="s">
        <v>998</v>
      </c>
    </row>
    <row r="89" spans="1:105" ht="11.45" customHeight="1" x14ac:dyDescent="0.25">
      <c r="A89" s="27" t="s">
        <v>169</v>
      </c>
      <c r="B89" s="28">
        <f t="shared" ref="B89:W89" si="72">B90+B91</f>
        <v>19355.958993240001</v>
      </c>
      <c r="C89" s="28">
        <f t="shared" si="72"/>
        <v>21670.667130599999</v>
      </c>
      <c r="D89" s="28">
        <f t="shared" si="72"/>
        <v>22127.662020960001</v>
      </c>
      <c r="E89" s="28">
        <f t="shared" si="72"/>
        <v>22540.610042999993</v>
      </c>
      <c r="F89" s="28">
        <f t="shared" si="72"/>
        <v>23251.343281560003</v>
      </c>
      <c r="G89" s="28">
        <f t="shared" si="72"/>
        <v>25516.058633640001</v>
      </c>
      <c r="H89" s="28">
        <f t="shared" si="72"/>
        <v>26642.252313000005</v>
      </c>
      <c r="I89" s="28">
        <f t="shared" si="72"/>
        <v>27262.353237120002</v>
      </c>
      <c r="J89" s="28">
        <f t="shared" si="72"/>
        <v>28263.568353479994</v>
      </c>
      <c r="K89" s="28">
        <f t="shared" si="72"/>
        <v>28086.262648560001</v>
      </c>
      <c r="L89" s="28">
        <f t="shared" si="72"/>
        <v>27071.02772568</v>
      </c>
      <c r="M89" s="28">
        <f t="shared" si="72"/>
        <v>27693.119880000006</v>
      </c>
      <c r="N89" s="28">
        <f t="shared" si="72"/>
        <v>27049.564682639997</v>
      </c>
      <c r="O89" s="28">
        <f t="shared" si="72"/>
        <v>23243.894281439992</v>
      </c>
      <c r="P89" s="28">
        <f t="shared" si="72"/>
        <v>25133.020709399992</v>
      </c>
      <c r="Q89" s="28">
        <f t="shared" si="72"/>
        <v>24027.628148279997</v>
      </c>
      <c r="R89" s="28">
        <f t="shared" si="72"/>
        <v>24157.654594920001</v>
      </c>
      <c r="S89" s="28">
        <f t="shared" si="72"/>
        <v>21471.848164720599</v>
      </c>
      <c r="T89" s="28">
        <f t="shared" si="72"/>
        <v>22514.293651194792</v>
      </c>
      <c r="U89" s="28">
        <f t="shared" si="72"/>
        <v>23026.925115292652</v>
      </c>
      <c r="V89" s="28">
        <f t="shared" si="72"/>
        <v>20299.072692943941</v>
      </c>
      <c r="W89" s="28">
        <f t="shared" si="72"/>
        <v>23257.12802001656</v>
      </c>
      <c r="X89" s="28">
        <f t="shared" ref="X89:Y89" si="73">X90+X91</f>
        <v>27545.067139687471</v>
      </c>
      <c r="Y89" s="28">
        <f t="shared" si="73"/>
        <v>26694.176601406256</v>
      </c>
      <c r="DA89" s="173" t="s">
        <v>959</v>
      </c>
    </row>
    <row r="90" spans="1:105" ht="11.45" customHeight="1" x14ac:dyDescent="0.25">
      <c r="A90" s="128" t="str">
        <f>$A$30</f>
        <v>Intra-EEA</v>
      </c>
      <c r="B90" s="102">
        <f>MBunk_emi!B$4</f>
        <v>7024.2258816912545</v>
      </c>
      <c r="C90" s="102">
        <f>MBunk_emi!C$4</f>
        <v>7715.8090382581458</v>
      </c>
      <c r="D90" s="102">
        <f>MBunk_emi!D$4</f>
        <v>7776.8509914194547</v>
      </c>
      <c r="E90" s="102">
        <f>MBunk_emi!E$4</f>
        <v>7874.950721523267</v>
      </c>
      <c r="F90" s="102">
        <f>MBunk_emi!F$4</f>
        <v>8150.6789729767124</v>
      </c>
      <c r="G90" s="102">
        <f>MBunk_emi!G$4</f>
        <v>8761.456115309471</v>
      </c>
      <c r="H90" s="102">
        <f>MBunk_emi!H$4</f>
        <v>8617.0460591963219</v>
      </c>
      <c r="I90" s="102">
        <f>MBunk_emi!I$4</f>
        <v>8385.7443614262593</v>
      </c>
      <c r="J90" s="102">
        <f>MBunk_emi!J$4</f>
        <v>8648.1744984915167</v>
      </c>
      <c r="K90" s="102">
        <f>MBunk_emi!K$4</f>
        <v>9321.3419877832457</v>
      </c>
      <c r="L90" s="102">
        <f>MBunk_emi!L$4</f>
        <v>8996.0568333962583</v>
      </c>
      <c r="M90" s="102">
        <f>MBunk_emi!M$4</f>
        <v>8890.1089526463984</v>
      </c>
      <c r="N90" s="102">
        <f>MBunk_emi!N$4</f>
        <v>8518.7662306671664</v>
      </c>
      <c r="O90" s="102">
        <f>MBunk_emi!O$4</f>
        <v>7685.4819372447155</v>
      </c>
      <c r="P90" s="102">
        <f>MBunk_emi!P$4</f>
        <v>8633.7209810555123</v>
      </c>
      <c r="Q90" s="102">
        <f>MBunk_emi!Q$4</f>
        <v>8311.2110418946177</v>
      </c>
      <c r="R90" s="102">
        <f>MBunk_emi!R$4</f>
        <v>8529.3965833708153</v>
      </c>
      <c r="S90" s="102">
        <f>MBunk_emi!S$4</f>
        <v>7404.5627861458406</v>
      </c>
      <c r="T90" s="102">
        <f>MBunk_emi!T$4</f>
        <v>7848.2781853336537</v>
      </c>
      <c r="U90" s="102">
        <f>MBunk_emi!U$4</f>
        <v>8095.8065564412473</v>
      </c>
      <c r="V90" s="102">
        <f>MBunk_emi!V$4</f>
        <v>6533.3188724199708</v>
      </c>
      <c r="W90" s="102">
        <f>MBunk_emi!W$4</f>
        <v>7826.3101583100661</v>
      </c>
      <c r="X90" s="102">
        <f>MBunk_emi!X$4</f>
        <v>9912.8833920588731</v>
      </c>
      <c r="Y90" s="102">
        <f>MBunk_emi!Y$4</f>
        <v>9823.642301762975</v>
      </c>
      <c r="DA90" s="175" t="s">
        <v>960</v>
      </c>
    </row>
    <row r="91" spans="1:105" ht="11.45" customHeight="1" x14ac:dyDescent="0.25">
      <c r="A91" s="138" t="str">
        <f>$A$31</f>
        <v>Extra-EEA</v>
      </c>
      <c r="B91" s="86">
        <f>MBunk_emi!B$5</f>
        <v>12331.733111548747</v>
      </c>
      <c r="C91" s="86">
        <f>MBunk_emi!C$5</f>
        <v>13954.858092341852</v>
      </c>
      <c r="D91" s="86">
        <f>MBunk_emi!D$5</f>
        <v>14350.811029540548</v>
      </c>
      <c r="E91" s="86">
        <f>MBunk_emi!E$5</f>
        <v>14665.659321476727</v>
      </c>
      <c r="F91" s="86">
        <f>MBunk_emi!F$5</f>
        <v>15100.664308583291</v>
      </c>
      <c r="G91" s="86">
        <f>MBunk_emi!G$5</f>
        <v>16754.602518330528</v>
      </c>
      <c r="H91" s="86">
        <f>MBunk_emi!H$5</f>
        <v>18025.206253803684</v>
      </c>
      <c r="I91" s="86">
        <f>MBunk_emi!I$5</f>
        <v>18876.608875693742</v>
      </c>
      <c r="J91" s="86">
        <f>MBunk_emi!J$5</f>
        <v>19615.393854988477</v>
      </c>
      <c r="K91" s="86">
        <f>MBunk_emi!K$5</f>
        <v>18764.920660776756</v>
      </c>
      <c r="L91" s="86">
        <f>MBunk_emi!L$5</f>
        <v>18074.970892283742</v>
      </c>
      <c r="M91" s="86">
        <f>MBunk_emi!M$5</f>
        <v>18803.010927353607</v>
      </c>
      <c r="N91" s="86">
        <f>MBunk_emi!N$5</f>
        <v>18530.798451972831</v>
      </c>
      <c r="O91" s="86">
        <f>MBunk_emi!O$5</f>
        <v>15558.412344195276</v>
      </c>
      <c r="P91" s="86">
        <f>MBunk_emi!P$5</f>
        <v>16499.299728344482</v>
      </c>
      <c r="Q91" s="86">
        <f>MBunk_emi!Q$5</f>
        <v>15716.417106385381</v>
      </c>
      <c r="R91" s="86">
        <f>MBunk_emi!R$5</f>
        <v>15628.258011549186</v>
      </c>
      <c r="S91" s="86">
        <f>MBunk_emi!S$5</f>
        <v>14067.285378574759</v>
      </c>
      <c r="T91" s="86">
        <f>MBunk_emi!T$5</f>
        <v>14666.015465861137</v>
      </c>
      <c r="U91" s="86">
        <f>MBunk_emi!U$5</f>
        <v>14931.118558851404</v>
      </c>
      <c r="V91" s="86">
        <f>MBunk_emi!V$5</f>
        <v>13765.753820523969</v>
      </c>
      <c r="W91" s="86">
        <f>MBunk_emi!W$5</f>
        <v>15430.817861706495</v>
      </c>
      <c r="X91" s="86">
        <f>MBunk_emi!X$5</f>
        <v>17632.183747628598</v>
      </c>
      <c r="Y91" s="86">
        <f>MBunk_emi!Y$5</f>
        <v>16870.534299643281</v>
      </c>
      <c r="DA91" s="178" t="s">
        <v>961</v>
      </c>
    </row>
    <row r="92" spans="1:105" x14ac:dyDescent="0.25">
      <c r="A92" s="106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DA92" s="171"/>
    </row>
    <row r="93" spans="1:105" ht="11.45" customHeight="1" x14ac:dyDescent="0.25">
      <c r="A93" s="68" t="s">
        <v>36</v>
      </c>
      <c r="B93" s="69"/>
      <c r="C93" s="69"/>
      <c r="D93" s="69"/>
      <c r="E93" s="69"/>
      <c r="F93" s="69"/>
      <c r="G93" s="69"/>
      <c r="H93" s="69"/>
      <c r="I93" s="69"/>
      <c r="J93" s="69"/>
      <c r="K93" s="69"/>
      <c r="L93" s="69"/>
      <c r="M93" s="69"/>
      <c r="N93" s="69"/>
      <c r="O93" s="69"/>
      <c r="P93" s="69"/>
      <c r="Q93" s="69"/>
      <c r="R93" s="69"/>
      <c r="S93" s="69"/>
      <c r="T93" s="69"/>
      <c r="U93" s="69"/>
      <c r="V93" s="69"/>
      <c r="W93" s="69"/>
      <c r="X93" s="69"/>
      <c r="Y93" s="69"/>
      <c r="DA93" s="179"/>
    </row>
    <row r="94" spans="1:105" x14ac:dyDescent="0.25">
      <c r="A94" s="106"/>
      <c r="B94" s="106"/>
      <c r="C94" s="106"/>
      <c r="D94" s="106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X94" s="106"/>
      <c r="Y94" s="106"/>
      <c r="DA94" s="171"/>
    </row>
    <row r="95" spans="1:105" ht="11.45" customHeight="1" x14ac:dyDescent="0.25">
      <c r="A95" s="53" t="s">
        <v>37</v>
      </c>
      <c r="B95" s="65"/>
      <c r="C95" s="65"/>
      <c r="D95" s="65"/>
      <c r="E95" s="65"/>
      <c r="F95" s="65"/>
      <c r="G95" s="65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X95" s="65"/>
      <c r="Y95" s="65"/>
      <c r="DA95" s="172"/>
    </row>
    <row r="96" spans="1:105" ht="11.45" customHeight="1" x14ac:dyDescent="0.25">
      <c r="A96" s="27" t="s">
        <v>38</v>
      </c>
      <c r="B96" s="31">
        <f t="shared" ref="B96:Y96" si="74">IF(B4=0,0,B4/B$4)</f>
        <v>1</v>
      </c>
      <c r="C96" s="31">
        <f t="shared" si="74"/>
        <v>1</v>
      </c>
      <c r="D96" s="31">
        <f t="shared" si="74"/>
        <v>1</v>
      </c>
      <c r="E96" s="31">
        <f t="shared" si="74"/>
        <v>1</v>
      </c>
      <c r="F96" s="31">
        <f t="shared" si="74"/>
        <v>1</v>
      </c>
      <c r="G96" s="31">
        <f t="shared" si="74"/>
        <v>1</v>
      </c>
      <c r="H96" s="31">
        <f t="shared" si="74"/>
        <v>1</v>
      </c>
      <c r="I96" s="31">
        <f t="shared" si="74"/>
        <v>1</v>
      </c>
      <c r="J96" s="31">
        <f t="shared" si="74"/>
        <v>1</v>
      </c>
      <c r="K96" s="31">
        <f t="shared" si="74"/>
        <v>1</v>
      </c>
      <c r="L96" s="31">
        <f t="shared" si="74"/>
        <v>1</v>
      </c>
      <c r="M96" s="31">
        <f t="shared" si="74"/>
        <v>1</v>
      </c>
      <c r="N96" s="31">
        <f t="shared" si="74"/>
        <v>1</v>
      </c>
      <c r="O96" s="31">
        <f t="shared" si="74"/>
        <v>1</v>
      </c>
      <c r="P96" s="31">
        <f t="shared" si="74"/>
        <v>1</v>
      </c>
      <c r="Q96" s="31">
        <f t="shared" si="74"/>
        <v>1</v>
      </c>
      <c r="R96" s="31">
        <f t="shared" si="74"/>
        <v>1</v>
      </c>
      <c r="S96" s="31">
        <f t="shared" si="74"/>
        <v>1</v>
      </c>
      <c r="T96" s="31">
        <f t="shared" si="74"/>
        <v>1</v>
      </c>
      <c r="U96" s="31">
        <f t="shared" si="74"/>
        <v>1</v>
      </c>
      <c r="V96" s="31">
        <f t="shared" si="74"/>
        <v>1</v>
      </c>
      <c r="W96" s="31">
        <f t="shared" si="74"/>
        <v>1</v>
      </c>
      <c r="X96" s="31">
        <f t="shared" si="74"/>
        <v>1</v>
      </c>
      <c r="Y96" s="31">
        <f t="shared" si="74"/>
        <v>1</v>
      </c>
      <c r="DA96" s="173"/>
    </row>
    <row r="97" spans="1:105" ht="11.45" customHeight="1" x14ac:dyDescent="0.25">
      <c r="A97" s="136" t="str">
        <f>$A$5</f>
        <v>Road transport</v>
      </c>
      <c r="B97" s="139">
        <f t="shared" ref="B97:Y97" si="75">IF(B5=0,0,B5/B$4)</f>
        <v>0.69261663678452934</v>
      </c>
      <c r="C97" s="139">
        <f t="shared" si="75"/>
        <v>0.70585766069334366</v>
      </c>
      <c r="D97" s="139">
        <f t="shared" si="75"/>
        <v>0.7111464141943884</v>
      </c>
      <c r="E97" s="139">
        <f t="shared" si="75"/>
        <v>0.7088663287259358</v>
      </c>
      <c r="F97" s="139">
        <f t="shared" si="75"/>
        <v>0.6993208735899904</v>
      </c>
      <c r="G97" s="139">
        <f t="shared" si="75"/>
        <v>0.71533689724150828</v>
      </c>
      <c r="H97" s="139">
        <f t="shared" si="75"/>
        <v>0.70665151854264741</v>
      </c>
      <c r="I97" s="139">
        <f t="shared" si="75"/>
        <v>0.70479202952787301</v>
      </c>
      <c r="J97" s="139">
        <f t="shared" si="75"/>
        <v>0.70202030217779954</v>
      </c>
      <c r="K97" s="139">
        <f t="shared" si="75"/>
        <v>0.71845139763763388</v>
      </c>
      <c r="L97" s="139">
        <f t="shared" si="75"/>
        <v>0.70080301754749064</v>
      </c>
      <c r="M97" s="139">
        <f t="shared" si="75"/>
        <v>0.68404303822670898</v>
      </c>
      <c r="N97" s="139">
        <f t="shared" si="75"/>
        <v>0.68143444063555669</v>
      </c>
      <c r="O97" s="139">
        <f t="shared" si="75"/>
        <v>0.67739506769716007</v>
      </c>
      <c r="P97" s="139">
        <f t="shared" si="75"/>
        <v>0.6505696939805502</v>
      </c>
      <c r="Q97" s="139">
        <f t="shared" si="75"/>
        <v>0.65599242467383534</v>
      </c>
      <c r="R97" s="139">
        <f t="shared" si="75"/>
        <v>0.64321607507197009</v>
      </c>
      <c r="S97" s="139">
        <f t="shared" si="75"/>
        <v>0.60892931485510571</v>
      </c>
      <c r="T97" s="139">
        <f t="shared" si="75"/>
        <v>0.60283108650632811</v>
      </c>
      <c r="U97" s="139">
        <f t="shared" si="75"/>
        <v>0.59734793662438745</v>
      </c>
      <c r="V97" s="139">
        <f t="shared" si="75"/>
        <v>0.79691233271624251</v>
      </c>
      <c r="W97" s="139">
        <f t="shared" si="75"/>
        <v>0.77047283296773428</v>
      </c>
      <c r="X97" s="139">
        <f t="shared" si="75"/>
        <v>0.63118108086262825</v>
      </c>
      <c r="Y97" s="139">
        <f t="shared" si="75"/>
        <v>0.59463762455106572</v>
      </c>
      <c r="DA97" s="174"/>
    </row>
    <row r="98" spans="1:105" ht="11.45" customHeight="1" x14ac:dyDescent="0.25">
      <c r="A98" s="128" t="str">
        <f>$A$6</f>
        <v>Powered two-wheelers</v>
      </c>
      <c r="B98" s="140">
        <f t="shared" ref="B98:Y98" si="76">IF(B6=0,0,B6/B$4)</f>
        <v>2.0277512309769589E-2</v>
      </c>
      <c r="C98" s="140">
        <f t="shared" si="76"/>
        <v>2.1526495945537575E-2</v>
      </c>
      <c r="D98" s="140">
        <f t="shared" si="76"/>
        <v>1.9901671663776006E-2</v>
      </c>
      <c r="E98" s="140">
        <f t="shared" si="76"/>
        <v>2.2181724186366485E-2</v>
      </c>
      <c r="F98" s="140">
        <f t="shared" si="76"/>
        <v>2.0371670359335025E-2</v>
      </c>
      <c r="G98" s="140">
        <f t="shared" si="76"/>
        <v>2.0784533212088528E-2</v>
      </c>
      <c r="H98" s="140">
        <f t="shared" si="76"/>
        <v>2.0990502340864373E-2</v>
      </c>
      <c r="I98" s="140">
        <f t="shared" si="76"/>
        <v>2.2815037383953043E-2</v>
      </c>
      <c r="J98" s="140">
        <f t="shared" si="76"/>
        <v>2.2612286860069712E-2</v>
      </c>
      <c r="K98" s="140">
        <f t="shared" si="76"/>
        <v>2.4028289758842882E-2</v>
      </c>
      <c r="L98" s="140">
        <f t="shared" si="76"/>
        <v>2.4798715084205909E-2</v>
      </c>
      <c r="M98" s="140">
        <f t="shared" si="76"/>
        <v>2.2535269532856134E-2</v>
      </c>
      <c r="N98" s="140">
        <f t="shared" si="76"/>
        <v>2.2034164799473434E-2</v>
      </c>
      <c r="O98" s="140">
        <f t="shared" si="76"/>
        <v>2.193318240825002E-2</v>
      </c>
      <c r="P98" s="140">
        <f t="shared" si="76"/>
        <v>2.5371433603563292E-2</v>
      </c>
      <c r="Q98" s="140">
        <f t="shared" si="76"/>
        <v>2.6320122952308424E-2</v>
      </c>
      <c r="R98" s="140">
        <f t="shared" si="76"/>
        <v>2.5259539881735151E-2</v>
      </c>
      <c r="S98" s="140">
        <f t="shared" si="76"/>
        <v>2.4316012263772616E-2</v>
      </c>
      <c r="T98" s="140">
        <f t="shared" si="76"/>
        <v>2.2381319605581908E-2</v>
      </c>
      <c r="U98" s="140">
        <f t="shared" si="76"/>
        <v>2.3814998960158384E-2</v>
      </c>
      <c r="V98" s="140">
        <f t="shared" si="76"/>
        <v>3.7202285593382581E-2</v>
      </c>
      <c r="W98" s="140">
        <f t="shared" si="76"/>
        <v>3.0960858777078819E-2</v>
      </c>
      <c r="X98" s="140">
        <f t="shared" si="76"/>
        <v>2.3266609463817561E-2</v>
      </c>
      <c r="Y98" s="140">
        <f t="shared" si="76"/>
        <v>2.2884025106185455E-2</v>
      </c>
      <c r="DA98" s="175"/>
    </row>
    <row r="99" spans="1:105" ht="11.45" customHeight="1" x14ac:dyDescent="0.25">
      <c r="A99" s="128" t="str">
        <f>$A$7</f>
        <v>Passenger cars</v>
      </c>
      <c r="B99" s="140">
        <f t="shared" ref="B99:Y99" si="77">IF(B7=0,0,B7/B$4)</f>
        <v>0.57654734150520848</v>
      </c>
      <c r="C99" s="140">
        <f t="shared" si="77"/>
        <v>0.58593978274323355</v>
      </c>
      <c r="D99" s="140">
        <f t="shared" si="77"/>
        <v>0.59646707162286827</v>
      </c>
      <c r="E99" s="140">
        <f t="shared" si="77"/>
        <v>0.59563719427115724</v>
      </c>
      <c r="F99" s="140">
        <f t="shared" si="77"/>
        <v>0.58434405138312673</v>
      </c>
      <c r="G99" s="140">
        <f t="shared" si="77"/>
        <v>0.61169943358599033</v>
      </c>
      <c r="H99" s="140">
        <f t="shared" si="77"/>
        <v>0.60904502931831761</v>
      </c>
      <c r="I99" s="140">
        <f t="shared" si="77"/>
        <v>0.59506659380723914</v>
      </c>
      <c r="J99" s="140">
        <f t="shared" si="77"/>
        <v>0.59071849372137952</v>
      </c>
      <c r="K99" s="140">
        <f t="shared" si="77"/>
        <v>0.60964354867896675</v>
      </c>
      <c r="L99" s="140">
        <f t="shared" si="77"/>
        <v>0.59889243964922001</v>
      </c>
      <c r="M99" s="140">
        <f t="shared" si="77"/>
        <v>0.57909963634803607</v>
      </c>
      <c r="N99" s="140">
        <f t="shared" si="77"/>
        <v>0.57617917662502627</v>
      </c>
      <c r="O99" s="140">
        <f t="shared" si="77"/>
        <v>0.57265637421435711</v>
      </c>
      <c r="P99" s="140">
        <f t="shared" si="77"/>
        <v>0.56190422889085334</v>
      </c>
      <c r="Q99" s="140">
        <f t="shared" si="77"/>
        <v>0.55885728113200328</v>
      </c>
      <c r="R99" s="140">
        <f t="shared" si="77"/>
        <v>0.54944452596813065</v>
      </c>
      <c r="S99" s="140">
        <f t="shared" si="77"/>
        <v>0.53993559710855887</v>
      </c>
      <c r="T99" s="140">
        <f t="shared" si="77"/>
        <v>0.53490647436181737</v>
      </c>
      <c r="U99" s="140">
        <f t="shared" si="77"/>
        <v>0.52744242403787789</v>
      </c>
      <c r="V99" s="140">
        <f t="shared" si="77"/>
        <v>0.71283419678498638</v>
      </c>
      <c r="W99" s="140">
        <f t="shared" si="77"/>
        <v>0.68224524891967975</v>
      </c>
      <c r="X99" s="140">
        <f t="shared" si="77"/>
        <v>0.55362565199613201</v>
      </c>
      <c r="Y99" s="140">
        <f t="shared" si="77"/>
        <v>0.51676992503077523</v>
      </c>
      <c r="DA99" s="175"/>
    </row>
    <row r="100" spans="1:105" ht="11.45" customHeight="1" x14ac:dyDescent="0.25">
      <c r="A100" s="128" t="str">
        <f>$A$8</f>
        <v>Motor coaches, buses and trolley buses</v>
      </c>
      <c r="B100" s="140">
        <f t="shared" ref="B100:Y100" si="78">IF(B8=0,0,B8/B$4)</f>
        <v>9.5791782969551251E-2</v>
      </c>
      <c r="C100" s="140">
        <f t="shared" si="78"/>
        <v>9.8391382004572439E-2</v>
      </c>
      <c r="D100" s="140">
        <f t="shared" si="78"/>
        <v>9.4777670907744208E-2</v>
      </c>
      <c r="E100" s="140">
        <f t="shared" si="78"/>
        <v>9.1047410268412107E-2</v>
      </c>
      <c r="F100" s="140">
        <f t="shared" si="78"/>
        <v>9.4605151847528671E-2</v>
      </c>
      <c r="G100" s="140">
        <f t="shared" si="78"/>
        <v>8.2852930443429423E-2</v>
      </c>
      <c r="H100" s="140">
        <f t="shared" si="78"/>
        <v>7.6615986883465464E-2</v>
      </c>
      <c r="I100" s="140">
        <f t="shared" si="78"/>
        <v>8.691039833668085E-2</v>
      </c>
      <c r="J100" s="140">
        <f t="shared" si="78"/>
        <v>8.8689521596350282E-2</v>
      </c>
      <c r="K100" s="140">
        <f t="shared" si="78"/>
        <v>8.4779559199824217E-2</v>
      </c>
      <c r="L100" s="140">
        <f t="shared" si="78"/>
        <v>7.7111862814064763E-2</v>
      </c>
      <c r="M100" s="140">
        <f t="shared" si="78"/>
        <v>8.2408132345816759E-2</v>
      </c>
      <c r="N100" s="140">
        <f t="shared" si="78"/>
        <v>8.3221099211057012E-2</v>
      </c>
      <c r="O100" s="140">
        <f t="shared" si="78"/>
        <v>8.2805511074552904E-2</v>
      </c>
      <c r="P100" s="140">
        <f t="shared" si="78"/>
        <v>6.3294031486133537E-2</v>
      </c>
      <c r="Q100" s="140">
        <f t="shared" si="78"/>
        <v>7.0815020589523658E-2</v>
      </c>
      <c r="R100" s="140">
        <f t="shared" si="78"/>
        <v>6.851200922210425E-2</v>
      </c>
      <c r="S100" s="140">
        <f t="shared" si="78"/>
        <v>4.4677705482774312E-2</v>
      </c>
      <c r="T100" s="140">
        <f t="shared" si="78"/>
        <v>4.5543292538928935E-2</v>
      </c>
      <c r="U100" s="140">
        <f t="shared" si="78"/>
        <v>4.6090513626351172E-2</v>
      </c>
      <c r="V100" s="140">
        <f t="shared" si="78"/>
        <v>4.6875850337873587E-2</v>
      </c>
      <c r="W100" s="140">
        <f t="shared" si="78"/>
        <v>5.7266725270975677E-2</v>
      </c>
      <c r="X100" s="140">
        <f t="shared" si="78"/>
        <v>5.4288819402678587E-2</v>
      </c>
      <c r="Y100" s="140">
        <f t="shared" si="78"/>
        <v>5.498367441410492E-2</v>
      </c>
      <c r="DA100" s="175"/>
    </row>
    <row r="101" spans="1:105" ht="11.45" customHeight="1" x14ac:dyDescent="0.25">
      <c r="A101" s="109" t="str">
        <f>$A$9</f>
        <v>Rail, metro and tram</v>
      </c>
      <c r="B101" s="124">
        <f t="shared" ref="B101:Y101" si="79">IF(B9=0,0,B9/B$4)</f>
        <v>4.8343623474867606E-2</v>
      </c>
      <c r="C101" s="124">
        <f t="shared" si="79"/>
        <v>4.9789327125147956E-2</v>
      </c>
      <c r="D101" s="124">
        <f t="shared" si="79"/>
        <v>5.0578514127360107E-2</v>
      </c>
      <c r="E101" s="124">
        <f t="shared" si="79"/>
        <v>4.9450794249910598E-2</v>
      </c>
      <c r="F101" s="124">
        <f t="shared" si="79"/>
        <v>4.6341623447928949E-2</v>
      </c>
      <c r="G101" s="124">
        <f t="shared" si="79"/>
        <v>4.3040645226592719E-2</v>
      </c>
      <c r="H101" s="124">
        <f t="shared" si="79"/>
        <v>4.392666468302963E-2</v>
      </c>
      <c r="I101" s="124">
        <f t="shared" si="79"/>
        <v>4.1509509757780894E-2</v>
      </c>
      <c r="J101" s="124">
        <f t="shared" si="79"/>
        <v>4.4398676286790159E-2</v>
      </c>
      <c r="K101" s="124">
        <f t="shared" si="79"/>
        <v>4.3709560266592402E-2</v>
      </c>
      <c r="L101" s="124">
        <f t="shared" si="79"/>
        <v>4.5515268694006024E-2</v>
      </c>
      <c r="M101" s="124">
        <f t="shared" si="79"/>
        <v>4.4981487488196602E-2</v>
      </c>
      <c r="N101" s="124">
        <f t="shared" si="79"/>
        <v>4.5467676856927264E-2</v>
      </c>
      <c r="O101" s="124">
        <f t="shared" si="79"/>
        <v>4.7308931367114775E-2</v>
      </c>
      <c r="P101" s="124">
        <f t="shared" si="79"/>
        <v>5.1676788781859377E-2</v>
      </c>
      <c r="Q101" s="124">
        <f t="shared" si="79"/>
        <v>5.0901053375477331E-2</v>
      </c>
      <c r="R101" s="124">
        <f t="shared" si="79"/>
        <v>4.8994485099216584E-2</v>
      </c>
      <c r="S101" s="124">
        <f t="shared" si="79"/>
        <v>5.1544248543386469E-2</v>
      </c>
      <c r="T101" s="124">
        <f t="shared" si="79"/>
        <v>5.256353611607413E-2</v>
      </c>
      <c r="U101" s="124">
        <f t="shared" si="79"/>
        <v>5.104028824460604E-2</v>
      </c>
      <c r="V101" s="124">
        <f t="shared" si="79"/>
        <v>4.0386186150888986E-2</v>
      </c>
      <c r="W101" s="124">
        <f t="shared" si="79"/>
        <v>4.3096958386725163E-2</v>
      </c>
      <c r="X101" s="124">
        <f t="shared" si="79"/>
        <v>4.9542741746377648E-2</v>
      </c>
      <c r="Y101" s="124">
        <f t="shared" si="79"/>
        <v>5.5676351308859125E-2</v>
      </c>
      <c r="DA101" s="176"/>
    </row>
    <row r="102" spans="1:105" ht="11.45" customHeight="1" x14ac:dyDescent="0.25">
      <c r="A102" s="128" t="str">
        <f>$A$10</f>
        <v>Metro and tram, urban light rail</v>
      </c>
      <c r="B102" s="140">
        <f t="shared" ref="B102:Y102" si="80">IF(B10=0,0,B10/B$4)</f>
        <v>9.9644183326853316E-3</v>
      </c>
      <c r="C102" s="140">
        <f t="shared" si="80"/>
        <v>1.0160310564364495E-2</v>
      </c>
      <c r="D102" s="140">
        <f t="shared" si="80"/>
        <v>1.0414504425161191E-2</v>
      </c>
      <c r="E102" s="140">
        <f t="shared" si="80"/>
        <v>1.03612245220002E-2</v>
      </c>
      <c r="F102" s="140">
        <f t="shared" si="80"/>
        <v>1.0264317421446113E-2</v>
      </c>
      <c r="G102" s="140">
        <f t="shared" si="80"/>
        <v>9.3485328467838233E-3</v>
      </c>
      <c r="H102" s="140">
        <f t="shared" si="80"/>
        <v>9.6218096108384998E-3</v>
      </c>
      <c r="I102" s="140">
        <f t="shared" si="80"/>
        <v>9.4015947358105142E-3</v>
      </c>
      <c r="J102" s="140">
        <f t="shared" si="80"/>
        <v>9.4716398918289427E-3</v>
      </c>
      <c r="K102" s="140">
        <f t="shared" si="80"/>
        <v>9.3224371979190677E-3</v>
      </c>
      <c r="L102" s="140">
        <f t="shared" si="80"/>
        <v>1.1496487676508902E-2</v>
      </c>
      <c r="M102" s="140">
        <f t="shared" si="80"/>
        <v>1.1281703181517748E-2</v>
      </c>
      <c r="N102" s="140">
        <f t="shared" si="80"/>
        <v>1.1166500904391688E-2</v>
      </c>
      <c r="O102" s="140">
        <f t="shared" si="80"/>
        <v>1.0720449729521629E-2</v>
      </c>
      <c r="P102" s="140">
        <f t="shared" si="80"/>
        <v>1.1470349363066392E-2</v>
      </c>
      <c r="Q102" s="140">
        <f t="shared" si="80"/>
        <v>1.0994043777268111E-2</v>
      </c>
      <c r="R102" s="140">
        <f t="shared" si="80"/>
        <v>1.0738468158186026E-2</v>
      </c>
      <c r="S102" s="140">
        <f t="shared" si="80"/>
        <v>1.1250844935912923E-2</v>
      </c>
      <c r="T102" s="140">
        <f t="shared" si="80"/>
        <v>1.2351644294390271E-2</v>
      </c>
      <c r="U102" s="140">
        <f t="shared" si="80"/>
        <v>1.1053128948986432E-2</v>
      </c>
      <c r="V102" s="140">
        <f t="shared" si="80"/>
        <v>1.0520754534070587E-2</v>
      </c>
      <c r="W102" s="140">
        <f t="shared" si="80"/>
        <v>1.0295393078059314E-2</v>
      </c>
      <c r="X102" s="140">
        <f t="shared" si="80"/>
        <v>1.0127355433973875E-2</v>
      </c>
      <c r="Y102" s="140">
        <f t="shared" si="80"/>
        <v>1.0499729427262882E-2</v>
      </c>
      <c r="DA102" s="175"/>
    </row>
    <row r="103" spans="1:105" ht="11.45" customHeight="1" x14ac:dyDescent="0.25">
      <c r="A103" s="128" t="str">
        <f>$A$11</f>
        <v>Conventional passenger trains</v>
      </c>
      <c r="B103" s="140">
        <f t="shared" ref="B103:Y103" si="81">IF(B11=0,0,B11/B$4)</f>
        <v>3.4679224185762601E-2</v>
      </c>
      <c r="C103" s="140">
        <f t="shared" si="81"/>
        <v>3.5677150448014727E-2</v>
      </c>
      <c r="D103" s="140">
        <f t="shared" si="81"/>
        <v>3.6034185311057725E-2</v>
      </c>
      <c r="E103" s="140">
        <f t="shared" si="81"/>
        <v>3.5339176494679256E-2</v>
      </c>
      <c r="F103" s="140">
        <f t="shared" si="81"/>
        <v>3.2387460884462982E-2</v>
      </c>
      <c r="G103" s="140">
        <f t="shared" si="81"/>
        <v>3.0071113990487962E-2</v>
      </c>
      <c r="H103" s="140">
        <f t="shared" si="81"/>
        <v>3.0119367891476387E-2</v>
      </c>
      <c r="I103" s="140">
        <f t="shared" si="81"/>
        <v>2.830026915396712E-2</v>
      </c>
      <c r="J103" s="140">
        <f t="shared" si="81"/>
        <v>2.6937343852361514E-2</v>
      </c>
      <c r="K103" s="140">
        <f t="shared" si="81"/>
        <v>1.7287937741920223E-2</v>
      </c>
      <c r="L103" s="140">
        <f t="shared" si="81"/>
        <v>1.6271630161602092E-2</v>
      </c>
      <c r="M103" s="140">
        <f t="shared" si="81"/>
        <v>1.7096043242923197E-2</v>
      </c>
      <c r="N103" s="140">
        <f t="shared" si="81"/>
        <v>1.7243681575355913E-2</v>
      </c>
      <c r="O103" s="140">
        <f t="shared" si="81"/>
        <v>1.6986850143163725E-2</v>
      </c>
      <c r="P103" s="140">
        <f t="shared" si="81"/>
        <v>1.9699102657165485E-2</v>
      </c>
      <c r="Q103" s="140">
        <f t="shared" si="81"/>
        <v>1.8338417347689057E-2</v>
      </c>
      <c r="R103" s="140">
        <f t="shared" si="81"/>
        <v>1.665514708621265E-2</v>
      </c>
      <c r="S103" s="140">
        <f t="shared" si="81"/>
        <v>1.7537207501203054E-2</v>
      </c>
      <c r="T103" s="140">
        <f t="shared" si="81"/>
        <v>1.7394968263750223E-2</v>
      </c>
      <c r="U103" s="140">
        <f t="shared" si="81"/>
        <v>1.7709846679406383E-2</v>
      </c>
      <c r="V103" s="140">
        <f t="shared" si="81"/>
        <v>1.5975281870654685E-2</v>
      </c>
      <c r="W103" s="140">
        <f t="shared" si="81"/>
        <v>2.0512071659906792E-2</v>
      </c>
      <c r="X103" s="140">
        <f t="shared" si="81"/>
        <v>2.5442417502538929E-2</v>
      </c>
      <c r="Y103" s="140">
        <f t="shared" si="81"/>
        <v>3.2219259178030306E-2</v>
      </c>
      <c r="DA103" s="175"/>
    </row>
    <row r="104" spans="1:105" ht="11.45" customHeight="1" x14ac:dyDescent="0.25">
      <c r="A104" s="128" t="str">
        <f>$A$12</f>
        <v>High speed passenger trains</v>
      </c>
      <c r="B104" s="140">
        <f t="shared" ref="B104:Y104" si="82">IF(B12=0,0,B12/B$4)</f>
        <v>3.6999809564196772E-3</v>
      </c>
      <c r="C104" s="140">
        <f t="shared" si="82"/>
        <v>3.9518661127687371E-3</v>
      </c>
      <c r="D104" s="140">
        <f t="shared" si="82"/>
        <v>4.1298243911411922E-3</v>
      </c>
      <c r="E104" s="140">
        <f t="shared" si="82"/>
        <v>3.7503932332311443E-3</v>
      </c>
      <c r="F104" s="140">
        <f t="shared" si="82"/>
        <v>3.6898451420198527E-3</v>
      </c>
      <c r="G104" s="140">
        <f t="shared" si="82"/>
        <v>3.6209983893209338E-3</v>
      </c>
      <c r="H104" s="140">
        <f t="shared" si="82"/>
        <v>4.1854871807147469E-3</v>
      </c>
      <c r="I104" s="140">
        <f t="shared" si="82"/>
        <v>3.8076458680032584E-3</v>
      </c>
      <c r="J104" s="140">
        <f t="shared" si="82"/>
        <v>7.9896925425997061E-3</v>
      </c>
      <c r="K104" s="140">
        <f t="shared" si="82"/>
        <v>1.709918532675311E-2</v>
      </c>
      <c r="L104" s="140">
        <f t="shared" si="82"/>
        <v>1.7747150855895028E-2</v>
      </c>
      <c r="M104" s="140">
        <f t="shared" si="82"/>
        <v>1.6603741063755659E-2</v>
      </c>
      <c r="N104" s="140">
        <f t="shared" si="82"/>
        <v>1.7057494377179665E-2</v>
      </c>
      <c r="O104" s="140">
        <f t="shared" si="82"/>
        <v>1.9601631494429419E-2</v>
      </c>
      <c r="P104" s="140">
        <f t="shared" si="82"/>
        <v>2.0507336761627498E-2</v>
      </c>
      <c r="Q104" s="140">
        <f t="shared" si="82"/>
        <v>2.1568592250520161E-2</v>
      </c>
      <c r="R104" s="140">
        <f t="shared" si="82"/>
        <v>2.1600869854817913E-2</v>
      </c>
      <c r="S104" s="140">
        <f t="shared" si="82"/>
        <v>2.2756196106270495E-2</v>
      </c>
      <c r="T104" s="140">
        <f t="shared" si="82"/>
        <v>2.281692355793364E-2</v>
      </c>
      <c r="U104" s="140">
        <f t="shared" si="82"/>
        <v>2.2277312616213223E-2</v>
      </c>
      <c r="V104" s="140">
        <f t="shared" si="82"/>
        <v>1.3890149746163715E-2</v>
      </c>
      <c r="W104" s="140">
        <f t="shared" si="82"/>
        <v>1.2289493648759054E-2</v>
      </c>
      <c r="X104" s="140">
        <f t="shared" si="82"/>
        <v>1.3972968809864848E-2</v>
      </c>
      <c r="Y104" s="140">
        <f t="shared" si="82"/>
        <v>1.2957362703565936E-2</v>
      </c>
      <c r="DA104" s="175"/>
    </row>
    <row r="105" spans="1:105" ht="11.45" customHeight="1" x14ac:dyDescent="0.25">
      <c r="A105" s="109" t="str">
        <f>$A$13</f>
        <v>Aviation</v>
      </c>
      <c r="B105" s="124">
        <f t="shared" ref="B105:Y105" si="83">IF(B13=0,0,B13/B$4)</f>
        <v>0.25903973974060318</v>
      </c>
      <c r="C105" s="124">
        <f t="shared" si="83"/>
        <v>0.24435301218150834</v>
      </c>
      <c r="D105" s="124">
        <f t="shared" si="83"/>
        <v>0.23827507167825146</v>
      </c>
      <c r="E105" s="124">
        <f t="shared" si="83"/>
        <v>0.24168287702415359</v>
      </c>
      <c r="F105" s="124">
        <f t="shared" si="83"/>
        <v>0.2543375029620808</v>
      </c>
      <c r="G105" s="124">
        <f t="shared" si="83"/>
        <v>0.24162245753189901</v>
      </c>
      <c r="H105" s="124">
        <f t="shared" si="83"/>
        <v>0.24942181677432293</v>
      </c>
      <c r="I105" s="124">
        <f t="shared" si="83"/>
        <v>0.25369846071434599</v>
      </c>
      <c r="J105" s="124">
        <f t="shared" si="83"/>
        <v>0.2535810215354104</v>
      </c>
      <c r="K105" s="124">
        <f t="shared" si="83"/>
        <v>0.2378390420957737</v>
      </c>
      <c r="L105" s="124">
        <f t="shared" si="83"/>
        <v>0.25368171375850318</v>
      </c>
      <c r="M105" s="124">
        <f t="shared" si="83"/>
        <v>0.27097547428509461</v>
      </c>
      <c r="N105" s="124">
        <f t="shared" si="83"/>
        <v>0.2730978825075161</v>
      </c>
      <c r="O105" s="124">
        <f t="shared" si="83"/>
        <v>0.27529600093572515</v>
      </c>
      <c r="P105" s="124">
        <f t="shared" si="83"/>
        <v>0.29775351723759041</v>
      </c>
      <c r="Q105" s="124">
        <f t="shared" si="83"/>
        <v>0.29310652195068726</v>
      </c>
      <c r="R105" s="124">
        <f t="shared" si="83"/>
        <v>0.30778943982881318</v>
      </c>
      <c r="S105" s="124">
        <f t="shared" si="83"/>
        <v>0.33952643660150783</v>
      </c>
      <c r="T105" s="124">
        <f t="shared" si="83"/>
        <v>0.34460537737759778</v>
      </c>
      <c r="U105" s="124">
        <f t="shared" si="83"/>
        <v>0.35161177513100655</v>
      </c>
      <c r="V105" s="124">
        <f t="shared" si="83"/>
        <v>0.16270148113286839</v>
      </c>
      <c r="W105" s="124">
        <f t="shared" si="83"/>
        <v>0.18643020864554055</v>
      </c>
      <c r="X105" s="124">
        <f t="shared" si="83"/>
        <v>0.31927617739099412</v>
      </c>
      <c r="Y105" s="124">
        <f t="shared" si="83"/>
        <v>0.34968602414007521</v>
      </c>
      <c r="DA105" s="176"/>
    </row>
    <row r="106" spans="1:105" ht="11.45" customHeight="1" x14ac:dyDescent="0.25">
      <c r="A106" s="128" t="str">
        <f>$A$14</f>
        <v>Domestic</v>
      </c>
      <c r="B106" s="140">
        <f t="shared" ref="B106:Y106" si="84">IF(B14=0,0,B14/B$4)</f>
        <v>4.7332307271440041E-2</v>
      </c>
      <c r="C106" s="140">
        <f t="shared" si="84"/>
        <v>4.360345587706814E-2</v>
      </c>
      <c r="D106" s="140">
        <f t="shared" si="84"/>
        <v>4.2834413593398894E-2</v>
      </c>
      <c r="E106" s="140">
        <f t="shared" si="84"/>
        <v>4.5209668499457713E-2</v>
      </c>
      <c r="F106" s="140">
        <f t="shared" si="84"/>
        <v>4.8091453468914518E-2</v>
      </c>
      <c r="G106" s="140">
        <f t="shared" si="84"/>
        <v>4.7565911237664113E-2</v>
      </c>
      <c r="H106" s="140">
        <f t="shared" si="84"/>
        <v>5.0272735952445836E-2</v>
      </c>
      <c r="I106" s="140">
        <f t="shared" si="84"/>
        <v>5.1526551631163195E-2</v>
      </c>
      <c r="J106" s="140">
        <f t="shared" si="84"/>
        <v>4.6729026709462933E-2</v>
      </c>
      <c r="K106" s="140">
        <f t="shared" si="84"/>
        <v>4.3347859169671696E-2</v>
      </c>
      <c r="L106" s="140">
        <f t="shared" si="84"/>
        <v>4.5418011085165889E-2</v>
      </c>
      <c r="M106" s="140">
        <f t="shared" si="84"/>
        <v>4.4605099317924751E-2</v>
      </c>
      <c r="N106" s="140">
        <f t="shared" si="84"/>
        <v>4.0122447266626803E-2</v>
      </c>
      <c r="O106" s="140">
        <f t="shared" si="84"/>
        <v>3.5068003750349144E-2</v>
      </c>
      <c r="P106" s="140">
        <f t="shared" si="84"/>
        <v>3.6759727896681783E-2</v>
      </c>
      <c r="Q106" s="140">
        <f t="shared" si="84"/>
        <v>3.7207296630009191E-2</v>
      </c>
      <c r="R106" s="140">
        <f t="shared" si="84"/>
        <v>3.8317485019958936E-2</v>
      </c>
      <c r="S106" s="140">
        <f t="shared" si="84"/>
        <v>4.2042837265308088E-2</v>
      </c>
      <c r="T106" s="140">
        <f t="shared" si="84"/>
        <v>4.5038271879120427E-2</v>
      </c>
      <c r="U106" s="140">
        <f t="shared" si="84"/>
        <v>4.6854137755599906E-2</v>
      </c>
      <c r="V106" s="140">
        <f t="shared" si="84"/>
        <v>3.1520868932532788E-2</v>
      </c>
      <c r="W106" s="140">
        <f t="shared" si="84"/>
        <v>4.1217772714355241E-2</v>
      </c>
      <c r="X106" s="140">
        <f t="shared" si="84"/>
        <v>4.9851905234944656E-2</v>
      </c>
      <c r="Y106" s="140">
        <f t="shared" si="84"/>
        <v>5.0770557308673109E-2</v>
      </c>
      <c r="DA106" s="175"/>
    </row>
    <row r="107" spans="1:105" ht="11.45" customHeight="1" x14ac:dyDescent="0.25">
      <c r="A107" s="128" t="str">
        <f>$A$15</f>
        <v>International - Intra-EEAwCHUK</v>
      </c>
      <c r="B107" s="140">
        <f t="shared" ref="B107:Y107" si="85">IF(B15=0,0,B15/B$4)</f>
        <v>0.15699888911993948</v>
      </c>
      <c r="C107" s="140">
        <f t="shared" si="85"/>
        <v>0.15803859910233706</v>
      </c>
      <c r="D107" s="140">
        <f t="shared" si="85"/>
        <v>0.1535757039167634</v>
      </c>
      <c r="E107" s="140">
        <f t="shared" si="85"/>
        <v>0.15486762348268426</v>
      </c>
      <c r="F107" s="140">
        <f t="shared" si="85"/>
        <v>0.15660593611444562</v>
      </c>
      <c r="G107" s="140">
        <f t="shared" si="85"/>
        <v>0.14491340351858711</v>
      </c>
      <c r="H107" s="140">
        <f t="shared" si="85"/>
        <v>0.14472114881281201</v>
      </c>
      <c r="I107" s="140">
        <f t="shared" si="85"/>
        <v>0.14401240994384662</v>
      </c>
      <c r="J107" s="140">
        <f t="shared" si="85"/>
        <v>0.14303589188426952</v>
      </c>
      <c r="K107" s="140">
        <f t="shared" si="85"/>
        <v>0.13251117919126532</v>
      </c>
      <c r="L107" s="140">
        <f t="shared" si="85"/>
        <v>0.1401136165224757</v>
      </c>
      <c r="M107" s="140">
        <f t="shared" si="85"/>
        <v>0.15366591481762162</v>
      </c>
      <c r="N107" s="140">
        <f t="shared" si="85"/>
        <v>0.15819215658167968</v>
      </c>
      <c r="O107" s="140">
        <f t="shared" si="85"/>
        <v>0.16419120513451368</v>
      </c>
      <c r="P107" s="140">
        <f t="shared" si="85"/>
        <v>0.17976205777648913</v>
      </c>
      <c r="Q107" s="140">
        <f t="shared" si="85"/>
        <v>0.1759204430584666</v>
      </c>
      <c r="R107" s="140">
        <f t="shared" si="85"/>
        <v>0.18912008895617277</v>
      </c>
      <c r="S107" s="140">
        <f t="shared" si="85"/>
        <v>0.20789921549463122</v>
      </c>
      <c r="T107" s="140">
        <f t="shared" si="85"/>
        <v>0.20317260470657497</v>
      </c>
      <c r="U107" s="140">
        <f t="shared" si="85"/>
        <v>0.19944926142293071</v>
      </c>
      <c r="V107" s="140">
        <f t="shared" si="85"/>
        <v>8.7575208238501623E-2</v>
      </c>
      <c r="W107" s="140">
        <f t="shared" si="85"/>
        <v>0.10284134034599884</v>
      </c>
      <c r="X107" s="140">
        <f t="shared" si="85"/>
        <v>0.1804066288195621</v>
      </c>
      <c r="Y107" s="140">
        <f t="shared" si="85"/>
        <v>0.19020036554588834</v>
      </c>
      <c r="DA107" s="175"/>
    </row>
    <row r="108" spans="1:105" ht="11.45" customHeight="1" x14ac:dyDescent="0.25">
      <c r="A108" s="128" t="str">
        <f>$A$16</f>
        <v>International - Extra-EEAwCHUK</v>
      </c>
      <c r="B108" s="140">
        <f t="shared" ref="B108:Y108" si="86">IF(B16=0,0,B16/B$4)</f>
        <v>5.470854334922369E-2</v>
      </c>
      <c r="C108" s="140">
        <f t="shared" si="86"/>
        <v>4.2710957202103148E-2</v>
      </c>
      <c r="D108" s="140">
        <f t="shared" si="86"/>
        <v>4.186495416808917E-2</v>
      </c>
      <c r="E108" s="140">
        <f t="shared" si="86"/>
        <v>4.1605585042011575E-2</v>
      </c>
      <c r="F108" s="140">
        <f t="shared" si="86"/>
        <v>4.9640113378720666E-2</v>
      </c>
      <c r="G108" s="140">
        <f t="shared" si="86"/>
        <v>4.9143142775647762E-2</v>
      </c>
      <c r="H108" s="140">
        <f t="shared" si="86"/>
        <v>5.4427932009065066E-2</v>
      </c>
      <c r="I108" s="140">
        <f t="shared" si="86"/>
        <v>5.8159499139336143E-2</v>
      </c>
      <c r="J108" s="140">
        <f t="shared" si="86"/>
        <v>6.3816102941677902E-2</v>
      </c>
      <c r="K108" s="140">
        <f t="shared" si="86"/>
        <v>6.1980003734836711E-2</v>
      </c>
      <c r="L108" s="140">
        <f t="shared" si="86"/>
        <v>6.8150086150861586E-2</v>
      </c>
      <c r="M108" s="140">
        <f t="shared" si="86"/>
        <v>7.2704460149548192E-2</v>
      </c>
      <c r="N108" s="140">
        <f t="shared" si="86"/>
        <v>7.4783278659209571E-2</v>
      </c>
      <c r="O108" s="140">
        <f t="shared" si="86"/>
        <v>7.6036792050862348E-2</v>
      </c>
      <c r="P108" s="140">
        <f t="shared" si="86"/>
        <v>8.1231731564419499E-2</v>
      </c>
      <c r="Q108" s="140">
        <f t="shared" si="86"/>
        <v>7.9978782262211473E-2</v>
      </c>
      <c r="R108" s="140">
        <f t="shared" si="86"/>
        <v>8.0351865852681503E-2</v>
      </c>
      <c r="S108" s="140">
        <f t="shared" si="86"/>
        <v>8.9584383841568527E-2</v>
      </c>
      <c r="T108" s="140">
        <f t="shared" si="86"/>
        <v>9.6394500791902399E-2</v>
      </c>
      <c r="U108" s="140">
        <f t="shared" si="86"/>
        <v>0.10530837595247591</v>
      </c>
      <c r="V108" s="140">
        <f t="shared" si="86"/>
        <v>4.3605403961833968E-2</v>
      </c>
      <c r="W108" s="140">
        <f t="shared" si="86"/>
        <v>4.2371095585186466E-2</v>
      </c>
      <c r="X108" s="140">
        <f t="shared" si="86"/>
        <v>8.9017643336487345E-2</v>
      </c>
      <c r="Y108" s="140">
        <f t="shared" si="86"/>
        <v>0.10871510128551379</v>
      </c>
      <c r="DA108" s="175"/>
    </row>
    <row r="109" spans="1:105" ht="11.45" customHeight="1" x14ac:dyDescent="0.25">
      <c r="A109" s="27" t="s">
        <v>39</v>
      </c>
      <c r="B109" s="31">
        <f t="shared" ref="B109:Y109" si="87">IF(B17=0,0,B17/B$17)</f>
        <v>1</v>
      </c>
      <c r="C109" s="31">
        <f t="shared" si="87"/>
        <v>1</v>
      </c>
      <c r="D109" s="31">
        <f t="shared" si="87"/>
        <v>1</v>
      </c>
      <c r="E109" s="31">
        <f t="shared" si="87"/>
        <v>1</v>
      </c>
      <c r="F109" s="31">
        <f t="shared" si="87"/>
        <v>1</v>
      </c>
      <c r="G109" s="31">
        <f t="shared" si="87"/>
        <v>1</v>
      </c>
      <c r="H109" s="31">
        <f t="shared" si="87"/>
        <v>1</v>
      </c>
      <c r="I109" s="31">
        <f t="shared" si="87"/>
        <v>1</v>
      </c>
      <c r="J109" s="31">
        <f t="shared" si="87"/>
        <v>1</v>
      </c>
      <c r="K109" s="31">
        <f t="shared" si="87"/>
        <v>1</v>
      </c>
      <c r="L109" s="31">
        <f t="shared" si="87"/>
        <v>1</v>
      </c>
      <c r="M109" s="31">
        <f t="shared" si="87"/>
        <v>1</v>
      </c>
      <c r="N109" s="31">
        <f t="shared" si="87"/>
        <v>1</v>
      </c>
      <c r="O109" s="31">
        <f t="shared" si="87"/>
        <v>1</v>
      </c>
      <c r="P109" s="31">
        <f t="shared" si="87"/>
        <v>1</v>
      </c>
      <c r="Q109" s="31">
        <f t="shared" si="87"/>
        <v>1</v>
      </c>
      <c r="R109" s="31">
        <f t="shared" si="87"/>
        <v>1</v>
      </c>
      <c r="S109" s="31">
        <f t="shared" si="87"/>
        <v>1</v>
      </c>
      <c r="T109" s="31">
        <f t="shared" si="87"/>
        <v>1</v>
      </c>
      <c r="U109" s="31">
        <f t="shared" si="87"/>
        <v>1</v>
      </c>
      <c r="V109" s="31">
        <f t="shared" si="87"/>
        <v>1</v>
      </c>
      <c r="W109" s="31">
        <f t="shared" si="87"/>
        <v>1</v>
      </c>
      <c r="X109" s="31">
        <f t="shared" si="87"/>
        <v>1</v>
      </c>
      <c r="Y109" s="31">
        <f t="shared" si="87"/>
        <v>1</v>
      </c>
      <c r="DA109" s="173"/>
    </row>
    <row r="110" spans="1:105" ht="11.45" customHeight="1" x14ac:dyDescent="0.25">
      <c r="A110" s="136" t="str">
        <f>$A$18</f>
        <v>Road transport</v>
      </c>
      <c r="B110" s="139">
        <f t="shared" ref="B110:Y110" si="88">IF(B18=0,0,B18/B$17)</f>
        <v>0.8549519988822819</v>
      </c>
      <c r="C110" s="139">
        <f t="shared" si="88"/>
        <v>0.86279605383900904</v>
      </c>
      <c r="D110" s="139">
        <f t="shared" si="88"/>
        <v>0.88316720173678143</v>
      </c>
      <c r="E110" s="139">
        <f t="shared" si="88"/>
        <v>0.8916662335196428</v>
      </c>
      <c r="F110" s="139">
        <f t="shared" si="88"/>
        <v>0.90158298813984261</v>
      </c>
      <c r="G110" s="139">
        <f t="shared" si="88"/>
        <v>0.90664973638953339</v>
      </c>
      <c r="H110" s="139">
        <f t="shared" si="88"/>
        <v>0.90810987598164816</v>
      </c>
      <c r="I110" s="139">
        <f t="shared" si="88"/>
        <v>0.9181092142441698</v>
      </c>
      <c r="J110" s="139">
        <f t="shared" si="88"/>
        <v>0.91476821243870143</v>
      </c>
      <c r="K110" s="139">
        <f t="shared" si="88"/>
        <v>0.92279301364018163</v>
      </c>
      <c r="L110" s="139">
        <f t="shared" si="88"/>
        <v>0.91266060345236644</v>
      </c>
      <c r="M110" s="139">
        <f t="shared" si="88"/>
        <v>0.90700374567921194</v>
      </c>
      <c r="N110" s="139">
        <f t="shared" si="88"/>
        <v>0.90859793690854518</v>
      </c>
      <c r="O110" s="139">
        <f t="shared" si="88"/>
        <v>0.90717547203555016</v>
      </c>
      <c r="P110" s="139">
        <f t="shared" si="88"/>
        <v>0.900319861568456</v>
      </c>
      <c r="Q110" s="139">
        <f t="shared" si="88"/>
        <v>0.89661734349332045</v>
      </c>
      <c r="R110" s="139">
        <f t="shared" si="88"/>
        <v>0.90023550885317372</v>
      </c>
      <c r="S110" s="139">
        <f t="shared" si="88"/>
        <v>0.90749011491645692</v>
      </c>
      <c r="T110" s="139">
        <f t="shared" si="88"/>
        <v>0.90376624160060681</v>
      </c>
      <c r="U110" s="139">
        <f t="shared" si="88"/>
        <v>0.90580534914116395</v>
      </c>
      <c r="V110" s="139">
        <f t="shared" si="88"/>
        <v>0.92072621292593904</v>
      </c>
      <c r="W110" s="139">
        <f t="shared" si="88"/>
        <v>0.92226396957958057</v>
      </c>
      <c r="X110" s="139">
        <f t="shared" si="88"/>
        <v>0.91464561009660161</v>
      </c>
      <c r="Y110" s="139">
        <f t="shared" si="88"/>
        <v>0.91294532145668272</v>
      </c>
      <c r="DA110" s="174"/>
    </row>
    <row r="111" spans="1:105" ht="11.45" customHeight="1" x14ac:dyDescent="0.25">
      <c r="A111" s="128" t="str">
        <f>$A$19</f>
        <v>Light commercial vehicles</v>
      </c>
      <c r="B111" s="140">
        <f t="shared" ref="B111:Y111" si="89">IF(B19=0,0,B19/B$17)</f>
        <v>4.622755594481761E-2</v>
      </c>
      <c r="C111" s="140">
        <f t="shared" si="89"/>
        <v>5.1935960367803277E-2</v>
      </c>
      <c r="D111" s="140">
        <f t="shared" si="89"/>
        <v>4.487148925084606E-2</v>
      </c>
      <c r="E111" s="140">
        <f t="shared" si="89"/>
        <v>4.6440443233237684E-2</v>
      </c>
      <c r="F111" s="140">
        <f t="shared" si="89"/>
        <v>4.4406653602406372E-2</v>
      </c>
      <c r="G111" s="140">
        <f t="shared" si="89"/>
        <v>4.0296708191717899E-2</v>
      </c>
      <c r="H111" s="140">
        <f t="shared" si="89"/>
        <v>4.092524292736828E-2</v>
      </c>
      <c r="I111" s="140">
        <f t="shared" si="89"/>
        <v>4.4888055498975413E-2</v>
      </c>
      <c r="J111" s="140">
        <f t="shared" si="89"/>
        <v>4.5078796912896867E-2</v>
      </c>
      <c r="K111" s="140">
        <f t="shared" si="89"/>
        <v>4.5786142388904445E-2</v>
      </c>
      <c r="L111" s="140">
        <f t="shared" si="89"/>
        <v>4.620368090586998E-2</v>
      </c>
      <c r="M111" s="140">
        <f t="shared" si="89"/>
        <v>4.6052801051382417E-2</v>
      </c>
      <c r="N111" s="140">
        <f t="shared" si="89"/>
        <v>4.5161401104762168E-2</v>
      </c>
      <c r="O111" s="140">
        <f t="shared" si="89"/>
        <v>4.5799472183829258E-2</v>
      </c>
      <c r="P111" s="140">
        <f t="shared" si="89"/>
        <v>4.4799921301802971E-2</v>
      </c>
      <c r="Q111" s="140">
        <f t="shared" si="89"/>
        <v>4.4097378190902141E-2</v>
      </c>
      <c r="R111" s="140">
        <f t="shared" si="89"/>
        <v>4.0982549566040152E-2</v>
      </c>
      <c r="S111" s="140">
        <f t="shared" si="89"/>
        <v>4.1579640382745232E-2</v>
      </c>
      <c r="T111" s="140">
        <f t="shared" si="89"/>
        <v>4.1209335254272526E-2</v>
      </c>
      <c r="U111" s="140">
        <f t="shared" si="89"/>
        <v>3.9893286492737129E-2</v>
      </c>
      <c r="V111" s="140">
        <f t="shared" si="89"/>
        <v>2.8539187140740593E-2</v>
      </c>
      <c r="W111" s="140">
        <f t="shared" si="89"/>
        <v>3.6250244933399019E-2</v>
      </c>
      <c r="X111" s="140">
        <f t="shared" si="89"/>
        <v>3.8730526520139419E-2</v>
      </c>
      <c r="Y111" s="140">
        <f t="shared" si="89"/>
        <v>3.8887727560026307E-2</v>
      </c>
      <c r="DA111" s="175"/>
    </row>
    <row r="112" spans="1:105" ht="11.45" customHeight="1" x14ac:dyDescent="0.25">
      <c r="A112" s="128" t="str">
        <f>$A$20</f>
        <v>Heavy goods vehicles</v>
      </c>
      <c r="B112" s="140">
        <f t="shared" ref="B112:Y112" si="90">IF(B20=0,0,B20/B$17)</f>
        <v>0.80872444293746426</v>
      </c>
      <c r="C112" s="140">
        <f t="shared" si="90"/>
        <v>0.81086009347120569</v>
      </c>
      <c r="D112" s="140">
        <f t="shared" si="90"/>
        <v>0.83829571248593537</v>
      </c>
      <c r="E112" s="140">
        <f t="shared" si="90"/>
        <v>0.8452257902864051</v>
      </c>
      <c r="F112" s="140">
        <f t="shared" si="90"/>
        <v>0.85717633453743625</v>
      </c>
      <c r="G112" s="140">
        <f t="shared" si="90"/>
        <v>0.86635302819781546</v>
      </c>
      <c r="H112" s="140">
        <f t="shared" si="90"/>
        <v>0.86718463305427995</v>
      </c>
      <c r="I112" s="140">
        <f t="shared" si="90"/>
        <v>0.87322115874519446</v>
      </c>
      <c r="J112" s="140">
        <f t="shared" si="90"/>
        <v>0.86968941552580459</v>
      </c>
      <c r="K112" s="140">
        <f t="shared" si="90"/>
        <v>0.87700687125127719</v>
      </c>
      <c r="L112" s="140">
        <f t="shared" si="90"/>
        <v>0.86645692254649642</v>
      </c>
      <c r="M112" s="140">
        <f t="shared" si="90"/>
        <v>0.86095094462782951</v>
      </c>
      <c r="N112" s="140">
        <f t="shared" si="90"/>
        <v>0.86343653580378299</v>
      </c>
      <c r="O112" s="140">
        <f t="shared" si="90"/>
        <v>0.86137599985172086</v>
      </c>
      <c r="P112" s="140">
        <f t="shared" si="90"/>
        <v>0.85551994026665301</v>
      </c>
      <c r="Q112" s="140">
        <f t="shared" si="90"/>
        <v>0.85251996530241825</v>
      </c>
      <c r="R112" s="140">
        <f t="shared" si="90"/>
        <v>0.85925295928713352</v>
      </c>
      <c r="S112" s="140">
        <f t="shared" si="90"/>
        <v>0.86591047453371173</v>
      </c>
      <c r="T112" s="140">
        <f t="shared" si="90"/>
        <v>0.8625569063463342</v>
      </c>
      <c r="U112" s="140">
        <f t="shared" si="90"/>
        <v>0.86591206264842691</v>
      </c>
      <c r="V112" s="140">
        <f t="shared" si="90"/>
        <v>0.89218702578519848</v>
      </c>
      <c r="W112" s="140">
        <f t="shared" si="90"/>
        <v>0.88601372464618144</v>
      </c>
      <c r="X112" s="140">
        <f t="shared" si="90"/>
        <v>0.87591508357646219</v>
      </c>
      <c r="Y112" s="140">
        <f t="shared" si="90"/>
        <v>0.87405759389665638</v>
      </c>
      <c r="DA112" s="175"/>
    </row>
    <row r="113" spans="1:105" ht="11.45" customHeight="1" x14ac:dyDescent="0.25">
      <c r="A113" s="109" t="str">
        <f>$A$21</f>
        <v>Rail transport</v>
      </c>
      <c r="B113" s="124">
        <f t="shared" ref="B113:Y113" si="91">IF(B21=0,0,B21/B$17)</f>
        <v>7.0842018178303781E-2</v>
      </c>
      <c r="C113" s="124">
        <f t="shared" si="91"/>
        <v>6.7377799489678938E-2</v>
      </c>
      <c r="D113" s="124">
        <f t="shared" si="91"/>
        <v>6.1914953870385148E-2</v>
      </c>
      <c r="E113" s="124">
        <f t="shared" si="91"/>
        <v>5.9838654548951695E-2</v>
      </c>
      <c r="F113" s="124">
        <f t="shared" si="91"/>
        <v>5.3882512617945862E-2</v>
      </c>
      <c r="G113" s="124">
        <f t="shared" si="91"/>
        <v>4.7630233885401052E-2</v>
      </c>
      <c r="H113" s="124">
        <f t="shared" si="91"/>
        <v>4.5464995906718798E-2</v>
      </c>
      <c r="I113" s="124">
        <f t="shared" si="91"/>
        <v>4.1356027916222594E-2</v>
      </c>
      <c r="J113" s="124">
        <f t="shared" si="91"/>
        <v>4.3904712247279383E-2</v>
      </c>
      <c r="K113" s="124">
        <f t="shared" si="91"/>
        <v>3.6138638686262513E-2</v>
      </c>
      <c r="L113" s="124">
        <f t="shared" si="91"/>
        <v>4.1879978771469512E-2</v>
      </c>
      <c r="M113" s="124">
        <f t="shared" si="91"/>
        <v>4.5237743150122682E-2</v>
      </c>
      <c r="N113" s="124">
        <f t="shared" si="91"/>
        <v>4.8102747052545129E-2</v>
      </c>
      <c r="O113" s="124">
        <f t="shared" si="91"/>
        <v>4.8421264352975182E-2</v>
      </c>
      <c r="P113" s="124">
        <f t="shared" si="91"/>
        <v>5.3165564601042298E-2</v>
      </c>
      <c r="Q113" s="124">
        <f t="shared" si="91"/>
        <v>5.2819381497947925E-2</v>
      </c>
      <c r="R113" s="124">
        <f t="shared" si="91"/>
        <v>4.8554305956702237E-2</v>
      </c>
      <c r="S113" s="124">
        <f t="shared" si="91"/>
        <v>4.6143633105241617E-2</v>
      </c>
      <c r="T113" s="124">
        <f t="shared" si="91"/>
        <v>4.5114138219782045E-2</v>
      </c>
      <c r="U113" s="124">
        <f t="shared" si="91"/>
        <v>4.3599906870852363E-2</v>
      </c>
      <c r="V113" s="124">
        <f t="shared" si="91"/>
        <v>3.836198208752812E-2</v>
      </c>
      <c r="W113" s="124">
        <f t="shared" si="91"/>
        <v>3.9490779121864661E-2</v>
      </c>
      <c r="X113" s="124">
        <f t="shared" si="91"/>
        <v>4.0568439944895257E-2</v>
      </c>
      <c r="Y113" s="124">
        <f t="shared" si="91"/>
        <v>3.8693176507078236E-2</v>
      </c>
      <c r="DA113" s="176"/>
    </row>
    <row r="114" spans="1:105" ht="11.45" customHeight="1" x14ac:dyDescent="0.25">
      <c r="A114" s="109" t="str">
        <f>$A$22</f>
        <v>Aviation</v>
      </c>
      <c r="B114" s="124">
        <f t="shared" ref="B114:Y114" si="92">IF(B22=0,0,B22/B$17)</f>
        <v>5.2512517699203039E-3</v>
      </c>
      <c r="C114" s="124">
        <f t="shared" si="92"/>
        <v>4.9424959339159124E-3</v>
      </c>
      <c r="D114" s="124">
        <f t="shared" si="92"/>
        <v>4.1318848294085615E-3</v>
      </c>
      <c r="E114" s="124">
        <f t="shared" si="92"/>
        <v>3.7011082055538004E-3</v>
      </c>
      <c r="F114" s="124">
        <f t="shared" si="92"/>
        <v>3.9827654815689411E-3</v>
      </c>
      <c r="G114" s="124">
        <f t="shared" si="92"/>
        <v>3.5005164043667562E-3</v>
      </c>
      <c r="H114" s="124">
        <f t="shared" si="92"/>
        <v>3.4903630311818282E-3</v>
      </c>
      <c r="I114" s="124">
        <f t="shared" si="92"/>
        <v>3.6053301712037642E-3</v>
      </c>
      <c r="J114" s="124">
        <f t="shared" si="92"/>
        <v>4.1198186217966046E-3</v>
      </c>
      <c r="K114" s="124">
        <f t="shared" si="92"/>
        <v>4.5631050439614565E-3</v>
      </c>
      <c r="L114" s="124">
        <f t="shared" si="92"/>
        <v>6.0066170675502724E-3</v>
      </c>
      <c r="M114" s="124">
        <f t="shared" si="92"/>
        <v>6.4595342168304332E-3</v>
      </c>
      <c r="N114" s="124">
        <f t="shared" si="92"/>
        <v>6.582038600106188E-3</v>
      </c>
      <c r="O114" s="124">
        <f t="shared" si="92"/>
        <v>6.7427878188628864E-3</v>
      </c>
      <c r="P114" s="124">
        <f t="shared" si="92"/>
        <v>7.1533188118218759E-3</v>
      </c>
      <c r="Q114" s="124">
        <f t="shared" si="92"/>
        <v>7.2796645931587269E-3</v>
      </c>
      <c r="R114" s="124">
        <f t="shared" si="92"/>
        <v>7.5291391543315621E-3</v>
      </c>
      <c r="S114" s="124">
        <f t="shared" si="92"/>
        <v>9.0984510259691179E-3</v>
      </c>
      <c r="T114" s="124">
        <f t="shared" si="92"/>
        <v>1.0025325354053675E-2</v>
      </c>
      <c r="U114" s="124">
        <f t="shared" si="92"/>
        <v>9.7134236165022578E-3</v>
      </c>
      <c r="V114" s="124">
        <f t="shared" si="92"/>
        <v>5.0838554507590854E-3</v>
      </c>
      <c r="W114" s="124">
        <f t="shared" si="92"/>
        <v>5.9827648453924511E-3</v>
      </c>
      <c r="X114" s="124">
        <f t="shared" si="92"/>
        <v>7.9936001309773245E-3</v>
      </c>
      <c r="Y114" s="124">
        <f t="shared" si="92"/>
        <v>1.0297578550353079E-2</v>
      </c>
      <c r="DA114" s="176"/>
    </row>
    <row r="115" spans="1:105" ht="11.45" customHeight="1" x14ac:dyDescent="0.25">
      <c r="A115" s="128" t="s">
        <v>27</v>
      </c>
      <c r="B115" s="140">
        <f t="shared" ref="B115:Q115" si="93">IF(B23=0,0,B23/B$17)</f>
        <v>5.9199895156401643E-4</v>
      </c>
      <c r="C115" s="140">
        <f t="shared" si="93"/>
        <v>5.2541625307889824E-4</v>
      </c>
      <c r="D115" s="140">
        <f t="shared" si="93"/>
        <v>4.6757252410159202E-4</v>
      </c>
      <c r="E115" s="140">
        <f t="shared" si="93"/>
        <v>4.0031357155379747E-4</v>
      </c>
      <c r="F115" s="140">
        <f t="shared" si="93"/>
        <v>4.5867935684889232E-4</v>
      </c>
      <c r="G115" s="140">
        <f t="shared" si="93"/>
        <v>4.2082319135878474E-4</v>
      </c>
      <c r="H115" s="140">
        <f t="shared" si="93"/>
        <v>3.9458204476264008E-4</v>
      </c>
      <c r="I115" s="140">
        <f t="shared" si="93"/>
        <v>3.5752192694318586E-4</v>
      </c>
      <c r="J115" s="140">
        <f t="shared" si="93"/>
        <v>3.6374958468042107E-4</v>
      </c>
      <c r="K115" s="140">
        <f t="shared" si="93"/>
        <v>3.3593651813515653E-4</v>
      </c>
      <c r="L115" s="140">
        <f t="shared" si="93"/>
        <v>3.3857626058638791E-4</v>
      </c>
      <c r="M115" s="140">
        <f t="shared" si="93"/>
        <v>3.1846548521286081E-4</v>
      </c>
      <c r="N115" s="140">
        <f t="shared" si="93"/>
        <v>2.857528109462088E-4</v>
      </c>
      <c r="O115" s="140">
        <f t="shared" si="93"/>
        <v>2.7558899070181882E-4</v>
      </c>
      <c r="P115" s="140">
        <f t="shared" si="93"/>
        <v>2.7780589185563795E-4</v>
      </c>
      <c r="Q115" s="140">
        <f t="shared" si="93"/>
        <v>2.4821124102462514E-4</v>
      </c>
      <c r="R115" s="140">
        <f t="shared" ref="R115:V116" si="94">IF(R23=0,0,R23/R$17)</f>
        <v>2.5060245640800519E-4</v>
      </c>
      <c r="S115" s="140">
        <f t="shared" si="94"/>
        <v>2.4216803390335017E-4</v>
      </c>
      <c r="T115" s="140">
        <f t="shared" si="94"/>
        <v>2.3127408632358842E-4</v>
      </c>
      <c r="U115" s="140">
        <f t="shared" si="94"/>
        <v>2.1588651774789511E-4</v>
      </c>
      <c r="V115" s="140">
        <f t="shared" si="94"/>
        <v>1.5724307833673182E-4</v>
      </c>
      <c r="W115" s="140">
        <f t="shared" ref="W115:Y120" si="95">IF(W23=0,0,W23/W$17)</f>
        <v>1.457995339396685E-4</v>
      </c>
      <c r="X115" s="140">
        <f t="shared" si="95"/>
        <v>1.0558528350313869E-4</v>
      </c>
      <c r="Y115" s="140">
        <f t="shared" si="95"/>
        <v>1.0630615585600102E-4</v>
      </c>
      <c r="DA115" s="175"/>
    </row>
    <row r="116" spans="1:105" ht="11.45" customHeight="1" x14ac:dyDescent="0.25">
      <c r="A116" s="128" t="str">
        <f>$A$24</f>
        <v>International - Intra-EEAwCHUK</v>
      </c>
      <c r="B116" s="140">
        <f t="shared" ref="B116:Q116" si="96">IF(B24=0,0,B24/B$17)</f>
        <v>9.8242654724948748E-4</v>
      </c>
      <c r="C116" s="140">
        <f t="shared" si="96"/>
        <v>9.0566247918918616E-4</v>
      </c>
      <c r="D116" s="140">
        <f t="shared" si="96"/>
        <v>7.7266969189351245E-4</v>
      </c>
      <c r="E116" s="140">
        <f t="shared" si="96"/>
        <v>7.1646833177975075E-4</v>
      </c>
      <c r="F116" s="140">
        <f t="shared" si="96"/>
        <v>7.2470861788834337E-4</v>
      </c>
      <c r="G116" s="140">
        <f t="shared" si="96"/>
        <v>6.3926768274633658E-4</v>
      </c>
      <c r="H116" s="140">
        <f t="shared" si="96"/>
        <v>5.2399384849025434E-4</v>
      </c>
      <c r="I116" s="140">
        <f t="shared" si="96"/>
        <v>4.1699046669715391E-4</v>
      </c>
      <c r="J116" s="140">
        <f t="shared" si="96"/>
        <v>4.5437515177976619E-4</v>
      </c>
      <c r="K116" s="140">
        <f t="shared" si="96"/>
        <v>4.9227985068546498E-4</v>
      </c>
      <c r="L116" s="140">
        <f t="shared" si="96"/>
        <v>5.5424651277348848E-4</v>
      </c>
      <c r="M116" s="140">
        <f t="shared" si="96"/>
        <v>5.7028586759572824E-4</v>
      </c>
      <c r="N116" s="140">
        <f t="shared" si="96"/>
        <v>5.7509295175833146E-4</v>
      </c>
      <c r="O116" s="140">
        <f t="shared" si="96"/>
        <v>5.9208601105663827E-4</v>
      </c>
      <c r="P116" s="140">
        <f t="shared" si="96"/>
        <v>6.197131605922019E-4</v>
      </c>
      <c r="Q116" s="140">
        <f t="shared" si="96"/>
        <v>6.1055595203368782E-4</v>
      </c>
      <c r="R116" s="140">
        <f t="shared" si="94"/>
        <v>5.9821845511669018E-4</v>
      </c>
      <c r="S116" s="140">
        <f t="shared" si="94"/>
        <v>6.1828494954963183E-4</v>
      </c>
      <c r="T116" s="140">
        <f t="shared" si="94"/>
        <v>6.0818790756704186E-4</v>
      </c>
      <c r="U116" s="140">
        <f t="shared" si="94"/>
        <v>6.5938233380782787E-4</v>
      </c>
      <c r="V116" s="140">
        <f t="shared" si="94"/>
        <v>6.207173796761382E-4</v>
      </c>
      <c r="W116" s="140">
        <f t="shared" si="95"/>
        <v>6.3678466673698587E-4</v>
      </c>
      <c r="X116" s="140">
        <f t="shared" si="95"/>
        <v>6.8995307448227699E-4</v>
      </c>
      <c r="Y116" s="140">
        <f t="shared" si="95"/>
        <v>6.2605225571397787E-4</v>
      </c>
      <c r="DA116" s="175"/>
    </row>
    <row r="117" spans="1:105" ht="11.45" customHeight="1" x14ac:dyDescent="0.25">
      <c r="A117" s="128" t="str">
        <f>$A$25</f>
        <v>International - Extra-EEAwCHUK</v>
      </c>
      <c r="B117" s="140">
        <f t="shared" ref="B117:Q117" si="97">IF(B25=0,0,B25/B$17)</f>
        <v>3.6768262711068009E-3</v>
      </c>
      <c r="C117" s="140">
        <f t="shared" si="97"/>
        <v>3.5114172016478275E-3</v>
      </c>
      <c r="D117" s="140">
        <f t="shared" si="97"/>
        <v>2.891642613413457E-3</v>
      </c>
      <c r="E117" s="140">
        <f t="shared" si="97"/>
        <v>2.5843263022202524E-3</v>
      </c>
      <c r="F117" s="140">
        <f t="shared" si="97"/>
        <v>2.7993775068317055E-3</v>
      </c>
      <c r="G117" s="140">
        <f t="shared" si="97"/>
        <v>2.4404255302616349E-3</v>
      </c>
      <c r="H117" s="140">
        <f t="shared" si="97"/>
        <v>2.5717871379289338E-3</v>
      </c>
      <c r="I117" s="140">
        <f t="shared" si="97"/>
        <v>2.8308177775634249E-3</v>
      </c>
      <c r="J117" s="140">
        <f t="shared" si="97"/>
        <v>3.3016938853364167E-3</v>
      </c>
      <c r="K117" s="140">
        <f t="shared" si="97"/>
        <v>3.7348886751408352E-3</v>
      </c>
      <c r="L117" s="140">
        <f t="shared" si="97"/>
        <v>5.1137942941903956E-3</v>
      </c>
      <c r="M117" s="140">
        <f t="shared" si="97"/>
        <v>5.5707828640218443E-3</v>
      </c>
      <c r="N117" s="140">
        <f t="shared" si="97"/>
        <v>5.7211928374016471E-3</v>
      </c>
      <c r="O117" s="140">
        <f t="shared" si="97"/>
        <v>5.8751128171044293E-3</v>
      </c>
      <c r="P117" s="140">
        <f t="shared" si="97"/>
        <v>6.2557997593740353E-3</v>
      </c>
      <c r="Q117" s="140">
        <f t="shared" si="97"/>
        <v>6.4208974001004129E-3</v>
      </c>
      <c r="R117" s="140">
        <f t="shared" ref="R117:V120" si="98">IF(R25=0,0,R25/R$17)</f>
        <v>6.6803182428068677E-3</v>
      </c>
      <c r="S117" s="140">
        <f t="shared" si="98"/>
        <v>8.2379980425161346E-3</v>
      </c>
      <c r="T117" s="140">
        <f t="shared" si="98"/>
        <v>9.1858633601630442E-3</v>
      </c>
      <c r="U117" s="140">
        <f t="shared" si="98"/>
        <v>8.8381547649465358E-3</v>
      </c>
      <c r="V117" s="140">
        <f t="shared" si="98"/>
        <v>4.3058949927462153E-3</v>
      </c>
      <c r="W117" s="140">
        <f t="shared" si="95"/>
        <v>5.2001806447157968E-3</v>
      </c>
      <c r="X117" s="140">
        <f t="shared" si="95"/>
        <v>7.1980617729919087E-3</v>
      </c>
      <c r="Y117" s="140">
        <f t="shared" si="95"/>
        <v>9.5652201387831006E-3</v>
      </c>
      <c r="DA117" s="175"/>
    </row>
    <row r="118" spans="1:105" ht="11.45" customHeight="1" x14ac:dyDescent="0.25">
      <c r="A118" s="109" t="s">
        <v>141</v>
      </c>
      <c r="B118" s="124">
        <f t="shared" ref="B118:Q118" si="99">IF(B26=0,0,B26/B$17)</f>
        <v>6.895473116949398E-2</v>
      </c>
      <c r="C118" s="124">
        <f t="shared" si="99"/>
        <v>6.4883650737396159E-2</v>
      </c>
      <c r="D118" s="124">
        <f t="shared" si="99"/>
        <v>5.0785959563424937E-2</v>
      </c>
      <c r="E118" s="124">
        <f t="shared" si="99"/>
        <v>4.4794003725851683E-2</v>
      </c>
      <c r="F118" s="124">
        <f t="shared" si="99"/>
        <v>4.0551733760642528E-2</v>
      </c>
      <c r="G118" s="124">
        <f t="shared" si="99"/>
        <v>4.2219513320698808E-2</v>
      </c>
      <c r="H118" s="124">
        <f t="shared" si="99"/>
        <v>4.2934765080451139E-2</v>
      </c>
      <c r="I118" s="124">
        <f t="shared" si="99"/>
        <v>3.6929427668403847E-2</v>
      </c>
      <c r="J118" s="124">
        <f t="shared" si="99"/>
        <v>3.7207256692222558E-2</v>
      </c>
      <c r="K118" s="124">
        <f t="shared" si="99"/>
        <v>3.6505242629594446E-2</v>
      </c>
      <c r="L118" s="124">
        <f t="shared" si="99"/>
        <v>3.9452800708613817E-2</v>
      </c>
      <c r="M118" s="124">
        <f t="shared" si="99"/>
        <v>4.1298976953834873E-2</v>
      </c>
      <c r="N118" s="124">
        <f t="shared" si="99"/>
        <v>3.6717277438803479E-2</v>
      </c>
      <c r="O118" s="124">
        <f t="shared" si="99"/>
        <v>3.7660475792611794E-2</v>
      </c>
      <c r="P118" s="124">
        <f t="shared" si="99"/>
        <v>3.9361255018679805E-2</v>
      </c>
      <c r="Q118" s="124">
        <f t="shared" si="99"/>
        <v>4.3283610415572889E-2</v>
      </c>
      <c r="R118" s="124">
        <f t="shared" si="98"/>
        <v>4.3681046035792558E-2</v>
      </c>
      <c r="S118" s="124">
        <f t="shared" si="98"/>
        <v>3.7267800952332307E-2</v>
      </c>
      <c r="T118" s="124">
        <f t="shared" si="98"/>
        <v>4.1094294825557487E-2</v>
      </c>
      <c r="U118" s="124">
        <f t="shared" si="98"/>
        <v>4.088132037148149E-2</v>
      </c>
      <c r="V118" s="124">
        <f t="shared" si="98"/>
        <v>3.5827949535773722E-2</v>
      </c>
      <c r="W118" s="124">
        <f t="shared" si="95"/>
        <v>3.2262486453162417E-2</v>
      </c>
      <c r="X118" s="124">
        <f t="shared" si="95"/>
        <v>3.67923498275258E-2</v>
      </c>
      <c r="Y118" s="124">
        <f t="shared" si="95"/>
        <v>3.8063923485885956E-2</v>
      </c>
      <c r="DA118" s="176"/>
    </row>
    <row r="119" spans="1:105" ht="11.45" customHeight="1" x14ac:dyDescent="0.25">
      <c r="A119" s="128" t="str">
        <f>$A$27</f>
        <v>Domestic coastal shipping</v>
      </c>
      <c r="B119" s="140">
        <f t="shared" ref="B119:Q119" si="100">IF(B27=0,0,B27/B$17)</f>
        <v>6.895473116949398E-2</v>
      </c>
      <c r="C119" s="140">
        <f t="shared" si="100"/>
        <v>6.4883650737396159E-2</v>
      </c>
      <c r="D119" s="140">
        <f t="shared" si="100"/>
        <v>5.0785959563424937E-2</v>
      </c>
      <c r="E119" s="140">
        <f t="shared" si="100"/>
        <v>4.4794003725851683E-2</v>
      </c>
      <c r="F119" s="140">
        <f t="shared" si="100"/>
        <v>4.0551733760642528E-2</v>
      </c>
      <c r="G119" s="140">
        <f t="shared" si="100"/>
        <v>4.2219513320698808E-2</v>
      </c>
      <c r="H119" s="140">
        <f t="shared" si="100"/>
        <v>4.2934765080451139E-2</v>
      </c>
      <c r="I119" s="140">
        <f t="shared" si="100"/>
        <v>3.6929427668403847E-2</v>
      </c>
      <c r="J119" s="140">
        <f t="shared" si="100"/>
        <v>3.7207256692222558E-2</v>
      </c>
      <c r="K119" s="140">
        <f t="shared" si="100"/>
        <v>3.6505242629594446E-2</v>
      </c>
      <c r="L119" s="140">
        <f t="shared" si="100"/>
        <v>3.9452800708613817E-2</v>
      </c>
      <c r="M119" s="140">
        <f t="shared" si="100"/>
        <v>4.1298976953834873E-2</v>
      </c>
      <c r="N119" s="140">
        <f t="shared" si="100"/>
        <v>3.6717277438803479E-2</v>
      </c>
      <c r="O119" s="140">
        <f t="shared" si="100"/>
        <v>3.7660475792611794E-2</v>
      </c>
      <c r="P119" s="140">
        <f t="shared" si="100"/>
        <v>3.9361255018679805E-2</v>
      </c>
      <c r="Q119" s="140">
        <f t="shared" si="100"/>
        <v>4.3283610415572889E-2</v>
      </c>
      <c r="R119" s="140">
        <f t="shared" si="98"/>
        <v>4.3681046035792558E-2</v>
      </c>
      <c r="S119" s="140">
        <f t="shared" si="98"/>
        <v>3.7267800952332307E-2</v>
      </c>
      <c r="T119" s="140">
        <f t="shared" si="98"/>
        <v>4.1094294825557487E-2</v>
      </c>
      <c r="U119" s="140">
        <f t="shared" si="98"/>
        <v>4.088132037148149E-2</v>
      </c>
      <c r="V119" s="140">
        <f t="shared" si="98"/>
        <v>3.5827949535773722E-2</v>
      </c>
      <c r="W119" s="140">
        <f t="shared" si="95"/>
        <v>3.2262486453162417E-2</v>
      </c>
      <c r="X119" s="140">
        <f t="shared" si="95"/>
        <v>3.67923498275258E-2</v>
      </c>
      <c r="Y119" s="140">
        <f t="shared" si="95"/>
        <v>3.8063923485885956E-2</v>
      </c>
      <c r="DA119" s="175"/>
    </row>
    <row r="120" spans="1:105" ht="11.45" customHeight="1" x14ac:dyDescent="0.25">
      <c r="A120" s="138" t="str">
        <f>$A$28</f>
        <v>Inland waterways</v>
      </c>
      <c r="B120" s="127">
        <f t="shared" ref="B120:Q120" si="101">IF(B28=0,0,B28/B$17)</f>
        <v>0</v>
      </c>
      <c r="C120" s="127">
        <f t="shared" si="101"/>
        <v>0</v>
      </c>
      <c r="D120" s="127">
        <f t="shared" si="101"/>
        <v>0</v>
      </c>
      <c r="E120" s="127">
        <f t="shared" si="101"/>
        <v>0</v>
      </c>
      <c r="F120" s="127">
        <f t="shared" si="101"/>
        <v>0</v>
      </c>
      <c r="G120" s="127">
        <f t="shared" si="101"/>
        <v>0</v>
      </c>
      <c r="H120" s="127">
        <f t="shared" si="101"/>
        <v>0</v>
      </c>
      <c r="I120" s="127">
        <f t="shared" si="101"/>
        <v>0</v>
      </c>
      <c r="J120" s="127">
        <f t="shared" si="101"/>
        <v>0</v>
      </c>
      <c r="K120" s="127">
        <f t="shared" si="101"/>
        <v>0</v>
      </c>
      <c r="L120" s="127">
        <f t="shared" si="101"/>
        <v>0</v>
      </c>
      <c r="M120" s="127">
        <f t="shared" si="101"/>
        <v>0</v>
      </c>
      <c r="N120" s="127">
        <f t="shared" si="101"/>
        <v>0</v>
      </c>
      <c r="O120" s="127">
        <f t="shared" si="101"/>
        <v>0</v>
      </c>
      <c r="P120" s="127">
        <f t="shared" si="101"/>
        <v>0</v>
      </c>
      <c r="Q120" s="127">
        <f t="shared" si="101"/>
        <v>0</v>
      </c>
      <c r="R120" s="127">
        <f t="shared" si="98"/>
        <v>0</v>
      </c>
      <c r="S120" s="127">
        <f t="shared" si="98"/>
        <v>0</v>
      </c>
      <c r="T120" s="127">
        <f t="shared" si="98"/>
        <v>0</v>
      </c>
      <c r="U120" s="127">
        <f t="shared" si="98"/>
        <v>0</v>
      </c>
      <c r="V120" s="127">
        <f t="shared" si="98"/>
        <v>0</v>
      </c>
      <c r="W120" s="127">
        <f t="shared" si="95"/>
        <v>0</v>
      </c>
      <c r="X120" s="127">
        <f t="shared" si="95"/>
        <v>0</v>
      </c>
      <c r="Y120" s="127">
        <f t="shared" si="95"/>
        <v>0</v>
      </c>
      <c r="DA120" s="178"/>
    </row>
    <row r="121" spans="1:105" ht="11.45" customHeight="1" x14ac:dyDescent="0.25">
      <c r="A121" s="27" t="s">
        <v>171</v>
      </c>
      <c r="B121" s="31">
        <f t="shared" ref="B121:Y121" si="102">IF(B29=0,0,B29/B$29)</f>
        <v>1</v>
      </c>
      <c r="C121" s="31">
        <f t="shared" si="102"/>
        <v>1</v>
      </c>
      <c r="D121" s="31">
        <f t="shared" si="102"/>
        <v>1</v>
      </c>
      <c r="E121" s="31">
        <f t="shared" si="102"/>
        <v>1</v>
      </c>
      <c r="F121" s="31">
        <f t="shared" si="102"/>
        <v>1</v>
      </c>
      <c r="G121" s="31">
        <f t="shared" si="102"/>
        <v>1</v>
      </c>
      <c r="H121" s="31">
        <f t="shared" si="102"/>
        <v>1</v>
      </c>
      <c r="I121" s="31">
        <f t="shared" si="102"/>
        <v>1</v>
      </c>
      <c r="J121" s="31">
        <f t="shared" si="102"/>
        <v>1</v>
      </c>
      <c r="K121" s="31">
        <f t="shared" si="102"/>
        <v>1</v>
      </c>
      <c r="L121" s="31">
        <f t="shared" si="102"/>
        <v>1</v>
      </c>
      <c r="M121" s="31">
        <f t="shared" si="102"/>
        <v>1</v>
      </c>
      <c r="N121" s="31">
        <f t="shared" si="102"/>
        <v>1</v>
      </c>
      <c r="O121" s="31">
        <f t="shared" si="102"/>
        <v>1</v>
      </c>
      <c r="P121" s="31">
        <f t="shared" si="102"/>
        <v>1</v>
      </c>
      <c r="Q121" s="31">
        <f t="shared" si="102"/>
        <v>1</v>
      </c>
      <c r="R121" s="31">
        <f t="shared" si="102"/>
        <v>1</v>
      </c>
      <c r="S121" s="31">
        <f t="shared" si="102"/>
        <v>1</v>
      </c>
      <c r="T121" s="31">
        <f t="shared" si="102"/>
        <v>1</v>
      </c>
      <c r="U121" s="31">
        <f t="shared" si="102"/>
        <v>1</v>
      </c>
      <c r="V121" s="31">
        <f t="shared" si="102"/>
        <v>1</v>
      </c>
      <c r="W121" s="31">
        <f t="shared" si="102"/>
        <v>1</v>
      </c>
      <c r="X121" s="31">
        <f t="shared" si="102"/>
        <v>1</v>
      </c>
      <c r="Y121" s="31">
        <f t="shared" si="102"/>
        <v>1</v>
      </c>
      <c r="DA121" s="173"/>
    </row>
    <row r="122" spans="1:105" ht="11.45" customHeight="1" x14ac:dyDescent="0.25">
      <c r="A122" s="128" t="str">
        <f>$A$30</f>
        <v>Intra-EEA</v>
      </c>
      <c r="B122" s="140">
        <f t="shared" ref="B122:Y122" si="103">IF(B30=0,0,B30/B$29)</f>
        <v>0.13308138064695008</v>
      </c>
      <c r="C122" s="140">
        <f t="shared" si="103"/>
        <v>0.126907717304477</v>
      </c>
      <c r="D122" s="140">
        <f t="shared" si="103"/>
        <v>0.12447879375619619</v>
      </c>
      <c r="E122" s="140">
        <f t="shared" si="103"/>
        <v>0.12397410053006515</v>
      </c>
      <c r="F122" s="140">
        <f t="shared" si="103"/>
        <v>0.12362098750131374</v>
      </c>
      <c r="G122" s="140">
        <f t="shared" si="103"/>
        <v>0.11806299228215995</v>
      </c>
      <c r="H122" s="140">
        <f t="shared" si="103"/>
        <v>0.10645084411034755</v>
      </c>
      <c r="I122" s="140">
        <f t="shared" si="103"/>
        <v>9.7517182286514723E-2</v>
      </c>
      <c r="J122" s="140">
        <f t="shared" si="103"/>
        <v>9.6333837067698977E-2</v>
      </c>
      <c r="K122" s="140">
        <f t="shared" si="103"/>
        <v>0.11015087718456069</v>
      </c>
      <c r="L122" s="140">
        <f t="shared" si="103"/>
        <v>0.10894380895265342</v>
      </c>
      <c r="M122" s="140">
        <f t="shared" si="103"/>
        <v>0.10030024030818487</v>
      </c>
      <c r="N122" s="140">
        <f t="shared" si="103"/>
        <v>9.5980556248263044E-2</v>
      </c>
      <c r="O122" s="140">
        <f t="shared" si="103"/>
        <v>0.10449905283730784</v>
      </c>
      <c r="P122" s="140">
        <f t="shared" si="103"/>
        <v>0.11148063522069246</v>
      </c>
      <c r="Q122" s="140">
        <f t="shared" si="103"/>
        <v>0.11385384994717249</v>
      </c>
      <c r="R122" s="140">
        <f t="shared" si="103"/>
        <v>0.11874249680297543</v>
      </c>
      <c r="S122" s="140">
        <f t="shared" si="103"/>
        <v>0.11304929991903179</v>
      </c>
      <c r="T122" s="140">
        <f t="shared" si="103"/>
        <v>0.11375099021664814</v>
      </c>
      <c r="U122" s="140">
        <f t="shared" si="103"/>
        <v>0.11488910669039251</v>
      </c>
      <c r="V122" s="140">
        <f t="shared" si="103"/>
        <v>0.12391590604830276</v>
      </c>
      <c r="W122" s="140">
        <f t="shared" si="103"/>
        <v>0.12822880659772429</v>
      </c>
      <c r="X122" s="140">
        <f t="shared" si="103"/>
        <v>0.12699415719954052</v>
      </c>
      <c r="Y122" s="140">
        <f t="shared" si="103"/>
        <v>0.13011862446509173</v>
      </c>
      <c r="DA122" s="175"/>
    </row>
    <row r="123" spans="1:105" ht="11.45" customHeight="1" x14ac:dyDescent="0.25">
      <c r="A123" s="138" t="str">
        <f>$A$31</f>
        <v>Extra-EEA</v>
      </c>
      <c r="B123" s="127">
        <f t="shared" ref="B123:Y123" si="104">IF(B31=0,0,B31/B$29)</f>
        <v>0.86691861935305004</v>
      </c>
      <c r="C123" s="127">
        <f t="shared" si="104"/>
        <v>0.87309228269552297</v>
      </c>
      <c r="D123" s="127">
        <f t="shared" si="104"/>
        <v>0.87552120624380381</v>
      </c>
      <c r="E123" s="127">
        <f t="shared" si="104"/>
        <v>0.87602589946993481</v>
      </c>
      <c r="F123" s="127">
        <f t="shared" si="104"/>
        <v>0.87637901249868633</v>
      </c>
      <c r="G123" s="127">
        <f t="shared" si="104"/>
        <v>0.88193700771784</v>
      </c>
      <c r="H123" s="127">
        <f t="shared" si="104"/>
        <v>0.89354915588965245</v>
      </c>
      <c r="I123" s="127">
        <f t="shared" si="104"/>
        <v>0.90248281771348537</v>
      </c>
      <c r="J123" s="127">
        <f t="shared" si="104"/>
        <v>0.90366616293230106</v>
      </c>
      <c r="K123" s="127">
        <f t="shared" si="104"/>
        <v>0.88984912281543926</v>
      </c>
      <c r="L123" s="127">
        <f t="shared" si="104"/>
        <v>0.89105619104734657</v>
      </c>
      <c r="M123" s="127">
        <f t="shared" si="104"/>
        <v>0.89969975969181515</v>
      </c>
      <c r="N123" s="127">
        <f t="shared" si="104"/>
        <v>0.90401944375173682</v>
      </c>
      <c r="O123" s="127">
        <f t="shared" si="104"/>
        <v>0.89550094716269213</v>
      </c>
      <c r="P123" s="127">
        <f t="shared" si="104"/>
        <v>0.88851936477930749</v>
      </c>
      <c r="Q123" s="127">
        <f t="shared" si="104"/>
        <v>0.88614615005282749</v>
      </c>
      <c r="R123" s="127">
        <f t="shared" si="104"/>
        <v>0.88125750319702456</v>
      </c>
      <c r="S123" s="127">
        <f t="shared" si="104"/>
        <v>0.8869507000809681</v>
      </c>
      <c r="T123" s="127">
        <f t="shared" si="104"/>
        <v>0.88624900978335197</v>
      </c>
      <c r="U123" s="127">
        <f t="shared" si="104"/>
        <v>0.88511089330960746</v>
      </c>
      <c r="V123" s="127">
        <f t="shared" si="104"/>
        <v>0.87608409395169728</v>
      </c>
      <c r="W123" s="127">
        <f t="shared" si="104"/>
        <v>0.8717711934022756</v>
      </c>
      <c r="X123" s="127">
        <f t="shared" si="104"/>
        <v>0.87300584280045945</v>
      </c>
      <c r="Y123" s="127">
        <f t="shared" si="104"/>
        <v>0.86988137553490819</v>
      </c>
      <c r="DA123" s="178"/>
    </row>
    <row r="124" spans="1:105" x14ac:dyDescent="0.25">
      <c r="A124" s="106"/>
      <c r="B124" s="106"/>
      <c r="C124" s="106"/>
      <c r="D124" s="106"/>
      <c r="E124" s="106"/>
      <c r="F124" s="106"/>
      <c r="G124" s="106"/>
      <c r="H124" s="106"/>
      <c r="I124" s="106"/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  <c r="T124" s="106"/>
      <c r="U124" s="106"/>
      <c r="V124" s="106"/>
      <c r="W124" s="106"/>
      <c r="X124" s="106"/>
      <c r="Y124" s="106"/>
      <c r="DA124" s="171"/>
    </row>
    <row r="125" spans="1:105" ht="11.45" customHeight="1" x14ac:dyDescent="0.25">
      <c r="A125" s="53" t="s">
        <v>40</v>
      </c>
      <c r="B125" s="65"/>
      <c r="C125" s="65"/>
      <c r="D125" s="65"/>
      <c r="E125" s="65"/>
      <c r="F125" s="65"/>
      <c r="G125" s="65"/>
      <c r="H125" s="65"/>
      <c r="I125" s="65"/>
      <c r="J125" s="65"/>
      <c r="K125" s="65"/>
      <c r="L125" s="65"/>
      <c r="M125" s="65"/>
      <c r="N125" s="65"/>
      <c r="O125" s="65"/>
      <c r="P125" s="65"/>
      <c r="Q125" s="65"/>
      <c r="R125" s="65"/>
      <c r="S125" s="65"/>
      <c r="T125" s="65"/>
      <c r="U125" s="65"/>
      <c r="V125" s="65"/>
      <c r="W125" s="65"/>
      <c r="X125" s="65"/>
      <c r="Y125" s="65"/>
      <c r="DA125" s="172"/>
    </row>
    <row r="126" spans="1:105" ht="11.45" customHeight="1" x14ac:dyDescent="0.25">
      <c r="A126" s="27" t="s">
        <v>33</v>
      </c>
      <c r="B126" s="31">
        <f t="shared" ref="B126:B138" si="105">IF(B34=0,0,B34/B$34)</f>
        <v>1</v>
      </c>
      <c r="C126" s="31">
        <f t="shared" ref="C126:Y126" si="106">IF(C34=0,0,C34/C$34)</f>
        <v>1</v>
      </c>
      <c r="D126" s="31">
        <f t="shared" si="106"/>
        <v>1</v>
      </c>
      <c r="E126" s="31">
        <f t="shared" si="106"/>
        <v>1</v>
      </c>
      <c r="F126" s="31">
        <f t="shared" si="106"/>
        <v>1</v>
      </c>
      <c r="G126" s="31">
        <f t="shared" si="106"/>
        <v>1</v>
      </c>
      <c r="H126" s="31">
        <f t="shared" si="106"/>
        <v>1</v>
      </c>
      <c r="I126" s="31">
        <f t="shared" si="106"/>
        <v>1</v>
      </c>
      <c r="J126" s="31">
        <f t="shared" si="106"/>
        <v>1</v>
      </c>
      <c r="K126" s="31">
        <f t="shared" si="106"/>
        <v>1</v>
      </c>
      <c r="L126" s="31">
        <f t="shared" si="106"/>
        <v>1</v>
      </c>
      <c r="M126" s="31">
        <f t="shared" si="106"/>
        <v>1</v>
      </c>
      <c r="N126" s="31">
        <f t="shared" si="106"/>
        <v>1</v>
      </c>
      <c r="O126" s="31">
        <f t="shared" si="106"/>
        <v>1</v>
      </c>
      <c r="P126" s="31">
        <f t="shared" si="106"/>
        <v>1</v>
      </c>
      <c r="Q126" s="31">
        <f t="shared" si="106"/>
        <v>1</v>
      </c>
      <c r="R126" s="31">
        <f t="shared" si="106"/>
        <v>1</v>
      </c>
      <c r="S126" s="31">
        <f t="shared" si="106"/>
        <v>1</v>
      </c>
      <c r="T126" s="31">
        <f t="shared" si="106"/>
        <v>1</v>
      </c>
      <c r="U126" s="31">
        <f t="shared" si="106"/>
        <v>1</v>
      </c>
      <c r="V126" s="31">
        <f t="shared" si="106"/>
        <v>1</v>
      </c>
      <c r="W126" s="31">
        <f t="shared" si="106"/>
        <v>1</v>
      </c>
      <c r="X126" s="31">
        <f t="shared" si="106"/>
        <v>1</v>
      </c>
      <c r="Y126" s="31">
        <f t="shared" si="106"/>
        <v>1</v>
      </c>
      <c r="DA126" s="173"/>
    </row>
    <row r="127" spans="1:105" ht="11.45" customHeight="1" x14ac:dyDescent="0.25">
      <c r="A127" s="136" t="str">
        <f>$A$5</f>
        <v>Road transport</v>
      </c>
      <c r="B127" s="139">
        <f t="shared" si="105"/>
        <v>0.77504819579149098</v>
      </c>
      <c r="C127" s="139">
        <f t="shared" ref="C127:Y127" si="107">IF(C35=0,0,C35/C$34)</f>
        <v>0.77684568107771845</v>
      </c>
      <c r="D127" s="139">
        <f t="shared" si="107"/>
        <v>0.78991469594135744</v>
      </c>
      <c r="E127" s="139">
        <f t="shared" si="107"/>
        <v>0.78671274602604824</v>
      </c>
      <c r="F127" s="139">
        <f t="shared" si="107"/>
        <v>0.77320866245896913</v>
      </c>
      <c r="G127" s="139">
        <f t="shared" si="107"/>
        <v>0.76846521333380402</v>
      </c>
      <c r="H127" s="139">
        <f t="shared" si="107"/>
        <v>0.77234060830007989</v>
      </c>
      <c r="I127" s="139">
        <f t="shared" si="107"/>
        <v>0.76675016722170086</v>
      </c>
      <c r="J127" s="139">
        <f t="shared" si="107"/>
        <v>0.76427656186717208</v>
      </c>
      <c r="K127" s="139">
        <f t="shared" si="107"/>
        <v>0.77913718388891451</v>
      </c>
      <c r="L127" s="139">
        <f t="shared" si="107"/>
        <v>0.7718244048901447</v>
      </c>
      <c r="M127" s="139">
        <f t="shared" si="107"/>
        <v>0.75373813733457484</v>
      </c>
      <c r="N127" s="139">
        <f t="shared" si="107"/>
        <v>0.74909420171083974</v>
      </c>
      <c r="O127" s="139">
        <f t="shared" si="107"/>
        <v>0.76823623365563531</v>
      </c>
      <c r="P127" s="139">
        <f t="shared" si="107"/>
        <v>0.76501538925438395</v>
      </c>
      <c r="Q127" s="139">
        <f t="shared" si="107"/>
        <v>0.75764876509084544</v>
      </c>
      <c r="R127" s="139">
        <f t="shared" si="107"/>
        <v>0.74665611567910339</v>
      </c>
      <c r="S127" s="139">
        <f t="shared" si="107"/>
        <v>0.73396792316232329</v>
      </c>
      <c r="T127" s="139">
        <f t="shared" si="107"/>
        <v>0.72972762738269892</v>
      </c>
      <c r="U127" s="139">
        <f t="shared" si="107"/>
        <v>0.72906582734736602</v>
      </c>
      <c r="V127" s="139">
        <f t="shared" si="107"/>
        <v>0.85899000535011272</v>
      </c>
      <c r="W127" s="139">
        <f t="shared" si="107"/>
        <v>0.83671711703940321</v>
      </c>
      <c r="X127" s="139">
        <f t="shared" si="107"/>
        <v>0.75550925698448923</v>
      </c>
      <c r="Y127" s="139">
        <f t="shared" si="107"/>
        <v>0.73662338966257934</v>
      </c>
      <c r="DA127" s="174"/>
    </row>
    <row r="128" spans="1:105" ht="11.45" customHeight="1" x14ac:dyDescent="0.25">
      <c r="A128" s="128" t="str">
        <f>$A$6</f>
        <v>Powered two-wheelers</v>
      </c>
      <c r="B128" s="140">
        <f t="shared" si="105"/>
        <v>1.6942127124092692E-2</v>
      </c>
      <c r="C128" s="140">
        <f t="shared" ref="C128:Y128" si="108">IF(C36=0,0,C36/C$34)</f>
        <v>1.7506624755345538E-2</v>
      </c>
      <c r="D128" s="140">
        <f t="shared" si="108"/>
        <v>1.56580342222758E-2</v>
      </c>
      <c r="E128" s="140">
        <f t="shared" si="108"/>
        <v>1.6816298846244294E-2</v>
      </c>
      <c r="F128" s="140">
        <f t="shared" si="108"/>
        <v>1.5555235804235937E-2</v>
      </c>
      <c r="G128" s="140">
        <f t="shared" si="108"/>
        <v>1.6865195379626708E-2</v>
      </c>
      <c r="H128" s="140">
        <f t="shared" si="108"/>
        <v>1.665289097831469E-2</v>
      </c>
      <c r="I128" s="140">
        <f t="shared" si="108"/>
        <v>1.8173536882414312E-2</v>
      </c>
      <c r="J128" s="140">
        <f t="shared" si="108"/>
        <v>1.8596559924362016E-2</v>
      </c>
      <c r="K128" s="140">
        <f t="shared" si="108"/>
        <v>1.976981344552425E-2</v>
      </c>
      <c r="L128" s="140">
        <f t="shared" si="108"/>
        <v>2.0312701734937547E-2</v>
      </c>
      <c r="M128" s="140">
        <f t="shared" si="108"/>
        <v>1.8823295680355595E-2</v>
      </c>
      <c r="N128" s="140">
        <f t="shared" si="108"/>
        <v>1.8932677725159316E-2</v>
      </c>
      <c r="O128" s="140">
        <f t="shared" si="108"/>
        <v>1.9447489268356717E-2</v>
      </c>
      <c r="P128" s="140">
        <f t="shared" si="108"/>
        <v>2.1258125181681808E-2</v>
      </c>
      <c r="Q128" s="140">
        <f t="shared" si="108"/>
        <v>2.2145988125477016E-2</v>
      </c>
      <c r="R128" s="140">
        <f t="shared" si="108"/>
        <v>2.2392627420777602E-2</v>
      </c>
      <c r="S128" s="140">
        <f t="shared" si="108"/>
        <v>2.0197053304227081E-2</v>
      </c>
      <c r="T128" s="140">
        <f t="shared" si="108"/>
        <v>1.8717812312187304E-2</v>
      </c>
      <c r="U128" s="140">
        <f t="shared" si="108"/>
        <v>1.9593276814652814E-2</v>
      </c>
      <c r="V128" s="140">
        <f t="shared" si="108"/>
        <v>2.3654685997485572E-2</v>
      </c>
      <c r="W128" s="140">
        <f t="shared" si="108"/>
        <v>2.2004039649698937E-2</v>
      </c>
      <c r="X128" s="140">
        <f t="shared" si="108"/>
        <v>1.8442306227160893E-2</v>
      </c>
      <c r="Y128" s="140">
        <f t="shared" si="108"/>
        <v>1.9102278821899261E-2</v>
      </c>
      <c r="DA128" s="175"/>
    </row>
    <row r="129" spans="1:105" ht="11.45" customHeight="1" x14ac:dyDescent="0.25">
      <c r="A129" s="128" t="str">
        <f>$A$7</f>
        <v>Passenger cars</v>
      </c>
      <c r="B129" s="140">
        <f t="shared" si="105"/>
        <v>0.7048642863845489</v>
      </c>
      <c r="C129" s="140">
        <f t="shared" ref="C129:Y129" si="109">IF(C37=0,0,C37/C$34)</f>
        <v>0.70757315889157568</v>
      </c>
      <c r="D129" s="140">
        <f t="shared" si="109"/>
        <v>0.72445287770678535</v>
      </c>
      <c r="E129" s="140">
        <f t="shared" si="109"/>
        <v>0.72269882637165161</v>
      </c>
      <c r="F129" s="140">
        <f t="shared" si="109"/>
        <v>0.71123777615955197</v>
      </c>
      <c r="G129" s="140">
        <f t="shared" si="109"/>
        <v>0.70798287354493983</v>
      </c>
      <c r="H129" s="140">
        <f t="shared" si="109"/>
        <v>0.71157752981937461</v>
      </c>
      <c r="I129" s="140">
        <f t="shared" si="109"/>
        <v>0.7046226349949567</v>
      </c>
      <c r="J129" s="140">
        <f t="shared" si="109"/>
        <v>0.70099685771715303</v>
      </c>
      <c r="K129" s="140">
        <f t="shared" si="109"/>
        <v>0.71383759214936782</v>
      </c>
      <c r="L129" s="140">
        <f t="shared" si="109"/>
        <v>0.70586388009239587</v>
      </c>
      <c r="M129" s="140">
        <f t="shared" si="109"/>
        <v>0.68894837423860333</v>
      </c>
      <c r="N129" s="140">
        <f t="shared" si="109"/>
        <v>0.6821380525554005</v>
      </c>
      <c r="O129" s="140">
        <f t="shared" si="109"/>
        <v>0.70160916119620453</v>
      </c>
      <c r="P129" s="140">
        <f t="shared" si="109"/>
        <v>0.69784624248794513</v>
      </c>
      <c r="Q129" s="140">
        <f t="shared" si="109"/>
        <v>0.69078919119302074</v>
      </c>
      <c r="R129" s="140">
        <f t="shared" si="109"/>
        <v>0.67965367088784023</v>
      </c>
      <c r="S129" s="140">
        <f t="shared" si="109"/>
        <v>0.68560505745092237</v>
      </c>
      <c r="T129" s="140">
        <f t="shared" si="109"/>
        <v>0.68334577943177632</v>
      </c>
      <c r="U129" s="140">
        <f t="shared" si="109"/>
        <v>0.681825280388766</v>
      </c>
      <c r="V129" s="140">
        <f t="shared" si="109"/>
        <v>0.80623906800194378</v>
      </c>
      <c r="W129" s="140">
        <f t="shared" si="109"/>
        <v>0.78370252517004846</v>
      </c>
      <c r="X129" s="140">
        <f t="shared" si="109"/>
        <v>0.70658642183740383</v>
      </c>
      <c r="Y129" s="140">
        <f t="shared" si="109"/>
        <v>0.68444970027590724</v>
      </c>
      <c r="DA129" s="175"/>
    </row>
    <row r="130" spans="1:105" ht="11.45" customHeight="1" x14ac:dyDescent="0.25">
      <c r="A130" s="128" t="str">
        <f>$A$8</f>
        <v>Motor coaches, buses and trolley buses</v>
      </c>
      <c r="B130" s="140">
        <f t="shared" si="105"/>
        <v>5.3241782282849349E-2</v>
      </c>
      <c r="C130" s="140">
        <f t="shared" ref="C130:Y130" si="110">IF(C38=0,0,C38/C$34)</f>
        <v>5.1765897430797174E-2</v>
      </c>
      <c r="D130" s="140">
        <f t="shared" si="110"/>
        <v>4.9803784012296168E-2</v>
      </c>
      <c r="E130" s="140">
        <f t="shared" si="110"/>
        <v>4.7197620808152423E-2</v>
      </c>
      <c r="F130" s="140">
        <f t="shared" si="110"/>
        <v>4.641565049518126E-2</v>
      </c>
      <c r="G130" s="140">
        <f t="shared" si="110"/>
        <v>4.3617144409237543E-2</v>
      </c>
      <c r="H130" s="140">
        <f t="shared" si="110"/>
        <v>4.4110187502390569E-2</v>
      </c>
      <c r="I130" s="140">
        <f t="shared" si="110"/>
        <v>4.3953995344329928E-2</v>
      </c>
      <c r="J130" s="140">
        <f t="shared" si="110"/>
        <v>4.4683144225657001E-2</v>
      </c>
      <c r="K130" s="140">
        <f t="shared" si="110"/>
        <v>4.5529778294022515E-2</v>
      </c>
      <c r="L130" s="140">
        <f t="shared" si="110"/>
        <v>4.5647823062811226E-2</v>
      </c>
      <c r="M130" s="140">
        <f t="shared" si="110"/>
        <v>4.5966467415616032E-2</v>
      </c>
      <c r="N130" s="140">
        <f t="shared" si="110"/>
        <v>4.802347143027981E-2</v>
      </c>
      <c r="O130" s="140">
        <f t="shared" si="110"/>
        <v>4.7179583191073966E-2</v>
      </c>
      <c r="P130" s="140">
        <f t="shared" si="110"/>
        <v>4.5911021584757197E-2</v>
      </c>
      <c r="Q130" s="140">
        <f t="shared" si="110"/>
        <v>4.4713585772347589E-2</v>
      </c>
      <c r="R130" s="140">
        <f t="shared" si="110"/>
        <v>4.4609817370485527E-2</v>
      </c>
      <c r="S130" s="140">
        <f t="shared" si="110"/>
        <v>2.8165812407173856E-2</v>
      </c>
      <c r="T130" s="140">
        <f t="shared" si="110"/>
        <v>2.7664035638735252E-2</v>
      </c>
      <c r="U130" s="140">
        <f t="shared" si="110"/>
        <v>2.7647270143947286E-2</v>
      </c>
      <c r="V130" s="140">
        <f t="shared" si="110"/>
        <v>2.9096251350683323E-2</v>
      </c>
      <c r="W130" s="140">
        <f t="shared" si="110"/>
        <v>3.1010552219655742E-2</v>
      </c>
      <c r="X130" s="140">
        <f t="shared" si="110"/>
        <v>3.0480528919924515E-2</v>
      </c>
      <c r="Y130" s="140">
        <f t="shared" si="110"/>
        <v>3.3071410564772773E-2</v>
      </c>
      <c r="DA130" s="175"/>
    </row>
    <row r="131" spans="1:105" ht="11.45" customHeight="1" x14ac:dyDescent="0.25">
      <c r="A131" s="109" t="str">
        <f>$A$9</f>
        <v>Rail, metro and tram</v>
      </c>
      <c r="B131" s="124">
        <f t="shared" si="105"/>
        <v>2.2624765440194171E-2</v>
      </c>
      <c r="C131" s="124">
        <f t="shared" ref="C131:Y131" si="111">IF(C39=0,0,C39/C$34)</f>
        <v>2.3781514933245818E-2</v>
      </c>
      <c r="D131" s="124">
        <f t="shared" si="111"/>
        <v>2.4585677208439797E-2</v>
      </c>
      <c r="E131" s="124">
        <f t="shared" si="111"/>
        <v>2.7423474656021962E-2</v>
      </c>
      <c r="F131" s="124">
        <f t="shared" si="111"/>
        <v>3.0093718678342395E-2</v>
      </c>
      <c r="G131" s="124">
        <f t="shared" si="111"/>
        <v>3.1872411448646894E-2</v>
      </c>
      <c r="H131" s="124">
        <f t="shared" si="111"/>
        <v>2.4438818722933377E-2</v>
      </c>
      <c r="I131" s="124">
        <f t="shared" si="111"/>
        <v>2.6342931612169721E-2</v>
      </c>
      <c r="J131" s="124">
        <f t="shared" si="111"/>
        <v>2.67469755191805E-2</v>
      </c>
      <c r="K131" s="124">
        <f t="shared" si="111"/>
        <v>2.4319160262428991E-2</v>
      </c>
      <c r="L131" s="124">
        <f t="shared" si="111"/>
        <v>2.4615173190102219E-2</v>
      </c>
      <c r="M131" s="124">
        <f t="shared" si="111"/>
        <v>2.6396768783833808E-2</v>
      </c>
      <c r="N131" s="124">
        <f t="shared" si="111"/>
        <v>2.9907628929767199E-2</v>
      </c>
      <c r="O131" s="124">
        <f t="shared" si="111"/>
        <v>1.3773716049937691E-2</v>
      </c>
      <c r="P131" s="124">
        <f t="shared" si="111"/>
        <v>1.3636782603926432E-2</v>
      </c>
      <c r="Q131" s="124">
        <f t="shared" si="111"/>
        <v>1.3807560160077316E-2</v>
      </c>
      <c r="R131" s="124">
        <f t="shared" si="111"/>
        <v>1.3385472657386523E-2</v>
      </c>
      <c r="S131" s="124">
        <f t="shared" si="111"/>
        <v>1.2606667038525417E-2</v>
      </c>
      <c r="T131" s="124">
        <f t="shared" si="111"/>
        <v>1.2274955991160236E-2</v>
      </c>
      <c r="U131" s="124">
        <f t="shared" si="111"/>
        <v>1.1266215119657688E-2</v>
      </c>
      <c r="V131" s="124">
        <f t="shared" si="111"/>
        <v>1.242861952837526E-2</v>
      </c>
      <c r="W131" s="124">
        <f t="shared" si="111"/>
        <v>1.1922520804807171E-2</v>
      </c>
      <c r="X131" s="124">
        <f t="shared" si="111"/>
        <v>1.0808676743143465E-2</v>
      </c>
      <c r="Y131" s="124">
        <f t="shared" si="111"/>
        <v>1.0719170610932374E-2</v>
      </c>
      <c r="DA131" s="176"/>
    </row>
    <row r="132" spans="1:105" ht="11.45" customHeight="1" x14ac:dyDescent="0.25">
      <c r="A132" s="128" t="str">
        <f>$A$10</f>
        <v>Metro and tram, urban light rail</v>
      </c>
      <c r="B132" s="140">
        <f t="shared" si="105"/>
        <v>1.3010703808063256E-3</v>
      </c>
      <c r="C132" s="140">
        <f t="shared" ref="C132:Y132" si="112">IF(C40=0,0,C40/C$34)</f>
        <v>1.2959443518889824E-3</v>
      </c>
      <c r="D132" s="140">
        <f t="shared" si="112"/>
        <v>1.2686765446969623E-3</v>
      </c>
      <c r="E132" s="140">
        <f t="shared" si="112"/>
        <v>1.3050868260341679E-3</v>
      </c>
      <c r="F132" s="140">
        <f t="shared" si="112"/>
        <v>1.2648048355177251E-3</v>
      </c>
      <c r="G132" s="140">
        <f t="shared" si="112"/>
        <v>1.1772973658135063E-3</v>
      </c>
      <c r="H132" s="140">
        <f t="shared" si="112"/>
        <v>1.1674396377985487E-3</v>
      </c>
      <c r="I132" s="140">
        <f t="shared" si="112"/>
        <v>1.1456207938441861E-3</v>
      </c>
      <c r="J132" s="140">
        <f t="shared" si="112"/>
        <v>1.1599009707978652E-3</v>
      </c>
      <c r="K132" s="140">
        <f t="shared" si="112"/>
        <v>1.1556150376196268E-3</v>
      </c>
      <c r="L132" s="140">
        <f t="shared" si="112"/>
        <v>1.4268734289218964E-3</v>
      </c>
      <c r="M132" s="140">
        <f t="shared" si="112"/>
        <v>1.4076188705159304E-3</v>
      </c>
      <c r="N132" s="140">
        <f t="shared" si="112"/>
        <v>1.4468588107454932E-3</v>
      </c>
      <c r="O132" s="140">
        <f t="shared" si="112"/>
        <v>1.3711747165860071E-3</v>
      </c>
      <c r="P132" s="140">
        <f t="shared" si="112"/>
        <v>1.3432434571010198E-3</v>
      </c>
      <c r="Q132" s="140">
        <f t="shared" si="112"/>
        <v>1.268681982637688E-3</v>
      </c>
      <c r="R132" s="140">
        <f t="shared" si="112"/>
        <v>1.2621097699841669E-3</v>
      </c>
      <c r="S132" s="140">
        <f t="shared" si="112"/>
        <v>1.2483518210047952E-3</v>
      </c>
      <c r="T132" s="140">
        <f t="shared" si="112"/>
        <v>1.3617348810421738E-3</v>
      </c>
      <c r="U132" s="140">
        <f t="shared" si="112"/>
        <v>1.2986159157320862E-3</v>
      </c>
      <c r="V132" s="140">
        <f t="shared" si="112"/>
        <v>1.429933759226961E-3</v>
      </c>
      <c r="W132" s="140">
        <f t="shared" si="112"/>
        <v>1.1666720643599222E-3</v>
      </c>
      <c r="X132" s="140">
        <f t="shared" si="112"/>
        <v>1.1780354403222782E-3</v>
      </c>
      <c r="Y132" s="140">
        <f t="shared" si="112"/>
        <v>1.1407849492037095E-3</v>
      </c>
      <c r="DA132" s="175"/>
    </row>
    <row r="133" spans="1:105" ht="11.45" customHeight="1" x14ac:dyDescent="0.25">
      <c r="A133" s="128" t="str">
        <f>$A$11</f>
        <v>Conventional passenger trains</v>
      </c>
      <c r="B133" s="140">
        <f t="shared" si="105"/>
        <v>2.0177489494013334E-2</v>
      </c>
      <c r="C133" s="140">
        <f t="shared" ref="C133:Y133" si="113">IF(C41=0,0,C41/C$34)</f>
        <v>2.1303361349589826E-2</v>
      </c>
      <c r="D133" s="140">
        <f t="shared" si="113"/>
        <v>2.2060629773357685E-2</v>
      </c>
      <c r="E133" s="140">
        <f t="shared" si="113"/>
        <v>2.5039709336295148E-2</v>
      </c>
      <c r="F133" s="140">
        <f t="shared" si="113"/>
        <v>2.7752619918658388E-2</v>
      </c>
      <c r="G133" s="140">
        <f t="shared" si="113"/>
        <v>2.9609865509152442E-2</v>
      </c>
      <c r="H133" s="140">
        <f t="shared" si="113"/>
        <v>2.2075746052001334E-2</v>
      </c>
      <c r="I133" s="140">
        <f t="shared" si="113"/>
        <v>2.4053394983018263E-2</v>
      </c>
      <c r="J133" s="140">
        <f t="shared" si="113"/>
        <v>2.3221210874614786E-2</v>
      </c>
      <c r="K133" s="140">
        <f t="shared" si="113"/>
        <v>1.7956698409380918E-2</v>
      </c>
      <c r="L133" s="140">
        <f t="shared" si="113"/>
        <v>1.7677713646219138E-2</v>
      </c>
      <c r="M133" s="140">
        <f t="shared" si="113"/>
        <v>1.9727810679597474E-2</v>
      </c>
      <c r="N133" s="140">
        <f t="shared" si="113"/>
        <v>2.3117465665248874E-2</v>
      </c>
      <c r="O133" s="140">
        <f t="shared" si="113"/>
        <v>6.7052378185278629E-3</v>
      </c>
      <c r="P133" s="140">
        <f t="shared" si="113"/>
        <v>6.9202712401094891E-3</v>
      </c>
      <c r="Q133" s="140">
        <f t="shared" si="113"/>
        <v>7.5069980066707212E-3</v>
      </c>
      <c r="R133" s="140">
        <f t="shared" si="113"/>
        <v>7.2022591591966159E-3</v>
      </c>
      <c r="S133" s="140">
        <f t="shared" si="113"/>
        <v>6.346119420742459E-3</v>
      </c>
      <c r="T133" s="140">
        <f t="shared" si="113"/>
        <v>6.0029399438465232E-3</v>
      </c>
      <c r="U133" s="140">
        <f t="shared" si="113"/>
        <v>5.2458926769562908E-3</v>
      </c>
      <c r="V133" s="140">
        <f t="shared" si="113"/>
        <v>7.684963556939442E-3</v>
      </c>
      <c r="W133" s="140">
        <f t="shared" si="113"/>
        <v>7.8086379325596122E-3</v>
      </c>
      <c r="X133" s="140">
        <f t="shared" si="113"/>
        <v>7.012845042253169E-3</v>
      </c>
      <c r="Y133" s="140">
        <f t="shared" si="113"/>
        <v>7.2800965636600629E-3</v>
      </c>
      <c r="DA133" s="175"/>
    </row>
    <row r="134" spans="1:105" ht="11.45" customHeight="1" x14ac:dyDescent="0.25">
      <c r="A134" s="128" t="str">
        <f>$A$12</f>
        <v>High speed passenger trains</v>
      </c>
      <c r="B134" s="140">
        <f t="shared" si="105"/>
        <v>1.1462055653745119E-3</v>
      </c>
      <c r="C134" s="140">
        <f t="shared" ref="C134:Y134" si="114">IF(C42=0,0,C42/C$34)</f>
        <v>1.1822092317670088E-3</v>
      </c>
      <c r="D134" s="140">
        <f t="shared" si="114"/>
        <v>1.256370890385147E-3</v>
      </c>
      <c r="E134" s="140">
        <f t="shared" si="114"/>
        <v>1.0786784936926491E-3</v>
      </c>
      <c r="F134" s="140">
        <f t="shared" si="114"/>
        <v>1.0762939241662809E-3</v>
      </c>
      <c r="G134" s="140">
        <f t="shared" si="114"/>
        <v>1.0852485736809472E-3</v>
      </c>
      <c r="H134" s="140">
        <f t="shared" si="114"/>
        <v>1.1956330331334966E-3</v>
      </c>
      <c r="I134" s="140">
        <f t="shared" si="114"/>
        <v>1.1439158353072718E-3</v>
      </c>
      <c r="J134" s="140">
        <f t="shared" si="114"/>
        <v>2.3658636737678481E-3</v>
      </c>
      <c r="K134" s="140">
        <f t="shared" si="114"/>
        <v>5.2068468154284472E-3</v>
      </c>
      <c r="L134" s="140">
        <f t="shared" si="114"/>
        <v>5.510586114961186E-3</v>
      </c>
      <c r="M134" s="140">
        <f t="shared" si="114"/>
        <v>5.2613392337204036E-3</v>
      </c>
      <c r="N134" s="140">
        <f t="shared" si="114"/>
        <v>5.3433044537728354E-3</v>
      </c>
      <c r="O134" s="140">
        <f t="shared" si="114"/>
        <v>5.6973035148238232E-3</v>
      </c>
      <c r="P134" s="140">
        <f t="shared" si="114"/>
        <v>5.3732679067159247E-3</v>
      </c>
      <c r="Q134" s="140">
        <f t="shared" si="114"/>
        <v>5.0318801707689067E-3</v>
      </c>
      <c r="R134" s="140">
        <f t="shared" si="114"/>
        <v>4.9211037282057401E-3</v>
      </c>
      <c r="S134" s="140">
        <f t="shared" si="114"/>
        <v>5.012195796778164E-3</v>
      </c>
      <c r="T134" s="140">
        <f t="shared" si="114"/>
        <v>4.9102811662715381E-3</v>
      </c>
      <c r="U134" s="140">
        <f t="shared" si="114"/>
        <v>4.7217065269693128E-3</v>
      </c>
      <c r="V134" s="140">
        <f t="shared" si="114"/>
        <v>3.3137222122088571E-3</v>
      </c>
      <c r="W134" s="140">
        <f t="shared" si="114"/>
        <v>2.9472108078876362E-3</v>
      </c>
      <c r="X134" s="140">
        <f t="shared" si="114"/>
        <v>2.6177962605680163E-3</v>
      </c>
      <c r="Y134" s="140">
        <f t="shared" si="114"/>
        <v>2.2982890980686021E-3</v>
      </c>
      <c r="DA134" s="175"/>
    </row>
    <row r="135" spans="1:105" ht="11.45" customHeight="1" x14ac:dyDescent="0.25">
      <c r="A135" s="109" t="str">
        <f>$A$13</f>
        <v>Aviation</v>
      </c>
      <c r="B135" s="124">
        <f t="shared" si="105"/>
        <v>0.20232703876831468</v>
      </c>
      <c r="C135" s="124">
        <f t="shared" ref="C135:Y135" si="115">IF(C43=0,0,C43/C$34)</f>
        <v>0.1993728039890357</v>
      </c>
      <c r="D135" s="124">
        <f t="shared" si="115"/>
        <v>0.1854996268502028</v>
      </c>
      <c r="E135" s="124">
        <f t="shared" si="115"/>
        <v>0.18586377931792969</v>
      </c>
      <c r="F135" s="124">
        <f t="shared" si="115"/>
        <v>0.19669761886268847</v>
      </c>
      <c r="G135" s="124">
        <f t="shared" si="115"/>
        <v>0.19966237521754909</v>
      </c>
      <c r="H135" s="124">
        <f t="shared" si="115"/>
        <v>0.20322057297698679</v>
      </c>
      <c r="I135" s="124">
        <f t="shared" si="115"/>
        <v>0.20690690116612928</v>
      </c>
      <c r="J135" s="124">
        <f t="shared" si="115"/>
        <v>0.20897646261364741</v>
      </c>
      <c r="K135" s="124">
        <f t="shared" si="115"/>
        <v>0.19654365584865646</v>
      </c>
      <c r="L135" s="124">
        <f t="shared" si="115"/>
        <v>0.20356042191975304</v>
      </c>
      <c r="M135" s="124">
        <f t="shared" si="115"/>
        <v>0.21986509388159123</v>
      </c>
      <c r="N135" s="124">
        <f t="shared" si="115"/>
        <v>0.22099816935939318</v>
      </c>
      <c r="O135" s="124">
        <f t="shared" si="115"/>
        <v>0.21799005029442695</v>
      </c>
      <c r="P135" s="124">
        <f t="shared" si="115"/>
        <v>0.22134782814168955</v>
      </c>
      <c r="Q135" s="124">
        <f t="shared" si="115"/>
        <v>0.22854367474907722</v>
      </c>
      <c r="R135" s="124">
        <f t="shared" si="115"/>
        <v>0.23995841166351009</v>
      </c>
      <c r="S135" s="124">
        <f t="shared" si="115"/>
        <v>0.25342540979915135</v>
      </c>
      <c r="T135" s="124">
        <f t="shared" si="115"/>
        <v>0.25799741662614073</v>
      </c>
      <c r="U135" s="124">
        <f t="shared" si="115"/>
        <v>0.25966795753297628</v>
      </c>
      <c r="V135" s="124">
        <f t="shared" si="115"/>
        <v>0.12858137512151202</v>
      </c>
      <c r="W135" s="124">
        <f t="shared" si="115"/>
        <v>0.15136036215578963</v>
      </c>
      <c r="X135" s="124">
        <f t="shared" si="115"/>
        <v>0.23368206627236721</v>
      </c>
      <c r="Y135" s="124">
        <f t="shared" si="115"/>
        <v>0.25265743972648819</v>
      </c>
      <c r="DA135" s="176"/>
    </row>
    <row r="136" spans="1:105" ht="11.45" customHeight="1" x14ac:dyDescent="0.25">
      <c r="A136" s="128" t="str">
        <f>$A$14</f>
        <v>Domestic</v>
      </c>
      <c r="B136" s="140">
        <f t="shared" si="105"/>
        <v>8.0033355009904356E-2</v>
      </c>
      <c r="C136" s="140">
        <f t="shared" ref="C136:Y136" si="116">IF(C44=0,0,C44/C$34)</f>
        <v>7.7740323182812918E-2</v>
      </c>
      <c r="D136" s="140">
        <f t="shared" si="116"/>
        <v>7.0734710812259335E-2</v>
      </c>
      <c r="E136" s="140">
        <f t="shared" si="116"/>
        <v>7.1161122801081209E-2</v>
      </c>
      <c r="F136" s="140">
        <f t="shared" si="116"/>
        <v>7.5107103501726155E-2</v>
      </c>
      <c r="G136" s="140">
        <f t="shared" si="116"/>
        <v>8.343332942086544E-2</v>
      </c>
      <c r="H136" s="140">
        <f t="shared" si="116"/>
        <v>8.534706928242182E-2</v>
      </c>
      <c r="I136" s="140">
        <f t="shared" si="116"/>
        <v>8.698387263640886E-2</v>
      </c>
      <c r="J136" s="140">
        <f t="shared" si="116"/>
        <v>8.5845676325771919E-2</v>
      </c>
      <c r="K136" s="140">
        <f t="shared" si="116"/>
        <v>7.8487554816737456E-2</v>
      </c>
      <c r="L136" s="140">
        <f t="shared" si="116"/>
        <v>8.8965858598909153E-2</v>
      </c>
      <c r="M136" s="140">
        <f t="shared" si="116"/>
        <v>8.086015223249958E-2</v>
      </c>
      <c r="N136" s="140">
        <f t="shared" si="116"/>
        <v>7.4505653742867092E-2</v>
      </c>
      <c r="O136" s="140">
        <f t="shared" si="116"/>
        <v>6.5963875150682749E-2</v>
      </c>
      <c r="P136" s="140">
        <f t="shared" si="116"/>
        <v>6.8897803212178324E-2</v>
      </c>
      <c r="Q136" s="140">
        <f t="shared" si="116"/>
        <v>7.2462220710857853E-2</v>
      </c>
      <c r="R136" s="140">
        <f t="shared" si="116"/>
        <v>7.7444762293765415E-2</v>
      </c>
      <c r="S136" s="140">
        <f t="shared" si="116"/>
        <v>8.1711640849316772E-2</v>
      </c>
      <c r="T136" s="140">
        <f t="shared" si="116"/>
        <v>8.3313133579694498E-2</v>
      </c>
      <c r="U136" s="140">
        <f t="shared" si="116"/>
        <v>8.5614435465018401E-2</v>
      </c>
      <c r="V136" s="140">
        <f t="shared" si="116"/>
        <v>5.0015927607358984E-2</v>
      </c>
      <c r="W136" s="140">
        <f t="shared" si="116"/>
        <v>7.3274772090720613E-2</v>
      </c>
      <c r="X136" s="140">
        <f t="shared" si="116"/>
        <v>9.5997911325874707E-2</v>
      </c>
      <c r="Y136" s="140">
        <f t="shared" si="116"/>
        <v>9.7795711895401316E-2</v>
      </c>
      <c r="DA136" s="175"/>
    </row>
    <row r="137" spans="1:105" ht="11.45" customHeight="1" x14ac:dyDescent="0.25">
      <c r="A137" s="128" t="str">
        <f>$A$15</f>
        <v>International - Intra-EEAwCHUK</v>
      </c>
      <c r="B137" s="140">
        <f t="shared" si="105"/>
        <v>7.4759555340676631E-2</v>
      </c>
      <c r="C137" s="140">
        <f t="shared" ref="C137:Y137" si="117">IF(C45=0,0,C45/C$34)</f>
        <v>8.2251485843133326E-2</v>
      </c>
      <c r="D137" s="140">
        <f t="shared" si="117"/>
        <v>7.2276196345924748E-2</v>
      </c>
      <c r="E137" s="140">
        <f t="shared" si="117"/>
        <v>8.3058398460275532E-2</v>
      </c>
      <c r="F137" s="140">
        <f t="shared" si="117"/>
        <v>8.4427486818337352E-2</v>
      </c>
      <c r="G137" s="140">
        <f t="shared" si="117"/>
        <v>8.1045238229526861E-2</v>
      </c>
      <c r="H137" s="140">
        <f t="shared" si="117"/>
        <v>8.2796364832224037E-2</v>
      </c>
      <c r="I137" s="140">
        <f t="shared" si="117"/>
        <v>8.48015196569879E-2</v>
      </c>
      <c r="J137" s="140">
        <f t="shared" si="117"/>
        <v>8.6185513023939994E-2</v>
      </c>
      <c r="K137" s="140">
        <f t="shared" si="117"/>
        <v>8.0412585814417945E-2</v>
      </c>
      <c r="L137" s="140">
        <f t="shared" si="117"/>
        <v>7.7593375025876155E-2</v>
      </c>
      <c r="M137" s="140">
        <f t="shared" si="117"/>
        <v>9.5405812363949835E-2</v>
      </c>
      <c r="N137" s="140">
        <f t="shared" si="117"/>
        <v>9.9702936728240404E-2</v>
      </c>
      <c r="O137" s="140">
        <f t="shared" si="117"/>
        <v>0.10417884467385857</v>
      </c>
      <c r="P137" s="140">
        <f t="shared" si="117"/>
        <v>0.10506538358336803</v>
      </c>
      <c r="Q137" s="140">
        <f t="shared" si="117"/>
        <v>0.10757995945828536</v>
      </c>
      <c r="R137" s="140">
        <f t="shared" si="117"/>
        <v>0.11561596271371088</v>
      </c>
      <c r="S137" s="140">
        <f t="shared" si="117"/>
        <v>0.12409849692708771</v>
      </c>
      <c r="T137" s="140">
        <f t="shared" si="117"/>
        <v>0.12498190207312537</v>
      </c>
      <c r="U137" s="140">
        <f t="shared" si="117"/>
        <v>0.12322757817100469</v>
      </c>
      <c r="V137" s="140">
        <f t="shared" si="117"/>
        <v>4.7059152849121384E-2</v>
      </c>
      <c r="W137" s="140">
        <f t="shared" si="117"/>
        <v>5.0092615424180607E-2</v>
      </c>
      <c r="X137" s="140">
        <f t="shared" si="117"/>
        <v>9.9046636076895234E-2</v>
      </c>
      <c r="Y137" s="140">
        <f t="shared" si="117"/>
        <v>0.11090642860575284</v>
      </c>
      <c r="DA137" s="175"/>
    </row>
    <row r="138" spans="1:105" ht="11.45" customHeight="1" x14ac:dyDescent="0.25">
      <c r="A138" s="128" t="str">
        <f>$A$16</f>
        <v>International - Extra-EEAwCHUK</v>
      </c>
      <c r="B138" s="140">
        <f t="shared" si="105"/>
        <v>4.7534128417733662E-2</v>
      </c>
      <c r="C138" s="140">
        <f t="shared" ref="C138:Y138" si="118">IF(C46=0,0,C46/C$34)</f>
        <v>3.9380994963089472E-2</v>
      </c>
      <c r="D138" s="140">
        <f t="shared" si="118"/>
        <v>4.2488719692018721E-2</v>
      </c>
      <c r="E138" s="140">
        <f t="shared" si="118"/>
        <v>3.1644258056572935E-2</v>
      </c>
      <c r="F138" s="140">
        <f t="shared" si="118"/>
        <v>3.7163028542624932E-2</v>
      </c>
      <c r="G138" s="140">
        <f t="shared" si="118"/>
        <v>3.5183807567156798E-2</v>
      </c>
      <c r="H138" s="140">
        <f t="shared" si="118"/>
        <v>3.5077138862340956E-2</v>
      </c>
      <c r="I138" s="140">
        <f t="shared" si="118"/>
        <v>3.5121508872732528E-2</v>
      </c>
      <c r="J138" s="140">
        <f t="shared" si="118"/>
        <v>3.6945273263935499E-2</v>
      </c>
      <c r="K138" s="140">
        <f t="shared" si="118"/>
        <v>3.764351521750104E-2</v>
      </c>
      <c r="L138" s="140">
        <f t="shared" si="118"/>
        <v>3.7001188294967763E-2</v>
      </c>
      <c r="M138" s="140">
        <f t="shared" si="118"/>
        <v>4.3599129285141806E-2</v>
      </c>
      <c r="N138" s="140">
        <f t="shared" si="118"/>
        <v>4.6789578888285686E-2</v>
      </c>
      <c r="O138" s="140">
        <f t="shared" si="118"/>
        <v>4.784733046988561E-2</v>
      </c>
      <c r="P138" s="140">
        <f t="shared" si="118"/>
        <v>4.7384641346143189E-2</v>
      </c>
      <c r="Q138" s="140">
        <f t="shared" si="118"/>
        <v>4.8501494579933982E-2</v>
      </c>
      <c r="R138" s="140">
        <f t="shared" si="118"/>
        <v>4.6897686656033798E-2</v>
      </c>
      <c r="S138" s="140">
        <f t="shared" si="118"/>
        <v>4.7615272022746853E-2</v>
      </c>
      <c r="T138" s="140">
        <f t="shared" si="118"/>
        <v>4.9702380973320845E-2</v>
      </c>
      <c r="U138" s="140">
        <f t="shared" si="118"/>
        <v>5.0825943896953205E-2</v>
      </c>
      <c r="V138" s="140">
        <f t="shared" si="118"/>
        <v>3.1506294665031652E-2</v>
      </c>
      <c r="W138" s="140">
        <f t="shared" si="118"/>
        <v>2.7992974640888388E-2</v>
      </c>
      <c r="X138" s="140">
        <f t="shared" si="118"/>
        <v>3.8637518869597293E-2</v>
      </c>
      <c r="Y138" s="140">
        <f t="shared" si="118"/>
        <v>4.3955299225334012E-2</v>
      </c>
      <c r="DA138" s="175"/>
    </row>
    <row r="139" spans="1:105" ht="11.45" customHeight="1" x14ac:dyDescent="0.25">
      <c r="A139" s="27" t="s">
        <v>34</v>
      </c>
      <c r="B139" s="31">
        <f t="shared" ref="B139:B150" si="119">IF(B47=0,0,B47/B$47)</f>
        <v>1</v>
      </c>
      <c r="C139" s="31">
        <f t="shared" ref="C139:Y139" si="120">IF(C47=0,0,C47/C$47)</f>
        <v>1</v>
      </c>
      <c r="D139" s="31">
        <f t="shared" si="120"/>
        <v>1</v>
      </c>
      <c r="E139" s="31">
        <f t="shared" si="120"/>
        <v>1</v>
      </c>
      <c r="F139" s="31">
        <f t="shared" si="120"/>
        <v>1</v>
      </c>
      <c r="G139" s="31">
        <f t="shared" si="120"/>
        <v>1</v>
      </c>
      <c r="H139" s="31">
        <f t="shared" si="120"/>
        <v>1</v>
      </c>
      <c r="I139" s="31">
        <f t="shared" si="120"/>
        <v>1</v>
      </c>
      <c r="J139" s="31">
        <f t="shared" si="120"/>
        <v>1</v>
      </c>
      <c r="K139" s="31">
        <f t="shared" si="120"/>
        <v>1</v>
      </c>
      <c r="L139" s="31">
        <f t="shared" si="120"/>
        <v>1</v>
      </c>
      <c r="M139" s="31">
        <f t="shared" si="120"/>
        <v>1</v>
      </c>
      <c r="N139" s="31">
        <f t="shared" si="120"/>
        <v>1</v>
      </c>
      <c r="O139" s="31">
        <f t="shared" si="120"/>
        <v>1</v>
      </c>
      <c r="P139" s="31">
        <f t="shared" si="120"/>
        <v>1</v>
      </c>
      <c r="Q139" s="31">
        <f t="shared" si="120"/>
        <v>1</v>
      </c>
      <c r="R139" s="31">
        <f t="shared" si="120"/>
        <v>1</v>
      </c>
      <c r="S139" s="31">
        <f t="shared" si="120"/>
        <v>1</v>
      </c>
      <c r="T139" s="31">
        <f t="shared" si="120"/>
        <v>1</v>
      </c>
      <c r="U139" s="31">
        <f t="shared" si="120"/>
        <v>1</v>
      </c>
      <c r="V139" s="31">
        <f t="shared" si="120"/>
        <v>1</v>
      </c>
      <c r="W139" s="31">
        <f t="shared" si="120"/>
        <v>1</v>
      </c>
      <c r="X139" s="31">
        <f t="shared" si="120"/>
        <v>1</v>
      </c>
      <c r="Y139" s="31">
        <f t="shared" si="120"/>
        <v>1</v>
      </c>
      <c r="DA139" s="173"/>
    </row>
    <row r="140" spans="1:105" ht="11.45" customHeight="1" x14ac:dyDescent="0.25">
      <c r="A140" s="136" t="str">
        <f>$A$18</f>
        <v>Road transport</v>
      </c>
      <c r="B140" s="139">
        <f t="shared" si="119"/>
        <v>0.84205741847154547</v>
      </c>
      <c r="C140" s="139">
        <f t="shared" ref="C140:Y140" si="121">IF(C48=0,0,C48/C$47)</f>
        <v>0.85191111733425673</v>
      </c>
      <c r="D140" s="139">
        <f t="shared" si="121"/>
        <v>0.85385066299057355</v>
      </c>
      <c r="E140" s="139">
        <f t="shared" si="121"/>
        <v>0.85053150182706383</v>
      </c>
      <c r="F140" s="139">
        <f t="shared" si="121"/>
        <v>0.85231552929427823</v>
      </c>
      <c r="G140" s="139">
        <f t="shared" si="121"/>
        <v>0.85824769591679739</v>
      </c>
      <c r="H140" s="139">
        <f t="shared" si="121"/>
        <v>0.85230438600747616</v>
      </c>
      <c r="I140" s="139">
        <f t="shared" si="121"/>
        <v>0.86842186972573798</v>
      </c>
      <c r="J140" s="139">
        <f t="shared" si="121"/>
        <v>0.86760943543250613</v>
      </c>
      <c r="K140" s="139">
        <f t="shared" si="121"/>
        <v>0.87100011703887847</v>
      </c>
      <c r="L140" s="139">
        <f t="shared" si="121"/>
        <v>0.86677365490702274</v>
      </c>
      <c r="M140" s="139">
        <f t="shared" si="121"/>
        <v>0.88833088553567852</v>
      </c>
      <c r="N140" s="139">
        <f t="shared" si="121"/>
        <v>0.87163564402219229</v>
      </c>
      <c r="O140" s="139">
        <f t="shared" si="121"/>
        <v>0.91744196181042381</v>
      </c>
      <c r="P140" s="139">
        <f t="shared" si="121"/>
        <v>0.93911475485051188</v>
      </c>
      <c r="Q140" s="139">
        <f t="shared" si="121"/>
        <v>0.9275571844050754</v>
      </c>
      <c r="R140" s="139">
        <f t="shared" si="121"/>
        <v>0.91708003532334259</v>
      </c>
      <c r="S140" s="139">
        <f t="shared" si="121"/>
        <v>0.88661643267197698</v>
      </c>
      <c r="T140" s="139">
        <f t="shared" si="121"/>
        <v>0.88628228704373746</v>
      </c>
      <c r="U140" s="139">
        <f t="shared" si="121"/>
        <v>0.87893756924453215</v>
      </c>
      <c r="V140" s="139">
        <f t="shared" si="121"/>
        <v>0.88628168280644748</v>
      </c>
      <c r="W140" s="139">
        <f t="shared" si="121"/>
        <v>0.88875111723762723</v>
      </c>
      <c r="X140" s="139">
        <f t="shared" si="121"/>
        <v>0.87442409766567464</v>
      </c>
      <c r="Y140" s="139">
        <f t="shared" si="121"/>
        <v>0.88639010771152271</v>
      </c>
      <c r="DA140" s="174"/>
    </row>
    <row r="141" spans="1:105" ht="11.45" customHeight="1" x14ac:dyDescent="0.25">
      <c r="A141" s="128" t="str">
        <f>$A$19</f>
        <v>Light commercial vehicles</v>
      </c>
      <c r="B141" s="140">
        <f t="shared" si="119"/>
        <v>0.25351483165457406</v>
      </c>
      <c r="C141" s="140">
        <f t="shared" ref="C141:Y141" si="122">IF(C49=0,0,C49/C$47)</f>
        <v>0.27876397331763103</v>
      </c>
      <c r="D141" s="140">
        <f t="shared" si="122"/>
        <v>0.25009665811335768</v>
      </c>
      <c r="E141" s="140">
        <f t="shared" si="122"/>
        <v>0.24769442383433327</v>
      </c>
      <c r="F141" s="140">
        <f t="shared" si="122"/>
        <v>0.23693570546310966</v>
      </c>
      <c r="G141" s="140">
        <f t="shared" si="122"/>
        <v>0.21502014807894834</v>
      </c>
      <c r="H141" s="140">
        <f t="shared" si="122"/>
        <v>0.21698294071300342</v>
      </c>
      <c r="I141" s="140">
        <f t="shared" si="122"/>
        <v>0.23387803663142501</v>
      </c>
      <c r="J141" s="140">
        <f t="shared" si="122"/>
        <v>0.2285623679616402</v>
      </c>
      <c r="K141" s="140">
        <f t="shared" si="122"/>
        <v>0.22321297328616141</v>
      </c>
      <c r="L141" s="140">
        <f t="shared" si="122"/>
        <v>0.22555305700763909</v>
      </c>
      <c r="M141" s="140">
        <f t="shared" si="122"/>
        <v>0.240436616269634</v>
      </c>
      <c r="N141" s="140">
        <f t="shared" si="122"/>
        <v>0.25089206336662978</v>
      </c>
      <c r="O141" s="140">
        <f t="shared" si="122"/>
        <v>0.27009115160532166</v>
      </c>
      <c r="P141" s="140">
        <f t="shared" si="122"/>
        <v>0.26559518370197316</v>
      </c>
      <c r="Q141" s="140">
        <f t="shared" si="122"/>
        <v>0.25802073533877556</v>
      </c>
      <c r="R141" s="140">
        <f t="shared" si="122"/>
        <v>0.22328389213346125</v>
      </c>
      <c r="S141" s="140">
        <f t="shared" si="122"/>
        <v>0.22181295131695869</v>
      </c>
      <c r="T141" s="140">
        <f t="shared" si="122"/>
        <v>0.21778763312887756</v>
      </c>
      <c r="U141" s="140">
        <f t="shared" si="122"/>
        <v>0.22506544109710078</v>
      </c>
      <c r="V141" s="140">
        <f t="shared" si="122"/>
        <v>0.17411736385135984</v>
      </c>
      <c r="W141" s="140">
        <f t="shared" si="122"/>
        <v>0.22702371329323814</v>
      </c>
      <c r="X141" s="140">
        <f t="shared" si="122"/>
        <v>0.23469437161295986</v>
      </c>
      <c r="Y141" s="140">
        <f t="shared" si="122"/>
        <v>0.24586335193258538</v>
      </c>
      <c r="DA141" s="175"/>
    </row>
    <row r="142" spans="1:105" ht="11.45" customHeight="1" x14ac:dyDescent="0.25">
      <c r="A142" s="128" t="str">
        <f>$A$20</f>
        <v>Heavy goods vehicles</v>
      </c>
      <c r="B142" s="140">
        <f t="shared" si="119"/>
        <v>0.58854258681697136</v>
      </c>
      <c r="C142" s="140">
        <f t="shared" ref="C142:Y142" si="123">IF(C50=0,0,C50/C$47)</f>
        <v>0.5731471440166257</v>
      </c>
      <c r="D142" s="140">
        <f t="shared" si="123"/>
        <v>0.60375400487721576</v>
      </c>
      <c r="E142" s="140">
        <f t="shared" si="123"/>
        <v>0.60283707799273056</v>
      </c>
      <c r="F142" s="140">
        <f t="shared" si="123"/>
        <v>0.61537982383116852</v>
      </c>
      <c r="G142" s="140">
        <f t="shared" si="123"/>
        <v>0.64322754783784908</v>
      </c>
      <c r="H142" s="140">
        <f t="shared" si="123"/>
        <v>0.63532144529447276</v>
      </c>
      <c r="I142" s="140">
        <f t="shared" si="123"/>
        <v>0.63454383309431306</v>
      </c>
      <c r="J142" s="140">
        <f t="shared" si="123"/>
        <v>0.63904706747086581</v>
      </c>
      <c r="K142" s="140">
        <f t="shared" si="123"/>
        <v>0.64778714375271707</v>
      </c>
      <c r="L142" s="140">
        <f t="shared" si="123"/>
        <v>0.64122059789938368</v>
      </c>
      <c r="M142" s="140">
        <f t="shared" si="123"/>
        <v>0.64789426926604465</v>
      </c>
      <c r="N142" s="140">
        <f t="shared" si="123"/>
        <v>0.62074358065556245</v>
      </c>
      <c r="O142" s="140">
        <f t="shared" si="123"/>
        <v>0.64735081020510221</v>
      </c>
      <c r="P142" s="140">
        <f t="shared" si="123"/>
        <v>0.67351957114853878</v>
      </c>
      <c r="Q142" s="140">
        <f t="shared" si="123"/>
        <v>0.66953644906629983</v>
      </c>
      <c r="R142" s="140">
        <f t="shared" si="123"/>
        <v>0.69379614318988136</v>
      </c>
      <c r="S142" s="140">
        <f t="shared" si="123"/>
        <v>0.66480348135501832</v>
      </c>
      <c r="T142" s="140">
        <f t="shared" si="123"/>
        <v>0.66849465391485985</v>
      </c>
      <c r="U142" s="140">
        <f t="shared" si="123"/>
        <v>0.65387212814743145</v>
      </c>
      <c r="V142" s="140">
        <f t="shared" si="123"/>
        <v>0.71216431895508769</v>
      </c>
      <c r="W142" s="140">
        <f t="shared" si="123"/>
        <v>0.66172740394438911</v>
      </c>
      <c r="X142" s="140">
        <f t="shared" si="123"/>
        <v>0.63972972605271472</v>
      </c>
      <c r="Y142" s="140">
        <f t="shared" si="123"/>
        <v>0.64052675577893736</v>
      </c>
      <c r="DA142" s="175"/>
    </row>
    <row r="143" spans="1:105" ht="11.45" customHeight="1" x14ac:dyDescent="0.25">
      <c r="A143" s="109" t="str">
        <f>$A$21</f>
        <v>Rail transport</v>
      </c>
      <c r="B143" s="124">
        <f t="shared" si="119"/>
        <v>1.8939054858285606E-2</v>
      </c>
      <c r="C143" s="124">
        <f t="shared" ref="C143:Y143" si="124">IF(C51=0,0,C51/C$47)</f>
        <v>1.9636937658919891E-2</v>
      </c>
      <c r="D143" s="124">
        <f t="shared" si="124"/>
        <v>1.8486764065414409E-2</v>
      </c>
      <c r="E143" s="124">
        <f t="shared" si="124"/>
        <v>1.5651639232878059E-2</v>
      </c>
      <c r="F143" s="124">
        <f t="shared" si="124"/>
        <v>1.4233337961897047E-2</v>
      </c>
      <c r="G143" s="124">
        <f t="shared" si="124"/>
        <v>1.3550594475994843E-2</v>
      </c>
      <c r="H143" s="124">
        <f t="shared" si="124"/>
        <v>1.2843991580893138E-2</v>
      </c>
      <c r="I143" s="124">
        <f t="shared" si="124"/>
        <v>1.7074713510757837E-2</v>
      </c>
      <c r="J143" s="124">
        <f t="shared" si="124"/>
        <v>1.8452889607710157E-2</v>
      </c>
      <c r="K143" s="124">
        <f t="shared" si="124"/>
        <v>1.8677934772807599E-2</v>
      </c>
      <c r="L143" s="124">
        <f t="shared" si="124"/>
        <v>2.2901967451258772E-2</v>
      </c>
      <c r="M143" s="124">
        <f t="shared" si="124"/>
        <v>1.5270656095363763E-2</v>
      </c>
      <c r="N143" s="124">
        <f t="shared" si="124"/>
        <v>1.739482599395261E-2</v>
      </c>
      <c r="O143" s="124">
        <f t="shared" si="124"/>
        <v>7.258396600158353E-3</v>
      </c>
      <c r="P143" s="124">
        <f t="shared" si="124"/>
        <v>7.8057630281984777E-3</v>
      </c>
      <c r="Q143" s="124">
        <f t="shared" si="124"/>
        <v>7.1523921853495747E-3</v>
      </c>
      <c r="R143" s="124">
        <f t="shared" si="124"/>
        <v>5.2457368143309221E-3</v>
      </c>
      <c r="S143" s="124">
        <f t="shared" si="124"/>
        <v>6.3014189003964506E-3</v>
      </c>
      <c r="T143" s="124">
        <f t="shared" si="124"/>
        <v>6.3625117331405912E-3</v>
      </c>
      <c r="U143" s="124">
        <f t="shared" si="124"/>
        <v>7.0746090484845054E-3</v>
      </c>
      <c r="V143" s="124">
        <f t="shared" si="124"/>
        <v>8.8819511343374482E-3</v>
      </c>
      <c r="W143" s="124">
        <f t="shared" si="124"/>
        <v>5.5011817271776488E-3</v>
      </c>
      <c r="X143" s="124">
        <f t="shared" si="124"/>
        <v>4.9938237169453864E-3</v>
      </c>
      <c r="Y143" s="124">
        <f t="shared" si="124"/>
        <v>4.629788524902128E-3</v>
      </c>
      <c r="DA143" s="176"/>
    </row>
    <row r="144" spans="1:105" ht="11.45" customHeight="1" x14ac:dyDescent="0.25">
      <c r="A144" s="109" t="str">
        <f>$A$22</f>
        <v>Aviation</v>
      </c>
      <c r="B144" s="124">
        <f t="shared" si="119"/>
        <v>1.0606426790377108E-2</v>
      </c>
      <c r="C144" s="124">
        <f t="shared" ref="C144:Y144" si="125">IF(C52=0,0,C52/C$47)</f>
        <v>1.0334823191853627E-2</v>
      </c>
      <c r="D144" s="124">
        <f t="shared" si="125"/>
        <v>9.0178687444940394E-3</v>
      </c>
      <c r="E144" s="124">
        <f t="shared" si="125"/>
        <v>8.7206004238450045E-3</v>
      </c>
      <c r="F144" s="124">
        <f t="shared" si="125"/>
        <v>1.0509988824668292E-2</v>
      </c>
      <c r="G144" s="124">
        <f t="shared" si="125"/>
        <v>9.9193527344278339E-3</v>
      </c>
      <c r="H144" s="124">
        <f t="shared" si="125"/>
        <v>9.7589112323074184E-3</v>
      </c>
      <c r="I144" s="124">
        <f t="shared" si="125"/>
        <v>9.2693049945659998E-3</v>
      </c>
      <c r="J144" s="124">
        <f t="shared" si="125"/>
        <v>1.0047437150833475E-2</v>
      </c>
      <c r="K144" s="124">
        <f t="shared" si="125"/>
        <v>1.0024564033187019E-2</v>
      </c>
      <c r="L144" s="124">
        <f t="shared" si="125"/>
        <v>1.1390894215122589E-2</v>
      </c>
      <c r="M144" s="124">
        <f t="shared" si="125"/>
        <v>1.1989084694178108E-2</v>
      </c>
      <c r="N144" s="124">
        <f t="shared" si="125"/>
        <v>1.1929373513894758E-2</v>
      </c>
      <c r="O144" s="124">
        <f t="shared" si="125"/>
        <v>1.2412577619897334E-2</v>
      </c>
      <c r="P144" s="124">
        <f t="shared" si="125"/>
        <v>1.1976340526625577E-2</v>
      </c>
      <c r="Q144" s="124">
        <f t="shared" si="125"/>
        <v>1.2517829771392871E-2</v>
      </c>
      <c r="R144" s="124">
        <f t="shared" si="125"/>
        <v>1.082665027158199E-2</v>
      </c>
      <c r="S144" s="124">
        <f t="shared" si="125"/>
        <v>1.266422021814945E-2</v>
      </c>
      <c r="T144" s="124">
        <f t="shared" si="125"/>
        <v>1.3074429253653524E-2</v>
      </c>
      <c r="U144" s="124">
        <f t="shared" si="125"/>
        <v>1.2412870938112427E-2</v>
      </c>
      <c r="V144" s="124">
        <f t="shared" si="125"/>
        <v>1.2450087361387037E-2</v>
      </c>
      <c r="W144" s="124">
        <f t="shared" si="125"/>
        <v>1.1894268852678283E-2</v>
      </c>
      <c r="X144" s="124">
        <f t="shared" si="125"/>
        <v>1.1830694964583784E-2</v>
      </c>
      <c r="Y144" s="124">
        <f t="shared" si="125"/>
        <v>1.4296759569669495E-2</v>
      </c>
      <c r="DA144" s="176"/>
    </row>
    <row r="145" spans="1:105" ht="11.45" customHeight="1" x14ac:dyDescent="0.25">
      <c r="A145" s="128" t="s">
        <v>27</v>
      </c>
      <c r="B145" s="140">
        <f t="shared" si="119"/>
        <v>4.9223694199920318E-3</v>
      </c>
      <c r="C145" s="140">
        <f t="shared" ref="C145:Y145" si="126">IF(C53=0,0,C53/C$47)</f>
        <v>4.7000622330338887E-3</v>
      </c>
      <c r="D145" s="140">
        <f t="shared" si="126"/>
        <v>4.3111934583076935E-3</v>
      </c>
      <c r="E145" s="140">
        <f t="shared" si="126"/>
        <v>3.522267837013014E-3</v>
      </c>
      <c r="F145" s="140">
        <f t="shared" si="126"/>
        <v>4.4873766957244541E-3</v>
      </c>
      <c r="G145" s="140">
        <f t="shared" si="126"/>
        <v>4.6258843963732981E-3</v>
      </c>
      <c r="H145" s="140">
        <f t="shared" si="126"/>
        <v>4.5444968787440561E-3</v>
      </c>
      <c r="I145" s="140">
        <f t="shared" si="126"/>
        <v>4.2315892092512804E-3</v>
      </c>
      <c r="J145" s="140">
        <f t="shared" si="126"/>
        <v>4.48456681208675E-3</v>
      </c>
      <c r="K145" s="140">
        <f t="shared" si="126"/>
        <v>4.120580861086796E-3</v>
      </c>
      <c r="L145" s="140">
        <f t="shared" si="126"/>
        <v>4.4208350020492407E-3</v>
      </c>
      <c r="M145" s="140">
        <f t="shared" si="126"/>
        <v>3.7408204171199542E-3</v>
      </c>
      <c r="N145" s="140">
        <f t="shared" si="126"/>
        <v>3.6520495649412037E-3</v>
      </c>
      <c r="O145" s="140">
        <f t="shared" si="126"/>
        <v>3.6632746239890347E-3</v>
      </c>
      <c r="P145" s="140">
        <f t="shared" si="126"/>
        <v>3.5388743825298342E-3</v>
      </c>
      <c r="Q145" s="140">
        <f t="shared" si="126"/>
        <v>3.2329362783786175E-3</v>
      </c>
      <c r="R145" s="140">
        <f t="shared" si="126"/>
        <v>2.7709808339439058E-3</v>
      </c>
      <c r="S145" s="140">
        <f t="shared" si="126"/>
        <v>2.9234519799862914E-3</v>
      </c>
      <c r="T145" s="140">
        <f t="shared" si="126"/>
        <v>2.52773162637161E-3</v>
      </c>
      <c r="U145" s="140">
        <f t="shared" si="126"/>
        <v>2.3096536821253862E-3</v>
      </c>
      <c r="V145" s="140">
        <f t="shared" si="126"/>
        <v>1.782212912155754E-3</v>
      </c>
      <c r="W145" s="140">
        <f t="shared" si="126"/>
        <v>2.0407634814590282E-3</v>
      </c>
      <c r="X145" s="140">
        <f t="shared" si="126"/>
        <v>1.8606342699193836E-3</v>
      </c>
      <c r="Y145" s="140">
        <f t="shared" si="126"/>
        <v>1.8811344062620681E-3</v>
      </c>
      <c r="DA145" s="175"/>
    </row>
    <row r="146" spans="1:105" ht="11.45" customHeight="1" x14ac:dyDescent="0.25">
      <c r="A146" s="128" t="str">
        <f>$A$24</f>
        <v>International - Intra-EEAwCHUK</v>
      </c>
      <c r="B146" s="140">
        <f t="shared" si="119"/>
        <v>1.7621859406058769E-3</v>
      </c>
      <c r="C146" s="140">
        <f t="shared" ref="C146:Y146" si="127">IF(C54=0,0,C54/C$47)</f>
        <v>1.7031205795108373E-3</v>
      </c>
      <c r="D146" s="140">
        <f t="shared" si="127"/>
        <v>1.4595087998465382E-3</v>
      </c>
      <c r="E146" s="140">
        <f t="shared" si="127"/>
        <v>1.532291056323039E-3</v>
      </c>
      <c r="F146" s="140">
        <f t="shared" si="127"/>
        <v>1.7763458291776731E-3</v>
      </c>
      <c r="G146" s="140">
        <f t="shared" si="127"/>
        <v>1.6164443224745717E-3</v>
      </c>
      <c r="H146" s="140">
        <f t="shared" si="127"/>
        <v>1.6142148051674038E-3</v>
      </c>
      <c r="I146" s="140">
        <f t="shared" si="127"/>
        <v>1.3257149659185721E-3</v>
      </c>
      <c r="J146" s="140">
        <f t="shared" si="127"/>
        <v>1.4685320525494481E-3</v>
      </c>
      <c r="K146" s="140">
        <f t="shared" si="127"/>
        <v>1.6075262649015297E-3</v>
      </c>
      <c r="L146" s="140">
        <f t="shared" si="127"/>
        <v>1.6531908312656853E-3</v>
      </c>
      <c r="M146" s="140">
        <f t="shared" si="127"/>
        <v>1.9007498856397427E-3</v>
      </c>
      <c r="N146" s="140">
        <f t="shared" si="127"/>
        <v>1.9087465166688282E-3</v>
      </c>
      <c r="O146" s="140">
        <f t="shared" si="127"/>
        <v>2.0224497472768905E-3</v>
      </c>
      <c r="P146" s="140">
        <f t="shared" si="127"/>
        <v>1.7976228017331356E-3</v>
      </c>
      <c r="Q146" s="140">
        <f t="shared" si="127"/>
        <v>1.8684711241558247E-3</v>
      </c>
      <c r="R146" s="140">
        <f t="shared" si="127"/>
        <v>1.5353278166934665E-3</v>
      </c>
      <c r="S146" s="140">
        <f t="shared" si="127"/>
        <v>1.7186962186117808E-3</v>
      </c>
      <c r="T146" s="140">
        <f t="shared" si="127"/>
        <v>1.696155115522791E-3</v>
      </c>
      <c r="U146" s="140">
        <f t="shared" si="127"/>
        <v>1.9290354020654711E-3</v>
      </c>
      <c r="V146" s="140">
        <f t="shared" si="127"/>
        <v>2.0155568633450178E-3</v>
      </c>
      <c r="W146" s="140">
        <f t="shared" si="127"/>
        <v>1.8391556986570214E-3</v>
      </c>
      <c r="X146" s="140">
        <f t="shared" si="127"/>
        <v>2.1638354176298268E-3</v>
      </c>
      <c r="Y146" s="140">
        <f t="shared" si="127"/>
        <v>2.2226315142166806E-3</v>
      </c>
      <c r="DA146" s="175"/>
    </row>
    <row r="147" spans="1:105" ht="11.45" customHeight="1" x14ac:dyDescent="0.25">
      <c r="A147" s="128" t="str">
        <f>$A$25</f>
        <v>International - Extra-EEAwCHUK</v>
      </c>
      <c r="B147" s="140">
        <f t="shared" si="119"/>
        <v>3.9218714297791987E-3</v>
      </c>
      <c r="C147" s="140">
        <f t="shared" ref="C147:Y147" si="128">IF(C55=0,0,C55/C$47)</f>
        <v>3.9316403793089004E-3</v>
      </c>
      <c r="D147" s="140">
        <f t="shared" si="128"/>
        <v>3.2471664863398071E-3</v>
      </c>
      <c r="E147" s="140">
        <f t="shared" si="128"/>
        <v>3.6660415305089507E-3</v>
      </c>
      <c r="F147" s="140">
        <f t="shared" si="128"/>
        <v>4.2462662997661627E-3</v>
      </c>
      <c r="G147" s="140">
        <f t="shared" si="128"/>
        <v>3.6770240155799645E-3</v>
      </c>
      <c r="H147" s="140">
        <f t="shared" si="128"/>
        <v>3.6001995483959568E-3</v>
      </c>
      <c r="I147" s="140">
        <f t="shared" si="128"/>
        <v>3.7120008193961477E-3</v>
      </c>
      <c r="J147" s="140">
        <f t="shared" si="128"/>
        <v>4.094338286197278E-3</v>
      </c>
      <c r="K147" s="140">
        <f t="shared" si="128"/>
        <v>4.2964569071986944E-3</v>
      </c>
      <c r="L147" s="140">
        <f t="shared" si="128"/>
        <v>5.3168683818076625E-3</v>
      </c>
      <c r="M147" s="140">
        <f t="shared" si="128"/>
        <v>6.3475143914184119E-3</v>
      </c>
      <c r="N147" s="140">
        <f t="shared" si="128"/>
        <v>6.3685774322847256E-3</v>
      </c>
      <c r="O147" s="140">
        <f t="shared" si="128"/>
        <v>6.7268532486314085E-3</v>
      </c>
      <c r="P147" s="140">
        <f t="shared" si="128"/>
        <v>6.6398433423626073E-3</v>
      </c>
      <c r="Q147" s="140">
        <f t="shared" si="128"/>
        <v>7.4164223688584271E-3</v>
      </c>
      <c r="R147" s="140">
        <f t="shared" si="128"/>
        <v>6.5203416209446176E-3</v>
      </c>
      <c r="S147" s="140">
        <f t="shared" si="128"/>
        <v>8.0220720195513778E-3</v>
      </c>
      <c r="T147" s="140">
        <f t="shared" si="128"/>
        <v>8.8505425117591206E-3</v>
      </c>
      <c r="U147" s="140">
        <f t="shared" si="128"/>
        <v>8.1741818539215715E-3</v>
      </c>
      <c r="V147" s="140">
        <f t="shared" si="128"/>
        <v>8.6523175858862645E-3</v>
      </c>
      <c r="W147" s="140">
        <f t="shared" si="128"/>
        <v>8.0143496725622338E-3</v>
      </c>
      <c r="X147" s="140">
        <f t="shared" si="128"/>
        <v>7.8062252770345741E-3</v>
      </c>
      <c r="Y147" s="140">
        <f t="shared" si="128"/>
        <v>1.0192993649190745E-2</v>
      </c>
      <c r="DA147" s="175"/>
    </row>
    <row r="148" spans="1:105" ht="11.45" customHeight="1" x14ac:dyDescent="0.25">
      <c r="A148" s="109" t="s">
        <v>141</v>
      </c>
      <c r="B148" s="124">
        <f t="shared" si="119"/>
        <v>0.12839709987979195</v>
      </c>
      <c r="C148" s="124">
        <f t="shared" ref="C148:Y148" si="129">IF(C56=0,0,C56/C$47)</f>
        <v>0.11811712181496964</v>
      </c>
      <c r="D148" s="124">
        <f t="shared" si="129"/>
        <v>0.11864470419951798</v>
      </c>
      <c r="E148" s="124">
        <f t="shared" si="129"/>
        <v>0.12509625851621303</v>
      </c>
      <c r="F148" s="124">
        <f t="shared" si="129"/>
        <v>0.1229411439191566</v>
      </c>
      <c r="G148" s="124">
        <f t="shared" si="129"/>
        <v>0.11828235687278001</v>
      </c>
      <c r="H148" s="124">
        <f t="shared" si="129"/>
        <v>0.12509271117932325</v>
      </c>
      <c r="I148" s="124">
        <f t="shared" si="129"/>
        <v>0.10523411176893825</v>
      </c>
      <c r="J148" s="124">
        <f t="shared" si="129"/>
        <v>0.10389023780895025</v>
      </c>
      <c r="K148" s="124">
        <f t="shared" si="129"/>
        <v>0.10029738415512697</v>
      </c>
      <c r="L148" s="124">
        <f t="shared" si="129"/>
        <v>9.8933483426595831E-2</v>
      </c>
      <c r="M148" s="124">
        <f t="shared" si="129"/>
        <v>8.4409373674779659E-2</v>
      </c>
      <c r="N148" s="124">
        <f t="shared" si="129"/>
        <v>9.9040156469960491E-2</v>
      </c>
      <c r="O148" s="124">
        <f t="shared" si="129"/>
        <v>6.2887063969520637E-2</v>
      </c>
      <c r="P148" s="124">
        <f t="shared" si="129"/>
        <v>4.1103141594664154E-2</v>
      </c>
      <c r="Q148" s="124">
        <f t="shared" si="129"/>
        <v>5.2772593638182159E-2</v>
      </c>
      <c r="R148" s="124">
        <f t="shared" si="129"/>
        <v>6.6847577590744348E-2</v>
      </c>
      <c r="S148" s="124">
        <f t="shared" si="129"/>
        <v>9.4417928209477059E-2</v>
      </c>
      <c r="T148" s="124">
        <f t="shared" si="129"/>
        <v>9.4280771969468588E-2</v>
      </c>
      <c r="U148" s="124">
        <f t="shared" si="129"/>
        <v>0.10157495076887085</v>
      </c>
      <c r="V148" s="124">
        <f t="shared" si="129"/>
        <v>9.2386278697828117E-2</v>
      </c>
      <c r="W148" s="124">
        <f t="shared" si="129"/>
        <v>9.3853432182516877E-2</v>
      </c>
      <c r="X148" s="124">
        <f t="shared" si="129"/>
        <v>0.10875138365279619</v>
      </c>
      <c r="Y148" s="124">
        <f t="shared" si="129"/>
        <v>9.4683344193905714E-2</v>
      </c>
      <c r="DA148" s="176"/>
    </row>
    <row r="149" spans="1:105" ht="11.45" customHeight="1" x14ac:dyDescent="0.25">
      <c r="A149" s="128" t="str">
        <f>$A$27</f>
        <v>Domestic coastal shipping</v>
      </c>
      <c r="B149" s="140">
        <f t="shared" si="119"/>
        <v>0.12839709987979195</v>
      </c>
      <c r="C149" s="140">
        <f t="shared" ref="C149:Y149" si="130">IF(C57=0,0,C57/C$47)</f>
        <v>0.11811712181496964</v>
      </c>
      <c r="D149" s="140">
        <f t="shared" si="130"/>
        <v>0.11864470419951798</v>
      </c>
      <c r="E149" s="140">
        <f t="shared" si="130"/>
        <v>0.12509625851621303</v>
      </c>
      <c r="F149" s="140">
        <f t="shared" si="130"/>
        <v>0.1229411439191566</v>
      </c>
      <c r="G149" s="140">
        <f t="shared" si="130"/>
        <v>0.11828235687278001</v>
      </c>
      <c r="H149" s="140">
        <f t="shared" si="130"/>
        <v>0.12509271117932325</v>
      </c>
      <c r="I149" s="140">
        <f t="shared" si="130"/>
        <v>0.10523411176893825</v>
      </c>
      <c r="J149" s="140">
        <f t="shared" si="130"/>
        <v>0.10389023780895025</v>
      </c>
      <c r="K149" s="140">
        <f t="shared" si="130"/>
        <v>0.10029738415512697</v>
      </c>
      <c r="L149" s="140">
        <f t="shared" si="130"/>
        <v>9.8933483426595831E-2</v>
      </c>
      <c r="M149" s="140">
        <f t="shared" si="130"/>
        <v>8.4409373674779659E-2</v>
      </c>
      <c r="N149" s="140">
        <f t="shared" si="130"/>
        <v>9.9040156469960491E-2</v>
      </c>
      <c r="O149" s="140">
        <f t="shared" si="130"/>
        <v>6.2887063969520637E-2</v>
      </c>
      <c r="P149" s="140">
        <f t="shared" si="130"/>
        <v>4.1103141594664154E-2</v>
      </c>
      <c r="Q149" s="140">
        <f t="shared" si="130"/>
        <v>5.2772593638182159E-2</v>
      </c>
      <c r="R149" s="140">
        <f t="shared" si="130"/>
        <v>6.6847577590744348E-2</v>
      </c>
      <c r="S149" s="140">
        <f t="shared" si="130"/>
        <v>9.4417928209477059E-2</v>
      </c>
      <c r="T149" s="140">
        <f t="shared" si="130"/>
        <v>9.4280771969468588E-2</v>
      </c>
      <c r="U149" s="140">
        <f t="shared" si="130"/>
        <v>0.10157495076887085</v>
      </c>
      <c r="V149" s="140">
        <f t="shared" si="130"/>
        <v>9.2386278697828117E-2</v>
      </c>
      <c r="W149" s="140">
        <f t="shared" si="130"/>
        <v>9.3853432182516877E-2</v>
      </c>
      <c r="X149" s="140">
        <f t="shared" si="130"/>
        <v>0.10875138365279619</v>
      </c>
      <c r="Y149" s="140">
        <f t="shared" si="130"/>
        <v>9.4683344193905714E-2</v>
      </c>
      <c r="DA149" s="175"/>
    </row>
    <row r="150" spans="1:105" ht="11.45" customHeight="1" x14ac:dyDescent="0.25">
      <c r="A150" s="138" t="str">
        <f>$A$28</f>
        <v>Inland waterways</v>
      </c>
      <c r="B150" s="127">
        <f t="shared" si="119"/>
        <v>0</v>
      </c>
      <c r="C150" s="127">
        <f t="shared" ref="C150:Y150" si="131">IF(C58=0,0,C58/C$47)</f>
        <v>0</v>
      </c>
      <c r="D150" s="127">
        <f t="shared" si="131"/>
        <v>0</v>
      </c>
      <c r="E150" s="127">
        <f t="shared" si="131"/>
        <v>0</v>
      </c>
      <c r="F150" s="127">
        <f t="shared" si="131"/>
        <v>0</v>
      </c>
      <c r="G150" s="127">
        <f t="shared" si="131"/>
        <v>0</v>
      </c>
      <c r="H150" s="127">
        <f t="shared" si="131"/>
        <v>0</v>
      </c>
      <c r="I150" s="127">
        <f t="shared" si="131"/>
        <v>0</v>
      </c>
      <c r="J150" s="127">
        <f t="shared" si="131"/>
        <v>0</v>
      </c>
      <c r="K150" s="127">
        <f t="shared" si="131"/>
        <v>0</v>
      </c>
      <c r="L150" s="127">
        <f t="shared" si="131"/>
        <v>0</v>
      </c>
      <c r="M150" s="127">
        <f t="shared" si="131"/>
        <v>0</v>
      </c>
      <c r="N150" s="127">
        <f t="shared" si="131"/>
        <v>0</v>
      </c>
      <c r="O150" s="127">
        <f t="shared" si="131"/>
        <v>0</v>
      </c>
      <c r="P150" s="127">
        <f t="shared" si="131"/>
        <v>0</v>
      </c>
      <c r="Q150" s="127">
        <f t="shared" si="131"/>
        <v>0</v>
      </c>
      <c r="R150" s="127">
        <f t="shared" si="131"/>
        <v>0</v>
      </c>
      <c r="S150" s="127">
        <f t="shared" si="131"/>
        <v>0</v>
      </c>
      <c r="T150" s="127">
        <f t="shared" si="131"/>
        <v>0</v>
      </c>
      <c r="U150" s="127">
        <f t="shared" si="131"/>
        <v>0</v>
      </c>
      <c r="V150" s="127">
        <f t="shared" si="131"/>
        <v>0</v>
      </c>
      <c r="W150" s="127">
        <f t="shared" si="131"/>
        <v>0</v>
      </c>
      <c r="X150" s="127">
        <f t="shared" si="131"/>
        <v>0</v>
      </c>
      <c r="Y150" s="127">
        <f t="shared" si="131"/>
        <v>0</v>
      </c>
      <c r="DA150" s="178"/>
    </row>
    <row r="151" spans="1:105" ht="11.45" customHeight="1" x14ac:dyDescent="0.25">
      <c r="A151" s="27" t="s">
        <v>169</v>
      </c>
      <c r="B151" s="31">
        <f t="shared" ref="B151:Y151" si="132">IF(B59=0,0,B59/B$59)</f>
        <v>1</v>
      </c>
      <c r="C151" s="31">
        <f t="shared" si="132"/>
        <v>1</v>
      </c>
      <c r="D151" s="31">
        <f t="shared" si="132"/>
        <v>1</v>
      </c>
      <c r="E151" s="31">
        <f t="shared" si="132"/>
        <v>1</v>
      </c>
      <c r="F151" s="31">
        <f t="shared" si="132"/>
        <v>1</v>
      </c>
      <c r="G151" s="31">
        <f t="shared" si="132"/>
        <v>1</v>
      </c>
      <c r="H151" s="31">
        <f t="shared" si="132"/>
        <v>1</v>
      </c>
      <c r="I151" s="31">
        <f t="shared" si="132"/>
        <v>1</v>
      </c>
      <c r="J151" s="31">
        <f t="shared" si="132"/>
        <v>1</v>
      </c>
      <c r="K151" s="31">
        <f t="shared" si="132"/>
        <v>1</v>
      </c>
      <c r="L151" s="31">
        <f t="shared" si="132"/>
        <v>1</v>
      </c>
      <c r="M151" s="31">
        <f t="shared" si="132"/>
        <v>1</v>
      </c>
      <c r="N151" s="31">
        <f t="shared" si="132"/>
        <v>1</v>
      </c>
      <c r="O151" s="31">
        <f t="shared" si="132"/>
        <v>1</v>
      </c>
      <c r="P151" s="31">
        <f t="shared" si="132"/>
        <v>1</v>
      </c>
      <c r="Q151" s="31">
        <f t="shared" si="132"/>
        <v>1</v>
      </c>
      <c r="R151" s="31">
        <f t="shared" si="132"/>
        <v>1</v>
      </c>
      <c r="S151" s="31">
        <f t="shared" si="132"/>
        <v>1</v>
      </c>
      <c r="T151" s="31">
        <f t="shared" si="132"/>
        <v>1</v>
      </c>
      <c r="U151" s="31">
        <f t="shared" si="132"/>
        <v>1</v>
      </c>
      <c r="V151" s="31">
        <f t="shared" si="132"/>
        <v>1</v>
      </c>
      <c r="W151" s="31">
        <f t="shared" si="132"/>
        <v>1</v>
      </c>
      <c r="X151" s="31">
        <f t="shared" si="132"/>
        <v>1</v>
      </c>
      <c r="Y151" s="31">
        <f t="shared" si="132"/>
        <v>1</v>
      </c>
      <c r="DA151" s="173"/>
    </row>
    <row r="152" spans="1:105" ht="11.45" customHeight="1" x14ac:dyDescent="0.25">
      <c r="A152" s="128" t="str">
        <f>$A$30</f>
        <v>Intra-EEA</v>
      </c>
      <c r="B152" s="140">
        <f t="shared" ref="B152:Y152" si="133">IF(B60=0,0,B60/B$59)</f>
        <v>0.36557981933242839</v>
      </c>
      <c r="C152" s="140">
        <f t="shared" si="133"/>
        <v>0.35852577275938641</v>
      </c>
      <c r="D152" s="140">
        <f t="shared" si="133"/>
        <v>0.35377204419792679</v>
      </c>
      <c r="E152" s="140">
        <f t="shared" si="133"/>
        <v>0.35163750126316373</v>
      </c>
      <c r="F152" s="140">
        <f t="shared" si="133"/>
        <v>0.35272617307714155</v>
      </c>
      <c r="G152" s="140">
        <f t="shared" si="133"/>
        <v>0.34547748856134314</v>
      </c>
      <c r="H152" s="140">
        <f t="shared" si="133"/>
        <v>0.32559110017297532</v>
      </c>
      <c r="I152" s="140">
        <f t="shared" si="133"/>
        <v>0.30985825386742222</v>
      </c>
      <c r="J152" s="140">
        <f t="shared" si="133"/>
        <v>0.30878678223274558</v>
      </c>
      <c r="K152" s="140">
        <f t="shared" si="133"/>
        <v>0.33463030049811698</v>
      </c>
      <c r="L152" s="140">
        <f t="shared" si="133"/>
        <v>0.33531296923228771</v>
      </c>
      <c r="M152" s="140">
        <f t="shared" si="133"/>
        <v>0.32362839060421139</v>
      </c>
      <c r="N152" s="140">
        <f t="shared" si="133"/>
        <v>0.31730586964407348</v>
      </c>
      <c r="O152" s="140">
        <f t="shared" si="133"/>
        <v>0.33352125637366309</v>
      </c>
      <c r="P152" s="140">
        <f t="shared" si="133"/>
        <v>0.34629029255090377</v>
      </c>
      <c r="Q152" s="140">
        <f t="shared" si="133"/>
        <v>0.34969499809484905</v>
      </c>
      <c r="R152" s="140">
        <f t="shared" si="133"/>
        <v>0.35659698634656334</v>
      </c>
      <c r="S152" s="140">
        <f t="shared" si="133"/>
        <v>0.34810228248295166</v>
      </c>
      <c r="T152" s="140">
        <f t="shared" si="133"/>
        <v>0.35162823781197045</v>
      </c>
      <c r="U152" s="140">
        <f t="shared" si="133"/>
        <v>0.35537658429840868</v>
      </c>
      <c r="V152" s="140">
        <f t="shared" si="133"/>
        <v>0.32853200401763111</v>
      </c>
      <c r="W152" s="140">
        <f t="shared" si="133"/>
        <v>0.34296721136143332</v>
      </c>
      <c r="X152" s="140">
        <f t="shared" si="133"/>
        <v>0.3657105643046682</v>
      </c>
      <c r="Y152" s="140">
        <f t="shared" si="133"/>
        <v>0.37172256253607922</v>
      </c>
      <c r="DA152" s="175"/>
    </row>
    <row r="153" spans="1:105" ht="11.45" customHeight="1" x14ac:dyDescent="0.25">
      <c r="A153" s="138" t="str">
        <f>$A$31</f>
        <v>Extra-EEA</v>
      </c>
      <c r="B153" s="127">
        <f t="shared" ref="B153:Y153" si="134">IF(B61=0,0,B61/B$59)</f>
        <v>0.63442018066757166</v>
      </c>
      <c r="C153" s="127">
        <f t="shared" si="134"/>
        <v>0.64147422724061365</v>
      </c>
      <c r="D153" s="127">
        <f t="shared" si="134"/>
        <v>0.64622795580207315</v>
      </c>
      <c r="E153" s="127">
        <f t="shared" si="134"/>
        <v>0.64836249873683627</v>
      </c>
      <c r="F153" s="127">
        <f t="shared" si="134"/>
        <v>0.6472738269228584</v>
      </c>
      <c r="G153" s="127">
        <f t="shared" si="134"/>
        <v>0.65452251143865692</v>
      </c>
      <c r="H153" s="127">
        <f t="shared" si="134"/>
        <v>0.67440889982702457</v>
      </c>
      <c r="I153" s="127">
        <f t="shared" si="134"/>
        <v>0.69014174613257784</v>
      </c>
      <c r="J153" s="127">
        <f t="shared" si="134"/>
        <v>0.69121321776725431</v>
      </c>
      <c r="K153" s="127">
        <f t="shared" si="134"/>
        <v>0.66536969950188307</v>
      </c>
      <c r="L153" s="127">
        <f t="shared" si="134"/>
        <v>0.66468703076771218</v>
      </c>
      <c r="M153" s="127">
        <f t="shared" si="134"/>
        <v>0.67637160939578855</v>
      </c>
      <c r="N153" s="127">
        <f t="shared" si="134"/>
        <v>0.68269413035592652</v>
      </c>
      <c r="O153" s="127">
        <f t="shared" si="134"/>
        <v>0.66647874362633697</v>
      </c>
      <c r="P153" s="127">
        <f t="shared" si="134"/>
        <v>0.65370970744909629</v>
      </c>
      <c r="Q153" s="127">
        <f t="shared" si="134"/>
        <v>0.65030500190515095</v>
      </c>
      <c r="R153" s="127">
        <f t="shared" si="134"/>
        <v>0.64340301365343666</v>
      </c>
      <c r="S153" s="127">
        <f t="shared" si="134"/>
        <v>0.65189771751704839</v>
      </c>
      <c r="T153" s="127">
        <f t="shared" si="134"/>
        <v>0.64837176218802961</v>
      </c>
      <c r="U153" s="127">
        <f t="shared" si="134"/>
        <v>0.64462341570159132</v>
      </c>
      <c r="V153" s="127">
        <f t="shared" si="134"/>
        <v>0.67146799598236884</v>
      </c>
      <c r="W153" s="127">
        <f t="shared" si="134"/>
        <v>0.65703278863856673</v>
      </c>
      <c r="X153" s="127">
        <f t="shared" si="134"/>
        <v>0.6342894356953318</v>
      </c>
      <c r="Y153" s="127">
        <f t="shared" si="134"/>
        <v>0.62827743746392084</v>
      </c>
      <c r="DA153" s="178"/>
    </row>
    <row r="154" spans="1:105" x14ac:dyDescent="0.25">
      <c r="A154" s="106"/>
      <c r="B154" s="106"/>
      <c r="C154" s="106"/>
      <c r="D154" s="106"/>
      <c r="E154" s="106"/>
      <c r="F154" s="106"/>
      <c r="G154" s="106"/>
      <c r="H154" s="106"/>
      <c r="I154" s="106"/>
      <c r="J154" s="106"/>
      <c r="K154" s="106"/>
      <c r="L154" s="106"/>
      <c r="M154" s="106"/>
      <c r="N154" s="106"/>
      <c r="O154" s="106"/>
      <c r="P154" s="106"/>
      <c r="Q154" s="106"/>
      <c r="R154" s="106"/>
      <c r="S154" s="106"/>
      <c r="T154" s="106"/>
      <c r="U154" s="106"/>
      <c r="V154" s="106"/>
      <c r="W154" s="106"/>
      <c r="X154" s="106"/>
      <c r="Y154" s="106"/>
      <c r="DA154" s="171"/>
    </row>
    <row r="155" spans="1:105" ht="11.45" customHeight="1" x14ac:dyDescent="0.25">
      <c r="A155" s="53" t="s">
        <v>41</v>
      </c>
      <c r="B155" s="65"/>
      <c r="C155" s="65"/>
      <c r="D155" s="65"/>
      <c r="E155" s="65"/>
      <c r="F155" s="65"/>
      <c r="G155" s="65"/>
      <c r="H155" s="65"/>
      <c r="I155" s="65"/>
      <c r="J155" s="65"/>
      <c r="K155" s="65"/>
      <c r="L155" s="65"/>
      <c r="M155" s="65"/>
      <c r="N155" s="65"/>
      <c r="O155" s="65"/>
      <c r="P155" s="65"/>
      <c r="Q155" s="65"/>
      <c r="R155" s="65"/>
      <c r="S155" s="65"/>
      <c r="T155" s="65"/>
      <c r="U155" s="65"/>
      <c r="V155" s="65"/>
      <c r="W155" s="65"/>
      <c r="X155" s="65"/>
      <c r="Y155" s="65"/>
      <c r="DA155" s="172"/>
    </row>
    <row r="156" spans="1:105" ht="11.45" customHeight="1" x14ac:dyDescent="0.25">
      <c r="A156" s="27" t="s">
        <v>33</v>
      </c>
      <c r="B156" s="31">
        <f t="shared" ref="B156:B168" si="135">IF(B64=0,0,B64/B$64)</f>
        <v>1</v>
      </c>
      <c r="C156" s="31">
        <f t="shared" ref="C156:W156" si="136">IF(C64=0,0,C64/C$64)</f>
        <v>1</v>
      </c>
      <c r="D156" s="31">
        <f t="shared" si="136"/>
        <v>1</v>
      </c>
      <c r="E156" s="31">
        <f t="shared" si="136"/>
        <v>1</v>
      </c>
      <c r="F156" s="31">
        <f t="shared" si="136"/>
        <v>1</v>
      </c>
      <c r="G156" s="31">
        <f t="shared" si="136"/>
        <v>1</v>
      </c>
      <c r="H156" s="31">
        <f t="shared" si="136"/>
        <v>1</v>
      </c>
      <c r="I156" s="31">
        <f t="shared" si="136"/>
        <v>1</v>
      </c>
      <c r="J156" s="31">
        <f t="shared" si="136"/>
        <v>1</v>
      </c>
      <c r="K156" s="31">
        <f t="shared" si="136"/>
        <v>1</v>
      </c>
      <c r="L156" s="31">
        <f t="shared" si="136"/>
        <v>1</v>
      </c>
      <c r="M156" s="31">
        <f t="shared" si="136"/>
        <v>1</v>
      </c>
      <c r="N156" s="31">
        <f t="shared" si="136"/>
        <v>1</v>
      </c>
      <c r="O156" s="31">
        <f t="shared" si="136"/>
        <v>1</v>
      </c>
      <c r="P156" s="31">
        <f t="shared" si="136"/>
        <v>1</v>
      </c>
      <c r="Q156" s="31">
        <f t="shared" si="136"/>
        <v>1</v>
      </c>
      <c r="R156" s="31">
        <f t="shared" si="136"/>
        <v>1</v>
      </c>
      <c r="S156" s="31">
        <f t="shared" si="136"/>
        <v>1</v>
      </c>
      <c r="T156" s="31">
        <f t="shared" si="136"/>
        <v>1</v>
      </c>
      <c r="U156" s="31">
        <f t="shared" si="136"/>
        <v>1</v>
      </c>
      <c r="V156" s="31">
        <f t="shared" si="136"/>
        <v>1</v>
      </c>
      <c r="W156" s="31">
        <f t="shared" si="136"/>
        <v>1</v>
      </c>
      <c r="X156" s="31">
        <f t="shared" ref="X156:Y156" si="137">IF(X64=0,0,X64/X$64)</f>
        <v>1</v>
      </c>
      <c r="Y156" s="31">
        <f t="shared" si="137"/>
        <v>1</v>
      </c>
      <c r="DA156" s="173"/>
    </row>
    <row r="157" spans="1:105" ht="11.45" customHeight="1" x14ac:dyDescent="0.25">
      <c r="A157" s="136" t="str">
        <f>$A$5</f>
        <v>Road transport</v>
      </c>
      <c r="B157" s="139">
        <f t="shared" si="135"/>
        <v>0.77988717007022024</v>
      </c>
      <c r="C157" s="139">
        <f t="shared" ref="C157:W157" si="138">IF(C65=0,0,C65/C$64)</f>
        <v>0.78248764281444261</v>
      </c>
      <c r="D157" s="139">
        <f t="shared" si="138"/>
        <v>0.79598997414099737</v>
      </c>
      <c r="E157" s="139">
        <f t="shared" si="138"/>
        <v>0.79268563824739824</v>
      </c>
      <c r="F157" s="139">
        <f t="shared" si="138"/>
        <v>0.77938361082290686</v>
      </c>
      <c r="G157" s="139">
        <f t="shared" si="138"/>
        <v>0.77476404196336546</v>
      </c>
      <c r="H157" s="139">
        <f t="shared" si="138"/>
        <v>0.77712700539298063</v>
      </c>
      <c r="I157" s="139">
        <f t="shared" si="138"/>
        <v>0.77095013521494304</v>
      </c>
      <c r="J157" s="139">
        <f t="shared" si="138"/>
        <v>0.76845878124188272</v>
      </c>
      <c r="K157" s="139">
        <f t="shared" si="138"/>
        <v>0.78152466356772521</v>
      </c>
      <c r="L157" s="139">
        <f t="shared" si="138"/>
        <v>0.77217571331522394</v>
      </c>
      <c r="M157" s="139">
        <f t="shared" si="138"/>
        <v>0.75280059029798241</v>
      </c>
      <c r="N157" s="139">
        <f t="shared" si="138"/>
        <v>0.74443059944002454</v>
      </c>
      <c r="O157" s="139">
        <f t="shared" si="138"/>
        <v>0.77305307683291857</v>
      </c>
      <c r="P157" s="139">
        <f t="shared" si="138"/>
        <v>0.76934239635291701</v>
      </c>
      <c r="Q157" s="139">
        <f t="shared" si="138"/>
        <v>0.76162099417676254</v>
      </c>
      <c r="R157" s="139">
        <f t="shared" si="138"/>
        <v>0.74952356507102036</v>
      </c>
      <c r="S157" s="139">
        <f t="shared" si="138"/>
        <v>0.7354813383087786</v>
      </c>
      <c r="T157" s="139">
        <f t="shared" si="138"/>
        <v>0.72846186815764991</v>
      </c>
      <c r="U157" s="139">
        <f t="shared" si="138"/>
        <v>0.72748884327626484</v>
      </c>
      <c r="V157" s="139">
        <f t="shared" si="138"/>
        <v>0.86317271609593482</v>
      </c>
      <c r="W157" s="139">
        <f t="shared" si="138"/>
        <v>0.83980670727851647</v>
      </c>
      <c r="X157" s="139">
        <f t="shared" ref="X157:Y157" si="139">IF(X65=0,0,X65/X$64)</f>
        <v>0.75519608714171305</v>
      </c>
      <c r="Y157" s="139">
        <f t="shared" si="139"/>
        <v>0.73158381873801992</v>
      </c>
      <c r="DA157" s="174"/>
    </row>
    <row r="158" spans="1:105" ht="11.45" customHeight="1" x14ac:dyDescent="0.25">
      <c r="A158" s="128" t="str">
        <f>$A$6</f>
        <v>Powered two-wheelers</v>
      </c>
      <c r="B158" s="140">
        <f t="shared" si="135"/>
        <v>1.653672837890938E-2</v>
      </c>
      <c r="C158" s="140">
        <f t="shared" ref="C158:W158" si="140">IF(C66=0,0,C66/C$64)</f>
        <v>1.7084699815484463E-2</v>
      </c>
      <c r="D158" s="140">
        <f t="shared" si="140"/>
        <v>1.5181297218952727E-2</v>
      </c>
      <c r="E158" s="140">
        <f t="shared" si="140"/>
        <v>1.6246181645586631E-2</v>
      </c>
      <c r="F158" s="140">
        <f t="shared" si="140"/>
        <v>1.5025361934365022E-2</v>
      </c>
      <c r="G158" s="140">
        <f t="shared" si="140"/>
        <v>1.6217924762045831E-2</v>
      </c>
      <c r="H158" s="140">
        <f t="shared" si="140"/>
        <v>1.589777159993994E-2</v>
      </c>
      <c r="I158" s="140">
        <f t="shared" si="140"/>
        <v>1.7401128995421993E-2</v>
      </c>
      <c r="J158" s="140">
        <f t="shared" si="140"/>
        <v>1.793729914608282E-2</v>
      </c>
      <c r="K158" s="140">
        <f t="shared" si="140"/>
        <v>1.911425974007128E-2</v>
      </c>
      <c r="L158" s="140">
        <f t="shared" si="140"/>
        <v>1.9544261457944669E-2</v>
      </c>
      <c r="M158" s="140">
        <f t="shared" si="140"/>
        <v>1.8253096028339164E-2</v>
      </c>
      <c r="N158" s="140">
        <f t="shared" si="140"/>
        <v>1.8671653089984554E-2</v>
      </c>
      <c r="O158" s="140">
        <f t="shared" si="140"/>
        <v>1.8642471535097301E-2</v>
      </c>
      <c r="P158" s="140">
        <f t="shared" si="140"/>
        <v>2.0317819594396241E-2</v>
      </c>
      <c r="Q158" s="140">
        <f t="shared" si="140"/>
        <v>2.1134927864366892E-2</v>
      </c>
      <c r="R158" s="140">
        <f t="shared" si="140"/>
        <v>2.1692232386547487E-2</v>
      </c>
      <c r="S158" s="140">
        <f t="shared" si="140"/>
        <v>1.9630962328912736E-2</v>
      </c>
      <c r="T158" s="140">
        <f t="shared" si="140"/>
        <v>1.8321303333224355E-2</v>
      </c>
      <c r="U158" s="140">
        <f t="shared" si="140"/>
        <v>1.9257580625745049E-2</v>
      </c>
      <c r="V158" s="140">
        <f t="shared" si="140"/>
        <v>2.356013574222432E-2</v>
      </c>
      <c r="W158" s="140">
        <f t="shared" si="140"/>
        <v>2.1757017518443524E-2</v>
      </c>
      <c r="X158" s="140">
        <f t="shared" ref="X158:Y158" si="141">IF(X66=0,0,X66/X$64)</f>
        <v>1.8207506627025655E-2</v>
      </c>
      <c r="Y158" s="140">
        <f t="shared" si="141"/>
        <v>1.8995397698371965E-2</v>
      </c>
      <c r="DA158" s="175"/>
    </row>
    <row r="159" spans="1:105" ht="11.45" customHeight="1" x14ac:dyDescent="0.25">
      <c r="A159" s="128" t="str">
        <f>$A$7</f>
        <v>Passenger cars</v>
      </c>
      <c r="B159" s="140">
        <f t="shared" si="135"/>
        <v>0.70809600611877344</v>
      </c>
      <c r="C159" s="140">
        <f t="shared" ref="C159:W159" si="142">IF(C67=0,0,C67/C$64)</f>
        <v>0.71170777359413173</v>
      </c>
      <c r="D159" s="140">
        <f t="shared" si="142"/>
        <v>0.72907392624239387</v>
      </c>
      <c r="E159" s="140">
        <f t="shared" si="142"/>
        <v>0.72749403561206705</v>
      </c>
      <c r="F159" s="140">
        <f t="shared" si="142"/>
        <v>0.71637356360249582</v>
      </c>
      <c r="G159" s="140">
        <f t="shared" si="142"/>
        <v>0.71350399682304422</v>
      </c>
      <c r="H159" s="140">
        <f t="shared" si="142"/>
        <v>0.71580785887976373</v>
      </c>
      <c r="I159" s="140">
        <f t="shared" si="142"/>
        <v>0.70859446987733021</v>
      </c>
      <c r="J159" s="140">
        <f t="shared" si="142"/>
        <v>0.70505511192119086</v>
      </c>
      <c r="K159" s="140">
        <f t="shared" si="142"/>
        <v>0.71636567229563153</v>
      </c>
      <c r="L159" s="140">
        <f t="shared" si="142"/>
        <v>0.70666883954163906</v>
      </c>
      <c r="M159" s="140">
        <f t="shared" si="142"/>
        <v>0.68853971293325578</v>
      </c>
      <c r="N159" s="140">
        <f t="shared" si="142"/>
        <v>0.67828018094693421</v>
      </c>
      <c r="O159" s="140">
        <f t="shared" si="142"/>
        <v>0.70674371670109926</v>
      </c>
      <c r="P159" s="140">
        <f t="shared" si="142"/>
        <v>0.70270941678125332</v>
      </c>
      <c r="Q159" s="140">
        <f t="shared" si="142"/>
        <v>0.69545307088335662</v>
      </c>
      <c r="R159" s="140">
        <f t="shared" si="142"/>
        <v>0.68331146478883731</v>
      </c>
      <c r="S159" s="140">
        <f t="shared" si="142"/>
        <v>0.68826024935105623</v>
      </c>
      <c r="T159" s="140">
        <f t="shared" si="142"/>
        <v>0.68314871517575027</v>
      </c>
      <c r="U159" s="140">
        <f t="shared" si="142"/>
        <v>0.6815098951822518</v>
      </c>
      <c r="V159" s="140">
        <f t="shared" si="142"/>
        <v>0.81190235767528873</v>
      </c>
      <c r="W159" s="140">
        <f t="shared" si="142"/>
        <v>0.78858240311014904</v>
      </c>
      <c r="X159" s="140">
        <f t="shared" ref="X159:Y159" si="143">IF(X67=0,0,X67/X$64)</f>
        <v>0.70815005183456736</v>
      </c>
      <c r="Y159" s="140">
        <f t="shared" si="143"/>
        <v>0.6816595853715135</v>
      </c>
      <c r="DA159" s="175"/>
    </row>
    <row r="160" spans="1:105" ht="11.45" customHeight="1" x14ac:dyDescent="0.25">
      <c r="A160" s="128" t="str">
        <f>$A$8</f>
        <v>Motor coaches, buses and trolley buses</v>
      </c>
      <c r="B160" s="140">
        <f t="shared" si="135"/>
        <v>5.5254435572537466E-2</v>
      </c>
      <c r="C160" s="140">
        <f t="shared" ref="C160:W160" si="144">IF(C68=0,0,C68/C$64)</f>
        <v>5.3695169404826458E-2</v>
      </c>
      <c r="D160" s="140">
        <f t="shared" si="144"/>
        <v>5.1734750679650811E-2</v>
      </c>
      <c r="E160" s="140">
        <f t="shared" si="144"/>
        <v>4.8945420989744491E-2</v>
      </c>
      <c r="F160" s="140">
        <f t="shared" si="144"/>
        <v>4.7984685286045971E-2</v>
      </c>
      <c r="G160" s="140">
        <f t="shared" si="144"/>
        <v>4.5042120378275464E-2</v>
      </c>
      <c r="H160" s="140">
        <f t="shared" si="144"/>
        <v>4.5421374913276989E-2</v>
      </c>
      <c r="I160" s="140">
        <f t="shared" si="144"/>
        <v>4.4954536342190758E-2</v>
      </c>
      <c r="J160" s="140">
        <f t="shared" si="144"/>
        <v>4.5466370174609048E-2</v>
      </c>
      <c r="K160" s="140">
        <f t="shared" si="144"/>
        <v>4.6044731532022452E-2</v>
      </c>
      <c r="L160" s="140">
        <f t="shared" si="144"/>
        <v>4.5962612315640194E-2</v>
      </c>
      <c r="M160" s="140">
        <f t="shared" si="144"/>
        <v>4.6007781336387443E-2</v>
      </c>
      <c r="N160" s="140">
        <f t="shared" si="144"/>
        <v>4.7478765403105742E-2</v>
      </c>
      <c r="O160" s="140">
        <f t="shared" si="144"/>
        <v>4.7666888596722023E-2</v>
      </c>
      <c r="P160" s="140">
        <f t="shared" si="144"/>
        <v>4.6315159977267414E-2</v>
      </c>
      <c r="Q160" s="140">
        <f t="shared" si="144"/>
        <v>4.5032995429039158E-2</v>
      </c>
      <c r="R160" s="140">
        <f t="shared" si="144"/>
        <v>4.4519867895635556E-2</v>
      </c>
      <c r="S160" s="140">
        <f t="shared" si="144"/>
        <v>2.7590126628809539E-2</v>
      </c>
      <c r="T160" s="140">
        <f t="shared" si="144"/>
        <v>2.6991849648675195E-2</v>
      </c>
      <c r="U160" s="140">
        <f t="shared" si="144"/>
        <v>2.6721367468267969E-2</v>
      </c>
      <c r="V160" s="140">
        <f t="shared" si="144"/>
        <v>2.7710222678421808E-2</v>
      </c>
      <c r="W160" s="140">
        <f t="shared" si="144"/>
        <v>2.9467286649923909E-2</v>
      </c>
      <c r="X160" s="140">
        <f t="shared" ref="X160:Y160" si="145">IF(X68=0,0,X68/X$64)</f>
        <v>2.8838528680120049E-2</v>
      </c>
      <c r="Y160" s="140">
        <f t="shared" si="145"/>
        <v>3.0928835668134473E-2</v>
      </c>
      <c r="DA160" s="175"/>
    </row>
    <row r="161" spans="1:105" ht="11.45" customHeight="1" x14ac:dyDescent="0.25">
      <c r="A161" s="109" t="str">
        <f>$A$9</f>
        <v>Rail, metro and tram</v>
      </c>
      <c r="B161" s="124">
        <f t="shared" si="135"/>
        <v>1.5230256215168077E-2</v>
      </c>
      <c r="C161" s="124">
        <f t="shared" ref="C161:W161" si="146">IF(C69=0,0,C69/C$64)</f>
        <v>1.565809507288949E-2</v>
      </c>
      <c r="D161" s="124">
        <f t="shared" si="146"/>
        <v>1.5852260795196704E-2</v>
      </c>
      <c r="E161" s="124">
        <f t="shared" si="146"/>
        <v>1.8810170186484402E-2</v>
      </c>
      <c r="F161" s="124">
        <f t="shared" si="146"/>
        <v>2.1651712536250475E-2</v>
      </c>
      <c r="G161" s="124">
        <f t="shared" si="146"/>
        <v>2.3083295462448548E-2</v>
      </c>
      <c r="H161" s="124">
        <f t="shared" si="146"/>
        <v>1.8428964418579691E-2</v>
      </c>
      <c r="I161" s="124">
        <f t="shared" si="146"/>
        <v>2.0189799509091177E-2</v>
      </c>
      <c r="J161" s="124">
        <f t="shared" si="146"/>
        <v>1.943377781837682E-2</v>
      </c>
      <c r="K161" s="124">
        <f t="shared" si="146"/>
        <v>1.639003729211656E-2</v>
      </c>
      <c r="L161" s="124">
        <f t="shared" si="146"/>
        <v>1.6229849076532674E-2</v>
      </c>
      <c r="M161" s="124">
        <f t="shared" si="146"/>
        <v>1.6397442907946803E-2</v>
      </c>
      <c r="N161" s="124">
        <f t="shared" si="146"/>
        <v>1.9856727706817907E-2</v>
      </c>
      <c r="O161" s="124">
        <f t="shared" si="146"/>
        <v>2.2198508215279925E-3</v>
      </c>
      <c r="P161" s="124">
        <f t="shared" si="146"/>
        <v>2.0817309852105134E-3</v>
      </c>
      <c r="Q161" s="124">
        <f t="shared" si="146"/>
        <v>2.6639864013798067E-3</v>
      </c>
      <c r="R161" s="124">
        <f t="shared" si="146"/>
        <v>2.5168403418553255E-3</v>
      </c>
      <c r="S161" s="124">
        <f t="shared" si="146"/>
        <v>1.719223666567619E-3</v>
      </c>
      <c r="T161" s="124">
        <f t="shared" si="146"/>
        <v>1.5908744573792887E-3</v>
      </c>
      <c r="U161" s="124">
        <f t="shared" si="146"/>
        <v>1.3425132876325142E-3</v>
      </c>
      <c r="V161" s="124">
        <f t="shared" si="146"/>
        <v>1.2867626508523168E-3</v>
      </c>
      <c r="W161" s="124">
        <f t="shared" si="146"/>
        <v>1.6255671095320463E-3</v>
      </c>
      <c r="X161" s="124">
        <f t="shared" ref="X161:Y161" si="147">IF(X69=0,0,X69/X$64)</f>
        <v>1.2859147230957872E-3</v>
      </c>
      <c r="Y161" s="124">
        <f t="shared" si="147"/>
        <v>1.1789511753420925E-3</v>
      </c>
      <c r="DA161" s="176"/>
    </row>
    <row r="162" spans="1:105" ht="11.45" customHeight="1" x14ac:dyDescent="0.25">
      <c r="A162" s="128" t="str">
        <f>$A$10</f>
        <v>Metro and tram, urban light rail</v>
      </c>
      <c r="B162" s="140">
        <f t="shared" si="135"/>
        <v>0</v>
      </c>
      <c r="C162" s="140">
        <f t="shared" ref="C162:W162" si="148">IF(C70=0,0,C70/C$64)</f>
        <v>0</v>
      </c>
      <c r="D162" s="140">
        <f t="shared" si="148"/>
        <v>0</v>
      </c>
      <c r="E162" s="140">
        <f t="shared" si="148"/>
        <v>0</v>
      </c>
      <c r="F162" s="140">
        <f t="shared" si="148"/>
        <v>0</v>
      </c>
      <c r="G162" s="140">
        <f t="shared" si="148"/>
        <v>0</v>
      </c>
      <c r="H162" s="140">
        <f t="shared" si="148"/>
        <v>0</v>
      </c>
      <c r="I162" s="140">
        <f t="shared" si="148"/>
        <v>0</v>
      </c>
      <c r="J162" s="140">
        <f t="shared" si="148"/>
        <v>0</v>
      </c>
      <c r="K162" s="140">
        <f t="shared" si="148"/>
        <v>0</v>
      </c>
      <c r="L162" s="140">
        <f t="shared" si="148"/>
        <v>0</v>
      </c>
      <c r="M162" s="140">
        <f t="shared" si="148"/>
        <v>0</v>
      </c>
      <c r="N162" s="140">
        <f t="shared" si="148"/>
        <v>0</v>
      </c>
      <c r="O162" s="140">
        <f t="shared" si="148"/>
        <v>0</v>
      </c>
      <c r="P162" s="140">
        <f t="shared" si="148"/>
        <v>0</v>
      </c>
      <c r="Q162" s="140">
        <f t="shared" si="148"/>
        <v>0</v>
      </c>
      <c r="R162" s="140">
        <f t="shared" si="148"/>
        <v>0</v>
      </c>
      <c r="S162" s="140">
        <f t="shared" si="148"/>
        <v>0</v>
      </c>
      <c r="T162" s="140">
        <f t="shared" si="148"/>
        <v>0</v>
      </c>
      <c r="U162" s="140">
        <f t="shared" si="148"/>
        <v>0</v>
      </c>
      <c r="V162" s="140">
        <f t="shared" si="148"/>
        <v>0</v>
      </c>
      <c r="W162" s="140">
        <f t="shared" si="148"/>
        <v>0</v>
      </c>
      <c r="X162" s="140">
        <f t="shared" ref="X162:Y162" si="149">IF(X70=0,0,X70/X$64)</f>
        <v>0</v>
      </c>
      <c r="Y162" s="140">
        <f t="shared" si="149"/>
        <v>0</v>
      </c>
      <c r="DA162" s="175"/>
    </row>
    <row r="163" spans="1:105" ht="11.45" customHeight="1" x14ac:dyDescent="0.25">
      <c r="A163" s="128" t="str">
        <f>$A$11</f>
        <v>Conventional passenger trains</v>
      </c>
      <c r="B163" s="140">
        <f t="shared" si="135"/>
        <v>1.5230256215168077E-2</v>
      </c>
      <c r="C163" s="140">
        <f t="shared" ref="C163:W163" si="150">IF(C71=0,0,C71/C$64)</f>
        <v>1.565809507288949E-2</v>
      </c>
      <c r="D163" s="140">
        <f t="shared" si="150"/>
        <v>1.5852260795196704E-2</v>
      </c>
      <c r="E163" s="140">
        <f t="shared" si="150"/>
        <v>1.8810170186484402E-2</v>
      </c>
      <c r="F163" s="140">
        <f t="shared" si="150"/>
        <v>2.1651712536250475E-2</v>
      </c>
      <c r="G163" s="140">
        <f t="shared" si="150"/>
        <v>2.3083295462448548E-2</v>
      </c>
      <c r="H163" s="140">
        <f t="shared" si="150"/>
        <v>1.8428964418579691E-2</v>
      </c>
      <c r="I163" s="140">
        <f t="shared" si="150"/>
        <v>2.0189799509091177E-2</v>
      </c>
      <c r="J163" s="140">
        <f t="shared" si="150"/>
        <v>1.943377781837682E-2</v>
      </c>
      <c r="K163" s="140">
        <f t="shared" si="150"/>
        <v>1.639003729211656E-2</v>
      </c>
      <c r="L163" s="140">
        <f t="shared" si="150"/>
        <v>1.6229849076532674E-2</v>
      </c>
      <c r="M163" s="140">
        <f t="shared" si="150"/>
        <v>1.6397442907946803E-2</v>
      </c>
      <c r="N163" s="140">
        <f t="shared" si="150"/>
        <v>1.9856727706817907E-2</v>
      </c>
      <c r="O163" s="140">
        <f t="shared" si="150"/>
        <v>2.2198508215279925E-3</v>
      </c>
      <c r="P163" s="140">
        <f t="shared" si="150"/>
        <v>2.0817309852105134E-3</v>
      </c>
      <c r="Q163" s="140">
        <f t="shared" si="150"/>
        <v>2.6639864013798067E-3</v>
      </c>
      <c r="R163" s="140">
        <f t="shared" si="150"/>
        <v>2.5168403418553255E-3</v>
      </c>
      <c r="S163" s="140">
        <f t="shared" si="150"/>
        <v>1.719223666567619E-3</v>
      </c>
      <c r="T163" s="140">
        <f t="shared" si="150"/>
        <v>1.5908744573792887E-3</v>
      </c>
      <c r="U163" s="140">
        <f t="shared" si="150"/>
        <v>1.3425132876325142E-3</v>
      </c>
      <c r="V163" s="140">
        <f t="shared" si="150"/>
        <v>1.2867626508523168E-3</v>
      </c>
      <c r="W163" s="140">
        <f t="shared" si="150"/>
        <v>1.6255671095320463E-3</v>
      </c>
      <c r="X163" s="140">
        <f t="shared" ref="X163:Y163" si="151">IF(X71=0,0,X71/X$64)</f>
        <v>1.2859147230957872E-3</v>
      </c>
      <c r="Y163" s="140">
        <f t="shared" si="151"/>
        <v>1.1789511753420925E-3</v>
      </c>
      <c r="DA163" s="175"/>
    </row>
    <row r="164" spans="1:105" ht="11.45" customHeight="1" x14ac:dyDescent="0.25">
      <c r="A164" s="128" t="str">
        <f>$A$12</f>
        <v>High speed passenger trains</v>
      </c>
      <c r="B164" s="140">
        <f t="shared" si="135"/>
        <v>0</v>
      </c>
      <c r="C164" s="140">
        <f t="shared" ref="C164:W164" si="152">IF(C72=0,0,C72/C$64)</f>
        <v>0</v>
      </c>
      <c r="D164" s="140">
        <f t="shared" si="152"/>
        <v>0</v>
      </c>
      <c r="E164" s="140">
        <f t="shared" si="152"/>
        <v>0</v>
      </c>
      <c r="F164" s="140">
        <f t="shared" si="152"/>
        <v>0</v>
      </c>
      <c r="G164" s="140">
        <f t="shared" si="152"/>
        <v>0</v>
      </c>
      <c r="H164" s="140">
        <f t="shared" si="152"/>
        <v>0</v>
      </c>
      <c r="I164" s="140">
        <f t="shared" si="152"/>
        <v>0</v>
      </c>
      <c r="J164" s="140">
        <f t="shared" si="152"/>
        <v>0</v>
      </c>
      <c r="K164" s="140">
        <f t="shared" si="152"/>
        <v>0</v>
      </c>
      <c r="L164" s="140">
        <f t="shared" si="152"/>
        <v>0</v>
      </c>
      <c r="M164" s="140">
        <f t="shared" si="152"/>
        <v>0</v>
      </c>
      <c r="N164" s="140">
        <f t="shared" si="152"/>
        <v>0</v>
      </c>
      <c r="O164" s="140">
        <f t="shared" si="152"/>
        <v>0</v>
      </c>
      <c r="P164" s="140">
        <f t="shared" si="152"/>
        <v>0</v>
      </c>
      <c r="Q164" s="140">
        <f t="shared" si="152"/>
        <v>0</v>
      </c>
      <c r="R164" s="140">
        <f t="shared" si="152"/>
        <v>0</v>
      </c>
      <c r="S164" s="140">
        <f t="shared" si="152"/>
        <v>0</v>
      </c>
      <c r="T164" s="140">
        <f t="shared" si="152"/>
        <v>0</v>
      </c>
      <c r="U164" s="140">
        <f t="shared" si="152"/>
        <v>0</v>
      </c>
      <c r="V164" s="140">
        <f t="shared" si="152"/>
        <v>0</v>
      </c>
      <c r="W164" s="140">
        <f t="shared" si="152"/>
        <v>0</v>
      </c>
      <c r="X164" s="140">
        <f t="shared" ref="X164:Y164" si="153">IF(X72=0,0,X72/X$64)</f>
        <v>0</v>
      </c>
      <c r="Y164" s="140">
        <f t="shared" si="153"/>
        <v>0</v>
      </c>
      <c r="DA164" s="175"/>
    </row>
    <row r="165" spans="1:105" ht="11.45" customHeight="1" x14ac:dyDescent="0.25">
      <c r="A165" s="109" t="str">
        <f>$A$13</f>
        <v>Aviation</v>
      </c>
      <c r="B165" s="124">
        <f t="shared" si="135"/>
        <v>0.20488257371461166</v>
      </c>
      <c r="C165" s="124">
        <f t="shared" ref="C165:W165" si="154">IF(C73=0,0,C73/C$64)</f>
        <v>0.20185426211266796</v>
      </c>
      <c r="D165" s="124">
        <f t="shared" si="154"/>
        <v>0.18815776506380585</v>
      </c>
      <c r="E165" s="124">
        <f t="shared" si="154"/>
        <v>0.18850419156611742</v>
      </c>
      <c r="F165" s="124">
        <f t="shared" si="154"/>
        <v>0.19896467664084277</v>
      </c>
      <c r="G165" s="124">
        <f t="shared" si="154"/>
        <v>0.20215266257418599</v>
      </c>
      <c r="H165" s="124">
        <f t="shared" si="154"/>
        <v>0.2044440301884396</v>
      </c>
      <c r="I165" s="124">
        <f t="shared" si="154"/>
        <v>0.20886006527596579</v>
      </c>
      <c r="J165" s="124">
        <f t="shared" si="154"/>
        <v>0.21210744093974038</v>
      </c>
      <c r="K165" s="124">
        <f t="shared" si="154"/>
        <v>0.20208529914015819</v>
      </c>
      <c r="L165" s="124">
        <f t="shared" si="154"/>
        <v>0.21159443760824342</v>
      </c>
      <c r="M165" s="124">
        <f t="shared" si="154"/>
        <v>0.23080196679407089</v>
      </c>
      <c r="N165" s="124">
        <f t="shared" si="154"/>
        <v>0.23571267285315747</v>
      </c>
      <c r="O165" s="124">
        <f t="shared" si="154"/>
        <v>0.22472707234555325</v>
      </c>
      <c r="P165" s="124">
        <f t="shared" si="154"/>
        <v>0.22857587266187249</v>
      </c>
      <c r="Q165" s="124">
        <f t="shared" si="154"/>
        <v>0.23571501942185755</v>
      </c>
      <c r="R165" s="124">
        <f t="shared" si="154"/>
        <v>0.24795959458712438</v>
      </c>
      <c r="S165" s="124">
        <f t="shared" si="154"/>
        <v>0.26279943802465383</v>
      </c>
      <c r="T165" s="124">
        <f t="shared" si="154"/>
        <v>0.26994725738497083</v>
      </c>
      <c r="U165" s="124">
        <f t="shared" si="154"/>
        <v>0.27116864343610253</v>
      </c>
      <c r="V165" s="124">
        <f t="shared" si="154"/>
        <v>0.13554052125321289</v>
      </c>
      <c r="W165" s="124">
        <f t="shared" si="154"/>
        <v>0.15856772561195137</v>
      </c>
      <c r="X165" s="124">
        <f t="shared" ref="X165:Y165" si="155">IF(X73=0,0,X73/X$64)</f>
        <v>0.24351799813519126</v>
      </c>
      <c r="Y165" s="124">
        <f t="shared" si="155"/>
        <v>0.26723723008663797</v>
      </c>
      <c r="DA165" s="176"/>
    </row>
    <row r="166" spans="1:105" ht="11.45" customHeight="1" x14ac:dyDescent="0.25">
      <c r="A166" s="128" t="str">
        <f>$A$14</f>
        <v>Domestic</v>
      </c>
      <c r="B166" s="140">
        <f t="shared" si="135"/>
        <v>8.1036757483719385E-2</v>
      </c>
      <c r="C166" s="140">
        <f t="shared" ref="C166:W166" si="156">IF(C74=0,0,C74/C$64)</f>
        <v>7.8699800513078108E-2</v>
      </c>
      <c r="D166" s="140">
        <f t="shared" si="156"/>
        <v>7.1738791165818952E-2</v>
      </c>
      <c r="E166" s="140">
        <f t="shared" si="156"/>
        <v>7.2164335579251532E-2</v>
      </c>
      <c r="F166" s="140">
        <f t="shared" si="156"/>
        <v>7.5966080247708803E-2</v>
      </c>
      <c r="G166" s="140">
        <f t="shared" si="156"/>
        <v>8.4467951835473648E-2</v>
      </c>
      <c r="H166" s="140">
        <f t="shared" si="156"/>
        <v>8.5855107052826521E-2</v>
      </c>
      <c r="I166" s="140">
        <f t="shared" si="156"/>
        <v>8.7798810832249191E-2</v>
      </c>
      <c r="J166" s="140">
        <f t="shared" si="156"/>
        <v>8.7125398202340679E-2</v>
      </c>
      <c r="K166" s="140">
        <f t="shared" si="156"/>
        <v>8.0694287540897788E-2</v>
      </c>
      <c r="L166" s="140">
        <f t="shared" si="156"/>
        <v>9.2472290532263052E-2</v>
      </c>
      <c r="M166" s="140">
        <f t="shared" si="156"/>
        <v>8.4878262845267699E-2</v>
      </c>
      <c r="N166" s="140">
        <f t="shared" si="156"/>
        <v>7.9462458032569835E-2</v>
      </c>
      <c r="O166" s="140">
        <f t="shared" si="156"/>
        <v>6.7998345780992203E-2</v>
      </c>
      <c r="P166" s="140">
        <f t="shared" si="156"/>
        <v>7.1145208162411822E-2</v>
      </c>
      <c r="Q166" s="140">
        <f t="shared" si="156"/>
        <v>7.4732850510679349E-2</v>
      </c>
      <c r="R166" s="140">
        <f t="shared" si="156"/>
        <v>8.0024036995305706E-2</v>
      </c>
      <c r="S166" s="140">
        <f t="shared" si="156"/>
        <v>8.4731127707721496E-2</v>
      </c>
      <c r="T166" s="140">
        <f t="shared" si="156"/>
        <v>8.7169070273654142E-2</v>
      </c>
      <c r="U166" s="140">
        <f t="shared" si="156"/>
        <v>8.9402773507912869E-2</v>
      </c>
      <c r="V166" s="140">
        <f t="shared" si="156"/>
        <v>5.2719160046989261E-2</v>
      </c>
      <c r="W166" s="140">
        <f t="shared" si="156"/>
        <v>7.6760854230401007E-2</v>
      </c>
      <c r="X166" s="140">
        <f t="shared" ref="X166:Y166" si="157">IF(X74=0,0,X74/X$64)</f>
        <v>0.10003580439315382</v>
      </c>
      <c r="Y166" s="140">
        <f t="shared" si="157"/>
        <v>0.10343663903415196</v>
      </c>
      <c r="DA166" s="175"/>
    </row>
    <row r="167" spans="1:105" ht="11.45" customHeight="1" x14ac:dyDescent="0.25">
      <c r="A167" s="128" t="str">
        <f>$A$15</f>
        <v>International - Intra-EEAwCHUK</v>
      </c>
      <c r="B167" s="140">
        <f t="shared" si="135"/>
        <v>7.5708392025503349E-2</v>
      </c>
      <c r="C167" s="140">
        <f t="shared" ref="C167:W167" si="158">IF(C75=0,0,C75/C$64)</f>
        <v>8.3280694331272193E-2</v>
      </c>
      <c r="D167" s="140">
        <f t="shared" si="158"/>
        <v>7.3317882383672497E-2</v>
      </c>
      <c r="E167" s="140">
        <f t="shared" si="158"/>
        <v>8.4243926067647773E-2</v>
      </c>
      <c r="F167" s="140">
        <f t="shared" si="158"/>
        <v>8.5405200766089831E-2</v>
      </c>
      <c r="G167" s="140">
        <f t="shared" si="158"/>
        <v>8.2060257420301749E-2</v>
      </c>
      <c r="H167" s="140">
        <f t="shared" si="158"/>
        <v>8.3298887682504028E-2</v>
      </c>
      <c r="I167" s="140">
        <f t="shared" si="158"/>
        <v>8.5606396655202754E-2</v>
      </c>
      <c r="J167" s="140">
        <f t="shared" si="158"/>
        <v>8.7481301767366793E-2</v>
      </c>
      <c r="K167" s="140">
        <f t="shared" si="158"/>
        <v>8.2684122650174066E-2</v>
      </c>
      <c r="L167" s="140">
        <f t="shared" si="158"/>
        <v>8.0659057149815694E-2</v>
      </c>
      <c r="M167" s="140">
        <f t="shared" si="158"/>
        <v>0.10015449345345673</v>
      </c>
      <c r="N167" s="140">
        <f t="shared" si="158"/>
        <v>0.10634403550561713</v>
      </c>
      <c r="O167" s="140">
        <f t="shared" si="158"/>
        <v>0.10740135799156124</v>
      </c>
      <c r="P167" s="140">
        <f t="shared" si="158"/>
        <v>0.10849793669150425</v>
      </c>
      <c r="Q167" s="140">
        <f t="shared" si="158"/>
        <v>0.1109578028452417</v>
      </c>
      <c r="R167" s="140">
        <f t="shared" si="158"/>
        <v>0.11947323341848883</v>
      </c>
      <c r="S167" s="140">
        <f t="shared" si="158"/>
        <v>0.12869095935535241</v>
      </c>
      <c r="T167" s="140">
        <f t="shared" si="158"/>
        <v>0.13077287254615835</v>
      </c>
      <c r="U167" s="140">
        <f t="shared" si="158"/>
        <v>0.12868781785783859</v>
      </c>
      <c r="V167" s="140">
        <f t="shared" si="158"/>
        <v>4.9608361175233692E-2</v>
      </c>
      <c r="W167" s="140">
        <f t="shared" si="158"/>
        <v>5.2479851196060592E-2</v>
      </c>
      <c r="X167" s="140">
        <f t="shared" ref="X167:Y167" si="159">IF(X75=0,0,X75/X$64)</f>
        <v>0.10321760432494989</v>
      </c>
      <c r="Y167" s="140">
        <f t="shared" si="159"/>
        <v>0.11730812261734251</v>
      </c>
      <c r="DA167" s="175"/>
    </row>
    <row r="168" spans="1:105" ht="11.45" customHeight="1" x14ac:dyDescent="0.25">
      <c r="A168" s="128" t="str">
        <f>$A$16</f>
        <v>International - Extra-EEAwCHUK</v>
      </c>
      <c r="B168" s="140">
        <f t="shared" si="135"/>
        <v>4.8137424205388919E-2</v>
      </c>
      <c r="C168" s="140">
        <f t="shared" ref="C168:W168" si="160">IF(C76=0,0,C76/C$64)</f>
        <v>3.9873767268317671E-2</v>
      </c>
      <c r="D168" s="140">
        <f t="shared" si="160"/>
        <v>4.3101091514314405E-2</v>
      </c>
      <c r="E168" s="140">
        <f t="shared" si="160"/>
        <v>3.209592991921812E-2</v>
      </c>
      <c r="F168" s="140">
        <f t="shared" si="160"/>
        <v>3.759339562704412E-2</v>
      </c>
      <c r="G168" s="140">
        <f t="shared" si="160"/>
        <v>3.5624453318410618E-2</v>
      </c>
      <c r="H168" s="140">
        <f t="shared" si="160"/>
        <v>3.5290035453109034E-2</v>
      </c>
      <c r="I168" s="140">
        <f t="shared" si="160"/>
        <v>3.5454857788513809E-2</v>
      </c>
      <c r="J168" s="140">
        <f t="shared" si="160"/>
        <v>3.7500740970032892E-2</v>
      </c>
      <c r="K168" s="140">
        <f t="shared" si="160"/>
        <v>3.8706888949086332E-2</v>
      </c>
      <c r="L168" s="140">
        <f t="shared" si="160"/>
        <v>3.8463089926164699E-2</v>
      </c>
      <c r="M168" s="140">
        <f t="shared" si="160"/>
        <v>4.5769210495346463E-2</v>
      </c>
      <c r="N168" s="140">
        <f t="shared" si="160"/>
        <v>4.9906179314970531E-2</v>
      </c>
      <c r="O168" s="140">
        <f t="shared" si="160"/>
        <v>4.9327368572999811E-2</v>
      </c>
      <c r="P168" s="140">
        <f t="shared" si="160"/>
        <v>4.8932727807956412E-2</v>
      </c>
      <c r="Q168" s="140">
        <f t="shared" si="160"/>
        <v>5.00243660659365E-2</v>
      </c>
      <c r="R168" s="140">
        <f t="shared" si="160"/>
        <v>4.8462324173329852E-2</v>
      </c>
      <c r="S168" s="140">
        <f t="shared" si="160"/>
        <v>4.9377350961579969E-2</v>
      </c>
      <c r="T168" s="140">
        <f t="shared" si="160"/>
        <v>5.2005314565158278E-2</v>
      </c>
      <c r="U168" s="140">
        <f t="shared" si="160"/>
        <v>5.3078052070351031E-2</v>
      </c>
      <c r="V168" s="140">
        <f t="shared" si="160"/>
        <v>3.3213000030989932E-2</v>
      </c>
      <c r="W168" s="140">
        <f t="shared" si="160"/>
        <v>2.9327020185489758E-2</v>
      </c>
      <c r="X168" s="140">
        <f t="shared" ref="X168:Y168" si="161">IF(X76=0,0,X76/X$64)</f>
        <v>4.0264589417087548E-2</v>
      </c>
      <c r="Y168" s="140">
        <f t="shared" si="161"/>
        <v>4.6492468435143521E-2</v>
      </c>
      <c r="DA168" s="175"/>
    </row>
    <row r="169" spans="1:105" ht="11.45" customHeight="1" x14ac:dyDescent="0.25">
      <c r="A169" s="27" t="s">
        <v>34</v>
      </c>
      <c r="B169" s="31">
        <f t="shared" ref="B169:B180" si="162">IF(B77=0,0,B77/B$77)</f>
        <v>1</v>
      </c>
      <c r="C169" s="31">
        <f t="shared" ref="C169:W169" si="163">IF(C77=0,0,C77/C$77)</f>
        <v>1</v>
      </c>
      <c r="D169" s="31">
        <f t="shared" si="163"/>
        <v>1</v>
      </c>
      <c r="E169" s="31">
        <f t="shared" si="163"/>
        <v>1</v>
      </c>
      <c r="F169" s="31">
        <f t="shared" si="163"/>
        <v>1</v>
      </c>
      <c r="G169" s="31">
        <f t="shared" si="163"/>
        <v>1</v>
      </c>
      <c r="H169" s="31">
        <f t="shared" si="163"/>
        <v>1</v>
      </c>
      <c r="I169" s="31">
        <f t="shared" si="163"/>
        <v>1</v>
      </c>
      <c r="J169" s="31">
        <f t="shared" si="163"/>
        <v>1</v>
      </c>
      <c r="K169" s="31">
        <f t="shared" si="163"/>
        <v>1</v>
      </c>
      <c r="L169" s="31">
        <f t="shared" si="163"/>
        <v>1</v>
      </c>
      <c r="M169" s="31">
        <f t="shared" si="163"/>
        <v>1</v>
      </c>
      <c r="N169" s="31">
        <f t="shared" si="163"/>
        <v>1</v>
      </c>
      <c r="O169" s="31">
        <f t="shared" si="163"/>
        <v>1</v>
      </c>
      <c r="P169" s="31">
        <f t="shared" si="163"/>
        <v>1</v>
      </c>
      <c r="Q169" s="31">
        <f t="shared" si="163"/>
        <v>1</v>
      </c>
      <c r="R169" s="31">
        <f t="shared" si="163"/>
        <v>1</v>
      </c>
      <c r="S169" s="31">
        <f t="shared" si="163"/>
        <v>1</v>
      </c>
      <c r="T169" s="31">
        <f t="shared" si="163"/>
        <v>1</v>
      </c>
      <c r="U169" s="31">
        <f t="shared" si="163"/>
        <v>1</v>
      </c>
      <c r="V169" s="31">
        <f t="shared" si="163"/>
        <v>1</v>
      </c>
      <c r="W169" s="31">
        <f t="shared" si="163"/>
        <v>1</v>
      </c>
      <c r="X169" s="31">
        <f t="shared" ref="X169:Y169" si="164">IF(X77=0,0,X77/X$77)</f>
        <v>1</v>
      </c>
      <c r="Y169" s="31">
        <f t="shared" si="164"/>
        <v>1</v>
      </c>
      <c r="DA169" s="173"/>
    </row>
    <row r="170" spans="1:105" ht="11.45" customHeight="1" x14ac:dyDescent="0.25">
      <c r="A170" s="136" t="str">
        <f>$A$18</f>
        <v>Road transport</v>
      </c>
      <c r="B170" s="139">
        <f t="shared" si="162"/>
        <v>0.84345035814429226</v>
      </c>
      <c r="C170" s="139">
        <f t="shared" ref="C170:W170" si="165">IF(C78=0,0,C78/C$77)</f>
        <v>0.85393782806522611</v>
      </c>
      <c r="D170" s="139">
        <f t="shared" si="165"/>
        <v>0.85643198555149558</v>
      </c>
      <c r="E170" s="139">
        <f t="shared" si="165"/>
        <v>0.85309612882638297</v>
      </c>
      <c r="F170" s="139">
        <f t="shared" si="165"/>
        <v>0.85511009682910333</v>
      </c>
      <c r="G170" s="139">
        <f t="shared" si="165"/>
        <v>0.86093179914965667</v>
      </c>
      <c r="H170" s="139">
        <f t="shared" si="165"/>
        <v>0.85310489175479554</v>
      </c>
      <c r="I170" s="139">
        <f t="shared" si="165"/>
        <v>0.86903402584217793</v>
      </c>
      <c r="J170" s="139">
        <f t="shared" si="165"/>
        <v>0.86680819061628744</v>
      </c>
      <c r="K170" s="139">
        <f t="shared" si="165"/>
        <v>0.86669463698617144</v>
      </c>
      <c r="L170" s="139">
        <f t="shared" si="165"/>
        <v>0.86136012483639957</v>
      </c>
      <c r="M170" s="139">
        <f t="shared" si="165"/>
        <v>0.88348544381816041</v>
      </c>
      <c r="N170" s="139">
        <f t="shared" si="165"/>
        <v>0.86240823245392928</v>
      </c>
      <c r="O170" s="139">
        <f t="shared" si="165"/>
        <v>0.91748917900233606</v>
      </c>
      <c r="P170" s="139">
        <f t="shared" si="165"/>
        <v>0.94034531751889805</v>
      </c>
      <c r="Q170" s="139">
        <f t="shared" si="165"/>
        <v>0.92873461911844868</v>
      </c>
      <c r="R170" s="139">
        <f t="shared" si="165"/>
        <v>0.9159248239584914</v>
      </c>
      <c r="S170" s="139">
        <f t="shared" si="165"/>
        <v>0.88220024483882931</v>
      </c>
      <c r="T170" s="139">
        <f t="shared" si="165"/>
        <v>0.87999416467417158</v>
      </c>
      <c r="U170" s="139">
        <f t="shared" si="165"/>
        <v>0.87188207242526494</v>
      </c>
      <c r="V170" s="139">
        <f t="shared" si="165"/>
        <v>0.88193736380352783</v>
      </c>
      <c r="W170" s="139">
        <f t="shared" si="165"/>
        <v>0.88426719306266288</v>
      </c>
      <c r="X170" s="139">
        <f t="shared" ref="X170:Y170" si="166">IF(X78=0,0,X78/X$77)</f>
        <v>0.86890309243023345</v>
      </c>
      <c r="Y170" s="139">
        <f t="shared" si="166"/>
        <v>0.87892804134627067</v>
      </c>
      <c r="DA170" s="174"/>
    </row>
    <row r="171" spans="1:105" ht="11.45" customHeight="1" x14ac:dyDescent="0.25">
      <c r="A171" s="128" t="str">
        <f>$A$19</f>
        <v>Light commercial vehicles</v>
      </c>
      <c r="B171" s="140">
        <f t="shared" si="162"/>
        <v>0.25304107811991694</v>
      </c>
      <c r="C171" s="140">
        <f t="shared" ref="C171:W171" si="167">IF(C79=0,0,C79/C$77)</f>
        <v>0.27855363749054657</v>
      </c>
      <c r="D171" s="140">
        <f t="shared" si="167"/>
        <v>0.25010148208696864</v>
      </c>
      <c r="E171" s="140">
        <f t="shared" si="167"/>
        <v>0.24778804432575252</v>
      </c>
      <c r="F171" s="140">
        <f t="shared" si="167"/>
        <v>0.23719586248060714</v>
      </c>
      <c r="G171" s="140">
        <f t="shared" si="167"/>
        <v>0.21526926254977435</v>
      </c>
      <c r="H171" s="140">
        <f t="shared" si="167"/>
        <v>0.21680930013278463</v>
      </c>
      <c r="I171" s="140">
        <f t="shared" si="167"/>
        <v>0.23374998566828678</v>
      </c>
      <c r="J171" s="140">
        <f t="shared" si="167"/>
        <v>0.2281352521012612</v>
      </c>
      <c r="K171" s="140">
        <f t="shared" si="167"/>
        <v>0.22191574740586556</v>
      </c>
      <c r="L171" s="140">
        <f t="shared" si="167"/>
        <v>0.22394927255704949</v>
      </c>
      <c r="M171" s="140">
        <f t="shared" si="167"/>
        <v>0.23896570220437974</v>
      </c>
      <c r="N171" s="140">
        <f t="shared" si="167"/>
        <v>0.2481865175521277</v>
      </c>
      <c r="O171" s="140">
        <f t="shared" si="167"/>
        <v>0.26981787419624864</v>
      </c>
      <c r="P171" s="140">
        <f t="shared" si="167"/>
        <v>0.26571755793447904</v>
      </c>
      <c r="Q171" s="140">
        <f t="shared" si="167"/>
        <v>0.25810809065017443</v>
      </c>
      <c r="R171" s="140">
        <f t="shared" si="167"/>
        <v>0.22283714276680894</v>
      </c>
      <c r="S171" s="140">
        <f t="shared" si="167"/>
        <v>0.22054147907513197</v>
      </c>
      <c r="T171" s="140">
        <f t="shared" si="167"/>
        <v>0.21607625730603136</v>
      </c>
      <c r="U171" s="140">
        <f t="shared" si="167"/>
        <v>0.22303914446244966</v>
      </c>
      <c r="V171" s="140">
        <f t="shared" si="167"/>
        <v>0.17304875083435983</v>
      </c>
      <c r="W171" s="140">
        <f t="shared" si="167"/>
        <v>0.22551810981501294</v>
      </c>
      <c r="X171" s="140">
        <f t="shared" ref="X171:Y171" si="168">IF(X79=0,0,X79/X$77)</f>
        <v>0.23281439142212992</v>
      </c>
      <c r="Y171" s="140">
        <f t="shared" si="168"/>
        <v>0.2433398097044106</v>
      </c>
      <c r="DA171" s="175"/>
    </row>
    <row r="172" spans="1:105" ht="11.45" customHeight="1" x14ac:dyDescent="0.25">
      <c r="A172" s="128" t="str">
        <f>$A$20</f>
        <v>Heavy goods vehicles</v>
      </c>
      <c r="B172" s="140">
        <f t="shared" si="162"/>
        <v>0.59040928002437532</v>
      </c>
      <c r="C172" s="140">
        <f t="shared" ref="C172:W172" si="169">IF(C80=0,0,C80/C$77)</f>
        <v>0.5753841905746796</v>
      </c>
      <c r="D172" s="140">
        <f t="shared" si="169"/>
        <v>0.60633050346452699</v>
      </c>
      <c r="E172" s="140">
        <f t="shared" si="169"/>
        <v>0.60530808450063056</v>
      </c>
      <c r="F172" s="140">
        <f t="shared" si="169"/>
        <v>0.61791423434849624</v>
      </c>
      <c r="G172" s="140">
        <f t="shared" si="169"/>
        <v>0.64566253659988215</v>
      </c>
      <c r="H172" s="140">
        <f t="shared" si="169"/>
        <v>0.63629559162201099</v>
      </c>
      <c r="I172" s="140">
        <f t="shared" si="169"/>
        <v>0.63528404017389117</v>
      </c>
      <c r="J172" s="140">
        <f t="shared" si="169"/>
        <v>0.63867293851502616</v>
      </c>
      <c r="K172" s="140">
        <f t="shared" si="169"/>
        <v>0.64477888958030594</v>
      </c>
      <c r="L172" s="140">
        <f t="shared" si="169"/>
        <v>0.63741085227935013</v>
      </c>
      <c r="M172" s="140">
        <f t="shared" si="169"/>
        <v>0.64451974161378067</v>
      </c>
      <c r="N172" s="140">
        <f t="shared" si="169"/>
        <v>0.61422171490180155</v>
      </c>
      <c r="O172" s="140">
        <f t="shared" si="169"/>
        <v>0.64767130480608748</v>
      </c>
      <c r="P172" s="140">
        <f t="shared" si="169"/>
        <v>0.67462775958441901</v>
      </c>
      <c r="Q172" s="140">
        <f t="shared" si="169"/>
        <v>0.67062652846827431</v>
      </c>
      <c r="R172" s="140">
        <f t="shared" si="169"/>
        <v>0.69308768119168251</v>
      </c>
      <c r="S172" s="140">
        <f t="shared" si="169"/>
        <v>0.66165876576369731</v>
      </c>
      <c r="T172" s="140">
        <f t="shared" si="169"/>
        <v>0.66391790736814027</v>
      </c>
      <c r="U172" s="140">
        <f t="shared" si="169"/>
        <v>0.64884292796281529</v>
      </c>
      <c r="V172" s="140">
        <f t="shared" si="169"/>
        <v>0.70888861296916805</v>
      </c>
      <c r="W172" s="140">
        <f t="shared" si="169"/>
        <v>0.65874908324765002</v>
      </c>
      <c r="X172" s="140">
        <f t="shared" ref="X172:Y172" si="170">IF(X80=0,0,X80/X$77)</f>
        <v>0.63608870100810355</v>
      </c>
      <c r="Y172" s="140">
        <f t="shared" si="170"/>
        <v>0.63558823164186007</v>
      </c>
      <c r="DA172" s="175"/>
    </row>
    <row r="173" spans="1:105" ht="11.45" customHeight="1" x14ac:dyDescent="0.25">
      <c r="A173" s="109" t="str">
        <f>$A$21</f>
        <v>Rail transport</v>
      </c>
      <c r="B173" s="124">
        <f t="shared" si="162"/>
        <v>1.596899509707898E-2</v>
      </c>
      <c r="C173" s="124">
        <f t="shared" ref="C173:W173" si="171">IF(C81=0,0,C81/C$77)</f>
        <v>1.6131520100684402E-2</v>
      </c>
      <c r="D173" s="124">
        <f t="shared" si="171"/>
        <v>1.4277062531527171E-2</v>
      </c>
      <c r="E173" s="124">
        <f t="shared" si="171"/>
        <v>1.121321820476078E-2</v>
      </c>
      <c r="F173" s="124">
        <f t="shared" si="171"/>
        <v>1.0090447724791363E-2</v>
      </c>
      <c r="G173" s="124">
        <f t="shared" si="171"/>
        <v>9.6050267173704591E-3</v>
      </c>
      <c r="H173" s="124">
        <f t="shared" si="171"/>
        <v>1.0961561636463817E-2</v>
      </c>
      <c r="I173" s="124">
        <f t="shared" si="171"/>
        <v>1.4666380368893818E-2</v>
      </c>
      <c r="J173" s="124">
        <f t="shared" si="171"/>
        <v>1.6500539688844264E-2</v>
      </c>
      <c r="K173" s="124">
        <f t="shared" si="171"/>
        <v>1.8677697463707479E-2</v>
      </c>
      <c r="L173" s="124">
        <f t="shared" si="171"/>
        <v>2.2869880709257329E-2</v>
      </c>
      <c r="M173" s="124">
        <f t="shared" si="171"/>
        <v>1.3554926819787635E-2</v>
      </c>
      <c r="N173" s="124">
        <f t="shared" si="171"/>
        <v>1.6389427389437567E-2</v>
      </c>
      <c r="O173" s="124">
        <f t="shared" si="171"/>
        <v>4.0603683070613546E-3</v>
      </c>
      <c r="P173" s="124">
        <f t="shared" si="171"/>
        <v>4.3005018062609824E-3</v>
      </c>
      <c r="Q173" s="124">
        <f t="shared" si="171"/>
        <v>3.1940917696142131E-3</v>
      </c>
      <c r="R173" s="124">
        <f t="shared" si="171"/>
        <v>2.2438217626967031E-3</v>
      </c>
      <c r="S173" s="124">
        <f t="shared" si="171"/>
        <v>3.8292571091130588E-3</v>
      </c>
      <c r="T173" s="124">
        <f t="shared" si="171"/>
        <v>4.2214705237177477E-3</v>
      </c>
      <c r="U173" s="124">
        <f t="shared" si="171"/>
        <v>5.074971930970916E-3</v>
      </c>
      <c r="V173" s="124">
        <f t="shared" si="171"/>
        <v>4.6969139418667231E-3</v>
      </c>
      <c r="W173" s="124">
        <f t="shared" si="171"/>
        <v>2.3446126066682953E-3</v>
      </c>
      <c r="X173" s="124">
        <f t="shared" ref="X173:Y173" si="172">IF(X81=0,0,X81/X$77)</f>
        <v>2.2958407727032681E-3</v>
      </c>
      <c r="Y173" s="124">
        <f t="shared" si="172"/>
        <v>2.0435555571923572E-3</v>
      </c>
      <c r="DA173" s="176"/>
    </row>
    <row r="174" spans="1:105" ht="11.45" customHeight="1" x14ac:dyDescent="0.25">
      <c r="A174" s="109" t="str">
        <f>$A$22</f>
        <v>Aviation</v>
      </c>
      <c r="B174" s="124">
        <f t="shared" si="162"/>
        <v>1.0365819837307468E-2</v>
      </c>
      <c r="C174" s="124">
        <f t="shared" ref="C174:W174" si="173">IF(C82=0,0,C82/C$77)</f>
        <v>1.0104669589380014E-2</v>
      </c>
      <c r="D174" s="124">
        <f t="shared" si="173"/>
        <v>8.8170493604435886E-3</v>
      </c>
      <c r="E174" s="124">
        <f t="shared" si="173"/>
        <v>8.5333337357952708E-3</v>
      </c>
      <c r="F174" s="124">
        <f t="shared" si="173"/>
        <v>1.028578274315752E-2</v>
      </c>
      <c r="G174" s="124">
        <f t="shared" si="173"/>
        <v>9.7203606936502318E-3</v>
      </c>
      <c r="H174" s="124">
        <f t="shared" si="173"/>
        <v>9.5047071235799061E-3</v>
      </c>
      <c r="I174" s="124">
        <f t="shared" si="173"/>
        <v>9.0978935631928128E-3</v>
      </c>
      <c r="J174" s="124">
        <f t="shared" si="173"/>
        <v>9.9493799782074382E-3</v>
      </c>
      <c r="K174" s="124">
        <f t="shared" si="173"/>
        <v>1.0067680958759926E-2</v>
      </c>
      <c r="L174" s="124">
        <f t="shared" si="173"/>
        <v>1.1578663302959693E-2</v>
      </c>
      <c r="M174" s="124">
        <f t="shared" si="173"/>
        <v>1.2387837183574685E-2</v>
      </c>
      <c r="N174" s="124">
        <f t="shared" si="173"/>
        <v>1.2621962117309583E-2</v>
      </c>
      <c r="O174" s="124">
        <f t="shared" si="173"/>
        <v>1.2495592297098032E-2</v>
      </c>
      <c r="P174" s="124">
        <f t="shared" si="173"/>
        <v>1.2092693605358753E-2</v>
      </c>
      <c r="Q174" s="124">
        <f t="shared" si="173"/>
        <v>1.2626331999110951E-2</v>
      </c>
      <c r="R174" s="124">
        <f t="shared" si="173"/>
        <v>1.0975865403909235E-2</v>
      </c>
      <c r="S174" s="124">
        <f t="shared" si="173"/>
        <v>1.2875413579424731E-2</v>
      </c>
      <c r="T174" s="124">
        <f t="shared" si="173"/>
        <v>1.3480560439466674E-2</v>
      </c>
      <c r="U174" s="124">
        <f t="shared" si="173"/>
        <v>1.2776498358745007E-2</v>
      </c>
      <c r="V174" s="124">
        <f t="shared" si="173"/>
        <v>1.2904323885776128E-2</v>
      </c>
      <c r="W174" s="124">
        <f t="shared" si="173"/>
        <v>1.2216403464143214E-2</v>
      </c>
      <c r="X174" s="124">
        <f t="shared" ref="X174:Y174" si="174">IF(X82=0,0,X82/X$77)</f>
        <v>1.2110926217649394E-2</v>
      </c>
      <c r="Y174" s="124">
        <f t="shared" si="174"/>
        <v>1.4983250473215066E-2</v>
      </c>
      <c r="DA174" s="176"/>
    </row>
    <row r="175" spans="1:105" ht="11.45" customHeight="1" x14ac:dyDescent="0.25">
      <c r="A175" s="128" t="s">
        <v>27</v>
      </c>
      <c r="B175" s="140">
        <f t="shared" si="162"/>
        <v>4.8103119388726336E-3</v>
      </c>
      <c r="C175" s="140">
        <f t="shared" ref="C175:W175" si="175">IF(C83=0,0,C83/C$77)</f>
        <v>4.594970321975581E-3</v>
      </c>
      <c r="D175" s="140">
        <f t="shared" si="175"/>
        <v>4.2147153880157072E-3</v>
      </c>
      <c r="E175" s="140">
        <f t="shared" si="175"/>
        <v>3.4462746098446934E-3</v>
      </c>
      <c r="F175" s="140">
        <f t="shared" si="175"/>
        <v>4.3912911603031885E-3</v>
      </c>
      <c r="G175" s="140">
        <f t="shared" si="175"/>
        <v>4.5327894533035585E-3</v>
      </c>
      <c r="H175" s="140">
        <f t="shared" si="175"/>
        <v>4.425845450615017E-3</v>
      </c>
      <c r="I175" s="140">
        <f t="shared" si="175"/>
        <v>4.1530632446237633E-3</v>
      </c>
      <c r="J175" s="140">
        <f t="shared" si="175"/>
        <v>4.4404908347322018E-3</v>
      </c>
      <c r="K175" s="140">
        <f t="shared" si="175"/>
        <v>4.1379891599887825E-3</v>
      </c>
      <c r="L175" s="140">
        <f t="shared" si="175"/>
        <v>4.4934537768908135E-3</v>
      </c>
      <c r="M175" s="140">
        <f t="shared" si="175"/>
        <v>3.8650325066040222E-3</v>
      </c>
      <c r="N175" s="140">
        <f t="shared" si="175"/>
        <v>3.8638779781487291E-3</v>
      </c>
      <c r="O175" s="140">
        <f t="shared" si="175"/>
        <v>3.6875466804594447E-3</v>
      </c>
      <c r="P175" s="140">
        <f t="shared" si="175"/>
        <v>3.5731305038317887E-3</v>
      </c>
      <c r="Q175" s="140">
        <f t="shared" si="175"/>
        <v>3.2608108279236483E-3</v>
      </c>
      <c r="R175" s="140">
        <f t="shared" si="175"/>
        <v>2.8090535739045287E-3</v>
      </c>
      <c r="S175" s="140">
        <f t="shared" si="175"/>
        <v>2.9720863419142114E-3</v>
      </c>
      <c r="T175" s="140">
        <f t="shared" si="175"/>
        <v>2.6061460807902002E-3</v>
      </c>
      <c r="U175" s="140">
        <f t="shared" si="175"/>
        <v>2.3771998267595644E-3</v>
      </c>
      <c r="V175" s="140">
        <f t="shared" si="175"/>
        <v>1.847051764097777E-3</v>
      </c>
      <c r="W175" s="140">
        <f t="shared" si="175"/>
        <v>2.095899648727929E-3</v>
      </c>
      <c r="X175" s="140">
        <f t="shared" ref="X175:Y175" si="176">IF(X83=0,0,X83/X$77)</f>
        <v>1.9046314841199769E-3</v>
      </c>
      <c r="Y175" s="140">
        <f t="shared" si="176"/>
        <v>1.9713951518536615E-3</v>
      </c>
      <c r="DA175" s="175"/>
    </row>
    <row r="176" spans="1:105" ht="11.45" customHeight="1" x14ac:dyDescent="0.25">
      <c r="A176" s="128" t="str">
        <f>$A$24</f>
        <v>International - Intra-EEAwCHUK</v>
      </c>
      <c r="B176" s="140">
        <f t="shared" si="162"/>
        <v>1.7223327059564038E-3</v>
      </c>
      <c r="C176" s="140">
        <f t="shared" ref="C176:W176" si="177">IF(C84=0,0,C84/C$77)</f>
        <v>1.6653203707860196E-3</v>
      </c>
      <c r="D176" s="140">
        <f t="shared" si="177"/>
        <v>1.4271532502582811E-3</v>
      </c>
      <c r="E176" s="140">
        <f t="shared" si="177"/>
        <v>1.4994914372015906E-3</v>
      </c>
      <c r="F176" s="140">
        <f t="shared" si="177"/>
        <v>1.738557176545652E-3</v>
      </c>
      <c r="G176" s="140">
        <f t="shared" si="177"/>
        <v>1.5841069679416607E-3</v>
      </c>
      <c r="H176" s="140">
        <f t="shared" si="177"/>
        <v>1.5722520593889344E-3</v>
      </c>
      <c r="I176" s="140">
        <f t="shared" si="177"/>
        <v>1.3012714167727416E-3</v>
      </c>
      <c r="J176" s="140">
        <f t="shared" si="177"/>
        <v>1.4542816547037612E-3</v>
      </c>
      <c r="K176" s="140">
        <f t="shared" si="177"/>
        <v>1.6145261650373141E-3</v>
      </c>
      <c r="L176" s="140">
        <f t="shared" si="177"/>
        <v>1.680502714255794E-3</v>
      </c>
      <c r="M176" s="140">
        <f t="shared" si="177"/>
        <v>1.9640156366158147E-3</v>
      </c>
      <c r="N176" s="140">
        <f t="shared" si="177"/>
        <v>2.0196095617870799E-3</v>
      </c>
      <c r="O176" s="140">
        <f t="shared" si="177"/>
        <v>2.0360284287451072E-3</v>
      </c>
      <c r="P176" s="140">
        <f t="shared" si="177"/>
        <v>1.8151137593394723E-3</v>
      </c>
      <c r="Q176" s="140">
        <f t="shared" si="177"/>
        <v>1.8846964571214014E-3</v>
      </c>
      <c r="R176" s="140">
        <f t="shared" si="177"/>
        <v>1.5565104146060698E-3</v>
      </c>
      <c r="S176" s="140">
        <f t="shared" si="177"/>
        <v>1.7473787137341893E-3</v>
      </c>
      <c r="T176" s="140">
        <f t="shared" si="177"/>
        <v>1.7488596141290102E-3</v>
      </c>
      <c r="U176" s="140">
        <f t="shared" si="177"/>
        <v>1.985567024500015E-3</v>
      </c>
      <c r="V176" s="140">
        <f t="shared" si="177"/>
        <v>2.0891285157867861E-3</v>
      </c>
      <c r="W176" s="140">
        <f t="shared" si="177"/>
        <v>1.8889909290319888E-3</v>
      </c>
      <c r="X176" s="140">
        <f t="shared" ref="X176:Y176" si="178">IF(X84=0,0,X84/X$77)</f>
        <v>2.2151060764352862E-3</v>
      </c>
      <c r="Y176" s="140">
        <f t="shared" si="178"/>
        <v>2.3293679790626605E-3</v>
      </c>
      <c r="DA176" s="175"/>
    </row>
    <row r="177" spans="1:105" ht="11.45" customHeight="1" x14ac:dyDescent="0.25">
      <c r="A177" s="128" t="str">
        <f>$A$25</f>
        <v>International - Extra-EEAwCHUK</v>
      </c>
      <c r="B177" s="140">
        <f t="shared" si="162"/>
        <v>3.8331751924784306E-3</v>
      </c>
      <c r="C177" s="140">
        <f t="shared" ref="C177:W177" si="179">IF(C85=0,0,C85/C$77)</f>
        <v>3.8443788966184131E-3</v>
      </c>
      <c r="D177" s="140">
        <f t="shared" si="179"/>
        <v>3.1751807221696007E-3</v>
      </c>
      <c r="E177" s="140">
        <f t="shared" si="179"/>
        <v>3.5875676887489856E-3</v>
      </c>
      <c r="F177" s="140">
        <f t="shared" si="179"/>
        <v>4.1559344063086803E-3</v>
      </c>
      <c r="G177" s="140">
        <f t="shared" si="179"/>
        <v>3.6034642724050146E-3</v>
      </c>
      <c r="H177" s="140">
        <f t="shared" si="179"/>
        <v>3.5066096135759539E-3</v>
      </c>
      <c r="I177" s="140">
        <f t="shared" si="179"/>
        <v>3.6435589017963089E-3</v>
      </c>
      <c r="J177" s="140">
        <f t="shared" si="179"/>
        <v>4.0546074887714756E-3</v>
      </c>
      <c r="K177" s="140">
        <f t="shared" si="179"/>
        <v>4.3151656337338303E-3</v>
      </c>
      <c r="L177" s="140">
        <f t="shared" si="179"/>
        <v>5.4047068118130859E-3</v>
      </c>
      <c r="M177" s="140">
        <f t="shared" si="179"/>
        <v>6.5587890403548486E-3</v>
      </c>
      <c r="N177" s="140">
        <f t="shared" si="179"/>
        <v>6.7384745773737733E-3</v>
      </c>
      <c r="O177" s="140">
        <f t="shared" si="179"/>
        <v>6.7720171878934794E-3</v>
      </c>
      <c r="P177" s="140">
        <f t="shared" si="179"/>
        <v>6.7044493421874922E-3</v>
      </c>
      <c r="Q177" s="140">
        <f t="shared" si="179"/>
        <v>7.4808247140659007E-3</v>
      </c>
      <c r="R177" s="140">
        <f t="shared" si="179"/>
        <v>6.6103014153986355E-3</v>
      </c>
      <c r="S177" s="140">
        <f t="shared" si="179"/>
        <v>8.1559485237763293E-3</v>
      </c>
      <c r="T177" s="140">
        <f t="shared" si="179"/>
        <v>9.1255547445474629E-3</v>
      </c>
      <c r="U177" s="140">
        <f t="shared" si="179"/>
        <v>8.4137315074854259E-3</v>
      </c>
      <c r="V177" s="140">
        <f t="shared" si="179"/>
        <v>8.968143605891564E-3</v>
      </c>
      <c r="W177" s="140">
        <f t="shared" si="179"/>
        <v>8.2315128863832982E-3</v>
      </c>
      <c r="X177" s="140">
        <f t="shared" ref="X177:Y177" si="180">IF(X85=0,0,X85/X$77)</f>
        <v>7.9911886570941306E-3</v>
      </c>
      <c r="Y177" s="140">
        <f t="shared" si="180"/>
        <v>1.0682487342298742E-2</v>
      </c>
      <c r="DA177" s="175"/>
    </row>
    <row r="178" spans="1:105" ht="11.45" customHeight="1" x14ac:dyDescent="0.25">
      <c r="A178" s="109" t="s">
        <v>141</v>
      </c>
      <c r="B178" s="124">
        <f t="shared" si="162"/>
        <v>0.13021482692132147</v>
      </c>
      <c r="C178" s="124">
        <f t="shared" ref="C178:W178" si="181">IF(C86=0,0,C86/C$77)</f>
        <v>0.11982598224470943</v>
      </c>
      <c r="D178" s="124">
        <f t="shared" si="181"/>
        <v>0.12047390255653363</v>
      </c>
      <c r="E178" s="124">
        <f t="shared" si="181"/>
        <v>0.12715731923306081</v>
      </c>
      <c r="F178" s="124">
        <f t="shared" si="181"/>
        <v>0.12451367270294771</v>
      </c>
      <c r="G178" s="124">
        <f t="shared" si="181"/>
        <v>0.11974281343932255</v>
      </c>
      <c r="H178" s="124">
        <f t="shared" si="181"/>
        <v>0.12642883948516051</v>
      </c>
      <c r="I178" s="124">
        <f t="shared" si="181"/>
        <v>0.10720170022573547</v>
      </c>
      <c r="J178" s="124">
        <f t="shared" si="181"/>
        <v>0.10674188971666092</v>
      </c>
      <c r="K178" s="124">
        <f t="shared" si="181"/>
        <v>0.10455998459136108</v>
      </c>
      <c r="L178" s="124">
        <f t="shared" si="181"/>
        <v>0.10419133115138346</v>
      </c>
      <c r="M178" s="124">
        <f t="shared" si="181"/>
        <v>9.0571792178477273E-2</v>
      </c>
      <c r="N178" s="124">
        <f t="shared" si="181"/>
        <v>0.10858037803932377</v>
      </c>
      <c r="O178" s="124">
        <f t="shared" si="181"/>
        <v>6.5954860393504455E-2</v>
      </c>
      <c r="P178" s="124">
        <f t="shared" si="181"/>
        <v>4.3261487069482192E-2</v>
      </c>
      <c r="Q178" s="124">
        <f t="shared" si="181"/>
        <v>5.544495711282612E-2</v>
      </c>
      <c r="R178" s="124">
        <f t="shared" si="181"/>
        <v>7.0855488874902603E-2</v>
      </c>
      <c r="S178" s="124">
        <f t="shared" si="181"/>
        <v>0.101095084472633</v>
      </c>
      <c r="T178" s="124">
        <f t="shared" si="181"/>
        <v>0.10230380436264393</v>
      </c>
      <c r="U178" s="124">
        <f t="shared" si="181"/>
        <v>0.11026645728501913</v>
      </c>
      <c r="V178" s="124">
        <f t="shared" si="181"/>
        <v>0.10046139836882935</v>
      </c>
      <c r="W178" s="124">
        <f t="shared" si="181"/>
        <v>0.1011717908665256</v>
      </c>
      <c r="X178" s="124">
        <f t="shared" ref="X178:Y178" si="182">IF(X86=0,0,X86/X$77)</f>
        <v>0.11669014057941376</v>
      </c>
      <c r="Y178" s="124">
        <f t="shared" si="182"/>
        <v>0.10404515262332197</v>
      </c>
      <c r="DA178" s="176"/>
    </row>
    <row r="179" spans="1:105" ht="11.45" customHeight="1" x14ac:dyDescent="0.25">
      <c r="A179" s="128" t="str">
        <f>$A$27</f>
        <v>Domestic coastal shipping</v>
      </c>
      <c r="B179" s="140">
        <f t="shared" si="162"/>
        <v>0.13021482692132147</v>
      </c>
      <c r="C179" s="140">
        <f t="shared" ref="C179:W179" si="183">IF(C87=0,0,C87/C$77)</f>
        <v>0.11982598224470943</v>
      </c>
      <c r="D179" s="140">
        <f t="shared" si="183"/>
        <v>0.12047390255653363</v>
      </c>
      <c r="E179" s="140">
        <f t="shared" si="183"/>
        <v>0.12715731923306081</v>
      </c>
      <c r="F179" s="140">
        <f t="shared" si="183"/>
        <v>0.12451367270294771</v>
      </c>
      <c r="G179" s="140">
        <f t="shared" si="183"/>
        <v>0.11974281343932255</v>
      </c>
      <c r="H179" s="140">
        <f t="shared" si="183"/>
        <v>0.12642883948516051</v>
      </c>
      <c r="I179" s="140">
        <f t="shared" si="183"/>
        <v>0.10720170022573547</v>
      </c>
      <c r="J179" s="140">
        <f t="shared" si="183"/>
        <v>0.10674188971666092</v>
      </c>
      <c r="K179" s="140">
        <f t="shared" si="183"/>
        <v>0.10455998459136108</v>
      </c>
      <c r="L179" s="140">
        <f t="shared" si="183"/>
        <v>0.10419133115138346</v>
      </c>
      <c r="M179" s="140">
        <f t="shared" si="183"/>
        <v>9.0571792178477273E-2</v>
      </c>
      <c r="N179" s="140">
        <f t="shared" si="183"/>
        <v>0.10858037803932377</v>
      </c>
      <c r="O179" s="140">
        <f t="shared" si="183"/>
        <v>6.5954860393504455E-2</v>
      </c>
      <c r="P179" s="140">
        <f t="shared" si="183"/>
        <v>4.3261487069482192E-2</v>
      </c>
      <c r="Q179" s="140">
        <f t="shared" si="183"/>
        <v>5.544495711282612E-2</v>
      </c>
      <c r="R179" s="140">
        <f t="shared" si="183"/>
        <v>7.0855488874902603E-2</v>
      </c>
      <c r="S179" s="140">
        <f t="shared" si="183"/>
        <v>0.101095084472633</v>
      </c>
      <c r="T179" s="140">
        <f t="shared" si="183"/>
        <v>0.10230380436264393</v>
      </c>
      <c r="U179" s="140">
        <f t="shared" si="183"/>
        <v>0.11026645728501913</v>
      </c>
      <c r="V179" s="140">
        <f t="shared" si="183"/>
        <v>0.10046139836882935</v>
      </c>
      <c r="W179" s="140">
        <f t="shared" si="183"/>
        <v>0.1011717908665256</v>
      </c>
      <c r="X179" s="140">
        <f t="shared" ref="X179:Y179" si="184">IF(X87=0,0,X87/X$77)</f>
        <v>0.11669014057941376</v>
      </c>
      <c r="Y179" s="140">
        <f t="shared" si="184"/>
        <v>0.10404515262332197</v>
      </c>
      <c r="DA179" s="175"/>
    </row>
    <row r="180" spans="1:105" ht="11.45" customHeight="1" x14ac:dyDescent="0.25">
      <c r="A180" s="138" t="str">
        <f>$A$28</f>
        <v>Inland waterways</v>
      </c>
      <c r="B180" s="127">
        <f t="shared" si="162"/>
        <v>0</v>
      </c>
      <c r="C180" s="127">
        <f t="shared" ref="C180:W180" si="185">IF(C88=0,0,C88/C$77)</f>
        <v>0</v>
      </c>
      <c r="D180" s="127">
        <f t="shared" si="185"/>
        <v>0</v>
      </c>
      <c r="E180" s="127">
        <f t="shared" si="185"/>
        <v>0</v>
      </c>
      <c r="F180" s="127">
        <f t="shared" si="185"/>
        <v>0</v>
      </c>
      <c r="G180" s="127">
        <f t="shared" si="185"/>
        <v>0</v>
      </c>
      <c r="H180" s="127">
        <f t="shared" si="185"/>
        <v>0</v>
      </c>
      <c r="I180" s="127">
        <f t="shared" si="185"/>
        <v>0</v>
      </c>
      <c r="J180" s="127">
        <f t="shared" si="185"/>
        <v>0</v>
      </c>
      <c r="K180" s="127">
        <f t="shared" si="185"/>
        <v>0</v>
      </c>
      <c r="L180" s="127">
        <f t="shared" si="185"/>
        <v>0</v>
      </c>
      <c r="M180" s="127">
        <f t="shared" si="185"/>
        <v>0</v>
      </c>
      <c r="N180" s="127">
        <f t="shared" si="185"/>
        <v>0</v>
      </c>
      <c r="O180" s="127">
        <f t="shared" si="185"/>
        <v>0</v>
      </c>
      <c r="P180" s="127">
        <f t="shared" si="185"/>
        <v>0</v>
      </c>
      <c r="Q180" s="127">
        <f t="shared" si="185"/>
        <v>0</v>
      </c>
      <c r="R180" s="127">
        <f t="shared" si="185"/>
        <v>0</v>
      </c>
      <c r="S180" s="127">
        <f t="shared" si="185"/>
        <v>0</v>
      </c>
      <c r="T180" s="127">
        <f t="shared" si="185"/>
        <v>0</v>
      </c>
      <c r="U180" s="127">
        <f t="shared" si="185"/>
        <v>0</v>
      </c>
      <c r="V180" s="127">
        <f t="shared" si="185"/>
        <v>0</v>
      </c>
      <c r="W180" s="127">
        <f t="shared" si="185"/>
        <v>0</v>
      </c>
      <c r="X180" s="127">
        <f t="shared" ref="X180:Y180" si="186">IF(X88=0,0,X88/X$77)</f>
        <v>0</v>
      </c>
      <c r="Y180" s="127">
        <f t="shared" si="186"/>
        <v>0</v>
      </c>
      <c r="DA180" s="178"/>
    </row>
    <row r="181" spans="1:105" ht="11.45" customHeight="1" x14ac:dyDescent="0.25">
      <c r="A181" s="27" t="s">
        <v>169</v>
      </c>
      <c r="B181" s="31">
        <f>IF(B89=0,0,B89/B$89)</f>
        <v>1</v>
      </c>
      <c r="C181" s="31">
        <f t="shared" ref="C181:W181" si="187">IF(C89=0,0,C89/C$89)</f>
        <v>1</v>
      </c>
      <c r="D181" s="31">
        <f t="shared" si="187"/>
        <v>1</v>
      </c>
      <c r="E181" s="31">
        <f t="shared" si="187"/>
        <v>1</v>
      </c>
      <c r="F181" s="31">
        <f t="shared" si="187"/>
        <v>1</v>
      </c>
      <c r="G181" s="31">
        <f t="shared" si="187"/>
        <v>1</v>
      </c>
      <c r="H181" s="31">
        <f t="shared" si="187"/>
        <v>1</v>
      </c>
      <c r="I181" s="31">
        <f t="shared" si="187"/>
        <v>1</v>
      </c>
      <c r="J181" s="31">
        <f t="shared" si="187"/>
        <v>1</v>
      </c>
      <c r="K181" s="31">
        <f t="shared" si="187"/>
        <v>1</v>
      </c>
      <c r="L181" s="31">
        <f t="shared" si="187"/>
        <v>1</v>
      </c>
      <c r="M181" s="31">
        <f t="shared" si="187"/>
        <v>1</v>
      </c>
      <c r="N181" s="31">
        <f t="shared" si="187"/>
        <v>1</v>
      </c>
      <c r="O181" s="31">
        <f t="shared" si="187"/>
        <v>1</v>
      </c>
      <c r="P181" s="31">
        <f t="shared" si="187"/>
        <v>1</v>
      </c>
      <c r="Q181" s="31">
        <f t="shared" si="187"/>
        <v>1</v>
      </c>
      <c r="R181" s="31">
        <f t="shared" si="187"/>
        <v>1</v>
      </c>
      <c r="S181" s="31">
        <f t="shared" si="187"/>
        <v>1</v>
      </c>
      <c r="T181" s="31">
        <f t="shared" si="187"/>
        <v>1</v>
      </c>
      <c r="U181" s="31">
        <f t="shared" si="187"/>
        <v>1</v>
      </c>
      <c r="V181" s="31">
        <f t="shared" si="187"/>
        <v>1</v>
      </c>
      <c r="W181" s="31">
        <f t="shared" si="187"/>
        <v>1</v>
      </c>
      <c r="X181" s="31">
        <f t="shared" ref="X181:Y181" si="188">IF(X89=0,0,X89/X$89)</f>
        <v>1</v>
      </c>
      <c r="Y181" s="31">
        <f t="shared" si="188"/>
        <v>1</v>
      </c>
      <c r="DA181" s="173"/>
    </row>
    <row r="182" spans="1:105" ht="11.45" customHeight="1" x14ac:dyDescent="0.25">
      <c r="A182" s="128" t="str">
        <f>$A$30</f>
        <v>Intra-EEA</v>
      </c>
      <c r="B182" s="140">
        <f>IF(B90=0,0,B90/B$89)</f>
        <v>0.3628973322450435</v>
      </c>
      <c r="C182" s="140">
        <f t="shared" ref="C182:W182" si="189">IF(C90=0,0,C90/C$89)</f>
        <v>0.35604852364526707</v>
      </c>
      <c r="D182" s="140">
        <f t="shared" si="189"/>
        <v>0.35145380402380438</v>
      </c>
      <c r="E182" s="140">
        <f t="shared" si="189"/>
        <v>0.34936724012795028</v>
      </c>
      <c r="F182" s="140">
        <f t="shared" si="189"/>
        <v>0.35054658452532461</v>
      </c>
      <c r="G182" s="140">
        <f t="shared" si="189"/>
        <v>0.34337027677771892</v>
      </c>
      <c r="H182" s="140">
        <f t="shared" si="189"/>
        <v>0.32343534465333701</v>
      </c>
      <c r="I182" s="140">
        <f t="shared" si="189"/>
        <v>0.30759429637234537</v>
      </c>
      <c r="J182" s="140">
        <f t="shared" si="189"/>
        <v>0.30598310837232617</v>
      </c>
      <c r="K182" s="140">
        <f t="shared" si="189"/>
        <v>0.33188260411931869</v>
      </c>
      <c r="L182" s="140">
        <f t="shared" si="189"/>
        <v>0.3323130885371765</v>
      </c>
      <c r="M182" s="140">
        <f t="shared" si="189"/>
        <v>0.32102229691595141</v>
      </c>
      <c r="N182" s="140">
        <f t="shared" si="189"/>
        <v>0.31493173108750183</v>
      </c>
      <c r="O182" s="140">
        <f t="shared" si="189"/>
        <v>0.33064519413949894</v>
      </c>
      <c r="P182" s="140">
        <f t="shared" si="189"/>
        <v>0.34352102283616143</v>
      </c>
      <c r="Q182" s="140">
        <f t="shared" si="189"/>
        <v>0.3459022667823986</v>
      </c>
      <c r="R182" s="140">
        <f t="shared" si="189"/>
        <v>0.35307221360654861</v>
      </c>
      <c r="S182" s="140">
        <f t="shared" si="189"/>
        <v>0.34484981121988073</v>
      </c>
      <c r="T182" s="140">
        <f t="shared" si="189"/>
        <v>0.34859091326265795</v>
      </c>
      <c r="U182" s="140">
        <f t="shared" si="189"/>
        <v>0.35158000974540266</v>
      </c>
      <c r="V182" s="140">
        <f t="shared" si="189"/>
        <v>0.32185307039621497</v>
      </c>
      <c r="W182" s="140">
        <f t="shared" si="189"/>
        <v>0.33651232222543759</v>
      </c>
      <c r="X182" s="140">
        <f t="shared" ref="X182:Y182" si="190">IF(X90=0,0,X90/X$89)</f>
        <v>0.3598787159162955</v>
      </c>
      <c r="Y182" s="140">
        <f t="shared" si="190"/>
        <v>0.36800694205512458</v>
      </c>
      <c r="DA182" s="175"/>
    </row>
    <row r="183" spans="1:105" ht="11.45" customHeight="1" x14ac:dyDescent="0.25">
      <c r="A183" s="138" t="str">
        <f>$A$31</f>
        <v>Extra-EEA</v>
      </c>
      <c r="B183" s="127">
        <f>IF(B91=0,0,B91/B$89)</f>
        <v>0.6371026677549565</v>
      </c>
      <c r="C183" s="127">
        <f t="shared" ref="C183:W183" si="191">IF(C91=0,0,C91/C$89)</f>
        <v>0.64395147635473293</v>
      </c>
      <c r="D183" s="127">
        <f t="shared" si="191"/>
        <v>0.64854619597619567</v>
      </c>
      <c r="E183" s="127">
        <f t="shared" si="191"/>
        <v>0.65063275987204972</v>
      </c>
      <c r="F183" s="127">
        <f t="shared" si="191"/>
        <v>0.64945341547467539</v>
      </c>
      <c r="G183" s="127">
        <f t="shared" si="191"/>
        <v>0.65662972322228108</v>
      </c>
      <c r="H183" s="127">
        <f t="shared" si="191"/>
        <v>0.67656465534666299</v>
      </c>
      <c r="I183" s="127">
        <f t="shared" si="191"/>
        <v>0.69240570362765463</v>
      </c>
      <c r="J183" s="127">
        <f t="shared" si="191"/>
        <v>0.69401689162767388</v>
      </c>
      <c r="K183" s="127">
        <f t="shared" si="191"/>
        <v>0.66811739588068131</v>
      </c>
      <c r="L183" s="127">
        <f t="shared" si="191"/>
        <v>0.66768691146282344</v>
      </c>
      <c r="M183" s="127">
        <f t="shared" si="191"/>
        <v>0.67897770308404859</v>
      </c>
      <c r="N183" s="127">
        <f t="shared" si="191"/>
        <v>0.68506826891249817</v>
      </c>
      <c r="O183" s="127">
        <f t="shared" si="191"/>
        <v>0.669354805860501</v>
      </c>
      <c r="P183" s="127">
        <f t="shared" si="191"/>
        <v>0.65647897716383863</v>
      </c>
      <c r="Q183" s="127">
        <f t="shared" si="191"/>
        <v>0.65409773321760145</v>
      </c>
      <c r="R183" s="127">
        <f t="shared" si="191"/>
        <v>0.64692778639345139</v>
      </c>
      <c r="S183" s="127">
        <f t="shared" si="191"/>
        <v>0.65515018878011932</v>
      </c>
      <c r="T183" s="127">
        <f t="shared" si="191"/>
        <v>0.65140908673734199</v>
      </c>
      <c r="U183" s="127">
        <f t="shared" si="191"/>
        <v>0.64841999025459729</v>
      </c>
      <c r="V183" s="127">
        <f t="shared" si="191"/>
        <v>0.67814692960378498</v>
      </c>
      <c r="W183" s="127">
        <f t="shared" si="191"/>
        <v>0.66348767777456241</v>
      </c>
      <c r="X183" s="127">
        <f t="shared" ref="X183:Y183" si="192">IF(X91=0,0,X91/X$89)</f>
        <v>0.6401212840837045</v>
      </c>
      <c r="Y183" s="127">
        <f t="shared" si="192"/>
        <v>0.63199305794487537</v>
      </c>
      <c r="DA183" s="178"/>
    </row>
    <row r="184" spans="1:105" x14ac:dyDescent="0.25">
      <c r="A184" s="106"/>
      <c r="B184" s="106"/>
      <c r="C184" s="106"/>
      <c r="D184" s="106"/>
      <c r="E184" s="106"/>
      <c r="F184" s="106"/>
      <c r="G184" s="106"/>
      <c r="H184" s="106"/>
      <c r="I184" s="106"/>
      <c r="J184" s="106"/>
      <c r="K184" s="106"/>
      <c r="L184" s="106"/>
      <c r="M184" s="106"/>
      <c r="N184" s="106"/>
      <c r="O184" s="106"/>
      <c r="P184" s="106"/>
      <c r="Q184" s="106"/>
      <c r="R184" s="106"/>
      <c r="S184" s="106"/>
      <c r="T184" s="106"/>
      <c r="U184" s="106"/>
      <c r="V184" s="106"/>
      <c r="W184" s="106"/>
      <c r="X184" s="106"/>
      <c r="Y184" s="106"/>
      <c r="DA184" s="171"/>
    </row>
    <row r="185" spans="1:105" ht="11.45" customHeight="1" x14ac:dyDescent="0.25">
      <c r="A185" s="53" t="s">
        <v>42</v>
      </c>
      <c r="B185" s="59"/>
      <c r="C185" s="59"/>
      <c r="D185" s="59"/>
      <c r="E185" s="59"/>
      <c r="F185" s="59"/>
      <c r="G185" s="59"/>
      <c r="H185" s="59"/>
      <c r="I185" s="59"/>
      <c r="J185" s="59"/>
      <c r="K185" s="59"/>
      <c r="L185" s="59"/>
      <c r="M185" s="59"/>
      <c r="N185" s="59"/>
      <c r="O185" s="59"/>
      <c r="P185" s="59"/>
      <c r="Q185" s="59"/>
      <c r="R185" s="59"/>
      <c r="S185" s="59"/>
      <c r="T185" s="59"/>
      <c r="U185" s="59"/>
      <c r="V185" s="59"/>
      <c r="W185" s="59"/>
      <c r="X185" s="59"/>
      <c r="Y185" s="59"/>
      <c r="DA185" s="172"/>
    </row>
    <row r="186" spans="1:105" ht="11.45" customHeight="1" x14ac:dyDescent="0.25">
      <c r="A186" s="27" t="s">
        <v>155</v>
      </c>
      <c r="B186" s="32">
        <f t="shared" ref="B186:Y186" si="193">IF(B34=0,0,B34/B4*1000)</f>
        <v>42.340240456797254</v>
      </c>
      <c r="C186" s="32">
        <f t="shared" si="193"/>
        <v>43.249669312594904</v>
      </c>
      <c r="D186" s="32">
        <f t="shared" si="193"/>
        <v>44.007619076731608</v>
      </c>
      <c r="E186" s="32">
        <f t="shared" si="193"/>
        <v>45.027923727104167</v>
      </c>
      <c r="F186" s="32">
        <f t="shared" si="193"/>
        <v>44.943032571845805</v>
      </c>
      <c r="G186" s="32">
        <f t="shared" si="193"/>
        <v>41.664738066538547</v>
      </c>
      <c r="H186" s="32">
        <f t="shared" si="193"/>
        <v>42.684161010134169</v>
      </c>
      <c r="I186" s="32">
        <f t="shared" si="193"/>
        <v>41.820092013008228</v>
      </c>
      <c r="J186" s="32">
        <f t="shared" si="193"/>
        <v>40.540954475479417</v>
      </c>
      <c r="K186" s="32">
        <f t="shared" si="193"/>
        <v>40.130037881276635</v>
      </c>
      <c r="L186" s="32">
        <f t="shared" si="193"/>
        <v>40.284852772494773</v>
      </c>
      <c r="M186" s="32">
        <f t="shared" si="193"/>
        <v>38.883796602802768</v>
      </c>
      <c r="N186" s="32">
        <f t="shared" si="193"/>
        <v>37.710193855053269</v>
      </c>
      <c r="O186" s="32">
        <f t="shared" si="193"/>
        <v>36.521570075631146</v>
      </c>
      <c r="P186" s="32">
        <f t="shared" si="193"/>
        <v>38.69322648436485</v>
      </c>
      <c r="Q186" s="32">
        <f t="shared" si="193"/>
        <v>37.945080929187178</v>
      </c>
      <c r="R186" s="32">
        <f t="shared" si="193"/>
        <v>36.37081137020666</v>
      </c>
      <c r="S186" s="32">
        <f t="shared" si="193"/>
        <v>38.221992479187776</v>
      </c>
      <c r="T186" s="32">
        <f t="shared" si="193"/>
        <v>37.758786061152477</v>
      </c>
      <c r="U186" s="32">
        <f t="shared" si="193"/>
        <v>38.126500587822065</v>
      </c>
      <c r="V186" s="32">
        <f t="shared" si="193"/>
        <v>46.7438564893056</v>
      </c>
      <c r="W186" s="32">
        <f t="shared" si="193"/>
        <v>43.285797379303581</v>
      </c>
      <c r="X186" s="32">
        <f t="shared" si="193"/>
        <v>37.124209741740422</v>
      </c>
      <c r="Y186" s="32">
        <f t="shared" si="193"/>
        <v>35.042083460041425</v>
      </c>
      <c r="DA186" s="173" t="s">
        <v>415</v>
      </c>
    </row>
    <row r="187" spans="1:105" ht="11.45" customHeight="1" x14ac:dyDescent="0.25">
      <c r="A187" s="136" t="str">
        <f>$A$5</f>
        <v>Road transport</v>
      </c>
      <c r="B187" s="141">
        <f t="shared" ref="B187:Y187" si="194">IF(B35=0,0,B35/B5*1000)</f>
        <v>47.379351336065966</v>
      </c>
      <c r="C187" s="141">
        <f t="shared" si="194"/>
        <v>47.599283374676737</v>
      </c>
      <c r="D187" s="141">
        <f t="shared" si="194"/>
        <v>48.882008470055261</v>
      </c>
      <c r="E187" s="141">
        <f t="shared" si="194"/>
        <v>49.972808818370787</v>
      </c>
      <c r="F187" s="141">
        <f t="shared" si="194"/>
        <v>49.691555642168346</v>
      </c>
      <c r="G187" s="141">
        <f t="shared" si="194"/>
        <v>44.759192417261673</v>
      </c>
      <c r="H187" s="141">
        <f t="shared" si="194"/>
        <v>46.652005994884149</v>
      </c>
      <c r="I187" s="141">
        <f t="shared" si="194"/>
        <v>45.496488610521169</v>
      </c>
      <c r="J187" s="141">
        <f t="shared" si="194"/>
        <v>44.13618980136782</v>
      </c>
      <c r="K187" s="141">
        <f t="shared" si="194"/>
        <v>43.519721455039075</v>
      </c>
      <c r="L187" s="141">
        <f t="shared" si="194"/>
        <v>44.367435268799809</v>
      </c>
      <c r="M187" s="141">
        <f t="shared" si="194"/>
        <v>42.845550332433262</v>
      </c>
      <c r="N187" s="141">
        <f t="shared" si="194"/>
        <v>41.454446499454136</v>
      </c>
      <c r="O187" s="141">
        <f t="shared" si="194"/>
        <v>41.419246729202094</v>
      </c>
      <c r="P187" s="141">
        <f t="shared" si="194"/>
        <v>45.499988693493279</v>
      </c>
      <c r="Q187" s="141">
        <f t="shared" si="194"/>
        <v>43.825267832269716</v>
      </c>
      <c r="R187" s="141">
        <f t="shared" si="194"/>
        <v>42.219853940586461</v>
      </c>
      <c r="S187" s="141">
        <f t="shared" si="194"/>
        <v>46.070563125624453</v>
      </c>
      <c r="T187" s="141">
        <f t="shared" si="194"/>
        <v>45.707047931023517</v>
      </c>
      <c r="U187" s="141">
        <f t="shared" si="194"/>
        <v>46.53356442812813</v>
      </c>
      <c r="V187" s="141">
        <f t="shared" si="194"/>
        <v>50.38509744098873</v>
      </c>
      <c r="W187" s="141">
        <f t="shared" si="194"/>
        <v>47.007455736572851</v>
      </c>
      <c r="X187" s="141">
        <f t="shared" si="194"/>
        <v>44.436826401365181</v>
      </c>
      <c r="Y187" s="141">
        <f t="shared" si="194"/>
        <v>43.409325668994889</v>
      </c>
      <c r="DA187" s="174" t="s">
        <v>416</v>
      </c>
    </row>
    <row r="188" spans="1:105" ht="11.45" customHeight="1" x14ac:dyDescent="0.25">
      <c r="A188" s="128" t="str">
        <f>$A$6</f>
        <v>Powered two-wheelers</v>
      </c>
      <c r="B188" s="97">
        <f t="shared" ref="B188:Y188" si="195">IF(B36=0,0,B36/B6*1000)</f>
        <v>35.375825462480627</v>
      </c>
      <c r="C188" s="97">
        <f t="shared" si="195"/>
        <v>35.173199268659417</v>
      </c>
      <c r="D188" s="97">
        <f t="shared" si="195"/>
        <v>34.6238656322803</v>
      </c>
      <c r="E188" s="97">
        <f t="shared" si="195"/>
        <v>34.136346456163956</v>
      </c>
      <c r="F188" s="97">
        <f t="shared" si="195"/>
        <v>34.317238453260437</v>
      </c>
      <c r="G188" s="97">
        <f t="shared" si="195"/>
        <v>33.808021607358199</v>
      </c>
      <c r="H188" s="97">
        <f t="shared" si="195"/>
        <v>33.863633573874928</v>
      </c>
      <c r="I188" s="97">
        <f t="shared" si="195"/>
        <v>33.312195453991436</v>
      </c>
      <c r="J188" s="97">
        <f t="shared" si="195"/>
        <v>33.341266805942212</v>
      </c>
      <c r="K188" s="97">
        <f t="shared" si="195"/>
        <v>33.017887266932391</v>
      </c>
      <c r="L188" s="97">
        <f t="shared" si="195"/>
        <v>32.997443457250853</v>
      </c>
      <c r="M188" s="97">
        <f t="shared" si="195"/>
        <v>32.478919303016603</v>
      </c>
      <c r="N188" s="97">
        <f t="shared" si="195"/>
        <v>32.402178785014286</v>
      </c>
      <c r="O188" s="97">
        <f t="shared" si="195"/>
        <v>32.382571251594463</v>
      </c>
      <c r="P188" s="97">
        <f t="shared" si="195"/>
        <v>32.420140900996287</v>
      </c>
      <c r="Q188" s="97">
        <f t="shared" si="195"/>
        <v>31.927332300107725</v>
      </c>
      <c r="R188" s="97">
        <f t="shared" si="195"/>
        <v>32.242789528930771</v>
      </c>
      <c r="S188" s="97">
        <f t="shared" si="195"/>
        <v>31.747459703581804</v>
      </c>
      <c r="T188" s="97">
        <f t="shared" si="195"/>
        <v>31.578203746861274</v>
      </c>
      <c r="U188" s="97">
        <f t="shared" si="195"/>
        <v>31.367756145652702</v>
      </c>
      <c r="V188" s="97">
        <f t="shared" si="195"/>
        <v>29.721594518448949</v>
      </c>
      <c r="W188" s="97">
        <f t="shared" si="195"/>
        <v>30.763436139186318</v>
      </c>
      <c r="X188" s="97">
        <f t="shared" si="195"/>
        <v>29.426549904628381</v>
      </c>
      <c r="Y188" s="97">
        <f t="shared" si="195"/>
        <v>29.251132423073777</v>
      </c>
      <c r="DA188" s="175" t="s">
        <v>417</v>
      </c>
    </row>
    <row r="189" spans="1:105" ht="11.45" customHeight="1" x14ac:dyDescent="0.25">
      <c r="A189" s="128" t="str">
        <f>$A$7</f>
        <v>Passenger cars</v>
      </c>
      <c r="B189" s="97">
        <f t="shared" ref="B189:Y189" si="196">IF(B37=0,0,B37/B7*1000)</f>
        <v>51.763526126086553</v>
      </c>
      <c r="C189" s="97">
        <f t="shared" si="196"/>
        <v>52.227730626611418</v>
      </c>
      <c r="D189" s="97">
        <f t="shared" si="196"/>
        <v>53.450471615170912</v>
      </c>
      <c r="E189" s="97">
        <f t="shared" si="196"/>
        <v>54.633303535299731</v>
      </c>
      <c r="F189" s="97">
        <f t="shared" si="196"/>
        <v>54.702674673602289</v>
      </c>
      <c r="G189" s="97">
        <f t="shared" si="196"/>
        <v>48.22290059828623</v>
      </c>
      <c r="H189" s="97">
        <f t="shared" si="196"/>
        <v>49.870023383984027</v>
      </c>
      <c r="I189" s="97">
        <f t="shared" si="196"/>
        <v>49.519471831555741</v>
      </c>
      <c r="J189" s="97">
        <f t="shared" si="196"/>
        <v>48.109348189070708</v>
      </c>
      <c r="K189" s="97">
        <f t="shared" si="196"/>
        <v>46.988653740545615</v>
      </c>
      <c r="L189" s="97">
        <f t="shared" si="196"/>
        <v>47.480349732915691</v>
      </c>
      <c r="M189" s="97">
        <f t="shared" si="196"/>
        <v>46.259618850158418</v>
      </c>
      <c r="N189" s="97">
        <f t="shared" si="196"/>
        <v>44.645067439695751</v>
      </c>
      <c r="O189" s="97">
        <f t="shared" si="196"/>
        <v>44.745626347888042</v>
      </c>
      <c r="P189" s="97">
        <f t="shared" si="196"/>
        <v>48.054314816509454</v>
      </c>
      <c r="Q189" s="97">
        <f t="shared" si="196"/>
        <v>46.902944006979098</v>
      </c>
      <c r="R189" s="97">
        <f t="shared" si="196"/>
        <v>44.990084153398151</v>
      </c>
      <c r="S189" s="97">
        <f t="shared" si="196"/>
        <v>48.533920508140667</v>
      </c>
      <c r="T189" s="97">
        <f t="shared" si="196"/>
        <v>48.237043909666596</v>
      </c>
      <c r="U189" s="97">
        <f t="shared" si="196"/>
        <v>49.286160477048348</v>
      </c>
      <c r="V189" s="97">
        <f t="shared" si="196"/>
        <v>52.868848689819352</v>
      </c>
      <c r="W189" s="97">
        <f t="shared" si="196"/>
        <v>49.72286544153426</v>
      </c>
      <c r="X189" s="97">
        <f t="shared" si="196"/>
        <v>47.381226701433491</v>
      </c>
      <c r="Y189" s="97">
        <f t="shared" si="196"/>
        <v>46.412421388184157</v>
      </c>
      <c r="DA189" s="175" t="s">
        <v>418</v>
      </c>
    </row>
    <row r="190" spans="1:105" ht="11.45" customHeight="1" x14ac:dyDescent="0.25">
      <c r="A190" s="128" t="str">
        <f>$A$8</f>
        <v>Motor coaches, buses and trolley buses</v>
      </c>
      <c r="B190" s="97">
        <f t="shared" ref="B190:Y190" si="197">IF(B38=0,0,B38/B8*1000)</f>
        <v>23.533019162205591</v>
      </c>
      <c r="C190" s="97">
        <f t="shared" si="197"/>
        <v>22.754614275543357</v>
      </c>
      <c r="D190" s="97">
        <f t="shared" si="197"/>
        <v>23.125129942540713</v>
      </c>
      <c r="E190" s="97">
        <f t="shared" si="197"/>
        <v>23.341804710150996</v>
      </c>
      <c r="F190" s="97">
        <f t="shared" si="197"/>
        <v>22.050174343680158</v>
      </c>
      <c r="G190" s="97">
        <f t="shared" si="197"/>
        <v>21.934008698244995</v>
      </c>
      <c r="H190" s="97">
        <f t="shared" si="197"/>
        <v>24.574588439394969</v>
      </c>
      <c r="I190" s="97">
        <f t="shared" si="197"/>
        <v>21.150059887177054</v>
      </c>
      <c r="J190" s="97">
        <f t="shared" si="197"/>
        <v>20.425156019199765</v>
      </c>
      <c r="K190" s="97">
        <f t="shared" si="197"/>
        <v>21.551323749617215</v>
      </c>
      <c r="L190" s="97">
        <f t="shared" si="197"/>
        <v>23.84737917568286</v>
      </c>
      <c r="M190" s="97">
        <f t="shared" si="197"/>
        <v>21.689009551117501</v>
      </c>
      <c r="N190" s="97">
        <f t="shared" si="197"/>
        <v>21.761000928810756</v>
      </c>
      <c r="O190" s="97">
        <f t="shared" si="197"/>
        <v>20.80866878655613</v>
      </c>
      <c r="P190" s="97">
        <f t="shared" si="197"/>
        <v>28.066557218696957</v>
      </c>
      <c r="Q190" s="97">
        <f t="shared" si="197"/>
        <v>23.959050165366818</v>
      </c>
      <c r="R190" s="97">
        <f t="shared" si="197"/>
        <v>23.681910241187708</v>
      </c>
      <c r="S190" s="97">
        <f t="shared" si="197"/>
        <v>24.095988331636299</v>
      </c>
      <c r="T190" s="97">
        <f t="shared" si="197"/>
        <v>22.935548684325919</v>
      </c>
      <c r="U190" s="97">
        <f t="shared" si="197"/>
        <v>22.870078427423469</v>
      </c>
      <c r="V190" s="97">
        <f t="shared" si="197"/>
        <v>29.014321611446672</v>
      </c>
      <c r="W190" s="97">
        <f t="shared" si="197"/>
        <v>23.439728282850737</v>
      </c>
      <c r="X190" s="97">
        <f t="shared" si="197"/>
        <v>20.843436293378513</v>
      </c>
      <c r="Y190" s="97">
        <f t="shared" si="197"/>
        <v>21.077004065315311</v>
      </c>
      <c r="DA190" s="175" t="s">
        <v>419</v>
      </c>
    </row>
    <row r="191" spans="1:105" ht="11.45" customHeight="1" x14ac:dyDescent="0.25">
      <c r="A191" s="109" t="str">
        <f>$A$9</f>
        <v>Rail, metro and tram</v>
      </c>
      <c r="B191" s="130">
        <f t="shared" ref="B191:Y191" si="198">IF(B39=0,0,B39/B9*1000)</f>
        <v>19.815188439783803</v>
      </c>
      <c r="C191" s="130">
        <f t="shared" si="198"/>
        <v>20.657894291885604</v>
      </c>
      <c r="D191" s="130">
        <f t="shared" si="198"/>
        <v>21.39163508457484</v>
      </c>
      <c r="E191" s="130">
        <f t="shared" si="198"/>
        <v>24.970723804820658</v>
      </c>
      <c r="F191" s="130">
        <f t="shared" si="198"/>
        <v>29.185489806770061</v>
      </c>
      <c r="G191" s="130">
        <f t="shared" si="198"/>
        <v>30.853526185902489</v>
      </c>
      <c r="H191" s="130">
        <f t="shared" si="198"/>
        <v>23.747545614820474</v>
      </c>
      <c r="I191" s="130">
        <f t="shared" si="198"/>
        <v>26.540034568989721</v>
      </c>
      <c r="J191" s="130">
        <f t="shared" si="198"/>
        <v>24.422978511241848</v>
      </c>
      <c r="K191" s="130">
        <f t="shared" si="198"/>
        <v>22.32758272148585</v>
      </c>
      <c r="L191" s="130">
        <f t="shared" si="198"/>
        <v>21.786504977027988</v>
      </c>
      <c r="M191" s="130">
        <f t="shared" si="198"/>
        <v>22.818422548412656</v>
      </c>
      <c r="N191" s="130">
        <f t="shared" si="198"/>
        <v>24.804928746094273</v>
      </c>
      <c r="O191" s="130">
        <f t="shared" si="198"/>
        <v>10.63303949979548</v>
      </c>
      <c r="P191" s="130">
        <f t="shared" si="198"/>
        <v>10.210601901738112</v>
      </c>
      <c r="Q191" s="130">
        <f t="shared" si="198"/>
        <v>10.293087332474899</v>
      </c>
      <c r="R191" s="130">
        <f t="shared" si="198"/>
        <v>9.93663878979409</v>
      </c>
      <c r="S191" s="130">
        <f t="shared" si="198"/>
        <v>9.348316181747272</v>
      </c>
      <c r="T191" s="130">
        <f t="shared" si="198"/>
        <v>8.8176609000729886</v>
      </c>
      <c r="U191" s="130">
        <f t="shared" si="198"/>
        <v>8.4157314183575913</v>
      </c>
      <c r="V191" s="130">
        <f t="shared" si="198"/>
        <v>14.385156484546288</v>
      </c>
      <c r="W191" s="130">
        <f t="shared" si="198"/>
        <v>11.974762004698173</v>
      </c>
      <c r="X191" s="130">
        <f t="shared" si="198"/>
        <v>8.0993414635246435</v>
      </c>
      <c r="Y191" s="130">
        <f t="shared" si="198"/>
        <v>6.7465281459804842</v>
      </c>
      <c r="DA191" s="176" t="s">
        <v>420</v>
      </c>
    </row>
    <row r="192" spans="1:105" ht="11.45" customHeight="1" x14ac:dyDescent="0.25">
      <c r="A192" s="128" t="str">
        <f>$A$10</f>
        <v>Metro and tram, urban light rail</v>
      </c>
      <c r="B192" s="97">
        <f t="shared" ref="B192:Y192" si="199">IF(B40=0,0,B40/B10*1000)</f>
        <v>5.5284343687034783</v>
      </c>
      <c r="C192" s="97">
        <f t="shared" si="199"/>
        <v>5.5164814413553671</v>
      </c>
      <c r="D192" s="97">
        <f t="shared" si="199"/>
        <v>5.36093047075006</v>
      </c>
      <c r="E192" s="97">
        <f t="shared" si="199"/>
        <v>5.6716607129917227</v>
      </c>
      <c r="F192" s="97">
        <f t="shared" si="199"/>
        <v>5.538036538204854</v>
      </c>
      <c r="G192" s="97">
        <f t="shared" si="199"/>
        <v>5.247003693196719</v>
      </c>
      <c r="H192" s="97">
        <f t="shared" si="199"/>
        <v>5.1789822793077898</v>
      </c>
      <c r="I192" s="97">
        <f t="shared" si="199"/>
        <v>5.0959404608338561</v>
      </c>
      <c r="J192" s="97">
        <f t="shared" si="199"/>
        <v>4.9646621905196344</v>
      </c>
      <c r="K192" s="97">
        <f t="shared" si="199"/>
        <v>4.9745441295330197</v>
      </c>
      <c r="L192" s="97">
        <f t="shared" si="199"/>
        <v>4.9999084613082934</v>
      </c>
      <c r="M192" s="97">
        <f t="shared" si="199"/>
        <v>4.8515339372760389</v>
      </c>
      <c r="N192" s="97">
        <f t="shared" si="199"/>
        <v>4.8861614485380898</v>
      </c>
      <c r="O192" s="97">
        <f t="shared" si="199"/>
        <v>4.6712082758830391</v>
      </c>
      <c r="P192" s="97">
        <f t="shared" si="199"/>
        <v>4.5311979316518878</v>
      </c>
      <c r="Q192" s="97">
        <f t="shared" si="199"/>
        <v>4.3787564866829181</v>
      </c>
      <c r="R192" s="97">
        <f t="shared" si="199"/>
        <v>4.2747210958199915</v>
      </c>
      <c r="S192" s="97">
        <f t="shared" si="199"/>
        <v>4.2409698280988684</v>
      </c>
      <c r="T192" s="97">
        <f t="shared" si="199"/>
        <v>4.1628025240843884</v>
      </c>
      <c r="U192" s="97">
        <f t="shared" si="199"/>
        <v>4.4794266585530673</v>
      </c>
      <c r="V192" s="97">
        <f t="shared" si="199"/>
        <v>6.3532152769138897</v>
      </c>
      <c r="W192" s="97">
        <f t="shared" si="199"/>
        <v>4.9051386579497898</v>
      </c>
      <c r="X192" s="97">
        <f t="shared" si="199"/>
        <v>4.3183667300760611</v>
      </c>
      <c r="Y192" s="97">
        <f t="shared" si="199"/>
        <v>3.8072868140923606</v>
      </c>
      <c r="DA192" s="175" t="s">
        <v>421</v>
      </c>
    </row>
    <row r="193" spans="1:105" ht="11.45" customHeight="1" x14ac:dyDescent="0.25">
      <c r="A193" s="128" t="str">
        <f>$A$11</f>
        <v>Conventional passenger trains</v>
      </c>
      <c r="B193" s="97">
        <f t="shared" ref="B193:Y193" si="200">IF(B41=0,0,B41/B11*1000)</f>
        <v>24.634915487577775</v>
      </c>
      <c r="C193" s="97">
        <f t="shared" si="200"/>
        <v>25.825025879210745</v>
      </c>
      <c r="D193" s="97">
        <f t="shared" si="200"/>
        <v>26.942076899427246</v>
      </c>
      <c r="E193" s="97">
        <f t="shared" si="200"/>
        <v>31.904708427863699</v>
      </c>
      <c r="F193" s="97">
        <f t="shared" si="200"/>
        <v>38.511413580947718</v>
      </c>
      <c r="G193" s="97">
        <f t="shared" si="200"/>
        <v>41.025659741588157</v>
      </c>
      <c r="H193" s="97">
        <f t="shared" si="200"/>
        <v>31.285009111001962</v>
      </c>
      <c r="I193" s="97">
        <f t="shared" si="200"/>
        <v>35.544368357148493</v>
      </c>
      <c r="J193" s="97">
        <f t="shared" si="200"/>
        <v>34.948139582467974</v>
      </c>
      <c r="K193" s="97">
        <f t="shared" si="200"/>
        <v>41.682414533676855</v>
      </c>
      <c r="L193" s="97">
        <f t="shared" si="200"/>
        <v>43.765995448494301</v>
      </c>
      <c r="M193" s="97">
        <f t="shared" si="200"/>
        <v>44.869574028575386</v>
      </c>
      <c r="N193" s="97">
        <f t="shared" si="200"/>
        <v>50.555567722844572</v>
      </c>
      <c r="O193" s="97">
        <f t="shared" si="200"/>
        <v>14.416199048043673</v>
      </c>
      <c r="P193" s="97">
        <f t="shared" si="200"/>
        <v>13.592884259090518</v>
      </c>
      <c r="Q193" s="97">
        <f t="shared" si="200"/>
        <v>15.533164149209615</v>
      </c>
      <c r="R193" s="97">
        <f t="shared" si="200"/>
        <v>15.727991350813745</v>
      </c>
      <c r="S193" s="97">
        <f t="shared" si="200"/>
        <v>13.831240164946788</v>
      </c>
      <c r="T193" s="97">
        <f t="shared" si="200"/>
        <v>13.030419006282253</v>
      </c>
      <c r="U193" s="97">
        <f t="shared" si="200"/>
        <v>11.293577739676371</v>
      </c>
      <c r="V193" s="97">
        <f t="shared" si="200"/>
        <v>22.486290792213694</v>
      </c>
      <c r="W193" s="97">
        <f t="shared" si="200"/>
        <v>16.478253633336578</v>
      </c>
      <c r="X193" s="97">
        <f t="shared" si="200"/>
        <v>10.232767000578891</v>
      </c>
      <c r="Y193" s="97">
        <f t="shared" si="200"/>
        <v>7.9179272860156606</v>
      </c>
      <c r="DA193" s="175" t="s">
        <v>422</v>
      </c>
    </row>
    <row r="194" spans="1:105" ht="11.45" customHeight="1" x14ac:dyDescent="0.25">
      <c r="A194" s="128" t="str">
        <f>$A$12</f>
        <v>High speed passenger trains</v>
      </c>
      <c r="B194" s="97">
        <f t="shared" ref="B194:Y194" si="201">IF(B42=0,0,B42/B12*1000)</f>
        <v>13.116451090558371</v>
      </c>
      <c r="C194" s="97">
        <f t="shared" si="201"/>
        <v>12.93823142616475</v>
      </c>
      <c r="D194" s="97">
        <f t="shared" si="201"/>
        <v>13.387952204884295</v>
      </c>
      <c r="E194" s="97">
        <f t="shared" si="201"/>
        <v>12.950816066349995</v>
      </c>
      <c r="F194" s="97">
        <f t="shared" si="201"/>
        <v>13.109469646795452</v>
      </c>
      <c r="G194" s="97">
        <f t="shared" si="201"/>
        <v>12.487328824242017</v>
      </c>
      <c r="H194" s="97">
        <f t="shared" si="201"/>
        <v>12.19322642545764</v>
      </c>
      <c r="I194" s="97">
        <f t="shared" si="201"/>
        <v>12.563843158233102</v>
      </c>
      <c r="J194" s="97">
        <f t="shared" si="201"/>
        <v>12.00476376055942</v>
      </c>
      <c r="K194" s="97">
        <f t="shared" si="201"/>
        <v>12.219936561435293</v>
      </c>
      <c r="L194" s="97">
        <f t="shared" si="201"/>
        <v>12.508664186940543</v>
      </c>
      <c r="M194" s="97">
        <f t="shared" si="201"/>
        <v>12.321370457222455</v>
      </c>
      <c r="N194" s="97">
        <f t="shared" si="201"/>
        <v>11.812816250897646</v>
      </c>
      <c r="O194" s="97">
        <f t="shared" si="201"/>
        <v>10.615160764445065</v>
      </c>
      <c r="P194" s="97">
        <f t="shared" si="201"/>
        <v>10.138277558535018</v>
      </c>
      <c r="Q194" s="97">
        <f t="shared" si="201"/>
        <v>8.8524600070360933</v>
      </c>
      <c r="R194" s="97">
        <f t="shared" si="201"/>
        <v>8.2859873993394082</v>
      </c>
      <c r="S194" s="97">
        <f t="shared" si="201"/>
        <v>8.4186350457703512</v>
      </c>
      <c r="T194" s="97">
        <f t="shared" si="201"/>
        <v>8.1258218526522601</v>
      </c>
      <c r="U194" s="97">
        <f t="shared" si="201"/>
        <v>8.0809633449682927</v>
      </c>
      <c r="V194" s="97">
        <f t="shared" si="201"/>
        <v>11.151510844992544</v>
      </c>
      <c r="W194" s="97">
        <f t="shared" si="201"/>
        <v>10.380604238906102</v>
      </c>
      <c r="X194" s="97">
        <f t="shared" si="201"/>
        <v>6.9551158927557077</v>
      </c>
      <c r="Y194" s="97">
        <f t="shared" si="201"/>
        <v>6.2155270507060134</v>
      </c>
      <c r="DA194" s="175" t="s">
        <v>423</v>
      </c>
    </row>
    <row r="195" spans="1:105" ht="11.45" customHeight="1" x14ac:dyDescent="0.25">
      <c r="A195" s="109" t="str">
        <f>$A$13</f>
        <v>Aviation</v>
      </c>
      <c r="B195" s="130">
        <f t="shared" ref="B195:Y195" si="202">IF(B43=0,0,B43/B13*1000)</f>
        <v>33.070506791508386</v>
      </c>
      <c r="C195" s="130">
        <f t="shared" si="202"/>
        <v>35.288322273864466</v>
      </c>
      <c r="D195" s="130">
        <f t="shared" si="202"/>
        <v>34.260390144055052</v>
      </c>
      <c r="E195" s="130">
        <f t="shared" si="202"/>
        <v>34.628270657017474</v>
      </c>
      <c r="F195" s="130">
        <f t="shared" si="202"/>
        <v>34.757703399597759</v>
      </c>
      <c r="G195" s="130">
        <f t="shared" si="202"/>
        <v>34.429252355749512</v>
      </c>
      <c r="H195" s="130">
        <f t="shared" si="202"/>
        <v>34.777629999263212</v>
      </c>
      <c r="I195" s="130">
        <f t="shared" si="202"/>
        <v>34.106890599689912</v>
      </c>
      <c r="J195" s="130">
        <f t="shared" si="202"/>
        <v>33.409855382586471</v>
      </c>
      <c r="K195" s="130">
        <f t="shared" si="202"/>
        <v>33.162361759576463</v>
      </c>
      <c r="L195" s="130">
        <f t="shared" si="202"/>
        <v>32.325552779695769</v>
      </c>
      <c r="M195" s="130">
        <f t="shared" si="202"/>
        <v>31.549680328461331</v>
      </c>
      <c r="N195" s="130">
        <f t="shared" si="202"/>
        <v>30.516105550270055</v>
      </c>
      <c r="O195" s="130">
        <f t="shared" si="202"/>
        <v>28.919195595133424</v>
      </c>
      <c r="P195" s="130">
        <f t="shared" si="202"/>
        <v>28.764266919723898</v>
      </c>
      <c r="Q195" s="130">
        <f t="shared" si="202"/>
        <v>29.586882531623015</v>
      </c>
      <c r="R195" s="130">
        <f t="shared" si="202"/>
        <v>28.355365707679859</v>
      </c>
      <c r="S195" s="130">
        <f t="shared" si="202"/>
        <v>28.52921912159351</v>
      </c>
      <c r="T195" s="130">
        <f t="shared" si="202"/>
        <v>28.269057589435516</v>
      </c>
      <c r="U195" s="130">
        <f t="shared" si="202"/>
        <v>28.156709290611388</v>
      </c>
      <c r="V195" s="130">
        <f t="shared" si="202"/>
        <v>36.941208549719391</v>
      </c>
      <c r="W195" s="130">
        <f t="shared" si="202"/>
        <v>35.143199244015001</v>
      </c>
      <c r="X195" s="130">
        <f t="shared" si="202"/>
        <v>27.171654684886459</v>
      </c>
      <c r="Y195" s="130">
        <f t="shared" si="202"/>
        <v>25.318835979985984</v>
      </c>
      <c r="DA195" s="176" t="s">
        <v>297</v>
      </c>
    </row>
    <row r="196" spans="1:105" ht="11.45" customHeight="1" x14ac:dyDescent="0.25">
      <c r="A196" s="128" t="str">
        <f>$A$14</f>
        <v>Domestic</v>
      </c>
      <c r="B196" s="97">
        <f t="shared" ref="B196:Y196" si="203">IF(B44=0,0,B44/B14*1000)</f>
        <v>71.592358180439774</v>
      </c>
      <c r="C196" s="97">
        <f t="shared" si="203"/>
        <v>77.10955937506732</v>
      </c>
      <c r="D196" s="97">
        <f t="shared" si="203"/>
        <v>72.672086478811821</v>
      </c>
      <c r="E196" s="97">
        <f t="shared" si="203"/>
        <v>70.875052088926793</v>
      </c>
      <c r="F196" s="97">
        <f t="shared" si="203"/>
        <v>70.190039093681463</v>
      </c>
      <c r="G196" s="97">
        <f t="shared" si="203"/>
        <v>73.082334089439271</v>
      </c>
      <c r="H196" s="97">
        <f t="shared" si="203"/>
        <v>72.464089689487707</v>
      </c>
      <c r="I196" s="97">
        <f t="shared" si="203"/>
        <v>70.598040081190817</v>
      </c>
      <c r="J196" s="97">
        <f t="shared" si="203"/>
        <v>74.47759777832232</v>
      </c>
      <c r="K196" s="97">
        <f t="shared" si="203"/>
        <v>72.661224990971249</v>
      </c>
      <c r="L196" s="97">
        <f t="shared" si="203"/>
        <v>78.910908465699336</v>
      </c>
      <c r="M196" s="97">
        <f t="shared" si="203"/>
        <v>70.488571054850041</v>
      </c>
      <c r="N196" s="97">
        <f t="shared" si="203"/>
        <v>70.026203219113981</v>
      </c>
      <c r="O196" s="97">
        <f t="shared" si="203"/>
        <v>68.698073204462304</v>
      </c>
      <c r="P196" s="97">
        <f t="shared" si="203"/>
        <v>72.521709395043132</v>
      </c>
      <c r="Q196" s="97">
        <f t="shared" si="203"/>
        <v>73.899075671207811</v>
      </c>
      <c r="R196" s="97">
        <f t="shared" si="203"/>
        <v>73.510274474690817</v>
      </c>
      <c r="S196" s="97">
        <f t="shared" si="203"/>
        <v>74.285702991358093</v>
      </c>
      <c r="T196" s="97">
        <f t="shared" si="203"/>
        <v>69.847324412513373</v>
      </c>
      <c r="U196" s="97">
        <f t="shared" si="203"/>
        <v>69.666820913654533</v>
      </c>
      <c r="V196" s="97">
        <f t="shared" si="203"/>
        <v>74.17109430777441</v>
      </c>
      <c r="W196" s="97">
        <f t="shared" si="203"/>
        <v>76.951196749865332</v>
      </c>
      <c r="X196" s="97">
        <f t="shared" si="203"/>
        <v>71.488673863815023</v>
      </c>
      <c r="Y196" s="97">
        <f t="shared" si="203"/>
        <v>67.499071901804626</v>
      </c>
      <c r="DA196" s="175" t="s">
        <v>298</v>
      </c>
    </row>
    <row r="197" spans="1:105" ht="11.45" customHeight="1" x14ac:dyDescent="0.25">
      <c r="A197" s="128" t="str">
        <f>$A$15</f>
        <v>International - Intra-EEAwCHUK</v>
      </c>
      <c r="B197" s="97">
        <f t="shared" ref="B197:Y197" si="204">IF(B45=0,0,B45/B15*1000)</f>
        <v>20.161528322339446</v>
      </c>
      <c r="C197" s="97">
        <f t="shared" si="204"/>
        <v>22.509371655981049</v>
      </c>
      <c r="D197" s="97">
        <f t="shared" si="204"/>
        <v>20.710979901029322</v>
      </c>
      <c r="E197" s="97">
        <f t="shared" si="204"/>
        <v>24.149316342953217</v>
      </c>
      <c r="F197" s="97">
        <f t="shared" si="204"/>
        <v>24.229140888137852</v>
      </c>
      <c r="G197" s="97">
        <f t="shared" si="204"/>
        <v>23.301699776448501</v>
      </c>
      <c r="H197" s="97">
        <f t="shared" si="204"/>
        <v>24.420020132120396</v>
      </c>
      <c r="I197" s="97">
        <f t="shared" si="204"/>
        <v>24.625706605986085</v>
      </c>
      <c r="J197" s="97">
        <f t="shared" si="204"/>
        <v>24.427735681729612</v>
      </c>
      <c r="K197" s="97">
        <f t="shared" si="204"/>
        <v>24.35236132195487</v>
      </c>
      <c r="L197" s="97">
        <f t="shared" si="204"/>
        <v>22.309307022540356</v>
      </c>
      <c r="M197" s="97">
        <f t="shared" si="204"/>
        <v>24.141594491451769</v>
      </c>
      <c r="N197" s="97">
        <f t="shared" si="204"/>
        <v>23.767405117830492</v>
      </c>
      <c r="O197" s="97">
        <f t="shared" si="204"/>
        <v>23.17283056079377</v>
      </c>
      <c r="P197" s="97">
        <f t="shared" si="204"/>
        <v>22.614998587258196</v>
      </c>
      <c r="Q197" s="97">
        <f t="shared" si="204"/>
        <v>23.204411022581557</v>
      </c>
      <c r="R197" s="97">
        <f t="shared" si="204"/>
        <v>22.23479480394975</v>
      </c>
      <c r="S197" s="97">
        <f t="shared" si="204"/>
        <v>22.815342544417369</v>
      </c>
      <c r="T197" s="97">
        <f t="shared" si="204"/>
        <v>23.227368220782232</v>
      </c>
      <c r="U197" s="97">
        <f t="shared" si="204"/>
        <v>23.556047779039517</v>
      </c>
      <c r="V197" s="97">
        <f t="shared" si="204"/>
        <v>25.118139385942534</v>
      </c>
      <c r="W197" s="97">
        <f t="shared" si="204"/>
        <v>21.083922031310038</v>
      </c>
      <c r="X197" s="97">
        <f t="shared" si="204"/>
        <v>20.381890155544994</v>
      </c>
      <c r="Y197" s="97">
        <f t="shared" si="204"/>
        <v>20.433148571001421</v>
      </c>
      <c r="DA197" s="175" t="s">
        <v>299</v>
      </c>
    </row>
    <row r="198" spans="1:105" ht="11.45" customHeight="1" x14ac:dyDescent="0.25">
      <c r="A198" s="128" t="str">
        <f>$A$16</f>
        <v>International - Extra-EEAwCHUK</v>
      </c>
      <c r="B198" s="97">
        <f t="shared" ref="B198:Y198" si="205">IF(B46=0,0,B46/B16*1000)</f>
        <v>36.787790423589875</v>
      </c>
      <c r="C198" s="97">
        <f t="shared" si="205"/>
        <v>39.877706352849344</v>
      </c>
      <c r="D198" s="97">
        <f t="shared" si="205"/>
        <v>44.663309166826416</v>
      </c>
      <c r="E198" s="97">
        <f t="shared" si="205"/>
        <v>34.247210722632275</v>
      </c>
      <c r="F198" s="97">
        <f t="shared" si="205"/>
        <v>33.646563002726829</v>
      </c>
      <c r="G198" s="97">
        <f t="shared" si="205"/>
        <v>29.829678031814932</v>
      </c>
      <c r="H198" s="97">
        <f t="shared" si="205"/>
        <v>27.508637343149985</v>
      </c>
      <c r="I198" s="97">
        <f t="shared" si="205"/>
        <v>25.254425406493013</v>
      </c>
      <c r="J198" s="97">
        <f t="shared" si="205"/>
        <v>23.470512495039152</v>
      </c>
      <c r="K198" s="97">
        <f t="shared" si="205"/>
        <v>24.372952575568448</v>
      </c>
      <c r="L198" s="97">
        <f t="shared" si="205"/>
        <v>21.872128225494382</v>
      </c>
      <c r="M198" s="97">
        <f t="shared" si="205"/>
        <v>23.31768466055092</v>
      </c>
      <c r="N198" s="97">
        <f t="shared" si="205"/>
        <v>23.594099134302525</v>
      </c>
      <c r="O198" s="97">
        <f t="shared" si="205"/>
        <v>22.981764295354566</v>
      </c>
      <c r="P198" s="97">
        <f t="shared" si="205"/>
        <v>22.570793754811419</v>
      </c>
      <c r="Q198" s="97">
        <f t="shared" si="205"/>
        <v>23.011017234400686</v>
      </c>
      <c r="R198" s="97">
        <f t="shared" si="205"/>
        <v>21.22796897078825</v>
      </c>
      <c r="S198" s="97">
        <f t="shared" si="205"/>
        <v>20.315489051825409</v>
      </c>
      <c r="T198" s="97">
        <f t="shared" si="205"/>
        <v>19.46896923044358</v>
      </c>
      <c r="U198" s="97">
        <f t="shared" si="205"/>
        <v>18.401341415979147</v>
      </c>
      <c r="V198" s="97">
        <f t="shared" si="205"/>
        <v>33.773926681679882</v>
      </c>
      <c r="W198" s="97">
        <f t="shared" si="205"/>
        <v>28.597283398381258</v>
      </c>
      <c r="X198" s="97">
        <f t="shared" si="205"/>
        <v>16.113517507910071</v>
      </c>
      <c r="Y198" s="97">
        <f t="shared" si="205"/>
        <v>14.168089306379468</v>
      </c>
      <c r="DA198" s="175" t="s">
        <v>300</v>
      </c>
    </row>
    <row r="199" spans="1:105" ht="11.45" customHeight="1" x14ac:dyDescent="0.25">
      <c r="A199" s="27" t="s">
        <v>156</v>
      </c>
      <c r="B199" s="32">
        <f t="shared" ref="B199:Y199" si="206">IF(B47=0,0,B47/B17*1000)</f>
        <v>63.439047655309764</v>
      </c>
      <c r="C199" s="32">
        <f t="shared" si="206"/>
        <v>64.513429358863348</v>
      </c>
      <c r="D199" s="32">
        <f t="shared" si="206"/>
        <v>59.692473485260237</v>
      </c>
      <c r="E199" s="32">
        <f t="shared" si="206"/>
        <v>60.390814103644679</v>
      </c>
      <c r="F199" s="32">
        <f t="shared" si="206"/>
        <v>57.141615380459072</v>
      </c>
      <c r="G199" s="32">
        <f t="shared" si="206"/>
        <v>54.185713416457872</v>
      </c>
      <c r="H199" s="32">
        <f t="shared" si="206"/>
        <v>53.356358293134235</v>
      </c>
      <c r="I199" s="32">
        <f t="shared" si="206"/>
        <v>51.380990725701729</v>
      </c>
      <c r="J199" s="32">
        <f t="shared" si="206"/>
        <v>51.288880204735371</v>
      </c>
      <c r="K199" s="32">
        <f t="shared" si="206"/>
        <v>50.956267677109196</v>
      </c>
      <c r="L199" s="32">
        <f t="shared" si="206"/>
        <v>50.345874331220621</v>
      </c>
      <c r="M199" s="32">
        <f t="shared" si="206"/>
        <v>47.064138176439712</v>
      </c>
      <c r="N199" s="32">
        <f t="shared" si="206"/>
        <v>44.274182560960234</v>
      </c>
      <c r="O199" s="32">
        <f t="shared" si="206"/>
        <v>41.771826781608652</v>
      </c>
      <c r="P199" s="32">
        <f t="shared" si="206"/>
        <v>40.772844502147336</v>
      </c>
      <c r="Q199" s="32">
        <f t="shared" si="206"/>
        <v>40.574337691308287</v>
      </c>
      <c r="R199" s="32">
        <f t="shared" si="206"/>
        <v>43.259603033980866</v>
      </c>
      <c r="S199" s="32">
        <f t="shared" si="206"/>
        <v>44.398064393585216</v>
      </c>
      <c r="T199" s="32">
        <f t="shared" si="206"/>
        <v>44.535049291687287</v>
      </c>
      <c r="U199" s="32">
        <f t="shared" si="206"/>
        <v>41.594634603365947</v>
      </c>
      <c r="V199" s="32">
        <f t="shared" si="206"/>
        <v>37.401356656366822</v>
      </c>
      <c r="W199" s="32">
        <f t="shared" si="206"/>
        <v>37.107701337262398</v>
      </c>
      <c r="X199" s="32">
        <f t="shared" si="206"/>
        <v>38.886321707221931</v>
      </c>
      <c r="Y199" s="32">
        <f t="shared" si="206"/>
        <v>36.942006441165283</v>
      </c>
      <c r="DA199" s="173" t="s">
        <v>424</v>
      </c>
    </row>
    <row r="200" spans="1:105" ht="11.45" customHeight="1" x14ac:dyDescent="0.25">
      <c r="A200" s="136" t="str">
        <f>$A$18</f>
        <v>Road transport</v>
      </c>
      <c r="B200" s="141">
        <f t="shared" ref="B200:Y200" si="207">IF(B48=0,0,B48/B18*1000)</f>
        <v>62.482245516427859</v>
      </c>
      <c r="C200" s="141">
        <f t="shared" si="207"/>
        <v>63.699535299948153</v>
      </c>
      <c r="D200" s="141">
        <f t="shared" si="207"/>
        <v>57.710995110218427</v>
      </c>
      <c r="E200" s="141">
        <f t="shared" si="207"/>
        <v>57.604838991584863</v>
      </c>
      <c r="F200" s="141">
        <f t="shared" si="207"/>
        <v>54.019082878005541</v>
      </c>
      <c r="G200" s="141">
        <f t="shared" si="207"/>
        <v>51.292976576019797</v>
      </c>
      <c r="H200" s="141">
        <f t="shared" si="207"/>
        <v>50.077484451389992</v>
      </c>
      <c r="I200" s="141">
        <f t="shared" si="207"/>
        <v>48.600292146189012</v>
      </c>
      <c r="J200" s="141">
        <f t="shared" si="207"/>
        <v>48.644799626088606</v>
      </c>
      <c r="K200" s="141">
        <f t="shared" si="207"/>
        <v>48.096284274571303</v>
      </c>
      <c r="L200" s="141">
        <f t="shared" si="207"/>
        <v>47.81457349916095</v>
      </c>
      <c r="M200" s="141">
        <f t="shared" si="207"/>
        <v>46.095209355438556</v>
      </c>
      <c r="N200" s="141">
        <f t="shared" si="207"/>
        <v>42.473083046371755</v>
      </c>
      <c r="O200" s="141">
        <f t="shared" si="207"/>
        <v>42.244557852664741</v>
      </c>
      <c r="P200" s="141">
        <f t="shared" si="207"/>
        <v>42.529751373568594</v>
      </c>
      <c r="Q200" s="141">
        <f t="shared" si="207"/>
        <v>41.974448410088129</v>
      </c>
      <c r="R200" s="141">
        <f t="shared" si="207"/>
        <v>44.069044031618454</v>
      </c>
      <c r="S200" s="141">
        <f t="shared" si="207"/>
        <v>43.376839949165813</v>
      </c>
      <c r="T200" s="141">
        <f t="shared" si="207"/>
        <v>43.673489363729843</v>
      </c>
      <c r="U200" s="141">
        <f t="shared" si="207"/>
        <v>40.360864579305407</v>
      </c>
      <c r="V200" s="141">
        <f t="shared" si="207"/>
        <v>36.002165303091317</v>
      </c>
      <c r="W200" s="141">
        <f t="shared" si="207"/>
        <v>35.759296805930795</v>
      </c>
      <c r="X200" s="141">
        <f t="shared" si="207"/>
        <v>37.17629691218152</v>
      </c>
      <c r="Y200" s="141">
        <f t="shared" si="207"/>
        <v>35.867459199217706</v>
      </c>
      <c r="DA200" s="174" t="s">
        <v>425</v>
      </c>
    </row>
    <row r="201" spans="1:105" ht="11.45" customHeight="1" x14ac:dyDescent="0.25">
      <c r="A201" s="128" t="str">
        <f>$A$19</f>
        <v>Light commercial vehicles</v>
      </c>
      <c r="B201" s="97">
        <f t="shared" ref="B201:Y201" si="208">IF(B49=0,0,B49/B19*1000)</f>
        <v>347.90373745608605</v>
      </c>
      <c r="C201" s="97">
        <f t="shared" si="208"/>
        <v>346.27298259361567</v>
      </c>
      <c r="D201" s="97">
        <f t="shared" si="208"/>
        <v>332.70320157475743</v>
      </c>
      <c r="E201" s="97">
        <f t="shared" si="208"/>
        <v>322.10002452308072</v>
      </c>
      <c r="F201" s="97">
        <f t="shared" si="208"/>
        <v>304.88424263379045</v>
      </c>
      <c r="G201" s="97">
        <f t="shared" si="208"/>
        <v>289.13081602444242</v>
      </c>
      <c r="H201" s="97">
        <f t="shared" si="208"/>
        <v>282.89189507629408</v>
      </c>
      <c r="I201" s="97">
        <f t="shared" si="208"/>
        <v>267.70785897328227</v>
      </c>
      <c r="J201" s="97">
        <f t="shared" si="208"/>
        <v>260.04926290172108</v>
      </c>
      <c r="K201" s="97">
        <f t="shared" si="208"/>
        <v>248.4179584111327</v>
      </c>
      <c r="L201" s="97">
        <f t="shared" si="208"/>
        <v>245.77405177444527</v>
      </c>
      <c r="M201" s="97">
        <f t="shared" si="208"/>
        <v>245.71669632351245</v>
      </c>
      <c r="N201" s="97">
        <f t="shared" si="208"/>
        <v>245.96316201134977</v>
      </c>
      <c r="O201" s="97">
        <f t="shared" si="208"/>
        <v>246.33910091405338</v>
      </c>
      <c r="P201" s="97">
        <f t="shared" si="208"/>
        <v>241.72076224526742</v>
      </c>
      <c r="Q201" s="97">
        <f t="shared" si="208"/>
        <v>237.40686808348744</v>
      </c>
      <c r="R201" s="97">
        <f t="shared" si="208"/>
        <v>235.68988849780419</v>
      </c>
      <c r="S201" s="97">
        <f t="shared" si="208"/>
        <v>236.84826528678389</v>
      </c>
      <c r="T201" s="97">
        <f t="shared" si="208"/>
        <v>235.36373291798907</v>
      </c>
      <c r="U201" s="97">
        <f t="shared" si="208"/>
        <v>234.66391484150148</v>
      </c>
      <c r="V201" s="97">
        <f t="shared" si="208"/>
        <v>228.18539271480134</v>
      </c>
      <c r="W201" s="97">
        <f t="shared" si="208"/>
        <v>232.393689058913</v>
      </c>
      <c r="X201" s="97">
        <f t="shared" si="208"/>
        <v>235.63843968581813</v>
      </c>
      <c r="Y201" s="97">
        <f t="shared" si="208"/>
        <v>233.56174558465028</v>
      </c>
      <c r="DA201" s="175" t="s">
        <v>426</v>
      </c>
    </row>
    <row r="202" spans="1:105" ht="11.45" customHeight="1" x14ac:dyDescent="0.25">
      <c r="A202" s="128" t="str">
        <f>$A$20</f>
        <v>Heavy goods vehicles</v>
      </c>
      <c r="B202" s="97">
        <f t="shared" ref="B202:Y202" si="209">IF(B50=0,0,B50/B20*1000)</f>
        <v>46.167247123935681</v>
      </c>
      <c r="C202" s="97">
        <f t="shared" si="209"/>
        <v>45.600576579693154</v>
      </c>
      <c r="D202" s="97">
        <f t="shared" si="209"/>
        <v>42.991475908756414</v>
      </c>
      <c r="E202" s="97">
        <f t="shared" si="209"/>
        <v>43.072303673444715</v>
      </c>
      <c r="F202" s="97">
        <f t="shared" si="209"/>
        <v>41.022827847004166</v>
      </c>
      <c r="G202" s="97">
        <f t="shared" si="209"/>
        <v>40.230416971260858</v>
      </c>
      <c r="H202" s="97">
        <f t="shared" si="209"/>
        <v>39.090220668522797</v>
      </c>
      <c r="I202" s="97">
        <f t="shared" si="209"/>
        <v>37.337037103087198</v>
      </c>
      <c r="J202" s="97">
        <f t="shared" si="209"/>
        <v>37.687027004789599</v>
      </c>
      <c r="K202" s="97">
        <f t="shared" si="209"/>
        <v>37.638034748528085</v>
      </c>
      <c r="L202" s="97">
        <f t="shared" si="209"/>
        <v>37.258415046825519</v>
      </c>
      <c r="M202" s="97">
        <f t="shared" si="209"/>
        <v>35.41733196615732</v>
      </c>
      <c r="N202" s="97">
        <f t="shared" si="209"/>
        <v>31.829686924128541</v>
      </c>
      <c r="O202" s="97">
        <f t="shared" si="209"/>
        <v>31.392824870296419</v>
      </c>
      <c r="P202" s="97">
        <f t="shared" si="209"/>
        <v>32.098969820660216</v>
      </c>
      <c r="Q202" s="97">
        <f t="shared" si="209"/>
        <v>31.865527010172435</v>
      </c>
      <c r="R202" s="97">
        <f t="shared" si="209"/>
        <v>34.929580883610043</v>
      </c>
      <c r="S202" s="97">
        <f t="shared" si="209"/>
        <v>34.086650574557304</v>
      </c>
      <c r="T202" s="97">
        <f t="shared" si="209"/>
        <v>34.515337068524815</v>
      </c>
      <c r="U202" s="97">
        <f t="shared" si="209"/>
        <v>31.409161993231521</v>
      </c>
      <c r="V202" s="97">
        <f t="shared" si="209"/>
        <v>29.854627921467475</v>
      </c>
      <c r="W202" s="97">
        <f t="shared" si="209"/>
        <v>27.714224045520503</v>
      </c>
      <c r="X202" s="97">
        <f t="shared" si="209"/>
        <v>28.40085346102757</v>
      </c>
      <c r="Y202" s="97">
        <f t="shared" si="209"/>
        <v>27.071835658145325</v>
      </c>
      <c r="DA202" s="175" t="s">
        <v>427</v>
      </c>
    </row>
    <row r="203" spans="1:105" ht="11.45" customHeight="1" x14ac:dyDescent="0.25">
      <c r="A203" s="109" t="str">
        <f>$A$21</f>
        <v>Rail transport</v>
      </c>
      <c r="B203" s="130">
        <f t="shared" ref="B203:Y203" si="210">IF(B51=0,0,B51/B21*1000)</f>
        <v>16.959929073128425</v>
      </c>
      <c r="C203" s="130">
        <f t="shared" si="210"/>
        <v>18.80213067328193</v>
      </c>
      <c r="D203" s="130">
        <f t="shared" si="210"/>
        <v>17.823168795589492</v>
      </c>
      <c r="E203" s="130">
        <f t="shared" si="210"/>
        <v>15.796064307508896</v>
      </c>
      <c r="F203" s="130">
        <f t="shared" si="210"/>
        <v>15.094246423985972</v>
      </c>
      <c r="G203" s="130">
        <f t="shared" si="210"/>
        <v>15.415599903739823</v>
      </c>
      <c r="H203" s="130">
        <f t="shared" si="210"/>
        <v>15.073324060342856</v>
      </c>
      <c r="I203" s="130">
        <f t="shared" si="210"/>
        <v>21.213732090458343</v>
      </c>
      <c r="J203" s="130">
        <f t="shared" si="210"/>
        <v>21.556411512062677</v>
      </c>
      <c r="K203" s="130">
        <f t="shared" si="210"/>
        <v>26.336294850546334</v>
      </c>
      <c r="L203" s="130">
        <f t="shared" si="210"/>
        <v>27.531522437739795</v>
      </c>
      <c r="M203" s="130">
        <f t="shared" si="210"/>
        <v>15.887182217116029</v>
      </c>
      <c r="N203" s="130">
        <f t="shared" si="210"/>
        <v>16.010347617592995</v>
      </c>
      <c r="O203" s="130">
        <f t="shared" si="210"/>
        <v>6.2616391691846092</v>
      </c>
      <c r="P203" s="130">
        <f t="shared" si="210"/>
        <v>5.9862650675792457</v>
      </c>
      <c r="Q203" s="130">
        <f t="shared" si="210"/>
        <v>5.4942630450968597</v>
      </c>
      <c r="R203" s="130">
        <f t="shared" si="210"/>
        <v>4.6737047876053683</v>
      </c>
      <c r="S203" s="130">
        <f t="shared" si="210"/>
        <v>6.0630423589029547</v>
      </c>
      <c r="T203" s="130">
        <f t="shared" si="210"/>
        <v>6.2808419895762757</v>
      </c>
      <c r="U203" s="130">
        <f t="shared" si="210"/>
        <v>6.7492295156736564</v>
      </c>
      <c r="V203" s="130">
        <f t="shared" si="210"/>
        <v>8.6595374926619719</v>
      </c>
      <c r="W203" s="130">
        <f t="shared" si="210"/>
        <v>5.1692119799452243</v>
      </c>
      <c r="X203" s="130">
        <f t="shared" si="210"/>
        <v>4.7867612328713243</v>
      </c>
      <c r="Y203" s="130">
        <f t="shared" si="210"/>
        <v>4.4202542398368339</v>
      </c>
      <c r="DA203" s="176" t="s">
        <v>428</v>
      </c>
    </row>
    <row r="204" spans="1:105" ht="11.45" customHeight="1" x14ac:dyDescent="0.25">
      <c r="A204" s="109" t="str">
        <f>$A$22</f>
        <v>Aviation</v>
      </c>
      <c r="B204" s="130">
        <f t="shared" ref="B204:Y204" si="211">IF(B52=0,0,B52/B22*1000)</f>
        <v>128.13356587880745</v>
      </c>
      <c r="C204" s="130">
        <f t="shared" si="211"/>
        <v>134.89841870152867</v>
      </c>
      <c r="D204" s="130">
        <f t="shared" si="211"/>
        <v>130.27925829223068</v>
      </c>
      <c r="E204" s="130">
        <f t="shared" si="211"/>
        <v>142.29364012603526</v>
      </c>
      <c r="F204" s="130">
        <f t="shared" si="211"/>
        <v>150.78912927495278</v>
      </c>
      <c r="G204" s="130">
        <f t="shared" si="211"/>
        <v>153.54511805000263</v>
      </c>
      <c r="H204" s="130">
        <f t="shared" si="211"/>
        <v>149.18217950686321</v>
      </c>
      <c r="I204" s="130">
        <f t="shared" si="211"/>
        <v>132.10054318006564</v>
      </c>
      <c r="J204" s="130">
        <f t="shared" si="211"/>
        <v>125.08361355213741</v>
      </c>
      <c r="K204" s="130">
        <f t="shared" si="211"/>
        <v>111.94446836094221</v>
      </c>
      <c r="L204" s="130">
        <f t="shared" si="211"/>
        <v>95.475460184226236</v>
      </c>
      <c r="M204" s="130">
        <f t="shared" si="211"/>
        <v>87.352418876527963</v>
      </c>
      <c r="N204" s="130">
        <f t="shared" si="211"/>
        <v>80.243112032727865</v>
      </c>
      <c r="O204" s="130">
        <f t="shared" si="211"/>
        <v>76.896390066010326</v>
      </c>
      <c r="P204" s="130">
        <f t="shared" si="211"/>
        <v>68.263345007057296</v>
      </c>
      <c r="Q204" s="130">
        <f t="shared" si="211"/>
        <v>69.77006231634941</v>
      </c>
      <c r="R204" s="130">
        <f t="shared" si="211"/>
        <v>62.205862228875063</v>
      </c>
      <c r="S204" s="130">
        <f t="shared" si="211"/>
        <v>61.798086634208552</v>
      </c>
      <c r="T204" s="130">
        <f t="shared" si="211"/>
        <v>58.079945608618139</v>
      </c>
      <c r="U204" s="130">
        <f t="shared" si="211"/>
        <v>53.154155675076609</v>
      </c>
      <c r="V204" s="130">
        <f t="shared" si="211"/>
        <v>91.59390197387178</v>
      </c>
      <c r="W204" s="130">
        <f t="shared" si="211"/>
        <v>73.773412062184434</v>
      </c>
      <c r="X204" s="130">
        <f t="shared" si="211"/>
        <v>57.552567413272406</v>
      </c>
      <c r="Y204" s="130">
        <f t="shared" si="211"/>
        <v>51.288852182867103</v>
      </c>
      <c r="DA204" s="176" t="s">
        <v>301</v>
      </c>
    </row>
    <row r="205" spans="1:105" ht="11.45" customHeight="1" x14ac:dyDescent="0.25">
      <c r="A205" s="128" t="s">
        <v>27</v>
      </c>
      <c r="B205" s="97">
        <f t="shared" ref="B205:Y205" si="212">IF(B53=0,0,B53/B23*1000)</f>
        <v>527.48476561811333</v>
      </c>
      <c r="C205" s="97">
        <f t="shared" si="212"/>
        <v>577.09888317360685</v>
      </c>
      <c r="D205" s="97">
        <f t="shared" si="212"/>
        <v>550.3869195358119</v>
      </c>
      <c r="E205" s="97">
        <f t="shared" si="212"/>
        <v>531.36500304665162</v>
      </c>
      <c r="F205" s="97">
        <f t="shared" si="212"/>
        <v>559.03094260855516</v>
      </c>
      <c r="G205" s="97">
        <f t="shared" si="212"/>
        <v>595.63458323247005</v>
      </c>
      <c r="H205" s="97">
        <f t="shared" si="212"/>
        <v>614.51808804468033</v>
      </c>
      <c r="I205" s="97">
        <f t="shared" si="212"/>
        <v>608.13961195188597</v>
      </c>
      <c r="J205" s="97">
        <f t="shared" si="212"/>
        <v>632.3262477325643</v>
      </c>
      <c r="K205" s="97">
        <f t="shared" si="212"/>
        <v>625.02708103390944</v>
      </c>
      <c r="L205" s="97">
        <f t="shared" si="212"/>
        <v>657.37273802586481</v>
      </c>
      <c r="M205" s="97">
        <f t="shared" si="212"/>
        <v>552.83381458717179</v>
      </c>
      <c r="N205" s="97">
        <f t="shared" si="212"/>
        <v>565.84398461199964</v>
      </c>
      <c r="O205" s="97">
        <f t="shared" si="212"/>
        <v>555.25321478570447</v>
      </c>
      <c r="P205" s="97">
        <f t="shared" si="212"/>
        <v>519.39134173044113</v>
      </c>
      <c r="Q205" s="97">
        <f t="shared" si="212"/>
        <v>528.47827419871624</v>
      </c>
      <c r="R205" s="97">
        <f t="shared" si="212"/>
        <v>478.33342342032</v>
      </c>
      <c r="S205" s="97">
        <f t="shared" si="212"/>
        <v>535.9733370540032</v>
      </c>
      <c r="T205" s="97">
        <f t="shared" si="212"/>
        <v>486.74996133855609</v>
      </c>
      <c r="U205" s="97">
        <f t="shared" si="212"/>
        <v>444.99861302367424</v>
      </c>
      <c r="V205" s="97">
        <f t="shared" si="212"/>
        <v>423.91170072602461</v>
      </c>
      <c r="W205" s="97">
        <f t="shared" si="212"/>
        <v>519.39838025346182</v>
      </c>
      <c r="X205" s="97">
        <f t="shared" si="212"/>
        <v>685.25859285509557</v>
      </c>
      <c r="Y205" s="97">
        <f t="shared" si="212"/>
        <v>653.7051292397764</v>
      </c>
      <c r="DA205" s="175" t="s">
        <v>302</v>
      </c>
    </row>
    <row r="206" spans="1:105" ht="11.45" customHeight="1" x14ac:dyDescent="0.25">
      <c r="A206" s="128" t="str">
        <f>$A$24</f>
        <v>International - Intra-EEAwCHUK</v>
      </c>
      <c r="B206" s="97">
        <f t="shared" ref="B206:Y206" si="213">IF(B54=0,0,B54/B24*1000)</f>
        <v>113.79110038974103</v>
      </c>
      <c r="C206" s="97">
        <f t="shared" si="213"/>
        <v>121.3190915165946</v>
      </c>
      <c r="D206" s="97">
        <f t="shared" si="213"/>
        <v>112.75411893385147</v>
      </c>
      <c r="E206" s="97">
        <f t="shared" si="213"/>
        <v>129.15616815221435</v>
      </c>
      <c r="F206" s="97">
        <f t="shared" si="213"/>
        <v>140.06080188381583</v>
      </c>
      <c r="G206" s="97">
        <f t="shared" si="213"/>
        <v>137.01332192327141</v>
      </c>
      <c r="H206" s="97">
        <f t="shared" si="213"/>
        <v>164.36953173162252</v>
      </c>
      <c r="I206" s="97">
        <f t="shared" si="213"/>
        <v>163.35277136744924</v>
      </c>
      <c r="J206" s="97">
        <f t="shared" si="213"/>
        <v>165.76470835828138</v>
      </c>
      <c r="K206" s="97">
        <f t="shared" si="213"/>
        <v>166.3962856457502</v>
      </c>
      <c r="L206" s="97">
        <f t="shared" si="213"/>
        <v>150.17025081480961</v>
      </c>
      <c r="M206" s="97">
        <f t="shared" si="213"/>
        <v>156.86370702774701</v>
      </c>
      <c r="N206" s="97">
        <f t="shared" si="213"/>
        <v>146.94701349270767</v>
      </c>
      <c r="O206" s="97">
        <f t="shared" si="213"/>
        <v>142.68437176381295</v>
      </c>
      <c r="P206" s="97">
        <f t="shared" si="213"/>
        <v>118.27116096508126</v>
      </c>
      <c r="Q206" s="97">
        <f t="shared" si="213"/>
        <v>124.1687647224408</v>
      </c>
      <c r="R206" s="97">
        <f t="shared" si="213"/>
        <v>111.02578215216094</v>
      </c>
      <c r="S206" s="97">
        <f t="shared" si="213"/>
        <v>123.41685729617109</v>
      </c>
      <c r="T206" s="97">
        <f t="shared" si="213"/>
        <v>124.20232420985496</v>
      </c>
      <c r="U206" s="97">
        <f t="shared" si="213"/>
        <v>121.68588476204918</v>
      </c>
      <c r="V206" s="97">
        <f t="shared" si="213"/>
        <v>121.44747928032434</v>
      </c>
      <c r="W206" s="97">
        <f t="shared" si="213"/>
        <v>107.17412642518484</v>
      </c>
      <c r="X206" s="97">
        <f t="shared" si="213"/>
        <v>121.95554057726835</v>
      </c>
      <c r="Y206" s="97">
        <f t="shared" si="213"/>
        <v>131.15273839384128</v>
      </c>
      <c r="DA206" s="175" t="s">
        <v>303</v>
      </c>
    </row>
    <row r="207" spans="1:105" ht="11.45" customHeight="1" x14ac:dyDescent="0.25">
      <c r="A207" s="128" t="str">
        <f>$A$25</f>
        <v>International - Extra-EEAwCHUK</v>
      </c>
      <c r="B207" s="97">
        <f t="shared" ref="B207:Y207" si="214">IF(B55=0,0,B55/B25*1000)</f>
        <v>67.666995986967464</v>
      </c>
      <c r="C207" s="97">
        <f t="shared" si="214"/>
        <v>72.233969736199484</v>
      </c>
      <c r="D207" s="97">
        <f t="shared" si="214"/>
        <v>67.03158906599981</v>
      </c>
      <c r="E207" s="97">
        <f t="shared" si="214"/>
        <v>85.668451532223884</v>
      </c>
      <c r="F207" s="97">
        <f t="shared" si="214"/>
        <v>86.675882446043474</v>
      </c>
      <c r="G207" s="97">
        <f t="shared" si="214"/>
        <v>81.642388617483675</v>
      </c>
      <c r="H207" s="97">
        <f t="shared" si="214"/>
        <v>74.692626850015316</v>
      </c>
      <c r="I207" s="97">
        <f t="shared" si="214"/>
        <v>67.374975947535162</v>
      </c>
      <c r="J207" s="97">
        <f t="shared" si="214"/>
        <v>63.601906527757031</v>
      </c>
      <c r="K207" s="97">
        <f t="shared" si="214"/>
        <v>58.617920711686516</v>
      </c>
      <c r="L207" s="97">
        <f t="shared" si="214"/>
        <v>52.345161339444878</v>
      </c>
      <c r="M207" s="97">
        <f t="shared" si="214"/>
        <v>53.626267920803386</v>
      </c>
      <c r="N207" s="97">
        <f t="shared" si="214"/>
        <v>49.284051054402603</v>
      </c>
      <c r="O207" s="97">
        <f t="shared" si="214"/>
        <v>47.827668580093921</v>
      </c>
      <c r="P207" s="97">
        <f t="shared" si="214"/>
        <v>43.275889659207692</v>
      </c>
      <c r="Q207" s="97">
        <f t="shared" si="214"/>
        <v>46.865166487589178</v>
      </c>
      <c r="R207" s="97">
        <f t="shared" si="214"/>
        <v>42.22364562821955</v>
      </c>
      <c r="S207" s="97">
        <f t="shared" si="214"/>
        <v>43.234347502374106</v>
      </c>
      <c r="T207" s="97">
        <f t="shared" si="214"/>
        <v>42.909341404831231</v>
      </c>
      <c r="U207" s="97">
        <f t="shared" si="214"/>
        <v>38.469806926648552</v>
      </c>
      <c r="V207" s="97">
        <f t="shared" si="214"/>
        <v>75.154739369873909</v>
      </c>
      <c r="W207" s="97">
        <f t="shared" si="214"/>
        <v>57.189185218791458</v>
      </c>
      <c r="X207" s="97">
        <f t="shared" si="214"/>
        <v>42.171823056700418</v>
      </c>
      <c r="Y207" s="97">
        <f t="shared" si="214"/>
        <v>39.366541656098939</v>
      </c>
      <c r="DA207" s="175" t="s">
        <v>304</v>
      </c>
    </row>
    <row r="208" spans="1:105" ht="11.45" customHeight="1" x14ac:dyDescent="0.25">
      <c r="A208" s="109" t="s">
        <v>141</v>
      </c>
      <c r="B208" s="130">
        <f t="shared" ref="B208:Y208" si="215">IF(B56=0,0,B56/B26*1000)</f>
        <v>118.12662597517694</v>
      </c>
      <c r="C208" s="130">
        <f t="shared" si="215"/>
        <v>117.44315413328582</v>
      </c>
      <c r="D208" s="130">
        <f t="shared" si="215"/>
        <v>139.45184693717454</v>
      </c>
      <c r="E208" s="130">
        <f t="shared" si="215"/>
        <v>168.65348628691839</v>
      </c>
      <c r="F208" s="130">
        <f t="shared" si="215"/>
        <v>173.23687321798994</v>
      </c>
      <c r="G208" s="130">
        <f t="shared" si="215"/>
        <v>151.80691077718868</v>
      </c>
      <c r="H208" s="130">
        <f t="shared" si="215"/>
        <v>155.45657476026412</v>
      </c>
      <c r="I208" s="130">
        <f t="shared" si="215"/>
        <v>146.41529160370484</v>
      </c>
      <c r="J208" s="130">
        <f t="shared" si="215"/>
        <v>143.20899832796644</v>
      </c>
      <c r="K208" s="130">
        <f t="shared" si="215"/>
        <v>140.00127067171553</v>
      </c>
      <c r="L208" s="130">
        <f t="shared" si="215"/>
        <v>126.24940775517116</v>
      </c>
      <c r="M208" s="130">
        <f t="shared" si="215"/>
        <v>96.192562601666978</v>
      </c>
      <c r="N208" s="130">
        <f t="shared" si="215"/>
        <v>119.4239408334517</v>
      </c>
      <c r="O208" s="130">
        <f t="shared" si="215"/>
        <v>69.752372683886904</v>
      </c>
      <c r="P208" s="130">
        <f t="shared" si="215"/>
        <v>42.577199329484081</v>
      </c>
      <c r="Q208" s="130">
        <f t="shared" si="215"/>
        <v>49.469372230358339</v>
      </c>
      <c r="R208" s="130">
        <f t="shared" si="215"/>
        <v>66.202619506622483</v>
      </c>
      <c r="S208" s="130">
        <f t="shared" si="215"/>
        <v>112.48244193197895</v>
      </c>
      <c r="T208" s="130">
        <f t="shared" si="215"/>
        <v>102.17473848236673</v>
      </c>
      <c r="U208" s="130">
        <f t="shared" si="215"/>
        <v>103.3472726344078</v>
      </c>
      <c r="V208" s="130">
        <f t="shared" si="215"/>
        <v>96.443480704410135</v>
      </c>
      <c r="W208" s="130">
        <f t="shared" si="215"/>
        <v>107.94844148053782</v>
      </c>
      <c r="X208" s="130">
        <f t="shared" si="215"/>
        <v>114.94077738041923</v>
      </c>
      <c r="Y208" s="130">
        <f t="shared" si="215"/>
        <v>91.892595159805609</v>
      </c>
      <c r="DA208" s="176" t="s">
        <v>429</v>
      </c>
    </row>
    <row r="209" spans="1:105" ht="11.45" customHeight="1" x14ac:dyDescent="0.25">
      <c r="A209" s="128" t="str">
        <f>$A$27</f>
        <v>Domestic coastal shipping</v>
      </c>
      <c r="B209" s="97">
        <f t="shared" ref="B209:Y209" si="216">IF(B57=0,0,B57/B27*1000)</f>
        <v>118.12662597517694</v>
      </c>
      <c r="C209" s="97">
        <f t="shared" si="216"/>
        <v>117.44315413328582</v>
      </c>
      <c r="D209" s="97">
        <f t="shared" si="216"/>
        <v>139.45184693717454</v>
      </c>
      <c r="E209" s="97">
        <f t="shared" si="216"/>
        <v>168.65348628691839</v>
      </c>
      <c r="F209" s="97">
        <f t="shared" si="216"/>
        <v>173.23687321798994</v>
      </c>
      <c r="G209" s="97">
        <f t="shared" si="216"/>
        <v>151.80691077718868</v>
      </c>
      <c r="H209" s="97">
        <f t="shared" si="216"/>
        <v>155.45657476026412</v>
      </c>
      <c r="I209" s="97">
        <f t="shared" si="216"/>
        <v>146.41529160370484</v>
      </c>
      <c r="J209" s="97">
        <f t="shared" si="216"/>
        <v>143.20899832796644</v>
      </c>
      <c r="K209" s="97">
        <f t="shared" si="216"/>
        <v>140.00127067171553</v>
      </c>
      <c r="L209" s="97">
        <f t="shared" si="216"/>
        <v>126.24940775517116</v>
      </c>
      <c r="M209" s="97">
        <f t="shared" si="216"/>
        <v>96.192562601666978</v>
      </c>
      <c r="N209" s="97">
        <f t="shared" si="216"/>
        <v>119.4239408334517</v>
      </c>
      <c r="O209" s="97">
        <f t="shared" si="216"/>
        <v>69.752372683886904</v>
      </c>
      <c r="P209" s="97">
        <f t="shared" si="216"/>
        <v>42.577199329484081</v>
      </c>
      <c r="Q209" s="97">
        <f t="shared" si="216"/>
        <v>49.469372230358339</v>
      </c>
      <c r="R209" s="97">
        <f t="shared" si="216"/>
        <v>66.202619506622483</v>
      </c>
      <c r="S209" s="97">
        <f t="shared" si="216"/>
        <v>112.48244193197895</v>
      </c>
      <c r="T209" s="97">
        <f t="shared" si="216"/>
        <v>102.17473848236673</v>
      </c>
      <c r="U209" s="97">
        <f t="shared" si="216"/>
        <v>103.3472726344078</v>
      </c>
      <c r="V209" s="97">
        <f t="shared" si="216"/>
        <v>96.443480704410135</v>
      </c>
      <c r="W209" s="97">
        <f t="shared" si="216"/>
        <v>107.94844148053782</v>
      </c>
      <c r="X209" s="97">
        <f t="shared" si="216"/>
        <v>114.94077738041923</v>
      </c>
      <c r="Y209" s="97">
        <f t="shared" si="216"/>
        <v>91.892595159805609</v>
      </c>
      <c r="DA209" s="175" t="s">
        <v>430</v>
      </c>
    </row>
    <row r="210" spans="1:105" ht="11.45" customHeight="1" x14ac:dyDescent="0.25">
      <c r="A210" s="138" t="str">
        <f>$A$28</f>
        <v>Inland waterways</v>
      </c>
      <c r="B210" s="98">
        <f t="shared" ref="B210:Y210" si="217">IF(B58=0,0,B58/B28*1000)</f>
        <v>0</v>
      </c>
      <c r="C210" s="98">
        <f t="shared" si="217"/>
        <v>0</v>
      </c>
      <c r="D210" s="98">
        <f t="shared" si="217"/>
        <v>0</v>
      </c>
      <c r="E210" s="98">
        <f t="shared" si="217"/>
        <v>0</v>
      </c>
      <c r="F210" s="98">
        <f t="shared" si="217"/>
        <v>0</v>
      </c>
      <c r="G210" s="98">
        <f t="shared" si="217"/>
        <v>0</v>
      </c>
      <c r="H210" s="98">
        <f t="shared" si="217"/>
        <v>0</v>
      </c>
      <c r="I210" s="98">
        <f t="shared" si="217"/>
        <v>0</v>
      </c>
      <c r="J210" s="98">
        <f t="shared" si="217"/>
        <v>0</v>
      </c>
      <c r="K210" s="98">
        <f t="shared" si="217"/>
        <v>0</v>
      </c>
      <c r="L210" s="98">
        <f t="shared" si="217"/>
        <v>0</v>
      </c>
      <c r="M210" s="98">
        <f t="shared" si="217"/>
        <v>0</v>
      </c>
      <c r="N210" s="98">
        <f t="shared" si="217"/>
        <v>0</v>
      </c>
      <c r="O210" s="98">
        <f t="shared" si="217"/>
        <v>0</v>
      </c>
      <c r="P210" s="98">
        <f t="shared" si="217"/>
        <v>0</v>
      </c>
      <c r="Q210" s="98">
        <f t="shared" si="217"/>
        <v>0</v>
      </c>
      <c r="R210" s="98">
        <f t="shared" si="217"/>
        <v>0</v>
      </c>
      <c r="S210" s="98">
        <f t="shared" si="217"/>
        <v>0</v>
      </c>
      <c r="T210" s="98">
        <f t="shared" si="217"/>
        <v>0</v>
      </c>
      <c r="U210" s="98">
        <f t="shared" si="217"/>
        <v>0</v>
      </c>
      <c r="V210" s="98">
        <f t="shared" si="217"/>
        <v>0</v>
      </c>
      <c r="W210" s="98">
        <f t="shared" si="217"/>
        <v>0</v>
      </c>
      <c r="X210" s="98">
        <f t="shared" si="217"/>
        <v>0</v>
      </c>
      <c r="Y210" s="98">
        <f t="shared" si="217"/>
        <v>0</v>
      </c>
      <c r="DA210" s="178" t="s">
        <v>431</v>
      </c>
    </row>
    <row r="211" spans="1:105" ht="11.45" customHeight="1" x14ac:dyDescent="0.25">
      <c r="A211" s="27" t="s">
        <v>172</v>
      </c>
      <c r="B211" s="32">
        <f t="shared" ref="B211:Y211" si="218">IF(B59=0,0,B59/B29*1000)</f>
        <v>9.8546899235685999</v>
      </c>
      <c r="C211" s="32">
        <f t="shared" si="218"/>
        <v>9.1771535994290758</v>
      </c>
      <c r="D211" s="32">
        <f t="shared" si="218"/>
        <v>8.8559939852178857</v>
      </c>
      <c r="E211" s="32">
        <f t="shared" si="218"/>
        <v>8.5255407471055058</v>
      </c>
      <c r="F211" s="32">
        <f t="shared" si="218"/>
        <v>7.8381908577947499</v>
      </c>
      <c r="G211" s="32">
        <f t="shared" si="218"/>
        <v>7.7725241886444136</v>
      </c>
      <c r="H211" s="32">
        <f t="shared" si="218"/>
        <v>7.5494962559315999</v>
      </c>
      <c r="I211" s="32">
        <f t="shared" si="218"/>
        <v>7.1178989127606425</v>
      </c>
      <c r="J211" s="32">
        <f t="shared" si="218"/>
        <v>7.7300037552347867</v>
      </c>
      <c r="K211" s="32">
        <f t="shared" si="218"/>
        <v>9.3590646593318993</v>
      </c>
      <c r="L211" s="32">
        <f t="shared" si="218"/>
        <v>8.7894050727367006</v>
      </c>
      <c r="M211" s="32">
        <f t="shared" si="218"/>
        <v>8.0918917212622414</v>
      </c>
      <c r="N211" s="32">
        <f t="shared" si="218"/>
        <v>7.5713201811185051</v>
      </c>
      <c r="O211" s="32">
        <f t="shared" si="218"/>
        <v>7.0897187781326583</v>
      </c>
      <c r="P211" s="32">
        <f t="shared" si="218"/>
        <v>7.492680760493835</v>
      </c>
      <c r="Q211" s="32">
        <f t="shared" si="218"/>
        <v>7.5477523258714703</v>
      </c>
      <c r="R211" s="32">
        <f t="shared" si="218"/>
        <v>7.5556163044598321</v>
      </c>
      <c r="S211" s="32">
        <f t="shared" si="218"/>
        <v>6.364234854234323</v>
      </c>
      <c r="T211" s="32">
        <f t="shared" si="218"/>
        <v>6.2172064650243914</v>
      </c>
      <c r="U211" s="32">
        <f t="shared" si="218"/>
        <v>5.8123937728840671</v>
      </c>
      <c r="V211" s="32">
        <f t="shared" si="218"/>
        <v>5.5927958854391235</v>
      </c>
      <c r="W211" s="32">
        <f t="shared" si="218"/>
        <v>6.18907950923876</v>
      </c>
      <c r="X211" s="32">
        <f t="shared" si="218"/>
        <v>6.8563233940493697</v>
      </c>
      <c r="Y211" s="32">
        <f t="shared" si="218"/>
        <v>6.7344644402316582</v>
      </c>
      <c r="DA211" s="173" t="s">
        <v>432</v>
      </c>
    </row>
    <row r="212" spans="1:105" ht="11.45" customHeight="1" x14ac:dyDescent="0.25">
      <c r="A212" s="128" t="str">
        <f>$A$30</f>
        <v>Intra-EEA</v>
      </c>
      <c r="B212" s="97">
        <f t="shared" ref="B212:Y212" si="219">IF(B60=0,0,B60/B30*1000)</f>
        <v>27.071223219368342</v>
      </c>
      <c r="C212" s="97">
        <f t="shared" si="219"/>
        <v>25.926288454727587</v>
      </c>
      <c r="D212" s="97">
        <f t="shared" si="219"/>
        <v>25.168970561293893</v>
      </c>
      <c r="E212" s="97">
        <f t="shared" si="219"/>
        <v>24.181662398933405</v>
      </c>
      <c r="F212" s="97">
        <f t="shared" si="219"/>
        <v>22.364609125038726</v>
      </c>
      <c r="G212" s="97">
        <f t="shared" si="219"/>
        <v>22.744063017289108</v>
      </c>
      <c r="H212" s="97">
        <f t="shared" si="219"/>
        <v>23.09092813930625</v>
      </c>
      <c r="I212" s="97">
        <f t="shared" si="219"/>
        <v>22.616934540138281</v>
      </c>
      <c r="J212" s="97">
        <f t="shared" si="219"/>
        <v>24.777617697804047</v>
      </c>
      <c r="K212" s="97">
        <f t="shared" si="219"/>
        <v>28.432153237291821</v>
      </c>
      <c r="L212" s="97">
        <f t="shared" si="219"/>
        <v>27.05249193192353</v>
      </c>
      <c r="M212" s="97">
        <f t="shared" si="219"/>
        <v>26.109268399050286</v>
      </c>
      <c r="N212" s="97">
        <f t="shared" si="219"/>
        <v>25.030323102206523</v>
      </c>
      <c r="O212" s="97">
        <f t="shared" si="219"/>
        <v>22.627687524595103</v>
      </c>
      <c r="P212" s="97">
        <f t="shared" si="219"/>
        <v>23.274379513585099</v>
      </c>
      <c r="Q212" s="97">
        <f t="shared" si="219"/>
        <v>23.182450452406197</v>
      </c>
      <c r="R212" s="97">
        <f t="shared" si="219"/>
        <v>22.690360037080005</v>
      </c>
      <c r="S212" s="97">
        <f t="shared" si="219"/>
        <v>19.596801400833449</v>
      </c>
      <c r="T212" s="97">
        <f t="shared" si="219"/>
        <v>19.218692947164875</v>
      </c>
      <c r="U212" s="97">
        <f t="shared" si="219"/>
        <v>17.978977338306812</v>
      </c>
      <c r="V212" s="97">
        <f t="shared" si="219"/>
        <v>14.827898200483224</v>
      </c>
      <c r="W212" s="97">
        <f t="shared" si="219"/>
        <v>16.553623140523534</v>
      </c>
      <c r="X212" s="97">
        <f t="shared" si="219"/>
        <v>19.744450869131523</v>
      </c>
      <c r="Y212" s="97">
        <f t="shared" si="219"/>
        <v>19.239001252296628</v>
      </c>
      <c r="DA212" s="175" t="s">
        <v>433</v>
      </c>
    </row>
    <row r="213" spans="1:105" ht="11.45" customHeight="1" x14ac:dyDescent="0.25">
      <c r="A213" s="138" t="str">
        <f>$A$31</f>
        <v>Extra-EEA</v>
      </c>
      <c r="B213" s="98">
        <f t="shared" ref="B213:Y213" si="220">IF(B61=0,0,B61/B31*1000)</f>
        <v>7.211765928385458</v>
      </c>
      <c r="C213" s="98">
        <f t="shared" si="220"/>
        <v>6.7425948323439107</v>
      </c>
      <c r="D213" s="98">
        <f t="shared" si="220"/>
        <v>6.5366673575113223</v>
      </c>
      <c r="E213" s="98">
        <f t="shared" si="220"/>
        <v>6.3099057975576986</v>
      </c>
      <c r="F213" s="98">
        <f t="shared" si="220"/>
        <v>5.7891114692619094</v>
      </c>
      <c r="G213" s="98">
        <f t="shared" si="220"/>
        <v>5.7683167932066626</v>
      </c>
      <c r="H213" s="98">
        <f t="shared" si="220"/>
        <v>5.6980048950321338</v>
      </c>
      <c r="I213" s="98">
        <f t="shared" si="220"/>
        <v>5.4431608979478119</v>
      </c>
      <c r="J213" s="98">
        <f t="shared" si="220"/>
        <v>5.9126710594884564</v>
      </c>
      <c r="K213" s="98">
        <f t="shared" si="220"/>
        <v>6.9980830236654983</v>
      </c>
      <c r="L213" s="98">
        <f t="shared" si="220"/>
        <v>6.5564928662300241</v>
      </c>
      <c r="M213" s="98">
        <f t="shared" si="220"/>
        <v>6.0832803027994302</v>
      </c>
      <c r="N213" s="98">
        <f t="shared" si="220"/>
        <v>5.717682160954122</v>
      </c>
      <c r="O213" s="98">
        <f t="shared" si="220"/>
        <v>5.2765403307333978</v>
      </c>
      <c r="P213" s="98">
        <f t="shared" si="220"/>
        <v>5.5125845784672158</v>
      </c>
      <c r="Q213" s="98">
        <f t="shared" si="220"/>
        <v>5.5389746830845503</v>
      </c>
      <c r="R213" s="98">
        <f t="shared" si="220"/>
        <v>5.5163289761081842</v>
      </c>
      <c r="S213" s="98">
        <f t="shared" si="220"/>
        <v>4.6776333508041219</v>
      </c>
      <c r="T213" s="98">
        <f t="shared" si="220"/>
        <v>4.548452034490948</v>
      </c>
      <c r="U213" s="98">
        <f t="shared" si="220"/>
        <v>4.2331476830763322</v>
      </c>
      <c r="V213" s="98">
        <f t="shared" si="220"/>
        <v>4.2865559037775416</v>
      </c>
      <c r="W213" s="98">
        <f t="shared" si="220"/>
        <v>4.6645590033674305</v>
      </c>
      <c r="X213" s="98">
        <f t="shared" si="220"/>
        <v>4.9815170567538711</v>
      </c>
      <c r="Y213" s="98">
        <f t="shared" si="220"/>
        <v>4.8640104044058257</v>
      </c>
      <c r="DA213" s="178" t="s">
        <v>434</v>
      </c>
    </row>
    <row r="214" spans="1:105" x14ac:dyDescent="0.25">
      <c r="A214" s="106"/>
      <c r="B214" s="106"/>
      <c r="C214" s="106"/>
      <c r="D214" s="106"/>
      <c r="E214" s="106"/>
      <c r="F214" s="106"/>
      <c r="G214" s="106"/>
      <c r="H214" s="106"/>
      <c r="I214" s="106"/>
      <c r="J214" s="106"/>
      <c r="K214" s="106"/>
      <c r="L214" s="106"/>
      <c r="M214" s="106"/>
      <c r="N214" s="106"/>
      <c r="O214" s="106"/>
      <c r="P214" s="106"/>
      <c r="Q214" s="106"/>
      <c r="R214" s="106"/>
      <c r="S214" s="106"/>
      <c r="T214" s="106"/>
      <c r="U214" s="106"/>
      <c r="V214" s="106"/>
      <c r="W214" s="106"/>
      <c r="X214" s="106"/>
      <c r="Y214" s="106"/>
      <c r="DA214" s="171"/>
    </row>
    <row r="215" spans="1:105" ht="11.45" customHeight="1" x14ac:dyDescent="0.25">
      <c r="A215" s="53" t="s">
        <v>43</v>
      </c>
      <c r="B215" s="59"/>
      <c r="C215" s="59"/>
      <c r="D215" s="59"/>
      <c r="E215" s="59"/>
      <c r="F215" s="59"/>
      <c r="G215" s="59"/>
      <c r="H215" s="59"/>
      <c r="I215" s="59"/>
      <c r="J215" s="59"/>
      <c r="K215" s="59"/>
      <c r="L215" s="59"/>
      <c r="M215" s="59"/>
      <c r="N215" s="59"/>
      <c r="O215" s="59"/>
      <c r="P215" s="59"/>
      <c r="Q215" s="59"/>
      <c r="R215" s="59"/>
      <c r="S215" s="59"/>
      <c r="T215" s="59"/>
      <c r="U215" s="59"/>
      <c r="V215" s="59"/>
      <c r="W215" s="59"/>
      <c r="X215" s="59"/>
      <c r="Y215" s="59"/>
      <c r="DA215" s="172"/>
    </row>
    <row r="216" spans="1:105" ht="11.45" customHeight="1" x14ac:dyDescent="0.25">
      <c r="A216" s="27" t="s">
        <v>160</v>
      </c>
      <c r="B216" s="32">
        <f t="shared" ref="B216:Y216" si="221">IF(B4=0,0,B64/B4*1000)</f>
        <v>125.85982203080771</v>
      </c>
      <c r="C216" s="32">
        <f t="shared" si="221"/>
        <v>128.58588900658242</v>
      </c>
      <c r="D216" s="32">
        <f t="shared" si="221"/>
        <v>130.59433997085193</v>
      </c>
      <c r="E216" s="32">
        <f t="shared" si="221"/>
        <v>133.64046622477045</v>
      </c>
      <c r="F216" s="32">
        <f t="shared" si="221"/>
        <v>133.74360434102002</v>
      </c>
      <c r="G216" s="32">
        <f t="shared" si="221"/>
        <v>123.8723537725499</v>
      </c>
      <c r="H216" s="32">
        <f t="shared" si="221"/>
        <v>127.7173570258453</v>
      </c>
      <c r="I216" s="32">
        <f t="shared" si="221"/>
        <v>124.70776839722026</v>
      </c>
      <c r="J216" s="32">
        <f t="shared" si="221"/>
        <v>120.23311787816213</v>
      </c>
      <c r="K216" s="32">
        <f t="shared" si="221"/>
        <v>117.48504320360838</v>
      </c>
      <c r="L216" s="32">
        <f t="shared" si="221"/>
        <v>116.66064897760238</v>
      </c>
      <c r="M216" s="32">
        <f t="shared" si="221"/>
        <v>111.50238672957975</v>
      </c>
      <c r="N216" s="32">
        <f t="shared" si="221"/>
        <v>106.43015255312912</v>
      </c>
      <c r="O216" s="32">
        <f t="shared" si="221"/>
        <v>106.64249809157867</v>
      </c>
      <c r="P216" s="32">
        <f t="shared" si="221"/>
        <v>112.79353879450602</v>
      </c>
      <c r="Q216" s="32">
        <f t="shared" si="221"/>
        <v>110.74907745341872</v>
      </c>
      <c r="R216" s="32">
        <f t="shared" si="221"/>
        <v>105.95251685744687</v>
      </c>
      <c r="S216" s="32">
        <f t="shared" si="221"/>
        <v>110.95398669957099</v>
      </c>
      <c r="T216" s="32">
        <f t="shared" si="221"/>
        <v>108.63220516531429</v>
      </c>
      <c r="U216" s="32">
        <f t="shared" si="221"/>
        <v>109.90274206321125</v>
      </c>
      <c r="V216" s="32">
        <f t="shared" si="221"/>
        <v>133.48266548683443</v>
      </c>
      <c r="W216" s="32">
        <f t="shared" si="221"/>
        <v>124.37621558457101</v>
      </c>
      <c r="X216" s="32">
        <f t="shared" si="221"/>
        <v>107.23936875519259</v>
      </c>
      <c r="Y216" s="32">
        <f t="shared" si="221"/>
        <v>99.730482839976773</v>
      </c>
      <c r="DA216" s="173" t="s">
        <v>435</v>
      </c>
    </row>
    <row r="217" spans="1:105" ht="11.45" customHeight="1" x14ac:dyDescent="0.25">
      <c r="A217" s="136" t="str">
        <f>$A$5</f>
        <v>Road transport</v>
      </c>
      <c r="B217" s="141">
        <f t="shared" ref="B217:Y217" si="222">IF(B5=0,0,B65/B5*1000)</f>
        <v>141.71831171257921</v>
      </c>
      <c r="C217" s="141">
        <f t="shared" si="222"/>
        <v>142.54555102388088</v>
      </c>
      <c r="D217" s="141">
        <f t="shared" si="222"/>
        <v>146.17494122376934</v>
      </c>
      <c r="E217" s="141">
        <f t="shared" si="222"/>
        <v>149.44267201329987</v>
      </c>
      <c r="F217" s="141">
        <f t="shared" si="222"/>
        <v>149.05542964943518</v>
      </c>
      <c r="G217" s="141">
        <f t="shared" si="222"/>
        <v>134.16314168390394</v>
      </c>
      <c r="H217" s="141">
        <f t="shared" si="222"/>
        <v>140.45481343745431</v>
      </c>
      <c r="I217" s="141">
        <f t="shared" si="222"/>
        <v>136.4139588420083</v>
      </c>
      <c r="J217" s="141">
        <f t="shared" si="222"/>
        <v>131.6118564419574</v>
      </c>
      <c r="K217" s="141">
        <f t="shared" si="222"/>
        <v>127.79912345615588</v>
      </c>
      <c r="L217" s="141">
        <f t="shared" si="222"/>
        <v>128.54185496424824</v>
      </c>
      <c r="M217" s="141">
        <f t="shared" si="222"/>
        <v>122.71020660814334</v>
      </c>
      <c r="N217" s="141">
        <f t="shared" si="222"/>
        <v>116.26923668507786</v>
      </c>
      <c r="O217" s="141">
        <f t="shared" si="222"/>
        <v>121.70196566547746</v>
      </c>
      <c r="P217" s="141">
        <f t="shared" si="222"/>
        <v>133.38594194011949</v>
      </c>
      <c r="Q217" s="141">
        <f t="shared" si="222"/>
        <v>128.58200689767256</v>
      </c>
      <c r="R217" s="141">
        <f t="shared" si="222"/>
        <v>123.46381137062728</v>
      </c>
      <c r="S217" s="141">
        <f t="shared" si="222"/>
        <v>134.01323378217165</v>
      </c>
      <c r="T217" s="141">
        <f t="shared" si="222"/>
        <v>131.27129786127784</v>
      </c>
      <c r="U217" s="141">
        <f t="shared" si="222"/>
        <v>133.84664748031054</v>
      </c>
      <c r="V217" s="141">
        <f t="shared" si="222"/>
        <v>144.58126721075854</v>
      </c>
      <c r="W217" s="141">
        <f t="shared" si="222"/>
        <v>135.5686736825096</v>
      </c>
      <c r="X217" s="141">
        <f t="shared" si="222"/>
        <v>128.30985295184232</v>
      </c>
      <c r="Y217" s="141">
        <f t="shared" si="222"/>
        <v>122.6986057865753</v>
      </c>
      <c r="DA217" s="174" t="s">
        <v>436</v>
      </c>
    </row>
    <row r="218" spans="1:105" ht="11.45" customHeight="1" x14ac:dyDescent="0.25">
      <c r="A218" s="128" t="str">
        <f>$A$6</f>
        <v>Powered two-wheelers</v>
      </c>
      <c r="B218" s="97">
        <f t="shared" ref="B218:Y218" si="223">IF(B6=0,0,B66/B6*1000)</f>
        <v>102.64127369009553</v>
      </c>
      <c r="C218" s="97">
        <f t="shared" si="223"/>
        <v>102.05336343373011</v>
      </c>
      <c r="D218" s="97">
        <f t="shared" si="223"/>
        <v>99.619344731682631</v>
      </c>
      <c r="E218" s="97">
        <f t="shared" si="223"/>
        <v>97.880005686075307</v>
      </c>
      <c r="F218" s="97">
        <f t="shared" si="223"/>
        <v>98.644147788769473</v>
      </c>
      <c r="G218" s="97">
        <f t="shared" si="223"/>
        <v>96.656128529858378</v>
      </c>
      <c r="H218" s="97">
        <f t="shared" si="223"/>
        <v>96.730480213045809</v>
      </c>
      <c r="I218" s="97">
        <f t="shared" si="223"/>
        <v>95.115161465286434</v>
      </c>
      <c r="J218" s="97">
        <f t="shared" si="223"/>
        <v>95.375466267200181</v>
      </c>
      <c r="K218" s="97">
        <f t="shared" si="223"/>
        <v>93.458155112384873</v>
      </c>
      <c r="L218" s="97">
        <f t="shared" si="223"/>
        <v>91.942111425116067</v>
      </c>
      <c r="M218" s="97">
        <f t="shared" si="223"/>
        <v>90.314596388414216</v>
      </c>
      <c r="N218" s="97">
        <f t="shared" si="223"/>
        <v>90.188437132577448</v>
      </c>
      <c r="O218" s="97">
        <f t="shared" si="223"/>
        <v>90.642556930366879</v>
      </c>
      <c r="P218" s="97">
        <f t="shared" si="223"/>
        <v>90.326735510856054</v>
      </c>
      <c r="Q218" s="97">
        <f t="shared" si="223"/>
        <v>88.930958539382345</v>
      </c>
      <c r="R218" s="97">
        <f t="shared" si="223"/>
        <v>90.989251125402802</v>
      </c>
      <c r="S218" s="97">
        <f t="shared" si="223"/>
        <v>89.576099465415652</v>
      </c>
      <c r="T218" s="97">
        <f t="shared" si="223"/>
        <v>88.926105237083846</v>
      </c>
      <c r="U218" s="97">
        <f t="shared" si="223"/>
        <v>88.870922052674189</v>
      </c>
      <c r="V218" s="97">
        <f t="shared" si="223"/>
        <v>84.534314705200259</v>
      </c>
      <c r="W218" s="97">
        <f t="shared" si="223"/>
        <v>87.402469060534855</v>
      </c>
      <c r="X218" s="97">
        <f t="shared" si="223"/>
        <v>83.921188444955433</v>
      </c>
      <c r="Y218" s="97">
        <f t="shared" si="223"/>
        <v>82.783521491766152</v>
      </c>
      <c r="DA218" s="175" t="s">
        <v>437</v>
      </c>
    </row>
    <row r="219" spans="1:105" ht="11.45" customHeight="1" x14ac:dyDescent="0.25">
      <c r="A219" s="128" t="str">
        <f>$A$7</f>
        <v>Passenger cars</v>
      </c>
      <c r="B219" s="97">
        <f t="shared" ref="B219:Y219" si="224">IF(B7=0,0,B67/B7*1000)</f>
        <v>154.57678996171285</v>
      </c>
      <c r="C219" s="97">
        <f t="shared" si="224"/>
        <v>156.18597588994945</v>
      </c>
      <c r="D219" s="97">
        <f t="shared" si="224"/>
        <v>159.628138278493</v>
      </c>
      <c r="E219" s="97">
        <f t="shared" si="224"/>
        <v>163.22459884981069</v>
      </c>
      <c r="F219" s="97">
        <f t="shared" si="224"/>
        <v>163.96227911285848</v>
      </c>
      <c r="G219" s="97">
        <f t="shared" si="224"/>
        <v>144.48831347522878</v>
      </c>
      <c r="H219" s="97">
        <f t="shared" si="224"/>
        <v>150.10563008251955</v>
      </c>
      <c r="I219" s="97">
        <f t="shared" si="224"/>
        <v>148.49974096451817</v>
      </c>
      <c r="J219" s="97">
        <f t="shared" si="224"/>
        <v>143.50485939281378</v>
      </c>
      <c r="K219" s="97">
        <f t="shared" si="224"/>
        <v>138.05157479580478</v>
      </c>
      <c r="L219" s="97">
        <f t="shared" si="224"/>
        <v>137.65484413438801</v>
      </c>
      <c r="M219" s="97">
        <f t="shared" si="224"/>
        <v>132.57445961167383</v>
      </c>
      <c r="N219" s="97">
        <f t="shared" si="224"/>
        <v>125.28995503585627</v>
      </c>
      <c r="O219" s="97">
        <f t="shared" si="224"/>
        <v>131.61281154502623</v>
      </c>
      <c r="P219" s="97">
        <f t="shared" si="224"/>
        <v>141.05799135812697</v>
      </c>
      <c r="Q219" s="97">
        <f t="shared" si="224"/>
        <v>137.81834577956636</v>
      </c>
      <c r="R219" s="97">
        <f t="shared" si="224"/>
        <v>131.76684100066058</v>
      </c>
      <c r="S219" s="97">
        <f t="shared" si="224"/>
        <v>141.43393945738791</v>
      </c>
      <c r="T219" s="97">
        <f t="shared" si="224"/>
        <v>138.73818123800663</v>
      </c>
      <c r="U219" s="97">
        <f t="shared" si="224"/>
        <v>142.00565371730943</v>
      </c>
      <c r="V219" s="97">
        <f t="shared" si="224"/>
        <v>152.03379875198681</v>
      </c>
      <c r="W219" s="97">
        <f t="shared" si="224"/>
        <v>143.76193184303725</v>
      </c>
      <c r="X219" s="97">
        <f t="shared" si="224"/>
        <v>137.17132554982567</v>
      </c>
      <c r="Y219" s="97">
        <f t="shared" si="224"/>
        <v>131.55223686353429</v>
      </c>
      <c r="DA219" s="175" t="s">
        <v>438</v>
      </c>
    </row>
    <row r="220" spans="1:105" ht="11.45" customHeight="1" x14ac:dyDescent="0.25">
      <c r="A220" s="128" t="str">
        <f>$A$8</f>
        <v>Motor coaches, buses and trolley buses</v>
      </c>
      <c r="B220" s="97">
        <f t="shared" ref="B220:Y220" si="225">IF(B8=0,0,B68/B8*1000)</f>
        <v>72.59822515030146</v>
      </c>
      <c r="C220" s="97">
        <f t="shared" si="225"/>
        <v>70.173230140804336</v>
      </c>
      <c r="D220" s="97">
        <f t="shared" si="225"/>
        <v>71.285415160096875</v>
      </c>
      <c r="E220" s="97">
        <f t="shared" si="225"/>
        <v>71.842668136893479</v>
      </c>
      <c r="F220" s="97">
        <f t="shared" si="225"/>
        <v>67.836102347453107</v>
      </c>
      <c r="G220" s="97">
        <f t="shared" si="225"/>
        <v>67.341896542489678</v>
      </c>
      <c r="H220" s="97">
        <f t="shared" si="225"/>
        <v>75.716546798873239</v>
      </c>
      <c r="I220" s="97">
        <f t="shared" si="225"/>
        <v>64.505283761888322</v>
      </c>
      <c r="J220" s="97">
        <f t="shared" si="225"/>
        <v>61.637083460385725</v>
      </c>
      <c r="K220" s="97">
        <f t="shared" si="225"/>
        <v>63.807447507339994</v>
      </c>
      <c r="L220" s="97">
        <f t="shared" si="225"/>
        <v>69.535710664618009</v>
      </c>
      <c r="M220" s="97">
        <f t="shared" si="225"/>
        <v>62.250863854217954</v>
      </c>
      <c r="N220" s="97">
        <f t="shared" si="225"/>
        <v>60.719845000742225</v>
      </c>
      <c r="O220" s="97">
        <f t="shared" si="225"/>
        <v>61.388620277105971</v>
      </c>
      <c r="P220" s="97">
        <f t="shared" si="225"/>
        <v>82.536230842147418</v>
      </c>
      <c r="Q220" s="97">
        <f t="shared" si="225"/>
        <v>70.428034295706141</v>
      </c>
      <c r="R220" s="97">
        <f t="shared" si="225"/>
        <v>68.849127434169233</v>
      </c>
      <c r="S220" s="97">
        <f t="shared" si="225"/>
        <v>68.518168288492021</v>
      </c>
      <c r="T220" s="97">
        <f t="shared" si="225"/>
        <v>64.38234886772544</v>
      </c>
      <c r="U220" s="97">
        <f t="shared" si="225"/>
        <v>63.717049895541194</v>
      </c>
      <c r="V220" s="97">
        <f t="shared" si="225"/>
        <v>78.907035449786378</v>
      </c>
      <c r="W220" s="97">
        <f t="shared" si="225"/>
        <v>63.999287190266898</v>
      </c>
      <c r="X220" s="97">
        <f t="shared" si="225"/>
        <v>56.966160721704739</v>
      </c>
      <c r="Y220" s="97">
        <f t="shared" si="225"/>
        <v>56.099337625752959</v>
      </c>
      <c r="DA220" s="175" t="s">
        <v>439</v>
      </c>
    </row>
    <row r="221" spans="1:105" ht="11.45" customHeight="1" x14ac:dyDescent="0.25">
      <c r="A221" s="109" t="str">
        <f>$A$9</f>
        <v>Rail, metro and tram</v>
      </c>
      <c r="B221" s="130">
        <f t="shared" ref="B221:Y221" si="226">IF(B9=0,0,B69/B9*1000)</f>
        <v>39.651089408330833</v>
      </c>
      <c r="C221" s="130">
        <f t="shared" si="226"/>
        <v>40.438587772762546</v>
      </c>
      <c r="D221" s="130">
        <f t="shared" si="226"/>
        <v>40.930730594053905</v>
      </c>
      <c r="E221" s="130">
        <f t="shared" si="226"/>
        <v>50.834368822975925</v>
      </c>
      <c r="F221" s="130">
        <f t="shared" si="226"/>
        <v>62.487626874090481</v>
      </c>
      <c r="G221" s="130">
        <f t="shared" si="226"/>
        <v>66.434462743463925</v>
      </c>
      <c r="H221" s="130">
        <f t="shared" si="226"/>
        <v>53.582457153266539</v>
      </c>
      <c r="I221" s="130">
        <f t="shared" si="226"/>
        <v>60.656578597488533</v>
      </c>
      <c r="J221" s="130">
        <f t="shared" si="226"/>
        <v>52.62732798973358</v>
      </c>
      <c r="K221" s="130">
        <f t="shared" si="226"/>
        <v>44.054074843777549</v>
      </c>
      <c r="L221" s="130">
        <f t="shared" si="226"/>
        <v>41.598891545732769</v>
      </c>
      <c r="M221" s="130">
        <f t="shared" si="226"/>
        <v>40.646811001478319</v>
      </c>
      <c r="N221" s="130">
        <f t="shared" si="226"/>
        <v>46.480372544492425</v>
      </c>
      <c r="O221" s="130">
        <f t="shared" si="226"/>
        <v>5.0039269574992673</v>
      </c>
      <c r="P221" s="130">
        <f t="shared" si="226"/>
        <v>4.5437383044685911</v>
      </c>
      <c r="Q221" s="130">
        <f t="shared" si="226"/>
        <v>5.7962265363137915</v>
      </c>
      <c r="R221" s="130">
        <f t="shared" si="226"/>
        <v>5.442767042207219</v>
      </c>
      <c r="S221" s="130">
        <f t="shared" si="226"/>
        <v>3.7007954374068879</v>
      </c>
      <c r="T221" s="130">
        <f t="shared" si="226"/>
        <v>3.2878343661022424</v>
      </c>
      <c r="U221" s="130">
        <f t="shared" si="226"/>
        <v>2.8907730861551837</v>
      </c>
      <c r="V221" s="130">
        <f t="shared" si="226"/>
        <v>4.2529519336871413</v>
      </c>
      <c r="W221" s="130">
        <f t="shared" si="226"/>
        <v>4.6913260896068794</v>
      </c>
      <c r="X221" s="130">
        <f t="shared" si="226"/>
        <v>2.7834689465462046</v>
      </c>
      <c r="Y221" s="130">
        <f t="shared" si="226"/>
        <v>2.1118009208142259</v>
      </c>
      <c r="DA221" s="176" t="s">
        <v>440</v>
      </c>
    </row>
    <row r="222" spans="1:105" ht="11.45" customHeight="1" x14ac:dyDescent="0.25">
      <c r="A222" s="128" t="str">
        <f>$A$10</f>
        <v>Metro and tram, urban light rail</v>
      </c>
      <c r="B222" s="97">
        <f t="shared" ref="B222:Y222" si="227">IF(B10=0,0,B70/B10*1000)</f>
        <v>0</v>
      </c>
      <c r="C222" s="97">
        <f t="shared" si="227"/>
        <v>0</v>
      </c>
      <c r="D222" s="97">
        <f t="shared" si="227"/>
        <v>0</v>
      </c>
      <c r="E222" s="97">
        <f t="shared" si="227"/>
        <v>0</v>
      </c>
      <c r="F222" s="97">
        <f t="shared" si="227"/>
        <v>0</v>
      </c>
      <c r="G222" s="97">
        <f t="shared" si="227"/>
        <v>0</v>
      </c>
      <c r="H222" s="97">
        <f t="shared" si="227"/>
        <v>0</v>
      </c>
      <c r="I222" s="97">
        <f t="shared" si="227"/>
        <v>0</v>
      </c>
      <c r="J222" s="97">
        <f t="shared" si="227"/>
        <v>0</v>
      </c>
      <c r="K222" s="97">
        <f t="shared" si="227"/>
        <v>0</v>
      </c>
      <c r="L222" s="97">
        <f t="shared" si="227"/>
        <v>0</v>
      </c>
      <c r="M222" s="97">
        <f t="shared" si="227"/>
        <v>0</v>
      </c>
      <c r="N222" s="97">
        <f t="shared" si="227"/>
        <v>0</v>
      </c>
      <c r="O222" s="97">
        <f t="shared" si="227"/>
        <v>0</v>
      </c>
      <c r="P222" s="97">
        <f t="shared" si="227"/>
        <v>0</v>
      </c>
      <c r="Q222" s="97">
        <f t="shared" si="227"/>
        <v>0</v>
      </c>
      <c r="R222" s="97">
        <f t="shared" si="227"/>
        <v>0</v>
      </c>
      <c r="S222" s="97">
        <f t="shared" si="227"/>
        <v>0</v>
      </c>
      <c r="T222" s="97">
        <f t="shared" si="227"/>
        <v>0</v>
      </c>
      <c r="U222" s="97">
        <f t="shared" si="227"/>
        <v>0</v>
      </c>
      <c r="V222" s="97">
        <f t="shared" si="227"/>
        <v>0</v>
      </c>
      <c r="W222" s="97">
        <f t="shared" si="227"/>
        <v>0</v>
      </c>
      <c r="X222" s="97">
        <f t="shared" si="227"/>
        <v>0</v>
      </c>
      <c r="Y222" s="97">
        <f t="shared" si="227"/>
        <v>0</v>
      </c>
      <c r="DA222" s="175" t="s">
        <v>441</v>
      </c>
    </row>
    <row r="223" spans="1:105" ht="11.45" customHeight="1" x14ac:dyDescent="0.25">
      <c r="A223" s="128" t="str">
        <f>$A$11</f>
        <v>Conventional passenger trains</v>
      </c>
      <c r="B223" s="97">
        <f t="shared" ref="B223:Y223" si="228">IF(B11=0,0,B71/B11*1000)</f>
        <v>55.274516132676993</v>
      </c>
      <c r="C223" s="97">
        <f t="shared" si="228"/>
        <v>56.434161636054093</v>
      </c>
      <c r="D223" s="97">
        <f t="shared" si="228"/>
        <v>57.451431681438464</v>
      </c>
      <c r="E223" s="97">
        <f t="shared" si="228"/>
        <v>71.133517043543335</v>
      </c>
      <c r="F223" s="97">
        <f t="shared" si="228"/>
        <v>89.410469227087759</v>
      </c>
      <c r="G223" s="97">
        <f t="shared" si="228"/>
        <v>95.087336726707136</v>
      </c>
      <c r="H223" s="97">
        <f t="shared" si="228"/>
        <v>78.145684754905687</v>
      </c>
      <c r="I223" s="97">
        <f t="shared" si="228"/>
        <v>88.968229505799812</v>
      </c>
      <c r="J223" s="97">
        <f t="shared" si="228"/>
        <v>86.741429001362789</v>
      </c>
      <c r="K223" s="97">
        <f t="shared" si="228"/>
        <v>111.38310816008216</v>
      </c>
      <c r="L223" s="97">
        <f t="shared" si="228"/>
        <v>116.36109641582595</v>
      </c>
      <c r="M223" s="97">
        <f t="shared" si="228"/>
        <v>106.94603391664471</v>
      </c>
      <c r="N223" s="97">
        <f t="shared" si="228"/>
        <v>122.55819906016536</v>
      </c>
      <c r="O223" s="97">
        <f t="shared" si="228"/>
        <v>13.936099689067975</v>
      </c>
      <c r="P223" s="97">
        <f t="shared" si="228"/>
        <v>11.91961932106879</v>
      </c>
      <c r="Q223" s="97">
        <f t="shared" si="228"/>
        <v>16.088304170831055</v>
      </c>
      <c r="R223" s="97">
        <f t="shared" si="228"/>
        <v>16.011000525397819</v>
      </c>
      <c r="S223" s="97">
        <f t="shared" si="228"/>
        <v>10.877143343422578</v>
      </c>
      <c r="T223" s="97">
        <f t="shared" si="228"/>
        <v>9.9350684534693254</v>
      </c>
      <c r="U223" s="97">
        <f t="shared" si="228"/>
        <v>8.331291300148937</v>
      </c>
      <c r="V223" s="97">
        <f t="shared" si="228"/>
        <v>10.751641809850158</v>
      </c>
      <c r="W223" s="97">
        <f t="shared" si="228"/>
        <v>9.8567267419182016</v>
      </c>
      <c r="X223" s="97">
        <f t="shared" si="228"/>
        <v>5.4201092786893863</v>
      </c>
      <c r="Y223" s="97">
        <f t="shared" si="228"/>
        <v>3.6492884368303153</v>
      </c>
      <c r="DA223" s="175" t="s">
        <v>442</v>
      </c>
    </row>
    <row r="224" spans="1:105" ht="11.45" customHeight="1" x14ac:dyDescent="0.25">
      <c r="A224" s="128" t="str">
        <f>$A$12</f>
        <v>High speed passenger trains</v>
      </c>
      <c r="B224" s="97">
        <f t="shared" ref="B224:Y224" si="229">IF(B12=0,0,B72/B12*1000)</f>
        <v>0</v>
      </c>
      <c r="C224" s="97">
        <f t="shared" si="229"/>
        <v>0</v>
      </c>
      <c r="D224" s="97">
        <f t="shared" si="229"/>
        <v>0</v>
      </c>
      <c r="E224" s="97">
        <f t="shared" si="229"/>
        <v>0</v>
      </c>
      <c r="F224" s="97">
        <f t="shared" si="229"/>
        <v>0</v>
      </c>
      <c r="G224" s="97">
        <f t="shared" si="229"/>
        <v>0</v>
      </c>
      <c r="H224" s="97">
        <f t="shared" si="229"/>
        <v>0</v>
      </c>
      <c r="I224" s="97">
        <f t="shared" si="229"/>
        <v>0</v>
      </c>
      <c r="J224" s="97">
        <f t="shared" si="229"/>
        <v>0</v>
      </c>
      <c r="K224" s="97">
        <f t="shared" si="229"/>
        <v>0</v>
      </c>
      <c r="L224" s="97">
        <f t="shared" si="229"/>
        <v>0</v>
      </c>
      <c r="M224" s="97">
        <f t="shared" si="229"/>
        <v>0</v>
      </c>
      <c r="N224" s="97">
        <f t="shared" si="229"/>
        <v>0</v>
      </c>
      <c r="O224" s="97">
        <f t="shared" si="229"/>
        <v>0</v>
      </c>
      <c r="P224" s="97">
        <f t="shared" si="229"/>
        <v>0</v>
      </c>
      <c r="Q224" s="97">
        <f t="shared" si="229"/>
        <v>0</v>
      </c>
      <c r="R224" s="97">
        <f t="shared" si="229"/>
        <v>0</v>
      </c>
      <c r="S224" s="97">
        <f t="shared" si="229"/>
        <v>0</v>
      </c>
      <c r="T224" s="97">
        <f t="shared" si="229"/>
        <v>0</v>
      </c>
      <c r="U224" s="97">
        <f t="shared" si="229"/>
        <v>0</v>
      </c>
      <c r="V224" s="97">
        <f t="shared" si="229"/>
        <v>0</v>
      </c>
      <c r="W224" s="97">
        <f t="shared" si="229"/>
        <v>0</v>
      </c>
      <c r="X224" s="97">
        <f t="shared" si="229"/>
        <v>0</v>
      </c>
      <c r="Y224" s="97">
        <f t="shared" si="229"/>
        <v>0</v>
      </c>
      <c r="DA224" s="175" t="s">
        <v>443</v>
      </c>
    </row>
    <row r="225" spans="1:105" ht="11.45" customHeight="1" x14ac:dyDescent="0.25">
      <c r="A225" s="109" t="str">
        <f>$A$13</f>
        <v>Aviation</v>
      </c>
      <c r="B225" s="130">
        <f t="shared" ref="B225:Y225" si="230">IF(B13=0,0,B73/B13*1000)</f>
        <v>99.546441371338972</v>
      </c>
      <c r="C225" s="130">
        <f t="shared" si="230"/>
        <v>106.2217711654194</v>
      </c>
      <c r="D225" s="130">
        <f t="shared" si="230"/>
        <v>103.12593325783978</v>
      </c>
      <c r="E225" s="130">
        <f t="shared" si="230"/>
        <v>104.23488977128376</v>
      </c>
      <c r="F225" s="130">
        <f t="shared" si="230"/>
        <v>104.62575389229636</v>
      </c>
      <c r="G225" s="130">
        <f t="shared" si="230"/>
        <v>103.63741181279289</v>
      </c>
      <c r="H225" s="130">
        <f t="shared" si="230"/>
        <v>104.68631626961862</v>
      </c>
      <c r="I225" s="130">
        <f t="shared" si="230"/>
        <v>102.66705038147907</v>
      </c>
      <c r="J225" s="130">
        <f t="shared" si="230"/>
        <v>100.56879964805228</v>
      </c>
      <c r="K225" s="130">
        <f t="shared" si="230"/>
        <v>99.823813159889511</v>
      </c>
      <c r="L225" s="130">
        <f t="shared" si="230"/>
        <v>97.305966779014895</v>
      </c>
      <c r="M225" s="130">
        <f t="shared" si="230"/>
        <v>94.971584521867953</v>
      </c>
      <c r="N225" s="130">
        <f t="shared" si="230"/>
        <v>91.860601408276878</v>
      </c>
      <c r="O225" s="130">
        <f t="shared" si="230"/>
        <v>87.053412698617691</v>
      </c>
      <c r="P225" s="130">
        <f t="shared" si="230"/>
        <v>86.588000033606662</v>
      </c>
      <c r="Q225" s="130">
        <f t="shared" si="230"/>
        <v>89.063937469386602</v>
      </c>
      <c r="R225" s="130">
        <f t="shared" si="230"/>
        <v>85.356869748585126</v>
      </c>
      <c r="S225" s="130">
        <f t="shared" si="230"/>
        <v>85.88033863608922</v>
      </c>
      <c r="T225" s="130">
        <f t="shared" si="230"/>
        <v>85.097238096564922</v>
      </c>
      <c r="U225" s="130">
        <f t="shared" si="230"/>
        <v>84.758758332495916</v>
      </c>
      <c r="V225" s="130">
        <f t="shared" si="230"/>
        <v>111.1994182989576</v>
      </c>
      <c r="W225" s="130">
        <f t="shared" si="230"/>
        <v>105.78786436357358</v>
      </c>
      <c r="X225" s="130">
        <f t="shared" si="230"/>
        <v>81.793501206215254</v>
      </c>
      <c r="Y225" s="130">
        <f t="shared" si="230"/>
        <v>76.216079996043518</v>
      </c>
      <c r="DA225" s="176" t="s">
        <v>344</v>
      </c>
    </row>
    <row r="226" spans="1:105" ht="11.45" customHeight="1" x14ac:dyDescent="0.25">
      <c r="A226" s="128" t="str">
        <f>$A$14</f>
        <v>Domestic</v>
      </c>
      <c r="B226" s="97">
        <f t="shared" ref="B226:Y226" si="231">IF(B14=0,0,B74/B14*1000)</f>
        <v>215.48224590794052</v>
      </c>
      <c r="C226" s="97">
        <f t="shared" si="231"/>
        <v>232.08444399786595</v>
      </c>
      <c r="D226" s="97">
        <f t="shared" si="231"/>
        <v>218.7185325224271</v>
      </c>
      <c r="E226" s="97">
        <f t="shared" si="231"/>
        <v>213.31887119958961</v>
      </c>
      <c r="F226" s="97">
        <f t="shared" si="231"/>
        <v>211.26367882715326</v>
      </c>
      <c r="G226" s="97">
        <f t="shared" si="231"/>
        <v>219.97358486262718</v>
      </c>
      <c r="H226" s="97">
        <f t="shared" si="231"/>
        <v>218.11399662692401</v>
      </c>
      <c r="I226" s="97">
        <f t="shared" si="231"/>
        <v>212.49614849438962</v>
      </c>
      <c r="J226" s="97">
        <f t="shared" si="231"/>
        <v>224.17240438955074</v>
      </c>
      <c r="K226" s="97">
        <f t="shared" si="231"/>
        <v>218.7044998212902</v>
      </c>
      <c r="L226" s="97">
        <f t="shared" si="231"/>
        <v>237.52421491355585</v>
      </c>
      <c r="M226" s="97">
        <f t="shared" si="231"/>
        <v>212.17594027202981</v>
      </c>
      <c r="N226" s="97">
        <f t="shared" si="231"/>
        <v>210.78478773869784</v>
      </c>
      <c r="O226" s="97">
        <f t="shared" si="231"/>
        <v>206.78432430325523</v>
      </c>
      <c r="P226" s="97">
        <f t="shared" si="231"/>
        <v>218.30193682240443</v>
      </c>
      <c r="Q226" s="97">
        <f t="shared" si="231"/>
        <v>222.44546094882318</v>
      </c>
      <c r="R226" s="97">
        <f t="shared" si="231"/>
        <v>221.27621696282108</v>
      </c>
      <c r="S226" s="97">
        <f t="shared" si="231"/>
        <v>223.61136945625904</v>
      </c>
      <c r="T226" s="97">
        <f t="shared" si="231"/>
        <v>210.25159116789419</v>
      </c>
      <c r="U226" s="97">
        <f t="shared" si="231"/>
        <v>209.70634456722041</v>
      </c>
      <c r="V226" s="97">
        <f t="shared" si="231"/>
        <v>223.2519040119528</v>
      </c>
      <c r="W226" s="97">
        <f t="shared" si="231"/>
        <v>231.62883206668508</v>
      </c>
      <c r="X226" s="97">
        <f t="shared" si="231"/>
        <v>215.19290918734828</v>
      </c>
      <c r="Y226" s="97">
        <f t="shared" si="231"/>
        <v>203.18441437431539</v>
      </c>
      <c r="DA226" s="175" t="s">
        <v>345</v>
      </c>
    </row>
    <row r="227" spans="1:105" ht="11.45" customHeight="1" x14ac:dyDescent="0.25">
      <c r="A227" s="128" t="str">
        <f>$A$15</f>
        <v>International - Intra-EEAwCHUK</v>
      </c>
      <c r="B227" s="97">
        <f t="shared" ref="B227:Y227" si="232">IF(B15=0,0,B75/B15*1000)</f>
        <v>60.692434194798999</v>
      </c>
      <c r="C227" s="97">
        <f t="shared" si="232"/>
        <v>67.760168582218995</v>
      </c>
      <c r="D227" s="97">
        <f t="shared" si="232"/>
        <v>62.346453337083638</v>
      </c>
      <c r="E227" s="97">
        <f t="shared" si="232"/>
        <v>72.69690916090245</v>
      </c>
      <c r="F227" s="97">
        <f t="shared" si="232"/>
        <v>72.937205723657598</v>
      </c>
      <c r="G227" s="97">
        <f t="shared" si="232"/>
        <v>70.145321212680869</v>
      </c>
      <c r="H227" s="97">
        <f t="shared" si="232"/>
        <v>73.511811267907248</v>
      </c>
      <c r="I227" s="97">
        <f t="shared" si="232"/>
        <v>74.130991152500698</v>
      </c>
      <c r="J227" s="97">
        <f t="shared" si="232"/>
        <v>73.535037457878957</v>
      </c>
      <c r="K227" s="97">
        <f t="shared" si="232"/>
        <v>73.308137329204897</v>
      </c>
      <c r="L227" s="97">
        <f t="shared" si="232"/>
        <v>67.157912175577863</v>
      </c>
      <c r="M227" s="97">
        <f t="shared" si="232"/>
        <v>72.673664000286593</v>
      </c>
      <c r="N227" s="97">
        <f t="shared" si="232"/>
        <v>71.547238286332203</v>
      </c>
      <c r="O227" s="97">
        <f t="shared" si="232"/>
        <v>69.757385027198652</v>
      </c>
      <c r="P227" s="97">
        <f t="shared" si="232"/>
        <v>68.078138305210359</v>
      </c>
      <c r="Q227" s="97">
        <f t="shared" si="232"/>
        <v>69.852451981858664</v>
      </c>
      <c r="R227" s="97">
        <f t="shared" si="232"/>
        <v>66.93360735844216</v>
      </c>
      <c r="S227" s="97">
        <f t="shared" si="232"/>
        <v>68.681235562611036</v>
      </c>
      <c r="T227" s="97">
        <f t="shared" si="232"/>
        <v>69.921560246808397</v>
      </c>
      <c r="U227" s="97">
        <f t="shared" si="232"/>
        <v>70.91098734488223</v>
      </c>
      <c r="V227" s="97">
        <f t="shared" si="232"/>
        <v>75.613366080385148</v>
      </c>
      <c r="W227" s="97">
        <f t="shared" si="232"/>
        <v>63.469080276931543</v>
      </c>
      <c r="X227" s="97">
        <f t="shared" si="232"/>
        <v>61.35578722720755</v>
      </c>
      <c r="Y227" s="97">
        <f t="shared" si="232"/>
        <v>61.509848711916305</v>
      </c>
      <c r="DA227" s="175" t="s">
        <v>346</v>
      </c>
    </row>
    <row r="228" spans="1:105" ht="11.45" customHeight="1" x14ac:dyDescent="0.25">
      <c r="A228" s="128" t="str">
        <f>$A$16</f>
        <v>International - Extra-EEAwCHUK</v>
      </c>
      <c r="B228" s="97">
        <f t="shared" ref="B228:Y228" si="233">IF(B16=0,0,B76/B16*1000)</f>
        <v>110.74262395980453</v>
      </c>
      <c r="C228" s="97">
        <f t="shared" si="233"/>
        <v>120.04422630888084</v>
      </c>
      <c r="D228" s="97">
        <f t="shared" si="233"/>
        <v>134.4503704873419</v>
      </c>
      <c r="E228" s="97">
        <f t="shared" si="233"/>
        <v>103.09469351267859</v>
      </c>
      <c r="F228" s="97">
        <f t="shared" si="233"/>
        <v>101.28655815548825</v>
      </c>
      <c r="G228" s="97">
        <f t="shared" si="233"/>
        <v>89.796554212210395</v>
      </c>
      <c r="H228" s="97">
        <f t="shared" si="233"/>
        <v>82.80950407354797</v>
      </c>
      <c r="I228" s="97">
        <f t="shared" si="233"/>
        <v>76.023629141879667</v>
      </c>
      <c r="J228" s="97">
        <f t="shared" si="233"/>
        <v>70.653499692531341</v>
      </c>
      <c r="K228" s="97">
        <f t="shared" si="233"/>
        <v>73.370123369397376</v>
      </c>
      <c r="L228" s="97">
        <f t="shared" si="233"/>
        <v>65.841868820785422</v>
      </c>
      <c r="M228" s="97">
        <f t="shared" si="233"/>
        <v>70.193440656355321</v>
      </c>
      <c r="N228" s="97">
        <f t="shared" si="233"/>
        <v>71.025533689702925</v>
      </c>
      <c r="O228" s="97">
        <f t="shared" si="233"/>
        <v>69.182216490537371</v>
      </c>
      <c r="P228" s="97">
        <f t="shared" si="233"/>
        <v>67.945068091411386</v>
      </c>
      <c r="Q228" s="97">
        <f t="shared" si="233"/>
        <v>69.270276882074938</v>
      </c>
      <c r="R228" s="97">
        <f t="shared" si="233"/>
        <v>63.90275029007843</v>
      </c>
      <c r="S228" s="97">
        <f t="shared" si="233"/>
        <v>61.155903595209324</v>
      </c>
      <c r="T228" s="97">
        <f t="shared" si="233"/>
        <v>58.607617188921239</v>
      </c>
      <c r="U228" s="97">
        <f t="shared" si="233"/>
        <v>55.39372735686306</v>
      </c>
      <c r="V228" s="97">
        <f t="shared" si="233"/>
        <v>101.66996220998641</v>
      </c>
      <c r="W228" s="97">
        <f t="shared" si="233"/>
        <v>86.086605377246542</v>
      </c>
      <c r="X228" s="97">
        <f t="shared" si="233"/>
        <v>48.506666661052762</v>
      </c>
      <c r="Y228" s="97">
        <f t="shared" si="233"/>
        <v>42.650158723414471</v>
      </c>
      <c r="DA228" s="175" t="s">
        <v>347</v>
      </c>
    </row>
    <row r="229" spans="1:105" ht="11.45" customHeight="1" x14ac:dyDescent="0.25">
      <c r="A229" s="27" t="s">
        <v>159</v>
      </c>
      <c r="B229" s="32">
        <f t="shared" ref="B229:Y229" si="234">IF(B17=0,0,B77/B17*1000)</f>
        <v>195.39004996297922</v>
      </c>
      <c r="C229" s="32">
        <f t="shared" si="234"/>
        <v>198.61353284862105</v>
      </c>
      <c r="D229" s="32">
        <f t="shared" si="234"/>
        <v>183.76668790936247</v>
      </c>
      <c r="E229" s="32">
        <f t="shared" si="234"/>
        <v>185.77157652447963</v>
      </c>
      <c r="F229" s="32">
        <f t="shared" si="234"/>
        <v>175.75276332322764</v>
      </c>
      <c r="G229" s="32">
        <f t="shared" si="234"/>
        <v>166.4455342510721</v>
      </c>
      <c r="H229" s="32">
        <f t="shared" si="234"/>
        <v>164.90599339777887</v>
      </c>
      <c r="I229" s="32">
        <f t="shared" si="234"/>
        <v>157.57809599426005</v>
      </c>
      <c r="J229" s="32">
        <f t="shared" si="234"/>
        <v>155.90829686905758</v>
      </c>
      <c r="K229" s="32">
        <f t="shared" si="234"/>
        <v>152.7290695867373</v>
      </c>
      <c r="L229" s="32">
        <f t="shared" si="234"/>
        <v>149.09351820253664</v>
      </c>
      <c r="M229" s="32">
        <f t="shared" si="234"/>
        <v>137.11382560008155</v>
      </c>
      <c r="N229" s="32">
        <f t="shared" si="234"/>
        <v>125.96285534020471</v>
      </c>
      <c r="O229" s="32">
        <f t="shared" si="234"/>
        <v>124.90748843346088</v>
      </c>
      <c r="P229" s="32">
        <f t="shared" si="234"/>
        <v>121.55612191535587</v>
      </c>
      <c r="Q229" s="32">
        <f t="shared" si="234"/>
        <v>121.08978878738237</v>
      </c>
      <c r="R229" s="32">
        <f t="shared" si="234"/>
        <v>128.45254796774452</v>
      </c>
      <c r="S229" s="32">
        <f t="shared" si="234"/>
        <v>131.45806130477209</v>
      </c>
      <c r="T229" s="32">
        <f t="shared" si="234"/>
        <v>130.02404147620197</v>
      </c>
      <c r="U229" s="32">
        <f t="shared" si="234"/>
        <v>121.64774583084466</v>
      </c>
      <c r="V229" s="32">
        <f t="shared" si="234"/>
        <v>108.62464234440195</v>
      </c>
      <c r="W229" s="32">
        <f t="shared" si="234"/>
        <v>108.75856801561577</v>
      </c>
      <c r="X229" s="32">
        <f t="shared" si="234"/>
        <v>114.35038664031696</v>
      </c>
      <c r="Y229" s="32">
        <f t="shared" si="234"/>
        <v>106.11070804715526</v>
      </c>
      <c r="DA229" s="173" t="s">
        <v>444</v>
      </c>
    </row>
    <row r="230" spans="1:105" ht="11.45" customHeight="1" x14ac:dyDescent="0.25">
      <c r="A230" s="136" t="str">
        <f>$A$18</f>
        <v>Road transport</v>
      </c>
      <c r="B230" s="141">
        <f t="shared" ref="B230:Y230" si="235">IF(B18=0,0,B78/B18*1000)</f>
        <v>192.76147413487419</v>
      </c>
      <c r="C230" s="141">
        <f t="shared" si="235"/>
        <v>196.57439102840354</v>
      </c>
      <c r="D230" s="141">
        <f t="shared" si="235"/>
        <v>178.20370717451513</v>
      </c>
      <c r="E230" s="141">
        <f t="shared" si="235"/>
        <v>177.73580160531728</v>
      </c>
      <c r="F230" s="141">
        <f t="shared" si="235"/>
        <v>166.69343193063534</v>
      </c>
      <c r="G230" s="141">
        <f t="shared" si="235"/>
        <v>158.05249537031199</v>
      </c>
      <c r="H230" s="141">
        <f t="shared" si="235"/>
        <v>154.91749772598243</v>
      </c>
      <c r="I230" s="141">
        <f t="shared" si="235"/>
        <v>149.15516043390653</v>
      </c>
      <c r="J230" s="141">
        <f t="shared" si="235"/>
        <v>147.73424226324511</v>
      </c>
      <c r="K230" s="141">
        <f t="shared" si="235"/>
        <v>143.44437329510052</v>
      </c>
      <c r="L230" s="141">
        <f t="shared" si="235"/>
        <v>140.71299995358859</v>
      </c>
      <c r="M230" s="141">
        <f t="shared" si="235"/>
        <v>133.55851024978884</v>
      </c>
      <c r="N230" s="141">
        <f t="shared" si="235"/>
        <v>119.55937716346611</v>
      </c>
      <c r="O230" s="141">
        <f t="shared" si="235"/>
        <v>126.32756566589454</v>
      </c>
      <c r="P230" s="141">
        <f t="shared" si="235"/>
        <v>126.9601337681586</v>
      </c>
      <c r="Q230" s="141">
        <f t="shared" si="235"/>
        <v>125.42728476612471</v>
      </c>
      <c r="R230" s="141">
        <f t="shared" si="235"/>
        <v>130.69122049435285</v>
      </c>
      <c r="S230" s="141">
        <f t="shared" si="235"/>
        <v>127.79459738774577</v>
      </c>
      <c r="T230" s="141">
        <f t="shared" si="235"/>
        <v>126.60397401408468</v>
      </c>
      <c r="U230" s="141">
        <f t="shared" si="235"/>
        <v>117.09192139505632</v>
      </c>
      <c r="V230" s="141">
        <f t="shared" si="235"/>
        <v>104.04844498657587</v>
      </c>
      <c r="W230" s="141">
        <f t="shared" si="235"/>
        <v>104.27777386177587</v>
      </c>
      <c r="X230" s="141">
        <f t="shared" si="235"/>
        <v>108.63158744278046</v>
      </c>
      <c r="Y230" s="141">
        <f t="shared" si="235"/>
        <v>102.15691410843961</v>
      </c>
      <c r="DA230" s="174" t="s">
        <v>445</v>
      </c>
    </row>
    <row r="231" spans="1:105" ht="11.45" customHeight="1" x14ac:dyDescent="0.25">
      <c r="A231" s="128" t="str">
        <f>$A$19</f>
        <v>Light commercial vehicles</v>
      </c>
      <c r="B231" s="97">
        <f t="shared" ref="B231:Y231" si="236">IF(B19=0,0,B79/B19*1000)</f>
        <v>1069.528939742258</v>
      </c>
      <c r="C231" s="97">
        <f t="shared" si="236"/>
        <v>1065.2449986104223</v>
      </c>
      <c r="D231" s="97">
        <f t="shared" si="236"/>
        <v>1024.2655586359526</v>
      </c>
      <c r="E231" s="97">
        <f t="shared" si="236"/>
        <v>991.20448543366479</v>
      </c>
      <c r="F231" s="97">
        <f t="shared" si="236"/>
        <v>938.77437045929446</v>
      </c>
      <c r="G231" s="97">
        <f t="shared" si="236"/>
        <v>889.16958781004598</v>
      </c>
      <c r="H231" s="97">
        <f t="shared" si="236"/>
        <v>873.62103334918834</v>
      </c>
      <c r="I231" s="97">
        <f t="shared" si="236"/>
        <v>820.57191542046098</v>
      </c>
      <c r="J231" s="97">
        <f t="shared" si="236"/>
        <v>789.0223574428361</v>
      </c>
      <c r="K231" s="97">
        <f t="shared" si="236"/>
        <v>740.24549480623386</v>
      </c>
      <c r="L231" s="97">
        <f t="shared" si="236"/>
        <v>722.65638342652744</v>
      </c>
      <c r="M231" s="97">
        <f t="shared" si="236"/>
        <v>711.47684545604397</v>
      </c>
      <c r="N231" s="97">
        <f t="shared" si="236"/>
        <v>692.2345552408317</v>
      </c>
      <c r="O231" s="97">
        <f t="shared" si="236"/>
        <v>735.86596948181477</v>
      </c>
      <c r="P231" s="97">
        <f t="shared" si="236"/>
        <v>720.97438854282723</v>
      </c>
      <c r="Q231" s="97">
        <f t="shared" si="236"/>
        <v>708.75538327565062</v>
      </c>
      <c r="R231" s="97">
        <f t="shared" si="236"/>
        <v>698.44358326519773</v>
      </c>
      <c r="S231" s="97">
        <f t="shared" si="236"/>
        <v>697.26325215008171</v>
      </c>
      <c r="T231" s="97">
        <f t="shared" si="236"/>
        <v>681.76562588616491</v>
      </c>
      <c r="U231" s="97">
        <f t="shared" si="236"/>
        <v>680.11967780184614</v>
      </c>
      <c r="V231" s="97">
        <f t="shared" si="236"/>
        <v>658.65080791646096</v>
      </c>
      <c r="W231" s="97">
        <f t="shared" si="236"/>
        <v>676.6030610312182</v>
      </c>
      <c r="X231" s="97">
        <f t="shared" si="236"/>
        <v>687.37551658915106</v>
      </c>
      <c r="Y231" s="97">
        <f t="shared" si="236"/>
        <v>663.98735858088708</v>
      </c>
      <c r="DA231" s="175" t="s">
        <v>446</v>
      </c>
    </row>
    <row r="232" spans="1:105" ht="11.45" customHeight="1" x14ac:dyDescent="0.25">
      <c r="A232" s="128" t="str">
        <f>$A$20</f>
        <v>Heavy goods vehicles</v>
      </c>
      <c r="B232" s="97">
        <f t="shared" ref="B232:Y232" si="237">IF(B20=0,0,B80/B20*1000)</f>
        <v>142.64450608609795</v>
      </c>
      <c r="C232" s="97">
        <f t="shared" si="237"/>
        <v>140.93564075408466</v>
      </c>
      <c r="D232" s="97">
        <f t="shared" si="237"/>
        <v>132.91651948173572</v>
      </c>
      <c r="E232" s="97">
        <f t="shared" si="237"/>
        <v>133.04023425810476</v>
      </c>
      <c r="F232" s="97">
        <f t="shared" si="237"/>
        <v>126.69520821769922</v>
      </c>
      <c r="G232" s="97">
        <f t="shared" si="237"/>
        <v>124.04602090884777</v>
      </c>
      <c r="H232" s="97">
        <f t="shared" si="237"/>
        <v>120.99955722403502</v>
      </c>
      <c r="I232" s="97">
        <f t="shared" si="237"/>
        <v>114.64088846632487</v>
      </c>
      <c r="J232" s="97">
        <f t="shared" si="237"/>
        <v>114.49421865164642</v>
      </c>
      <c r="K232" s="97">
        <f t="shared" si="237"/>
        <v>112.28701065279863</v>
      </c>
      <c r="L232" s="97">
        <f t="shared" si="237"/>
        <v>109.68095935745255</v>
      </c>
      <c r="M232" s="97">
        <f t="shared" si="237"/>
        <v>102.64529936214089</v>
      </c>
      <c r="N232" s="97">
        <f t="shared" si="237"/>
        <v>89.606031031527152</v>
      </c>
      <c r="O232" s="97">
        <f t="shared" si="237"/>
        <v>93.918330703057705</v>
      </c>
      <c r="P232" s="97">
        <f t="shared" si="237"/>
        <v>95.854147088573114</v>
      </c>
      <c r="Q232" s="97">
        <f t="shared" si="237"/>
        <v>95.254103120778197</v>
      </c>
      <c r="R232" s="97">
        <f t="shared" si="237"/>
        <v>103.61195460762673</v>
      </c>
      <c r="S232" s="97">
        <f t="shared" si="237"/>
        <v>100.44962054471328</v>
      </c>
      <c r="T232" s="97">
        <f t="shared" si="237"/>
        <v>100.08068904124795</v>
      </c>
      <c r="U232" s="97">
        <f t="shared" si="237"/>
        <v>91.152765955875665</v>
      </c>
      <c r="V232" s="97">
        <f t="shared" si="237"/>
        <v>86.307881442264005</v>
      </c>
      <c r="W232" s="97">
        <f t="shared" si="237"/>
        <v>80.861734962654722</v>
      </c>
      <c r="X232" s="97">
        <f t="shared" si="237"/>
        <v>83.04114207146668</v>
      </c>
      <c r="Y232" s="97">
        <f t="shared" si="237"/>
        <v>77.160495780706114</v>
      </c>
      <c r="DA232" s="175" t="s">
        <v>447</v>
      </c>
    </row>
    <row r="233" spans="1:105" ht="11.45" customHeight="1" x14ac:dyDescent="0.25">
      <c r="A233" s="109" t="str">
        <f>$A$21</f>
        <v>Rail transport</v>
      </c>
      <c r="B233" s="130">
        <f t="shared" ref="B233:Y233" si="238">IF(B21=0,0,B81/B21*1000)</f>
        <v>44.044238576371129</v>
      </c>
      <c r="C233" s="130">
        <f t="shared" si="238"/>
        <v>47.551837870666255</v>
      </c>
      <c r="D233" s="130">
        <f t="shared" si="238"/>
        <v>42.375037539170918</v>
      </c>
      <c r="E233" s="130">
        <f t="shared" si="238"/>
        <v>34.811899423763002</v>
      </c>
      <c r="F233" s="130">
        <f t="shared" si="238"/>
        <v>32.912794608802429</v>
      </c>
      <c r="G233" s="130">
        <f t="shared" si="238"/>
        <v>33.565105040531051</v>
      </c>
      <c r="H233" s="130">
        <f t="shared" si="238"/>
        <v>39.758657727821728</v>
      </c>
      <c r="I233" s="130">
        <f t="shared" si="238"/>
        <v>55.883033504562313</v>
      </c>
      <c r="J233" s="130">
        <f t="shared" si="238"/>
        <v>58.594417515341114</v>
      </c>
      <c r="K233" s="130">
        <f t="shared" si="238"/>
        <v>78.93566164513507</v>
      </c>
      <c r="L233" s="130">
        <f t="shared" si="238"/>
        <v>81.41720879138488</v>
      </c>
      <c r="M233" s="130">
        <f t="shared" si="238"/>
        <v>41.084451667328366</v>
      </c>
      <c r="N233" s="130">
        <f t="shared" si="238"/>
        <v>42.917695929286474</v>
      </c>
      <c r="O233" s="130">
        <f t="shared" si="238"/>
        <v>10.474125657949592</v>
      </c>
      <c r="P233" s="130">
        <f t="shared" si="238"/>
        <v>9.8325358863737105</v>
      </c>
      <c r="Q233" s="130">
        <f t="shared" si="238"/>
        <v>7.3225374243567751</v>
      </c>
      <c r="R233" s="130">
        <f t="shared" si="238"/>
        <v>5.9361289781567139</v>
      </c>
      <c r="S233" s="130">
        <f t="shared" si="238"/>
        <v>10.909126176810238</v>
      </c>
      <c r="T233" s="130">
        <f t="shared" si="238"/>
        <v>12.16675481624865</v>
      </c>
      <c r="U233" s="130">
        <f t="shared" si="238"/>
        <v>14.159637941110853</v>
      </c>
      <c r="V233" s="130">
        <f t="shared" si="238"/>
        <v>13.299641188862852</v>
      </c>
      <c r="W233" s="130">
        <f t="shared" si="238"/>
        <v>6.4571202524444802</v>
      </c>
      <c r="X233" s="130">
        <f t="shared" si="238"/>
        <v>6.4712934581616084</v>
      </c>
      <c r="Y233" s="130">
        <f t="shared" si="238"/>
        <v>5.604169693013243</v>
      </c>
      <c r="DA233" s="176" t="s">
        <v>448</v>
      </c>
    </row>
    <row r="234" spans="1:105" ht="11.45" customHeight="1" x14ac:dyDescent="0.25">
      <c r="A234" s="109" t="str">
        <f>$A$22</f>
        <v>Aviation</v>
      </c>
      <c r="B234" s="130">
        <f t="shared" ref="B234:Y234" si="239">IF(B22=0,0,B82/B22*1000)</f>
        <v>385.69433435287101</v>
      </c>
      <c r="C234" s="130">
        <f t="shared" si="239"/>
        <v>406.05478532477309</v>
      </c>
      <c r="D234" s="130">
        <f t="shared" si="239"/>
        <v>392.14063919927986</v>
      </c>
      <c r="E234" s="130">
        <f t="shared" si="239"/>
        <v>428.31789103853339</v>
      </c>
      <c r="F234" s="130">
        <f t="shared" si="239"/>
        <v>453.8943476381063</v>
      </c>
      <c r="G234" s="130">
        <f t="shared" si="239"/>
        <v>462.19198594511801</v>
      </c>
      <c r="H234" s="130">
        <f t="shared" si="239"/>
        <v>449.06021412855097</v>
      </c>
      <c r="I234" s="130">
        <f t="shared" si="239"/>
        <v>397.64145783288728</v>
      </c>
      <c r="J234" s="130">
        <f t="shared" si="239"/>
        <v>376.51921837009581</v>
      </c>
      <c r="K234" s="130">
        <f t="shared" si="239"/>
        <v>336.96957026275783</v>
      </c>
      <c r="L234" s="130">
        <f t="shared" si="239"/>
        <v>287.40031676847286</v>
      </c>
      <c r="M234" s="130">
        <f t="shared" si="239"/>
        <v>262.95142809605045</v>
      </c>
      <c r="N234" s="130">
        <f t="shared" si="239"/>
        <v>241.55105809719214</v>
      </c>
      <c r="O234" s="130">
        <f t="shared" si="239"/>
        <v>231.47592542549111</v>
      </c>
      <c r="P234" s="130">
        <f t="shared" si="239"/>
        <v>205.49076265813102</v>
      </c>
      <c r="Q234" s="130">
        <f t="shared" si="239"/>
        <v>210.026142738576</v>
      </c>
      <c r="R234" s="130">
        <f t="shared" si="239"/>
        <v>187.2561853863528</v>
      </c>
      <c r="S234" s="130">
        <f t="shared" si="239"/>
        <v>186.0291276852839</v>
      </c>
      <c r="T234" s="130">
        <f t="shared" si="239"/>
        <v>174.83691429474956</v>
      </c>
      <c r="U234" s="130">
        <f t="shared" si="239"/>
        <v>160.00869377428484</v>
      </c>
      <c r="V234" s="130">
        <f t="shared" si="239"/>
        <v>275.72136548049548</v>
      </c>
      <c r="W234" s="130">
        <f t="shared" si="239"/>
        <v>222.07768170672085</v>
      </c>
      <c r="X234" s="130">
        <f t="shared" si="239"/>
        <v>173.24973389571318</v>
      </c>
      <c r="Y234" s="130">
        <f t="shared" si="239"/>
        <v>154.393900351089</v>
      </c>
      <c r="DA234" s="176" t="s">
        <v>348</v>
      </c>
    </row>
    <row r="235" spans="1:105" ht="11.45" customHeight="1" x14ac:dyDescent="0.25">
      <c r="A235" s="128" t="s">
        <v>27</v>
      </c>
      <c r="B235" s="97">
        <f t="shared" ref="B235:Y235" si="240">IF(B23=0,0,B83/B23*1000)</f>
        <v>1587.6499233499123</v>
      </c>
      <c r="C235" s="97">
        <f t="shared" si="240"/>
        <v>1736.9529085448626</v>
      </c>
      <c r="D235" s="97">
        <f t="shared" si="240"/>
        <v>1656.4794709108803</v>
      </c>
      <c r="E235" s="97">
        <f t="shared" si="240"/>
        <v>1599.2959342401323</v>
      </c>
      <c r="F235" s="97">
        <f t="shared" si="240"/>
        <v>1682.6167222398115</v>
      </c>
      <c r="G235" s="97">
        <f t="shared" si="240"/>
        <v>1792.8255326581975</v>
      </c>
      <c r="H235" s="97">
        <f t="shared" si="240"/>
        <v>1849.6747389956588</v>
      </c>
      <c r="I235" s="97">
        <f t="shared" si="240"/>
        <v>1830.4661877019728</v>
      </c>
      <c r="J235" s="97">
        <f t="shared" si="240"/>
        <v>1903.2581546835268</v>
      </c>
      <c r="K235" s="97">
        <f t="shared" si="240"/>
        <v>1881.2817310645096</v>
      </c>
      <c r="L235" s="97">
        <f t="shared" si="240"/>
        <v>1978.7117718083211</v>
      </c>
      <c r="M235" s="97">
        <f t="shared" si="240"/>
        <v>1664.0716738736517</v>
      </c>
      <c r="N235" s="97">
        <f t="shared" si="240"/>
        <v>1703.2381980850234</v>
      </c>
      <c r="O235" s="97">
        <f t="shared" si="240"/>
        <v>1671.3374259412872</v>
      </c>
      <c r="P235" s="97">
        <f t="shared" si="240"/>
        <v>1563.4509557808692</v>
      </c>
      <c r="Q235" s="97">
        <f t="shared" si="240"/>
        <v>1590.7857065575477</v>
      </c>
      <c r="R235" s="97">
        <f t="shared" si="240"/>
        <v>1439.8505669811516</v>
      </c>
      <c r="S235" s="97">
        <f t="shared" si="240"/>
        <v>1613.3620207461624</v>
      </c>
      <c r="T235" s="97">
        <f t="shared" si="240"/>
        <v>1465.1950483876783</v>
      </c>
      <c r="U235" s="97">
        <f t="shared" si="240"/>
        <v>1339.5046774179345</v>
      </c>
      <c r="V235" s="97">
        <f t="shared" si="240"/>
        <v>1275.9565596716602</v>
      </c>
      <c r="W235" s="97">
        <f t="shared" si="240"/>
        <v>1563.4277993947883</v>
      </c>
      <c r="X235" s="97">
        <f t="shared" si="240"/>
        <v>2062.7433993674481</v>
      </c>
      <c r="Y235" s="97">
        <f t="shared" si="240"/>
        <v>1967.7706687774332</v>
      </c>
      <c r="DA235" s="175" t="s">
        <v>349</v>
      </c>
    </row>
    <row r="236" spans="1:105" ht="11.45" customHeight="1" x14ac:dyDescent="0.25">
      <c r="A236" s="128" t="str">
        <f>$A$24</f>
        <v>International - Intra-EEAwCHUK</v>
      </c>
      <c r="B236" s="97">
        <f t="shared" ref="B236:Y236" si="241">IF(B24=0,0,B84/B24*1000)</f>
        <v>342.54639638136115</v>
      </c>
      <c r="C236" s="97">
        <f t="shared" si="241"/>
        <v>365.2079773280467</v>
      </c>
      <c r="D236" s="97">
        <f t="shared" si="241"/>
        <v>339.42476156446719</v>
      </c>
      <c r="E236" s="97">
        <f t="shared" si="241"/>
        <v>388.8000012253579</v>
      </c>
      <c r="F236" s="97">
        <f t="shared" si="241"/>
        <v>421.62632047022828</v>
      </c>
      <c r="G236" s="97">
        <f t="shared" si="241"/>
        <v>412.45246350818547</v>
      </c>
      <c r="H236" s="97">
        <f t="shared" si="241"/>
        <v>494.80311357139539</v>
      </c>
      <c r="I236" s="97">
        <f t="shared" si="241"/>
        <v>491.74235049292901</v>
      </c>
      <c r="J236" s="97">
        <f t="shared" si="241"/>
        <v>499.00302660625164</v>
      </c>
      <c r="K236" s="97">
        <f t="shared" si="241"/>
        <v>500.90426952522984</v>
      </c>
      <c r="L236" s="97">
        <f t="shared" si="241"/>
        <v>452.05888759412909</v>
      </c>
      <c r="M236" s="97">
        <f t="shared" si="241"/>
        <v>472.20826041173171</v>
      </c>
      <c r="N236" s="97">
        <f t="shared" si="241"/>
        <v>442.35594662962188</v>
      </c>
      <c r="O236" s="97">
        <f t="shared" si="241"/>
        <v>429.52407701682637</v>
      </c>
      <c r="P236" s="97">
        <f t="shared" si="241"/>
        <v>356.03276394786508</v>
      </c>
      <c r="Q236" s="97">
        <f t="shared" si="241"/>
        <v>373.78637479659898</v>
      </c>
      <c r="R236" s="97">
        <f t="shared" si="241"/>
        <v>334.22193344984595</v>
      </c>
      <c r="S236" s="97">
        <f t="shared" si="241"/>
        <v>371.52290095375105</v>
      </c>
      <c r="T236" s="97">
        <f t="shared" si="241"/>
        <v>373.8873992303092</v>
      </c>
      <c r="U236" s="97">
        <f t="shared" si="241"/>
        <v>366.31213840933646</v>
      </c>
      <c r="V236" s="97">
        <f t="shared" si="241"/>
        <v>365.59446419436978</v>
      </c>
      <c r="W236" s="97">
        <f t="shared" si="241"/>
        <v>322.62703417270291</v>
      </c>
      <c r="X236" s="97">
        <f t="shared" si="241"/>
        <v>367.12386053175999</v>
      </c>
      <c r="Y236" s="97">
        <f t="shared" si="241"/>
        <v>394.80871333787513</v>
      </c>
      <c r="DA236" s="175" t="s">
        <v>350</v>
      </c>
    </row>
    <row r="237" spans="1:105" ht="11.45" customHeight="1" x14ac:dyDescent="0.25">
      <c r="A237" s="128" t="str">
        <f>$A$25</f>
        <v>International - Extra-EEAwCHUK</v>
      </c>
      <c r="B237" s="97">
        <f t="shared" ref="B237:Y237" si="242">IF(B25=0,0,B85/B25*1000)</f>
        <v>203.69858055593127</v>
      </c>
      <c r="C237" s="97">
        <f t="shared" si="242"/>
        <v>217.44658364940292</v>
      </c>
      <c r="D237" s="97">
        <f t="shared" si="242"/>
        <v>201.78580925599863</v>
      </c>
      <c r="E237" s="97">
        <f t="shared" si="242"/>
        <v>257.8885277972077</v>
      </c>
      <c r="F237" s="97">
        <f t="shared" si="242"/>
        <v>260.9212063454433</v>
      </c>
      <c r="G237" s="97">
        <f t="shared" si="242"/>
        <v>245.76883356518638</v>
      </c>
      <c r="H237" s="97">
        <f t="shared" si="242"/>
        <v>224.84790177876815</v>
      </c>
      <c r="I237" s="97">
        <f t="shared" si="242"/>
        <v>202.81950994464381</v>
      </c>
      <c r="J237" s="97">
        <f t="shared" si="242"/>
        <v>191.4614043580471</v>
      </c>
      <c r="K237" s="97">
        <f t="shared" si="242"/>
        <v>176.45806600326046</v>
      </c>
      <c r="L237" s="97">
        <f t="shared" si="242"/>
        <v>157.5751207556153</v>
      </c>
      <c r="M237" s="97">
        <f t="shared" si="242"/>
        <v>161.43164768365932</v>
      </c>
      <c r="N237" s="97">
        <f t="shared" si="242"/>
        <v>148.36023230233783</v>
      </c>
      <c r="O237" s="97">
        <f t="shared" si="242"/>
        <v>143.97607074120765</v>
      </c>
      <c r="P237" s="97">
        <f t="shared" si="242"/>
        <v>130.27380877929781</v>
      </c>
      <c r="Q237" s="97">
        <f t="shared" si="242"/>
        <v>141.07864183712141</v>
      </c>
      <c r="R237" s="97">
        <f t="shared" si="242"/>
        <v>127.10622889216913</v>
      </c>
      <c r="S237" s="97">
        <f t="shared" si="242"/>
        <v>130.14875404239382</v>
      </c>
      <c r="T237" s="97">
        <f t="shared" si="242"/>
        <v>129.17038519690442</v>
      </c>
      <c r="U237" s="97">
        <f t="shared" si="242"/>
        <v>115.80601371351388</v>
      </c>
      <c r="V237" s="97">
        <f t="shared" si="242"/>
        <v>226.23900334873366</v>
      </c>
      <c r="W237" s="97">
        <f t="shared" si="242"/>
        <v>172.15701055209459</v>
      </c>
      <c r="X237" s="97">
        <f t="shared" si="242"/>
        <v>126.95021819389105</v>
      </c>
      <c r="Y237" s="97">
        <f t="shared" si="242"/>
        <v>118.50498777337098</v>
      </c>
      <c r="DA237" s="175" t="s">
        <v>351</v>
      </c>
    </row>
    <row r="238" spans="1:105" ht="11.45" customHeight="1" x14ac:dyDescent="0.25">
      <c r="A238" s="109" t="s">
        <v>141</v>
      </c>
      <c r="B238" s="130">
        <f t="shared" ref="B238:Y238" si="243">IF(B26=0,0,B86/B26*1000)</f>
        <v>368.97658951839554</v>
      </c>
      <c r="C238" s="130">
        <f t="shared" si="243"/>
        <v>366.79597079085312</v>
      </c>
      <c r="D238" s="130">
        <f t="shared" si="243"/>
        <v>435.92934430392455</v>
      </c>
      <c r="E238" s="130">
        <f t="shared" si="243"/>
        <v>527.35218323249148</v>
      </c>
      <c r="F238" s="130">
        <f t="shared" si="243"/>
        <v>539.6470143110414</v>
      </c>
      <c r="G238" s="130">
        <f t="shared" si="243"/>
        <v>472.07215308811169</v>
      </c>
      <c r="H238" s="130">
        <f t="shared" si="243"/>
        <v>485.59421090023716</v>
      </c>
      <c r="I238" s="130">
        <f t="shared" si="243"/>
        <v>457.43031710648125</v>
      </c>
      <c r="J238" s="130">
        <f t="shared" si="243"/>
        <v>447.27689461147622</v>
      </c>
      <c r="K238" s="130">
        <f t="shared" si="243"/>
        <v>437.45358234370343</v>
      </c>
      <c r="L238" s="130">
        <f t="shared" si="243"/>
        <v>393.74269629921821</v>
      </c>
      <c r="M238" s="130">
        <f t="shared" si="243"/>
        <v>300.70103021991235</v>
      </c>
      <c r="N238" s="130">
        <f t="shared" si="243"/>
        <v>372.49751086658404</v>
      </c>
      <c r="O238" s="130">
        <f t="shared" si="243"/>
        <v>218.75071380134713</v>
      </c>
      <c r="P238" s="130">
        <f t="shared" si="243"/>
        <v>133.60088731830146</v>
      </c>
      <c r="Q238" s="130">
        <f t="shared" si="243"/>
        <v>155.11224876245635</v>
      </c>
      <c r="R238" s="130">
        <f t="shared" si="243"/>
        <v>208.36424283483333</v>
      </c>
      <c r="S238" s="130">
        <f t="shared" si="243"/>
        <v>356.60177076755576</v>
      </c>
      <c r="T238" s="130">
        <f t="shared" si="243"/>
        <v>323.69345083271452</v>
      </c>
      <c r="U238" s="130">
        <f t="shared" si="243"/>
        <v>328.11234685152124</v>
      </c>
      <c r="V238" s="130">
        <f t="shared" si="243"/>
        <v>304.58297526450696</v>
      </c>
      <c r="W238" s="130">
        <f t="shared" si="243"/>
        <v>341.05552013769591</v>
      </c>
      <c r="X238" s="130">
        <f t="shared" si="243"/>
        <v>362.67220644836499</v>
      </c>
      <c r="Y238" s="130">
        <f t="shared" si="243"/>
        <v>290.0464219835024</v>
      </c>
      <c r="DA238" s="176" t="s">
        <v>449</v>
      </c>
    </row>
    <row r="239" spans="1:105" ht="11.45" customHeight="1" x14ac:dyDescent="0.25">
      <c r="A239" s="128" t="str">
        <f>$A$27</f>
        <v>Domestic coastal shipping</v>
      </c>
      <c r="B239" s="97">
        <f t="shared" ref="B239:Y239" si="244">IF(B27=0,0,B87/B27*1000)</f>
        <v>368.97658951839554</v>
      </c>
      <c r="C239" s="97">
        <f t="shared" si="244"/>
        <v>366.79597079085312</v>
      </c>
      <c r="D239" s="97">
        <f t="shared" si="244"/>
        <v>435.92934430392455</v>
      </c>
      <c r="E239" s="97">
        <f t="shared" si="244"/>
        <v>527.35218323249148</v>
      </c>
      <c r="F239" s="97">
        <f t="shared" si="244"/>
        <v>539.6470143110414</v>
      </c>
      <c r="G239" s="97">
        <f t="shared" si="244"/>
        <v>472.07215308811169</v>
      </c>
      <c r="H239" s="97">
        <f t="shared" si="244"/>
        <v>485.59421090023716</v>
      </c>
      <c r="I239" s="97">
        <f t="shared" si="244"/>
        <v>457.43031710648125</v>
      </c>
      <c r="J239" s="97">
        <f t="shared" si="244"/>
        <v>447.27689461147622</v>
      </c>
      <c r="K239" s="97">
        <f t="shared" si="244"/>
        <v>437.45358234370343</v>
      </c>
      <c r="L239" s="97">
        <f t="shared" si="244"/>
        <v>393.74269629921821</v>
      </c>
      <c r="M239" s="97">
        <f t="shared" si="244"/>
        <v>300.70103021991235</v>
      </c>
      <c r="N239" s="97">
        <f t="shared" si="244"/>
        <v>372.49751086658404</v>
      </c>
      <c r="O239" s="97">
        <f t="shared" si="244"/>
        <v>218.75071380134713</v>
      </c>
      <c r="P239" s="97">
        <f t="shared" si="244"/>
        <v>133.60088731830146</v>
      </c>
      <c r="Q239" s="97">
        <f t="shared" si="244"/>
        <v>155.11224876245635</v>
      </c>
      <c r="R239" s="97">
        <f t="shared" si="244"/>
        <v>208.36424283483333</v>
      </c>
      <c r="S239" s="97">
        <f t="shared" si="244"/>
        <v>356.60177076755576</v>
      </c>
      <c r="T239" s="97">
        <f t="shared" si="244"/>
        <v>323.69345083271452</v>
      </c>
      <c r="U239" s="97">
        <f t="shared" si="244"/>
        <v>328.11234685152124</v>
      </c>
      <c r="V239" s="97">
        <f t="shared" si="244"/>
        <v>304.58297526450696</v>
      </c>
      <c r="W239" s="97">
        <f t="shared" si="244"/>
        <v>341.05552013769591</v>
      </c>
      <c r="X239" s="97">
        <f t="shared" si="244"/>
        <v>362.67220644836499</v>
      </c>
      <c r="Y239" s="97">
        <f t="shared" si="244"/>
        <v>290.0464219835024</v>
      </c>
      <c r="DA239" s="175" t="s">
        <v>450</v>
      </c>
    </row>
    <row r="240" spans="1:105" ht="11.45" customHeight="1" x14ac:dyDescent="0.25">
      <c r="A240" s="138" t="str">
        <f>$A$28</f>
        <v>Inland waterways</v>
      </c>
      <c r="B240" s="98">
        <f t="shared" ref="B240:Y240" si="245">IF(B28=0,0,B88/B28*1000)</f>
        <v>0</v>
      </c>
      <c r="C240" s="98">
        <f t="shared" si="245"/>
        <v>0</v>
      </c>
      <c r="D240" s="98">
        <f t="shared" si="245"/>
        <v>0</v>
      </c>
      <c r="E240" s="98">
        <f t="shared" si="245"/>
        <v>0</v>
      </c>
      <c r="F240" s="98">
        <f t="shared" si="245"/>
        <v>0</v>
      </c>
      <c r="G240" s="98">
        <f t="shared" si="245"/>
        <v>0</v>
      </c>
      <c r="H240" s="98">
        <f t="shared" si="245"/>
        <v>0</v>
      </c>
      <c r="I240" s="98">
        <f t="shared" si="245"/>
        <v>0</v>
      </c>
      <c r="J240" s="98">
        <f t="shared" si="245"/>
        <v>0</v>
      </c>
      <c r="K240" s="98">
        <f t="shared" si="245"/>
        <v>0</v>
      </c>
      <c r="L240" s="98">
        <f t="shared" si="245"/>
        <v>0</v>
      </c>
      <c r="M240" s="98">
        <f t="shared" si="245"/>
        <v>0</v>
      </c>
      <c r="N240" s="98">
        <f t="shared" si="245"/>
        <v>0</v>
      </c>
      <c r="O240" s="98">
        <f t="shared" si="245"/>
        <v>0</v>
      </c>
      <c r="P240" s="98">
        <f t="shared" si="245"/>
        <v>0</v>
      </c>
      <c r="Q240" s="98">
        <f t="shared" si="245"/>
        <v>0</v>
      </c>
      <c r="R240" s="98">
        <f t="shared" si="245"/>
        <v>0</v>
      </c>
      <c r="S240" s="98">
        <f t="shared" si="245"/>
        <v>0</v>
      </c>
      <c r="T240" s="98">
        <f t="shared" si="245"/>
        <v>0</v>
      </c>
      <c r="U240" s="98">
        <f t="shared" si="245"/>
        <v>0</v>
      </c>
      <c r="V240" s="98">
        <f t="shared" si="245"/>
        <v>0</v>
      </c>
      <c r="W240" s="98">
        <f t="shared" si="245"/>
        <v>0</v>
      </c>
      <c r="X240" s="98">
        <f t="shared" si="245"/>
        <v>0</v>
      </c>
      <c r="Y240" s="98">
        <f t="shared" si="245"/>
        <v>0</v>
      </c>
      <c r="DA240" s="178" t="s">
        <v>451</v>
      </c>
    </row>
    <row r="241" spans="1:105" ht="11.45" customHeight="1" x14ac:dyDescent="0.25">
      <c r="A241" s="27" t="s">
        <v>172</v>
      </c>
      <c r="B241" s="32">
        <f t="shared" ref="B241:Y241" si="246">IF(B29=0,0,B89/B29*1000)</f>
        <v>31.70397912540486</v>
      </c>
      <c r="C241" s="32">
        <f t="shared" si="246"/>
        <v>29.539774122266103</v>
      </c>
      <c r="D241" s="32">
        <f t="shared" si="246"/>
        <v>28.523059871355894</v>
      </c>
      <c r="E241" s="32">
        <f t="shared" si="246"/>
        <v>27.464885760981726</v>
      </c>
      <c r="F241" s="32">
        <f t="shared" si="246"/>
        <v>25.255717995856763</v>
      </c>
      <c r="G241" s="32">
        <f t="shared" si="246"/>
        <v>25.049374660723004</v>
      </c>
      <c r="H241" s="32">
        <f t="shared" si="246"/>
        <v>24.327304653359313</v>
      </c>
      <c r="I241" s="32">
        <f t="shared" si="246"/>
        <v>22.930290215284678</v>
      </c>
      <c r="J241" s="32">
        <f t="shared" si="246"/>
        <v>24.867943594340044</v>
      </c>
      <c r="K241" s="32">
        <f t="shared" si="246"/>
        <v>30.112951259781163</v>
      </c>
      <c r="L241" s="32">
        <f t="shared" si="246"/>
        <v>28.262221203502911</v>
      </c>
      <c r="M241" s="32">
        <f t="shared" si="246"/>
        <v>26.045226814530512</v>
      </c>
      <c r="N241" s="32">
        <f t="shared" si="246"/>
        <v>24.384555796863356</v>
      </c>
      <c r="O241" s="32">
        <f t="shared" si="246"/>
        <v>22.803601297840309</v>
      </c>
      <c r="P241" s="32">
        <f t="shared" si="246"/>
        <v>24.107348747394489</v>
      </c>
      <c r="Q241" s="32">
        <f t="shared" si="246"/>
        <v>24.217492053039084</v>
      </c>
      <c r="R241" s="32">
        <f t="shared" si="246"/>
        <v>24.262280546167933</v>
      </c>
      <c r="S241" s="32">
        <f t="shared" si="246"/>
        <v>20.451409408116735</v>
      </c>
      <c r="T241" s="32">
        <f t="shared" si="246"/>
        <v>19.988593425641827</v>
      </c>
      <c r="U241" s="32">
        <f t="shared" si="246"/>
        <v>18.626865487089386</v>
      </c>
      <c r="V241" s="32">
        <f t="shared" si="246"/>
        <v>17.800767508340904</v>
      </c>
      <c r="W241" s="32">
        <f t="shared" si="246"/>
        <v>19.655082049003948</v>
      </c>
      <c r="X241" s="32">
        <f t="shared" si="246"/>
        <v>21.87362369120331</v>
      </c>
      <c r="Y241" s="32">
        <f t="shared" si="246"/>
        <v>21.532655784480436</v>
      </c>
      <c r="DA241" s="173" t="s">
        <v>452</v>
      </c>
    </row>
    <row r="242" spans="1:105" ht="11.45" customHeight="1" x14ac:dyDescent="0.25">
      <c r="A242" s="128" t="str">
        <f>$A$30</f>
        <v>Intra-EEA</v>
      </c>
      <c r="B242" s="97">
        <f t="shared" ref="B242:Y242" si="247">IF(B30=0,0,B90/B30*1000)</f>
        <v>86.45303640698026</v>
      </c>
      <c r="C242" s="97">
        <f t="shared" si="247"/>
        <v>82.875913210334573</v>
      </c>
      <c r="D242" s="97">
        <f t="shared" si="247"/>
        <v>80.532093794391855</v>
      </c>
      <c r="E242" s="97">
        <f t="shared" si="247"/>
        <v>77.397870181898568</v>
      </c>
      <c r="F242" s="97">
        <f t="shared" si="247"/>
        <v>71.616526142765835</v>
      </c>
      <c r="G242" s="97">
        <f t="shared" si="247"/>
        <v>72.852725008062762</v>
      </c>
      <c r="H242" s="97">
        <f t="shared" si="247"/>
        <v>73.914962636554222</v>
      </c>
      <c r="I242" s="97">
        <f t="shared" si="247"/>
        <v>72.328038187784372</v>
      </c>
      <c r="J242" s="97">
        <f t="shared" si="247"/>
        <v>78.98751790065694</v>
      </c>
      <c r="K242" s="97">
        <f t="shared" si="247"/>
        <v>90.729778438978215</v>
      </c>
      <c r="L242" s="97">
        <f t="shared" si="247"/>
        <v>86.208717203366902</v>
      </c>
      <c r="M242" s="97">
        <f t="shared" si="247"/>
        <v>83.360702925606219</v>
      </c>
      <c r="N242" s="97">
        <f t="shared" si="247"/>
        <v>80.010688300683071</v>
      </c>
      <c r="O242" s="97">
        <f t="shared" si="247"/>
        <v>72.152818360400218</v>
      </c>
      <c r="P242" s="97">
        <f t="shared" si="247"/>
        <v>74.285377753533481</v>
      </c>
      <c r="Q242" s="97">
        <f t="shared" si="247"/>
        <v>73.57577632041226</v>
      </c>
      <c r="R242" s="97">
        <f t="shared" si="247"/>
        <v>72.142133862928517</v>
      </c>
      <c r="S242" s="97">
        <f t="shared" si="247"/>
        <v>62.385743906603672</v>
      </c>
      <c r="T242" s="97">
        <f t="shared" si="247"/>
        <v>61.255220933106727</v>
      </c>
      <c r="U242" s="97">
        <f t="shared" si="247"/>
        <v>57.00134449757045</v>
      </c>
      <c r="V242" s="97">
        <f t="shared" si="247"/>
        <v>46.234836678153577</v>
      </c>
      <c r="W242" s="97">
        <f t="shared" si="247"/>
        <v>51.581056389237375</v>
      </c>
      <c r="X242" s="97">
        <f t="shared" si="247"/>
        <v>61.985935258878115</v>
      </c>
      <c r="Y242" s="97">
        <f t="shared" si="247"/>
        <v>60.899558707663196</v>
      </c>
      <c r="DA242" s="175" t="s">
        <v>453</v>
      </c>
    </row>
    <row r="243" spans="1:105" ht="11.45" customHeight="1" x14ac:dyDescent="0.25">
      <c r="A243" s="138" t="str">
        <f>$A$31</f>
        <v>Extra-EEA</v>
      </c>
      <c r="B243" s="98">
        <f t="shared" ref="B243:Y243" si="248">IF(B31=0,0,B91/B31*1000)</f>
        <v>23.299406920474773</v>
      </c>
      <c r="C243" s="98">
        <f t="shared" si="248"/>
        <v>21.78713697765242</v>
      </c>
      <c r="D243" s="98">
        <f t="shared" si="248"/>
        <v>21.128582432094642</v>
      </c>
      <c r="E243" s="98">
        <f t="shared" si="248"/>
        <v>20.398431636610969</v>
      </c>
      <c r="F243" s="98">
        <f t="shared" si="248"/>
        <v>18.716117203570054</v>
      </c>
      <c r="G243" s="98">
        <f t="shared" si="248"/>
        <v>18.650043944662386</v>
      </c>
      <c r="H243" s="98">
        <f t="shared" si="248"/>
        <v>18.419797478210469</v>
      </c>
      <c r="I243" s="98">
        <f t="shared" si="248"/>
        <v>17.592649321708265</v>
      </c>
      <c r="J243" s="98">
        <f t="shared" si="248"/>
        <v>19.098615863310968</v>
      </c>
      <c r="K243" s="98">
        <f t="shared" si="248"/>
        <v>22.609435759526715</v>
      </c>
      <c r="L243" s="98">
        <f t="shared" si="248"/>
        <v>21.177469362808459</v>
      </c>
      <c r="M243" s="98">
        <f t="shared" si="248"/>
        <v>19.655588531990439</v>
      </c>
      <c r="N243" s="98">
        <f t="shared" si="248"/>
        <v>18.478679350778407</v>
      </c>
      <c r="O243" s="98">
        <f t="shared" si="248"/>
        <v>17.044873227658464</v>
      </c>
      <c r="P243" s="98">
        <f t="shared" si="248"/>
        <v>17.81161815393002</v>
      </c>
      <c r="Q243" s="98">
        <f t="shared" si="248"/>
        <v>17.875839843307798</v>
      </c>
      <c r="R243" s="98">
        <f t="shared" si="248"/>
        <v>17.810848009404289</v>
      </c>
      <c r="S243" s="98">
        <f t="shared" si="248"/>
        <v>15.106527040707043</v>
      </c>
      <c r="T243" s="98">
        <f t="shared" si="248"/>
        <v>14.691978490045782</v>
      </c>
      <c r="U243" s="98">
        <f t="shared" si="248"/>
        <v>13.645783854777797</v>
      </c>
      <c r="V243" s="98">
        <f t="shared" si="248"/>
        <v>13.778969294970173</v>
      </c>
      <c r="W243" s="98">
        <f t="shared" si="248"/>
        <v>14.959091151276938</v>
      </c>
      <c r="X243" s="98">
        <f t="shared" si="248"/>
        <v>16.038577748645324</v>
      </c>
      <c r="Y243" s="98">
        <f t="shared" si="248"/>
        <v>15.64407441938857</v>
      </c>
      <c r="DA243" s="178" t="s">
        <v>454</v>
      </c>
    </row>
    <row r="245" spans="1:105" x14ac:dyDescent="0.25">
      <c r="A245" s="18" t="s">
        <v>168</v>
      </c>
    </row>
    <row r="246" spans="1:105" x14ac:dyDescent="0.25">
      <c r="A246" s="18" t="s">
        <v>184</v>
      </c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DA273"/>
  <sheetViews>
    <sheetView showGridLines="0" zoomScaleNormal="10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455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DA2" s="171"/>
    </row>
    <row r="3" spans="1:105" ht="11.45" customHeight="1" x14ac:dyDescent="0.25">
      <c r="A3" s="53" t="s">
        <v>17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DA3" s="172"/>
    </row>
    <row r="4" spans="1:105" ht="11.45" customHeight="1" x14ac:dyDescent="0.25">
      <c r="A4" s="27" t="s">
        <v>18</v>
      </c>
      <c r="B4" s="29">
        <f t="shared" ref="B4:K4" si="0">B5+B6+B13</f>
        <v>363532.00853690819</v>
      </c>
      <c r="C4" s="29">
        <f t="shared" si="0"/>
        <v>370980.77703673177</v>
      </c>
      <c r="D4" s="29">
        <f t="shared" si="0"/>
        <v>375563.264308527</v>
      </c>
      <c r="E4" s="29">
        <f t="shared" si="0"/>
        <v>383125.70415170508</v>
      </c>
      <c r="F4" s="29">
        <f t="shared" si="0"/>
        <v>395161.30496386153</v>
      </c>
      <c r="G4" s="29">
        <f t="shared" si="0"/>
        <v>459111.76157717995</v>
      </c>
      <c r="H4" s="29">
        <f t="shared" si="0"/>
        <v>455344.63808441622</v>
      </c>
      <c r="I4" s="29">
        <f t="shared" si="0"/>
        <v>479777.00759609707</v>
      </c>
      <c r="J4" s="29">
        <f t="shared" si="0"/>
        <v>481767.88985529845</v>
      </c>
      <c r="K4" s="29">
        <f t="shared" si="0"/>
        <v>483402.17220106191</v>
      </c>
      <c r="L4" s="29">
        <f t="shared" ref="L4" si="1">L5+L6+L13</f>
        <v>462604.24657638994</v>
      </c>
      <c r="M4" s="29">
        <f t="shared" ref="M4:V4" si="2">M5+M6+M13</f>
        <v>462696.16785907879</v>
      </c>
      <c r="N4" s="29">
        <f t="shared" si="2"/>
        <v>446512.98570399609</v>
      </c>
      <c r="O4" s="29">
        <f t="shared" si="2"/>
        <v>440408.37851614226</v>
      </c>
      <c r="P4" s="29">
        <f t="shared" si="2"/>
        <v>405683.35826962965</v>
      </c>
      <c r="Q4" s="29">
        <f t="shared" si="2"/>
        <v>429722.85166145209</v>
      </c>
      <c r="R4" s="29">
        <f t="shared" si="2"/>
        <v>448416.70449435007</v>
      </c>
      <c r="S4" s="29">
        <f t="shared" si="2"/>
        <v>415832.30820553831</v>
      </c>
      <c r="T4" s="29">
        <f t="shared" si="2"/>
        <v>426054.55009384407</v>
      </c>
      <c r="U4" s="29">
        <f t="shared" si="2"/>
        <v>430930.73454936192</v>
      </c>
      <c r="V4" s="29">
        <f t="shared" si="2"/>
        <v>321802.23798090656</v>
      </c>
      <c r="W4" s="29">
        <f t="shared" ref="W4:Y4" si="3">W5+W6+W13</f>
        <v>399358.35326299624</v>
      </c>
      <c r="X4" s="29">
        <f t="shared" si="3"/>
        <v>440197.04879494436</v>
      </c>
      <c r="Y4" s="29">
        <f t="shared" si="3"/>
        <v>455843.95990090061</v>
      </c>
      <c r="DA4" s="173" t="s">
        <v>372</v>
      </c>
    </row>
    <row r="5" spans="1:105" ht="11.45" customHeight="1" x14ac:dyDescent="0.25">
      <c r="A5" s="136" t="s">
        <v>173</v>
      </c>
      <c r="B5" s="152">
        <f t="shared" ref="B5:K5" si="4">IF(B32=0,0,B32*B142)</f>
        <v>10643.008536908241</v>
      </c>
      <c r="C5" s="152">
        <f t="shared" si="4"/>
        <v>11313.777036731812</v>
      </c>
      <c r="D5" s="152">
        <f t="shared" si="4"/>
        <v>10510.264308526986</v>
      </c>
      <c r="E5" s="152">
        <f t="shared" si="4"/>
        <v>11988.704151705082</v>
      </c>
      <c r="F5" s="152">
        <f t="shared" si="4"/>
        <v>11511.304963861543</v>
      </c>
      <c r="G5" s="152">
        <f t="shared" si="4"/>
        <v>13339.76157717991</v>
      </c>
      <c r="H5" s="152">
        <f t="shared" si="4"/>
        <v>13525.638084416209</v>
      </c>
      <c r="I5" s="152">
        <f t="shared" si="4"/>
        <v>15531.007596097086</v>
      </c>
      <c r="J5" s="152">
        <f t="shared" si="4"/>
        <v>15517.889855298521</v>
      </c>
      <c r="K5" s="152">
        <f t="shared" si="4"/>
        <v>16167.17220106184</v>
      </c>
      <c r="L5" s="152">
        <f t="shared" ref="L5:L7" si="5">IF(L32=0,0,L32*L142)</f>
        <v>16369.779553373883</v>
      </c>
      <c r="M5" s="152">
        <f t="shared" ref="M5:V5" si="6">IF(M32=0,0,M32*M142)</f>
        <v>15243.167859078809</v>
      </c>
      <c r="N5" s="152">
        <f t="shared" si="6"/>
        <v>14437.985703996143</v>
      </c>
      <c r="O5" s="152">
        <f t="shared" si="6"/>
        <v>14259.857741442283</v>
      </c>
      <c r="P5" s="152">
        <f t="shared" si="6"/>
        <v>15821.161796565651</v>
      </c>
      <c r="Q5" s="152">
        <f t="shared" si="6"/>
        <v>17241.598935795049</v>
      </c>
      <c r="R5" s="152">
        <f t="shared" si="6"/>
        <v>17609.633946949965</v>
      </c>
      <c r="S5" s="152">
        <f t="shared" si="6"/>
        <v>16605.184311753394</v>
      </c>
      <c r="T5" s="152">
        <f t="shared" si="6"/>
        <v>15818.134247731154</v>
      </c>
      <c r="U5" s="152">
        <f t="shared" si="6"/>
        <v>17180.297052982838</v>
      </c>
      <c r="V5" s="152">
        <f t="shared" si="6"/>
        <v>15022.704845274564</v>
      </c>
      <c r="W5" s="152">
        <f t="shared" ref="W5:Y5" si="7">IF(W32=0,0,W32*W142)</f>
        <v>16047.908566998336</v>
      </c>
      <c r="X5" s="152">
        <f t="shared" si="7"/>
        <v>16226.552303246372</v>
      </c>
      <c r="Y5" s="152">
        <f t="shared" si="7"/>
        <v>17542.691871794559</v>
      </c>
      <c r="DA5" s="174" t="s">
        <v>373</v>
      </c>
    </row>
    <row r="6" spans="1:105" ht="11.45" customHeight="1" x14ac:dyDescent="0.25">
      <c r="A6" s="109" t="s">
        <v>20</v>
      </c>
      <c r="B6" s="116">
        <f t="shared" ref="B6:K6" si="8">SUM(B7:B12)</f>
        <v>302610.99999999994</v>
      </c>
      <c r="C6" s="116">
        <f t="shared" si="8"/>
        <v>307954.99999999994</v>
      </c>
      <c r="D6" s="116">
        <f t="shared" si="8"/>
        <v>315000</v>
      </c>
      <c r="E6" s="116">
        <f t="shared" si="8"/>
        <v>321928</v>
      </c>
      <c r="F6" s="116">
        <f t="shared" si="8"/>
        <v>330192</v>
      </c>
      <c r="G6" s="116">
        <f t="shared" si="8"/>
        <v>392596.00000000006</v>
      </c>
      <c r="H6" s="116">
        <f t="shared" si="8"/>
        <v>392450</v>
      </c>
      <c r="I6" s="116">
        <f t="shared" si="8"/>
        <v>405083</v>
      </c>
      <c r="J6" s="116">
        <f t="shared" si="8"/>
        <v>405385.99999999994</v>
      </c>
      <c r="K6" s="116">
        <f t="shared" si="8"/>
        <v>410192.00000000006</v>
      </c>
      <c r="L6" s="116">
        <f t="shared" ref="L6" si="9">SUM(L7:L12)</f>
        <v>395332.46702301607</v>
      </c>
      <c r="M6" s="116">
        <f t="shared" ref="M6:V6" si="10">SUM(M7:M12)</f>
        <v>391711</v>
      </c>
      <c r="N6" s="116">
        <f t="shared" si="10"/>
        <v>377543.99999999994</v>
      </c>
      <c r="O6" s="116">
        <f t="shared" si="10"/>
        <v>372312.52077469998</v>
      </c>
      <c r="P6" s="116">
        <f t="shared" si="10"/>
        <v>350393.19647306402</v>
      </c>
      <c r="Q6" s="116">
        <f t="shared" si="10"/>
        <v>366092.25272565702</v>
      </c>
      <c r="R6" s="116">
        <f t="shared" si="10"/>
        <v>383044.0705474001</v>
      </c>
      <c r="S6" s="116">
        <f t="shared" si="10"/>
        <v>368717.12389378494</v>
      </c>
      <c r="T6" s="116">
        <f t="shared" si="10"/>
        <v>378048.41584611294</v>
      </c>
      <c r="U6" s="116">
        <f t="shared" si="10"/>
        <v>380500.43749637908</v>
      </c>
      <c r="V6" s="116">
        <f t="shared" si="10"/>
        <v>287850.53313563199</v>
      </c>
      <c r="W6" s="116">
        <f t="shared" ref="W6:Y6" si="11">SUM(W7:W12)</f>
        <v>353627.44469599793</v>
      </c>
      <c r="X6" s="116">
        <f t="shared" si="11"/>
        <v>386108.49649169797</v>
      </c>
      <c r="Y6" s="116">
        <f t="shared" si="11"/>
        <v>396151.26802910602</v>
      </c>
      <c r="DA6" s="176" t="s">
        <v>374</v>
      </c>
    </row>
    <row r="7" spans="1:105" ht="11.45" customHeight="1" x14ac:dyDescent="0.25">
      <c r="A7" s="111" t="s">
        <v>110</v>
      </c>
      <c r="B7" s="87">
        <f t="shared" ref="B7:K7" si="12">IF(B34=0,0,B34*B144)</f>
        <v>151400.26381176655</v>
      </c>
      <c r="C7" s="87">
        <f t="shared" si="12"/>
        <v>144409.65481369061</v>
      </c>
      <c r="D7" s="87">
        <f t="shared" si="12"/>
        <v>138399.46603747789</v>
      </c>
      <c r="E7" s="87">
        <f t="shared" si="12"/>
        <v>130151.69432147096</v>
      </c>
      <c r="F7" s="87">
        <f t="shared" si="12"/>
        <v>122931.94469494408</v>
      </c>
      <c r="G7" s="87">
        <f t="shared" si="12"/>
        <v>134687.31176233088</v>
      </c>
      <c r="H7" s="87">
        <f t="shared" si="12"/>
        <v>123788.15341698049</v>
      </c>
      <c r="I7" s="87">
        <f t="shared" si="12"/>
        <v>118934.13067918403</v>
      </c>
      <c r="J7" s="87">
        <f t="shared" si="12"/>
        <v>113684.74093803219</v>
      </c>
      <c r="K7" s="87">
        <f t="shared" si="12"/>
        <v>109696.54707803944</v>
      </c>
      <c r="L7" s="87">
        <f t="shared" si="5"/>
        <v>101543.97964506502</v>
      </c>
      <c r="M7" s="87">
        <f t="shared" ref="M7:V7" si="13">IF(M34=0,0,M34*M144)</f>
        <v>97620.972909893448</v>
      </c>
      <c r="N7" s="87">
        <f t="shared" si="13"/>
        <v>91694.13643085878</v>
      </c>
      <c r="O7" s="87">
        <f t="shared" si="13"/>
        <v>87297.83039463505</v>
      </c>
      <c r="P7" s="87">
        <f t="shared" si="13"/>
        <v>79250.949460020202</v>
      </c>
      <c r="Q7" s="87">
        <f t="shared" si="13"/>
        <v>80899.143440871136</v>
      </c>
      <c r="R7" s="87">
        <f t="shared" si="13"/>
        <v>85174.448231523609</v>
      </c>
      <c r="S7" s="87">
        <f t="shared" si="13"/>
        <v>76730.822004609348</v>
      </c>
      <c r="T7" s="87">
        <f t="shared" si="13"/>
        <v>80240.521027014431</v>
      </c>
      <c r="U7" s="87">
        <f t="shared" si="13"/>
        <v>82946.82565357459</v>
      </c>
      <c r="V7" s="87">
        <f t="shared" si="13"/>
        <v>54754.744734616193</v>
      </c>
      <c r="W7" s="87">
        <f t="shared" ref="W7:Y7" si="14">IF(W34=0,0,W34*W144)</f>
        <v>72495.27374376895</v>
      </c>
      <c r="X7" s="87">
        <f t="shared" si="14"/>
        <v>88521.337096742354</v>
      </c>
      <c r="Y7" s="87">
        <f t="shared" si="14"/>
        <v>96301.354335431257</v>
      </c>
      <c r="DA7" s="171" t="s">
        <v>456</v>
      </c>
    </row>
    <row r="8" spans="1:105" ht="11.45" customHeight="1" x14ac:dyDescent="0.25">
      <c r="A8" s="111" t="s">
        <v>111</v>
      </c>
      <c r="B8" s="87">
        <f t="shared" ref="B8:K8" si="15">IF(B35=0,0,B35*B145)</f>
        <v>150561.79883896979</v>
      </c>
      <c r="C8" s="87">
        <f t="shared" si="15"/>
        <v>162927.74585338251</v>
      </c>
      <c r="D8" s="87">
        <f t="shared" si="15"/>
        <v>175992.58444341511</v>
      </c>
      <c r="E8" s="87">
        <f t="shared" si="15"/>
        <v>191222.3889666851</v>
      </c>
      <c r="F8" s="87">
        <f t="shared" si="15"/>
        <v>206727.67510651069</v>
      </c>
      <c r="G8" s="87">
        <f t="shared" si="15"/>
        <v>257458.65073546447</v>
      </c>
      <c r="H8" s="87">
        <f t="shared" si="15"/>
        <v>268234.16136777878</v>
      </c>
      <c r="I8" s="87">
        <f t="shared" si="15"/>
        <v>285795.03038110631</v>
      </c>
      <c r="J8" s="87">
        <f t="shared" si="15"/>
        <v>291429.26432792749</v>
      </c>
      <c r="K8" s="87">
        <f t="shared" si="15"/>
        <v>300165.20615994639</v>
      </c>
      <c r="L8" s="87">
        <f t="shared" ref="L8" si="16">IF(L35=0,0,L35*L145)</f>
        <v>293432.40829625761</v>
      </c>
      <c r="M8" s="87">
        <f t="shared" ref="M8:V8" si="17">IF(M35=0,0,M35*M145)</f>
        <v>293704.56265629909</v>
      </c>
      <c r="N8" s="87">
        <f t="shared" si="17"/>
        <v>285275.56075435784</v>
      </c>
      <c r="O8" s="87">
        <f t="shared" si="17"/>
        <v>284376.91160992056</v>
      </c>
      <c r="P8" s="87">
        <f t="shared" si="17"/>
        <v>270480.88773068378</v>
      </c>
      <c r="Q8" s="87">
        <f t="shared" si="17"/>
        <v>284434.13632211869</v>
      </c>
      <c r="R8" s="87">
        <f t="shared" si="17"/>
        <v>296971.54318372806</v>
      </c>
      <c r="S8" s="87">
        <f t="shared" si="17"/>
        <v>290978.32784909237</v>
      </c>
      <c r="T8" s="87">
        <f t="shared" si="17"/>
        <v>296227.50233369664</v>
      </c>
      <c r="U8" s="87">
        <f t="shared" si="17"/>
        <v>295408.77238533652</v>
      </c>
      <c r="V8" s="87">
        <f t="shared" si="17"/>
        <v>231287.09339309685</v>
      </c>
      <c r="W8" s="87">
        <f t="shared" ref="W8:Y8" si="18">IF(W35=0,0,W35*W145)</f>
        <v>277970.38356989762</v>
      </c>
      <c r="X8" s="87">
        <f t="shared" si="18"/>
        <v>292858.24196760851</v>
      </c>
      <c r="Y8" s="87">
        <f t="shared" si="18"/>
        <v>292907.58411349857</v>
      </c>
      <c r="DA8" s="171" t="s">
        <v>457</v>
      </c>
    </row>
    <row r="9" spans="1:105" ht="11.45" customHeight="1" x14ac:dyDescent="0.25">
      <c r="A9" s="111" t="s">
        <v>112</v>
      </c>
      <c r="B9" s="87">
        <f t="shared" ref="B9:K9" si="19">IF(B36=0,0,B36*B146)</f>
        <v>648.93734926365312</v>
      </c>
      <c r="C9" s="87">
        <f t="shared" si="19"/>
        <v>617.59933292687924</v>
      </c>
      <c r="D9" s="87">
        <f t="shared" si="19"/>
        <v>607.94951910699035</v>
      </c>
      <c r="E9" s="87">
        <f t="shared" si="19"/>
        <v>553.91671184394215</v>
      </c>
      <c r="F9" s="87">
        <f t="shared" si="19"/>
        <v>505.00633982439859</v>
      </c>
      <c r="G9" s="87">
        <f t="shared" si="19"/>
        <v>383.32301502922837</v>
      </c>
      <c r="H9" s="87">
        <f t="shared" si="19"/>
        <v>324.33613688760846</v>
      </c>
      <c r="I9" s="87">
        <f t="shared" si="19"/>
        <v>254.63241654624065</v>
      </c>
      <c r="J9" s="87">
        <f t="shared" si="19"/>
        <v>172.71661738552783</v>
      </c>
      <c r="K9" s="87">
        <f t="shared" si="19"/>
        <v>228.58391861127035</v>
      </c>
      <c r="L9" s="87">
        <f t="shared" ref="L9" si="20">IF(L36=0,0,L36*L146)</f>
        <v>255.81360445449297</v>
      </c>
      <c r="M9" s="87">
        <f t="shared" ref="M9:V9" si="21">IF(M36=0,0,M36*M146)</f>
        <v>278.39794631664091</v>
      </c>
      <c r="N9" s="87">
        <f t="shared" si="21"/>
        <v>391.19593830505181</v>
      </c>
      <c r="O9" s="87">
        <f t="shared" si="21"/>
        <v>408.83588503298824</v>
      </c>
      <c r="P9" s="87">
        <f t="shared" si="21"/>
        <v>432.00719454363656</v>
      </c>
      <c r="Q9" s="87">
        <f t="shared" si="21"/>
        <v>483.87023484847901</v>
      </c>
      <c r="R9" s="87">
        <f t="shared" si="21"/>
        <v>556.34735718017578</v>
      </c>
      <c r="S9" s="87">
        <f t="shared" si="21"/>
        <v>596.20184023447518</v>
      </c>
      <c r="T9" s="87">
        <f t="shared" si="21"/>
        <v>938.97541882437997</v>
      </c>
      <c r="U9" s="87">
        <f t="shared" si="21"/>
        <v>1301.8748398811533</v>
      </c>
      <c r="V9" s="87">
        <f t="shared" si="21"/>
        <v>890.28809327401314</v>
      </c>
      <c r="W9" s="87">
        <f t="shared" ref="W9:Y9" si="22">IF(W36=0,0,W36*W146)</f>
        <v>1249.107001741995</v>
      </c>
      <c r="X9" s="87">
        <f t="shared" si="22"/>
        <v>1724.9830554662149</v>
      </c>
      <c r="Y9" s="87">
        <f t="shared" si="22"/>
        <v>2662.2564173702044</v>
      </c>
      <c r="DA9" s="171" t="s">
        <v>458</v>
      </c>
    </row>
    <row r="10" spans="1:105" ht="11.45" customHeight="1" x14ac:dyDescent="0.25">
      <c r="A10" s="111" t="s">
        <v>113</v>
      </c>
      <c r="B10" s="87">
        <f t="shared" ref="B10:K10" si="23">IF(B37=0,0,B37*B147)</f>
        <v>0</v>
      </c>
      <c r="C10" s="87">
        <f t="shared" si="23"/>
        <v>0</v>
      </c>
      <c r="D10" s="87">
        <f t="shared" si="23"/>
        <v>0</v>
      </c>
      <c r="E10" s="87">
        <f t="shared" si="23"/>
        <v>0</v>
      </c>
      <c r="F10" s="87">
        <f t="shared" si="23"/>
        <v>27.37385872081574</v>
      </c>
      <c r="G10" s="87">
        <f t="shared" si="23"/>
        <v>66.714487175440127</v>
      </c>
      <c r="H10" s="87">
        <f t="shared" si="23"/>
        <v>103.34907835309079</v>
      </c>
      <c r="I10" s="87">
        <f t="shared" si="23"/>
        <v>99.206523163419206</v>
      </c>
      <c r="J10" s="87">
        <f t="shared" si="23"/>
        <v>99.278116654760922</v>
      </c>
      <c r="K10" s="87">
        <f t="shared" si="23"/>
        <v>101.6466422329037</v>
      </c>
      <c r="L10" s="87">
        <f t="shared" ref="L10" si="24">IF(L37=0,0,L37*L147)</f>
        <v>99.030655369251662</v>
      </c>
      <c r="M10" s="87">
        <f t="shared" ref="M10:V10" si="25">IF(M37=0,0,M37*M147)</f>
        <v>97.525113309811786</v>
      </c>
      <c r="N10" s="87">
        <f t="shared" si="25"/>
        <v>164.35539231542995</v>
      </c>
      <c r="O10" s="87">
        <f t="shared" si="25"/>
        <v>192.40191543188789</v>
      </c>
      <c r="P10" s="87">
        <f t="shared" si="25"/>
        <v>177.81802639118908</v>
      </c>
      <c r="Q10" s="87">
        <f t="shared" si="25"/>
        <v>187.6450161836575</v>
      </c>
      <c r="R10" s="87">
        <f t="shared" si="25"/>
        <v>194.59218475790485</v>
      </c>
      <c r="S10" s="87">
        <f t="shared" si="25"/>
        <v>190.38308667332777</v>
      </c>
      <c r="T10" s="87">
        <f t="shared" si="25"/>
        <v>263.79961059767157</v>
      </c>
      <c r="U10" s="87">
        <f t="shared" si="25"/>
        <v>271.14912860549333</v>
      </c>
      <c r="V10" s="87">
        <f t="shared" si="25"/>
        <v>184.52096937944208</v>
      </c>
      <c r="W10" s="87">
        <f t="shared" ref="W10:Y10" si="26">IF(W37=0,0,W37*W147)</f>
        <v>258.58356790953894</v>
      </c>
      <c r="X10" s="87">
        <f t="shared" si="26"/>
        <v>311.61824176575641</v>
      </c>
      <c r="Y10" s="87">
        <f t="shared" si="26"/>
        <v>319.24181946102073</v>
      </c>
      <c r="DA10" s="171" t="s">
        <v>459</v>
      </c>
    </row>
    <row r="11" spans="1:105" ht="11.45" customHeight="1" x14ac:dyDescent="0.25">
      <c r="A11" s="111" t="s">
        <v>114</v>
      </c>
      <c r="B11" s="87">
        <f t="shared" ref="B11:K11" si="27">IF(B38=0,0,B38*B148)</f>
        <v>0</v>
      </c>
      <c r="C11" s="87">
        <f t="shared" si="27"/>
        <v>0</v>
      </c>
      <c r="D11" s="87">
        <f t="shared" si="27"/>
        <v>0</v>
      </c>
      <c r="E11" s="87">
        <f t="shared" si="27"/>
        <v>0</v>
      </c>
      <c r="F11" s="87">
        <f t="shared" si="27"/>
        <v>0</v>
      </c>
      <c r="G11" s="87">
        <f t="shared" si="27"/>
        <v>0</v>
      </c>
      <c r="H11" s="87">
        <f t="shared" si="27"/>
        <v>0</v>
      </c>
      <c r="I11" s="87">
        <f t="shared" si="27"/>
        <v>0</v>
      </c>
      <c r="J11" s="87">
        <f t="shared" si="27"/>
        <v>0</v>
      </c>
      <c r="K11" s="87">
        <f t="shared" si="27"/>
        <v>0</v>
      </c>
      <c r="L11" s="87">
        <f t="shared" ref="L11" si="28">IF(L38=0,0,L38*L148)</f>
        <v>0</v>
      </c>
      <c r="M11" s="87">
        <f t="shared" ref="M11:V11" si="29">IF(M38=0,0,M38*M148)</f>
        <v>0.10571369479502818</v>
      </c>
      <c r="N11" s="87">
        <f t="shared" si="29"/>
        <v>1.3799671032146446</v>
      </c>
      <c r="O11" s="87">
        <f t="shared" si="29"/>
        <v>2.3728863830494955</v>
      </c>
      <c r="P11" s="87">
        <f t="shared" si="29"/>
        <v>7.1220584034366885</v>
      </c>
      <c r="Q11" s="87">
        <f t="shared" si="29"/>
        <v>16.290726505677679</v>
      </c>
      <c r="R11" s="87">
        <f t="shared" si="29"/>
        <v>38.184057211310581</v>
      </c>
      <c r="S11" s="87">
        <f t="shared" si="29"/>
        <v>70.430901659896691</v>
      </c>
      <c r="T11" s="87">
        <f t="shared" si="29"/>
        <v>132.1883924420157</v>
      </c>
      <c r="U11" s="87">
        <f t="shared" si="29"/>
        <v>210.48701852488475</v>
      </c>
      <c r="V11" s="87">
        <f t="shared" si="29"/>
        <v>302.01338383346121</v>
      </c>
      <c r="W11" s="87">
        <f t="shared" ref="W11:Y11" si="30">IF(W38=0,0,W38*W148)</f>
        <v>777.07638767669391</v>
      </c>
      <c r="X11" s="87">
        <f t="shared" si="30"/>
        <v>1340.1411705350265</v>
      </c>
      <c r="Y11" s="87">
        <f t="shared" si="30"/>
        <v>1953.3335000119844</v>
      </c>
      <c r="DA11" s="171" t="s">
        <v>460</v>
      </c>
    </row>
    <row r="12" spans="1:105" ht="11.45" customHeight="1" x14ac:dyDescent="0.25">
      <c r="A12" s="111" t="s">
        <v>115</v>
      </c>
      <c r="B12" s="87">
        <f t="shared" ref="B12:K12" si="31">IF(B39=0,0,B39*B149)</f>
        <v>0</v>
      </c>
      <c r="C12" s="87">
        <f t="shared" si="31"/>
        <v>0</v>
      </c>
      <c r="D12" s="87">
        <f t="shared" si="31"/>
        <v>0</v>
      </c>
      <c r="E12" s="87">
        <f t="shared" si="31"/>
        <v>0</v>
      </c>
      <c r="F12" s="87">
        <f t="shared" si="31"/>
        <v>0</v>
      </c>
      <c r="G12" s="87">
        <f t="shared" si="31"/>
        <v>0</v>
      </c>
      <c r="H12" s="87">
        <f t="shared" si="31"/>
        <v>0</v>
      </c>
      <c r="I12" s="87">
        <f t="shared" si="31"/>
        <v>0</v>
      </c>
      <c r="J12" s="87">
        <f t="shared" si="31"/>
        <v>0</v>
      </c>
      <c r="K12" s="87">
        <f t="shared" si="31"/>
        <v>1.6201170016613066E-2</v>
      </c>
      <c r="L12" s="87">
        <f t="shared" ref="L12" si="32">IF(L39=0,0,L39*L149)</f>
        <v>1.2348218696583804</v>
      </c>
      <c r="M12" s="87">
        <f t="shared" ref="M12:V12" si="33">IF(M39=0,0,M39*M149)</f>
        <v>9.4356604862032807</v>
      </c>
      <c r="N12" s="87">
        <f t="shared" si="33"/>
        <v>17.371517059663777</v>
      </c>
      <c r="O12" s="87">
        <f t="shared" si="33"/>
        <v>34.168083296445246</v>
      </c>
      <c r="P12" s="87">
        <f t="shared" si="33"/>
        <v>44.412003021763354</v>
      </c>
      <c r="Q12" s="87">
        <f t="shared" si="33"/>
        <v>71.166985129375021</v>
      </c>
      <c r="R12" s="87">
        <f t="shared" si="33"/>
        <v>108.95553299892659</v>
      </c>
      <c r="S12" s="87">
        <f t="shared" si="33"/>
        <v>150.95821151557604</v>
      </c>
      <c r="T12" s="87">
        <f t="shared" si="33"/>
        <v>245.42906353786628</v>
      </c>
      <c r="U12" s="87">
        <f t="shared" si="33"/>
        <v>361.32847045638732</v>
      </c>
      <c r="V12" s="87">
        <f t="shared" si="33"/>
        <v>431.87256143200568</v>
      </c>
      <c r="W12" s="87">
        <f t="shared" ref="W12:Y12" si="34">IF(W39=0,0,W39*W149)</f>
        <v>877.02042500316179</v>
      </c>
      <c r="X12" s="87">
        <f t="shared" si="34"/>
        <v>1352.1749595801382</v>
      </c>
      <c r="Y12" s="87">
        <f t="shared" si="34"/>
        <v>2007.4978433329686</v>
      </c>
      <c r="DA12" s="171" t="s">
        <v>461</v>
      </c>
    </row>
    <row r="13" spans="1:105" ht="11.45" customHeight="1" x14ac:dyDescent="0.25">
      <c r="A13" s="109" t="s">
        <v>21</v>
      </c>
      <c r="B13" s="116">
        <f t="shared" ref="B13:K13" si="35">SUM(B14:B18)</f>
        <v>50278</v>
      </c>
      <c r="C13" s="116">
        <f t="shared" si="35"/>
        <v>51712.000000000007</v>
      </c>
      <c r="D13" s="116">
        <f t="shared" si="35"/>
        <v>50053</v>
      </c>
      <c r="E13" s="116">
        <f t="shared" si="35"/>
        <v>49208.999999999993</v>
      </c>
      <c r="F13" s="116">
        <f t="shared" si="35"/>
        <v>53458</v>
      </c>
      <c r="G13" s="116">
        <f t="shared" si="35"/>
        <v>53176</v>
      </c>
      <c r="H13" s="116">
        <f t="shared" si="35"/>
        <v>49369</v>
      </c>
      <c r="I13" s="116">
        <f t="shared" si="35"/>
        <v>59163</v>
      </c>
      <c r="J13" s="116">
        <f t="shared" si="35"/>
        <v>60864.000000000007</v>
      </c>
      <c r="K13" s="116">
        <f t="shared" si="35"/>
        <v>57043</v>
      </c>
      <c r="L13" s="116">
        <f t="shared" ref="L13" si="36">SUM(L14:L18)</f>
        <v>50902</v>
      </c>
      <c r="M13" s="116">
        <f t="shared" ref="M13:V13" si="37">SUM(M14:M18)</f>
        <v>55742.000000000007</v>
      </c>
      <c r="N13" s="116">
        <f t="shared" si="37"/>
        <v>54531</v>
      </c>
      <c r="O13" s="116">
        <f t="shared" si="37"/>
        <v>53836</v>
      </c>
      <c r="P13" s="116">
        <f t="shared" si="37"/>
        <v>39468.999999999993</v>
      </c>
      <c r="Q13" s="116">
        <f t="shared" si="37"/>
        <v>46389</v>
      </c>
      <c r="R13" s="116">
        <f t="shared" si="37"/>
        <v>47763</v>
      </c>
      <c r="S13" s="116">
        <f t="shared" si="37"/>
        <v>30510</v>
      </c>
      <c r="T13" s="116">
        <f t="shared" si="37"/>
        <v>32188.000000000007</v>
      </c>
      <c r="U13" s="116">
        <f t="shared" si="37"/>
        <v>33250.000000000007</v>
      </c>
      <c r="V13" s="116">
        <f t="shared" si="37"/>
        <v>18929</v>
      </c>
      <c r="W13" s="116">
        <f t="shared" ref="W13:Y13" si="38">SUM(W14:W18)</f>
        <v>29683.000000000004</v>
      </c>
      <c r="X13" s="116">
        <f t="shared" si="38"/>
        <v>37862</v>
      </c>
      <c r="Y13" s="116">
        <f t="shared" si="38"/>
        <v>42150</v>
      </c>
      <c r="DA13" s="176" t="s">
        <v>375</v>
      </c>
    </row>
    <row r="14" spans="1:105" ht="11.45" customHeight="1" x14ac:dyDescent="0.25">
      <c r="A14" s="111" t="s">
        <v>110</v>
      </c>
      <c r="B14" s="101">
        <f t="shared" ref="B14:K14" si="39">IF(B41=0,0,B41*B151)</f>
        <v>192.06450674413611</v>
      </c>
      <c r="C14" s="101">
        <f t="shared" si="39"/>
        <v>197.36731578161218</v>
      </c>
      <c r="D14" s="101">
        <f t="shared" si="39"/>
        <v>197.6686436319435</v>
      </c>
      <c r="E14" s="101">
        <f t="shared" si="39"/>
        <v>193.79925246500565</v>
      </c>
      <c r="F14" s="101">
        <f t="shared" si="39"/>
        <v>204.55709281188808</v>
      </c>
      <c r="G14" s="101">
        <f t="shared" si="39"/>
        <v>182.56588917999139</v>
      </c>
      <c r="H14" s="101">
        <f t="shared" si="39"/>
        <v>159.70712653333572</v>
      </c>
      <c r="I14" s="101">
        <f t="shared" si="39"/>
        <v>210.47332428347428</v>
      </c>
      <c r="J14" s="101">
        <f t="shared" si="39"/>
        <v>197.85667059221521</v>
      </c>
      <c r="K14" s="101">
        <f t="shared" si="39"/>
        <v>170.90496788422382</v>
      </c>
      <c r="L14" s="101">
        <f t="shared" ref="L14" si="40">IF(L41=0,0,L41*L151)</f>
        <v>144.59830778429878</v>
      </c>
      <c r="M14" s="101">
        <f t="shared" ref="M14:V14" si="41">IF(M41=0,0,M41*M151)</f>
        <v>151.93541382226149</v>
      </c>
      <c r="N14" s="101">
        <f t="shared" si="41"/>
        <v>140.90193949533361</v>
      </c>
      <c r="O14" s="101">
        <f t="shared" si="41"/>
        <v>138.25007430401891</v>
      </c>
      <c r="P14" s="101">
        <f t="shared" si="41"/>
        <v>97.413228383609052</v>
      </c>
      <c r="Q14" s="101">
        <f t="shared" si="41"/>
        <v>109.33804285461459</v>
      </c>
      <c r="R14" s="101">
        <f t="shared" si="41"/>
        <v>110.48542805083146</v>
      </c>
      <c r="S14" s="101">
        <f t="shared" si="41"/>
        <v>91.280578617721545</v>
      </c>
      <c r="T14" s="101">
        <f t="shared" si="41"/>
        <v>88.185643743674859</v>
      </c>
      <c r="U14" s="101">
        <f t="shared" si="41"/>
        <v>83.222206182744401</v>
      </c>
      <c r="V14" s="101">
        <f t="shared" si="41"/>
        <v>43.811535740669086</v>
      </c>
      <c r="W14" s="101">
        <f t="shared" ref="W14:Y14" si="42">IF(W41=0,0,W41*W151)</f>
        <v>67.378459245078773</v>
      </c>
      <c r="X14" s="101">
        <f t="shared" si="42"/>
        <v>81.30728936163267</v>
      </c>
      <c r="Y14" s="101">
        <f t="shared" si="42"/>
        <v>83.746848724664375</v>
      </c>
      <c r="DA14" s="175" t="s">
        <v>462</v>
      </c>
    </row>
    <row r="15" spans="1:105" ht="11.45" customHeight="1" x14ac:dyDescent="0.25">
      <c r="A15" s="111" t="s">
        <v>111</v>
      </c>
      <c r="B15" s="101">
        <f t="shared" ref="B15:K15" si="43">IF(B42=0,0,B42*B152)</f>
        <v>49915.568584547473</v>
      </c>
      <c r="C15" s="101">
        <f t="shared" si="43"/>
        <v>51343.747954466271</v>
      </c>
      <c r="D15" s="101">
        <f t="shared" si="43"/>
        <v>49843.898519191527</v>
      </c>
      <c r="E15" s="101">
        <f t="shared" si="43"/>
        <v>48751.28769002913</v>
      </c>
      <c r="F15" s="101">
        <f t="shared" si="43"/>
        <v>52893.780856567959</v>
      </c>
      <c r="G15" s="101">
        <f t="shared" si="43"/>
        <v>52586.229763053103</v>
      </c>
      <c r="H15" s="101">
        <f t="shared" si="43"/>
        <v>48812.208796935825</v>
      </c>
      <c r="I15" s="101">
        <f t="shared" si="43"/>
        <v>58351.69484093388</v>
      </c>
      <c r="J15" s="101">
        <f t="shared" si="43"/>
        <v>60091.643736891885</v>
      </c>
      <c r="K15" s="101">
        <f t="shared" si="43"/>
        <v>56325.406593693384</v>
      </c>
      <c r="L15" s="101">
        <f t="shared" ref="L15" si="44">IF(L42=0,0,L42*L152)</f>
        <v>50262.10698967216</v>
      </c>
      <c r="M15" s="101">
        <f t="shared" ref="M15:V15" si="45">IF(M42=0,0,M42*M152)</f>
        <v>55046.651865233012</v>
      </c>
      <c r="N15" s="101">
        <f t="shared" si="45"/>
        <v>53847.767851067707</v>
      </c>
      <c r="O15" s="101">
        <f t="shared" si="45"/>
        <v>53072.101618908768</v>
      </c>
      <c r="P15" s="101">
        <f t="shared" si="45"/>
        <v>38933.179054019289</v>
      </c>
      <c r="Q15" s="101">
        <f t="shared" si="45"/>
        <v>44259.680810503756</v>
      </c>
      <c r="R15" s="101">
        <f t="shared" si="45"/>
        <v>45181.715356146131</v>
      </c>
      <c r="S15" s="101">
        <f t="shared" si="45"/>
        <v>26814.428253783783</v>
      </c>
      <c r="T15" s="101">
        <f t="shared" si="45"/>
        <v>27735.687327753127</v>
      </c>
      <c r="U15" s="101">
        <f t="shared" si="45"/>
        <v>27532.231424643393</v>
      </c>
      <c r="V15" s="101">
        <f t="shared" si="45"/>
        <v>15066.41581386709</v>
      </c>
      <c r="W15" s="101">
        <f t="shared" ref="W15:Y15" si="46">IF(W42=0,0,W42*W152)</f>
        <v>23277.135716665609</v>
      </c>
      <c r="X15" s="101">
        <f t="shared" si="46"/>
        <v>29645.51079495878</v>
      </c>
      <c r="Y15" s="101">
        <f t="shared" si="46"/>
        <v>32335.312609366603</v>
      </c>
      <c r="DA15" s="175" t="s">
        <v>463</v>
      </c>
    </row>
    <row r="16" spans="1:105" ht="11.45" customHeight="1" x14ac:dyDescent="0.25">
      <c r="A16" s="111" t="s">
        <v>112</v>
      </c>
      <c r="B16" s="101">
        <f t="shared" ref="B16:K16" si="47">IF(B43=0,0,B43*B153)</f>
        <v>0</v>
      </c>
      <c r="C16" s="101">
        <f t="shared" si="47"/>
        <v>0</v>
      </c>
      <c r="D16" s="101">
        <f t="shared" si="47"/>
        <v>0</v>
      </c>
      <c r="E16" s="101">
        <f t="shared" si="47"/>
        <v>0</v>
      </c>
      <c r="F16" s="101">
        <f t="shared" si="47"/>
        <v>0</v>
      </c>
      <c r="G16" s="101">
        <f t="shared" si="47"/>
        <v>0</v>
      </c>
      <c r="H16" s="101">
        <f t="shared" si="47"/>
        <v>0</v>
      </c>
      <c r="I16" s="101">
        <f t="shared" si="47"/>
        <v>0</v>
      </c>
      <c r="J16" s="101">
        <f t="shared" si="47"/>
        <v>0</v>
      </c>
      <c r="K16" s="101">
        <f t="shared" si="47"/>
        <v>0</v>
      </c>
      <c r="L16" s="101">
        <f t="shared" ref="L16" si="48">IF(L43=0,0,L43*L153)</f>
        <v>0</v>
      </c>
      <c r="M16" s="101">
        <f t="shared" ref="M16:V16" si="49">IF(M43=0,0,M43*M153)</f>
        <v>0</v>
      </c>
      <c r="N16" s="101">
        <f t="shared" si="49"/>
        <v>0</v>
      </c>
      <c r="O16" s="101">
        <f t="shared" si="49"/>
        <v>0</v>
      </c>
      <c r="P16" s="101">
        <f t="shared" si="49"/>
        <v>1.5281909861794714</v>
      </c>
      <c r="Q16" s="101">
        <f t="shared" si="49"/>
        <v>46.405560222178977</v>
      </c>
      <c r="R16" s="101">
        <f t="shared" si="49"/>
        <v>47.372379475806312</v>
      </c>
      <c r="S16" s="101">
        <f t="shared" si="49"/>
        <v>40.884442566235542</v>
      </c>
      <c r="T16" s="101">
        <f t="shared" si="49"/>
        <v>38.94838004472669</v>
      </c>
      <c r="U16" s="101">
        <f t="shared" si="49"/>
        <v>50.820019284113933</v>
      </c>
      <c r="V16" s="101">
        <f t="shared" si="49"/>
        <v>36.821220099662298</v>
      </c>
      <c r="W16" s="101">
        <f t="shared" ref="W16:Y16" si="50">IF(W43=0,0,W43*W153)</f>
        <v>121.3198029164834</v>
      </c>
      <c r="X16" s="101">
        <f t="shared" si="50"/>
        <v>199.51841885603511</v>
      </c>
      <c r="Y16" s="101">
        <f t="shared" si="50"/>
        <v>280.88628981581894</v>
      </c>
      <c r="DA16" s="175" t="s">
        <v>464</v>
      </c>
    </row>
    <row r="17" spans="1:105" ht="11.45" customHeight="1" x14ac:dyDescent="0.25">
      <c r="A17" s="111" t="s">
        <v>113</v>
      </c>
      <c r="B17" s="101">
        <f t="shared" ref="B17:K17" si="51">IF(B44=0,0,B44*B154)</f>
        <v>170.36690870839419</v>
      </c>
      <c r="C17" s="101">
        <f t="shared" si="51"/>
        <v>170.884729752119</v>
      </c>
      <c r="D17" s="101">
        <f t="shared" si="51"/>
        <v>11.432837176528158</v>
      </c>
      <c r="E17" s="101">
        <f t="shared" si="51"/>
        <v>263.91305750586196</v>
      </c>
      <c r="F17" s="101">
        <f t="shared" si="51"/>
        <v>359.66205062015422</v>
      </c>
      <c r="G17" s="101">
        <f t="shared" si="51"/>
        <v>407.20434776690689</v>
      </c>
      <c r="H17" s="101">
        <f t="shared" si="51"/>
        <v>397.08407653083901</v>
      </c>
      <c r="I17" s="101">
        <f t="shared" si="51"/>
        <v>600.83183478264243</v>
      </c>
      <c r="J17" s="101">
        <f t="shared" si="51"/>
        <v>574.49959251590928</v>
      </c>
      <c r="K17" s="101">
        <f t="shared" si="51"/>
        <v>546.68843842239301</v>
      </c>
      <c r="L17" s="101">
        <f t="shared" ref="L17" si="52">IF(L44=0,0,L44*L154)</f>
        <v>495.2947025435393</v>
      </c>
      <c r="M17" s="101">
        <f t="shared" ref="M17:V17" si="53">IF(M44=0,0,M44*M154)</f>
        <v>543.41272094473345</v>
      </c>
      <c r="N17" s="101">
        <f t="shared" si="53"/>
        <v>542.33020943695919</v>
      </c>
      <c r="O17" s="101">
        <f t="shared" si="53"/>
        <v>545.49216530728086</v>
      </c>
      <c r="P17" s="101">
        <f t="shared" si="53"/>
        <v>365.95551947706792</v>
      </c>
      <c r="Q17" s="101">
        <f t="shared" si="53"/>
        <v>1844.0155222017784</v>
      </c>
      <c r="R17" s="101">
        <f t="shared" si="53"/>
        <v>2280.1228592474276</v>
      </c>
      <c r="S17" s="101">
        <f t="shared" si="53"/>
        <v>3403.318376080681</v>
      </c>
      <c r="T17" s="101">
        <f t="shared" si="53"/>
        <v>4139.397730619291</v>
      </c>
      <c r="U17" s="101">
        <f t="shared" si="53"/>
        <v>5312.9027917259746</v>
      </c>
      <c r="V17" s="101">
        <f t="shared" si="53"/>
        <v>3559.8391398655804</v>
      </c>
      <c r="W17" s="101">
        <f t="shared" ref="W17:Y17" si="54">IF(W44=0,0,W44*W154)</f>
        <v>5736.4162236255106</v>
      </c>
      <c r="X17" s="101">
        <f t="shared" si="54"/>
        <v>7214.1702078076842</v>
      </c>
      <c r="Y17" s="101">
        <f t="shared" si="54"/>
        <v>8084.2482519661562</v>
      </c>
      <c r="DA17" s="175" t="s">
        <v>465</v>
      </c>
    </row>
    <row r="18" spans="1:105" ht="11.45" customHeight="1" x14ac:dyDescent="0.25">
      <c r="A18" s="111" t="s">
        <v>115</v>
      </c>
      <c r="B18" s="101">
        <f t="shared" ref="B18:K18" si="55">IF(B45=0,0,B45*B155)</f>
        <v>0</v>
      </c>
      <c r="C18" s="101">
        <f t="shared" si="55"/>
        <v>0</v>
      </c>
      <c r="D18" s="101">
        <f t="shared" si="55"/>
        <v>0</v>
      </c>
      <c r="E18" s="101">
        <f t="shared" si="55"/>
        <v>0</v>
      </c>
      <c r="F18" s="101">
        <f t="shared" si="55"/>
        <v>0</v>
      </c>
      <c r="G18" s="101">
        <f t="shared" si="55"/>
        <v>0</v>
      </c>
      <c r="H18" s="101">
        <f t="shared" si="55"/>
        <v>0</v>
      </c>
      <c r="I18" s="101">
        <f t="shared" si="55"/>
        <v>0</v>
      </c>
      <c r="J18" s="101">
        <f t="shared" si="55"/>
        <v>0</v>
      </c>
      <c r="K18" s="101">
        <f t="shared" si="55"/>
        <v>0</v>
      </c>
      <c r="L18" s="101">
        <f t="shared" ref="L18" si="56">IF(L45=0,0,L45*L155)</f>
        <v>0</v>
      </c>
      <c r="M18" s="101">
        <f t="shared" ref="M18:V18" si="57">IF(M45=0,0,M45*M155)</f>
        <v>0</v>
      </c>
      <c r="N18" s="101">
        <f t="shared" si="57"/>
        <v>0</v>
      </c>
      <c r="O18" s="101">
        <f t="shared" si="57"/>
        <v>80.15614147992909</v>
      </c>
      <c r="P18" s="101">
        <f t="shared" si="57"/>
        <v>70.924007133852186</v>
      </c>
      <c r="Q18" s="101">
        <f t="shared" si="57"/>
        <v>129.56006421767037</v>
      </c>
      <c r="R18" s="101">
        <f t="shared" si="57"/>
        <v>143.30397707980418</v>
      </c>
      <c r="S18" s="101">
        <f t="shared" si="57"/>
        <v>160.08834895157463</v>
      </c>
      <c r="T18" s="101">
        <f t="shared" si="57"/>
        <v>185.78091783918575</v>
      </c>
      <c r="U18" s="101">
        <f t="shared" si="57"/>
        <v>270.82355816377782</v>
      </c>
      <c r="V18" s="101">
        <f t="shared" si="57"/>
        <v>222.11229042699881</v>
      </c>
      <c r="W18" s="101">
        <f t="shared" ref="W18:Y18" si="58">IF(W45=0,0,W45*W155)</f>
        <v>480.74979754731936</v>
      </c>
      <c r="X18" s="101">
        <f t="shared" si="58"/>
        <v>721.49328901586819</v>
      </c>
      <c r="Y18" s="101">
        <f t="shared" si="58"/>
        <v>1365.8060001267575</v>
      </c>
      <c r="DA18" s="175" t="s">
        <v>466</v>
      </c>
    </row>
    <row r="19" spans="1:105" ht="11.45" customHeight="1" x14ac:dyDescent="0.25">
      <c r="A19" s="27" t="s">
        <v>28</v>
      </c>
      <c r="B19" s="29">
        <f t="shared" ref="B19:K19" si="59">B20+B26</f>
        <v>146884.87208546381</v>
      </c>
      <c r="C19" s="29">
        <f t="shared" si="59"/>
        <v>157787.47682362059</v>
      </c>
      <c r="D19" s="29">
        <f t="shared" si="59"/>
        <v>174693.64093064258</v>
      </c>
      <c r="E19" s="29">
        <f t="shared" si="59"/>
        <v>184938.47676938048</v>
      </c>
      <c r="F19" s="29">
        <f t="shared" si="59"/>
        <v>208083.94961100677</v>
      </c>
      <c r="G19" s="29">
        <f t="shared" si="59"/>
        <v>220522.477830875</v>
      </c>
      <c r="H19" s="29">
        <f t="shared" si="59"/>
        <v>230517.91536959974</v>
      </c>
      <c r="I19" s="29">
        <f t="shared" si="59"/>
        <v>249462.86576073235</v>
      </c>
      <c r="J19" s="29">
        <f t="shared" si="59"/>
        <v>228584.16659562287</v>
      </c>
      <c r="K19" s="29">
        <f t="shared" si="59"/>
        <v>199324.67094322172</v>
      </c>
      <c r="L19" s="29">
        <f t="shared" ref="L19" si="60">L20+L26</f>
        <v>194234.67244239751</v>
      </c>
      <c r="M19" s="29">
        <f t="shared" ref="M19:V19" si="61">M20+M26</f>
        <v>189489.83312380352</v>
      </c>
      <c r="N19" s="29">
        <f t="shared" si="61"/>
        <v>178649.24175523431</v>
      </c>
      <c r="O19" s="29">
        <f t="shared" si="61"/>
        <v>174948.02482057587</v>
      </c>
      <c r="P19" s="29">
        <f t="shared" si="61"/>
        <v>175862.36189815833</v>
      </c>
      <c r="Q19" s="29">
        <f t="shared" si="61"/>
        <v>187202.04181922294</v>
      </c>
      <c r="R19" s="29">
        <f t="shared" si="61"/>
        <v>195605.40370755704</v>
      </c>
      <c r="S19" s="29">
        <f t="shared" si="61"/>
        <v>207463.36120564945</v>
      </c>
      <c r="T19" s="29">
        <f t="shared" si="61"/>
        <v>213350.20135275373</v>
      </c>
      <c r="U19" s="29">
        <f t="shared" si="61"/>
        <v>222504.49566412598</v>
      </c>
      <c r="V19" s="29">
        <f t="shared" si="61"/>
        <v>214088.985302182</v>
      </c>
      <c r="W19" s="29">
        <f t="shared" ref="W19:Y19" si="62">W20+W26</f>
        <v>240521.88470095722</v>
      </c>
      <c r="X19" s="29">
        <f t="shared" si="62"/>
        <v>238218.31772204334</v>
      </c>
      <c r="Y19" s="29">
        <f t="shared" si="62"/>
        <v>235284.13966996592</v>
      </c>
      <c r="DA19" s="173" t="s">
        <v>381</v>
      </c>
    </row>
    <row r="20" spans="1:105" ht="11.45" customHeight="1" x14ac:dyDescent="0.25">
      <c r="A20" s="136" t="s">
        <v>153</v>
      </c>
      <c r="B20" s="152">
        <f t="shared" ref="B20:K20" si="63">SUM(B21:B25)</f>
        <v>7942.1168096632382</v>
      </c>
      <c r="C20" s="152">
        <f t="shared" si="63"/>
        <v>9498.0083721805368</v>
      </c>
      <c r="D20" s="152">
        <f t="shared" si="63"/>
        <v>8875.7415535758882</v>
      </c>
      <c r="E20" s="152">
        <f t="shared" si="63"/>
        <v>9632.1072943945437</v>
      </c>
      <c r="F20" s="152">
        <f t="shared" si="63"/>
        <v>10248.986496141955</v>
      </c>
      <c r="G20" s="152">
        <f t="shared" si="63"/>
        <v>9801.2822175987731</v>
      </c>
      <c r="H20" s="152">
        <f t="shared" si="63"/>
        <v>10388.612584367535</v>
      </c>
      <c r="I20" s="152">
        <f t="shared" si="63"/>
        <v>12196.700337464581</v>
      </c>
      <c r="J20" s="152">
        <f t="shared" si="63"/>
        <v>11264.382696461873</v>
      </c>
      <c r="K20" s="152">
        <f t="shared" si="63"/>
        <v>9889.8752271941594</v>
      </c>
      <c r="L20" s="152">
        <f t="shared" ref="L20" si="64">SUM(L21:L25)</f>
        <v>9833.1809135148033</v>
      </c>
      <c r="M20" s="152">
        <f t="shared" ref="M20:V20" si="65">SUM(M21:M25)</f>
        <v>9621.2806481579501</v>
      </c>
      <c r="N20" s="152">
        <f t="shared" si="65"/>
        <v>8879.6702438273878</v>
      </c>
      <c r="O20" s="152">
        <f t="shared" si="65"/>
        <v>8832.3895909653111</v>
      </c>
      <c r="P20" s="152">
        <f t="shared" si="65"/>
        <v>8750.912102795628</v>
      </c>
      <c r="Q20" s="152">
        <f t="shared" si="65"/>
        <v>9206.9591293522099</v>
      </c>
      <c r="R20" s="152">
        <f t="shared" si="65"/>
        <v>8904.7899955007306</v>
      </c>
      <c r="S20" s="152">
        <f t="shared" si="65"/>
        <v>9505.6153336949683</v>
      </c>
      <c r="T20" s="152">
        <f t="shared" si="65"/>
        <v>9728.2013527537292</v>
      </c>
      <c r="U20" s="152">
        <f t="shared" si="65"/>
        <v>9799.4956641259887</v>
      </c>
      <c r="V20" s="152">
        <f t="shared" si="65"/>
        <v>6635.985302182009</v>
      </c>
      <c r="W20" s="152">
        <f t="shared" ref="W20:Y20" si="66">SUM(W21:W25)</f>
        <v>9453.8847009572055</v>
      </c>
      <c r="X20" s="152">
        <f t="shared" si="66"/>
        <v>10087.317722043346</v>
      </c>
      <c r="Y20" s="152">
        <f t="shared" si="66"/>
        <v>10022.139669965924</v>
      </c>
      <c r="DA20" s="174" t="s">
        <v>382</v>
      </c>
    </row>
    <row r="21" spans="1:105" ht="11.45" customHeight="1" x14ac:dyDescent="0.25">
      <c r="A21" s="111" t="s">
        <v>110</v>
      </c>
      <c r="B21" s="87">
        <f t="shared" ref="B21:K21" si="67">IF(B48=0,0,B48*B158)</f>
        <v>585.81404420410774</v>
      </c>
      <c r="C21" s="87">
        <f t="shared" si="67"/>
        <v>623.29960092612407</v>
      </c>
      <c r="D21" s="87">
        <f t="shared" si="67"/>
        <v>451.14607421484561</v>
      </c>
      <c r="E21" s="87">
        <f t="shared" si="67"/>
        <v>398.29225254916298</v>
      </c>
      <c r="F21" s="87">
        <f t="shared" si="67"/>
        <v>339.07293569876464</v>
      </c>
      <c r="G21" s="87">
        <f t="shared" si="67"/>
        <v>260.66690081803756</v>
      </c>
      <c r="H21" s="87">
        <f t="shared" si="67"/>
        <v>225.77890195833052</v>
      </c>
      <c r="I21" s="87">
        <f t="shared" si="67"/>
        <v>204.47772802352176</v>
      </c>
      <c r="J21" s="87">
        <f t="shared" si="67"/>
        <v>166.49733639101149</v>
      </c>
      <c r="K21" s="87">
        <f t="shared" si="67"/>
        <v>145.78694980536727</v>
      </c>
      <c r="L21" s="87">
        <f t="shared" ref="L21" si="68">IF(L48=0,0,L48*L158)</f>
        <v>137.23541725138898</v>
      </c>
      <c r="M21" s="87">
        <f t="shared" ref="M21:V21" si="69">IF(M48=0,0,M48*M158)</f>
        <v>139.66468711570965</v>
      </c>
      <c r="N21" s="87">
        <f t="shared" si="69"/>
        <v>144.37070726327025</v>
      </c>
      <c r="O21" s="87">
        <f t="shared" si="69"/>
        <v>147.52390099618057</v>
      </c>
      <c r="P21" s="87">
        <f t="shared" si="69"/>
        <v>103.97924747033098</v>
      </c>
      <c r="Q21" s="87">
        <f t="shared" si="69"/>
        <v>108.82052093672769</v>
      </c>
      <c r="R21" s="87">
        <f t="shared" si="69"/>
        <v>102.71608745444529</v>
      </c>
      <c r="S21" s="87">
        <f t="shared" si="69"/>
        <v>121.54495182973463</v>
      </c>
      <c r="T21" s="87">
        <f t="shared" si="69"/>
        <v>132.12488680950494</v>
      </c>
      <c r="U21" s="87">
        <f t="shared" si="69"/>
        <v>141.89291217531368</v>
      </c>
      <c r="V21" s="87">
        <f t="shared" si="69"/>
        <v>92.767090114715515</v>
      </c>
      <c r="W21" s="87">
        <f t="shared" ref="W21:Y21" si="70">IF(W48=0,0,W48*W158)</f>
        <v>138.14812174450591</v>
      </c>
      <c r="X21" s="87">
        <f t="shared" si="70"/>
        <v>141.54334946279201</v>
      </c>
      <c r="Y21" s="87">
        <f t="shared" si="70"/>
        <v>118.33988599668598</v>
      </c>
      <c r="DA21" s="171" t="s">
        <v>467</v>
      </c>
    </row>
    <row r="22" spans="1:105" ht="11.45" customHeight="1" x14ac:dyDescent="0.25">
      <c r="A22" s="111" t="s">
        <v>111</v>
      </c>
      <c r="B22" s="87">
        <f t="shared" ref="B22:K22" si="71">IF(B49=0,0,B49*B159)</f>
        <v>7356.3027654591306</v>
      </c>
      <c r="C22" s="87">
        <f t="shared" si="71"/>
        <v>8874.7087712544126</v>
      </c>
      <c r="D22" s="87">
        <f t="shared" si="71"/>
        <v>8424.5954793610417</v>
      </c>
      <c r="E22" s="87">
        <f t="shared" si="71"/>
        <v>9233.8150418453806</v>
      </c>
      <c r="F22" s="87">
        <f t="shared" si="71"/>
        <v>9909.9135604431904</v>
      </c>
      <c r="G22" s="87">
        <f t="shared" si="71"/>
        <v>9540.6153167807352</v>
      </c>
      <c r="H22" s="87">
        <f t="shared" si="71"/>
        <v>10162.833682409204</v>
      </c>
      <c r="I22" s="87">
        <f t="shared" si="71"/>
        <v>11992.22260944106</v>
      </c>
      <c r="J22" s="87">
        <f t="shared" si="71"/>
        <v>11097.885360070861</v>
      </c>
      <c r="K22" s="87">
        <f t="shared" si="71"/>
        <v>9744.0882773887915</v>
      </c>
      <c r="L22" s="87">
        <f t="shared" ref="L22" si="72">IF(L49=0,0,L49*L159)</f>
        <v>9695.9454962634136</v>
      </c>
      <c r="M22" s="87">
        <f t="shared" ref="M22:V22" si="73">IF(M49=0,0,M49*M159)</f>
        <v>9481.5516500104732</v>
      </c>
      <c r="N22" s="87">
        <f t="shared" si="73"/>
        <v>8734.6562836032826</v>
      </c>
      <c r="O22" s="87">
        <f t="shared" si="73"/>
        <v>8684.2031030943308</v>
      </c>
      <c r="P22" s="87">
        <f t="shared" si="73"/>
        <v>8642.0357838813452</v>
      </c>
      <c r="Q22" s="87">
        <f t="shared" si="73"/>
        <v>9089.4834799091659</v>
      </c>
      <c r="R22" s="87">
        <f t="shared" si="73"/>
        <v>8791.1975780267676</v>
      </c>
      <c r="S22" s="87">
        <f t="shared" si="73"/>
        <v>9367.3737576256754</v>
      </c>
      <c r="T22" s="87">
        <f t="shared" si="73"/>
        <v>9565.1554861778677</v>
      </c>
      <c r="U22" s="87">
        <f t="shared" si="73"/>
        <v>9601.2730672712914</v>
      </c>
      <c r="V22" s="87">
        <f t="shared" si="73"/>
        <v>6494.0115705180397</v>
      </c>
      <c r="W22" s="87">
        <f t="shared" ref="W22:Y22" si="74">IF(W49=0,0,W49*W159)</f>
        <v>9228.8738105248267</v>
      </c>
      <c r="X22" s="87">
        <f t="shared" si="74"/>
        <v>9844.2786083430401</v>
      </c>
      <c r="Y22" s="87">
        <f t="shared" si="74"/>
        <v>9779.9554723621113</v>
      </c>
      <c r="DA22" s="171" t="s">
        <v>468</v>
      </c>
    </row>
    <row r="23" spans="1:105" ht="11.45" customHeight="1" x14ac:dyDescent="0.25">
      <c r="A23" s="111" t="s">
        <v>112</v>
      </c>
      <c r="B23" s="87">
        <f t="shared" ref="B23:K23" si="75">IF(B50=0,0,B50*B160)</f>
        <v>0</v>
      </c>
      <c r="C23" s="87">
        <f t="shared" si="75"/>
        <v>0</v>
      </c>
      <c r="D23" s="87">
        <f t="shared" si="75"/>
        <v>0</v>
      </c>
      <c r="E23" s="87">
        <f t="shared" si="75"/>
        <v>0</v>
      </c>
      <c r="F23" s="87">
        <f t="shared" si="75"/>
        <v>0</v>
      </c>
      <c r="G23" s="87">
        <f t="shared" si="75"/>
        <v>0</v>
      </c>
      <c r="H23" s="87">
        <f t="shared" si="75"/>
        <v>0</v>
      </c>
      <c r="I23" s="87">
        <f t="shared" si="75"/>
        <v>0</v>
      </c>
      <c r="J23" s="87">
        <f t="shared" si="75"/>
        <v>0</v>
      </c>
      <c r="K23" s="87">
        <f t="shared" si="75"/>
        <v>0</v>
      </c>
      <c r="L23" s="87">
        <f t="shared" ref="L23" si="76">IF(L50=0,0,L50*L160)</f>
        <v>0</v>
      </c>
      <c r="M23" s="87">
        <f t="shared" ref="M23:V23" si="77">IF(M50=0,0,M50*M160)</f>
        <v>0</v>
      </c>
      <c r="N23" s="87">
        <f t="shared" si="77"/>
        <v>0</v>
      </c>
      <c r="O23" s="87">
        <f t="shared" si="77"/>
        <v>6.7115969154441834E-3</v>
      </c>
      <c r="P23" s="87">
        <f t="shared" si="77"/>
        <v>0.76646774757791358</v>
      </c>
      <c r="Q23" s="87">
        <f t="shared" si="77"/>
        <v>1.7278267061975856</v>
      </c>
      <c r="R23" s="87">
        <f t="shared" si="77"/>
        <v>2.9204152638928007</v>
      </c>
      <c r="S23" s="87">
        <f t="shared" si="77"/>
        <v>5.1534027209628199</v>
      </c>
      <c r="T23" s="87">
        <f t="shared" si="77"/>
        <v>11.404049271209749</v>
      </c>
      <c r="U23" s="87">
        <f t="shared" si="77"/>
        <v>27.149950089181733</v>
      </c>
      <c r="V23" s="87">
        <f t="shared" si="77"/>
        <v>22.150453085289282</v>
      </c>
      <c r="W23" s="87">
        <f t="shared" ref="W23:Y23" si="78">IF(W50=0,0,W50*W160)</f>
        <v>40.607579579012132</v>
      </c>
      <c r="X23" s="87">
        <f t="shared" si="78"/>
        <v>45.423715853609593</v>
      </c>
      <c r="Y23" s="87">
        <f t="shared" si="78"/>
        <v>46.933186049861099</v>
      </c>
      <c r="DA23" s="171" t="s">
        <v>469</v>
      </c>
    </row>
    <row r="24" spans="1:105" ht="11.45" customHeight="1" x14ac:dyDescent="0.25">
      <c r="A24" s="111" t="s">
        <v>113</v>
      </c>
      <c r="B24" s="87">
        <f t="shared" ref="B24:K24" si="79">IF(B51=0,0,B51*B161)</f>
        <v>0</v>
      </c>
      <c r="C24" s="87">
        <f t="shared" si="79"/>
        <v>0</v>
      </c>
      <c r="D24" s="87">
        <f t="shared" si="79"/>
        <v>0</v>
      </c>
      <c r="E24" s="87">
        <f t="shared" si="79"/>
        <v>0</v>
      </c>
      <c r="F24" s="87">
        <f t="shared" si="79"/>
        <v>0</v>
      </c>
      <c r="G24" s="87">
        <f t="shared" si="79"/>
        <v>0</v>
      </c>
      <c r="H24" s="87">
        <f t="shared" si="79"/>
        <v>0</v>
      </c>
      <c r="I24" s="87">
        <f t="shared" si="79"/>
        <v>0</v>
      </c>
      <c r="J24" s="87">
        <f t="shared" si="79"/>
        <v>0</v>
      </c>
      <c r="K24" s="87">
        <f t="shared" si="79"/>
        <v>0</v>
      </c>
      <c r="L24" s="87">
        <f t="shared" ref="L24" si="80">IF(L51=0,0,L51*L161)</f>
        <v>0</v>
      </c>
      <c r="M24" s="87">
        <f t="shared" ref="M24:V24" si="81">IF(M51=0,0,M51*M161)</f>
        <v>0</v>
      </c>
      <c r="N24" s="87">
        <f t="shared" si="81"/>
        <v>5.0992363330290807E-2</v>
      </c>
      <c r="O24" s="87">
        <f t="shared" si="81"/>
        <v>0.34722667726725753</v>
      </c>
      <c r="P24" s="87">
        <f t="shared" si="81"/>
        <v>0.57410735361363674</v>
      </c>
      <c r="Q24" s="87">
        <f t="shared" si="81"/>
        <v>1.7262290852574118</v>
      </c>
      <c r="R24" s="87">
        <f t="shared" si="81"/>
        <v>2.3231538387474462</v>
      </c>
      <c r="S24" s="87">
        <f t="shared" si="81"/>
        <v>3.589642458860788</v>
      </c>
      <c r="T24" s="87">
        <f t="shared" si="81"/>
        <v>6.7229612812272066</v>
      </c>
      <c r="U24" s="87">
        <f t="shared" si="81"/>
        <v>12.236980710464652</v>
      </c>
      <c r="V24" s="87">
        <f t="shared" si="81"/>
        <v>11.238601644922147</v>
      </c>
      <c r="W24" s="87">
        <f t="shared" ref="W24:Y24" si="82">IF(W51=0,0,W51*W161)</f>
        <v>18.095344150053727</v>
      </c>
      <c r="X24" s="87">
        <f t="shared" si="82"/>
        <v>19.325641172830935</v>
      </c>
      <c r="Y24" s="87">
        <f t="shared" si="82"/>
        <v>18.720687445563001</v>
      </c>
      <c r="DA24" s="171" t="s">
        <v>470</v>
      </c>
    </row>
    <row r="25" spans="1:105" ht="11.45" customHeight="1" x14ac:dyDescent="0.25">
      <c r="A25" s="111" t="s">
        <v>115</v>
      </c>
      <c r="B25" s="87">
        <f t="shared" ref="B25:K25" si="83">IF(B52=0,0,B52*B162)</f>
        <v>0</v>
      </c>
      <c r="C25" s="87">
        <f t="shared" si="83"/>
        <v>0</v>
      </c>
      <c r="D25" s="87">
        <f t="shared" si="83"/>
        <v>0</v>
      </c>
      <c r="E25" s="87">
        <f t="shared" si="83"/>
        <v>0</v>
      </c>
      <c r="F25" s="87">
        <f t="shared" si="83"/>
        <v>0</v>
      </c>
      <c r="G25" s="87">
        <f t="shared" si="83"/>
        <v>0</v>
      </c>
      <c r="H25" s="87">
        <f t="shared" si="83"/>
        <v>0</v>
      </c>
      <c r="I25" s="87">
        <f t="shared" si="83"/>
        <v>0</v>
      </c>
      <c r="J25" s="87">
        <f t="shared" si="83"/>
        <v>0</v>
      </c>
      <c r="K25" s="87">
        <f t="shared" si="83"/>
        <v>0</v>
      </c>
      <c r="L25" s="87">
        <f t="shared" ref="L25" si="84">IF(L52=0,0,L52*L162)</f>
        <v>0</v>
      </c>
      <c r="M25" s="87">
        <f t="shared" ref="M25:V25" si="85">IF(M52=0,0,M52*M162)</f>
        <v>6.4311031766436766E-2</v>
      </c>
      <c r="N25" s="87">
        <f t="shared" si="85"/>
        <v>0.59226059750382332</v>
      </c>
      <c r="O25" s="87">
        <f t="shared" si="85"/>
        <v>0.30864860061659288</v>
      </c>
      <c r="P25" s="87">
        <f t="shared" si="85"/>
        <v>3.5564963427595488</v>
      </c>
      <c r="Q25" s="87">
        <f t="shared" si="85"/>
        <v>5.2010727148605556</v>
      </c>
      <c r="R25" s="87">
        <f t="shared" si="85"/>
        <v>5.6327609168771788</v>
      </c>
      <c r="S25" s="87">
        <f t="shared" si="85"/>
        <v>7.9535790597334932</v>
      </c>
      <c r="T25" s="87">
        <f t="shared" si="85"/>
        <v>12.793969213919159</v>
      </c>
      <c r="U25" s="87">
        <f t="shared" si="85"/>
        <v>16.942753879736483</v>
      </c>
      <c r="V25" s="87">
        <f t="shared" si="85"/>
        <v>15.817586819042493</v>
      </c>
      <c r="W25" s="87">
        <f t="shared" ref="W25:Y25" si="86">IF(W52=0,0,W52*W162)</f>
        <v>28.159844958807273</v>
      </c>
      <c r="X25" s="87">
        <f t="shared" si="86"/>
        <v>36.746407211075038</v>
      </c>
      <c r="Y25" s="87">
        <f t="shared" si="86"/>
        <v>58.19043811170296</v>
      </c>
      <c r="DA25" s="171" t="s">
        <v>471</v>
      </c>
    </row>
    <row r="26" spans="1:105" ht="11.45" customHeight="1" x14ac:dyDescent="0.25">
      <c r="A26" s="109" t="s">
        <v>154</v>
      </c>
      <c r="B26" s="116">
        <f t="shared" ref="B26:K26" si="87">SUM(B27:B28)</f>
        <v>138942.75527580056</v>
      </c>
      <c r="C26" s="116">
        <f t="shared" si="87"/>
        <v>148289.46845144004</v>
      </c>
      <c r="D26" s="116">
        <f t="shared" si="87"/>
        <v>165817.8993770667</v>
      </c>
      <c r="E26" s="116">
        <f t="shared" si="87"/>
        <v>175306.36947498593</v>
      </c>
      <c r="F26" s="116">
        <f t="shared" si="87"/>
        <v>197834.9631148648</v>
      </c>
      <c r="G26" s="116">
        <f t="shared" si="87"/>
        <v>210721.19561327621</v>
      </c>
      <c r="H26" s="116">
        <f t="shared" si="87"/>
        <v>220129.3027852322</v>
      </c>
      <c r="I26" s="116">
        <f t="shared" si="87"/>
        <v>237266.16542326778</v>
      </c>
      <c r="J26" s="116">
        <f t="shared" si="87"/>
        <v>217319.783899161</v>
      </c>
      <c r="K26" s="116">
        <f t="shared" si="87"/>
        <v>189434.79571602755</v>
      </c>
      <c r="L26" s="116">
        <f t="shared" ref="L26" si="88">SUM(L27:L28)</f>
        <v>184401.4915288827</v>
      </c>
      <c r="M26" s="116">
        <f t="shared" ref="M26:V26" si="89">SUM(M27:M28)</f>
        <v>179868.55247564556</v>
      </c>
      <c r="N26" s="116">
        <f t="shared" si="89"/>
        <v>169769.57151140692</v>
      </c>
      <c r="O26" s="116">
        <f t="shared" si="89"/>
        <v>166115.63522961055</v>
      </c>
      <c r="P26" s="116">
        <f t="shared" si="89"/>
        <v>167111.44979536269</v>
      </c>
      <c r="Q26" s="116">
        <f t="shared" si="89"/>
        <v>177995.08268987073</v>
      </c>
      <c r="R26" s="116">
        <f t="shared" si="89"/>
        <v>186700.61371205631</v>
      </c>
      <c r="S26" s="116">
        <f t="shared" si="89"/>
        <v>197957.74587195448</v>
      </c>
      <c r="T26" s="116">
        <f t="shared" si="89"/>
        <v>203622</v>
      </c>
      <c r="U26" s="116">
        <f t="shared" si="89"/>
        <v>212705</v>
      </c>
      <c r="V26" s="116">
        <f t="shared" si="89"/>
        <v>207453</v>
      </c>
      <c r="W26" s="116">
        <f t="shared" ref="W26:Y26" si="90">SUM(W27:W28)</f>
        <v>231068</v>
      </c>
      <c r="X26" s="116">
        <f t="shared" si="90"/>
        <v>228131</v>
      </c>
      <c r="Y26" s="116">
        <f t="shared" si="90"/>
        <v>225262</v>
      </c>
      <c r="DA26" s="176" t="s">
        <v>383</v>
      </c>
    </row>
    <row r="27" spans="1:105" ht="11.45" customHeight="1" x14ac:dyDescent="0.25">
      <c r="A27" s="128" t="s">
        <v>27</v>
      </c>
      <c r="B27" s="101">
        <f t="shared" ref="B27:K27" si="91">IF(B54=0,0,B54*B164)</f>
        <v>106936</v>
      </c>
      <c r="C27" s="101">
        <f t="shared" si="91"/>
        <v>114004</v>
      </c>
      <c r="D27" s="101">
        <f t="shared" si="91"/>
        <v>129510</v>
      </c>
      <c r="E27" s="101">
        <f t="shared" si="91"/>
        <v>138413</v>
      </c>
      <c r="F27" s="101">
        <f t="shared" si="91"/>
        <v>155014</v>
      </c>
      <c r="G27" s="101">
        <f t="shared" si="91"/>
        <v>166386</v>
      </c>
      <c r="H27" s="101">
        <f t="shared" si="91"/>
        <v>174588</v>
      </c>
      <c r="I27" s="101">
        <f t="shared" si="91"/>
        <v>190611</v>
      </c>
      <c r="J27" s="101">
        <f t="shared" si="91"/>
        <v>175184</v>
      </c>
      <c r="K27" s="101">
        <f t="shared" si="91"/>
        <v>151060</v>
      </c>
      <c r="L27" s="101">
        <f t="shared" ref="L27:V27" si="92">IF(L54=0,0,L54*L164)</f>
        <v>146194</v>
      </c>
      <c r="M27" s="101">
        <f t="shared" si="92"/>
        <v>142323</v>
      </c>
      <c r="N27" s="101">
        <f t="shared" si="92"/>
        <v>133368</v>
      </c>
      <c r="O27" s="101">
        <f t="shared" si="92"/>
        <v>126997</v>
      </c>
      <c r="P27" s="101">
        <f t="shared" si="92"/>
        <v>128157.00000000001</v>
      </c>
      <c r="Q27" s="101">
        <f t="shared" si="92"/>
        <v>137236</v>
      </c>
      <c r="R27" s="101">
        <f t="shared" si="92"/>
        <v>144984</v>
      </c>
      <c r="S27" s="101">
        <f t="shared" si="92"/>
        <v>154666</v>
      </c>
      <c r="T27" s="101">
        <f t="shared" si="92"/>
        <v>158476</v>
      </c>
      <c r="U27" s="101">
        <f t="shared" si="92"/>
        <v>165910</v>
      </c>
      <c r="V27" s="101">
        <f t="shared" si="92"/>
        <v>163682</v>
      </c>
      <c r="W27" s="101">
        <f t="shared" ref="W27:Y27" si="93">IF(W54=0,0,W54*W164)</f>
        <v>182466</v>
      </c>
      <c r="X27" s="101">
        <f t="shared" si="93"/>
        <v>178005</v>
      </c>
      <c r="Y27" s="101">
        <f t="shared" si="93"/>
        <v>178213</v>
      </c>
      <c r="DA27" s="175" t="s">
        <v>472</v>
      </c>
    </row>
    <row r="28" spans="1:105" ht="11.45" customHeight="1" x14ac:dyDescent="0.25">
      <c r="A28" s="138" t="s">
        <v>116</v>
      </c>
      <c r="B28" s="88">
        <f t="shared" ref="B28:K28" si="94">IF(B55=0,0,B55*B165)</f>
        <v>32006.755275800562</v>
      </c>
      <c r="C28" s="88">
        <f t="shared" si="94"/>
        <v>34285.468451440043</v>
      </c>
      <c r="D28" s="88">
        <f t="shared" si="94"/>
        <v>36307.899377066715</v>
      </c>
      <c r="E28" s="88">
        <f t="shared" si="94"/>
        <v>36893.369474985928</v>
      </c>
      <c r="F28" s="88">
        <f t="shared" si="94"/>
        <v>42820.963114864804</v>
      </c>
      <c r="G28" s="88">
        <f t="shared" si="94"/>
        <v>44335.195613276213</v>
      </c>
      <c r="H28" s="88">
        <f t="shared" si="94"/>
        <v>45541.302785232197</v>
      </c>
      <c r="I28" s="88">
        <f t="shared" si="94"/>
        <v>46655.165423267783</v>
      </c>
      <c r="J28" s="88">
        <f t="shared" si="94"/>
        <v>42135.783899161004</v>
      </c>
      <c r="K28" s="88">
        <f t="shared" si="94"/>
        <v>38374.795716027555</v>
      </c>
      <c r="L28" s="88">
        <f t="shared" ref="L28:V28" si="95">IF(L55=0,0,L55*L165)</f>
        <v>38207.491528882703</v>
      </c>
      <c r="M28" s="88">
        <f t="shared" si="95"/>
        <v>37545.552475645556</v>
      </c>
      <c r="N28" s="88">
        <f t="shared" si="95"/>
        <v>36401.571511406917</v>
      </c>
      <c r="O28" s="88">
        <f t="shared" si="95"/>
        <v>39118.635229610547</v>
      </c>
      <c r="P28" s="88">
        <f t="shared" si="95"/>
        <v>38954.449795362671</v>
      </c>
      <c r="Q28" s="88">
        <f t="shared" si="95"/>
        <v>40759.082689870731</v>
      </c>
      <c r="R28" s="88">
        <f t="shared" si="95"/>
        <v>41716.613712056307</v>
      </c>
      <c r="S28" s="88">
        <f t="shared" si="95"/>
        <v>43291.745871954481</v>
      </c>
      <c r="T28" s="88">
        <f t="shared" si="95"/>
        <v>45146</v>
      </c>
      <c r="U28" s="88">
        <f t="shared" si="95"/>
        <v>46795</v>
      </c>
      <c r="V28" s="88">
        <f t="shared" si="95"/>
        <v>43771</v>
      </c>
      <c r="W28" s="88">
        <f t="shared" ref="W28:Y28" si="96">IF(W55=0,0,W55*W165)</f>
        <v>48602</v>
      </c>
      <c r="X28" s="88">
        <f t="shared" si="96"/>
        <v>50126</v>
      </c>
      <c r="Y28" s="88">
        <f t="shared" si="96"/>
        <v>47049</v>
      </c>
      <c r="DA28" s="178" t="s">
        <v>473</v>
      </c>
    </row>
    <row r="29" spans="1:105" ht="11.45" customHeight="1" x14ac:dyDescent="0.25">
      <c r="A29" s="106"/>
      <c r="B29" s="106"/>
      <c r="C29" s="106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X29" s="106"/>
      <c r="Y29" s="106"/>
      <c r="DA29" s="171"/>
    </row>
    <row r="30" spans="1:105" ht="11.45" customHeight="1" x14ac:dyDescent="0.25">
      <c r="A30" s="53" t="s">
        <v>134</v>
      </c>
      <c r="B30" s="62">
        <f t="shared" ref="B30" si="97">B31+B46</f>
        <v>220051.1615579272</v>
      </c>
      <c r="C30" s="62">
        <f t="shared" ref="C30:V30" si="98">C31+C46</f>
        <v>238149.37681194668</v>
      </c>
      <c r="D30" s="62">
        <f t="shared" si="98"/>
        <v>248733.01728520234</v>
      </c>
      <c r="E30" s="62">
        <f t="shared" si="98"/>
        <v>262216.62022323848</v>
      </c>
      <c r="F30" s="62">
        <f t="shared" si="98"/>
        <v>280704.25560695067</v>
      </c>
      <c r="G30" s="62">
        <f t="shared" si="98"/>
        <v>295442.00937619538</v>
      </c>
      <c r="H30" s="62">
        <f t="shared" si="98"/>
        <v>309327.77882403223</v>
      </c>
      <c r="I30" s="62">
        <f t="shared" si="98"/>
        <v>327483.56658369512</v>
      </c>
      <c r="J30" s="62">
        <f t="shared" si="98"/>
        <v>325093.68343476206</v>
      </c>
      <c r="K30" s="62">
        <f t="shared" si="98"/>
        <v>323469.51806345762</v>
      </c>
      <c r="L30" s="62">
        <f t="shared" si="98"/>
        <v>317764.85101610172</v>
      </c>
      <c r="M30" s="62">
        <f t="shared" si="98"/>
        <v>311650.05539454328</v>
      </c>
      <c r="N30" s="62">
        <f t="shared" si="98"/>
        <v>298755.02676669927</v>
      </c>
      <c r="O30" s="62">
        <f t="shared" si="98"/>
        <v>296463.712600631</v>
      </c>
      <c r="P30" s="62">
        <f t="shared" si="98"/>
        <v>302200.84507942741</v>
      </c>
      <c r="Q30" s="62">
        <f t="shared" si="98"/>
        <v>315864.94010525499</v>
      </c>
      <c r="R30" s="62">
        <f t="shared" si="98"/>
        <v>305030.30761429918</v>
      </c>
      <c r="S30" s="62">
        <f t="shared" si="98"/>
        <v>325317.59907915816</v>
      </c>
      <c r="T30" s="62">
        <f t="shared" si="98"/>
        <v>330962.28796436742</v>
      </c>
      <c r="U30" s="62">
        <f t="shared" si="98"/>
        <v>355195.30540457112</v>
      </c>
      <c r="V30" s="62">
        <f t="shared" si="98"/>
        <v>289135.36962129758</v>
      </c>
      <c r="W30" s="62">
        <f t="shared" ref="W30:Y30" si="99">W31+W46</f>
        <v>347730.26624499355</v>
      </c>
      <c r="X30" s="62">
        <f t="shared" si="99"/>
        <v>363531.33827183419</v>
      </c>
      <c r="Y30" s="62">
        <f t="shared" si="99"/>
        <v>373659.85217477288</v>
      </c>
      <c r="DA30" s="172" t="s">
        <v>474</v>
      </c>
    </row>
    <row r="31" spans="1:105" ht="11.45" customHeight="1" x14ac:dyDescent="0.25">
      <c r="A31" s="27" t="s">
        <v>33</v>
      </c>
      <c r="B31" s="29">
        <f t="shared" ref="B31" si="100">B32+B33+B40</f>
        <v>185801.8918447764</v>
      </c>
      <c r="C31" s="29">
        <f t="shared" ref="C31:V31" si="101">C32+C33+C40</f>
        <v>197681.50876814331</v>
      </c>
      <c r="D31" s="29">
        <f t="shared" si="101"/>
        <v>208719.76309942149</v>
      </c>
      <c r="E31" s="29">
        <f t="shared" si="101"/>
        <v>218945.41022544107</v>
      </c>
      <c r="F31" s="29">
        <f t="shared" si="101"/>
        <v>233782.32070080363</v>
      </c>
      <c r="G31" s="29">
        <f t="shared" si="101"/>
        <v>249204.2526991503</v>
      </c>
      <c r="H31" s="29">
        <f t="shared" si="101"/>
        <v>260370.12625384176</v>
      </c>
      <c r="I31" s="29">
        <f t="shared" si="101"/>
        <v>272259.80653324677</v>
      </c>
      <c r="J31" s="29">
        <f t="shared" si="101"/>
        <v>274258.16422392958</v>
      </c>
      <c r="K31" s="29">
        <f t="shared" si="101"/>
        <v>278500.86775662674</v>
      </c>
      <c r="L31" s="29">
        <f t="shared" si="101"/>
        <v>273505.13902299304</v>
      </c>
      <c r="M31" s="29">
        <f t="shared" si="101"/>
        <v>268288.63230658841</v>
      </c>
      <c r="N31" s="29">
        <f t="shared" si="101"/>
        <v>258378.23133813191</v>
      </c>
      <c r="O31" s="29">
        <f t="shared" si="101"/>
        <v>256563.97710404408</v>
      </c>
      <c r="P31" s="29">
        <f t="shared" si="101"/>
        <v>262610.36896519363</v>
      </c>
      <c r="Q31" s="29">
        <f t="shared" si="101"/>
        <v>274400.8654945874</v>
      </c>
      <c r="R31" s="29">
        <f t="shared" si="101"/>
        <v>263788.19136052113</v>
      </c>
      <c r="S31" s="29">
        <f t="shared" si="101"/>
        <v>281201.88885718811</v>
      </c>
      <c r="T31" s="29">
        <f t="shared" si="101"/>
        <v>285773.16598183481</v>
      </c>
      <c r="U31" s="29">
        <f t="shared" si="101"/>
        <v>308985.88521113887</v>
      </c>
      <c r="V31" s="29">
        <f t="shared" si="101"/>
        <v>252916.50303764254</v>
      </c>
      <c r="W31" s="29">
        <f t="shared" ref="W31:Y31" si="102">W32+W33+W40</f>
        <v>301453.0634477514</v>
      </c>
      <c r="X31" s="29">
        <f t="shared" si="102"/>
        <v>314998.33068413113</v>
      </c>
      <c r="Y31" s="29">
        <f t="shared" si="102"/>
        <v>325590.91263190249</v>
      </c>
      <c r="DA31" s="173" t="s">
        <v>475</v>
      </c>
    </row>
    <row r="32" spans="1:105" ht="11.45" customHeight="1" x14ac:dyDescent="0.25">
      <c r="A32" s="136" t="s">
        <v>173</v>
      </c>
      <c r="B32" s="152">
        <v>8791.0360018323117</v>
      </c>
      <c r="C32" s="152">
        <v>9346.2714792980096</v>
      </c>
      <c r="D32" s="152">
        <v>8683.6289774844317</v>
      </c>
      <c r="E32" s="152">
        <v>9833.0620591866864</v>
      </c>
      <c r="F32" s="152">
        <v>9554.062932751538</v>
      </c>
      <c r="G32" s="152">
        <v>10980.416034343767</v>
      </c>
      <c r="H32" s="152">
        <v>11230.638856534488</v>
      </c>
      <c r="I32" s="152">
        <v>12772.5</v>
      </c>
      <c r="J32" s="152">
        <v>12870</v>
      </c>
      <c r="K32" s="152">
        <v>13357.5</v>
      </c>
      <c r="L32" s="152">
        <v>13624</v>
      </c>
      <c r="M32" s="152">
        <v>12530.199999999999</v>
      </c>
      <c r="N32" s="152">
        <v>11923.199999999999</v>
      </c>
      <c r="O32" s="152">
        <v>11816.377207142637</v>
      </c>
      <c r="P32" s="152">
        <v>13236.974497462179</v>
      </c>
      <c r="Q32" s="152">
        <v>14591.855237906064</v>
      </c>
      <c r="R32" s="152">
        <v>14900.182040322174</v>
      </c>
      <c r="S32" s="152">
        <v>14058.533262567733</v>
      </c>
      <c r="T32" s="152">
        <v>13398.693536987215</v>
      </c>
      <c r="U32" s="152">
        <v>14540.492317162851</v>
      </c>
      <c r="V32" s="152">
        <v>12731.494964057452</v>
      </c>
      <c r="W32" s="152">
        <v>13591.362823289597</v>
      </c>
      <c r="X32" s="152">
        <v>13743.020337301688</v>
      </c>
      <c r="Y32" s="152">
        <v>14840.344439796978</v>
      </c>
      <c r="DA32" s="174" t="s">
        <v>476</v>
      </c>
    </row>
    <row r="33" spans="1:105" ht="11.45" customHeight="1" x14ac:dyDescent="0.25">
      <c r="A33" s="109" t="s">
        <v>20</v>
      </c>
      <c r="B33" s="116">
        <f t="shared" ref="B33" si="103">SUM(B34:B39)</f>
        <v>175043.52284672097</v>
      </c>
      <c r="C33" s="116">
        <f t="shared" ref="C33:V33" si="104">SUM(C34:C39)</f>
        <v>186318.18568671774</v>
      </c>
      <c r="D33" s="116">
        <f t="shared" si="104"/>
        <v>198032.82763287053</v>
      </c>
      <c r="E33" s="116">
        <f t="shared" si="104"/>
        <v>207097.53966247092</v>
      </c>
      <c r="F33" s="116">
        <f t="shared" si="104"/>
        <v>222133.1201078844</v>
      </c>
      <c r="G33" s="116">
        <f t="shared" si="104"/>
        <v>236130.285119037</v>
      </c>
      <c r="H33" s="116">
        <f t="shared" si="104"/>
        <v>246940.98692659504</v>
      </c>
      <c r="I33" s="116">
        <f t="shared" si="104"/>
        <v>257217.03043812077</v>
      </c>
      <c r="J33" s="116">
        <f t="shared" si="104"/>
        <v>259123.16757242786</v>
      </c>
      <c r="K33" s="116">
        <f t="shared" si="104"/>
        <v>262906.36775662674</v>
      </c>
      <c r="L33" s="116">
        <f t="shared" si="104"/>
        <v>257687.13902299307</v>
      </c>
      <c r="M33" s="116">
        <f t="shared" si="104"/>
        <v>253577.26379431636</v>
      </c>
      <c r="N33" s="116">
        <f t="shared" si="104"/>
        <v>244316.63083590436</v>
      </c>
      <c r="O33" s="116">
        <f t="shared" si="104"/>
        <v>242738.09371694838</v>
      </c>
      <c r="P33" s="116">
        <f t="shared" si="104"/>
        <v>247406.50237122926</v>
      </c>
      <c r="Q33" s="116">
        <f t="shared" si="104"/>
        <v>257786.01025668136</v>
      </c>
      <c r="R33" s="116">
        <f t="shared" si="104"/>
        <v>246860.00932019897</v>
      </c>
      <c r="S33" s="116">
        <f t="shared" si="104"/>
        <v>265851.3555946204</v>
      </c>
      <c r="T33" s="116">
        <f t="shared" si="104"/>
        <v>271040.47244484758</v>
      </c>
      <c r="U33" s="116">
        <f t="shared" si="104"/>
        <v>293076.39289397601</v>
      </c>
      <c r="V33" s="116">
        <f t="shared" si="104"/>
        <v>239282.33607358509</v>
      </c>
      <c r="W33" s="116">
        <f t="shared" ref="W33:Y33" si="105">SUM(W34:W39)</f>
        <v>286705.12088581285</v>
      </c>
      <c r="X33" s="116">
        <f t="shared" si="105"/>
        <v>299927.79272113729</v>
      </c>
      <c r="Y33" s="116">
        <f t="shared" si="105"/>
        <v>309237.11812787515</v>
      </c>
      <c r="DA33" s="176" t="s">
        <v>477</v>
      </c>
    </row>
    <row r="34" spans="1:105" ht="11.45" customHeight="1" x14ac:dyDescent="0.25">
      <c r="A34" s="111" t="s">
        <v>110</v>
      </c>
      <c r="B34" s="87">
        <v>89528.62895829638</v>
      </c>
      <c r="C34" s="87">
        <v>89444.616181778329</v>
      </c>
      <c r="D34" s="87">
        <v>89193.016867037746</v>
      </c>
      <c r="E34" s="87">
        <v>85966.073421949462</v>
      </c>
      <c r="F34" s="87">
        <v>85035.8241940148</v>
      </c>
      <c r="G34" s="87">
        <v>83407.722808833176</v>
      </c>
      <c r="H34" s="87">
        <v>80298.224115502715</v>
      </c>
      <c r="I34" s="87">
        <v>77931.588820218065</v>
      </c>
      <c r="J34" s="87">
        <v>75033.291077191869</v>
      </c>
      <c r="K34" s="87">
        <v>72639.824893299054</v>
      </c>
      <c r="L34" s="87">
        <v>68416.178260973189</v>
      </c>
      <c r="M34" s="87">
        <v>65344.802337714042</v>
      </c>
      <c r="N34" s="87">
        <v>61371.349342549875</v>
      </c>
      <c r="O34" s="87">
        <v>58889.04040006268</v>
      </c>
      <c r="P34" s="87">
        <v>57919.027936248713</v>
      </c>
      <c r="Q34" s="87">
        <v>58975.718151071989</v>
      </c>
      <c r="R34" s="87">
        <v>56824.995834492096</v>
      </c>
      <c r="S34" s="87">
        <v>57308.395124754752</v>
      </c>
      <c r="T34" s="87">
        <v>59576.485290088116</v>
      </c>
      <c r="U34" s="87">
        <v>66142.273331675708</v>
      </c>
      <c r="V34" s="87">
        <v>47179.948057594702</v>
      </c>
      <c r="W34" s="87">
        <v>60876.201438824719</v>
      </c>
      <c r="X34" s="87">
        <v>71130.724695047495</v>
      </c>
      <c r="Y34" s="87">
        <v>77693.613425742296</v>
      </c>
      <c r="DA34" s="171" t="s">
        <v>478</v>
      </c>
    </row>
    <row r="35" spans="1:105" ht="11.45" customHeight="1" x14ac:dyDescent="0.25">
      <c r="A35" s="111" t="s">
        <v>111</v>
      </c>
      <c r="B35" s="87">
        <v>85127.91045751069</v>
      </c>
      <c r="C35" s="87">
        <v>96488.354610634968</v>
      </c>
      <c r="D35" s="87">
        <v>108445.78699778565</v>
      </c>
      <c r="E35" s="87">
        <v>120764.10873123909</v>
      </c>
      <c r="F35" s="87">
        <v>136728.06595698322</v>
      </c>
      <c r="G35" s="87">
        <v>152443.51181830536</v>
      </c>
      <c r="H35" s="87">
        <v>166365.32774708007</v>
      </c>
      <c r="I35" s="87">
        <v>179053.81439881632</v>
      </c>
      <c r="J35" s="87">
        <v>183910.64007587134</v>
      </c>
      <c r="K35" s="87">
        <v>190048.32972830866</v>
      </c>
      <c r="L35" s="87">
        <v>189031.67625139977</v>
      </c>
      <c r="M35" s="87">
        <v>187975.1702924229</v>
      </c>
      <c r="N35" s="87">
        <v>182562.07012456321</v>
      </c>
      <c r="O35" s="87">
        <v>183420.23149037344</v>
      </c>
      <c r="P35" s="87">
        <v>189005.85167989746</v>
      </c>
      <c r="Q35" s="87">
        <v>198258.99864410469</v>
      </c>
      <c r="R35" s="87">
        <v>189437.86746128139</v>
      </c>
      <c r="S35" s="87">
        <v>207793.00146687715</v>
      </c>
      <c r="T35" s="87">
        <v>210294.7312241194</v>
      </c>
      <c r="U35" s="87">
        <v>225229.15726297724</v>
      </c>
      <c r="V35" s="87">
        <v>190550.00951462117</v>
      </c>
      <c r="W35" s="87">
        <v>223181.53197883759</v>
      </c>
      <c r="X35" s="87">
        <v>225003.148768479</v>
      </c>
      <c r="Y35" s="87">
        <v>225946.39628326794</v>
      </c>
      <c r="DA35" s="171" t="s">
        <v>479</v>
      </c>
    </row>
    <row r="36" spans="1:105" ht="11.45" customHeight="1" x14ac:dyDescent="0.25">
      <c r="A36" s="111" t="s">
        <v>112</v>
      </c>
      <c r="B36" s="87">
        <v>386.98343091391774</v>
      </c>
      <c r="C36" s="87">
        <v>385.21489430445735</v>
      </c>
      <c r="D36" s="87">
        <v>394.02376804713185</v>
      </c>
      <c r="E36" s="87">
        <v>367.35750928236718</v>
      </c>
      <c r="F36" s="87">
        <v>350.24493696468579</v>
      </c>
      <c r="G36" s="87">
        <v>237.68347165712754</v>
      </c>
      <c r="H36" s="87">
        <v>210.39356445429456</v>
      </c>
      <c r="I36" s="87">
        <v>166.68543768033342</v>
      </c>
      <c r="J36" s="87">
        <v>113.81510077459849</v>
      </c>
      <c r="K36" s="87">
        <v>151.03856763095268</v>
      </c>
      <c r="L36" s="87">
        <v>171.9024885910633</v>
      </c>
      <c r="M36" s="87">
        <v>185.7970596535437</v>
      </c>
      <c r="N36" s="87">
        <v>260.98050111447532</v>
      </c>
      <c r="O36" s="87">
        <v>274.79420475880551</v>
      </c>
      <c r="P36" s="87">
        <v>314.46671932977887</v>
      </c>
      <c r="Q36" s="87">
        <v>351.25780228881041</v>
      </c>
      <c r="R36" s="87">
        <v>369.63772804463429</v>
      </c>
      <c r="S36" s="87">
        <v>443.16673057613906</v>
      </c>
      <c r="T36" s="87">
        <v>694.01556707001089</v>
      </c>
      <c r="U36" s="87">
        <v>1033.7682197055792</v>
      </c>
      <c r="V36" s="87">
        <v>762.9611649043095</v>
      </c>
      <c r="W36" s="87">
        <v>1044.0406194828595</v>
      </c>
      <c r="X36" s="87">
        <v>1381.4031815354215</v>
      </c>
      <c r="Y36" s="87">
        <v>2142.4402322059318</v>
      </c>
      <c r="DA36" s="171" t="s">
        <v>480</v>
      </c>
    </row>
    <row r="37" spans="1:105" ht="11.45" customHeight="1" x14ac:dyDescent="0.25">
      <c r="A37" s="111" t="s">
        <v>113</v>
      </c>
      <c r="B37" s="87">
        <v>0</v>
      </c>
      <c r="C37" s="87">
        <v>0</v>
      </c>
      <c r="D37" s="87">
        <v>0</v>
      </c>
      <c r="E37" s="87">
        <v>0</v>
      </c>
      <c r="F37" s="87">
        <v>18.985019921702605</v>
      </c>
      <c r="G37" s="87">
        <v>41.367020241334664</v>
      </c>
      <c r="H37" s="87">
        <v>67.041499557934998</v>
      </c>
      <c r="I37" s="87">
        <v>64.941781406043859</v>
      </c>
      <c r="J37" s="87">
        <v>65.421318590047534</v>
      </c>
      <c r="K37" s="87">
        <v>67.16379411389056</v>
      </c>
      <c r="L37" s="87">
        <v>66.546953752049802</v>
      </c>
      <c r="M37" s="87">
        <v>65.086253455090997</v>
      </c>
      <c r="N37" s="87">
        <v>109.64723415379382</v>
      </c>
      <c r="O37" s="87">
        <v>129.3206718899211</v>
      </c>
      <c r="P37" s="87">
        <v>129.43731517250245</v>
      </c>
      <c r="Q37" s="87">
        <v>136.21787671184128</v>
      </c>
      <c r="R37" s="87">
        <v>129.2872378035926</v>
      </c>
      <c r="S37" s="87">
        <v>141.51491052900917</v>
      </c>
      <c r="T37" s="87">
        <v>194.97958377974683</v>
      </c>
      <c r="U37" s="87">
        <v>215.30898621468771</v>
      </c>
      <c r="V37" s="87">
        <v>158.13121034707754</v>
      </c>
      <c r="W37" s="87">
        <v>216.13180300155437</v>
      </c>
      <c r="X37" s="87">
        <v>249.55052702436308</v>
      </c>
      <c r="Y37" s="87">
        <v>256.90858076380579</v>
      </c>
      <c r="DA37" s="171" t="s">
        <v>481</v>
      </c>
    </row>
    <row r="38" spans="1:105" ht="11.45" customHeight="1" x14ac:dyDescent="0.25">
      <c r="A38" s="111" t="s">
        <v>114</v>
      </c>
      <c r="B38" s="87">
        <v>0</v>
      </c>
      <c r="C38" s="87">
        <v>0</v>
      </c>
      <c r="D38" s="87">
        <v>0</v>
      </c>
      <c r="E38" s="87">
        <v>0</v>
      </c>
      <c r="F38" s="87">
        <v>0</v>
      </c>
      <c r="G38" s="87">
        <v>0</v>
      </c>
      <c r="H38" s="87">
        <v>0</v>
      </c>
      <c r="I38" s="87">
        <v>0</v>
      </c>
      <c r="J38" s="87">
        <v>0</v>
      </c>
      <c r="K38" s="87">
        <v>0</v>
      </c>
      <c r="L38" s="87">
        <v>0</v>
      </c>
      <c r="M38" s="87">
        <v>7.0551144208833294E-2</v>
      </c>
      <c r="N38" s="87">
        <v>0.92062434921706848</v>
      </c>
      <c r="O38" s="87">
        <v>1.5949075178673988</v>
      </c>
      <c r="P38" s="87">
        <v>5.1842894500165402</v>
      </c>
      <c r="Q38" s="87">
        <v>11.825990478344467</v>
      </c>
      <c r="R38" s="87">
        <v>25.369524943288628</v>
      </c>
      <c r="S38" s="87">
        <v>52.352459039493453</v>
      </c>
      <c r="T38" s="87">
        <v>97.703092436200706</v>
      </c>
      <c r="U38" s="87">
        <v>167.13956191938496</v>
      </c>
      <c r="V38" s="87">
        <v>258.82013349059787</v>
      </c>
      <c r="W38" s="87">
        <v>649.50345490342011</v>
      </c>
      <c r="X38" s="87">
        <v>1073.2136010364122</v>
      </c>
      <c r="Y38" s="87">
        <v>1571.9373423372851</v>
      </c>
      <c r="DA38" s="171" t="s">
        <v>482</v>
      </c>
    </row>
    <row r="39" spans="1:105" ht="11.45" customHeight="1" x14ac:dyDescent="0.25">
      <c r="A39" s="111" t="s">
        <v>115</v>
      </c>
      <c r="B39" s="87">
        <v>0</v>
      </c>
      <c r="C39" s="87">
        <v>0</v>
      </c>
      <c r="D39" s="87">
        <v>0</v>
      </c>
      <c r="E39" s="87">
        <v>0</v>
      </c>
      <c r="F39" s="87">
        <v>0</v>
      </c>
      <c r="G39" s="87">
        <v>0</v>
      </c>
      <c r="H39" s="87">
        <v>0</v>
      </c>
      <c r="I39" s="87">
        <v>0</v>
      </c>
      <c r="J39" s="87">
        <v>0</v>
      </c>
      <c r="K39" s="87">
        <v>1.0773274128440948E-2</v>
      </c>
      <c r="L39" s="87">
        <v>0.83506827698538477</v>
      </c>
      <c r="M39" s="87">
        <v>6.3372999265869874</v>
      </c>
      <c r="N39" s="87">
        <v>11.663009173798896</v>
      </c>
      <c r="O39" s="87">
        <v>23.112042345669881</v>
      </c>
      <c r="P39" s="87">
        <v>32.534431130762556</v>
      </c>
      <c r="Q39" s="87">
        <v>51.991792025717736</v>
      </c>
      <c r="R39" s="87">
        <v>72.851533633952016</v>
      </c>
      <c r="S39" s="87">
        <v>112.92490284381273</v>
      </c>
      <c r="T39" s="87">
        <v>182.55768735412067</v>
      </c>
      <c r="U39" s="87">
        <v>288.7455314834628</v>
      </c>
      <c r="V39" s="87">
        <v>372.46599262720548</v>
      </c>
      <c r="W39" s="87">
        <v>737.71159076263666</v>
      </c>
      <c r="X39" s="87">
        <v>1089.7519480145986</v>
      </c>
      <c r="Y39" s="87">
        <v>1625.8222635579439</v>
      </c>
      <c r="DA39" s="171" t="s">
        <v>483</v>
      </c>
    </row>
    <row r="40" spans="1:105" ht="11.45" customHeight="1" x14ac:dyDescent="0.25">
      <c r="A40" s="109" t="s">
        <v>21</v>
      </c>
      <c r="B40" s="116">
        <f t="shared" ref="B40" si="106">SUM(B41:B45)</f>
        <v>1967.3329962231114</v>
      </c>
      <c r="C40" s="116">
        <f t="shared" ref="C40:V40" si="107">SUM(C41:C45)</f>
        <v>2017.0516021275628</v>
      </c>
      <c r="D40" s="116">
        <f t="shared" si="107"/>
        <v>2003.3064890665378</v>
      </c>
      <c r="E40" s="116">
        <f t="shared" si="107"/>
        <v>2014.8085037834458</v>
      </c>
      <c r="F40" s="116">
        <f t="shared" si="107"/>
        <v>2095.137660167678</v>
      </c>
      <c r="G40" s="116">
        <f t="shared" si="107"/>
        <v>2093.5515457695246</v>
      </c>
      <c r="H40" s="116">
        <f t="shared" si="107"/>
        <v>2198.5004707122357</v>
      </c>
      <c r="I40" s="116">
        <f t="shared" si="107"/>
        <v>2270.2760951259743</v>
      </c>
      <c r="J40" s="116">
        <f t="shared" si="107"/>
        <v>2264.9966515016722</v>
      </c>
      <c r="K40" s="116">
        <f t="shared" si="107"/>
        <v>2237</v>
      </c>
      <c r="L40" s="116">
        <f t="shared" si="107"/>
        <v>2194</v>
      </c>
      <c r="M40" s="116">
        <f t="shared" si="107"/>
        <v>2181.1685122720892</v>
      </c>
      <c r="N40" s="116">
        <f t="shared" si="107"/>
        <v>2138.4005022275387</v>
      </c>
      <c r="O40" s="116">
        <f t="shared" si="107"/>
        <v>2009.5061799530563</v>
      </c>
      <c r="P40" s="116">
        <f t="shared" si="107"/>
        <v>1966.8920965021673</v>
      </c>
      <c r="Q40" s="116">
        <f t="shared" si="107"/>
        <v>2023</v>
      </c>
      <c r="R40" s="116">
        <f t="shared" si="107"/>
        <v>2027.9999999999995</v>
      </c>
      <c r="S40" s="116">
        <f t="shared" si="107"/>
        <v>1291.9999999999998</v>
      </c>
      <c r="T40" s="116">
        <f t="shared" si="107"/>
        <v>1334.0000000000002</v>
      </c>
      <c r="U40" s="116">
        <f t="shared" si="107"/>
        <v>1369.0000000000002</v>
      </c>
      <c r="V40" s="116">
        <f t="shared" si="107"/>
        <v>902.67199999999991</v>
      </c>
      <c r="W40" s="116">
        <f t="shared" ref="W40:Y40" si="108">SUM(W41:W45)</f>
        <v>1156.579738648948</v>
      </c>
      <c r="X40" s="116">
        <f t="shared" si="108"/>
        <v>1327.5176256921375</v>
      </c>
      <c r="Y40" s="116">
        <f t="shared" si="108"/>
        <v>1513.4500642303433</v>
      </c>
      <c r="DA40" s="176" t="s">
        <v>484</v>
      </c>
    </row>
    <row r="41" spans="1:105" ht="11.45" customHeight="1" x14ac:dyDescent="0.25">
      <c r="A41" s="111" t="s">
        <v>110</v>
      </c>
      <c r="B41" s="101">
        <v>19.539810413197497</v>
      </c>
      <c r="C41" s="101">
        <v>20.01586009654984</v>
      </c>
      <c r="D41" s="101">
        <v>20.56972167161646</v>
      </c>
      <c r="E41" s="101">
        <v>20.630734071465739</v>
      </c>
      <c r="F41" s="101">
        <v>20.844320754460789</v>
      </c>
      <c r="G41" s="101">
        <v>18.687920465880332</v>
      </c>
      <c r="H41" s="101">
        <v>18.491403541393517</v>
      </c>
      <c r="I41" s="101">
        <v>20.999013701712538</v>
      </c>
      <c r="J41" s="101">
        <v>19.143930904285877</v>
      </c>
      <c r="K41" s="101">
        <v>17.42575730954232</v>
      </c>
      <c r="L41" s="101">
        <v>16.20460074112518</v>
      </c>
      <c r="M41" s="101">
        <v>15.457492113185401</v>
      </c>
      <c r="N41" s="101">
        <v>14.366001417034433</v>
      </c>
      <c r="O41" s="101">
        <v>13.416995776089001</v>
      </c>
      <c r="P41" s="101">
        <v>12.621637320592141</v>
      </c>
      <c r="Q41" s="101">
        <v>12.397254474265488</v>
      </c>
      <c r="R41" s="101">
        <v>12.197047191893811</v>
      </c>
      <c r="S41" s="101">
        <v>10.050138305232718</v>
      </c>
      <c r="T41" s="101">
        <v>9.5023948912812806</v>
      </c>
      <c r="U41" s="101">
        <v>8.9089058853191094</v>
      </c>
      <c r="V41" s="101">
        <v>5.4320545794422967</v>
      </c>
      <c r="W41" s="101">
        <v>6.8259359916123428</v>
      </c>
      <c r="X41" s="101">
        <v>7.4120710814148021</v>
      </c>
      <c r="Y41" s="101">
        <v>7.8183001497443314</v>
      </c>
      <c r="DA41" s="175" t="s">
        <v>485</v>
      </c>
    </row>
    <row r="42" spans="1:105" ht="11.45" customHeight="1" x14ac:dyDescent="0.25">
      <c r="A42" s="111" t="s">
        <v>111</v>
      </c>
      <c r="B42" s="101">
        <v>1941.1677828778993</v>
      </c>
      <c r="C42" s="101">
        <v>1990.4111599404405</v>
      </c>
      <c r="D42" s="101">
        <v>1982.282085698725</v>
      </c>
      <c r="E42" s="101">
        <v>1983.4404975109398</v>
      </c>
      <c r="F42" s="101">
        <v>2060.2840180376716</v>
      </c>
      <c r="G42" s="101">
        <v>2058.9202635754687</v>
      </c>
      <c r="H42" s="101">
        <v>2162.417940846547</v>
      </c>
      <c r="I42" s="101">
        <v>2226.3529193573731</v>
      </c>
      <c r="J42" s="101">
        <v>2224.5848205459833</v>
      </c>
      <c r="K42" s="101">
        <v>2198.2383735614271</v>
      </c>
      <c r="L42" s="101">
        <v>2156.5443011231318</v>
      </c>
      <c r="M42" s="101">
        <v>2144.5404220132568</v>
      </c>
      <c r="N42" s="101">
        <v>2102.8554973383198</v>
      </c>
      <c r="O42" s="101">
        <v>1972.8321609310274</v>
      </c>
      <c r="P42" s="101">
        <v>1932.5094045269304</v>
      </c>
      <c r="Q42" s="101">
        <v>1922.8454139551475</v>
      </c>
      <c r="R42" s="101">
        <v>1911.2828786892137</v>
      </c>
      <c r="S42" s="101">
        <v>1130.0525875260641</v>
      </c>
      <c r="T42" s="101">
        <v>1144.4256665768958</v>
      </c>
      <c r="U42" s="101">
        <v>1129.0316772569431</v>
      </c>
      <c r="V42" s="101">
        <v>715.80911824634586</v>
      </c>
      <c r="W42" s="101">
        <v>903.67765094437937</v>
      </c>
      <c r="X42" s="101">
        <v>1035.851930228835</v>
      </c>
      <c r="Y42" s="101">
        <v>1157.3427657333982</v>
      </c>
      <c r="DA42" s="175" t="s">
        <v>486</v>
      </c>
    </row>
    <row r="43" spans="1:105" ht="11.45" customHeight="1" x14ac:dyDescent="0.25">
      <c r="A43" s="111" t="s">
        <v>112</v>
      </c>
      <c r="B43" s="101">
        <v>0</v>
      </c>
      <c r="C43" s="101">
        <v>0</v>
      </c>
      <c r="D43" s="101">
        <v>0</v>
      </c>
      <c r="E43" s="101">
        <v>0</v>
      </c>
      <c r="F43" s="101">
        <v>0</v>
      </c>
      <c r="G43" s="101">
        <v>0</v>
      </c>
      <c r="H43" s="101">
        <v>0</v>
      </c>
      <c r="I43" s="101">
        <v>0</v>
      </c>
      <c r="J43" s="101">
        <v>0</v>
      </c>
      <c r="K43" s="101">
        <v>0</v>
      </c>
      <c r="L43" s="101">
        <v>0</v>
      </c>
      <c r="M43" s="101">
        <v>0</v>
      </c>
      <c r="N43" s="101">
        <v>0</v>
      </c>
      <c r="O43" s="101">
        <v>0</v>
      </c>
      <c r="P43" s="101">
        <v>7.5854156389528971E-2</v>
      </c>
      <c r="Q43" s="101">
        <v>2.0160723489460848</v>
      </c>
      <c r="R43" s="101">
        <v>2.0039526410446555</v>
      </c>
      <c r="S43" s="101">
        <v>1.7230115695275259</v>
      </c>
      <c r="T43" s="101">
        <v>1.6070820696833805</v>
      </c>
      <c r="U43" s="101">
        <v>2.0840087650584067</v>
      </c>
      <c r="V43" s="101">
        <v>1.7493852166243158</v>
      </c>
      <c r="W43" s="101">
        <v>4.7099435191293191</v>
      </c>
      <c r="X43" s="101">
        <v>6.9714278400415912</v>
      </c>
      <c r="Y43" s="101">
        <v>10.053458255970781</v>
      </c>
      <c r="DA43" s="175" t="s">
        <v>487</v>
      </c>
    </row>
    <row r="44" spans="1:105" ht="11.45" customHeight="1" x14ac:dyDescent="0.25">
      <c r="A44" s="111" t="s">
        <v>113</v>
      </c>
      <c r="B44" s="101">
        <v>6.625402932014568</v>
      </c>
      <c r="C44" s="101">
        <v>6.6245820905724653</v>
      </c>
      <c r="D44" s="101">
        <v>0.45468169619629822</v>
      </c>
      <c r="E44" s="101">
        <v>10.73727220104014</v>
      </c>
      <c r="F44" s="101">
        <v>14.009321375545937</v>
      </c>
      <c r="G44" s="101">
        <v>15.943361728175738</v>
      </c>
      <c r="H44" s="101">
        <v>17.591126324295161</v>
      </c>
      <c r="I44" s="101">
        <v>22.924162066888382</v>
      </c>
      <c r="J44" s="101">
        <v>21.267900051403181</v>
      </c>
      <c r="K44" s="101">
        <v>21.33586912903057</v>
      </c>
      <c r="L44" s="101">
        <v>21.251098135743181</v>
      </c>
      <c r="M44" s="101">
        <v>21.17059814564724</v>
      </c>
      <c r="N44" s="101">
        <v>21.179003472184572</v>
      </c>
      <c r="O44" s="101">
        <v>20.277404783809942</v>
      </c>
      <c r="P44" s="101">
        <v>18.164776168078227</v>
      </c>
      <c r="Q44" s="101">
        <v>80.112570294142586</v>
      </c>
      <c r="R44" s="101">
        <v>96.454057749595492</v>
      </c>
      <c r="S44" s="101">
        <v>143.42758684486503</v>
      </c>
      <c r="T44" s="101">
        <v>170.79919279125488</v>
      </c>
      <c r="U44" s="101">
        <v>217.86957466427606</v>
      </c>
      <c r="V44" s="101">
        <v>169.12883245003013</v>
      </c>
      <c r="W44" s="101">
        <v>222.70227750116439</v>
      </c>
      <c r="X44" s="101">
        <v>252.07230148409846</v>
      </c>
      <c r="Y44" s="101">
        <v>289.35072760347055</v>
      </c>
      <c r="DA44" s="175" t="s">
        <v>488</v>
      </c>
    </row>
    <row r="45" spans="1:105" ht="11.45" customHeight="1" x14ac:dyDescent="0.25">
      <c r="A45" s="111" t="s">
        <v>115</v>
      </c>
      <c r="B45" s="101">
        <v>0</v>
      </c>
      <c r="C45" s="101">
        <v>0</v>
      </c>
      <c r="D45" s="101">
        <v>0</v>
      </c>
      <c r="E45" s="101">
        <v>0</v>
      </c>
      <c r="F45" s="101">
        <v>0</v>
      </c>
      <c r="G45" s="101">
        <v>0</v>
      </c>
      <c r="H45" s="101">
        <v>0</v>
      </c>
      <c r="I45" s="101">
        <v>0</v>
      </c>
      <c r="J45" s="101">
        <v>0</v>
      </c>
      <c r="K45" s="101">
        <v>0</v>
      </c>
      <c r="L45" s="101">
        <v>0</v>
      </c>
      <c r="M45" s="101">
        <v>0</v>
      </c>
      <c r="N45" s="101">
        <v>0</v>
      </c>
      <c r="O45" s="101">
        <v>2.9796184621300306</v>
      </c>
      <c r="P45" s="101">
        <v>3.5204243301769327</v>
      </c>
      <c r="Q45" s="101">
        <v>5.6286889274980831</v>
      </c>
      <c r="R45" s="101">
        <v>6.0620637282520313</v>
      </c>
      <c r="S45" s="101">
        <v>6.7466757543105338</v>
      </c>
      <c r="T45" s="101">
        <v>7.6656636708848209</v>
      </c>
      <c r="U45" s="101">
        <v>11.105833428403404</v>
      </c>
      <c r="V45" s="101">
        <v>10.552609507557353</v>
      </c>
      <c r="W45" s="101">
        <v>18.663930692662575</v>
      </c>
      <c r="X45" s="101">
        <v>25.209895057747712</v>
      </c>
      <c r="Y45" s="101">
        <v>48.884812487759504</v>
      </c>
      <c r="DA45" s="175" t="s">
        <v>489</v>
      </c>
    </row>
    <row r="46" spans="1:105" ht="11.45" customHeight="1" x14ac:dyDescent="0.25">
      <c r="A46" s="27" t="s">
        <v>34</v>
      </c>
      <c r="B46" s="29">
        <f t="shared" ref="B46" si="109">B47+B53</f>
        <v>34249.26971315081</v>
      </c>
      <c r="C46" s="29">
        <f t="shared" ref="C46:V46" si="110">C47+C53</f>
        <v>40467.868043803384</v>
      </c>
      <c r="D46" s="29">
        <f t="shared" si="110"/>
        <v>40013.254185780839</v>
      </c>
      <c r="E46" s="29">
        <f t="shared" si="110"/>
        <v>43271.209997797429</v>
      </c>
      <c r="F46" s="29">
        <f t="shared" si="110"/>
        <v>46921.934906147057</v>
      </c>
      <c r="G46" s="29">
        <f t="shared" si="110"/>
        <v>46237.756677045087</v>
      </c>
      <c r="H46" s="29">
        <f t="shared" si="110"/>
        <v>48957.652570190447</v>
      </c>
      <c r="I46" s="29">
        <f t="shared" si="110"/>
        <v>55223.760050448342</v>
      </c>
      <c r="J46" s="29">
        <f t="shared" si="110"/>
        <v>50835.519210832492</v>
      </c>
      <c r="K46" s="29">
        <f t="shared" si="110"/>
        <v>44968.650306830896</v>
      </c>
      <c r="L46" s="29">
        <f t="shared" si="110"/>
        <v>44259.711993108678</v>
      </c>
      <c r="M46" s="29">
        <f t="shared" si="110"/>
        <v>43361.423087954885</v>
      </c>
      <c r="N46" s="29">
        <f t="shared" si="110"/>
        <v>40376.795428567333</v>
      </c>
      <c r="O46" s="29">
        <f t="shared" si="110"/>
        <v>39899.735496586916</v>
      </c>
      <c r="P46" s="29">
        <f t="shared" si="110"/>
        <v>39590.476114233767</v>
      </c>
      <c r="Q46" s="29">
        <f t="shared" si="110"/>
        <v>41464.07461066758</v>
      </c>
      <c r="R46" s="29">
        <f t="shared" si="110"/>
        <v>41242.116253778055</v>
      </c>
      <c r="S46" s="29">
        <f t="shared" si="110"/>
        <v>44115.710221970017</v>
      </c>
      <c r="T46" s="29">
        <f t="shared" si="110"/>
        <v>45189.12198253259</v>
      </c>
      <c r="U46" s="29">
        <f t="shared" si="110"/>
        <v>46209.420193432263</v>
      </c>
      <c r="V46" s="29">
        <f t="shared" si="110"/>
        <v>36218.866583655064</v>
      </c>
      <c r="W46" s="29">
        <f t="shared" ref="W46:Y46" si="111">W47+W53</f>
        <v>46277.202797242142</v>
      </c>
      <c r="X46" s="29">
        <f t="shared" si="111"/>
        <v>48533.007587703061</v>
      </c>
      <c r="Y46" s="29">
        <f t="shared" si="111"/>
        <v>48068.939542870401</v>
      </c>
      <c r="DA46" s="173" t="s">
        <v>490</v>
      </c>
    </row>
    <row r="47" spans="1:105" ht="11.45" customHeight="1" x14ac:dyDescent="0.25">
      <c r="A47" s="136" t="s">
        <v>153</v>
      </c>
      <c r="B47" s="152">
        <f t="shared" ref="B47" si="112">SUM(B48:B52)</f>
        <v>21729.350867476802</v>
      </c>
      <c r="C47" s="152">
        <f t="shared" ref="C47:V47" si="113">SUM(C48:C52)</f>
        <v>26918.035616861955</v>
      </c>
      <c r="D47" s="152">
        <f t="shared" si="113"/>
        <v>24802.076007003168</v>
      </c>
      <c r="E47" s="152">
        <f t="shared" si="113"/>
        <v>27204.955838878566</v>
      </c>
      <c r="F47" s="152">
        <f t="shared" si="113"/>
        <v>28850.794757042771</v>
      </c>
      <c r="G47" s="152">
        <f t="shared" si="113"/>
        <v>27090.822104833711</v>
      </c>
      <c r="H47" s="152">
        <f t="shared" si="113"/>
        <v>28995.216578088919</v>
      </c>
      <c r="I47" s="152">
        <f t="shared" si="113"/>
        <v>33912.460782697955</v>
      </c>
      <c r="J47" s="152">
        <f t="shared" si="113"/>
        <v>31353.533057625158</v>
      </c>
      <c r="K47" s="152">
        <f t="shared" si="113"/>
        <v>27739.057364307184</v>
      </c>
      <c r="L47" s="152">
        <f t="shared" si="113"/>
        <v>27917.001544584371</v>
      </c>
      <c r="M47" s="152">
        <f t="shared" si="113"/>
        <v>27488.873776765911</v>
      </c>
      <c r="N47" s="152">
        <f t="shared" si="113"/>
        <v>25391.635965808262</v>
      </c>
      <c r="O47" s="152">
        <f t="shared" si="113"/>
        <v>25445.380366805559</v>
      </c>
      <c r="P47" s="152">
        <f t="shared" si="113"/>
        <v>24890.216044882742</v>
      </c>
      <c r="Q47" s="152">
        <f t="shared" si="113"/>
        <v>25895.866564290562</v>
      </c>
      <c r="R47" s="152">
        <f t="shared" si="113"/>
        <v>24991.089809129826</v>
      </c>
      <c r="S47" s="152">
        <f t="shared" si="113"/>
        <v>26997.099308834469</v>
      </c>
      <c r="T47" s="152">
        <f t="shared" si="113"/>
        <v>27660.792252642237</v>
      </c>
      <c r="U47" s="152">
        <f t="shared" si="113"/>
        <v>27856.666339850362</v>
      </c>
      <c r="V47" s="152">
        <f t="shared" si="113"/>
        <v>18336.221143711195</v>
      </c>
      <c r="W47" s="152">
        <f t="shared" ref="W47:Y47" si="114">SUM(W48:W52)</f>
        <v>26625.075277427004</v>
      </c>
      <c r="X47" s="152">
        <f t="shared" si="114"/>
        <v>28856.898839108835</v>
      </c>
      <c r="Y47" s="152">
        <f t="shared" si="114"/>
        <v>28521.782913097231</v>
      </c>
      <c r="DA47" s="174" t="s">
        <v>491</v>
      </c>
    </row>
    <row r="48" spans="1:105" ht="11.45" customHeight="1" x14ac:dyDescent="0.25">
      <c r="A48" s="111" t="s">
        <v>110</v>
      </c>
      <c r="B48" s="87">
        <v>1798.9016305608902</v>
      </c>
      <c r="C48" s="87">
        <v>1969.7273455707123</v>
      </c>
      <c r="D48" s="87">
        <v>1423.068055319518</v>
      </c>
      <c r="E48" s="87">
        <v>1267.7898631642583</v>
      </c>
      <c r="F48" s="87">
        <v>1072.9026261047882</v>
      </c>
      <c r="G48" s="87">
        <v>805.86601466424804</v>
      </c>
      <c r="H48" s="87">
        <v>701.77478136346167</v>
      </c>
      <c r="I48" s="87">
        <v>631.09310467081275</v>
      </c>
      <c r="J48" s="87">
        <v>509.62869866579746</v>
      </c>
      <c r="K48" s="87">
        <v>445.44376047900164</v>
      </c>
      <c r="L48" s="87">
        <v>420.61489379071213</v>
      </c>
      <c r="M48" s="87">
        <v>426.64666173350037</v>
      </c>
      <c r="N48" s="87">
        <v>443.84308971166496</v>
      </c>
      <c r="O48" s="87">
        <v>461.19945916864674</v>
      </c>
      <c r="P48" s="87">
        <v>324.37699299182862</v>
      </c>
      <c r="Q48" s="87">
        <v>338.98312045057122</v>
      </c>
      <c r="R48" s="87">
        <v>321.38370665561507</v>
      </c>
      <c r="S48" s="87">
        <v>384.91554671843619</v>
      </c>
      <c r="T48" s="87">
        <v>417.57821737552678</v>
      </c>
      <c r="U48" s="87">
        <v>452.55778101649082</v>
      </c>
      <c r="V48" s="87">
        <v>285.05259964157079</v>
      </c>
      <c r="W48" s="87">
        <v>442.37726710149536</v>
      </c>
      <c r="X48" s="87">
        <v>456.06187906373191</v>
      </c>
      <c r="Y48" s="87">
        <v>375.46439817853781</v>
      </c>
      <c r="DA48" s="171" t="s">
        <v>492</v>
      </c>
    </row>
    <row r="49" spans="1:105" ht="11.45" customHeight="1" x14ac:dyDescent="0.25">
      <c r="A49" s="111" t="s">
        <v>111</v>
      </c>
      <c r="B49" s="87">
        <v>19930.449236915912</v>
      </c>
      <c r="C49" s="87">
        <v>24948.308271291244</v>
      </c>
      <c r="D49" s="87">
        <v>23379.007951683649</v>
      </c>
      <c r="E49" s="87">
        <v>25937.165975714306</v>
      </c>
      <c r="F49" s="87">
        <v>27777.892130937984</v>
      </c>
      <c r="G49" s="87">
        <v>26284.956090169464</v>
      </c>
      <c r="H49" s="87">
        <v>28293.441796725456</v>
      </c>
      <c r="I49" s="87">
        <v>33281.367678027142</v>
      </c>
      <c r="J49" s="87">
        <v>30843.90435895936</v>
      </c>
      <c r="K49" s="87">
        <v>27293.613603828184</v>
      </c>
      <c r="L49" s="87">
        <v>27496.386650793658</v>
      </c>
      <c r="M49" s="87">
        <v>27062.047017458724</v>
      </c>
      <c r="N49" s="87">
        <v>24945.972801589025</v>
      </c>
      <c r="O49" s="87">
        <v>24982.186775549209</v>
      </c>
      <c r="P49" s="87">
        <v>24551.644314821948</v>
      </c>
      <c r="Q49" s="87">
        <v>25531.536128140997</v>
      </c>
      <c r="R49" s="87">
        <v>24637.61186550013</v>
      </c>
      <c r="S49" s="87">
        <v>26562.383206758263</v>
      </c>
      <c r="T49" s="87">
        <v>27150.272035083217</v>
      </c>
      <c r="U49" s="87">
        <v>27232.66918635468</v>
      </c>
      <c r="V49" s="87">
        <v>17905.498400462926</v>
      </c>
      <c r="W49" s="87">
        <v>25920.914385729538</v>
      </c>
      <c r="X49" s="87">
        <v>28092.798489934768</v>
      </c>
      <c r="Y49" s="87">
        <v>27776.364550988405</v>
      </c>
      <c r="DA49" s="171" t="s">
        <v>493</v>
      </c>
    </row>
    <row r="50" spans="1:105" ht="11.45" customHeight="1" x14ac:dyDescent="0.25">
      <c r="A50" s="111" t="s">
        <v>112</v>
      </c>
      <c r="B50" s="87">
        <v>0</v>
      </c>
      <c r="C50" s="87">
        <v>0</v>
      </c>
      <c r="D50" s="87">
        <v>0</v>
      </c>
      <c r="E50" s="87">
        <v>0</v>
      </c>
      <c r="F50" s="87">
        <v>0</v>
      </c>
      <c r="G50" s="87">
        <v>0</v>
      </c>
      <c r="H50" s="87">
        <v>0</v>
      </c>
      <c r="I50" s="87">
        <v>0</v>
      </c>
      <c r="J50" s="87">
        <v>0</v>
      </c>
      <c r="K50" s="87">
        <v>0</v>
      </c>
      <c r="L50" s="87">
        <v>0</v>
      </c>
      <c r="M50" s="87">
        <v>0</v>
      </c>
      <c r="N50" s="87">
        <v>0</v>
      </c>
      <c r="O50" s="87">
        <v>2.1417206547450867E-2</v>
      </c>
      <c r="P50" s="87">
        <v>2.4157530540528875</v>
      </c>
      <c r="Q50" s="87">
        <v>5.3822944737164056</v>
      </c>
      <c r="R50" s="87">
        <v>9.0768913143541337</v>
      </c>
      <c r="S50" s="87">
        <v>16.214077832494169</v>
      </c>
      <c r="T50" s="87">
        <v>35.912872688447685</v>
      </c>
      <c r="U50" s="87">
        <v>85.444155772093467</v>
      </c>
      <c r="V50" s="87">
        <v>67.671253249363446</v>
      </c>
      <c r="W50" s="87">
        <v>126.52069797601219</v>
      </c>
      <c r="X50" s="87">
        <v>143.87286752617962</v>
      </c>
      <c r="Y50" s="87">
        <v>147.88865869780093</v>
      </c>
      <c r="DA50" s="171" t="s">
        <v>494</v>
      </c>
    </row>
    <row r="51" spans="1:105" ht="11.45" customHeight="1" x14ac:dyDescent="0.25">
      <c r="A51" s="111" t="s">
        <v>113</v>
      </c>
      <c r="B51" s="87">
        <v>0</v>
      </c>
      <c r="C51" s="87">
        <v>0</v>
      </c>
      <c r="D51" s="87">
        <v>0</v>
      </c>
      <c r="E51" s="87">
        <v>0</v>
      </c>
      <c r="F51" s="87">
        <v>0</v>
      </c>
      <c r="G51" s="87">
        <v>0</v>
      </c>
      <c r="H51" s="87">
        <v>0</v>
      </c>
      <c r="I51" s="87">
        <v>0</v>
      </c>
      <c r="J51" s="87">
        <v>0</v>
      </c>
      <c r="K51" s="87">
        <v>0</v>
      </c>
      <c r="L51" s="87">
        <v>0</v>
      </c>
      <c r="M51" s="87">
        <v>0</v>
      </c>
      <c r="N51" s="87">
        <v>0.16145485084295239</v>
      </c>
      <c r="O51" s="87">
        <v>1.1080262357093218</v>
      </c>
      <c r="P51" s="87">
        <v>1.8094715625400555</v>
      </c>
      <c r="Q51" s="87">
        <v>5.3773177788160735</v>
      </c>
      <c r="R51" s="87">
        <v>7.2205535841252173</v>
      </c>
      <c r="S51" s="87">
        <v>11.29404111618128</v>
      </c>
      <c r="T51" s="87">
        <v>21.171502055117269</v>
      </c>
      <c r="U51" s="87">
        <v>38.511248918342197</v>
      </c>
      <c r="V51" s="87">
        <v>34.334749503942561</v>
      </c>
      <c r="W51" s="87">
        <v>56.379513275995208</v>
      </c>
      <c r="X51" s="87">
        <v>61.211095571262923</v>
      </c>
      <c r="Y51" s="87">
        <v>58.989759469637946</v>
      </c>
      <c r="DA51" s="171" t="s">
        <v>495</v>
      </c>
    </row>
    <row r="52" spans="1:105" ht="11.45" customHeight="1" x14ac:dyDescent="0.25">
      <c r="A52" s="111" t="s">
        <v>115</v>
      </c>
      <c r="B52" s="87">
        <v>0</v>
      </c>
      <c r="C52" s="87">
        <v>0</v>
      </c>
      <c r="D52" s="87">
        <v>0</v>
      </c>
      <c r="E52" s="87">
        <v>0</v>
      </c>
      <c r="F52" s="87">
        <v>0</v>
      </c>
      <c r="G52" s="87">
        <v>0</v>
      </c>
      <c r="H52" s="87">
        <v>0</v>
      </c>
      <c r="I52" s="87">
        <v>0</v>
      </c>
      <c r="J52" s="87">
        <v>0</v>
      </c>
      <c r="K52" s="87">
        <v>0</v>
      </c>
      <c r="L52" s="87">
        <v>0</v>
      </c>
      <c r="M52" s="87">
        <v>0.18009757368920326</v>
      </c>
      <c r="N52" s="87">
        <v>1.6586196567309686</v>
      </c>
      <c r="O52" s="87">
        <v>0.86468864544893231</v>
      </c>
      <c r="P52" s="87">
        <v>9.9695124523705605</v>
      </c>
      <c r="Q52" s="87">
        <v>14.587703446461596</v>
      </c>
      <c r="R52" s="87">
        <v>15.796792075601472</v>
      </c>
      <c r="S52" s="87">
        <v>22.292436409097689</v>
      </c>
      <c r="T52" s="87">
        <v>35.857625439930203</v>
      </c>
      <c r="U52" s="87">
        <v>47.483967788758001</v>
      </c>
      <c r="V52" s="87">
        <v>43.664140853395537</v>
      </c>
      <c r="W52" s="87">
        <v>78.883413343961692</v>
      </c>
      <c r="X52" s="87">
        <v>102.95450701289299</v>
      </c>
      <c r="Y52" s="87">
        <v>163.07554576284963</v>
      </c>
      <c r="DA52" s="171" t="s">
        <v>496</v>
      </c>
    </row>
    <row r="53" spans="1:105" ht="11.45" customHeight="1" x14ac:dyDescent="0.25">
      <c r="A53" s="109" t="s">
        <v>154</v>
      </c>
      <c r="B53" s="116">
        <f t="shared" ref="B53" si="115">SUM(B54:B55)</f>
        <v>12519.918845674007</v>
      </c>
      <c r="C53" s="116">
        <f t="shared" ref="C53:V53" si="116">SUM(C54:C55)</f>
        <v>13549.832426941428</v>
      </c>
      <c r="D53" s="116">
        <f t="shared" si="116"/>
        <v>15211.178178777674</v>
      </c>
      <c r="E53" s="116">
        <f t="shared" si="116"/>
        <v>16066.254158918859</v>
      </c>
      <c r="F53" s="116">
        <f t="shared" si="116"/>
        <v>18071.140149104282</v>
      </c>
      <c r="G53" s="116">
        <f t="shared" si="116"/>
        <v>19146.934572211376</v>
      </c>
      <c r="H53" s="116">
        <f t="shared" si="116"/>
        <v>19962.435992101528</v>
      </c>
      <c r="I53" s="116">
        <f t="shared" si="116"/>
        <v>21311.299267750386</v>
      </c>
      <c r="J53" s="116">
        <f t="shared" si="116"/>
        <v>19481.986153207334</v>
      </c>
      <c r="K53" s="116">
        <f t="shared" si="116"/>
        <v>17229.592942523712</v>
      </c>
      <c r="L53" s="116">
        <f t="shared" si="116"/>
        <v>16342.710448524304</v>
      </c>
      <c r="M53" s="116">
        <f t="shared" si="116"/>
        <v>15872.549311188977</v>
      </c>
      <c r="N53" s="116">
        <f t="shared" si="116"/>
        <v>14985.159462759071</v>
      </c>
      <c r="O53" s="116">
        <f t="shared" si="116"/>
        <v>14454.355129781357</v>
      </c>
      <c r="P53" s="116">
        <f t="shared" si="116"/>
        <v>14700.260069351029</v>
      </c>
      <c r="Q53" s="116">
        <f t="shared" si="116"/>
        <v>15568.208046377022</v>
      </c>
      <c r="R53" s="116">
        <f t="shared" si="116"/>
        <v>16251.026444648231</v>
      </c>
      <c r="S53" s="116">
        <f t="shared" si="116"/>
        <v>17118.610913135552</v>
      </c>
      <c r="T53" s="116">
        <f t="shared" si="116"/>
        <v>17528.329729890353</v>
      </c>
      <c r="U53" s="116">
        <f t="shared" si="116"/>
        <v>18352.753853581904</v>
      </c>
      <c r="V53" s="116">
        <f t="shared" si="116"/>
        <v>17882.64543994387</v>
      </c>
      <c r="W53" s="116">
        <f t="shared" ref="W53:Y53" si="117">SUM(W54:W55)</f>
        <v>19652.127519815138</v>
      </c>
      <c r="X53" s="116">
        <f t="shared" si="117"/>
        <v>19676.108748594223</v>
      </c>
      <c r="Y53" s="116">
        <f t="shared" si="117"/>
        <v>19547.156629773173</v>
      </c>
      <c r="DA53" s="176" t="s">
        <v>497</v>
      </c>
    </row>
    <row r="54" spans="1:105" ht="11.45" customHeight="1" x14ac:dyDescent="0.25">
      <c r="A54" s="128" t="s">
        <v>27</v>
      </c>
      <c r="B54" s="101">
        <v>10275</v>
      </c>
      <c r="C54" s="101">
        <v>11143</v>
      </c>
      <c r="D54" s="101">
        <v>12679</v>
      </c>
      <c r="E54" s="101">
        <v>13478</v>
      </c>
      <c r="F54" s="101">
        <v>15011</v>
      </c>
      <c r="G54" s="101">
        <v>15980</v>
      </c>
      <c r="H54" s="101">
        <v>16730</v>
      </c>
      <c r="I54" s="101">
        <v>18006</v>
      </c>
      <c r="J54" s="101">
        <v>16454</v>
      </c>
      <c r="K54" s="101">
        <v>14435</v>
      </c>
      <c r="L54" s="101">
        <v>13648</v>
      </c>
      <c r="M54" s="101">
        <v>13216</v>
      </c>
      <c r="N54" s="101">
        <v>12401</v>
      </c>
      <c r="O54" s="101">
        <v>11681</v>
      </c>
      <c r="P54" s="101">
        <v>11945</v>
      </c>
      <c r="Q54" s="101">
        <v>12658</v>
      </c>
      <c r="R54" s="101">
        <v>13257</v>
      </c>
      <c r="S54" s="101">
        <v>14029</v>
      </c>
      <c r="T54" s="101">
        <v>14337</v>
      </c>
      <c r="U54" s="101">
        <v>15025</v>
      </c>
      <c r="V54" s="101">
        <v>14725</v>
      </c>
      <c r="W54" s="101">
        <v>16192</v>
      </c>
      <c r="X54" s="101">
        <v>16094</v>
      </c>
      <c r="Y54" s="101">
        <v>16147</v>
      </c>
      <c r="DA54" s="175" t="s">
        <v>498</v>
      </c>
    </row>
    <row r="55" spans="1:105" ht="11.45" customHeight="1" x14ac:dyDescent="0.25">
      <c r="A55" s="138" t="s">
        <v>116</v>
      </c>
      <c r="B55" s="88">
        <v>2244.9188456740071</v>
      </c>
      <c r="C55" s="88">
        <v>2406.8324269414279</v>
      </c>
      <c r="D55" s="88">
        <v>2532.178178777674</v>
      </c>
      <c r="E55" s="88">
        <v>2588.2541589188577</v>
      </c>
      <c r="F55" s="88">
        <v>3060.1401491042802</v>
      </c>
      <c r="G55" s="88">
        <v>3166.9345722113771</v>
      </c>
      <c r="H55" s="88">
        <v>3232.4359921015289</v>
      </c>
      <c r="I55" s="88">
        <v>3305.2992677503844</v>
      </c>
      <c r="J55" s="88">
        <v>3027.9861532073355</v>
      </c>
      <c r="K55" s="88">
        <v>2794.5929425237136</v>
      </c>
      <c r="L55" s="88">
        <v>2694.7104485243035</v>
      </c>
      <c r="M55" s="88">
        <v>2656.5493111889764</v>
      </c>
      <c r="N55" s="88">
        <v>2584.1594627590712</v>
      </c>
      <c r="O55" s="88">
        <v>2773.3551297813578</v>
      </c>
      <c r="P55" s="88">
        <v>2755.2600693510281</v>
      </c>
      <c r="Q55" s="88">
        <v>2910.2080463770212</v>
      </c>
      <c r="R55" s="88">
        <v>2994.0264446482302</v>
      </c>
      <c r="S55" s="88">
        <v>3089.6109131355515</v>
      </c>
      <c r="T55" s="88">
        <v>3191.3297298903512</v>
      </c>
      <c r="U55" s="88">
        <v>3327.7538535819035</v>
      </c>
      <c r="V55" s="88">
        <v>3157.6454399438712</v>
      </c>
      <c r="W55" s="88">
        <v>3460.1275198151393</v>
      </c>
      <c r="X55" s="88">
        <v>3582.1087485942217</v>
      </c>
      <c r="Y55" s="88">
        <v>3400.1566297731742</v>
      </c>
      <c r="DA55" s="178" t="s">
        <v>499</v>
      </c>
    </row>
    <row r="56" spans="1:105" ht="11.45" customHeight="1" x14ac:dyDescent="0.25">
      <c r="A56" s="106"/>
      <c r="B56" s="106"/>
      <c r="C56" s="106"/>
      <c r="D56" s="106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X56" s="106"/>
      <c r="Y56" s="106"/>
      <c r="DA56" s="171"/>
    </row>
    <row r="57" spans="1:105" ht="11.45" customHeight="1" x14ac:dyDescent="0.25">
      <c r="A57" s="53" t="s">
        <v>109</v>
      </c>
      <c r="B57" s="54">
        <f t="shared" ref="B57:K57" si="118">B58+B73</f>
        <v>24268988</v>
      </c>
      <c r="C57" s="54">
        <f t="shared" si="118"/>
        <v>25119674</v>
      </c>
      <c r="D57" s="54">
        <f t="shared" si="118"/>
        <v>25915058</v>
      </c>
      <c r="E57" s="54">
        <f t="shared" si="118"/>
        <v>26082891</v>
      </c>
      <c r="F57" s="54">
        <f t="shared" si="118"/>
        <v>27359383</v>
      </c>
      <c r="G57" s="54">
        <f t="shared" si="118"/>
        <v>28422663</v>
      </c>
      <c r="H57" s="54">
        <f t="shared" si="118"/>
        <v>29578978</v>
      </c>
      <c r="I57" s="54">
        <f t="shared" si="118"/>
        <v>31272239</v>
      </c>
      <c r="J57" s="54">
        <f t="shared" si="118"/>
        <v>31503792</v>
      </c>
      <c r="K57" s="54">
        <f t="shared" si="118"/>
        <v>30837014</v>
      </c>
      <c r="L57" s="54">
        <f t="shared" ref="L57" si="119">L58+L73</f>
        <v>30854047</v>
      </c>
      <c r="M57" s="54">
        <f t="shared" ref="M57:V57" si="120">M58+M73</f>
        <v>30863612</v>
      </c>
      <c r="N57" s="54">
        <f t="shared" si="120"/>
        <v>30582788</v>
      </c>
      <c r="O57" s="54">
        <f t="shared" si="120"/>
        <v>30068170</v>
      </c>
      <c r="P57" s="54">
        <f t="shared" si="120"/>
        <v>30202043</v>
      </c>
      <c r="Q57" s="54">
        <f t="shared" si="120"/>
        <v>30863003</v>
      </c>
      <c r="R57" s="54">
        <f t="shared" si="120"/>
        <v>31305713</v>
      </c>
      <c r="S57" s="54">
        <f t="shared" si="120"/>
        <v>33373740</v>
      </c>
      <c r="T57" s="54">
        <f t="shared" si="120"/>
        <v>34162852</v>
      </c>
      <c r="U57" s="54">
        <f t="shared" si="120"/>
        <v>34855718</v>
      </c>
      <c r="V57" s="54">
        <f t="shared" si="120"/>
        <v>35171537</v>
      </c>
      <c r="W57" s="54">
        <f t="shared" ref="W57:Y57" si="121">W58+W73</f>
        <v>35542398</v>
      </c>
      <c r="X57" s="54">
        <f t="shared" si="121"/>
        <v>35983897</v>
      </c>
      <c r="Y57" s="54">
        <f t="shared" si="121"/>
        <v>36337856</v>
      </c>
      <c r="DA57" s="172" t="s">
        <v>500</v>
      </c>
    </row>
    <row r="58" spans="1:105" ht="11.45" customHeight="1" x14ac:dyDescent="0.25">
      <c r="A58" s="27" t="s">
        <v>33</v>
      </c>
      <c r="B58" s="28">
        <f t="shared" ref="B58:K58" si="122">B59+B60+B67</f>
        <v>20763863</v>
      </c>
      <c r="C58" s="28">
        <f t="shared" si="122"/>
        <v>21497462</v>
      </c>
      <c r="D58" s="28">
        <f t="shared" si="122"/>
        <v>22351411</v>
      </c>
      <c r="E58" s="28">
        <f t="shared" si="122"/>
        <v>22401300</v>
      </c>
      <c r="F58" s="28">
        <f t="shared" si="122"/>
        <v>23453329</v>
      </c>
      <c r="G58" s="28">
        <f t="shared" si="122"/>
        <v>24426225</v>
      </c>
      <c r="H58" s="28">
        <f t="shared" si="122"/>
        <v>25514653</v>
      </c>
      <c r="I58" s="28">
        <f t="shared" si="122"/>
        <v>26562958</v>
      </c>
      <c r="J58" s="28">
        <f t="shared" si="122"/>
        <v>27118729</v>
      </c>
      <c r="K58" s="28">
        <f t="shared" si="122"/>
        <v>27005542</v>
      </c>
      <c r="L58" s="28">
        <f t="shared" ref="L58" si="123">L59+L60+L67</f>
        <v>27208134</v>
      </c>
      <c r="M58" s="28">
        <f t="shared" ref="M58:V58" si="124">M59+M60+M67</f>
        <v>27366819</v>
      </c>
      <c r="N58" s="28">
        <f t="shared" si="124"/>
        <v>27332323</v>
      </c>
      <c r="O58" s="28">
        <f t="shared" si="124"/>
        <v>27083212</v>
      </c>
      <c r="P58" s="28">
        <f t="shared" si="124"/>
        <v>27122520</v>
      </c>
      <c r="Q58" s="28">
        <f t="shared" si="124"/>
        <v>27518475</v>
      </c>
      <c r="R58" s="28">
        <f t="shared" si="124"/>
        <v>28005605</v>
      </c>
      <c r="S58" s="28">
        <f t="shared" si="124"/>
        <v>30010619</v>
      </c>
      <c r="T58" s="28">
        <f t="shared" si="124"/>
        <v>30729979</v>
      </c>
      <c r="U58" s="28">
        <f t="shared" si="124"/>
        <v>31383010</v>
      </c>
      <c r="V58" s="28">
        <f t="shared" si="124"/>
        <v>31689799</v>
      </c>
      <c r="W58" s="28">
        <f t="shared" ref="W58:Y58" si="125">W59+W60+W67</f>
        <v>32054378</v>
      </c>
      <c r="X58" s="28">
        <f t="shared" si="125"/>
        <v>32480433</v>
      </c>
      <c r="Y58" s="28">
        <f t="shared" si="125"/>
        <v>32782809</v>
      </c>
      <c r="DA58" s="173" t="s">
        <v>501</v>
      </c>
    </row>
    <row r="59" spans="1:105" ht="11.45" customHeight="1" x14ac:dyDescent="0.25">
      <c r="A59" s="136" t="s">
        <v>173</v>
      </c>
      <c r="B59" s="137">
        <v>3242201</v>
      </c>
      <c r="C59" s="137">
        <v>3290200</v>
      </c>
      <c r="D59" s="137">
        <v>3561450</v>
      </c>
      <c r="E59" s="137">
        <v>3657119</v>
      </c>
      <c r="F59" s="137">
        <v>3854128</v>
      </c>
      <c r="G59" s="137">
        <v>4117600.0000000005</v>
      </c>
      <c r="H59" s="137">
        <v>4401146</v>
      </c>
      <c r="I59" s="137">
        <v>4741760</v>
      </c>
      <c r="J59" s="137">
        <v>4911504</v>
      </c>
      <c r="K59" s="137">
        <v>4958879</v>
      </c>
      <c r="L59" s="137">
        <v>4997689</v>
      </c>
      <c r="M59" s="137">
        <v>5027461</v>
      </c>
      <c r="N59" s="137">
        <v>5021965</v>
      </c>
      <c r="O59" s="137">
        <v>4998320</v>
      </c>
      <c r="P59" s="137">
        <v>5033209</v>
      </c>
      <c r="Q59" s="137">
        <v>5102674</v>
      </c>
      <c r="R59" s="137">
        <v>5066933</v>
      </c>
      <c r="S59" s="137">
        <v>5288571</v>
      </c>
      <c r="T59" s="137">
        <v>5379212</v>
      </c>
      <c r="U59" s="137">
        <v>5499013</v>
      </c>
      <c r="V59" s="137">
        <v>5609085</v>
      </c>
      <c r="W59" s="137">
        <v>5713340</v>
      </c>
      <c r="X59" s="137">
        <v>5826853</v>
      </c>
      <c r="Y59" s="137">
        <v>5955283</v>
      </c>
      <c r="DA59" s="174" t="s">
        <v>502</v>
      </c>
    </row>
    <row r="60" spans="1:105" ht="11.45" customHeight="1" x14ac:dyDescent="0.25">
      <c r="A60" s="109" t="s">
        <v>20</v>
      </c>
      <c r="B60" s="110">
        <f t="shared" ref="B60:K60" si="126">SUM(B61:B66)</f>
        <v>17466814</v>
      </c>
      <c r="C60" s="110">
        <f t="shared" si="126"/>
        <v>18151000</v>
      </c>
      <c r="D60" s="110">
        <f t="shared" si="126"/>
        <v>18733000</v>
      </c>
      <c r="E60" s="110">
        <f t="shared" si="126"/>
        <v>18688000</v>
      </c>
      <c r="F60" s="110">
        <f t="shared" si="126"/>
        <v>19542000</v>
      </c>
      <c r="G60" s="110">
        <f t="shared" si="126"/>
        <v>20250377</v>
      </c>
      <c r="H60" s="110">
        <f t="shared" si="126"/>
        <v>21053000</v>
      </c>
      <c r="I60" s="110">
        <f t="shared" si="126"/>
        <v>21760000</v>
      </c>
      <c r="J60" s="110">
        <f t="shared" si="126"/>
        <v>22145000</v>
      </c>
      <c r="K60" s="110">
        <f t="shared" si="126"/>
        <v>21984000</v>
      </c>
      <c r="L60" s="110">
        <f t="shared" ref="L60" si="127">SUM(L61:L66)</f>
        <v>22148000</v>
      </c>
      <c r="M60" s="110">
        <f t="shared" ref="M60:V60" si="128">SUM(M61:M66)</f>
        <v>22277000</v>
      </c>
      <c r="N60" s="110">
        <f t="shared" si="128"/>
        <v>22248000</v>
      </c>
      <c r="O60" s="110">
        <f t="shared" si="128"/>
        <v>22025000</v>
      </c>
      <c r="P60" s="110">
        <f t="shared" si="128"/>
        <v>22029512</v>
      </c>
      <c r="Q60" s="110">
        <f t="shared" si="128"/>
        <v>22355549</v>
      </c>
      <c r="R60" s="110">
        <f t="shared" si="128"/>
        <v>22876834</v>
      </c>
      <c r="S60" s="110">
        <f t="shared" si="128"/>
        <v>24676557</v>
      </c>
      <c r="T60" s="110">
        <f t="shared" si="128"/>
        <v>25304190</v>
      </c>
      <c r="U60" s="110">
        <f t="shared" si="128"/>
        <v>25836586</v>
      </c>
      <c r="V60" s="110">
        <f t="shared" si="128"/>
        <v>26034347</v>
      </c>
      <c r="W60" s="110">
        <f t="shared" ref="W60:Y60" si="129">SUM(W61:W66)</f>
        <v>26293882</v>
      </c>
      <c r="X60" s="110">
        <f t="shared" si="129"/>
        <v>26605478</v>
      </c>
      <c r="Y60" s="110">
        <f t="shared" si="129"/>
        <v>26778142</v>
      </c>
      <c r="DA60" s="176" t="s">
        <v>503</v>
      </c>
    </row>
    <row r="61" spans="1:105" ht="11.45" customHeight="1" x14ac:dyDescent="0.25">
      <c r="A61" s="111" t="s">
        <v>110</v>
      </c>
      <c r="B61" s="84">
        <v>12747000</v>
      </c>
      <c r="C61" s="84">
        <v>12783451</v>
      </c>
      <c r="D61" s="84">
        <v>12716658</v>
      </c>
      <c r="E61" s="84">
        <v>12085193</v>
      </c>
      <c r="F61" s="84">
        <v>12024101</v>
      </c>
      <c r="G61" s="84">
        <v>11840477</v>
      </c>
      <c r="H61" s="84">
        <v>11662923</v>
      </c>
      <c r="I61" s="84">
        <v>11497796</v>
      </c>
      <c r="J61" s="84">
        <v>11345358</v>
      </c>
      <c r="K61" s="84">
        <v>10903549</v>
      </c>
      <c r="L61" s="84">
        <v>10682509</v>
      </c>
      <c r="M61" s="84">
        <v>10520117</v>
      </c>
      <c r="N61" s="84">
        <v>10316522</v>
      </c>
      <c r="O61" s="84">
        <v>9960386</v>
      </c>
      <c r="P61" s="84">
        <v>9707492</v>
      </c>
      <c r="Q61" s="84">
        <v>9686021</v>
      </c>
      <c r="R61" s="84">
        <v>9957120</v>
      </c>
      <c r="S61" s="84">
        <v>10231248</v>
      </c>
      <c r="T61" s="84">
        <v>10644339</v>
      </c>
      <c r="U61" s="84">
        <v>11080884</v>
      </c>
      <c r="V61" s="84">
        <v>11253368</v>
      </c>
      <c r="W61" s="84">
        <v>11510275</v>
      </c>
      <c r="X61" s="84">
        <v>11807169</v>
      </c>
      <c r="Y61" s="84">
        <v>11943441</v>
      </c>
      <c r="DA61" s="171" t="s">
        <v>504</v>
      </c>
    </row>
    <row r="62" spans="1:105" ht="11.45" customHeight="1" x14ac:dyDescent="0.25">
      <c r="A62" s="111" t="s">
        <v>111</v>
      </c>
      <c r="B62" s="84">
        <v>4702000</v>
      </c>
      <c r="C62" s="84">
        <v>5349749</v>
      </c>
      <c r="D62" s="84">
        <v>5998179</v>
      </c>
      <c r="E62" s="84">
        <v>6586110</v>
      </c>
      <c r="F62" s="84">
        <v>7500202</v>
      </c>
      <c r="G62" s="84">
        <v>8395305</v>
      </c>
      <c r="H62" s="84">
        <v>9374085</v>
      </c>
      <c r="I62" s="84">
        <v>10248239</v>
      </c>
      <c r="J62" s="84">
        <v>10787869</v>
      </c>
      <c r="K62" s="84">
        <v>11066792</v>
      </c>
      <c r="L62" s="84">
        <v>11450215</v>
      </c>
      <c r="M62" s="84">
        <v>11740176</v>
      </c>
      <c r="N62" s="84">
        <v>11905367</v>
      </c>
      <c r="O62" s="84">
        <v>12035206</v>
      </c>
      <c r="P62" s="84">
        <v>12289257</v>
      </c>
      <c r="Q62" s="84">
        <v>12631929</v>
      </c>
      <c r="R62" s="84">
        <v>12877327</v>
      </c>
      <c r="S62" s="84">
        <v>14391494</v>
      </c>
      <c r="T62" s="84">
        <v>14575948</v>
      </c>
      <c r="U62" s="84">
        <v>14638093</v>
      </c>
      <c r="V62" s="84">
        <v>14617821</v>
      </c>
      <c r="W62" s="84">
        <v>14547303</v>
      </c>
      <c r="X62" s="84">
        <v>14464461</v>
      </c>
      <c r="Y62" s="84">
        <v>14350968</v>
      </c>
      <c r="DA62" s="171" t="s">
        <v>505</v>
      </c>
    </row>
    <row r="63" spans="1:105" ht="11.45" customHeight="1" x14ac:dyDescent="0.25">
      <c r="A63" s="111" t="s">
        <v>112</v>
      </c>
      <c r="B63" s="84">
        <v>17814</v>
      </c>
      <c r="C63" s="84">
        <v>17800</v>
      </c>
      <c r="D63" s="84">
        <v>18163</v>
      </c>
      <c r="E63" s="84">
        <v>16697</v>
      </c>
      <c r="F63" s="84">
        <v>16012</v>
      </c>
      <c r="G63" s="84">
        <v>10909</v>
      </c>
      <c r="H63" s="84">
        <v>9880</v>
      </c>
      <c r="I63" s="84">
        <v>7951</v>
      </c>
      <c r="J63" s="84">
        <v>5564</v>
      </c>
      <c r="K63" s="84">
        <v>7330</v>
      </c>
      <c r="L63" s="84">
        <v>8678</v>
      </c>
      <c r="M63" s="84">
        <v>9671</v>
      </c>
      <c r="N63" s="84">
        <v>14184</v>
      </c>
      <c r="O63" s="84">
        <v>15027</v>
      </c>
      <c r="P63" s="84">
        <v>17852</v>
      </c>
      <c r="Q63" s="84">
        <v>20517</v>
      </c>
      <c r="R63" s="84">
        <v>21938</v>
      </c>
      <c r="S63" s="84">
        <v>25580</v>
      </c>
      <c r="T63" s="84">
        <v>40090</v>
      </c>
      <c r="U63" s="84">
        <v>55994</v>
      </c>
      <c r="V63" s="84">
        <v>58837</v>
      </c>
      <c r="W63" s="84">
        <v>60784</v>
      </c>
      <c r="X63" s="84">
        <v>77564</v>
      </c>
      <c r="Y63" s="84">
        <v>116684</v>
      </c>
      <c r="DA63" s="171" t="s">
        <v>506</v>
      </c>
    </row>
    <row r="64" spans="1:105" ht="11.45" customHeight="1" x14ac:dyDescent="0.25">
      <c r="A64" s="111" t="s">
        <v>113</v>
      </c>
      <c r="B64" s="84">
        <v>0</v>
      </c>
      <c r="C64" s="84">
        <v>0</v>
      </c>
      <c r="D64" s="84">
        <v>0</v>
      </c>
      <c r="E64" s="84">
        <v>0</v>
      </c>
      <c r="F64" s="84">
        <v>1685</v>
      </c>
      <c r="G64" s="84">
        <v>3686</v>
      </c>
      <c r="H64" s="84">
        <v>6112</v>
      </c>
      <c r="I64" s="84">
        <v>6014</v>
      </c>
      <c r="J64" s="84">
        <v>6209</v>
      </c>
      <c r="K64" s="84">
        <v>6328</v>
      </c>
      <c r="L64" s="84">
        <v>6522</v>
      </c>
      <c r="M64" s="84">
        <v>6460</v>
      </c>
      <c r="N64" s="84">
        <v>10795</v>
      </c>
      <c r="O64" s="84">
        <v>12170</v>
      </c>
      <c r="P64" s="84">
        <v>11467</v>
      </c>
      <c r="Q64" s="84">
        <v>11234</v>
      </c>
      <c r="R64" s="84">
        <v>10834</v>
      </c>
      <c r="S64" s="84">
        <v>11507</v>
      </c>
      <c r="T64" s="84">
        <v>15111</v>
      </c>
      <c r="U64" s="84">
        <v>15094</v>
      </c>
      <c r="V64" s="84">
        <v>15783</v>
      </c>
      <c r="W64" s="84">
        <v>16286</v>
      </c>
      <c r="X64" s="84">
        <v>16911</v>
      </c>
      <c r="Y64" s="84">
        <v>16855</v>
      </c>
      <c r="DA64" s="171" t="s">
        <v>507</v>
      </c>
    </row>
    <row r="65" spans="1:105" ht="11.45" customHeight="1" x14ac:dyDescent="0.25">
      <c r="A65" s="111" t="s">
        <v>114</v>
      </c>
      <c r="B65" s="84">
        <v>0</v>
      </c>
      <c r="C65" s="84">
        <v>0</v>
      </c>
      <c r="D65" s="84">
        <v>0</v>
      </c>
      <c r="E65" s="84">
        <v>0</v>
      </c>
      <c r="F65" s="84">
        <v>0</v>
      </c>
      <c r="G65" s="84">
        <v>0</v>
      </c>
      <c r="H65" s="84">
        <v>0</v>
      </c>
      <c r="I65" s="84">
        <v>0</v>
      </c>
      <c r="J65" s="84">
        <v>0</v>
      </c>
      <c r="K65" s="84">
        <v>0</v>
      </c>
      <c r="L65" s="84">
        <v>0</v>
      </c>
      <c r="M65" s="84">
        <v>8</v>
      </c>
      <c r="N65" s="84">
        <v>109</v>
      </c>
      <c r="O65" s="84">
        <v>190</v>
      </c>
      <c r="P65" s="84">
        <v>612</v>
      </c>
      <c r="Q65" s="84">
        <v>1368</v>
      </c>
      <c r="R65" s="84">
        <v>3131</v>
      </c>
      <c r="S65" s="84">
        <v>6583</v>
      </c>
      <c r="T65" s="84">
        <v>12295</v>
      </c>
      <c r="U65" s="84">
        <v>19722</v>
      </c>
      <c r="V65" s="84">
        <v>43481</v>
      </c>
      <c r="W65" s="84">
        <v>86496</v>
      </c>
      <c r="X65" s="84">
        <v>134960</v>
      </c>
      <c r="Y65" s="84">
        <v>195341</v>
      </c>
      <c r="DA65" s="171" t="s">
        <v>508</v>
      </c>
    </row>
    <row r="66" spans="1:105" ht="11.45" customHeight="1" x14ac:dyDescent="0.25">
      <c r="A66" s="111" t="s">
        <v>115</v>
      </c>
      <c r="B66" s="84">
        <v>0</v>
      </c>
      <c r="C66" s="84">
        <v>0</v>
      </c>
      <c r="D66" s="84">
        <v>0</v>
      </c>
      <c r="E66" s="84">
        <v>0</v>
      </c>
      <c r="F66" s="84">
        <v>0</v>
      </c>
      <c r="G66" s="84">
        <v>0</v>
      </c>
      <c r="H66" s="84">
        <v>0</v>
      </c>
      <c r="I66" s="84">
        <v>0</v>
      </c>
      <c r="J66" s="84">
        <v>0</v>
      </c>
      <c r="K66" s="84">
        <v>1</v>
      </c>
      <c r="L66" s="84">
        <v>76</v>
      </c>
      <c r="M66" s="84">
        <v>568</v>
      </c>
      <c r="N66" s="84">
        <v>1023</v>
      </c>
      <c r="O66" s="84">
        <v>2021</v>
      </c>
      <c r="P66" s="84">
        <v>2832</v>
      </c>
      <c r="Q66" s="84">
        <v>4480</v>
      </c>
      <c r="R66" s="84">
        <v>6484</v>
      </c>
      <c r="S66" s="84">
        <v>10145</v>
      </c>
      <c r="T66" s="84">
        <v>16407</v>
      </c>
      <c r="U66" s="84">
        <v>26799</v>
      </c>
      <c r="V66" s="84">
        <v>45057</v>
      </c>
      <c r="W66" s="84">
        <v>72738</v>
      </c>
      <c r="X66" s="84">
        <v>104413</v>
      </c>
      <c r="Y66" s="84">
        <v>154853</v>
      </c>
      <c r="DA66" s="171" t="s">
        <v>509</v>
      </c>
    </row>
    <row r="67" spans="1:105" ht="11.45" customHeight="1" x14ac:dyDescent="0.25">
      <c r="A67" s="109" t="s">
        <v>21</v>
      </c>
      <c r="B67" s="110">
        <f t="shared" ref="B67:K67" si="130">SUM(B68:B72)</f>
        <v>54848</v>
      </c>
      <c r="C67" s="110">
        <f t="shared" si="130"/>
        <v>56262</v>
      </c>
      <c r="D67" s="110">
        <f t="shared" si="130"/>
        <v>56961</v>
      </c>
      <c r="E67" s="110">
        <f t="shared" si="130"/>
        <v>56181</v>
      </c>
      <c r="F67" s="110">
        <f t="shared" si="130"/>
        <v>57201</v>
      </c>
      <c r="G67" s="110">
        <f t="shared" si="130"/>
        <v>58248</v>
      </c>
      <c r="H67" s="110">
        <f t="shared" si="130"/>
        <v>60507</v>
      </c>
      <c r="I67" s="110">
        <f t="shared" si="130"/>
        <v>61198</v>
      </c>
      <c r="J67" s="110">
        <f t="shared" si="130"/>
        <v>62225</v>
      </c>
      <c r="K67" s="110">
        <f t="shared" si="130"/>
        <v>62663</v>
      </c>
      <c r="L67" s="110">
        <f t="shared" ref="L67" si="131">SUM(L68:L72)</f>
        <v>62445</v>
      </c>
      <c r="M67" s="110">
        <f t="shared" ref="M67:V67" si="132">SUM(M68:M72)</f>
        <v>62358</v>
      </c>
      <c r="N67" s="110">
        <f t="shared" si="132"/>
        <v>62358</v>
      </c>
      <c r="O67" s="110">
        <f t="shared" si="132"/>
        <v>59892</v>
      </c>
      <c r="P67" s="110">
        <f t="shared" si="132"/>
        <v>59799</v>
      </c>
      <c r="Q67" s="110">
        <f t="shared" si="132"/>
        <v>60252</v>
      </c>
      <c r="R67" s="110">
        <f t="shared" si="132"/>
        <v>61838</v>
      </c>
      <c r="S67" s="110">
        <f t="shared" si="132"/>
        <v>45491</v>
      </c>
      <c r="T67" s="110">
        <f t="shared" si="132"/>
        <v>46577</v>
      </c>
      <c r="U67" s="110">
        <f t="shared" si="132"/>
        <v>47411</v>
      </c>
      <c r="V67" s="110">
        <f t="shared" si="132"/>
        <v>46367</v>
      </c>
      <c r="W67" s="110">
        <f t="shared" ref="W67:Y67" si="133">SUM(W68:W72)</f>
        <v>47156</v>
      </c>
      <c r="X67" s="110">
        <f t="shared" si="133"/>
        <v>48102</v>
      </c>
      <c r="Y67" s="110">
        <f t="shared" si="133"/>
        <v>49384</v>
      </c>
      <c r="DA67" s="176" t="s">
        <v>510</v>
      </c>
    </row>
    <row r="68" spans="1:105" ht="11.45" customHeight="1" x14ac:dyDescent="0.25">
      <c r="A68" s="111" t="s">
        <v>110</v>
      </c>
      <c r="B68" s="102">
        <v>964</v>
      </c>
      <c r="C68" s="102">
        <v>988</v>
      </c>
      <c r="D68" s="102">
        <v>1036</v>
      </c>
      <c r="E68" s="102">
        <v>1018</v>
      </c>
      <c r="F68" s="102">
        <v>1006</v>
      </c>
      <c r="G68" s="102">
        <v>920</v>
      </c>
      <c r="H68" s="102">
        <v>900</v>
      </c>
      <c r="I68" s="102">
        <v>1000</v>
      </c>
      <c r="J68" s="102">
        <v>930</v>
      </c>
      <c r="K68" s="102">
        <v>864</v>
      </c>
      <c r="L68" s="102">
        <v>817</v>
      </c>
      <c r="M68" s="102">
        <v>783</v>
      </c>
      <c r="N68" s="102">
        <v>743</v>
      </c>
      <c r="O68" s="102">
        <v>710</v>
      </c>
      <c r="P68" s="102">
        <v>682</v>
      </c>
      <c r="Q68" s="102">
        <v>649</v>
      </c>
      <c r="R68" s="102">
        <v>648</v>
      </c>
      <c r="S68" s="102">
        <v>621</v>
      </c>
      <c r="T68" s="102">
        <v>582</v>
      </c>
      <c r="U68" s="102">
        <v>541</v>
      </c>
      <c r="V68" s="102">
        <v>499</v>
      </c>
      <c r="W68" s="102">
        <v>492</v>
      </c>
      <c r="X68" s="102">
        <v>472</v>
      </c>
      <c r="Y68" s="102">
        <v>446</v>
      </c>
      <c r="DA68" s="175" t="s">
        <v>511</v>
      </c>
    </row>
    <row r="69" spans="1:105" ht="11.45" customHeight="1" x14ac:dyDescent="0.25">
      <c r="A69" s="111" t="s">
        <v>111</v>
      </c>
      <c r="B69" s="102">
        <v>53768</v>
      </c>
      <c r="C69" s="102">
        <v>55158</v>
      </c>
      <c r="D69" s="102">
        <v>55917</v>
      </c>
      <c r="E69" s="102">
        <v>54975</v>
      </c>
      <c r="F69" s="102">
        <v>55951</v>
      </c>
      <c r="G69" s="102">
        <v>57049</v>
      </c>
      <c r="H69" s="102">
        <v>59300</v>
      </c>
      <c r="I69" s="102">
        <v>59800</v>
      </c>
      <c r="J69" s="102">
        <v>60924</v>
      </c>
      <c r="K69" s="102">
        <v>61425</v>
      </c>
      <c r="L69" s="102">
        <v>61254</v>
      </c>
      <c r="M69" s="102">
        <v>61202</v>
      </c>
      <c r="N69" s="102">
        <v>61240</v>
      </c>
      <c r="O69" s="102">
        <v>58760</v>
      </c>
      <c r="P69" s="102">
        <v>58716</v>
      </c>
      <c r="Q69" s="102">
        <v>57959</v>
      </c>
      <c r="R69" s="102">
        <v>59233</v>
      </c>
      <c r="S69" s="102">
        <v>42596</v>
      </c>
      <c r="T69" s="102">
        <v>43344</v>
      </c>
      <c r="U69" s="102">
        <v>43486</v>
      </c>
      <c r="V69" s="102">
        <v>41886</v>
      </c>
      <c r="W69" s="102">
        <v>42263</v>
      </c>
      <c r="X69" s="102">
        <v>42992</v>
      </c>
      <c r="Y69" s="102">
        <v>43577</v>
      </c>
      <c r="DA69" s="175" t="s">
        <v>512</v>
      </c>
    </row>
    <row r="70" spans="1:105" ht="11.45" customHeight="1" x14ac:dyDescent="0.25">
      <c r="A70" s="111" t="s">
        <v>112</v>
      </c>
      <c r="B70" s="102">
        <v>0</v>
      </c>
      <c r="C70" s="102">
        <v>0</v>
      </c>
      <c r="D70" s="102">
        <v>0</v>
      </c>
      <c r="E70" s="102">
        <v>0</v>
      </c>
      <c r="F70" s="102">
        <v>0</v>
      </c>
      <c r="G70" s="102">
        <v>0</v>
      </c>
      <c r="H70" s="102">
        <v>0</v>
      </c>
      <c r="I70" s="102">
        <v>0</v>
      </c>
      <c r="J70" s="102">
        <v>0</v>
      </c>
      <c r="K70" s="102">
        <v>0</v>
      </c>
      <c r="L70" s="102">
        <v>0</v>
      </c>
      <c r="M70" s="102">
        <v>0</v>
      </c>
      <c r="N70" s="102">
        <v>0</v>
      </c>
      <c r="O70" s="102">
        <v>0</v>
      </c>
      <c r="P70" s="102">
        <v>4</v>
      </c>
      <c r="Q70" s="102">
        <v>103</v>
      </c>
      <c r="R70" s="102">
        <v>106</v>
      </c>
      <c r="S70" s="102">
        <v>106</v>
      </c>
      <c r="T70" s="102">
        <v>98</v>
      </c>
      <c r="U70" s="102">
        <v>126</v>
      </c>
      <c r="V70" s="102">
        <v>160</v>
      </c>
      <c r="W70" s="102">
        <v>338</v>
      </c>
      <c r="X70" s="102">
        <v>442</v>
      </c>
      <c r="Y70" s="102">
        <v>571</v>
      </c>
      <c r="DA70" s="175" t="s">
        <v>513</v>
      </c>
    </row>
    <row r="71" spans="1:105" ht="11.45" customHeight="1" x14ac:dyDescent="0.25">
      <c r="A71" s="111" t="s">
        <v>113</v>
      </c>
      <c r="B71" s="102">
        <v>116</v>
      </c>
      <c r="C71" s="102">
        <v>116</v>
      </c>
      <c r="D71" s="102">
        <v>8</v>
      </c>
      <c r="E71" s="102">
        <v>188</v>
      </c>
      <c r="F71" s="102">
        <v>244</v>
      </c>
      <c r="G71" s="102">
        <v>279</v>
      </c>
      <c r="H71" s="102">
        <v>307</v>
      </c>
      <c r="I71" s="102">
        <v>398</v>
      </c>
      <c r="J71" s="102">
        <v>371</v>
      </c>
      <c r="K71" s="102">
        <v>374</v>
      </c>
      <c r="L71" s="102">
        <v>374</v>
      </c>
      <c r="M71" s="102">
        <v>373</v>
      </c>
      <c r="N71" s="102">
        <v>375</v>
      </c>
      <c r="O71" s="102">
        <v>361</v>
      </c>
      <c r="P71" s="102">
        <v>325</v>
      </c>
      <c r="Q71" s="102">
        <v>1426</v>
      </c>
      <c r="R71" s="102">
        <v>1727</v>
      </c>
      <c r="S71" s="102">
        <v>2029</v>
      </c>
      <c r="T71" s="102">
        <v>2395</v>
      </c>
      <c r="U71" s="102">
        <v>3029</v>
      </c>
      <c r="V71" s="102">
        <v>3557</v>
      </c>
      <c r="W71" s="102">
        <v>3675</v>
      </c>
      <c r="X71" s="102">
        <v>3675</v>
      </c>
      <c r="Y71" s="102">
        <v>3779</v>
      </c>
      <c r="DA71" s="175" t="s">
        <v>514</v>
      </c>
    </row>
    <row r="72" spans="1:105" ht="11.45" customHeight="1" x14ac:dyDescent="0.25">
      <c r="A72" s="111" t="s">
        <v>115</v>
      </c>
      <c r="B72" s="102">
        <v>0</v>
      </c>
      <c r="C72" s="102">
        <v>0</v>
      </c>
      <c r="D72" s="102">
        <v>0</v>
      </c>
      <c r="E72" s="102">
        <v>0</v>
      </c>
      <c r="F72" s="102">
        <v>0</v>
      </c>
      <c r="G72" s="102">
        <v>0</v>
      </c>
      <c r="H72" s="102">
        <v>0</v>
      </c>
      <c r="I72" s="102">
        <v>0</v>
      </c>
      <c r="J72" s="102">
        <v>0</v>
      </c>
      <c r="K72" s="102">
        <v>0</v>
      </c>
      <c r="L72" s="102">
        <v>0</v>
      </c>
      <c r="M72" s="102">
        <v>0</v>
      </c>
      <c r="N72" s="102">
        <v>0</v>
      </c>
      <c r="O72" s="102">
        <v>61</v>
      </c>
      <c r="P72" s="102">
        <v>72</v>
      </c>
      <c r="Q72" s="102">
        <v>115</v>
      </c>
      <c r="R72" s="102">
        <v>124</v>
      </c>
      <c r="S72" s="102">
        <v>139</v>
      </c>
      <c r="T72" s="102">
        <v>158</v>
      </c>
      <c r="U72" s="102">
        <v>229</v>
      </c>
      <c r="V72" s="102">
        <v>265</v>
      </c>
      <c r="W72" s="102">
        <v>388</v>
      </c>
      <c r="X72" s="102">
        <v>521</v>
      </c>
      <c r="Y72" s="102">
        <v>1011</v>
      </c>
      <c r="DA72" s="175" t="s">
        <v>515</v>
      </c>
    </row>
    <row r="73" spans="1:105" ht="11.45" customHeight="1" x14ac:dyDescent="0.25">
      <c r="A73" s="27" t="s">
        <v>34</v>
      </c>
      <c r="B73" s="28">
        <f t="shared" ref="B73:K73" si="134">B74+B80</f>
        <v>3505125</v>
      </c>
      <c r="C73" s="28">
        <f t="shared" si="134"/>
        <v>3622212</v>
      </c>
      <c r="D73" s="28">
        <f t="shared" si="134"/>
        <v>3563647</v>
      </c>
      <c r="E73" s="28">
        <f t="shared" si="134"/>
        <v>3681591</v>
      </c>
      <c r="F73" s="28">
        <f t="shared" si="134"/>
        <v>3906054</v>
      </c>
      <c r="G73" s="28">
        <f t="shared" si="134"/>
        <v>3996438</v>
      </c>
      <c r="H73" s="28">
        <f t="shared" si="134"/>
        <v>4064325</v>
      </c>
      <c r="I73" s="28">
        <f t="shared" si="134"/>
        <v>4709281</v>
      </c>
      <c r="J73" s="28">
        <f t="shared" si="134"/>
        <v>4385063</v>
      </c>
      <c r="K73" s="28">
        <f t="shared" si="134"/>
        <v>3831472</v>
      </c>
      <c r="L73" s="28">
        <f t="shared" ref="L73" si="135">L74+L80</f>
        <v>3645913</v>
      </c>
      <c r="M73" s="28">
        <f t="shared" ref="M73:V73" si="136">M74+M80</f>
        <v>3496793</v>
      </c>
      <c r="N73" s="28">
        <f t="shared" si="136"/>
        <v>3250465</v>
      </c>
      <c r="O73" s="28">
        <f t="shared" si="136"/>
        <v>2984958</v>
      </c>
      <c r="P73" s="28">
        <f t="shared" si="136"/>
        <v>3079523</v>
      </c>
      <c r="Q73" s="28">
        <f t="shared" si="136"/>
        <v>3344528</v>
      </c>
      <c r="R73" s="28">
        <f t="shared" si="136"/>
        <v>3300108</v>
      </c>
      <c r="S73" s="28">
        <f t="shared" si="136"/>
        <v>3363121</v>
      </c>
      <c r="T73" s="28">
        <f t="shared" si="136"/>
        <v>3432873</v>
      </c>
      <c r="U73" s="28">
        <f t="shared" si="136"/>
        <v>3472708</v>
      </c>
      <c r="V73" s="28">
        <f t="shared" si="136"/>
        <v>3481738</v>
      </c>
      <c r="W73" s="28">
        <f t="shared" ref="W73:Y73" si="137">W74+W80</f>
        <v>3488020</v>
      </c>
      <c r="X73" s="28">
        <f t="shared" si="137"/>
        <v>3503464</v>
      </c>
      <c r="Y73" s="28">
        <f t="shared" si="137"/>
        <v>3555047</v>
      </c>
      <c r="DA73" s="173" t="s">
        <v>516</v>
      </c>
    </row>
    <row r="74" spans="1:105" ht="11.45" customHeight="1" x14ac:dyDescent="0.25">
      <c r="A74" s="136" t="s">
        <v>153</v>
      </c>
      <c r="B74" s="137">
        <f t="shared" ref="B74:K74" si="138">SUM(B75:B79)</f>
        <v>2891834</v>
      </c>
      <c r="C74" s="137">
        <f t="shared" si="138"/>
        <v>2982968</v>
      </c>
      <c r="D74" s="137">
        <f t="shared" si="138"/>
        <v>2906938</v>
      </c>
      <c r="E74" s="137">
        <f t="shared" si="138"/>
        <v>2996438</v>
      </c>
      <c r="F74" s="137">
        <f t="shared" si="138"/>
        <v>3206773</v>
      </c>
      <c r="G74" s="137">
        <f t="shared" si="138"/>
        <v>3279859</v>
      </c>
      <c r="H74" s="137">
        <f t="shared" si="138"/>
        <v>3328697</v>
      </c>
      <c r="I74" s="137">
        <f t="shared" si="138"/>
        <v>3949516</v>
      </c>
      <c r="J74" s="137">
        <f t="shared" si="138"/>
        <v>3626082</v>
      </c>
      <c r="K74" s="137">
        <f t="shared" si="138"/>
        <v>3088449</v>
      </c>
      <c r="L74" s="137">
        <f t="shared" ref="L74" si="139">SUM(L75:L79)</f>
        <v>2923723</v>
      </c>
      <c r="M74" s="137">
        <f t="shared" ref="M74:V74" si="140">SUM(M75:M79)</f>
        <v>2791808</v>
      </c>
      <c r="N74" s="137">
        <f t="shared" si="140"/>
        <v>2571941</v>
      </c>
      <c r="O74" s="137">
        <f t="shared" si="140"/>
        <v>2483314</v>
      </c>
      <c r="P74" s="137">
        <f t="shared" si="140"/>
        <v>2576691</v>
      </c>
      <c r="Q74" s="137">
        <f t="shared" si="140"/>
        <v>2834711</v>
      </c>
      <c r="R74" s="137">
        <f t="shared" si="140"/>
        <v>2765064</v>
      </c>
      <c r="S74" s="137">
        <f t="shared" si="140"/>
        <v>2818202</v>
      </c>
      <c r="T74" s="137">
        <f t="shared" si="140"/>
        <v>2875072</v>
      </c>
      <c r="U74" s="137">
        <f t="shared" si="140"/>
        <v>2904262</v>
      </c>
      <c r="V74" s="137">
        <f t="shared" si="140"/>
        <v>2907087</v>
      </c>
      <c r="W74" s="137">
        <f t="shared" ref="W74:Y74" si="141">SUM(W75:W79)</f>
        <v>2911749</v>
      </c>
      <c r="X74" s="137">
        <f t="shared" si="141"/>
        <v>2918128</v>
      </c>
      <c r="Y74" s="137">
        <f t="shared" si="141"/>
        <v>2956002</v>
      </c>
      <c r="DA74" s="174" t="s">
        <v>517</v>
      </c>
    </row>
    <row r="75" spans="1:105" ht="11.45" customHeight="1" x14ac:dyDescent="0.25">
      <c r="A75" s="111" t="s">
        <v>110</v>
      </c>
      <c r="B75" s="84">
        <v>291921</v>
      </c>
      <c r="C75" s="84">
        <v>276921</v>
      </c>
      <c r="D75" s="84">
        <v>201920</v>
      </c>
      <c r="E75" s="84">
        <v>171916</v>
      </c>
      <c r="F75" s="84">
        <v>149872</v>
      </c>
      <c r="G75" s="84">
        <v>126437</v>
      </c>
      <c r="H75" s="84">
        <v>107182</v>
      </c>
      <c r="I75" s="84">
        <v>99851</v>
      </c>
      <c r="J75" s="84">
        <v>84046</v>
      </c>
      <c r="K75" s="84">
        <v>74117</v>
      </c>
      <c r="L75" s="84">
        <v>68911</v>
      </c>
      <c r="M75" s="84">
        <v>71065</v>
      </c>
      <c r="N75" s="84">
        <v>71610</v>
      </c>
      <c r="O75" s="84">
        <v>68431</v>
      </c>
      <c r="P75" s="84">
        <v>48644</v>
      </c>
      <c r="Q75" s="84">
        <v>51208</v>
      </c>
      <c r="R75" s="84">
        <v>47489</v>
      </c>
      <c r="S75" s="84">
        <v>53545</v>
      </c>
      <c r="T75" s="84">
        <v>58677</v>
      </c>
      <c r="U75" s="84">
        <v>60758</v>
      </c>
      <c r="V75" s="84">
        <v>56599</v>
      </c>
      <c r="W75" s="84">
        <v>58217</v>
      </c>
      <c r="X75" s="84">
        <v>58190</v>
      </c>
      <c r="Y75" s="84">
        <v>51746</v>
      </c>
      <c r="DA75" s="171" t="s">
        <v>518</v>
      </c>
    </row>
    <row r="76" spans="1:105" ht="11.45" customHeight="1" x14ac:dyDescent="0.25">
      <c r="A76" s="111" t="s">
        <v>111</v>
      </c>
      <c r="B76" s="84">
        <v>2599913</v>
      </c>
      <c r="C76" s="84">
        <v>2706047</v>
      </c>
      <c r="D76" s="84">
        <v>2705018</v>
      </c>
      <c r="E76" s="84">
        <v>2824522</v>
      </c>
      <c r="F76" s="84">
        <v>3056901</v>
      </c>
      <c r="G76" s="84">
        <v>3153422</v>
      </c>
      <c r="H76" s="84">
        <v>3221515</v>
      </c>
      <c r="I76" s="84">
        <v>3849665</v>
      </c>
      <c r="J76" s="84">
        <v>3542036</v>
      </c>
      <c r="K76" s="84">
        <v>3014332</v>
      </c>
      <c r="L76" s="84">
        <v>2854812</v>
      </c>
      <c r="M76" s="84">
        <v>2720719</v>
      </c>
      <c r="N76" s="84">
        <v>2500095</v>
      </c>
      <c r="O76" s="84">
        <v>2414667</v>
      </c>
      <c r="P76" s="84">
        <v>2526313</v>
      </c>
      <c r="Q76" s="84">
        <v>2780465</v>
      </c>
      <c r="R76" s="84">
        <v>2713782</v>
      </c>
      <c r="S76" s="84">
        <v>2758991</v>
      </c>
      <c r="T76" s="84">
        <v>2806032</v>
      </c>
      <c r="U76" s="84">
        <v>2824961</v>
      </c>
      <c r="V76" s="84">
        <v>2826927</v>
      </c>
      <c r="W76" s="84">
        <v>2824044</v>
      </c>
      <c r="X76" s="84">
        <v>2826628</v>
      </c>
      <c r="Y76" s="84">
        <v>2862279</v>
      </c>
      <c r="DA76" s="171" t="s">
        <v>519</v>
      </c>
    </row>
    <row r="77" spans="1:105" ht="11.45" customHeight="1" x14ac:dyDescent="0.25">
      <c r="A77" s="111" t="s">
        <v>112</v>
      </c>
      <c r="B77" s="84">
        <v>0</v>
      </c>
      <c r="C77" s="84">
        <v>0</v>
      </c>
      <c r="D77" s="84">
        <v>0</v>
      </c>
      <c r="E77" s="84">
        <v>0</v>
      </c>
      <c r="F77" s="84">
        <v>0</v>
      </c>
      <c r="G77" s="84">
        <v>0</v>
      </c>
      <c r="H77" s="84">
        <v>0</v>
      </c>
      <c r="I77" s="84">
        <v>0</v>
      </c>
      <c r="J77" s="84">
        <v>0</v>
      </c>
      <c r="K77" s="84">
        <v>0</v>
      </c>
      <c r="L77" s="84">
        <v>0</v>
      </c>
      <c r="M77" s="84">
        <v>0</v>
      </c>
      <c r="N77" s="84">
        <v>0</v>
      </c>
      <c r="O77" s="84">
        <v>2</v>
      </c>
      <c r="P77" s="84">
        <v>240</v>
      </c>
      <c r="Q77" s="84">
        <v>567</v>
      </c>
      <c r="R77" s="84">
        <v>967</v>
      </c>
      <c r="S77" s="84">
        <v>1625</v>
      </c>
      <c r="T77" s="84">
        <v>3583</v>
      </c>
      <c r="U77" s="84">
        <v>8552</v>
      </c>
      <c r="V77" s="84">
        <v>10518</v>
      </c>
      <c r="W77" s="84">
        <v>13315</v>
      </c>
      <c r="X77" s="84">
        <v>13946</v>
      </c>
      <c r="Y77" s="84">
        <v>14710</v>
      </c>
      <c r="DA77" s="171" t="s">
        <v>520</v>
      </c>
    </row>
    <row r="78" spans="1:105" ht="11.45" customHeight="1" x14ac:dyDescent="0.25">
      <c r="A78" s="111" t="s">
        <v>113</v>
      </c>
      <c r="B78" s="84">
        <v>0</v>
      </c>
      <c r="C78" s="84">
        <v>0</v>
      </c>
      <c r="D78" s="84">
        <v>0</v>
      </c>
      <c r="E78" s="84">
        <v>0</v>
      </c>
      <c r="F78" s="84">
        <v>0</v>
      </c>
      <c r="G78" s="84">
        <v>0</v>
      </c>
      <c r="H78" s="84">
        <v>0</v>
      </c>
      <c r="I78" s="84">
        <v>0</v>
      </c>
      <c r="J78" s="84">
        <v>0</v>
      </c>
      <c r="K78" s="84">
        <v>0</v>
      </c>
      <c r="L78" s="84">
        <v>0</v>
      </c>
      <c r="M78" s="84">
        <v>0</v>
      </c>
      <c r="N78" s="84">
        <v>15</v>
      </c>
      <c r="O78" s="84">
        <v>99</v>
      </c>
      <c r="P78" s="84">
        <v>172</v>
      </c>
      <c r="Q78" s="84">
        <v>542</v>
      </c>
      <c r="R78" s="84">
        <v>736</v>
      </c>
      <c r="S78" s="84">
        <v>1083</v>
      </c>
      <c r="T78" s="84">
        <v>2021</v>
      </c>
      <c r="U78" s="84">
        <v>3688</v>
      </c>
      <c r="V78" s="84">
        <v>5106</v>
      </c>
      <c r="W78" s="84">
        <v>5677</v>
      </c>
      <c r="X78" s="84">
        <v>5677</v>
      </c>
      <c r="Y78" s="84">
        <v>5614</v>
      </c>
      <c r="DA78" s="171" t="s">
        <v>521</v>
      </c>
    </row>
    <row r="79" spans="1:105" ht="11.45" customHeight="1" x14ac:dyDescent="0.25">
      <c r="A79" s="111" t="s">
        <v>115</v>
      </c>
      <c r="B79" s="84">
        <v>0</v>
      </c>
      <c r="C79" s="84">
        <v>0</v>
      </c>
      <c r="D79" s="84">
        <v>0</v>
      </c>
      <c r="E79" s="84">
        <v>0</v>
      </c>
      <c r="F79" s="84">
        <v>0</v>
      </c>
      <c r="G79" s="84">
        <v>0</v>
      </c>
      <c r="H79" s="84">
        <v>0</v>
      </c>
      <c r="I79" s="84">
        <v>0</v>
      </c>
      <c r="J79" s="84">
        <v>0</v>
      </c>
      <c r="K79" s="84">
        <v>0</v>
      </c>
      <c r="L79" s="84">
        <v>0</v>
      </c>
      <c r="M79" s="84">
        <v>24</v>
      </c>
      <c r="N79" s="84">
        <v>221</v>
      </c>
      <c r="O79" s="84">
        <v>115</v>
      </c>
      <c r="P79" s="84">
        <v>1322</v>
      </c>
      <c r="Q79" s="84">
        <v>1929</v>
      </c>
      <c r="R79" s="84">
        <v>2090</v>
      </c>
      <c r="S79" s="84">
        <v>2958</v>
      </c>
      <c r="T79" s="84">
        <v>4759</v>
      </c>
      <c r="U79" s="84">
        <v>6303</v>
      </c>
      <c r="V79" s="84">
        <v>7937</v>
      </c>
      <c r="W79" s="84">
        <v>10496</v>
      </c>
      <c r="X79" s="84">
        <v>13687</v>
      </c>
      <c r="Y79" s="84">
        <v>21653</v>
      </c>
      <c r="DA79" s="171" t="s">
        <v>522</v>
      </c>
    </row>
    <row r="80" spans="1:105" ht="11.45" customHeight="1" x14ac:dyDescent="0.25">
      <c r="A80" s="109" t="s">
        <v>154</v>
      </c>
      <c r="B80" s="110">
        <f t="shared" ref="B80:K80" si="142">SUM(B81:B82)</f>
        <v>613291</v>
      </c>
      <c r="C80" s="110">
        <f t="shared" si="142"/>
        <v>639244</v>
      </c>
      <c r="D80" s="110">
        <f t="shared" si="142"/>
        <v>656709</v>
      </c>
      <c r="E80" s="110">
        <f t="shared" si="142"/>
        <v>685153</v>
      </c>
      <c r="F80" s="110">
        <f t="shared" si="142"/>
        <v>699281</v>
      </c>
      <c r="G80" s="110">
        <f t="shared" si="142"/>
        <v>716579</v>
      </c>
      <c r="H80" s="110">
        <f t="shared" si="142"/>
        <v>735628</v>
      </c>
      <c r="I80" s="110">
        <f t="shared" si="142"/>
        <v>759765</v>
      </c>
      <c r="J80" s="110">
        <f t="shared" si="142"/>
        <v>758981</v>
      </c>
      <c r="K80" s="110">
        <f t="shared" si="142"/>
        <v>743023</v>
      </c>
      <c r="L80" s="110">
        <f t="shared" ref="L80" si="143">SUM(L81:L82)</f>
        <v>722190</v>
      </c>
      <c r="M80" s="110">
        <f t="shared" ref="M80:V80" si="144">SUM(M81:M82)</f>
        <v>704985</v>
      </c>
      <c r="N80" s="110">
        <f t="shared" si="144"/>
        <v>678524</v>
      </c>
      <c r="O80" s="110">
        <f t="shared" si="144"/>
        <v>501644</v>
      </c>
      <c r="P80" s="110">
        <f t="shared" si="144"/>
        <v>502832</v>
      </c>
      <c r="Q80" s="110">
        <f t="shared" si="144"/>
        <v>509817</v>
      </c>
      <c r="R80" s="110">
        <f t="shared" si="144"/>
        <v>535044</v>
      </c>
      <c r="S80" s="110">
        <f t="shared" si="144"/>
        <v>544919</v>
      </c>
      <c r="T80" s="110">
        <f t="shared" si="144"/>
        <v>557801</v>
      </c>
      <c r="U80" s="110">
        <f t="shared" si="144"/>
        <v>568446</v>
      </c>
      <c r="V80" s="110">
        <f t="shared" si="144"/>
        <v>574651</v>
      </c>
      <c r="W80" s="110">
        <f t="shared" ref="W80:Y80" si="145">SUM(W81:W82)</f>
        <v>576271</v>
      </c>
      <c r="X80" s="110">
        <f t="shared" si="145"/>
        <v>585336</v>
      </c>
      <c r="Y80" s="110">
        <f t="shared" si="145"/>
        <v>599045</v>
      </c>
      <c r="DA80" s="176" t="s">
        <v>523</v>
      </c>
    </row>
    <row r="81" spans="1:105" ht="11.45" customHeight="1" x14ac:dyDescent="0.25">
      <c r="A81" s="128" t="s">
        <v>27</v>
      </c>
      <c r="B81" s="102">
        <v>586880</v>
      </c>
      <c r="C81" s="102">
        <v>610928</v>
      </c>
      <c r="D81" s="102">
        <v>626919</v>
      </c>
      <c r="E81" s="102">
        <v>654703</v>
      </c>
      <c r="F81" s="102">
        <v>663279</v>
      </c>
      <c r="G81" s="102">
        <v>679321</v>
      </c>
      <c r="H81" s="102">
        <v>697599</v>
      </c>
      <c r="I81" s="102">
        <v>720879</v>
      </c>
      <c r="J81" s="102">
        <v>723358</v>
      </c>
      <c r="K81" s="102">
        <v>710145</v>
      </c>
      <c r="L81" s="102">
        <v>690488</v>
      </c>
      <c r="M81" s="102">
        <v>673731</v>
      </c>
      <c r="N81" s="102">
        <v>648122</v>
      </c>
      <c r="O81" s="102">
        <v>469016</v>
      </c>
      <c r="P81" s="102">
        <v>470417</v>
      </c>
      <c r="Q81" s="102">
        <v>475579</v>
      </c>
      <c r="R81" s="102">
        <v>499820</v>
      </c>
      <c r="S81" s="102">
        <v>508571</v>
      </c>
      <c r="T81" s="102">
        <v>520256</v>
      </c>
      <c r="U81" s="102">
        <v>529296</v>
      </c>
      <c r="V81" s="102">
        <v>537502</v>
      </c>
      <c r="W81" s="102">
        <v>535564</v>
      </c>
      <c r="X81" s="102">
        <v>543194</v>
      </c>
      <c r="Y81" s="102">
        <v>559043</v>
      </c>
      <c r="DA81" s="175" t="s">
        <v>524</v>
      </c>
    </row>
    <row r="82" spans="1:105" ht="11.45" customHeight="1" x14ac:dyDescent="0.25">
      <c r="A82" s="138" t="s">
        <v>116</v>
      </c>
      <c r="B82" s="86">
        <v>26411</v>
      </c>
      <c r="C82" s="86">
        <v>28316</v>
      </c>
      <c r="D82" s="86">
        <v>29790</v>
      </c>
      <c r="E82" s="86">
        <v>30450</v>
      </c>
      <c r="F82" s="86">
        <v>36002</v>
      </c>
      <c r="G82" s="86">
        <v>37258</v>
      </c>
      <c r="H82" s="86">
        <v>38029</v>
      </c>
      <c r="I82" s="86">
        <v>38886</v>
      </c>
      <c r="J82" s="86">
        <v>35623</v>
      </c>
      <c r="K82" s="86">
        <v>32878</v>
      </c>
      <c r="L82" s="86">
        <v>31702</v>
      </c>
      <c r="M82" s="86">
        <v>31254</v>
      </c>
      <c r="N82" s="86">
        <v>30402</v>
      </c>
      <c r="O82" s="86">
        <v>32628</v>
      </c>
      <c r="P82" s="86">
        <v>32415</v>
      </c>
      <c r="Q82" s="86">
        <v>34238</v>
      </c>
      <c r="R82" s="86">
        <v>35224</v>
      </c>
      <c r="S82" s="86">
        <v>36348</v>
      </c>
      <c r="T82" s="86">
        <v>37545</v>
      </c>
      <c r="U82" s="86">
        <v>39150</v>
      </c>
      <c r="V82" s="86">
        <v>37149</v>
      </c>
      <c r="W82" s="86">
        <v>40707</v>
      </c>
      <c r="X82" s="86">
        <v>42142</v>
      </c>
      <c r="Y82" s="86">
        <v>40002</v>
      </c>
      <c r="DA82" s="178" t="s">
        <v>525</v>
      </c>
    </row>
    <row r="83" spans="1:105" ht="11.45" hidden="1" customHeight="1" x14ac:dyDescent="0.25">
      <c r="A83" s="106"/>
      <c r="B83" s="106"/>
      <c r="C83" s="106"/>
      <c r="D83" s="106"/>
      <c r="E83" s="106"/>
      <c r="F83" s="106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X83" s="106"/>
      <c r="Y83" s="106"/>
      <c r="DA83" s="171"/>
    </row>
    <row r="84" spans="1:105" ht="11.45" hidden="1" customHeight="1" x14ac:dyDescent="0.25">
      <c r="A84" s="53" t="s">
        <v>135</v>
      </c>
      <c r="B84" s="54">
        <f t="shared" ref="B84:C84" si="146">B85+B100</f>
        <v>24268988</v>
      </c>
      <c r="C84" s="54">
        <f t="shared" si="146"/>
        <v>25119674</v>
      </c>
      <c r="D84" s="54">
        <f t="shared" ref="D84:V84" si="147">D85+D100</f>
        <v>25915058</v>
      </c>
      <c r="E84" s="54">
        <f t="shared" si="147"/>
        <v>26082891</v>
      </c>
      <c r="F84" s="54">
        <f t="shared" si="147"/>
        <v>27359383</v>
      </c>
      <c r="G84" s="54">
        <f t="shared" si="147"/>
        <v>28422663</v>
      </c>
      <c r="H84" s="54">
        <f t="shared" si="147"/>
        <v>29578978</v>
      </c>
      <c r="I84" s="54">
        <f t="shared" si="147"/>
        <v>31272239</v>
      </c>
      <c r="J84" s="54">
        <f t="shared" si="147"/>
        <v>31503792</v>
      </c>
      <c r="K84" s="54">
        <f t="shared" si="147"/>
        <v>30837014</v>
      </c>
      <c r="L84" s="54">
        <f t="shared" si="147"/>
        <v>30854047</v>
      </c>
      <c r="M84" s="54">
        <f t="shared" si="147"/>
        <v>30863612</v>
      </c>
      <c r="N84" s="54">
        <f t="shared" si="147"/>
        <v>30582788</v>
      </c>
      <c r="O84" s="54">
        <f t="shared" si="147"/>
        <v>30068170</v>
      </c>
      <c r="P84" s="54">
        <f t="shared" si="147"/>
        <v>30202043</v>
      </c>
      <c r="Q84" s="54">
        <f t="shared" si="147"/>
        <v>30863003</v>
      </c>
      <c r="R84" s="54">
        <f t="shared" si="147"/>
        <v>31305713</v>
      </c>
      <c r="S84" s="54">
        <f t="shared" si="147"/>
        <v>33373740</v>
      </c>
      <c r="T84" s="54">
        <f t="shared" si="147"/>
        <v>34162852</v>
      </c>
      <c r="U84" s="54">
        <f t="shared" si="147"/>
        <v>34855718</v>
      </c>
      <c r="V84" s="54">
        <f t="shared" si="147"/>
        <v>35171537</v>
      </c>
      <c r="W84" s="54">
        <f t="shared" ref="W84:Y84" si="148">W85+W100</f>
        <v>35542398</v>
      </c>
      <c r="X84" s="54">
        <f t="shared" si="148"/>
        <v>35983897</v>
      </c>
      <c r="Y84" s="54">
        <f t="shared" si="148"/>
        <v>36337856</v>
      </c>
      <c r="DA84" s="172"/>
    </row>
    <row r="85" spans="1:105" ht="11.45" hidden="1" customHeight="1" x14ac:dyDescent="0.25">
      <c r="A85" s="27" t="s">
        <v>33</v>
      </c>
      <c r="B85" s="28">
        <f t="shared" ref="B85:C85" si="149">B86+B87+B94</f>
        <v>20763863</v>
      </c>
      <c r="C85" s="28">
        <f t="shared" si="149"/>
        <v>21497462</v>
      </c>
      <c r="D85" s="28">
        <f t="shared" ref="D85:V85" si="150">D86+D87+D94</f>
        <v>22351411</v>
      </c>
      <c r="E85" s="28">
        <f t="shared" si="150"/>
        <v>22401300</v>
      </c>
      <c r="F85" s="28">
        <f t="shared" si="150"/>
        <v>23453329</v>
      </c>
      <c r="G85" s="28">
        <f t="shared" si="150"/>
        <v>24426225</v>
      </c>
      <c r="H85" s="28">
        <f t="shared" si="150"/>
        <v>25514653</v>
      </c>
      <c r="I85" s="28">
        <f t="shared" si="150"/>
        <v>26562958</v>
      </c>
      <c r="J85" s="28">
        <f t="shared" si="150"/>
        <v>27118729</v>
      </c>
      <c r="K85" s="28">
        <f t="shared" si="150"/>
        <v>27005542</v>
      </c>
      <c r="L85" s="28">
        <f t="shared" si="150"/>
        <v>27208134</v>
      </c>
      <c r="M85" s="28">
        <f t="shared" si="150"/>
        <v>27366819</v>
      </c>
      <c r="N85" s="28">
        <f t="shared" si="150"/>
        <v>27332323</v>
      </c>
      <c r="O85" s="28">
        <f t="shared" si="150"/>
        <v>27083212</v>
      </c>
      <c r="P85" s="28">
        <f t="shared" si="150"/>
        <v>27122520</v>
      </c>
      <c r="Q85" s="28">
        <f t="shared" si="150"/>
        <v>27518475</v>
      </c>
      <c r="R85" s="28">
        <f t="shared" si="150"/>
        <v>28005605</v>
      </c>
      <c r="S85" s="28">
        <f t="shared" si="150"/>
        <v>30010619</v>
      </c>
      <c r="T85" s="28">
        <f t="shared" si="150"/>
        <v>30729979</v>
      </c>
      <c r="U85" s="28">
        <f t="shared" si="150"/>
        <v>31383010</v>
      </c>
      <c r="V85" s="28">
        <f t="shared" si="150"/>
        <v>31689799</v>
      </c>
      <c r="W85" s="28">
        <f t="shared" ref="W85:Y85" si="151">W86+W87+W94</f>
        <v>32054378</v>
      </c>
      <c r="X85" s="28">
        <f t="shared" si="151"/>
        <v>32480433</v>
      </c>
      <c r="Y85" s="28">
        <f t="shared" si="151"/>
        <v>32782809</v>
      </c>
      <c r="DA85" s="173"/>
    </row>
    <row r="86" spans="1:105" ht="11.45" hidden="1" customHeight="1" x14ac:dyDescent="0.25">
      <c r="A86" s="136" t="s">
        <v>173</v>
      </c>
      <c r="B86" s="137">
        <v>3242201</v>
      </c>
      <c r="C86" s="137">
        <v>3290200</v>
      </c>
      <c r="D86" s="137">
        <v>3561450</v>
      </c>
      <c r="E86" s="137">
        <v>3657119</v>
      </c>
      <c r="F86" s="137">
        <v>3854128</v>
      </c>
      <c r="G86" s="137">
        <v>4117600.0000000005</v>
      </c>
      <c r="H86" s="137">
        <v>4401146</v>
      </c>
      <c r="I86" s="137">
        <v>4741760</v>
      </c>
      <c r="J86" s="137">
        <v>4911504</v>
      </c>
      <c r="K86" s="137">
        <v>4958879</v>
      </c>
      <c r="L86" s="137">
        <v>4997689</v>
      </c>
      <c r="M86" s="137">
        <v>5027461</v>
      </c>
      <c r="N86" s="137">
        <v>5021965</v>
      </c>
      <c r="O86" s="137">
        <v>4998320</v>
      </c>
      <c r="P86" s="137">
        <v>5033209</v>
      </c>
      <c r="Q86" s="137">
        <v>5102674</v>
      </c>
      <c r="R86" s="137">
        <v>5066933</v>
      </c>
      <c r="S86" s="137">
        <v>5288571</v>
      </c>
      <c r="T86" s="137">
        <v>5379212</v>
      </c>
      <c r="U86" s="137">
        <v>5499013</v>
      </c>
      <c r="V86" s="137">
        <v>5609085</v>
      </c>
      <c r="W86" s="137">
        <v>5713340</v>
      </c>
      <c r="X86" s="137">
        <v>5826853</v>
      </c>
      <c r="Y86" s="137">
        <v>5955283</v>
      </c>
      <c r="DA86" s="174"/>
    </row>
    <row r="87" spans="1:105" ht="11.45" hidden="1" customHeight="1" x14ac:dyDescent="0.25">
      <c r="A87" s="109" t="s">
        <v>20</v>
      </c>
      <c r="B87" s="110">
        <f t="shared" ref="B87:C87" si="152">SUM(B88:B93)</f>
        <v>17466814</v>
      </c>
      <c r="C87" s="110">
        <f t="shared" si="152"/>
        <v>18151000</v>
      </c>
      <c r="D87" s="110">
        <f t="shared" ref="D87:V87" si="153">SUM(D88:D93)</f>
        <v>18733000</v>
      </c>
      <c r="E87" s="110">
        <f t="shared" si="153"/>
        <v>18688000</v>
      </c>
      <c r="F87" s="110">
        <f t="shared" si="153"/>
        <v>19542000</v>
      </c>
      <c r="G87" s="110">
        <f t="shared" si="153"/>
        <v>20250377</v>
      </c>
      <c r="H87" s="110">
        <f t="shared" si="153"/>
        <v>21053000</v>
      </c>
      <c r="I87" s="110">
        <f t="shared" si="153"/>
        <v>21760000</v>
      </c>
      <c r="J87" s="110">
        <f t="shared" si="153"/>
        <v>22145000</v>
      </c>
      <c r="K87" s="110">
        <f t="shared" si="153"/>
        <v>21984000</v>
      </c>
      <c r="L87" s="110">
        <f t="shared" si="153"/>
        <v>22148000</v>
      </c>
      <c r="M87" s="110">
        <f t="shared" si="153"/>
        <v>22277000</v>
      </c>
      <c r="N87" s="110">
        <f t="shared" si="153"/>
        <v>22248000</v>
      </c>
      <c r="O87" s="110">
        <f t="shared" si="153"/>
        <v>22025000</v>
      </c>
      <c r="P87" s="110">
        <f t="shared" si="153"/>
        <v>22029512</v>
      </c>
      <c r="Q87" s="110">
        <f t="shared" si="153"/>
        <v>22355549</v>
      </c>
      <c r="R87" s="110">
        <f t="shared" si="153"/>
        <v>22876834</v>
      </c>
      <c r="S87" s="110">
        <f t="shared" si="153"/>
        <v>24676557</v>
      </c>
      <c r="T87" s="110">
        <f t="shared" si="153"/>
        <v>25304190</v>
      </c>
      <c r="U87" s="110">
        <f t="shared" si="153"/>
        <v>25836586</v>
      </c>
      <c r="V87" s="110">
        <f t="shared" si="153"/>
        <v>26034347</v>
      </c>
      <c r="W87" s="110">
        <f t="shared" ref="W87:Y87" si="154">SUM(W88:W93)</f>
        <v>26293882</v>
      </c>
      <c r="X87" s="110">
        <f t="shared" si="154"/>
        <v>26605478</v>
      </c>
      <c r="Y87" s="110">
        <f t="shared" si="154"/>
        <v>26778142</v>
      </c>
      <c r="DA87" s="176"/>
    </row>
    <row r="88" spans="1:105" ht="11.45" hidden="1" customHeight="1" x14ac:dyDescent="0.25">
      <c r="A88" s="111" t="s">
        <v>110</v>
      </c>
      <c r="B88" s="84">
        <v>12747000</v>
      </c>
      <c r="C88" s="84">
        <v>12783451</v>
      </c>
      <c r="D88" s="84">
        <v>12716658</v>
      </c>
      <c r="E88" s="84">
        <v>12085193</v>
      </c>
      <c r="F88" s="84">
        <v>12024101</v>
      </c>
      <c r="G88" s="84">
        <v>11840477</v>
      </c>
      <c r="H88" s="84">
        <v>11662923</v>
      </c>
      <c r="I88" s="84">
        <v>11497796</v>
      </c>
      <c r="J88" s="84">
        <v>11345358</v>
      </c>
      <c r="K88" s="84">
        <v>10903549</v>
      </c>
      <c r="L88" s="84">
        <v>10682509</v>
      </c>
      <c r="M88" s="84">
        <v>10520117</v>
      </c>
      <c r="N88" s="84">
        <v>10316522</v>
      </c>
      <c r="O88" s="84">
        <v>9960386</v>
      </c>
      <c r="P88" s="84">
        <v>9707492</v>
      </c>
      <c r="Q88" s="84">
        <v>9686021</v>
      </c>
      <c r="R88" s="84">
        <v>9957120</v>
      </c>
      <c r="S88" s="84">
        <v>10231248</v>
      </c>
      <c r="T88" s="84">
        <v>10644339</v>
      </c>
      <c r="U88" s="84">
        <v>11080884</v>
      </c>
      <c r="V88" s="84">
        <v>11253368</v>
      </c>
      <c r="W88" s="84">
        <v>11510275</v>
      </c>
      <c r="X88" s="84">
        <v>11807169</v>
      </c>
      <c r="Y88" s="84">
        <v>11943441</v>
      </c>
      <c r="DA88" s="171"/>
    </row>
    <row r="89" spans="1:105" ht="11.45" hidden="1" customHeight="1" x14ac:dyDescent="0.25">
      <c r="A89" s="111" t="s">
        <v>111</v>
      </c>
      <c r="B89" s="84">
        <v>4702000</v>
      </c>
      <c r="C89" s="84">
        <v>5349749</v>
      </c>
      <c r="D89" s="84">
        <v>5998179</v>
      </c>
      <c r="E89" s="84">
        <v>6586110</v>
      </c>
      <c r="F89" s="84">
        <v>7500202</v>
      </c>
      <c r="G89" s="84">
        <v>8395305</v>
      </c>
      <c r="H89" s="84">
        <v>9374085</v>
      </c>
      <c r="I89" s="84">
        <v>10248239</v>
      </c>
      <c r="J89" s="84">
        <v>10787869</v>
      </c>
      <c r="K89" s="84">
        <v>11066792</v>
      </c>
      <c r="L89" s="84">
        <v>11450215</v>
      </c>
      <c r="M89" s="84">
        <v>11740176</v>
      </c>
      <c r="N89" s="84">
        <v>11905367</v>
      </c>
      <c r="O89" s="84">
        <v>12035206</v>
      </c>
      <c r="P89" s="84">
        <v>12289257</v>
      </c>
      <c r="Q89" s="84">
        <v>12631929</v>
      </c>
      <c r="R89" s="84">
        <v>12877327</v>
      </c>
      <c r="S89" s="84">
        <v>14391494</v>
      </c>
      <c r="T89" s="84">
        <v>14575948</v>
      </c>
      <c r="U89" s="84">
        <v>14638093</v>
      </c>
      <c r="V89" s="84">
        <v>14617821</v>
      </c>
      <c r="W89" s="84">
        <v>14547303</v>
      </c>
      <c r="X89" s="84">
        <v>14464461</v>
      </c>
      <c r="Y89" s="84">
        <v>14350968</v>
      </c>
      <c r="DA89" s="171"/>
    </row>
    <row r="90" spans="1:105" ht="11.45" hidden="1" customHeight="1" x14ac:dyDescent="0.25">
      <c r="A90" s="111" t="s">
        <v>112</v>
      </c>
      <c r="B90" s="84">
        <v>17814</v>
      </c>
      <c r="C90" s="84">
        <v>17800</v>
      </c>
      <c r="D90" s="84">
        <v>18163</v>
      </c>
      <c r="E90" s="84">
        <v>16697</v>
      </c>
      <c r="F90" s="84">
        <v>16012</v>
      </c>
      <c r="G90" s="84">
        <v>10909</v>
      </c>
      <c r="H90" s="84">
        <v>9880</v>
      </c>
      <c r="I90" s="84">
        <v>7951</v>
      </c>
      <c r="J90" s="84">
        <v>5564</v>
      </c>
      <c r="K90" s="84">
        <v>7330</v>
      </c>
      <c r="L90" s="84">
        <v>8678</v>
      </c>
      <c r="M90" s="84">
        <v>9671</v>
      </c>
      <c r="N90" s="84">
        <v>14184</v>
      </c>
      <c r="O90" s="84">
        <v>15027</v>
      </c>
      <c r="P90" s="84">
        <v>17852</v>
      </c>
      <c r="Q90" s="84">
        <v>20517</v>
      </c>
      <c r="R90" s="84">
        <v>21938</v>
      </c>
      <c r="S90" s="84">
        <v>25580</v>
      </c>
      <c r="T90" s="84">
        <v>40090</v>
      </c>
      <c r="U90" s="84">
        <v>55994</v>
      </c>
      <c r="V90" s="84">
        <v>58837</v>
      </c>
      <c r="W90" s="84">
        <v>60784</v>
      </c>
      <c r="X90" s="84">
        <v>77564</v>
      </c>
      <c r="Y90" s="84">
        <v>116684</v>
      </c>
      <c r="DA90" s="171"/>
    </row>
    <row r="91" spans="1:105" ht="11.45" hidden="1" customHeight="1" x14ac:dyDescent="0.25">
      <c r="A91" s="111" t="s">
        <v>113</v>
      </c>
      <c r="B91" s="84">
        <v>0</v>
      </c>
      <c r="C91" s="84">
        <v>0</v>
      </c>
      <c r="D91" s="84">
        <v>0</v>
      </c>
      <c r="E91" s="84">
        <v>0</v>
      </c>
      <c r="F91" s="84">
        <v>1685</v>
      </c>
      <c r="G91" s="84">
        <v>3686</v>
      </c>
      <c r="H91" s="84">
        <v>6112</v>
      </c>
      <c r="I91" s="84">
        <v>6014</v>
      </c>
      <c r="J91" s="84">
        <v>6209</v>
      </c>
      <c r="K91" s="84">
        <v>6328</v>
      </c>
      <c r="L91" s="84">
        <v>6522</v>
      </c>
      <c r="M91" s="84">
        <v>6460</v>
      </c>
      <c r="N91" s="84">
        <v>10795</v>
      </c>
      <c r="O91" s="84">
        <v>12170</v>
      </c>
      <c r="P91" s="84">
        <v>11467</v>
      </c>
      <c r="Q91" s="84">
        <v>11234</v>
      </c>
      <c r="R91" s="84">
        <v>10834</v>
      </c>
      <c r="S91" s="84">
        <v>11507</v>
      </c>
      <c r="T91" s="84">
        <v>15111</v>
      </c>
      <c r="U91" s="84">
        <v>15094</v>
      </c>
      <c r="V91" s="84">
        <v>15783</v>
      </c>
      <c r="W91" s="84">
        <v>16286</v>
      </c>
      <c r="X91" s="84">
        <v>16911</v>
      </c>
      <c r="Y91" s="84">
        <v>16855</v>
      </c>
      <c r="DA91" s="171"/>
    </row>
    <row r="92" spans="1:105" ht="11.45" hidden="1" customHeight="1" x14ac:dyDescent="0.25">
      <c r="A92" s="111" t="s">
        <v>114</v>
      </c>
      <c r="B92" s="84">
        <v>0</v>
      </c>
      <c r="C92" s="84">
        <v>0</v>
      </c>
      <c r="D92" s="84">
        <v>0</v>
      </c>
      <c r="E92" s="84">
        <v>0</v>
      </c>
      <c r="F92" s="84">
        <v>0</v>
      </c>
      <c r="G92" s="84">
        <v>0</v>
      </c>
      <c r="H92" s="84">
        <v>0</v>
      </c>
      <c r="I92" s="84">
        <v>0</v>
      </c>
      <c r="J92" s="84">
        <v>0</v>
      </c>
      <c r="K92" s="84">
        <v>0</v>
      </c>
      <c r="L92" s="84">
        <v>0</v>
      </c>
      <c r="M92" s="84">
        <v>8</v>
      </c>
      <c r="N92" s="84">
        <v>109</v>
      </c>
      <c r="O92" s="84">
        <v>190</v>
      </c>
      <c r="P92" s="84">
        <v>612</v>
      </c>
      <c r="Q92" s="84">
        <v>1368</v>
      </c>
      <c r="R92" s="84">
        <v>3131</v>
      </c>
      <c r="S92" s="84">
        <v>6583</v>
      </c>
      <c r="T92" s="84">
        <v>12295</v>
      </c>
      <c r="U92" s="84">
        <v>19722</v>
      </c>
      <c r="V92" s="84">
        <v>43481</v>
      </c>
      <c r="W92" s="84">
        <v>86496</v>
      </c>
      <c r="X92" s="84">
        <v>134960</v>
      </c>
      <c r="Y92" s="84">
        <v>195341</v>
      </c>
      <c r="DA92" s="171"/>
    </row>
    <row r="93" spans="1:105" ht="11.45" hidden="1" customHeight="1" x14ac:dyDescent="0.25">
      <c r="A93" s="111" t="s">
        <v>115</v>
      </c>
      <c r="B93" s="84">
        <v>0</v>
      </c>
      <c r="C93" s="84">
        <v>0</v>
      </c>
      <c r="D93" s="84">
        <v>0</v>
      </c>
      <c r="E93" s="84">
        <v>0</v>
      </c>
      <c r="F93" s="84">
        <v>0</v>
      </c>
      <c r="G93" s="84">
        <v>0</v>
      </c>
      <c r="H93" s="84">
        <v>0</v>
      </c>
      <c r="I93" s="84">
        <v>0</v>
      </c>
      <c r="J93" s="84">
        <v>0</v>
      </c>
      <c r="K93" s="84">
        <v>1</v>
      </c>
      <c r="L93" s="84">
        <v>76</v>
      </c>
      <c r="M93" s="84">
        <v>568</v>
      </c>
      <c r="N93" s="84">
        <v>1023</v>
      </c>
      <c r="O93" s="84">
        <v>2021</v>
      </c>
      <c r="P93" s="84">
        <v>2832</v>
      </c>
      <c r="Q93" s="84">
        <v>4480</v>
      </c>
      <c r="R93" s="84">
        <v>6484</v>
      </c>
      <c r="S93" s="84">
        <v>10145</v>
      </c>
      <c r="T93" s="84">
        <v>16407</v>
      </c>
      <c r="U93" s="84">
        <v>26799</v>
      </c>
      <c r="V93" s="84">
        <v>45057</v>
      </c>
      <c r="W93" s="84">
        <v>72738</v>
      </c>
      <c r="X93" s="84">
        <v>104413</v>
      </c>
      <c r="Y93" s="84">
        <v>154853</v>
      </c>
      <c r="DA93" s="171"/>
    </row>
    <row r="94" spans="1:105" ht="11.45" hidden="1" customHeight="1" x14ac:dyDescent="0.25">
      <c r="A94" s="109" t="s">
        <v>21</v>
      </c>
      <c r="B94" s="110">
        <f t="shared" ref="B94:C94" si="155">SUM(B95:B99)</f>
        <v>54848</v>
      </c>
      <c r="C94" s="110">
        <f t="shared" si="155"/>
        <v>56262</v>
      </c>
      <c r="D94" s="110">
        <f t="shared" ref="D94:V94" si="156">SUM(D95:D99)</f>
        <v>56961</v>
      </c>
      <c r="E94" s="110">
        <f t="shared" si="156"/>
        <v>56181</v>
      </c>
      <c r="F94" s="110">
        <f t="shared" si="156"/>
        <v>57201</v>
      </c>
      <c r="G94" s="110">
        <f t="shared" si="156"/>
        <v>58248</v>
      </c>
      <c r="H94" s="110">
        <f t="shared" si="156"/>
        <v>60507</v>
      </c>
      <c r="I94" s="110">
        <f t="shared" si="156"/>
        <v>61198</v>
      </c>
      <c r="J94" s="110">
        <f t="shared" si="156"/>
        <v>62225</v>
      </c>
      <c r="K94" s="110">
        <f t="shared" si="156"/>
        <v>62663</v>
      </c>
      <c r="L94" s="110">
        <f t="shared" si="156"/>
        <v>62445</v>
      </c>
      <c r="M94" s="110">
        <f t="shared" si="156"/>
        <v>62358</v>
      </c>
      <c r="N94" s="110">
        <f t="shared" si="156"/>
        <v>62358</v>
      </c>
      <c r="O94" s="110">
        <f t="shared" si="156"/>
        <v>59892</v>
      </c>
      <c r="P94" s="110">
        <f t="shared" si="156"/>
        <v>59799</v>
      </c>
      <c r="Q94" s="110">
        <f t="shared" si="156"/>
        <v>60252</v>
      </c>
      <c r="R94" s="110">
        <f t="shared" si="156"/>
        <v>61838</v>
      </c>
      <c r="S94" s="110">
        <f t="shared" si="156"/>
        <v>45491</v>
      </c>
      <c r="T94" s="110">
        <f t="shared" si="156"/>
        <v>46577</v>
      </c>
      <c r="U94" s="110">
        <f t="shared" si="156"/>
        <v>47411</v>
      </c>
      <c r="V94" s="110">
        <f t="shared" si="156"/>
        <v>46367</v>
      </c>
      <c r="W94" s="110">
        <f t="shared" ref="W94:Y94" si="157">SUM(W95:W99)</f>
        <v>47156</v>
      </c>
      <c r="X94" s="110">
        <f t="shared" si="157"/>
        <v>48102</v>
      </c>
      <c r="Y94" s="110">
        <f t="shared" si="157"/>
        <v>49384</v>
      </c>
      <c r="DA94" s="176"/>
    </row>
    <row r="95" spans="1:105" ht="11.45" hidden="1" customHeight="1" x14ac:dyDescent="0.25">
      <c r="A95" s="111" t="s">
        <v>110</v>
      </c>
      <c r="B95" s="102">
        <v>964</v>
      </c>
      <c r="C95" s="102">
        <v>988</v>
      </c>
      <c r="D95" s="102">
        <v>1036</v>
      </c>
      <c r="E95" s="102">
        <v>1018</v>
      </c>
      <c r="F95" s="102">
        <v>1006</v>
      </c>
      <c r="G95" s="102">
        <v>920</v>
      </c>
      <c r="H95" s="102">
        <v>900</v>
      </c>
      <c r="I95" s="102">
        <v>1000</v>
      </c>
      <c r="J95" s="102">
        <v>930</v>
      </c>
      <c r="K95" s="102">
        <v>864</v>
      </c>
      <c r="L95" s="102">
        <v>817</v>
      </c>
      <c r="M95" s="102">
        <v>783</v>
      </c>
      <c r="N95" s="102">
        <v>743</v>
      </c>
      <c r="O95" s="102">
        <v>710</v>
      </c>
      <c r="P95" s="102">
        <v>682</v>
      </c>
      <c r="Q95" s="102">
        <v>649</v>
      </c>
      <c r="R95" s="102">
        <v>648</v>
      </c>
      <c r="S95" s="102">
        <v>621</v>
      </c>
      <c r="T95" s="102">
        <v>582</v>
      </c>
      <c r="U95" s="102">
        <v>541</v>
      </c>
      <c r="V95" s="102">
        <v>499</v>
      </c>
      <c r="W95" s="102">
        <v>492</v>
      </c>
      <c r="X95" s="102">
        <v>472</v>
      </c>
      <c r="Y95" s="102">
        <v>446</v>
      </c>
      <c r="DA95" s="175"/>
    </row>
    <row r="96" spans="1:105" ht="11.45" hidden="1" customHeight="1" x14ac:dyDescent="0.25">
      <c r="A96" s="111" t="s">
        <v>111</v>
      </c>
      <c r="B96" s="102">
        <v>53768</v>
      </c>
      <c r="C96" s="102">
        <v>55158</v>
      </c>
      <c r="D96" s="102">
        <v>55917</v>
      </c>
      <c r="E96" s="102">
        <v>54975</v>
      </c>
      <c r="F96" s="102">
        <v>55951</v>
      </c>
      <c r="G96" s="102">
        <v>57049</v>
      </c>
      <c r="H96" s="102">
        <v>59300</v>
      </c>
      <c r="I96" s="102">
        <v>59800</v>
      </c>
      <c r="J96" s="102">
        <v>60924</v>
      </c>
      <c r="K96" s="102">
        <v>61425</v>
      </c>
      <c r="L96" s="102">
        <v>61254</v>
      </c>
      <c r="M96" s="102">
        <v>61202</v>
      </c>
      <c r="N96" s="102">
        <v>61240</v>
      </c>
      <c r="O96" s="102">
        <v>58760</v>
      </c>
      <c r="P96" s="102">
        <v>58716</v>
      </c>
      <c r="Q96" s="102">
        <v>57959</v>
      </c>
      <c r="R96" s="102">
        <v>59233</v>
      </c>
      <c r="S96" s="102">
        <v>42596</v>
      </c>
      <c r="T96" s="102">
        <v>43344</v>
      </c>
      <c r="U96" s="102">
        <v>43486</v>
      </c>
      <c r="V96" s="102">
        <v>41886</v>
      </c>
      <c r="W96" s="102">
        <v>42263</v>
      </c>
      <c r="X96" s="102">
        <v>42992</v>
      </c>
      <c r="Y96" s="102">
        <v>43577</v>
      </c>
      <c r="DA96" s="175"/>
    </row>
    <row r="97" spans="1:105" ht="11.45" hidden="1" customHeight="1" x14ac:dyDescent="0.25">
      <c r="A97" s="111" t="s">
        <v>112</v>
      </c>
      <c r="B97" s="102">
        <v>0</v>
      </c>
      <c r="C97" s="102">
        <v>0</v>
      </c>
      <c r="D97" s="102">
        <v>0</v>
      </c>
      <c r="E97" s="102">
        <v>0</v>
      </c>
      <c r="F97" s="102">
        <v>0</v>
      </c>
      <c r="G97" s="102">
        <v>0</v>
      </c>
      <c r="H97" s="102">
        <v>0</v>
      </c>
      <c r="I97" s="102">
        <v>0</v>
      </c>
      <c r="J97" s="102">
        <v>0</v>
      </c>
      <c r="K97" s="102">
        <v>0</v>
      </c>
      <c r="L97" s="102">
        <v>0</v>
      </c>
      <c r="M97" s="102">
        <v>0</v>
      </c>
      <c r="N97" s="102">
        <v>0</v>
      </c>
      <c r="O97" s="102">
        <v>0</v>
      </c>
      <c r="P97" s="102">
        <v>4</v>
      </c>
      <c r="Q97" s="102">
        <v>103</v>
      </c>
      <c r="R97" s="102">
        <v>106</v>
      </c>
      <c r="S97" s="102">
        <v>106</v>
      </c>
      <c r="T97" s="102">
        <v>98</v>
      </c>
      <c r="U97" s="102">
        <v>126</v>
      </c>
      <c r="V97" s="102">
        <v>160</v>
      </c>
      <c r="W97" s="102">
        <v>338</v>
      </c>
      <c r="X97" s="102">
        <v>442</v>
      </c>
      <c r="Y97" s="102">
        <v>571</v>
      </c>
      <c r="DA97" s="175"/>
    </row>
    <row r="98" spans="1:105" ht="11.45" hidden="1" customHeight="1" x14ac:dyDescent="0.25">
      <c r="A98" s="111" t="s">
        <v>113</v>
      </c>
      <c r="B98" s="102">
        <v>116</v>
      </c>
      <c r="C98" s="102">
        <v>116</v>
      </c>
      <c r="D98" s="102">
        <v>8</v>
      </c>
      <c r="E98" s="102">
        <v>188</v>
      </c>
      <c r="F98" s="102">
        <v>244</v>
      </c>
      <c r="G98" s="102">
        <v>279</v>
      </c>
      <c r="H98" s="102">
        <v>307</v>
      </c>
      <c r="I98" s="102">
        <v>398</v>
      </c>
      <c r="J98" s="102">
        <v>371</v>
      </c>
      <c r="K98" s="102">
        <v>374</v>
      </c>
      <c r="L98" s="102">
        <v>374</v>
      </c>
      <c r="M98" s="102">
        <v>373</v>
      </c>
      <c r="N98" s="102">
        <v>375</v>
      </c>
      <c r="O98" s="102">
        <v>361</v>
      </c>
      <c r="P98" s="102">
        <v>325</v>
      </c>
      <c r="Q98" s="102">
        <v>1426</v>
      </c>
      <c r="R98" s="102">
        <v>1727</v>
      </c>
      <c r="S98" s="102">
        <v>2029</v>
      </c>
      <c r="T98" s="102">
        <v>2395</v>
      </c>
      <c r="U98" s="102">
        <v>3029</v>
      </c>
      <c r="V98" s="102">
        <v>3557</v>
      </c>
      <c r="W98" s="102">
        <v>3675</v>
      </c>
      <c r="X98" s="102">
        <v>3675</v>
      </c>
      <c r="Y98" s="102">
        <v>3779</v>
      </c>
      <c r="DA98" s="175"/>
    </row>
    <row r="99" spans="1:105" ht="11.45" hidden="1" customHeight="1" x14ac:dyDescent="0.25">
      <c r="A99" s="111" t="s">
        <v>115</v>
      </c>
      <c r="B99" s="102">
        <v>0</v>
      </c>
      <c r="C99" s="102">
        <v>0</v>
      </c>
      <c r="D99" s="102">
        <v>0</v>
      </c>
      <c r="E99" s="102">
        <v>0</v>
      </c>
      <c r="F99" s="102">
        <v>0</v>
      </c>
      <c r="G99" s="102">
        <v>0</v>
      </c>
      <c r="H99" s="102">
        <v>0</v>
      </c>
      <c r="I99" s="102">
        <v>0</v>
      </c>
      <c r="J99" s="102">
        <v>0</v>
      </c>
      <c r="K99" s="102">
        <v>0</v>
      </c>
      <c r="L99" s="102">
        <v>0</v>
      </c>
      <c r="M99" s="102">
        <v>0</v>
      </c>
      <c r="N99" s="102">
        <v>0</v>
      </c>
      <c r="O99" s="102">
        <v>61</v>
      </c>
      <c r="P99" s="102">
        <v>72</v>
      </c>
      <c r="Q99" s="102">
        <v>115</v>
      </c>
      <c r="R99" s="102">
        <v>124</v>
      </c>
      <c r="S99" s="102">
        <v>139</v>
      </c>
      <c r="T99" s="102">
        <v>158</v>
      </c>
      <c r="U99" s="102">
        <v>229</v>
      </c>
      <c r="V99" s="102">
        <v>265</v>
      </c>
      <c r="W99" s="102">
        <v>388</v>
      </c>
      <c r="X99" s="102">
        <v>521</v>
      </c>
      <c r="Y99" s="102">
        <v>1011</v>
      </c>
      <c r="DA99" s="175"/>
    </row>
    <row r="100" spans="1:105" ht="11.45" hidden="1" customHeight="1" x14ac:dyDescent="0.25">
      <c r="A100" s="27" t="s">
        <v>34</v>
      </c>
      <c r="B100" s="28">
        <f t="shared" ref="B100:C100" si="158">B101+B107</f>
        <v>3505125</v>
      </c>
      <c r="C100" s="28">
        <f t="shared" si="158"/>
        <v>3622212</v>
      </c>
      <c r="D100" s="28">
        <f t="shared" ref="D100:V100" si="159">D101+D107</f>
        <v>3563647</v>
      </c>
      <c r="E100" s="28">
        <f t="shared" si="159"/>
        <v>3681591</v>
      </c>
      <c r="F100" s="28">
        <f t="shared" si="159"/>
        <v>3906054</v>
      </c>
      <c r="G100" s="28">
        <f t="shared" si="159"/>
        <v>3996438</v>
      </c>
      <c r="H100" s="28">
        <f t="shared" si="159"/>
        <v>4064325</v>
      </c>
      <c r="I100" s="28">
        <f t="shared" si="159"/>
        <v>4709281</v>
      </c>
      <c r="J100" s="28">
        <f t="shared" si="159"/>
        <v>4385063</v>
      </c>
      <c r="K100" s="28">
        <f t="shared" si="159"/>
        <v>3831472</v>
      </c>
      <c r="L100" s="28">
        <f t="shared" si="159"/>
        <v>3645913</v>
      </c>
      <c r="M100" s="28">
        <f t="shared" si="159"/>
        <v>3496793</v>
      </c>
      <c r="N100" s="28">
        <f t="shared" si="159"/>
        <v>3250465</v>
      </c>
      <c r="O100" s="28">
        <f t="shared" si="159"/>
        <v>2984958</v>
      </c>
      <c r="P100" s="28">
        <f t="shared" si="159"/>
        <v>3079523</v>
      </c>
      <c r="Q100" s="28">
        <f t="shared" si="159"/>
        <v>3344528</v>
      </c>
      <c r="R100" s="28">
        <f t="shared" si="159"/>
        <v>3300108</v>
      </c>
      <c r="S100" s="28">
        <f t="shared" si="159"/>
        <v>3363121</v>
      </c>
      <c r="T100" s="28">
        <f t="shared" si="159"/>
        <v>3432873</v>
      </c>
      <c r="U100" s="28">
        <f t="shared" si="159"/>
        <v>3472708</v>
      </c>
      <c r="V100" s="28">
        <f t="shared" si="159"/>
        <v>3481738</v>
      </c>
      <c r="W100" s="28">
        <f t="shared" ref="W100:Y100" si="160">W101+W107</f>
        <v>3488020</v>
      </c>
      <c r="X100" s="28">
        <f t="shared" si="160"/>
        <v>3503464</v>
      </c>
      <c r="Y100" s="28">
        <f t="shared" si="160"/>
        <v>3555047</v>
      </c>
      <c r="DA100" s="173"/>
    </row>
    <row r="101" spans="1:105" ht="11.45" hidden="1" customHeight="1" x14ac:dyDescent="0.25">
      <c r="A101" s="136" t="s">
        <v>153</v>
      </c>
      <c r="B101" s="137">
        <f t="shared" ref="B101:C101" si="161">SUM(B102:B106)</f>
        <v>2891834</v>
      </c>
      <c r="C101" s="137">
        <f t="shared" si="161"/>
        <v>2982968</v>
      </c>
      <c r="D101" s="137">
        <f t="shared" ref="D101:V101" si="162">SUM(D102:D106)</f>
        <v>2906938</v>
      </c>
      <c r="E101" s="137">
        <f t="shared" si="162"/>
        <v>2996438</v>
      </c>
      <c r="F101" s="137">
        <f t="shared" si="162"/>
        <v>3206773</v>
      </c>
      <c r="G101" s="137">
        <f t="shared" si="162"/>
        <v>3279859</v>
      </c>
      <c r="H101" s="137">
        <f t="shared" si="162"/>
        <v>3328697</v>
      </c>
      <c r="I101" s="137">
        <f t="shared" si="162"/>
        <v>3949516</v>
      </c>
      <c r="J101" s="137">
        <f t="shared" si="162"/>
        <v>3626082</v>
      </c>
      <c r="K101" s="137">
        <f t="shared" si="162"/>
        <v>3088449</v>
      </c>
      <c r="L101" s="137">
        <f t="shared" si="162"/>
        <v>2923723</v>
      </c>
      <c r="M101" s="137">
        <f t="shared" si="162"/>
        <v>2791808</v>
      </c>
      <c r="N101" s="137">
        <f t="shared" si="162"/>
        <v>2571941</v>
      </c>
      <c r="O101" s="137">
        <f t="shared" si="162"/>
        <v>2483314</v>
      </c>
      <c r="P101" s="137">
        <f t="shared" si="162"/>
        <v>2576691</v>
      </c>
      <c r="Q101" s="137">
        <f t="shared" si="162"/>
        <v>2834711</v>
      </c>
      <c r="R101" s="137">
        <f t="shared" si="162"/>
        <v>2765064</v>
      </c>
      <c r="S101" s="137">
        <f t="shared" si="162"/>
        <v>2818202</v>
      </c>
      <c r="T101" s="137">
        <f t="shared" si="162"/>
        <v>2875072</v>
      </c>
      <c r="U101" s="137">
        <f t="shared" si="162"/>
        <v>2904262</v>
      </c>
      <c r="V101" s="137">
        <f t="shared" si="162"/>
        <v>2907087</v>
      </c>
      <c r="W101" s="137">
        <f t="shared" ref="W101:Y101" si="163">SUM(W102:W106)</f>
        <v>2911749</v>
      </c>
      <c r="X101" s="137">
        <f t="shared" si="163"/>
        <v>2918128</v>
      </c>
      <c r="Y101" s="137">
        <f t="shared" si="163"/>
        <v>2956002</v>
      </c>
      <c r="DA101" s="174"/>
    </row>
    <row r="102" spans="1:105" ht="11.45" hidden="1" customHeight="1" x14ac:dyDescent="0.25">
      <c r="A102" s="111" t="s">
        <v>110</v>
      </c>
      <c r="B102" s="84">
        <v>291921</v>
      </c>
      <c r="C102" s="84">
        <v>276921</v>
      </c>
      <c r="D102" s="84">
        <v>201920</v>
      </c>
      <c r="E102" s="84">
        <v>171916</v>
      </c>
      <c r="F102" s="84">
        <v>149872</v>
      </c>
      <c r="G102" s="84">
        <v>126437</v>
      </c>
      <c r="H102" s="84">
        <v>107182</v>
      </c>
      <c r="I102" s="84">
        <v>99851</v>
      </c>
      <c r="J102" s="84">
        <v>84046</v>
      </c>
      <c r="K102" s="84">
        <v>74117</v>
      </c>
      <c r="L102" s="84">
        <v>68911</v>
      </c>
      <c r="M102" s="84">
        <v>71065</v>
      </c>
      <c r="N102" s="84">
        <v>71610</v>
      </c>
      <c r="O102" s="84">
        <v>68431</v>
      </c>
      <c r="P102" s="84">
        <v>48644</v>
      </c>
      <c r="Q102" s="84">
        <v>51208</v>
      </c>
      <c r="R102" s="84">
        <v>47489</v>
      </c>
      <c r="S102" s="84">
        <v>53545</v>
      </c>
      <c r="T102" s="84">
        <v>58677</v>
      </c>
      <c r="U102" s="84">
        <v>60758</v>
      </c>
      <c r="V102" s="84">
        <v>56599</v>
      </c>
      <c r="W102" s="84">
        <v>58217</v>
      </c>
      <c r="X102" s="84">
        <v>58190</v>
      </c>
      <c r="Y102" s="84">
        <v>51746</v>
      </c>
      <c r="DA102" s="171"/>
    </row>
    <row r="103" spans="1:105" ht="11.45" hidden="1" customHeight="1" x14ac:dyDescent="0.25">
      <c r="A103" s="111" t="s">
        <v>111</v>
      </c>
      <c r="B103" s="84">
        <v>2599913</v>
      </c>
      <c r="C103" s="84">
        <v>2706047</v>
      </c>
      <c r="D103" s="84">
        <v>2705018</v>
      </c>
      <c r="E103" s="84">
        <v>2824522</v>
      </c>
      <c r="F103" s="84">
        <v>3056901</v>
      </c>
      <c r="G103" s="84">
        <v>3153422</v>
      </c>
      <c r="H103" s="84">
        <v>3221515</v>
      </c>
      <c r="I103" s="84">
        <v>3849665</v>
      </c>
      <c r="J103" s="84">
        <v>3542036</v>
      </c>
      <c r="K103" s="84">
        <v>3014332</v>
      </c>
      <c r="L103" s="84">
        <v>2854812</v>
      </c>
      <c r="M103" s="84">
        <v>2720719</v>
      </c>
      <c r="N103" s="84">
        <v>2500095</v>
      </c>
      <c r="O103" s="84">
        <v>2414667</v>
      </c>
      <c r="P103" s="84">
        <v>2526313</v>
      </c>
      <c r="Q103" s="84">
        <v>2780465</v>
      </c>
      <c r="R103" s="84">
        <v>2713782</v>
      </c>
      <c r="S103" s="84">
        <v>2758991</v>
      </c>
      <c r="T103" s="84">
        <v>2806032</v>
      </c>
      <c r="U103" s="84">
        <v>2824961</v>
      </c>
      <c r="V103" s="84">
        <v>2826927</v>
      </c>
      <c r="W103" s="84">
        <v>2824044</v>
      </c>
      <c r="X103" s="84">
        <v>2826628</v>
      </c>
      <c r="Y103" s="84">
        <v>2862279</v>
      </c>
      <c r="DA103" s="171"/>
    </row>
    <row r="104" spans="1:105" ht="11.45" hidden="1" customHeight="1" x14ac:dyDescent="0.25">
      <c r="A104" s="111" t="s">
        <v>112</v>
      </c>
      <c r="B104" s="84">
        <v>0</v>
      </c>
      <c r="C104" s="84">
        <v>0</v>
      </c>
      <c r="D104" s="84">
        <v>0</v>
      </c>
      <c r="E104" s="84">
        <v>0</v>
      </c>
      <c r="F104" s="84">
        <v>0</v>
      </c>
      <c r="G104" s="84">
        <v>0</v>
      </c>
      <c r="H104" s="84">
        <v>0</v>
      </c>
      <c r="I104" s="84">
        <v>0</v>
      </c>
      <c r="J104" s="84">
        <v>0</v>
      </c>
      <c r="K104" s="84">
        <v>0</v>
      </c>
      <c r="L104" s="84">
        <v>0</v>
      </c>
      <c r="M104" s="84">
        <v>0</v>
      </c>
      <c r="N104" s="84">
        <v>0</v>
      </c>
      <c r="O104" s="84">
        <v>2</v>
      </c>
      <c r="P104" s="84">
        <v>240</v>
      </c>
      <c r="Q104" s="84">
        <v>567</v>
      </c>
      <c r="R104" s="84">
        <v>967</v>
      </c>
      <c r="S104" s="84">
        <v>1625</v>
      </c>
      <c r="T104" s="84">
        <v>3583</v>
      </c>
      <c r="U104" s="84">
        <v>8552</v>
      </c>
      <c r="V104" s="84">
        <v>10518</v>
      </c>
      <c r="W104" s="84">
        <v>13315</v>
      </c>
      <c r="X104" s="84">
        <v>13946</v>
      </c>
      <c r="Y104" s="84">
        <v>14710</v>
      </c>
      <c r="DA104" s="171"/>
    </row>
    <row r="105" spans="1:105" ht="11.45" hidden="1" customHeight="1" x14ac:dyDescent="0.25">
      <c r="A105" s="111" t="s">
        <v>113</v>
      </c>
      <c r="B105" s="84">
        <v>0</v>
      </c>
      <c r="C105" s="84">
        <v>0</v>
      </c>
      <c r="D105" s="84">
        <v>0</v>
      </c>
      <c r="E105" s="84">
        <v>0</v>
      </c>
      <c r="F105" s="84">
        <v>0</v>
      </c>
      <c r="G105" s="84">
        <v>0</v>
      </c>
      <c r="H105" s="84">
        <v>0</v>
      </c>
      <c r="I105" s="84">
        <v>0</v>
      </c>
      <c r="J105" s="84">
        <v>0</v>
      </c>
      <c r="K105" s="84">
        <v>0</v>
      </c>
      <c r="L105" s="84">
        <v>0</v>
      </c>
      <c r="M105" s="84">
        <v>0</v>
      </c>
      <c r="N105" s="84">
        <v>15</v>
      </c>
      <c r="O105" s="84">
        <v>99</v>
      </c>
      <c r="P105" s="84">
        <v>172</v>
      </c>
      <c r="Q105" s="84">
        <v>542</v>
      </c>
      <c r="R105" s="84">
        <v>736</v>
      </c>
      <c r="S105" s="84">
        <v>1083</v>
      </c>
      <c r="T105" s="84">
        <v>2021</v>
      </c>
      <c r="U105" s="84">
        <v>3688</v>
      </c>
      <c r="V105" s="84">
        <v>5106</v>
      </c>
      <c r="W105" s="84">
        <v>5677</v>
      </c>
      <c r="X105" s="84">
        <v>5677</v>
      </c>
      <c r="Y105" s="84">
        <v>5614</v>
      </c>
      <c r="DA105" s="171"/>
    </row>
    <row r="106" spans="1:105" ht="11.45" hidden="1" customHeight="1" x14ac:dyDescent="0.25">
      <c r="A106" s="111" t="s">
        <v>115</v>
      </c>
      <c r="B106" s="84">
        <v>0</v>
      </c>
      <c r="C106" s="84">
        <v>0</v>
      </c>
      <c r="D106" s="84">
        <v>0</v>
      </c>
      <c r="E106" s="84">
        <v>0</v>
      </c>
      <c r="F106" s="84">
        <v>0</v>
      </c>
      <c r="G106" s="84">
        <v>0</v>
      </c>
      <c r="H106" s="84">
        <v>0</v>
      </c>
      <c r="I106" s="84">
        <v>0</v>
      </c>
      <c r="J106" s="84">
        <v>0</v>
      </c>
      <c r="K106" s="84">
        <v>0</v>
      </c>
      <c r="L106" s="84">
        <v>0</v>
      </c>
      <c r="M106" s="84">
        <v>24</v>
      </c>
      <c r="N106" s="84">
        <v>221</v>
      </c>
      <c r="O106" s="84">
        <v>115</v>
      </c>
      <c r="P106" s="84">
        <v>1322</v>
      </c>
      <c r="Q106" s="84">
        <v>1929</v>
      </c>
      <c r="R106" s="84">
        <v>2090</v>
      </c>
      <c r="S106" s="84">
        <v>2958</v>
      </c>
      <c r="T106" s="84">
        <v>4759</v>
      </c>
      <c r="U106" s="84">
        <v>6303</v>
      </c>
      <c r="V106" s="84">
        <v>7937</v>
      </c>
      <c r="W106" s="84">
        <v>10496</v>
      </c>
      <c r="X106" s="84">
        <v>13687</v>
      </c>
      <c r="Y106" s="84">
        <v>21653</v>
      </c>
      <c r="DA106" s="171"/>
    </row>
    <row r="107" spans="1:105" ht="11.45" hidden="1" customHeight="1" x14ac:dyDescent="0.25">
      <c r="A107" s="109" t="s">
        <v>154</v>
      </c>
      <c r="B107" s="110">
        <f t="shared" ref="B107:C107" si="164">SUM(B108:B109)</f>
        <v>613291</v>
      </c>
      <c r="C107" s="110">
        <f t="shared" si="164"/>
        <v>639244</v>
      </c>
      <c r="D107" s="110">
        <f t="shared" ref="D107:V107" si="165">SUM(D108:D109)</f>
        <v>656709</v>
      </c>
      <c r="E107" s="110">
        <f t="shared" si="165"/>
        <v>685153</v>
      </c>
      <c r="F107" s="110">
        <f t="shared" si="165"/>
        <v>699281</v>
      </c>
      <c r="G107" s="110">
        <f t="shared" si="165"/>
        <v>716579</v>
      </c>
      <c r="H107" s="110">
        <f t="shared" si="165"/>
        <v>735628</v>
      </c>
      <c r="I107" s="110">
        <f t="shared" si="165"/>
        <v>759765</v>
      </c>
      <c r="J107" s="110">
        <f t="shared" si="165"/>
        <v>758981</v>
      </c>
      <c r="K107" s="110">
        <f t="shared" si="165"/>
        <v>743023</v>
      </c>
      <c r="L107" s="110">
        <f t="shared" si="165"/>
        <v>722190</v>
      </c>
      <c r="M107" s="110">
        <f t="shared" si="165"/>
        <v>704985</v>
      </c>
      <c r="N107" s="110">
        <f t="shared" si="165"/>
        <v>678524</v>
      </c>
      <c r="O107" s="110">
        <f t="shared" si="165"/>
        <v>501644</v>
      </c>
      <c r="P107" s="110">
        <f t="shared" si="165"/>
        <v>502832</v>
      </c>
      <c r="Q107" s="110">
        <f t="shared" si="165"/>
        <v>509817</v>
      </c>
      <c r="R107" s="110">
        <f t="shared" si="165"/>
        <v>535044</v>
      </c>
      <c r="S107" s="110">
        <f t="shared" si="165"/>
        <v>544919</v>
      </c>
      <c r="T107" s="110">
        <f t="shared" si="165"/>
        <v>557801</v>
      </c>
      <c r="U107" s="110">
        <f t="shared" si="165"/>
        <v>568446</v>
      </c>
      <c r="V107" s="110">
        <f t="shared" si="165"/>
        <v>574651</v>
      </c>
      <c r="W107" s="110">
        <f t="shared" ref="W107:Y107" si="166">SUM(W108:W109)</f>
        <v>576271</v>
      </c>
      <c r="X107" s="110">
        <f t="shared" si="166"/>
        <v>585336</v>
      </c>
      <c r="Y107" s="110">
        <f t="shared" si="166"/>
        <v>599045</v>
      </c>
      <c r="DA107" s="176"/>
    </row>
    <row r="108" spans="1:105" ht="11.45" hidden="1" customHeight="1" x14ac:dyDescent="0.25">
      <c r="A108" s="128" t="s">
        <v>27</v>
      </c>
      <c r="B108" s="102">
        <v>586880</v>
      </c>
      <c r="C108" s="102">
        <v>610928</v>
      </c>
      <c r="D108" s="102">
        <v>626919</v>
      </c>
      <c r="E108" s="102">
        <v>654703</v>
      </c>
      <c r="F108" s="102">
        <v>663279</v>
      </c>
      <c r="G108" s="102">
        <v>679321</v>
      </c>
      <c r="H108" s="102">
        <v>697599</v>
      </c>
      <c r="I108" s="102">
        <v>720879</v>
      </c>
      <c r="J108" s="102">
        <v>723358</v>
      </c>
      <c r="K108" s="102">
        <v>710145</v>
      </c>
      <c r="L108" s="102">
        <v>690488</v>
      </c>
      <c r="M108" s="102">
        <v>673731</v>
      </c>
      <c r="N108" s="102">
        <v>648122</v>
      </c>
      <c r="O108" s="102">
        <v>469016</v>
      </c>
      <c r="P108" s="102">
        <v>470417</v>
      </c>
      <c r="Q108" s="102">
        <v>475579</v>
      </c>
      <c r="R108" s="102">
        <v>499820</v>
      </c>
      <c r="S108" s="102">
        <v>508571</v>
      </c>
      <c r="T108" s="102">
        <v>520256</v>
      </c>
      <c r="U108" s="102">
        <v>529296</v>
      </c>
      <c r="V108" s="102">
        <v>537502</v>
      </c>
      <c r="W108" s="102">
        <v>535564</v>
      </c>
      <c r="X108" s="102">
        <v>543194</v>
      </c>
      <c r="Y108" s="102">
        <v>559043</v>
      </c>
      <c r="DA108" s="175"/>
    </row>
    <row r="109" spans="1:105" ht="11.45" hidden="1" customHeight="1" x14ac:dyDescent="0.25">
      <c r="A109" s="138" t="s">
        <v>116</v>
      </c>
      <c r="B109" s="86">
        <v>26411</v>
      </c>
      <c r="C109" s="86">
        <v>28316</v>
      </c>
      <c r="D109" s="86">
        <v>29790</v>
      </c>
      <c r="E109" s="86">
        <v>30450</v>
      </c>
      <c r="F109" s="86">
        <v>36002</v>
      </c>
      <c r="G109" s="86">
        <v>37258</v>
      </c>
      <c r="H109" s="86">
        <v>38029</v>
      </c>
      <c r="I109" s="86">
        <v>38886</v>
      </c>
      <c r="J109" s="86">
        <v>35623</v>
      </c>
      <c r="K109" s="86">
        <v>32878</v>
      </c>
      <c r="L109" s="86">
        <v>31702</v>
      </c>
      <c r="M109" s="86">
        <v>31254</v>
      </c>
      <c r="N109" s="86">
        <v>30402</v>
      </c>
      <c r="O109" s="86">
        <v>32628</v>
      </c>
      <c r="P109" s="86">
        <v>32415</v>
      </c>
      <c r="Q109" s="86">
        <v>34238</v>
      </c>
      <c r="R109" s="86">
        <v>35224</v>
      </c>
      <c r="S109" s="86">
        <v>36348</v>
      </c>
      <c r="T109" s="86">
        <v>37545</v>
      </c>
      <c r="U109" s="86">
        <v>39150</v>
      </c>
      <c r="V109" s="86">
        <v>37149</v>
      </c>
      <c r="W109" s="86">
        <v>40707</v>
      </c>
      <c r="X109" s="86">
        <v>42142</v>
      </c>
      <c r="Y109" s="86">
        <v>40002</v>
      </c>
      <c r="DA109" s="178"/>
    </row>
    <row r="110" spans="1:105" ht="11.45" customHeight="1" x14ac:dyDescent="0.25">
      <c r="A110" s="106"/>
      <c r="B110" s="106"/>
      <c r="C110" s="106"/>
      <c r="L110" s="106"/>
      <c r="M110" s="106"/>
      <c r="N110" s="106"/>
    </row>
    <row r="111" spans="1:105" ht="11.45" customHeight="1" x14ac:dyDescent="0.25">
      <c r="A111" s="53" t="s">
        <v>117</v>
      </c>
      <c r="B111" s="54">
        <f t="shared" ref="B111:K111" si="167">B112+B127</f>
        <v>1624712</v>
      </c>
      <c r="C111" s="54">
        <f t="shared" si="167"/>
        <v>2003083</v>
      </c>
      <c r="D111" s="54">
        <f t="shared" si="167"/>
        <v>2291577</v>
      </c>
      <c r="E111" s="54">
        <f t="shared" si="167"/>
        <v>2050368</v>
      </c>
      <c r="F111" s="54">
        <f t="shared" si="167"/>
        <v>2354519</v>
      </c>
      <c r="G111" s="54">
        <f t="shared" si="167"/>
        <v>2343405</v>
      </c>
      <c r="H111" s="54">
        <f t="shared" si="167"/>
        <v>2506209</v>
      </c>
      <c r="I111" s="54">
        <f t="shared" si="167"/>
        <v>3136992</v>
      </c>
      <c r="J111" s="54">
        <f t="shared" si="167"/>
        <v>1875089</v>
      </c>
      <c r="K111" s="54">
        <f t="shared" si="167"/>
        <v>1380078</v>
      </c>
      <c r="L111" s="54">
        <f t="shared" ref="L111" si="168">L112+L127</f>
        <v>1438111</v>
      </c>
      <c r="M111" s="54">
        <f t="shared" ref="M111:V111" si="169">M112+M127</f>
        <v>1329696</v>
      </c>
      <c r="N111" s="54">
        <f t="shared" si="169"/>
        <v>1174559</v>
      </c>
      <c r="O111" s="54">
        <f t="shared" si="169"/>
        <v>1025149</v>
      </c>
      <c r="P111" s="54">
        <f t="shared" si="169"/>
        <v>1484014</v>
      </c>
      <c r="Q111" s="54">
        <f t="shared" si="169"/>
        <v>2204406</v>
      </c>
      <c r="R111" s="54">
        <f t="shared" si="169"/>
        <v>1757825</v>
      </c>
      <c r="S111" s="54">
        <f t="shared" si="169"/>
        <v>3183972</v>
      </c>
      <c r="T111" s="54">
        <f t="shared" si="169"/>
        <v>2334810</v>
      </c>
      <c r="U111" s="54">
        <f t="shared" si="169"/>
        <v>2224677</v>
      </c>
      <c r="V111" s="54">
        <f t="shared" si="169"/>
        <v>1778083</v>
      </c>
      <c r="W111" s="54">
        <f t="shared" ref="W111:Y111" si="170">W112+W127</f>
        <v>2029688</v>
      </c>
      <c r="X111" s="54">
        <f t="shared" si="170"/>
        <v>2096757</v>
      </c>
      <c r="Y111" s="54">
        <f t="shared" si="170"/>
        <v>2380494</v>
      </c>
      <c r="DA111" s="172" t="s">
        <v>526</v>
      </c>
    </row>
    <row r="112" spans="1:105" ht="11.45" customHeight="1" x14ac:dyDescent="0.25">
      <c r="A112" s="27" t="s">
        <v>33</v>
      </c>
      <c r="B112" s="28">
        <f t="shared" ref="B112:K112" si="171">B113+B114+B121</f>
        <v>1622071</v>
      </c>
      <c r="C112" s="28">
        <f t="shared" si="171"/>
        <v>1708331</v>
      </c>
      <c r="D112" s="28">
        <f t="shared" si="171"/>
        <v>2087786</v>
      </c>
      <c r="E112" s="28">
        <f t="shared" si="171"/>
        <v>1698952</v>
      </c>
      <c r="F112" s="28">
        <f t="shared" si="171"/>
        <v>1875520</v>
      </c>
      <c r="G112" s="28">
        <f t="shared" si="171"/>
        <v>1984340</v>
      </c>
      <c r="H112" s="28">
        <f t="shared" si="171"/>
        <v>2157657</v>
      </c>
      <c r="I112" s="28">
        <f t="shared" si="171"/>
        <v>2207744</v>
      </c>
      <c r="J112" s="28">
        <f t="shared" si="171"/>
        <v>1721629</v>
      </c>
      <c r="K112" s="28">
        <f t="shared" si="171"/>
        <v>1251868</v>
      </c>
      <c r="L112" s="28">
        <f t="shared" ref="L112" si="172">L113+L114+L121</f>
        <v>1295883</v>
      </c>
      <c r="M112" s="28">
        <f t="shared" ref="M112:V112" si="173">M113+M114+M121</f>
        <v>1196725</v>
      </c>
      <c r="N112" s="28">
        <f t="shared" si="173"/>
        <v>1061546</v>
      </c>
      <c r="O112" s="28">
        <f t="shared" si="173"/>
        <v>929411</v>
      </c>
      <c r="P112" s="28">
        <f t="shared" si="173"/>
        <v>1134532</v>
      </c>
      <c r="Q112" s="28">
        <f t="shared" si="173"/>
        <v>1727252</v>
      </c>
      <c r="R112" s="28">
        <f t="shared" si="173"/>
        <v>1586172</v>
      </c>
      <c r="S112" s="28">
        <f t="shared" si="173"/>
        <v>2991758</v>
      </c>
      <c r="T112" s="28">
        <f t="shared" si="173"/>
        <v>2151042</v>
      </c>
      <c r="U112" s="28">
        <f t="shared" si="173"/>
        <v>2058069</v>
      </c>
      <c r="V112" s="28">
        <f t="shared" si="173"/>
        <v>1656753</v>
      </c>
      <c r="W112" s="28">
        <f t="shared" ref="W112:Y112" si="174">W113+W114+W121</f>
        <v>1893724</v>
      </c>
      <c r="X112" s="28">
        <f t="shared" si="174"/>
        <v>1960711</v>
      </c>
      <c r="Y112" s="28">
        <f t="shared" si="174"/>
        <v>2214520</v>
      </c>
      <c r="DA112" s="173" t="s">
        <v>527</v>
      </c>
    </row>
    <row r="113" spans="1:105" ht="11.45" customHeight="1" x14ac:dyDescent="0.25">
      <c r="A113" s="136" t="s">
        <v>173</v>
      </c>
      <c r="B113" s="137">
        <v>151246</v>
      </c>
      <c r="C113" s="137">
        <v>202927</v>
      </c>
      <c r="D113" s="137">
        <v>673266</v>
      </c>
      <c r="E113" s="137">
        <v>313091</v>
      </c>
      <c r="F113" s="137">
        <v>352612</v>
      </c>
      <c r="G113" s="137">
        <v>449798</v>
      </c>
      <c r="H113" s="137">
        <v>483434</v>
      </c>
      <c r="I113" s="137">
        <v>569283</v>
      </c>
      <c r="J113" s="137">
        <v>481740</v>
      </c>
      <c r="K113" s="137">
        <v>269280</v>
      </c>
      <c r="L113" s="137">
        <v>270518</v>
      </c>
      <c r="M113" s="137">
        <v>238846</v>
      </c>
      <c r="N113" s="137">
        <v>195862</v>
      </c>
      <c r="O113" s="137">
        <v>185356</v>
      </c>
      <c r="P113" s="137">
        <v>222920</v>
      </c>
      <c r="Q113" s="137">
        <v>289926</v>
      </c>
      <c r="R113" s="137">
        <v>310008</v>
      </c>
      <c r="S113" s="137">
        <v>595284</v>
      </c>
      <c r="T113" s="137">
        <v>339940</v>
      </c>
      <c r="U113" s="137">
        <v>400978</v>
      </c>
      <c r="V113" s="137">
        <v>385114</v>
      </c>
      <c r="W113" s="137">
        <v>376782</v>
      </c>
      <c r="X113" s="137">
        <v>398426</v>
      </c>
      <c r="Y113" s="137">
        <v>431666</v>
      </c>
      <c r="DA113" s="174" t="s">
        <v>528</v>
      </c>
    </row>
    <row r="114" spans="1:105" ht="11.45" customHeight="1" x14ac:dyDescent="0.25">
      <c r="A114" s="109" t="s">
        <v>20</v>
      </c>
      <c r="B114" s="110">
        <f t="shared" ref="B114:K114" si="175">SUM(B115:B120)</f>
        <v>1467160</v>
      </c>
      <c r="C114" s="110">
        <f t="shared" si="175"/>
        <v>1499734</v>
      </c>
      <c r="D114" s="110">
        <f t="shared" si="175"/>
        <v>1409301</v>
      </c>
      <c r="E114" s="110">
        <f t="shared" si="175"/>
        <v>1382109</v>
      </c>
      <c r="F114" s="110">
        <f t="shared" si="175"/>
        <v>1517286</v>
      </c>
      <c r="G114" s="110">
        <f t="shared" si="175"/>
        <v>1528877</v>
      </c>
      <c r="H114" s="110">
        <f t="shared" si="175"/>
        <v>1667373</v>
      </c>
      <c r="I114" s="110">
        <f t="shared" si="175"/>
        <v>1633239</v>
      </c>
      <c r="J114" s="110">
        <f t="shared" si="175"/>
        <v>1234389</v>
      </c>
      <c r="K114" s="110">
        <f t="shared" si="175"/>
        <v>977808</v>
      </c>
      <c r="L114" s="110">
        <f t="shared" ref="L114" si="176">SUM(L115:L120)</f>
        <v>1021352</v>
      </c>
      <c r="M114" s="110">
        <f t="shared" ref="M114:V114" si="177">SUM(M115:M120)</f>
        <v>953844</v>
      </c>
      <c r="N114" s="110">
        <f t="shared" si="177"/>
        <v>861642</v>
      </c>
      <c r="O114" s="110">
        <f t="shared" si="177"/>
        <v>742305</v>
      </c>
      <c r="P114" s="110">
        <f t="shared" si="177"/>
        <v>908047</v>
      </c>
      <c r="Q114" s="110">
        <f t="shared" si="177"/>
        <v>1433028</v>
      </c>
      <c r="R114" s="110">
        <f t="shared" si="177"/>
        <v>1271100</v>
      </c>
      <c r="S114" s="110">
        <f t="shared" si="177"/>
        <v>2392644</v>
      </c>
      <c r="T114" s="110">
        <f t="shared" si="177"/>
        <v>1807398</v>
      </c>
      <c r="U114" s="110">
        <f t="shared" si="177"/>
        <v>1653556</v>
      </c>
      <c r="V114" s="110">
        <f t="shared" si="177"/>
        <v>1269049</v>
      </c>
      <c r="W114" s="110">
        <f t="shared" ref="W114:Y114" si="178">SUM(W115:W120)</f>
        <v>1514145</v>
      </c>
      <c r="X114" s="110">
        <f t="shared" si="178"/>
        <v>1559609</v>
      </c>
      <c r="Y114" s="110">
        <f t="shared" si="178"/>
        <v>1779451</v>
      </c>
      <c r="DA114" s="176" t="s">
        <v>529</v>
      </c>
    </row>
    <row r="115" spans="1:105" ht="11.45" customHeight="1" x14ac:dyDescent="0.25">
      <c r="A115" s="111" t="s">
        <v>110</v>
      </c>
      <c r="B115" s="84">
        <v>681967</v>
      </c>
      <c r="C115" s="84">
        <v>718980</v>
      </c>
      <c r="D115" s="84">
        <v>603178</v>
      </c>
      <c r="E115" s="84">
        <v>552217</v>
      </c>
      <c r="F115" s="84">
        <v>562019</v>
      </c>
      <c r="G115" s="84">
        <v>523425</v>
      </c>
      <c r="H115" s="84">
        <v>522869</v>
      </c>
      <c r="I115" s="84">
        <v>499132</v>
      </c>
      <c r="J115" s="84">
        <v>381310</v>
      </c>
      <c r="K115" s="84">
        <v>303568</v>
      </c>
      <c r="L115" s="84">
        <v>306410</v>
      </c>
      <c r="M115" s="84">
        <v>258895</v>
      </c>
      <c r="N115" s="84">
        <v>234071</v>
      </c>
      <c r="O115" s="84">
        <v>231063</v>
      </c>
      <c r="P115" s="84">
        <v>313336</v>
      </c>
      <c r="Q115" s="84">
        <v>398531</v>
      </c>
      <c r="R115" s="84">
        <v>539447</v>
      </c>
      <c r="S115" s="84">
        <v>689610</v>
      </c>
      <c r="T115" s="84">
        <v>913446</v>
      </c>
      <c r="U115" s="84">
        <v>972869</v>
      </c>
      <c r="V115" s="84">
        <v>657536</v>
      </c>
      <c r="W115" s="84">
        <v>763658</v>
      </c>
      <c r="X115" s="84">
        <v>771077</v>
      </c>
      <c r="Y115" s="84">
        <v>935528</v>
      </c>
      <c r="DA115" s="171" t="s">
        <v>530</v>
      </c>
    </row>
    <row r="116" spans="1:105" ht="11.45" customHeight="1" x14ac:dyDescent="0.25">
      <c r="A116" s="111" t="s">
        <v>111</v>
      </c>
      <c r="B116" s="84">
        <v>785193</v>
      </c>
      <c r="C116" s="84">
        <v>779869</v>
      </c>
      <c r="D116" s="84">
        <v>805226</v>
      </c>
      <c r="E116" s="84">
        <v>829892</v>
      </c>
      <c r="F116" s="84">
        <v>953582</v>
      </c>
      <c r="G116" s="84">
        <v>1003448</v>
      </c>
      <c r="H116" s="84">
        <v>1142066</v>
      </c>
      <c r="I116" s="84">
        <v>1134107</v>
      </c>
      <c r="J116" s="84">
        <v>852884</v>
      </c>
      <c r="K116" s="84">
        <v>672292</v>
      </c>
      <c r="L116" s="84">
        <v>713222</v>
      </c>
      <c r="M116" s="84">
        <v>693314</v>
      </c>
      <c r="N116" s="84">
        <v>618004</v>
      </c>
      <c r="O116" s="84">
        <v>507665</v>
      </c>
      <c r="P116" s="84">
        <v>590360</v>
      </c>
      <c r="Q116" s="84">
        <v>1028130</v>
      </c>
      <c r="R116" s="84">
        <v>726070</v>
      </c>
      <c r="S116" s="84">
        <v>1690390</v>
      </c>
      <c r="T116" s="84">
        <v>862811</v>
      </c>
      <c r="U116" s="84">
        <v>634734</v>
      </c>
      <c r="V116" s="84">
        <v>554801</v>
      </c>
      <c r="W116" s="84">
        <v>664753</v>
      </c>
      <c r="X116" s="84">
        <v>690068</v>
      </c>
      <c r="Y116" s="84">
        <v>686556</v>
      </c>
      <c r="DA116" s="171" t="s">
        <v>531</v>
      </c>
    </row>
    <row r="117" spans="1:105" ht="11.45" customHeight="1" x14ac:dyDescent="0.25">
      <c r="A117" s="111" t="s">
        <v>112</v>
      </c>
      <c r="B117" s="84">
        <v>0</v>
      </c>
      <c r="C117" s="84">
        <v>885</v>
      </c>
      <c r="D117" s="84">
        <v>897</v>
      </c>
      <c r="E117" s="84">
        <v>0</v>
      </c>
      <c r="F117" s="84">
        <v>0</v>
      </c>
      <c r="G117" s="84">
        <v>0</v>
      </c>
      <c r="H117" s="84">
        <v>0</v>
      </c>
      <c r="I117" s="84">
        <v>0</v>
      </c>
      <c r="J117" s="84">
        <v>0</v>
      </c>
      <c r="K117" s="84">
        <v>1766</v>
      </c>
      <c r="L117" s="84">
        <v>1348</v>
      </c>
      <c r="M117" s="84">
        <v>993</v>
      </c>
      <c r="N117" s="84">
        <v>4513</v>
      </c>
      <c r="O117" s="84">
        <v>933</v>
      </c>
      <c r="P117" s="84">
        <v>2844</v>
      </c>
      <c r="Q117" s="84">
        <v>2722</v>
      </c>
      <c r="R117" s="84">
        <v>1537</v>
      </c>
      <c r="S117" s="84">
        <v>4024</v>
      </c>
      <c r="T117" s="84">
        <v>15085</v>
      </c>
      <c r="U117" s="84">
        <v>21951</v>
      </c>
      <c r="V117" s="84">
        <v>10056</v>
      </c>
      <c r="W117" s="84">
        <v>13683</v>
      </c>
      <c r="X117" s="84">
        <v>17253</v>
      </c>
      <c r="Y117" s="84">
        <v>39660</v>
      </c>
      <c r="DA117" s="171" t="s">
        <v>532</v>
      </c>
    </row>
    <row r="118" spans="1:105" ht="11.45" customHeight="1" x14ac:dyDescent="0.25">
      <c r="A118" s="111" t="s">
        <v>113</v>
      </c>
      <c r="B118" s="84">
        <v>0</v>
      </c>
      <c r="C118" s="84">
        <v>0</v>
      </c>
      <c r="D118" s="84">
        <v>0</v>
      </c>
      <c r="E118" s="84">
        <v>0</v>
      </c>
      <c r="F118" s="84">
        <v>1685</v>
      </c>
      <c r="G118" s="84">
        <v>2004</v>
      </c>
      <c r="H118" s="84">
        <v>2438</v>
      </c>
      <c r="I118" s="84">
        <v>0</v>
      </c>
      <c r="J118" s="84">
        <v>195</v>
      </c>
      <c r="K118" s="84">
        <v>181</v>
      </c>
      <c r="L118" s="84">
        <v>296</v>
      </c>
      <c r="M118" s="84">
        <v>66</v>
      </c>
      <c r="N118" s="84">
        <v>4489</v>
      </c>
      <c r="O118" s="84">
        <v>1564</v>
      </c>
      <c r="P118" s="84">
        <v>0</v>
      </c>
      <c r="Q118" s="84">
        <v>0</v>
      </c>
      <c r="R118" s="84">
        <v>70</v>
      </c>
      <c r="S118" s="84">
        <v>1028</v>
      </c>
      <c r="T118" s="84">
        <v>4048</v>
      </c>
      <c r="U118" s="84">
        <v>6126</v>
      </c>
      <c r="V118" s="84">
        <v>3782</v>
      </c>
      <c r="W118" s="84">
        <v>1197</v>
      </c>
      <c r="X118" s="84">
        <v>798</v>
      </c>
      <c r="Y118" s="84">
        <v>148</v>
      </c>
      <c r="DA118" s="171" t="s">
        <v>533</v>
      </c>
    </row>
    <row r="119" spans="1:105" ht="11.45" customHeight="1" x14ac:dyDescent="0.25">
      <c r="A119" s="111" t="s">
        <v>114</v>
      </c>
      <c r="B119" s="84">
        <v>0</v>
      </c>
      <c r="C119" s="84">
        <v>0</v>
      </c>
      <c r="D119" s="84">
        <v>0</v>
      </c>
      <c r="E119" s="84">
        <v>0</v>
      </c>
      <c r="F119" s="84">
        <v>0</v>
      </c>
      <c r="G119" s="84">
        <v>0</v>
      </c>
      <c r="H119" s="84">
        <v>0</v>
      </c>
      <c r="I119" s="84">
        <v>0</v>
      </c>
      <c r="J119" s="84">
        <v>0</v>
      </c>
      <c r="K119" s="84">
        <v>0</v>
      </c>
      <c r="L119" s="84">
        <v>0</v>
      </c>
      <c r="M119" s="84">
        <v>8</v>
      </c>
      <c r="N119" s="84">
        <v>109</v>
      </c>
      <c r="O119" s="84">
        <v>81</v>
      </c>
      <c r="P119" s="84">
        <v>422</v>
      </c>
      <c r="Q119" s="84">
        <v>1025</v>
      </c>
      <c r="R119" s="84">
        <v>1765</v>
      </c>
      <c r="S119" s="84">
        <v>3508</v>
      </c>
      <c r="T119" s="84">
        <v>5721</v>
      </c>
      <c r="U119" s="84">
        <v>7445</v>
      </c>
      <c r="V119" s="84">
        <v>24555</v>
      </c>
      <c r="W119" s="84">
        <v>43077</v>
      </c>
      <c r="X119" s="84">
        <v>48586</v>
      </c>
      <c r="Y119" s="84">
        <v>62171</v>
      </c>
      <c r="DA119" s="171" t="s">
        <v>534</v>
      </c>
    </row>
    <row r="120" spans="1:105" ht="11.45" customHeight="1" x14ac:dyDescent="0.25">
      <c r="A120" s="111" t="s">
        <v>115</v>
      </c>
      <c r="B120" s="84">
        <v>0</v>
      </c>
      <c r="C120" s="84">
        <v>0</v>
      </c>
      <c r="D120" s="84">
        <v>0</v>
      </c>
      <c r="E120" s="84">
        <v>0</v>
      </c>
      <c r="F120" s="84">
        <v>0</v>
      </c>
      <c r="G120" s="84">
        <v>0</v>
      </c>
      <c r="H120" s="84">
        <v>0</v>
      </c>
      <c r="I120" s="84">
        <v>0</v>
      </c>
      <c r="J120" s="84">
        <v>0</v>
      </c>
      <c r="K120" s="84">
        <v>1</v>
      </c>
      <c r="L120" s="84">
        <v>76</v>
      </c>
      <c r="M120" s="84">
        <v>568</v>
      </c>
      <c r="N120" s="84">
        <v>456</v>
      </c>
      <c r="O120" s="84">
        <v>999</v>
      </c>
      <c r="P120" s="84">
        <v>1085</v>
      </c>
      <c r="Q120" s="84">
        <v>2620</v>
      </c>
      <c r="R120" s="84">
        <v>2211</v>
      </c>
      <c r="S120" s="84">
        <v>4084</v>
      </c>
      <c r="T120" s="84">
        <v>6287</v>
      </c>
      <c r="U120" s="84">
        <v>10431</v>
      </c>
      <c r="V120" s="84">
        <v>18319</v>
      </c>
      <c r="W120" s="84">
        <v>27777</v>
      </c>
      <c r="X120" s="84">
        <v>31827</v>
      </c>
      <c r="Y120" s="84">
        <v>55388</v>
      </c>
      <c r="DA120" s="171" t="s">
        <v>535</v>
      </c>
    </row>
    <row r="121" spans="1:105" ht="11.45" customHeight="1" x14ac:dyDescent="0.25">
      <c r="A121" s="109" t="s">
        <v>21</v>
      </c>
      <c r="B121" s="110">
        <f t="shared" ref="B121:K121" si="179">SUM(B122:B126)</f>
        <v>3665</v>
      </c>
      <c r="C121" s="110">
        <f t="shared" si="179"/>
        <v>5670</v>
      </c>
      <c r="D121" s="110">
        <f t="shared" si="179"/>
        <v>5219</v>
      </c>
      <c r="E121" s="110">
        <f t="shared" si="179"/>
        <v>3752</v>
      </c>
      <c r="F121" s="110">
        <f t="shared" si="179"/>
        <v>5622</v>
      </c>
      <c r="G121" s="110">
        <f t="shared" si="179"/>
        <v>5665</v>
      </c>
      <c r="H121" s="110">
        <f t="shared" si="179"/>
        <v>6850</v>
      </c>
      <c r="I121" s="110">
        <f t="shared" si="179"/>
        <v>5222</v>
      </c>
      <c r="J121" s="110">
        <f t="shared" si="179"/>
        <v>5500</v>
      </c>
      <c r="K121" s="110">
        <f t="shared" si="179"/>
        <v>4780</v>
      </c>
      <c r="L121" s="110">
        <f t="shared" ref="L121" si="180">SUM(L122:L126)</f>
        <v>4013</v>
      </c>
      <c r="M121" s="110">
        <f t="shared" ref="M121:V121" si="181">SUM(M122:M126)</f>
        <v>4035</v>
      </c>
      <c r="N121" s="110">
        <f t="shared" si="181"/>
        <v>4042</v>
      </c>
      <c r="O121" s="110">
        <f t="shared" si="181"/>
        <v>1750</v>
      </c>
      <c r="P121" s="110">
        <f t="shared" si="181"/>
        <v>3565</v>
      </c>
      <c r="Q121" s="110">
        <f t="shared" si="181"/>
        <v>4298</v>
      </c>
      <c r="R121" s="110">
        <f t="shared" si="181"/>
        <v>5064</v>
      </c>
      <c r="S121" s="110">
        <f t="shared" si="181"/>
        <v>3830</v>
      </c>
      <c r="T121" s="110">
        <f t="shared" si="181"/>
        <v>3704</v>
      </c>
      <c r="U121" s="110">
        <f t="shared" si="181"/>
        <v>3535</v>
      </c>
      <c r="V121" s="110">
        <f t="shared" si="181"/>
        <v>2590</v>
      </c>
      <c r="W121" s="110">
        <f t="shared" ref="W121:Y121" si="182">SUM(W122:W126)</f>
        <v>2797</v>
      </c>
      <c r="X121" s="110">
        <f t="shared" si="182"/>
        <v>2676</v>
      </c>
      <c r="Y121" s="110">
        <f t="shared" si="182"/>
        <v>3403</v>
      </c>
      <c r="DA121" s="176" t="s">
        <v>536</v>
      </c>
    </row>
    <row r="122" spans="1:105" ht="11.45" customHeight="1" x14ac:dyDescent="0.25">
      <c r="A122" s="111" t="s">
        <v>110</v>
      </c>
      <c r="B122" s="102">
        <v>0</v>
      </c>
      <c r="C122" s="102">
        <v>104</v>
      </c>
      <c r="D122" s="102">
        <v>131</v>
      </c>
      <c r="E122" s="102">
        <v>66</v>
      </c>
      <c r="F122" s="102">
        <v>74</v>
      </c>
      <c r="G122" s="102">
        <v>0</v>
      </c>
      <c r="H122" s="102">
        <v>65</v>
      </c>
      <c r="I122" s="102">
        <v>182</v>
      </c>
      <c r="J122" s="102">
        <v>10</v>
      </c>
      <c r="K122" s="102">
        <v>10</v>
      </c>
      <c r="L122" s="102">
        <v>26</v>
      </c>
      <c r="M122" s="102">
        <v>35</v>
      </c>
      <c r="N122" s="102">
        <v>26</v>
      </c>
      <c r="O122" s="102">
        <v>28</v>
      </c>
      <c r="P122" s="102">
        <v>30</v>
      </c>
      <c r="Q122" s="102">
        <v>22</v>
      </c>
      <c r="R122" s="102">
        <v>36</v>
      </c>
      <c r="S122" s="102">
        <v>12</v>
      </c>
      <c r="T122" s="102">
        <v>2</v>
      </c>
      <c r="U122" s="102">
        <v>1</v>
      </c>
      <c r="V122" s="102">
        <v>0</v>
      </c>
      <c r="W122" s="102">
        <v>35</v>
      </c>
      <c r="X122" s="102">
        <v>37</v>
      </c>
      <c r="Y122" s="102">
        <v>27</v>
      </c>
      <c r="DA122" s="175" t="s">
        <v>537</v>
      </c>
    </row>
    <row r="123" spans="1:105" ht="11.45" customHeight="1" x14ac:dyDescent="0.25">
      <c r="A123" s="111" t="s">
        <v>111</v>
      </c>
      <c r="B123" s="102">
        <v>3665</v>
      </c>
      <c r="C123" s="102">
        <v>5556</v>
      </c>
      <c r="D123" s="102">
        <v>5088</v>
      </c>
      <c r="E123" s="102">
        <v>3506</v>
      </c>
      <c r="F123" s="102">
        <v>5492</v>
      </c>
      <c r="G123" s="102">
        <v>5630</v>
      </c>
      <c r="H123" s="102">
        <v>6757</v>
      </c>
      <c r="I123" s="102">
        <v>4949</v>
      </c>
      <c r="J123" s="102">
        <v>5490</v>
      </c>
      <c r="K123" s="102">
        <v>4767</v>
      </c>
      <c r="L123" s="102">
        <v>3987</v>
      </c>
      <c r="M123" s="102">
        <v>4000</v>
      </c>
      <c r="N123" s="102">
        <v>3994</v>
      </c>
      <c r="O123" s="102">
        <v>1653</v>
      </c>
      <c r="P123" s="102">
        <v>3520</v>
      </c>
      <c r="Q123" s="102">
        <v>3027</v>
      </c>
      <c r="R123" s="102">
        <v>4228</v>
      </c>
      <c r="S123" s="102">
        <v>3482</v>
      </c>
      <c r="T123" s="102">
        <v>2459</v>
      </c>
      <c r="U123" s="102">
        <v>2782</v>
      </c>
      <c r="V123" s="102">
        <v>1967</v>
      </c>
      <c r="W123" s="102">
        <v>2106</v>
      </c>
      <c r="X123" s="102">
        <v>1933</v>
      </c>
      <c r="Y123" s="102">
        <v>2565</v>
      </c>
      <c r="DA123" s="175" t="s">
        <v>538</v>
      </c>
    </row>
    <row r="124" spans="1:105" ht="11.45" customHeight="1" x14ac:dyDescent="0.25">
      <c r="A124" s="111" t="s">
        <v>112</v>
      </c>
      <c r="B124" s="102">
        <v>0</v>
      </c>
      <c r="C124" s="102">
        <v>0</v>
      </c>
      <c r="D124" s="102">
        <v>0</v>
      </c>
      <c r="E124" s="102">
        <v>0</v>
      </c>
      <c r="F124" s="102">
        <v>0</v>
      </c>
      <c r="G124" s="102">
        <v>0</v>
      </c>
      <c r="H124" s="102">
        <v>0</v>
      </c>
      <c r="I124" s="102">
        <v>0</v>
      </c>
      <c r="J124" s="102">
        <v>0</v>
      </c>
      <c r="K124" s="102">
        <v>0</v>
      </c>
      <c r="L124" s="102">
        <v>0</v>
      </c>
      <c r="M124" s="102">
        <v>0</v>
      </c>
      <c r="N124" s="102">
        <v>0</v>
      </c>
      <c r="O124" s="102">
        <v>0</v>
      </c>
      <c r="P124" s="102">
        <v>4</v>
      </c>
      <c r="Q124" s="102">
        <v>99</v>
      </c>
      <c r="R124" s="102">
        <v>3</v>
      </c>
      <c r="S124" s="102">
        <v>0</v>
      </c>
      <c r="T124" s="102">
        <v>0</v>
      </c>
      <c r="U124" s="102">
        <v>29</v>
      </c>
      <c r="V124" s="102">
        <v>35</v>
      </c>
      <c r="W124" s="102">
        <v>179</v>
      </c>
      <c r="X124" s="102">
        <v>105</v>
      </c>
      <c r="Y124" s="102">
        <v>131</v>
      </c>
      <c r="DA124" s="175" t="s">
        <v>539</v>
      </c>
    </row>
    <row r="125" spans="1:105" ht="11.45" customHeight="1" x14ac:dyDescent="0.25">
      <c r="A125" s="111" t="s">
        <v>113</v>
      </c>
      <c r="B125" s="102">
        <v>0</v>
      </c>
      <c r="C125" s="102">
        <v>10</v>
      </c>
      <c r="D125" s="102">
        <v>0</v>
      </c>
      <c r="E125" s="102">
        <v>180</v>
      </c>
      <c r="F125" s="102">
        <v>56</v>
      </c>
      <c r="G125" s="102">
        <v>35</v>
      </c>
      <c r="H125" s="102">
        <v>28</v>
      </c>
      <c r="I125" s="102">
        <v>91</v>
      </c>
      <c r="J125" s="102">
        <v>0</v>
      </c>
      <c r="K125" s="102">
        <v>3</v>
      </c>
      <c r="L125" s="102">
        <v>0</v>
      </c>
      <c r="M125" s="102">
        <v>0</v>
      </c>
      <c r="N125" s="102">
        <v>22</v>
      </c>
      <c r="O125" s="102">
        <v>8</v>
      </c>
      <c r="P125" s="102">
        <v>0</v>
      </c>
      <c r="Q125" s="102">
        <v>1107</v>
      </c>
      <c r="R125" s="102">
        <v>786</v>
      </c>
      <c r="S125" s="102">
        <v>320</v>
      </c>
      <c r="T125" s="102">
        <v>1221</v>
      </c>
      <c r="U125" s="102">
        <v>649</v>
      </c>
      <c r="V125" s="102">
        <v>548</v>
      </c>
      <c r="W125" s="102">
        <v>348</v>
      </c>
      <c r="X125" s="102">
        <v>460</v>
      </c>
      <c r="Y125" s="102">
        <v>180</v>
      </c>
      <c r="DA125" s="175" t="s">
        <v>540</v>
      </c>
    </row>
    <row r="126" spans="1:105" ht="11.45" customHeight="1" x14ac:dyDescent="0.25">
      <c r="A126" s="111" t="s">
        <v>115</v>
      </c>
      <c r="B126" s="102">
        <v>0</v>
      </c>
      <c r="C126" s="102">
        <v>0</v>
      </c>
      <c r="D126" s="102">
        <v>0</v>
      </c>
      <c r="E126" s="102">
        <v>0</v>
      </c>
      <c r="F126" s="102">
        <v>0</v>
      </c>
      <c r="G126" s="102">
        <v>0</v>
      </c>
      <c r="H126" s="102">
        <v>0</v>
      </c>
      <c r="I126" s="102">
        <v>0</v>
      </c>
      <c r="J126" s="102">
        <v>0</v>
      </c>
      <c r="K126" s="102">
        <v>0</v>
      </c>
      <c r="L126" s="102">
        <v>0</v>
      </c>
      <c r="M126" s="102">
        <v>0</v>
      </c>
      <c r="N126" s="102">
        <v>0</v>
      </c>
      <c r="O126" s="102">
        <v>61</v>
      </c>
      <c r="P126" s="102">
        <v>11</v>
      </c>
      <c r="Q126" s="102">
        <v>43</v>
      </c>
      <c r="R126" s="102">
        <v>11</v>
      </c>
      <c r="S126" s="102">
        <v>16</v>
      </c>
      <c r="T126" s="102">
        <v>22</v>
      </c>
      <c r="U126" s="102">
        <v>74</v>
      </c>
      <c r="V126" s="102">
        <v>40</v>
      </c>
      <c r="W126" s="102">
        <v>129</v>
      </c>
      <c r="X126" s="102">
        <v>141</v>
      </c>
      <c r="Y126" s="102">
        <v>500</v>
      </c>
      <c r="DA126" s="175" t="s">
        <v>541</v>
      </c>
    </row>
    <row r="127" spans="1:105" ht="11.45" customHeight="1" x14ac:dyDescent="0.25">
      <c r="A127" s="27" t="s">
        <v>34</v>
      </c>
      <c r="B127" s="28">
        <f t="shared" ref="B127:K127" si="183">B128+B134</f>
        <v>2641</v>
      </c>
      <c r="C127" s="28">
        <f t="shared" si="183"/>
        <v>294752</v>
      </c>
      <c r="D127" s="28">
        <f t="shared" si="183"/>
        <v>203791</v>
      </c>
      <c r="E127" s="28">
        <f t="shared" si="183"/>
        <v>351416</v>
      </c>
      <c r="F127" s="28">
        <f t="shared" si="183"/>
        <v>478999</v>
      </c>
      <c r="G127" s="28">
        <f t="shared" si="183"/>
        <v>359065</v>
      </c>
      <c r="H127" s="28">
        <f t="shared" si="183"/>
        <v>348552</v>
      </c>
      <c r="I127" s="28">
        <f t="shared" si="183"/>
        <v>929248</v>
      </c>
      <c r="J127" s="28">
        <f t="shared" si="183"/>
        <v>153460</v>
      </c>
      <c r="K127" s="28">
        <f t="shared" si="183"/>
        <v>128210</v>
      </c>
      <c r="L127" s="28">
        <f t="shared" ref="L127" si="184">L128+L134</f>
        <v>142228</v>
      </c>
      <c r="M127" s="28">
        <f t="shared" ref="M127:V127" si="185">M128+M134</f>
        <v>132971</v>
      </c>
      <c r="N127" s="28">
        <f t="shared" si="185"/>
        <v>113013</v>
      </c>
      <c r="O127" s="28">
        <f t="shared" si="185"/>
        <v>95738</v>
      </c>
      <c r="P127" s="28">
        <f t="shared" si="185"/>
        <v>349482</v>
      </c>
      <c r="Q127" s="28">
        <f t="shared" si="185"/>
        <v>477154</v>
      </c>
      <c r="R127" s="28">
        <f t="shared" si="185"/>
        <v>171653</v>
      </c>
      <c r="S127" s="28">
        <f t="shared" si="185"/>
        <v>192214</v>
      </c>
      <c r="T127" s="28">
        <f t="shared" si="185"/>
        <v>183768</v>
      </c>
      <c r="U127" s="28">
        <f t="shared" si="185"/>
        <v>166608</v>
      </c>
      <c r="V127" s="28">
        <f t="shared" si="185"/>
        <v>121330</v>
      </c>
      <c r="W127" s="28">
        <f t="shared" ref="W127:Y127" si="186">W128+W134</f>
        <v>135964</v>
      </c>
      <c r="X127" s="28">
        <f t="shared" si="186"/>
        <v>136046</v>
      </c>
      <c r="Y127" s="28">
        <f t="shared" si="186"/>
        <v>165974</v>
      </c>
      <c r="DA127" s="173" t="s">
        <v>542</v>
      </c>
    </row>
    <row r="128" spans="1:105" ht="11.45" customHeight="1" x14ac:dyDescent="0.25">
      <c r="A128" s="136" t="s">
        <v>153</v>
      </c>
      <c r="B128" s="137">
        <f t="shared" ref="B128:K128" si="187">SUM(B129:B133)</f>
        <v>0</v>
      </c>
      <c r="C128" s="137">
        <f t="shared" si="187"/>
        <v>244790</v>
      </c>
      <c r="D128" s="137">
        <f t="shared" si="187"/>
        <v>156562</v>
      </c>
      <c r="E128" s="137">
        <f t="shared" si="187"/>
        <v>295348</v>
      </c>
      <c r="F128" s="137">
        <f t="shared" si="187"/>
        <v>424839</v>
      </c>
      <c r="G128" s="137">
        <f t="shared" si="187"/>
        <v>304317</v>
      </c>
      <c r="H128" s="137">
        <f t="shared" si="187"/>
        <v>289598</v>
      </c>
      <c r="I128" s="137">
        <f t="shared" si="187"/>
        <v>861025</v>
      </c>
      <c r="J128" s="137">
        <f t="shared" si="187"/>
        <v>107206</v>
      </c>
      <c r="K128" s="137">
        <f t="shared" si="187"/>
        <v>97460</v>
      </c>
      <c r="L128" s="137">
        <f t="shared" ref="L128" si="188">SUM(L129:L133)</f>
        <v>107765</v>
      </c>
      <c r="M128" s="137">
        <f t="shared" ref="M128:V128" si="189">SUM(M129:M133)</f>
        <v>95031</v>
      </c>
      <c r="N128" s="137">
        <f t="shared" si="189"/>
        <v>82795</v>
      </c>
      <c r="O128" s="137">
        <f t="shared" si="189"/>
        <v>84074</v>
      </c>
      <c r="P128" s="137">
        <f t="shared" si="189"/>
        <v>342141</v>
      </c>
      <c r="Q128" s="137">
        <f t="shared" si="189"/>
        <v>463117</v>
      </c>
      <c r="R128" s="137">
        <f t="shared" si="189"/>
        <v>115383</v>
      </c>
      <c r="S128" s="137">
        <f t="shared" si="189"/>
        <v>130919</v>
      </c>
      <c r="T128" s="137">
        <f t="shared" si="189"/>
        <v>123403</v>
      </c>
      <c r="U128" s="137">
        <f t="shared" si="189"/>
        <v>110284</v>
      </c>
      <c r="V128" s="137">
        <f t="shared" si="189"/>
        <v>84638</v>
      </c>
      <c r="W128" s="137">
        <f t="shared" ref="W128:Y128" si="190">SUM(W129:W133)</f>
        <v>93353</v>
      </c>
      <c r="X128" s="137">
        <f t="shared" si="190"/>
        <v>81895</v>
      </c>
      <c r="Y128" s="137">
        <f t="shared" si="190"/>
        <v>111549</v>
      </c>
      <c r="DA128" s="174" t="s">
        <v>543</v>
      </c>
    </row>
    <row r="129" spans="1:105" ht="11.45" customHeight="1" x14ac:dyDescent="0.25">
      <c r="A129" s="111" t="s">
        <v>110</v>
      </c>
      <c r="B129" s="84">
        <v>0</v>
      </c>
      <c r="C129" s="84">
        <v>511</v>
      </c>
      <c r="D129" s="84">
        <v>0</v>
      </c>
      <c r="E129" s="84">
        <v>0</v>
      </c>
      <c r="F129" s="84">
        <v>0</v>
      </c>
      <c r="G129" s="84">
        <v>0</v>
      </c>
      <c r="H129" s="84">
        <v>0</v>
      </c>
      <c r="I129" s="84">
        <v>0</v>
      </c>
      <c r="J129" s="84">
        <v>0</v>
      </c>
      <c r="K129" s="84">
        <v>0</v>
      </c>
      <c r="L129" s="84">
        <v>0</v>
      </c>
      <c r="M129" s="84">
        <v>2154</v>
      </c>
      <c r="N129" s="84">
        <v>12797</v>
      </c>
      <c r="O129" s="84">
        <v>10322</v>
      </c>
      <c r="P129" s="84">
        <v>173</v>
      </c>
      <c r="Q129" s="84">
        <v>3410</v>
      </c>
      <c r="R129" s="84">
        <v>3904</v>
      </c>
      <c r="S129" s="84">
        <v>12151</v>
      </c>
      <c r="T129" s="84">
        <v>10036</v>
      </c>
      <c r="U129" s="84">
        <v>6180</v>
      </c>
      <c r="V129" s="84">
        <v>1477</v>
      </c>
      <c r="W129" s="84">
        <v>1727</v>
      </c>
      <c r="X129" s="84">
        <v>2787</v>
      </c>
      <c r="Y129" s="84">
        <v>3495</v>
      </c>
      <c r="DA129" s="171" t="s">
        <v>544</v>
      </c>
    </row>
    <row r="130" spans="1:105" ht="11.45" customHeight="1" x14ac:dyDescent="0.25">
      <c r="A130" s="111" t="s">
        <v>111</v>
      </c>
      <c r="B130" s="84">
        <v>0</v>
      </c>
      <c r="C130" s="84">
        <v>244279</v>
      </c>
      <c r="D130" s="84">
        <v>156562</v>
      </c>
      <c r="E130" s="84">
        <v>295348</v>
      </c>
      <c r="F130" s="84">
        <v>424839</v>
      </c>
      <c r="G130" s="84">
        <v>304317</v>
      </c>
      <c r="H130" s="84">
        <v>289598</v>
      </c>
      <c r="I130" s="84">
        <v>861025</v>
      </c>
      <c r="J130" s="84">
        <v>107206</v>
      </c>
      <c r="K130" s="84">
        <v>97460</v>
      </c>
      <c r="L130" s="84">
        <v>107765</v>
      </c>
      <c r="M130" s="84">
        <v>92853</v>
      </c>
      <c r="N130" s="84">
        <v>69762</v>
      </c>
      <c r="O130" s="84">
        <v>73551</v>
      </c>
      <c r="P130" s="84">
        <v>340448</v>
      </c>
      <c r="Q130" s="84">
        <v>458398</v>
      </c>
      <c r="R130" s="84">
        <v>110165</v>
      </c>
      <c r="S130" s="84">
        <v>116874</v>
      </c>
      <c r="T130" s="84">
        <v>107553</v>
      </c>
      <c r="U130" s="84">
        <v>95857</v>
      </c>
      <c r="V130" s="84">
        <v>77902</v>
      </c>
      <c r="W130" s="84">
        <v>85361</v>
      </c>
      <c r="X130" s="84">
        <v>74701</v>
      </c>
      <c r="Y130" s="84">
        <v>98843</v>
      </c>
      <c r="DA130" s="171" t="s">
        <v>545</v>
      </c>
    </row>
    <row r="131" spans="1:105" ht="11.45" customHeight="1" x14ac:dyDescent="0.25">
      <c r="A131" s="111" t="s">
        <v>112</v>
      </c>
      <c r="B131" s="84">
        <v>0</v>
      </c>
      <c r="C131" s="84">
        <v>0</v>
      </c>
      <c r="D131" s="84">
        <v>0</v>
      </c>
      <c r="E131" s="84">
        <v>0</v>
      </c>
      <c r="F131" s="84">
        <v>0</v>
      </c>
      <c r="G131" s="84">
        <v>0</v>
      </c>
      <c r="H131" s="84">
        <v>0</v>
      </c>
      <c r="I131" s="84">
        <v>0</v>
      </c>
      <c r="J131" s="84">
        <v>0</v>
      </c>
      <c r="K131" s="84">
        <v>0</v>
      </c>
      <c r="L131" s="84">
        <v>0</v>
      </c>
      <c r="M131" s="84">
        <v>0</v>
      </c>
      <c r="N131" s="84">
        <v>0</v>
      </c>
      <c r="O131" s="84">
        <v>2</v>
      </c>
      <c r="P131" s="84">
        <v>238</v>
      </c>
      <c r="Q131" s="84">
        <v>328</v>
      </c>
      <c r="R131" s="84">
        <v>403</v>
      </c>
      <c r="S131" s="84">
        <v>667</v>
      </c>
      <c r="T131" s="84">
        <v>1976</v>
      </c>
      <c r="U131" s="84">
        <v>5005</v>
      </c>
      <c r="V131" s="84">
        <v>2044</v>
      </c>
      <c r="W131" s="84">
        <v>2943</v>
      </c>
      <c r="X131" s="84">
        <v>862</v>
      </c>
      <c r="Y131" s="84">
        <v>1096</v>
      </c>
      <c r="DA131" s="171" t="s">
        <v>546</v>
      </c>
    </row>
    <row r="132" spans="1:105" ht="11.45" customHeight="1" x14ac:dyDescent="0.25">
      <c r="A132" s="111" t="s">
        <v>113</v>
      </c>
      <c r="B132" s="84">
        <v>0</v>
      </c>
      <c r="C132" s="84">
        <v>0</v>
      </c>
      <c r="D132" s="84">
        <v>0</v>
      </c>
      <c r="E132" s="84">
        <v>0</v>
      </c>
      <c r="F132" s="84">
        <v>0</v>
      </c>
      <c r="G132" s="84">
        <v>0</v>
      </c>
      <c r="H132" s="84">
        <v>0</v>
      </c>
      <c r="I132" s="84">
        <v>0</v>
      </c>
      <c r="J132" s="84">
        <v>0</v>
      </c>
      <c r="K132" s="84">
        <v>0</v>
      </c>
      <c r="L132" s="84">
        <v>0</v>
      </c>
      <c r="M132" s="84">
        <v>0</v>
      </c>
      <c r="N132" s="84">
        <v>15</v>
      </c>
      <c r="O132" s="84">
        <v>84</v>
      </c>
      <c r="P132" s="84">
        <v>74</v>
      </c>
      <c r="Q132" s="84">
        <v>371</v>
      </c>
      <c r="R132" s="84">
        <v>195</v>
      </c>
      <c r="S132" s="84">
        <v>349</v>
      </c>
      <c r="T132" s="84">
        <v>2021</v>
      </c>
      <c r="U132" s="84">
        <v>1674</v>
      </c>
      <c r="V132" s="84">
        <v>1432</v>
      </c>
      <c r="W132" s="84">
        <v>713</v>
      </c>
      <c r="X132" s="84">
        <v>100</v>
      </c>
      <c r="Y132" s="84">
        <v>59</v>
      </c>
      <c r="DA132" s="171" t="s">
        <v>547</v>
      </c>
    </row>
    <row r="133" spans="1:105" ht="11.45" customHeight="1" x14ac:dyDescent="0.25">
      <c r="A133" s="111" t="s">
        <v>115</v>
      </c>
      <c r="B133" s="84">
        <v>0</v>
      </c>
      <c r="C133" s="84">
        <v>0</v>
      </c>
      <c r="D133" s="84">
        <v>0</v>
      </c>
      <c r="E133" s="84">
        <v>0</v>
      </c>
      <c r="F133" s="84">
        <v>0</v>
      </c>
      <c r="G133" s="84">
        <v>0</v>
      </c>
      <c r="H133" s="84">
        <v>0</v>
      </c>
      <c r="I133" s="84">
        <v>0</v>
      </c>
      <c r="J133" s="84">
        <v>0</v>
      </c>
      <c r="K133" s="84">
        <v>0</v>
      </c>
      <c r="L133" s="84">
        <v>0</v>
      </c>
      <c r="M133" s="84">
        <v>24</v>
      </c>
      <c r="N133" s="84">
        <v>221</v>
      </c>
      <c r="O133" s="84">
        <v>115</v>
      </c>
      <c r="P133" s="84">
        <v>1208</v>
      </c>
      <c r="Q133" s="84">
        <v>610</v>
      </c>
      <c r="R133" s="84">
        <v>716</v>
      </c>
      <c r="S133" s="84">
        <v>878</v>
      </c>
      <c r="T133" s="84">
        <v>1817</v>
      </c>
      <c r="U133" s="84">
        <v>1568</v>
      </c>
      <c r="V133" s="84">
        <v>1783</v>
      </c>
      <c r="W133" s="84">
        <v>2609</v>
      </c>
      <c r="X133" s="84">
        <v>3445</v>
      </c>
      <c r="Y133" s="84">
        <v>8056</v>
      </c>
      <c r="DA133" s="171" t="s">
        <v>548</v>
      </c>
    </row>
    <row r="134" spans="1:105" ht="11.45" customHeight="1" x14ac:dyDescent="0.25">
      <c r="A134" s="109" t="s">
        <v>154</v>
      </c>
      <c r="B134" s="110">
        <f t="shared" ref="B134:K134" si="191">SUM(B135:B136)</f>
        <v>2641</v>
      </c>
      <c r="C134" s="110">
        <f t="shared" si="191"/>
        <v>49962</v>
      </c>
      <c r="D134" s="110">
        <f t="shared" si="191"/>
        <v>47229</v>
      </c>
      <c r="E134" s="110">
        <f t="shared" si="191"/>
        <v>56068</v>
      </c>
      <c r="F134" s="110">
        <f t="shared" si="191"/>
        <v>54160</v>
      </c>
      <c r="G134" s="110">
        <f t="shared" si="191"/>
        <v>54748</v>
      </c>
      <c r="H134" s="110">
        <f t="shared" si="191"/>
        <v>58954</v>
      </c>
      <c r="I134" s="110">
        <f t="shared" si="191"/>
        <v>68223</v>
      </c>
      <c r="J134" s="110">
        <f t="shared" si="191"/>
        <v>46254</v>
      </c>
      <c r="K134" s="110">
        <f t="shared" si="191"/>
        <v>30750</v>
      </c>
      <c r="L134" s="110">
        <f t="shared" ref="L134" si="192">SUM(L135:L136)</f>
        <v>34463</v>
      </c>
      <c r="M134" s="110">
        <f t="shared" ref="M134:V134" si="193">SUM(M135:M136)</f>
        <v>37940</v>
      </c>
      <c r="N134" s="110">
        <f t="shared" si="193"/>
        <v>30218</v>
      </c>
      <c r="O134" s="110">
        <f t="shared" si="193"/>
        <v>11664</v>
      </c>
      <c r="P134" s="110">
        <f t="shared" si="193"/>
        <v>7341</v>
      </c>
      <c r="Q134" s="110">
        <f t="shared" si="193"/>
        <v>14037</v>
      </c>
      <c r="R134" s="110">
        <f t="shared" si="193"/>
        <v>56270</v>
      </c>
      <c r="S134" s="110">
        <f t="shared" si="193"/>
        <v>61295</v>
      </c>
      <c r="T134" s="110">
        <f t="shared" si="193"/>
        <v>60365</v>
      </c>
      <c r="U134" s="110">
        <f t="shared" si="193"/>
        <v>56324</v>
      </c>
      <c r="V134" s="110">
        <f t="shared" si="193"/>
        <v>36692</v>
      </c>
      <c r="W134" s="110">
        <f t="shared" ref="W134:Y134" si="194">SUM(W135:W136)</f>
        <v>42611</v>
      </c>
      <c r="X134" s="110">
        <f t="shared" si="194"/>
        <v>54151</v>
      </c>
      <c r="Y134" s="110">
        <f t="shared" si="194"/>
        <v>54425</v>
      </c>
      <c r="DA134" s="176" t="s">
        <v>549</v>
      </c>
    </row>
    <row r="135" spans="1:105" ht="11.45" customHeight="1" x14ac:dyDescent="0.25">
      <c r="A135" s="128" t="s">
        <v>27</v>
      </c>
      <c r="B135" s="102">
        <v>0</v>
      </c>
      <c r="C135" s="102">
        <v>46903</v>
      </c>
      <c r="D135" s="102">
        <v>44352</v>
      </c>
      <c r="E135" s="102">
        <v>53755</v>
      </c>
      <c r="F135" s="102">
        <v>46711</v>
      </c>
      <c r="G135" s="102">
        <v>51315</v>
      </c>
      <c r="H135" s="102">
        <v>55745</v>
      </c>
      <c r="I135" s="102">
        <v>64693</v>
      </c>
      <c r="J135" s="102">
        <v>46254</v>
      </c>
      <c r="K135" s="102">
        <v>30517</v>
      </c>
      <c r="L135" s="102">
        <v>32588</v>
      </c>
      <c r="M135" s="102">
        <v>35324</v>
      </c>
      <c r="N135" s="102">
        <v>28040</v>
      </c>
      <c r="O135" s="102">
        <v>6481</v>
      </c>
      <c r="P135" s="102">
        <v>4690</v>
      </c>
      <c r="Q135" s="102">
        <v>9430</v>
      </c>
      <c r="R135" s="102">
        <v>52468</v>
      </c>
      <c r="S135" s="102">
        <v>57318</v>
      </c>
      <c r="T135" s="102">
        <v>56267</v>
      </c>
      <c r="U135" s="102">
        <v>51765</v>
      </c>
      <c r="V135" s="102">
        <v>35675</v>
      </c>
      <c r="W135" s="102">
        <v>36018</v>
      </c>
      <c r="X135" s="102">
        <v>49678</v>
      </c>
      <c r="Y135" s="102">
        <v>53497</v>
      </c>
      <c r="DA135" s="175" t="s">
        <v>550</v>
      </c>
    </row>
    <row r="136" spans="1:105" ht="11.45" customHeight="1" x14ac:dyDescent="0.25">
      <c r="A136" s="138" t="s">
        <v>116</v>
      </c>
      <c r="B136" s="86">
        <v>2641</v>
      </c>
      <c r="C136" s="86">
        <v>3059</v>
      </c>
      <c r="D136" s="86">
        <v>2877</v>
      </c>
      <c r="E136" s="86">
        <v>2313</v>
      </c>
      <c r="F136" s="86">
        <v>7449</v>
      </c>
      <c r="G136" s="86">
        <v>3433</v>
      </c>
      <c r="H136" s="86">
        <v>3209</v>
      </c>
      <c r="I136" s="86">
        <v>3530</v>
      </c>
      <c r="J136" s="86">
        <v>0</v>
      </c>
      <c r="K136" s="86">
        <v>233</v>
      </c>
      <c r="L136" s="86">
        <v>1875</v>
      </c>
      <c r="M136" s="86">
        <v>2616</v>
      </c>
      <c r="N136" s="86">
        <v>2178</v>
      </c>
      <c r="O136" s="86">
        <v>5183</v>
      </c>
      <c r="P136" s="86">
        <v>2651</v>
      </c>
      <c r="Q136" s="86">
        <v>4607</v>
      </c>
      <c r="R136" s="86">
        <v>3802</v>
      </c>
      <c r="S136" s="86">
        <v>3977</v>
      </c>
      <c r="T136" s="86">
        <v>4098</v>
      </c>
      <c r="U136" s="86">
        <v>4559</v>
      </c>
      <c r="V136" s="86">
        <v>1017</v>
      </c>
      <c r="W136" s="86">
        <v>6593</v>
      </c>
      <c r="X136" s="86">
        <v>4473</v>
      </c>
      <c r="Y136" s="86">
        <v>928</v>
      </c>
      <c r="DA136" s="178" t="s">
        <v>551</v>
      </c>
    </row>
    <row r="137" spans="1:105" ht="11.45" customHeight="1" x14ac:dyDescent="0.25">
      <c r="A137" s="106"/>
      <c r="B137" s="106"/>
      <c r="C137" s="106"/>
      <c r="D137" s="106"/>
      <c r="E137" s="106"/>
      <c r="F137" s="106"/>
      <c r="G137" s="106"/>
      <c r="H137" s="106"/>
      <c r="I137" s="106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  <c r="T137" s="106"/>
      <c r="U137" s="106"/>
      <c r="V137" s="106"/>
      <c r="W137" s="106"/>
      <c r="X137" s="106"/>
      <c r="Y137" s="106"/>
      <c r="DA137" s="171"/>
    </row>
    <row r="138" spans="1:105" ht="11.45" customHeight="1" x14ac:dyDescent="0.25">
      <c r="A138" s="143" t="s">
        <v>36</v>
      </c>
      <c r="B138" s="144"/>
      <c r="C138" s="144"/>
      <c r="D138" s="144"/>
      <c r="E138" s="144"/>
      <c r="F138" s="144"/>
      <c r="G138" s="144"/>
      <c r="H138" s="144"/>
      <c r="I138" s="144"/>
      <c r="J138" s="144"/>
      <c r="K138" s="144"/>
      <c r="L138" s="144"/>
      <c r="M138" s="144"/>
      <c r="N138" s="144"/>
      <c r="O138" s="144"/>
      <c r="P138" s="144"/>
      <c r="Q138" s="144"/>
      <c r="R138" s="144"/>
      <c r="S138" s="144"/>
      <c r="T138" s="144"/>
      <c r="U138" s="144"/>
      <c r="V138" s="144"/>
      <c r="W138" s="144"/>
      <c r="X138" s="144"/>
      <c r="Y138" s="144"/>
      <c r="DA138" s="179"/>
    </row>
    <row r="139" spans="1:105" ht="11.45" customHeight="1" x14ac:dyDescent="0.25">
      <c r="A139" s="106"/>
      <c r="B139" s="106"/>
      <c r="C139" s="106"/>
      <c r="D139" s="106"/>
      <c r="E139" s="106"/>
      <c r="F139" s="106"/>
      <c r="G139" s="106"/>
      <c r="H139" s="106"/>
      <c r="I139" s="106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106"/>
      <c r="U139" s="106"/>
      <c r="V139" s="106"/>
      <c r="W139" s="106"/>
      <c r="X139" s="106"/>
      <c r="Y139" s="106"/>
      <c r="DA139" s="171"/>
    </row>
    <row r="140" spans="1:105" ht="11.45" customHeight="1" x14ac:dyDescent="0.25">
      <c r="A140" s="53" t="s">
        <v>99</v>
      </c>
      <c r="B140" s="79"/>
      <c r="C140" s="79"/>
      <c r="D140" s="79"/>
      <c r="E140" s="79"/>
      <c r="F140" s="79"/>
      <c r="G140" s="79"/>
      <c r="H140" s="79"/>
      <c r="I140" s="79"/>
      <c r="J140" s="79"/>
      <c r="K140" s="79"/>
      <c r="L140" s="79"/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79"/>
      <c r="X140" s="79"/>
      <c r="Y140" s="79"/>
      <c r="DA140" s="172"/>
    </row>
    <row r="141" spans="1:105" ht="11.45" customHeight="1" x14ac:dyDescent="0.25">
      <c r="A141" s="27" t="s">
        <v>100</v>
      </c>
      <c r="B141" s="32">
        <f t="shared" ref="B141:K141" si="195">IF(B4=0,0,B4/B31)</f>
        <v>1.9565570884531791</v>
      </c>
      <c r="C141" s="32">
        <f t="shared" si="195"/>
        <v>1.8766589720429931</v>
      </c>
      <c r="D141" s="32">
        <f t="shared" si="195"/>
        <v>1.7993660913156142</v>
      </c>
      <c r="E141" s="32">
        <f t="shared" si="195"/>
        <v>1.7498686259612057</v>
      </c>
      <c r="F141" s="32">
        <f t="shared" si="195"/>
        <v>1.6902959290475688</v>
      </c>
      <c r="G141" s="32">
        <f t="shared" si="195"/>
        <v>1.8423111026577812</v>
      </c>
      <c r="H141" s="32">
        <f t="shared" si="195"/>
        <v>1.7488359537856069</v>
      </c>
      <c r="I141" s="32">
        <f t="shared" si="195"/>
        <v>1.7622028521404591</v>
      </c>
      <c r="J141" s="32">
        <f t="shared" si="195"/>
        <v>1.756621872018143</v>
      </c>
      <c r="K141" s="32">
        <f t="shared" si="195"/>
        <v>1.735729500934597</v>
      </c>
      <c r="L141" s="32">
        <f t="shared" ref="L141" si="196">IF(L4=0,0,L4/L31)</f>
        <v>1.6913914240474279</v>
      </c>
      <c r="M141" s="32">
        <f t="shared" ref="M141:V141" si="197">IF(M4=0,0,M4/M31)</f>
        <v>1.7246208453973184</v>
      </c>
      <c r="N141" s="32">
        <f t="shared" si="197"/>
        <v>1.7281370159998417</v>
      </c>
      <c r="O141" s="32">
        <f t="shared" si="197"/>
        <v>1.716563577970823</v>
      </c>
      <c r="P141" s="32">
        <f t="shared" si="197"/>
        <v>1.5448108917717522</v>
      </c>
      <c r="Q141" s="32">
        <f t="shared" si="197"/>
        <v>1.5660404382723365</v>
      </c>
      <c r="R141" s="32">
        <f t="shared" si="197"/>
        <v>1.6999119717284685</v>
      </c>
      <c r="S141" s="32">
        <f t="shared" si="197"/>
        <v>1.4787678343680115</v>
      </c>
      <c r="T141" s="32">
        <f t="shared" si="197"/>
        <v>1.4908836826230432</v>
      </c>
      <c r="U141" s="32">
        <f t="shared" si="197"/>
        <v>1.3946615530832247</v>
      </c>
      <c r="V141" s="32">
        <f t="shared" si="197"/>
        <v>1.2723655203037956</v>
      </c>
      <c r="W141" s="32">
        <f t="shared" ref="W141:Y141" si="198">IF(W4=0,0,W4/W31)</f>
        <v>1.3247778897832101</v>
      </c>
      <c r="X141" s="32">
        <f t="shared" si="198"/>
        <v>1.3974583542677816</v>
      </c>
      <c r="Y141" s="32">
        <f t="shared" si="198"/>
        <v>1.4000512367378508</v>
      </c>
      <c r="DA141" s="173" t="s">
        <v>552</v>
      </c>
    </row>
    <row r="142" spans="1:105" ht="11.45" customHeight="1" x14ac:dyDescent="0.25">
      <c r="A142" s="136" t="s">
        <v>173</v>
      </c>
      <c r="B142" s="141">
        <v>1.2106660164615324</v>
      </c>
      <c r="C142" s="141">
        <v>1.210512348351086</v>
      </c>
      <c r="D142" s="141">
        <v>1.2103539126071361</v>
      </c>
      <c r="E142" s="141">
        <v>1.2192238876906563</v>
      </c>
      <c r="F142" s="141">
        <v>1.2048596544618244</v>
      </c>
      <c r="G142" s="141">
        <v>1.2148685018360643</v>
      </c>
      <c r="H142" s="141">
        <v>1.2043516185676639</v>
      </c>
      <c r="I142" s="141">
        <v>1.2159724091679065</v>
      </c>
      <c r="J142" s="141">
        <v>1.2057412474979425</v>
      </c>
      <c r="K142" s="141">
        <v>1.2103441662782586</v>
      </c>
      <c r="L142" s="141">
        <v>1.2015398967538082</v>
      </c>
      <c r="M142" s="141">
        <v>1.2165143301047716</v>
      </c>
      <c r="N142" s="141">
        <v>1.210915333467202</v>
      </c>
      <c r="O142" s="141">
        <v>1.2067876212366204</v>
      </c>
      <c r="P142" s="141">
        <v>1.1952249208910177</v>
      </c>
      <c r="Q142" s="141">
        <v>1.1815905965819617</v>
      </c>
      <c r="R142" s="141">
        <v>1.181840188213513</v>
      </c>
      <c r="S142" s="141">
        <v>1.1811462833015716</v>
      </c>
      <c r="T142" s="141">
        <v>1.1805728822787871</v>
      </c>
      <c r="U142" s="141">
        <v>1.1815485114423601</v>
      </c>
      <c r="V142" s="141">
        <v>1.1799639309983214</v>
      </c>
      <c r="W142" s="141">
        <v>1.1807431510473183</v>
      </c>
      <c r="X142" s="141">
        <v>1.1807122382846085</v>
      </c>
      <c r="Y142" s="141">
        <v>1.1820946570991144</v>
      </c>
      <c r="DA142" s="174" t="s">
        <v>553</v>
      </c>
    </row>
    <row r="143" spans="1:105" ht="11.45" customHeight="1" x14ac:dyDescent="0.25">
      <c r="A143" s="109" t="s">
        <v>20</v>
      </c>
      <c r="B143" s="130">
        <f t="shared" ref="B143:K143" si="199">IF(B6=0,0,B6/B33)</f>
        <v>1.7287757643279666</v>
      </c>
      <c r="C143" s="130">
        <f t="shared" si="199"/>
        <v>1.6528445619248719</v>
      </c>
      <c r="D143" s="130">
        <f t="shared" si="199"/>
        <v>1.5906453680698476</v>
      </c>
      <c r="E143" s="130">
        <f t="shared" si="199"/>
        <v>1.5544752512496314</v>
      </c>
      <c r="F143" s="130">
        <f t="shared" si="199"/>
        <v>1.4864600102840773</v>
      </c>
      <c r="G143" s="130">
        <f t="shared" si="199"/>
        <v>1.6626245117270164</v>
      </c>
      <c r="H143" s="130">
        <f t="shared" si="199"/>
        <v>1.5892460983670504</v>
      </c>
      <c r="I143" s="130">
        <f t="shared" si="199"/>
        <v>1.5748685042744541</v>
      </c>
      <c r="J143" s="130">
        <f t="shared" si="199"/>
        <v>1.564452934864228</v>
      </c>
      <c r="K143" s="130">
        <f t="shared" si="199"/>
        <v>1.5602208630401684</v>
      </c>
      <c r="L143" s="130">
        <f t="shared" ref="L143" si="200">IF(L6=0,0,L6/L33)</f>
        <v>1.5341567628167159</v>
      </c>
      <c r="M143" s="130">
        <f t="shared" ref="M143:V143" si="201">IF(M6=0,0,M6/M33)</f>
        <v>1.5447402268593284</v>
      </c>
      <c r="N143" s="130">
        <f t="shared" si="201"/>
        <v>1.54530618201582</v>
      </c>
      <c r="O143" s="130">
        <f t="shared" si="201"/>
        <v>1.533803430164717</v>
      </c>
      <c r="P143" s="130">
        <f t="shared" si="201"/>
        <v>1.4162651066757532</v>
      </c>
      <c r="Q143" s="130">
        <f t="shared" si="201"/>
        <v>1.4201401090816896</v>
      </c>
      <c r="R143" s="130">
        <f t="shared" si="201"/>
        <v>1.5516651384816182</v>
      </c>
      <c r="S143" s="130">
        <f t="shared" si="201"/>
        <v>1.3869296361836798</v>
      </c>
      <c r="T143" s="130">
        <f t="shared" si="201"/>
        <v>1.3948042978084749</v>
      </c>
      <c r="U143" s="130">
        <f t="shared" si="201"/>
        <v>1.2982978046752125</v>
      </c>
      <c r="V143" s="130">
        <f t="shared" si="201"/>
        <v>1.2029744353846119</v>
      </c>
      <c r="W143" s="130">
        <f t="shared" ref="W143:Y143" si="202">IF(W6=0,0,W6/W33)</f>
        <v>1.2334186553885742</v>
      </c>
      <c r="X143" s="130">
        <f t="shared" si="202"/>
        <v>1.2873381722603099</v>
      </c>
      <c r="Y143" s="130">
        <f t="shared" si="202"/>
        <v>1.2810598883711311</v>
      </c>
      <c r="DA143" s="176" t="s">
        <v>554</v>
      </c>
    </row>
    <row r="144" spans="1:105" ht="11.45" customHeight="1" x14ac:dyDescent="0.25">
      <c r="A144" s="111" t="s">
        <v>110</v>
      </c>
      <c r="B144" s="96">
        <v>1.6910821217008785</v>
      </c>
      <c r="C144" s="96">
        <v>1.614514779964026</v>
      </c>
      <c r="D144" s="96">
        <v>1.5516849961897066</v>
      </c>
      <c r="E144" s="96">
        <v>1.5139890556899591</v>
      </c>
      <c r="F144" s="96">
        <v>1.4456488881023462</v>
      </c>
      <c r="G144" s="96">
        <v>1.6148062460718207</v>
      </c>
      <c r="H144" s="96">
        <v>1.5416051199204719</v>
      </c>
      <c r="I144" s="96">
        <v>1.5261350689712685</v>
      </c>
      <c r="J144" s="96">
        <v>1.5151240110350077</v>
      </c>
      <c r="K144" s="96">
        <v>1.5101433303174003</v>
      </c>
      <c r="L144" s="96">
        <v>1.4842100542027645</v>
      </c>
      <c r="M144" s="96">
        <v>1.4939363104255818</v>
      </c>
      <c r="N144" s="96">
        <v>1.4940870196459175</v>
      </c>
      <c r="O144" s="96">
        <v>1.4824121738370546</v>
      </c>
      <c r="P144" s="96">
        <v>1.3683059312951775</v>
      </c>
      <c r="Q144" s="96">
        <v>1.3717364701459027</v>
      </c>
      <c r="R144" s="96">
        <v>1.498890531899058</v>
      </c>
      <c r="S144" s="96">
        <v>1.3389106750865014</v>
      </c>
      <c r="T144" s="96">
        <v>1.3468488554890337</v>
      </c>
      <c r="U144" s="96">
        <v>1.2540667484716033</v>
      </c>
      <c r="V144" s="96">
        <v>1.1605511872919951</v>
      </c>
      <c r="W144" s="96">
        <v>1.190863950613285</v>
      </c>
      <c r="X144" s="96">
        <v>1.2444880531760656</v>
      </c>
      <c r="Y144" s="96">
        <v>1.2395015508896854</v>
      </c>
      <c r="DA144" s="171" t="s">
        <v>555</v>
      </c>
    </row>
    <row r="145" spans="1:105" ht="11.45" customHeight="1" x14ac:dyDescent="0.25">
      <c r="A145" s="111" t="s">
        <v>111</v>
      </c>
      <c r="B145" s="96">
        <v>1.7686537591465805</v>
      </c>
      <c r="C145" s="96">
        <v>1.6885741964494498</v>
      </c>
      <c r="D145" s="96">
        <v>1.6228623473128441</v>
      </c>
      <c r="E145" s="96">
        <v>1.5834372561159802</v>
      </c>
      <c r="F145" s="96">
        <v>1.5119622563194191</v>
      </c>
      <c r="G145" s="96">
        <v>1.6888790324007017</v>
      </c>
      <c r="H145" s="96">
        <v>1.6123200969829883</v>
      </c>
      <c r="I145" s="96">
        <v>1.5961404192403266</v>
      </c>
      <c r="J145" s="96">
        <v>1.5846242730039977</v>
      </c>
      <c r="K145" s="96">
        <v>1.5794151234533857</v>
      </c>
      <c r="L145" s="96">
        <v>1.5522922618853132</v>
      </c>
      <c r="M145" s="96">
        <v>1.5624646712616279</v>
      </c>
      <c r="N145" s="96">
        <v>1.5626222936654508</v>
      </c>
      <c r="O145" s="96">
        <v>1.5504119109393104</v>
      </c>
      <c r="P145" s="96">
        <v>1.4310715003087493</v>
      </c>
      <c r="Q145" s="96">
        <v>1.4346594014262486</v>
      </c>
      <c r="R145" s="96">
        <v>1.5676461478559727</v>
      </c>
      <c r="S145" s="96">
        <v>1.4003278541384139</v>
      </c>
      <c r="T145" s="96">
        <v>1.4086301668585091</v>
      </c>
      <c r="U145" s="96">
        <v>1.3115920512920876</v>
      </c>
      <c r="V145" s="96">
        <v>1.213786837283521</v>
      </c>
      <c r="W145" s="96">
        <v>1.2454900775403548</v>
      </c>
      <c r="X145" s="96">
        <v>1.3015739716111716</v>
      </c>
      <c r="Y145" s="96">
        <v>1.2963587334505733</v>
      </c>
      <c r="DA145" s="171" t="s">
        <v>556</v>
      </c>
    </row>
    <row r="146" spans="1:105" ht="11.45" customHeight="1" x14ac:dyDescent="0.25">
      <c r="A146" s="111" t="s">
        <v>112</v>
      </c>
      <c r="B146" s="96">
        <v>1.6769124913981279</v>
      </c>
      <c r="C146" s="96">
        <v>1.6032592250671263</v>
      </c>
      <c r="D146" s="96">
        <v>1.5429260070277522</v>
      </c>
      <c r="E146" s="96">
        <v>1.5078409937121426</v>
      </c>
      <c r="F146" s="96">
        <v>1.4418662099755548</v>
      </c>
      <c r="G146" s="96">
        <v>1.6127457763752058</v>
      </c>
      <c r="H146" s="96">
        <v>1.5415687154160389</v>
      </c>
      <c r="I146" s="96">
        <v>1.5276224491462205</v>
      </c>
      <c r="J146" s="96">
        <v>1.5175193468183013</v>
      </c>
      <c r="K146" s="96">
        <v>1.5134142371489632</v>
      </c>
      <c r="L146" s="96">
        <v>1.4881320599322141</v>
      </c>
      <c r="M146" s="96">
        <v>1.4983980200535485</v>
      </c>
      <c r="N146" s="96">
        <v>1.4989469965553457</v>
      </c>
      <c r="O146" s="96">
        <v>1.4877893272597755</v>
      </c>
      <c r="P146" s="96">
        <v>1.3737771534754808</v>
      </c>
      <c r="Q146" s="96">
        <v>1.3775359058092389</v>
      </c>
      <c r="R146" s="96">
        <v>1.5051151843271693</v>
      </c>
      <c r="S146" s="96">
        <v>1.3453217470981695</v>
      </c>
      <c r="T146" s="96">
        <v>1.3529601688742208</v>
      </c>
      <c r="U146" s="96">
        <v>1.2593488705349558</v>
      </c>
      <c r="V146" s="96">
        <v>1.1668852023230736</v>
      </c>
      <c r="W146" s="96">
        <v>1.1964160957269174</v>
      </c>
      <c r="X146" s="96">
        <v>1.2487180270925005</v>
      </c>
      <c r="Y146" s="96">
        <v>1.242628091719997</v>
      </c>
      <c r="DA146" s="171" t="s">
        <v>557</v>
      </c>
    </row>
    <row r="147" spans="1:105" ht="11.45" customHeight="1" x14ac:dyDescent="0.25">
      <c r="A147" s="111" t="s">
        <v>113</v>
      </c>
      <c r="B147" s="96">
        <v>0</v>
      </c>
      <c r="C147" s="96">
        <v>0</v>
      </c>
      <c r="D147" s="96">
        <v>0</v>
      </c>
      <c r="E147" s="96">
        <v>0</v>
      </c>
      <c r="F147" s="96">
        <v>1.4418662099755548</v>
      </c>
      <c r="G147" s="96">
        <v>1.6127457763752058</v>
      </c>
      <c r="H147" s="96">
        <v>1.5415687154160389</v>
      </c>
      <c r="I147" s="96">
        <v>1.5276224491462205</v>
      </c>
      <c r="J147" s="96">
        <v>1.5175193468183013</v>
      </c>
      <c r="K147" s="96">
        <v>1.5134142371489632</v>
      </c>
      <c r="L147" s="96">
        <v>1.4881320599322141</v>
      </c>
      <c r="M147" s="96">
        <v>1.4983980200535485</v>
      </c>
      <c r="N147" s="96">
        <v>1.4989469965553457</v>
      </c>
      <c r="O147" s="96">
        <v>1.4877893272597755</v>
      </c>
      <c r="P147" s="96">
        <v>1.3737771534754808</v>
      </c>
      <c r="Q147" s="96">
        <v>1.3775359058092389</v>
      </c>
      <c r="R147" s="96">
        <v>1.5051151843271693</v>
      </c>
      <c r="S147" s="96">
        <v>1.3453217470981695</v>
      </c>
      <c r="T147" s="96">
        <v>1.352960168874221</v>
      </c>
      <c r="U147" s="96">
        <v>1.2593488705349558</v>
      </c>
      <c r="V147" s="96">
        <v>1.1668852023230736</v>
      </c>
      <c r="W147" s="96">
        <v>1.1964160957269174</v>
      </c>
      <c r="X147" s="96">
        <v>1.2487180270925005</v>
      </c>
      <c r="Y147" s="96">
        <v>1.242628091719997</v>
      </c>
      <c r="DA147" s="171" t="s">
        <v>558</v>
      </c>
    </row>
    <row r="148" spans="1:105" ht="11.45" customHeight="1" x14ac:dyDescent="0.25">
      <c r="A148" s="111" t="s">
        <v>114</v>
      </c>
      <c r="B148" s="96">
        <v>0</v>
      </c>
      <c r="C148" s="96">
        <v>0</v>
      </c>
      <c r="D148" s="96">
        <v>0</v>
      </c>
      <c r="E148" s="96">
        <v>0</v>
      </c>
      <c r="F148" s="96">
        <v>0</v>
      </c>
      <c r="G148" s="96">
        <v>0</v>
      </c>
      <c r="H148" s="96">
        <v>0</v>
      </c>
      <c r="I148" s="96">
        <v>0</v>
      </c>
      <c r="J148" s="96">
        <v>0</v>
      </c>
      <c r="K148" s="96">
        <v>0</v>
      </c>
      <c r="L148" s="96">
        <v>0</v>
      </c>
      <c r="M148" s="96">
        <v>1.4983980200535485</v>
      </c>
      <c r="N148" s="96">
        <v>1.4989469965553457</v>
      </c>
      <c r="O148" s="96">
        <v>1.4877893272597753</v>
      </c>
      <c r="P148" s="96">
        <v>1.3737771534754808</v>
      </c>
      <c r="Q148" s="96">
        <v>1.3775359058092387</v>
      </c>
      <c r="R148" s="96">
        <v>1.5051151843271693</v>
      </c>
      <c r="S148" s="96">
        <v>1.3453217470981695</v>
      </c>
      <c r="T148" s="96">
        <v>1.3529601688742205</v>
      </c>
      <c r="U148" s="96">
        <v>1.2593488705349558</v>
      </c>
      <c r="V148" s="96">
        <v>1.1668852023230736</v>
      </c>
      <c r="W148" s="96">
        <v>1.1964160957269174</v>
      </c>
      <c r="X148" s="96">
        <v>1.2487180270925005</v>
      </c>
      <c r="Y148" s="96">
        <v>1.242628091719997</v>
      </c>
      <c r="DA148" s="171" t="s">
        <v>559</v>
      </c>
    </row>
    <row r="149" spans="1:105" ht="11.45" customHeight="1" x14ac:dyDescent="0.25">
      <c r="A149" s="111" t="s">
        <v>115</v>
      </c>
      <c r="B149" s="96">
        <v>0</v>
      </c>
      <c r="C149" s="96">
        <v>0</v>
      </c>
      <c r="D149" s="96">
        <v>0</v>
      </c>
      <c r="E149" s="96">
        <v>0</v>
      </c>
      <c r="F149" s="96">
        <v>0</v>
      </c>
      <c r="G149" s="96">
        <v>0</v>
      </c>
      <c r="H149" s="96">
        <v>0</v>
      </c>
      <c r="I149" s="96">
        <v>0</v>
      </c>
      <c r="J149" s="96">
        <v>0</v>
      </c>
      <c r="K149" s="96">
        <v>1.5038297386161112</v>
      </c>
      <c r="L149" s="96">
        <v>1.4787076741989469</v>
      </c>
      <c r="M149" s="96">
        <v>1.4889086196816543</v>
      </c>
      <c r="N149" s="96">
        <v>1.4894541194985185</v>
      </c>
      <c r="O149" s="96">
        <v>1.4783671120629784</v>
      </c>
      <c r="P149" s="96">
        <v>1.3650769808533734</v>
      </c>
      <c r="Q149" s="96">
        <v>1.3688119288939353</v>
      </c>
      <c r="R149" s="96">
        <v>1.4955832439490131</v>
      </c>
      <c r="S149" s="96">
        <v>1.3368017834327248</v>
      </c>
      <c r="T149" s="96">
        <v>1.3443918308506468</v>
      </c>
      <c r="U149" s="96">
        <v>1.2513733757195185</v>
      </c>
      <c r="V149" s="96">
        <v>1.1594952827391658</v>
      </c>
      <c r="W149" s="96">
        <v>1.1888391560941987</v>
      </c>
      <c r="X149" s="96">
        <v>1.2408098577328941</v>
      </c>
      <c r="Y149" s="96">
        <v>1.2347584901068873</v>
      </c>
      <c r="DA149" s="171" t="s">
        <v>560</v>
      </c>
    </row>
    <row r="150" spans="1:105" ht="11.45" customHeight="1" x14ac:dyDescent="0.25">
      <c r="A150" s="109" t="s">
        <v>21</v>
      </c>
      <c r="B150" s="130">
        <f t="shared" ref="B150:K150" si="203">IF(B13=0,0,B13/B40)</f>
        <v>25.556425931209294</v>
      </c>
      <c r="C150" s="130">
        <f t="shared" si="203"/>
        <v>25.637420453425577</v>
      </c>
      <c r="D150" s="130">
        <f t="shared" si="203"/>
        <v>24.985193365655565</v>
      </c>
      <c r="E150" s="130">
        <f t="shared" si="203"/>
        <v>24.423661061383449</v>
      </c>
      <c r="F150" s="130">
        <f t="shared" si="203"/>
        <v>25.515268526900353</v>
      </c>
      <c r="G150" s="130">
        <f t="shared" si="203"/>
        <v>25.399900044235192</v>
      </c>
      <c r="H150" s="130">
        <f t="shared" si="203"/>
        <v>22.455760486603946</v>
      </c>
      <c r="I150" s="130">
        <f t="shared" si="203"/>
        <v>26.059825995180173</v>
      </c>
      <c r="J150" s="130">
        <f t="shared" si="203"/>
        <v>26.87156290480506</v>
      </c>
      <c r="K150" s="130">
        <f t="shared" si="203"/>
        <v>25.499776486365668</v>
      </c>
      <c r="L150" s="130">
        <f t="shared" ref="L150" si="204">IF(L13=0,0,L13/L40)</f>
        <v>23.200546946216956</v>
      </c>
      <c r="M150" s="130">
        <f t="shared" ref="M150:V150" si="205">IF(M13=0,0,M13/M40)</f>
        <v>25.556026362188053</v>
      </c>
      <c r="N150" s="130">
        <f t="shared" si="205"/>
        <v>25.500835761680705</v>
      </c>
      <c r="O150" s="130">
        <f t="shared" si="205"/>
        <v>26.790661575003295</v>
      </c>
      <c r="P150" s="130">
        <f t="shared" si="205"/>
        <v>20.066682900495607</v>
      </c>
      <c r="Q150" s="130">
        <f t="shared" si="205"/>
        <v>22.930795847750865</v>
      </c>
      <c r="R150" s="130">
        <f t="shared" si="205"/>
        <v>23.551775147929</v>
      </c>
      <c r="S150" s="130">
        <f t="shared" si="205"/>
        <v>23.614551083591337</v>
      </c>
      <c r="T150" s="130">
        <f t="shared" si="205"/>
        <v>24.128935532233886</v>
      </c>
      <c r="U150" s="130">
        <f t="shared" si="205"/>
        <v>24.287801314828343</v>
      </c>
      <c r="V150" s="130">
        <f t="shared" si="205"/>
        <v>20.96996472694401</v>
      </c>
      <c r="W150" s="130">
        <f t="shared" ref="W150:Y150" si="206">IF(W13=0,0,W13/W40)</f>
        <v>25.664464807825553</v>
      </c>
      <c r="X150" s="130">
        <f t="shared" si="206"/>
        <v>28.520901920424308</v>
      </c>
      <c r="Y150" s="130">
        <f t="shared" si="206"/>
        <v>27.850274677833625</v>
      </c>
      <c r="DA150" s="176" t="s">
        <v>561</v>
      </c>
    </row>
    <row r="151" spans="1:105" ht="11.45" customHeight="1" x14ac:dyDescent="0.25">
      <c r="A151" s="111" t="s">
        <v>110</v>
      </c>
      <c r="B151" s="97">
        <v>9.8293945889266521</v>
      </c>
      <c r="C151" s="97">
        <v>9.8605463282406056</v>
      </c>
      <c r="D151" s="97">
        <v>9.6096897560213712</v>
      </c>
      <c r="E151" s="97">
        <v>9.3937157928397905</v>
      </c>
      <c r="F151" s="97">
        <v>9.8135648180385946</v>
      </c>
      <c r="G151" s="97">
        <v>9.769192324705843</v>
      </c>
      <c r="H151" s="97">
        <v>8.6368309563861345</v>
      </c>
      <c r="I151" s="97">
        <v>10.023009998146222</v>
      </c>
      <c r="J151" s="97">
        <v>10.3352165018481</v>
      </c>
      <c r="K151" s="97">
        <v>9.8076063409098726</v>
      </c>
      <c r="L151" s="97">
        <v>8.9232872870065219</v>
      </c>
      <c r="M151" s="97">
        <v>9.8292409085338637</v>
      </c>
      <c r="N151" s="97">
        <v>9.8080137544925794</v>
      </c>
      <c r="O151" s="97">
        <v>10.304100605770499</v>
      </c>
      <c r="P151" s="97">
        <v>7.7179549617290801</v>
      </c>
      <c r="Q151" s="97">
        <v>8.8195368645195646</v>
      </c>
      <c r="R151" s="97">
        <v>9.0583750568957679</v>
      </c>
      <c r="S151" s="97">
        <v>9.0825196475351273</v>
      </c>
      <c r="T151" s="97">
        <v>9.2803598200899557</v>
      </c>
      <c r="U151" s="97">
        <v>9.3414620441647482</v>
      </c>
      <c r="V151" s="97">
        <v>8.065371048824618</v>
      </c>
      <c r="W151" s="97">
        <v>9.8709480030098291</v>
      </c>
      <c r="X151" s="97">
        <v>10.969577661701658</v>
      </c>
      <c r="Y151" s="97">
        <v>10.711644106859085</v>
      </c>
      <c r="DA151" s="175" t="s">
        <v>562</v>
      </c>
    </row>
    <row r="152" spans="1:105" ht="11.45" customHeight="1" x14ac:dyDescent="0.25">
      <c r="A152" s="111" t="s">
        <v>111</v>
      </c>
      <c r="B152" s="97">
        <v>25.714195869532002</v>
      </c>
      <c r="C152" s="97">
        <v>25.795548672467572</v>
      </c>
      <c r="D152" s="97">
        <v>25.144705124862334</v>
      </c>
      <c r="E152" s="97">
        <v>24.579153118638104</v>
      </c>
      <c r="F152" s="97">
        <v>25.673053032245001</v>
      </c>
      <c r="G152" s="97">
        <v>25.540682994558125</v>
      </c>
      <c r="H152" s="97">
        <v>22.57297623873151</v>
      </c>
      <c r="I152" s="97">
        <v>26.209544018644106</v>
      </c>
      <c r="J152" s="97">
        <v>27.012520800237905</v>
      </c>
      <c r="K152" s="97">
        <v>25.622974865295898</v>
      </c>
      <c r="L152" s="97">
        <v>23.306781578053172</v>
      </c>
      <c r="M152" s="97">
        <v>25.668274330570174</v>
      </c>
      <c r="N152" s="97">
        <v>25.606974858341566</v>
      </c>
      <c r="O152" s="97">
        <v>26.901478326398916</v>
      </c>
      <c r="P152" s="97">
        <v>20.146437043368469</v>
      </c>
      <c r="Q152" s="97">
        <v>23.017805014010431</v>
      </c>
      <c r="R152" s="97">
        <v>23.639470567084462</v>
      </c>
      <c r="S152" s="97">
        <v>23.728478258243289</v>
      </c>
      <c r="T152" s="97">
        <v>24.235464248817181</v>
      </c>
      <c r="U152" s="97">
        <v>24.385703235125131</v>
      </c>
      <c r="V152" s="97">
        <v>21.048091495087633</v>
      </c>
      <c r="W152" s="97">
        <v>25.758228824559364</v>
      </c>
      <c r="X152" s="97">
        <v>28.619448330235429</v>
      </c>
      <c r="Y152" s="97">
        <v>27.93927051410391</v>
      </c>
      <c r="DA152" s="175" t="s">
        <v>563</v>
      </c>
    </row>
    <row r="153" spans="1:105" ht="11.45" customHeight="1" x14ac:dyDescent="0.25">
      <c r="A153" s="111" t="s">
        <v>112</v>
      </c>
      <c r="B153" s="97">
        <v>0</v>
      </c>
      <c r="C153" s="97">
        <v>0</v>
      </c>
      <c r="D153" s="97">
        <v>0</v>
      </c>
      <c r="E153" s="97">
        <v>0</v>
      </c>
      <c r="F153" s="97">
        <v>0</v>
      </c>
      <c r="G153" s="97">
        <v>0</v>
      </c>
      <c r="H153" s="97">
        <v>0</v>
      </c>
      <c r="I153" s="97">
        <v>0</v>
      </c>
      <c r="J153" s="97">
        <v>0</v>
      </c>
      <c r="K153" s="97">
        <v>0</v>
      </c>
      <c r="L153" s="97">
        <v>0</v>
      </c>
      <c r="M153" s="97">
        <v>0</v>
      </c>
      <c r="N153" s="97">
        <v>0</v>
      </c>
      <c r="O153" s="97">
        <v>0</v>
      </c>
      <c r="P153" s="97">
        <v>20.146437043368469</v>
      </c>
      <c r="Q153" s="97">
        <v>23.017805014010431</v>
      </c>
      <c r="R153" s="97">
        <v>23.639470567084462</v>
      </c>
      <c r="S153" s="97">
        <v>23.728478258243289</v>
      </c>
      <c r="T153" s="97">
        <v>24.235464248817181</v>
      </c>
      <c r="U153" s="97">
        <v>24.385703235125138</v>
      </c>
      <c r="V153" s="97">
        <v>21.048091495087633</v>
      </c>
      <c r="W153" s="97">
        <v>25.758228824559364</v>
      </c>
      <c r="X153" s="97">
        <v>28.619448330235432</v>
      </c>
      <c r="Y153" s="97">
        <v>27.939270514103907</v>
      </c>
      <c r="DA153" s="175" t="s">
        <v>564</v>
      </c>
    </row>
    <row r="154" spans="1:105" ht="11.45" customHeight="1" x14ac:dyDescent="0.25">
      <c r="A154" s="111" t="s">
        <v>113</v>
      </c>
      <c r="B154" s="97">
        <v>25.714195869531999</v>
      </c>
      <c r="C154" s="97">
        <v>25.795548672467572</v>
      </c>
      <c r="D154" s="97">
        <v>25.144705124862334</v>
      </c>
      <c r="E154" s="97">
        <v>24.579153118638104</v>
      </c>
      <c r="F154" s="97">
        <v>25.673053032244994</v>
      </c>
      <c r="G154" s="97">
        <v>25.540682994558125</v>
      </c>
      <c r="H154" s="97">
        <v>22.57297623873151</v>
      </c>
      <c r="I154" s="97">
        <v>26.209544018644102</v>
      </c>
      <c r="J154" s="97">
        <v>27.012520800237908</v>
      </c>
      <c r="K154" s="97">
        <v>25.622974865295898</v>
      </c>
      <c r="L154" s="97">
        <v>23.306781578053172</v>
      </c>
      <c r="M154" s="97">
        <v>25.668274330570167</v>
      </c>
      <c r="N154" s="97">
        <v>25.606974858341573</v>
      </c>
      <c r="O154" s="97">
        <v>26.901478326398916</v>
      </c>
      <c r="P154" s="97">
        <v>20.146437043368469</v>
      </c>
      <c r="Q154" s="97">
        <v>23.017805014010431</v>
      </c>
      <c r="R154" s="97">
        <v>23.639470567084462</v>
      </c>
      <c r="S154" s="97">
        <v>23.728478258243289</v>
      </c>
      <c r="T154" s="97">
        <v>24.235464248817181</v>
      </c>
      <c r="U154" s="97">
        <v>24.385703235125138</v>
      </c>
      <c r="V154" s="97">
        <v>21.048091495087633</v>
      </c>
      <c r="W154" s="97">
        <v>25.758228824559364</v>
      </c>
      <c r="X154" s="97">
        <v>28.619448330235432</v>
      </c>
      <c r="Y154" s="97">
        <v>27.939270514103907</v>
      </c>
      <c r="DA154" s="175" t="s">
        <v>565</v>
      </c>
    </row>
    <row r="155" spans="1:105" ht="11.45" customHeight="1" x14ac:dyDescent="0.25">
      <c r="A155" s="111" t="s">
        <v>115</v>
      </c>
      <c r="B155" s="97">
        <v>0</v>
      </c>
      <c r="C155" s="97">
        <v>0</v>
      </c>
      <c r="D155" s="97">
        <v>0</v>
      </c>
      <c r="E155" s="97">
        <v>0</v>
      </c>
      <c r="F155" s="97">
        <v>0</v>
      </c>
      <c r="G155" s="97">
        <v>0</v>
      </c>
      <c r="H155" s="97">
        <v>0</v>
      </c>
      <c r="I155" s="97">
        <v>0</v>
      </c>
      <c r="J155" s="97">
        <v>0</v>
      </c>
      <c r="K155" s="97">
        <v>0</v>
      </c>
      <c r="L155" s="97">
        <v>0</v>
      </c>
      <c r="M155" s="97">
        <v>0</v>
      </c>
      <c r="N155" s="97">
        <v>0</v>
      </c>
      <c r="O155" s="97">
        <v>26.901478326398916</v>
      </c>
      <c r="P155" s="97">
        <v>20.146437043368469</v>
      </c>
      <c r="Q155" s="97">
        <v>23.017805014010431</v>
      </c>
      <c r="R155" s="97">
        <v>23.639470567084459</v>
      </c>
      <c r="S155" s="97">
        <v>23.728478258243289</v>
      </c>
      <c r="T155" s="97">
        <v>24.235464248817181</v>
      </c>
      <c r="U155" s="97">
        <v>24.385703235125142</v>
      </c>
      <c r="V155" s="97">
        <v>21.048091495087633</v>
      </c>
      <c r="W155" s="97">
        <v>25.758228824559364</v>
      </c>
      <c r="X155" s="97">
        <v>28.619448330235432</v>
      </c>
      <c r="Y155" s="97">
        <v>27.939270514103903</v>
      </c>
      <c r="DA155" s="175" t="s">
        <v>566</v>
      </c>
    </row>
    <row r="156" spans="1:105" ht="11.45" customHeight="1" x14ac:dyDescent="0.25">
      <c r="A156" s="27" t="s">
        <v>101</v>
      </c>
      <c r="B156" s="32">
        <f t="shared" ref="B156:K156" si="207">IF(B19=0,0,B19/B46)</f>
        <v>4.2887008486801079</v>
      </c>
      <c r="C156" s="32">
        <f t="shared" si="207"/>
        <v>3.8990805409572764</v>
      </c>
      <c r="D156" s="32">
        <f t="shared" si="207"/>
        <v>4.3658943638911012</v>
      </c>
      <c r="E156" s="32">
        <f t="shared" si="207"/>
        <v>4.2739381861240791</v>
      </c>
      <c r="F156" s="32">
        <f t="shared" si="207"/>
        <v>4.4346839069449056</v>
      </c>
      <c r="G156" s="32">
        <f t="shared" si="207"/>
        <v>4.7693161104494983</v>
      </c>
      <c r="H156" s="32">
        <f t="shared" si="207"/>
        <v>4.7085165090198489</v>
      </c>
      <c r="I156" s="32">
        <f t="shared" si="207"/>
        <v>4.5173104028563342</v>
      </c>
      <c r="J156" s="32">
        <f t="shared" si="207"/>
        <v>4.4965443482067178</v>
      </c>
      <c r="K156" s="32">
        <f t="shared" si="207"/>
        <v>4.4325250943309635</v>
      </c>
      <c r="L156" s="32">
        <f t="shared" ref="L156" si="208">IF(L19=0,0,L19/L46)</f>
        <v>4.3885209301099888</v>
      </c>
      <c r="M156" s="32">
        <f t="shared" ref="M156:V156" si="209">IF(M19=0,0,M19/M46)</f>
        <v>4.3700095529484777</v>
      </c>
      <c r="N156" s="32">
        <f t="shared" si="209"/>
        <v>4.4245522671875204</v>
      </c>
      <c r="O156" s="32">
        <f t="shared" si="209"/>
        <v>4.3846913430175789</v>
      </c>
      <c r="P156" s="32">
        <f t="shared" si="209"/>
        <v>4.442037054334171</v>
      </c>
      <c r="Q156" s="32">
        <f t="shared" si="209"/>
        <v>4.514800910836219</v>
      </c>
      <c r="R156" s="32">
        <f t="shared" si="209"/>
        <v>4.7428556406738283</v>
      </c>
      <c r="S156" s="32">
        <f t="shared" si="209"/>
        <v>4.702709310624015</v>
      </c>
      <c r="T156" s="32">
        <f t="shared" si="209"/>
        <v>4.7212734391082476</v>
      </c>
      <c r="U156" s="32">
        <f t="shared" si="209"/>
        <v>4.8151328177831259</v>
      </c>
      <c r="V156" s="32">
        <f t="shared" si="209"/>
        <v>5.9109797046712824</v>
      </c>
      <c r="W156" s="32">
        <f t="shared" ref="W156:Y156" si="210">IF(W19=0,0,W19/W46)</f>
        <v>5.1974162257553509</v>
      </c>
      <c r="X156" s="32">
        <f t="shared" si="210"/>
        <v>4.9083774025659466</v>
      </c>
      <c r="Y156" s="32">
        <f t="shared" si="210"/>
        <v>4.8947229106256271</v>
      </c>
      <c r="DA156" s="173" t="s">
        <v>567</v>
      </c>
    </row>
    <row r="157" spans="1:105" ht="11.45" customHeight="1" x14ac:dyDescent="0.25">
      <c r="A157" s="136" t="s">
        <v>153</v>
      </c>
      <c r="B157" s="141">
        <f t="shared" ref="B157:K157" si="211">IF(B20=0,0,B20/B47)</f>
        <v>0.36550179791843324</v>
      </c>
      <c r="C157" s="141">
        <f t="shared" si="211"/>
        <v>0.35284923860605966</v>
      </c>
      <c r="D157" s="141">
        <f t="shared" si="211"/>
        <v>0.35786284789505984</v>
      </c>
      <c r="E157" s="141">
        <f t="shared" si="211"/>
        <v>0.35405708251984414</v>
      </c>
      <c r="F157" s="141">
        <f t="shared" si="211"/>
        <v>0.35524104560898012</v>
      </c>
      <c r="G157" s="141">
        <f t="shared" si="211"/>
        <v>0.3617934583037245</v>
      </c>
      <c r="H157" s="141">
        <f t="shared" si="211"/>
        <v>0.35828711802821961</v>
      </c>
      <c r="I157" s="141">
        <f t="shared" si="211"/>
        <v>0.35965247156842434</v>
      </c>
      <c r="J157" s="141">
        <f t="shared" si="211"/>
        <v>0.35926996411405643</v>
      </c>
      <c r="K157" s="141">
        <f t="shared" si="211"/>
        <v>0.35653249125616676</v>
      </c>
      <c r="L157" s="141">
        <f t="shared" ref="L157" si="212">IF(L20=0,0,L20/L47)</f>
        <v>0.35222912094663494</v>
      </c>
      <c r="M157" s="141">
        <f t="shared" ref="M157:V157" si="213">IF(M20=0,0,M20/M47)</f>
        <v>0.35000635989278067</v>
      </c>
      <c r="N157" s="141">
        <f t="shared" si="213"/>
        <v>0.34970847312810127</v>
      </c>
      <c r="O157" s="141">
        <f t="shared" si="213"/>
        <v>0.34711171393953655</v>
      </c>
      <c r="P157" s="141">
        <f t="shared" si="213"/>
        <v>0.35158039958414727</v>
      </c>
      <c r="Q157" s="141">
        <f t="shared" si="213"/>
        <v>0.35553778849201612</v>
      </c>
      <c r="R157" s="141">
        <f t="shared" si="213"/>
        <v>0.35631859448752828</v>
      </c>
      <c r="S157" s="141">
        <f t="shared" si="213"/>
        <v>0.3520976540833175</v>
      </c>
      <c r="T157" s="141">
        <f t="shared" si="213"/>
        <v>0.35169641071377716</v>
      </c>
      <c r="U157" s="141">
        <f t="shared" si="213"/>
        <v>0.35178278493817178</v>
      </c>
      <c r="V157" s="141">
        <f t="shared" si="213"/>
        <v>0.36190582836954738</v>
      </c>
      <c r="W157" s="141">
        <f t="shared" ref="W157:Y157" si="214">IF(W20=0,0,W20/W47)</f>
        <v>0.35507447781649282</v>
      </c>
      <c r="X157" s="141">
        <f t="shared" si="214"/>
        <v>0.34956347105366453</v>
      </c>
      <c r="Y157" s="141">
        <f t="shared" si="214"/>
        <v>0.35138545512748248</v>
      </c>
      <c r="DA157" s="174" t="s">
        <v>568</v>
      </c>
    </row>
    <row r="158" spans="1:105" ht="11.45" customHeight="1" x14ac:dyDescent="0.25">
      <c r="A158" s="111" t="s">
        <v>110</v>
      </c>
      <c r="B158" s="96">
        <v>0.32565096070397875</v>
      </c>
      <c r="C158" s="96">
        <v>0.31643953277479031</v>
      </c>
      <c r="D158" s="96">
        <v>0.31702354116405973</v>
      </c>
      <c r="E158" s="96">
        <v>0.31416267326437769</v>
      </c>
      <c r="F158" s="96">
        <v>0.31603327967401962</v>
      </c>
      <c r="G158" s="96">
        <v>0.32346183617960428</v>
      </c>
      <c r="H158" s="96">
        <v>0.32172558483744601</v>
      </c>
      <c r="I158" s="96">
        <v>0.3240056443497038</v>
      </c>
      <c r="J158" s="96">
        <v>0.3267032190826375</v>
      </c>
      <c r="K158" s="96">
        <v>0.32728475004026847</v>
      </c>
      <c r="L158" s="96">
        <v>0.32627331860405789</v>
      </c>
      <c r="M158" s="96">
        <v>0.32735445895261567</v>
      </c>
      <c r="N158" s="96">
        <v>0.32527420300056537</v>
      </c>
      <c r="O158" s="96">
        <v>0.31987006503022702</v>
      </c>
      <c r="P158" s="96">
        <v>0.32055062386298872</v>
      </c>
      <c r="Q158" s="96">
        <v>0.32102047084847501</v>
      </c>
      <c r="R158" s="96">
        <v>0.3196057713171897</v>
      </c>
      <c r="S158" s="96">
        <v>0.31577044072642813</v>
      </c>
      <c r="T158" s="96">
        <v>0.31640751675197043</v>
      </c>
      <c r="U158" s="96">
        <v>0.31353546028223794</v>
      </c>
      <c r="V158" s="96">
        <v>0.32543849882920617</v>
      </c>
      <c r="W158" s="96">
        <v>0.31228576153939291</v>
      </c>
      <c r="X158" s="96">
        <v>0.31035996640055102</v>
      </c>
      <c r="Y158" s="96">
        <v>0.31518270858909492</v>
      </c>
      <c r="DA158" s="171" t="s">
        <v>569</v>
      </c>
    </row>
    <row r="159" spans="1:105" ht="11.45" customHeight="1" x14ac:dyDescent="0.25">
      <c r="A159" s="111" t="s">
        <v>111</v>
      </c>
      <c r="B159" s="96">
        <v>0.36909869306074222</v>
      </c>
      <c r="C159" s="96">
        <v>0.35572387012175899</v>
      </c>
      <c r="D159" s="96">
        <v>0.36034871525651457</v>
      </c>
      <c r="E159" s="96">
        <v>0.35600709231267824</v>
      </c>
      <c r="F159" s="96">
        <v>0.35675541951600775</v>
      </c>
      <c r="G159" s="96">
        <v>0.36296866101096176</v>
      </c>
      <c r="H159" s="96">
        <v>0.35919396994625802</v>
      </c>
      <c r="I159" s="96">
        <v>0.36032841935635068</v>
      </c>
      <c r="J159" s="96">
        <v>0.35980805902243729</v>
      </c>
      <c r="K159" s="96">
        <v>0.35700982723746377</v>
      </c>
      <c r="L159" s="96">
        <v>0.35262616937282371</v>
      </c>
      <c r="M159" s="96">
        <v>0.35036343126200226</v>
      </c>
      <c r="N159" s="96">
        <v>0.35014294103002058</v>
      </c>
      <c r="O159" s="96">
        <v>0.34761581046194934</v>
      </c>
      <c r="P159" s="96">
        <v>0.35199417493451163</v>
      </c>
      <c r="Q159" s="96">
        <v>0.35601005103216993</v>
      </c>
      <c r="R159" s="96">
        <v>0.35682019937723825</v>
      </c>
      <c r="S159" s="96">
        <v>0.35265562147459478</v>
      </c>
      <c r="T159" s="96">
        <v>0.35230422272815176</v>
      </c>
      <c r="U159" s="96">
        <v>0.35256452467326072</v>
      </c>
      <c r="V159" s="96">
        <v>0.36268253612812834</v>
      </c>
      <c r="W159" s="96">
        <v>0.35603967025197525</v>
      </c>
      <c r="X159" s="96">
        <v>0.35042000574880777</v>
      </c>
      <c r="Y159" s="96">
        <v>0.35209631031481037</v>
      </c>
      <c r="DA159" s="171" t="s">
        <v>570</v>
      </c>
    </row>
    <row r="160" spans="1:105" ht="11.45" customHeight="1" x14ac:dyDescent="0.25">
      <c r="A160" s="111" t="s">
        <v>112</v>
      </c>
      <c r="B160" s="96">
        <v>0</v>
      </c>
      <c r="C160" s="96">
        <v>0</v>
      </c>
      <c r="D160" s="96">
        <v>0</v>
      </c>
      <c r="E160" s="96">
        <v>0</v>
      </c>
      <c r="F160" s="96">
        <v>0</v>
      </c>
      <c r="G160" s="96">
        <v>0</v>
      </c>
      <c r="H160" s="96">
        <v>0</v>
      </c>
      <c r="I160" s="96">
        <v>0</v>
      </c>
      <c r="J160" s="96">
        <v>0</v>
      </c>
      <c r="K160" s="96">
        <v>0</v>
      </c>
      <c r="L160" s="96">
        <v>0</v>
      </c>
      <c r="M160" s="96">
        <v>0</v>
      </c>
      <c r="N160" s="96">
        <v>0</v>
      </c>
      <c r="O160" s="96">
        <v>0.31337405746983449</v>
      </c>
      <c r="P160" s="96">
        <v>0.317279014215471</v>
      </c>
      <c r="Q160" s="96">
        <v>0.32102047084847501</v>
      </c>
      <c r="R160" s="96">
        <v>0.32174179052628693</v>
      </c>
      <c r="S160" s="96">
        <v>0.31783507974995856</v>
      </c>
      <c r="T160" s="96">
        <v>0.31754767629263364</v>
      </c>
      <c r="U160" s="96">
        <v>0.31775081448050374</v>
      </c>
      <c r="V160" s="96">
        <v>0.32732441061297535</v>
      </c>
      <c r="W160" s="96">
        <v>0.32095601928082285</v>
      </c>
      <c r="X160" s="96">
        <v>0.31572121022293609</v>
      </c>
      <c r="Y160" s="96">
        <v>0.31735486996176931</v>
      </c>
      <c r="DA160" s="171" t="s">
        <v>571</v>
      </c>
    </row>
    <row r="161" spans="1:105" ht="11.45" customHeight="1" x14ac:dyDescent="0.25">
      <c r="A161" s="111" t="s">
        <v>113</v>
      </c>
      <c r="B161" s="96">
        <v>0</v>
      </c>
      <c r="C161" s="96">
        <v>0</v>
      </c>
      <c r="D161" s="96">
        <v>0</v>
      </c>
      <c r="E161" s="96">
        <v>0</v>
      </c>
      <c r="F161" s="96">
        <v>0</v>
      </c>
      <c r="G161" s="96">
        <v>0</v>
      </c>
      <c r="H161" s="96">
        <v>0</v>
      </c>
      <c r="I161" s="96">
        <v>0</v>
      </c>
      <c r="J161" s="96">
        <v>0</v>
      </c>
      <c r="K161" s="96">
        <v>0</v>
      </c>
      <c r="L161" s="96">
        <v>0</v>
      </c>
      <c r="M161" s="96">
        <v>0</v>
      </c>
      <c r="N161" s="96">
        <v>0.31583048179760936</v>
      </c>
      <c r="O161" s="96">
        <v>0.3133740574698346</v>
      </c>
      <c r="P161" s="96">
        <v>0.317279014215471</v>
      </c>
      <c r="Q161" s="96">
        <v>0.32102047084847501</v>
      </c>
      <c r="R161" s="96">
        <v>0.32174179052628699</v>
      </c>
      <c r="S161" s="96">
        <v>0.31783507974995856</v>
      </c>
      <c r="T161" s="96">
        <v>0.31754767629263364</v>
      </c>
      <c r="U161" s="96">
        <v>0.31775081448050374</v>
      </c>
      <c r="V161" s="96">
        <v>0.32732441061297535</v>
      </c>
      <c r="W161" s="96">
        <v>0.32095601928082285</v>
      </c>
      <c r="X161" s="96">
        <v>0.31572121022293609</v>
      </c>
      <c r="Y161" s="96">
        <v>0.31735486996176931</v>
      </c>
      <c r="DA161" s="171" t="s">
        <v>572</v>
      </c>
    </row>
    <row r="162" spans="1:105" ht="11.45" customHeight="1" x14ac:dyDescent="0.25">
      <c r="A162" s="111" t="s">
        <v>115</v>
      </c>
      <c r="B162" s="96">
        <v>0</v>
      </c>
      <c r="C162" s="96">
        <v>0</v>
      </c>
      <c r="D162" s="96">
        <v>0</v>
      </c>
      <c r="E162" s="96">
        <v>0</v>
      </c>
      <c r="F162" s="96">
        <v>0</v>
      </c>
      <c r="G162" s="96">
        <v>0</v>
      </c>
      <c r="H162" s="96">
        <v>0</v>
      </c>
      <c r="I162" s="96">
        <v>0</v>
      </c>
      <c r="J162" s="96">
        <v>0</v>
      </c>
      <c r="K162" s="96">
        <v>0</v>
      </c>
      <c r="L162" s="96">
        <v>0</v>
      </c>
      <c r="M162" s="96">
        <v>0.35708993990901372</v>
      </c>
      <c r="N162" s="96">
        <v>0.35708041629696491</v>
      </c>
      <c r="O162" s="96">
        <v>0.35694767387207627</v>
      </c>
      <c r="P162" s="96">
        <v>0.35673723863135171</v>
      </c>
      <c r="Q162" s="96">
        <v>0.35653814419446067</v>
      </c>
      <c r="R162" s="96">
        <v>0.35657625231246254</v>
      </c>
      <c r="S162" s="96">
        <v>0.35678375004750873</v>
      </c>
      <c r="T162" s="96">
        <v>0.35679912032524319</v>
      </c>
      <c r="U162" s="96">
        <v>0.35680998595377994</v>
      </c>
      <c r="V162" s="96">
        <v>0.36225576662897835</v>
      </c>
      <c r="W162" s="96">
        <v>0.35698055858738814</v>
      </c>
      <c r="X162" s="96">
        <v>0.35691887880608553</v>
      </c>
      <c r="Y162" s="96">
        <v>0.35683117195465719</v>
      </c>
      <c r="DA162" s="171" t="s">
        <v>573</v>
      </c>
    </row>
    <row r="163" spans="1:105" ht="11.45" customHeight="1" x14ac:dyDescent="0.25">
      <c r="A163" s="109" t="s">
        <v>154</v>
      </c>
      <c r="B163" s="130">
        <f t="shared" ref="B163:K163" si="215">IF(B26=0,0,B26/B53)</f>
        <v>11.097736094656021</v>
      </c>
      <c r="C163" s="130">
        <f t="shared" si="215"/>
        <v>10.944007555148273</v>
      </c>
      <c r="D163" s="130">
        <f t="shared" si="215"/>
        <v>10.901055620294583</v>
      </c>
      <c r="E163" s="130">
        <f t="shared" si="215"/>
        <v>10.911464971296256</v>
      </c>
      <c r="F163" s="130">
        <f t="shared" si="215"/>
        <v>10.947563987802438</v>
      </c>
      <c r="G163" s="130">
        <f t="shared" si="215"/>
        <v>11.005479483859695</v>
      </c>
      <c r="H163" s="130">
        <f t="shared" si="215"/>
        <v>11.027176386305261</v>
      </c>
      <c r="I163" s="130">
        <f t="shared" si="215"/>
        <v>11.13335054997393</v>
      </c>
      <c r="J163" s="130">
        <f t="shared" si="215"/>
        <v>11.15490906266677</v>
      </c>
      <c r="K163" s="130">
        <f t="shared" si="215"/>
        <v>10.994734254486689</v>
      </c>
      <c r="L163" s="130">
        <f t="shared" ref="L163" si="216">IF(L26=0,0,L26/L53)</f>
        <v>11.283409328562973</v>
      </c>
      <c r="M163" s="130">
        <f t="shared" ref="M163:V163" si="217">IF(M26=0,0,M26/M53)</f>
        <v>11.332051893444204</v>
      </c>
      <c r="N163" s="130">
        <f t="shared" si="217"/>
        <v>11.329180175447322</v>
      </c>
      <c r="O163" s="130">
        <f t="shared" si="217"/>
        <v>11.492427973306844</v>
      </c>
      <c r="P163" s="130">
        <f t="shared" si="217"/>
        <v>11.367924717452984</v>
      </c>
      <c r="Q163" s="130">
        <f t="shared" si="217"/>
        <v>11.433241523984716</v>
      </c>
      <c r="R163" s="130">
        <f t="shared" si="217"/>
        <v>11.488542852844864</v>
      </c>
      <c r="S163" s="130">
        <f t="shared" si="217"/>
        <v>11.563890719664432</v>
      </c>
      <c r="T163" s="130">
        <f t="shared" si="217"/>
        <v>11.616737198454889</v>
      </c>
      <c r="U163" s="130">
        <f t="shared" si="217"/>
        <v>11.589813806525084</v>
      </c>
      <c r="V163" s="130">
        <f t="shared" si="217"/>
        <v>11.600800379155265</v>
      </c>
      <c r="W163" s="130">
        <f t="shared" ref="W163:Y163" si="218">IF(W26=0,0,W26/W53)</f>
        <v>11.757912712861003</v>
      </c>
      <c r="X163" s="130">
        <f t="shared" si="218"/>
        <v>11.594314857418087</v>
      </c>
      <c r="Y163" s="130">
        <f t="shared" si="218"/>
        <v>11.524029006699271</v>
      </c>
      <c r="DA163" s="176" t="s">
        <v>574</v>
      </c>
    </row>
    <row r="164" spans="1:105" ht="11.45" customHeight="1" x14ac:dyDescent="0.25">
      <c r="A164" s="128" t="s">
        <v>27</v>
      </c>
      <c r="B164" s="97">
        <v>10.407396593673965</v>
      </c>
      <c r="C164" s="97">
        <v>10.230997038499506</v>
      </c>
      <c r="D164" s="97">
        <v>10.214527959618266</v>
      </c>
      <c r="E164" s="97">
        <v>10.26955037839442</v>
      </c>
      <c r="F164" s="97">
        <v>10.326693757910865</v>
      </c>
      <c r="G164" s="97">
        <v>10.412140175219024</v>
      </c>
      <c r="H164" s="97">
        <v>10.435624626419605</v>
      </c>
      <c r="I164" s="97">
        <v>10.585971342885705</v>
      </c>
      <c r="J164" s="97">
        <v>10.646894372189132</v>
      </c>
      <c r="K164" s="97">
        <v>10.464842396951854</v>
      </c>
      <c r="L164" s="97">
        <v>10.71175263774912</v>
      </c>
      <c r="M164" s="97">
        <v>10.768992130750606</v>
      </c>
      <c r="N164" s="97">
        <v>10.754616563180388</v>
      </c>
      <c r="O164" s="97">
        <v>10.872099991439089</v>
      </c>
      <c r="P164" s="97">
        <v>10.728924236082044</v>
      </c>
      <c r="Q164" s="97">
        <v>10.841839153104756</v>
      </c>
      <c r="R164" s="97">
        <v>10.936410952704232</v>
      </c>
      <c r="S164" s="97">
        <v>11.024734478580084</v>
      </c>
      <c r="T164" s="97">
        <v>11.05363744158471</v>
      </c>
      <c r="U164" s="97">
        <v>11.042262895174709</v>
      </c>
      <c r="V164" s="97">
        <v>11.115925297113753</v>
      </c>
      <c r="W164" s="97">
        <v>11.268898221343873</v>
      </c>
      <c r="X164" s="97">
        <v>11.0603330433702</v>
      </c>
      <c r="Y164" s="97">
        <v>11.036910881278256</v>
      </c>
      <c r="DA164" s="175" t="s">
        <v>575</v>
      </c>
    </row>
    <row r="165" spans="1:105" ht="11.45" customHeight="1" x14ac:dyDescent="0.25">
      <c r="A165" s="138" t="s">
        <v>116</v>
      </c>
      <c r="B165" s="98">
        <v>14.257421972058397</v>
      </c>
      <c r="C165" s="98">
        <v>14.24505838780375</v>
      </c>
      <c r="D165" s="98">
        <v>14.338603689647607</v>
      </c>
      <c r="E165" s="98">
        <v>14.254152494203543</v>
      </c>
      <c r="F165" s="98">
        <v>13.993137904941619</v>
      </c>
      <c r="G165" s="98">
        <v>13.999403714336369</v>
      </c>
      <c r="H165" s="98">
        <v>14.088849058887034</v>
      </c>
      <c r="I165" s="98">
        <v>14.115262081857326</v>
      </c>
      <c r="J165" s="98">
        <v>13.915448013039788</v>
      </c>
      <c r="K165" s="98">
        <v>13.731801555818866</v>
      </c>
      <c r="L165" s="98">
        <v>14.178700182725072</v>
      </c>
      <c r="M165" s="98">
        <v>14.133203670456812</v>
      </c>
      <c r="N165" s="98">
        <v>14.086426180736334</v>
      </c>
      <c r="O165" s="98">
        <v>14.105166269382361</v>
      </c>
      <c r="P165" s="98">
        <v>14.138211571635042</v>
      </c>
      <c r="Q165" s="98">
        <v>14.005556317739059</v>
      </c>
      <c r="R165" s="98">
        <v>13.933281647068958</v>
      </c>
      <c r="S165" s="98">
        <v>14.0120381138928</v>
      </c>
      <c r="T165" s="98">
        <v>14.146454243557947</v>
      </c>
      <c r="U165" s="98">
        <v>14.062037656310167</v>
      </c>
      <c r="V165" s="98">
        <v>13.861910981613581</v>
      </c>
      <c r="W165" s="98">
        <v>14.046303126595927</v>
      </c>
      <c r="X165" s="98">
        <v>13.993433342768185</v>
      </c>
      <c r="Y165" s="98">
        <v>13.837303725369457</v>
      </c>
      <c r="DA165" s="178" t="s">
        <v>576</v>
      </c>
    </row>
    <row r="166" spans="1:105" ht="11.45" customHeight="1" x14ac:dyDescent="0.25">
      <c r="A166" s="106"/>
      <c r="B166" s="106"/>
      <c r="C166" s="106"/>
      <c r="D166" s="106"/>
      <c r="E166" s="106"/>
      <c r="F166" s="106"/>
      <c r="G166" s="106"/>
      <c r="H166" s="106"/>
      <c r="I166" s="106"/>
      <c r="J166" s="106"/>
      <c r="K166" s="106"/>
      <c r="L166" s="106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  <c r="X166" s="106"/>
      <c r="Y166" s="106"/>
      <c r="DA166" s="171"/>
    </row>
    <row r="167" spans="1:105" ht="11.45" customHeight="1" x14ac:dyDescent="0.25">
      <c r="A167" s="53" t="s">
        <v>136</v>
      </c>
      <c r="B167" s="54">
        <f t="shared" ref="B167:V180" si="219">IF(B30=0,0,B30*1000000/B57)</f>
        <v>9067.1750119093231</v>
      </c>
      <c r="C167" s="54">
        <f t="shared" si="219"/>
        <v>9480.5918584750216</v>
      </c>
      <c r="D167" s="54">
        <f t="shared" si="219"/>
        <v>9598.0112136041644</v>
      </c>
      <c r="E167" s="54">
        <f t="shared" si="219"/>
        <v>10053.203850111497</v>
      </c>
      <c r="F167" s="54">
        <f t="shared" si="219"/>
        <v>10259.889837682036</v>
      </c>
      <c r="G167" s="54">
        <f t="shared" si="219"/>
        <v>10394.592842204665</v>
      </c>
      <c r="H167" s="54">
        <f t="shared" si="219"/>
        <v>10457.689877724384</v>
      </c>
      <c r="I167" s="54">
        <f t="shared" si="219"/>
        <v>10472.021737352901</v>
      </c>
      <c r="J167" s="54">
        <f t="shared" si="219"/>
        <v>10319.192160574259</v>
      </c>
      <c r="K167" s="54">
        <f t="shared" si="219"/>
        <v>10489.651107706395</v>
      </c>
      <c r="L167" s="54">
        <f t="shared" si="219"/>
        <v>10298.968268768818</v>
      </c>
      <c r="M167" s="54">
        <f>IF(M30=0,0,M30*1000000/M57)</f>
        <v>10097.653359384614</v>
      </c>
      <c r="N167" s="54">
        <f t="shared" ref="N167:V167" si="220">IF(N30=0,0,N30*1000000/N57)</f>
        <v>9768.7309203693039</v>
      </c>
      <c r="O167" s="54">
        <f t="shared" si="220"/>
        <v>9859.7191847934537</v>
      </c>
      <c r="P167" s="54">
        <f t="shared" si="220"/>
        <v>10005.97360514411</v>
      </c>
      <c r="Q167" s="54">
        <f t="shared" si="220"/>
        <v>10234.420160126836</v>
      </c>
      <c r="R167" s="54">
        <f t="shared" si="220"/>
        <v>9743.5987998196742</v>
      </c>
      <c r="S167" s="54">
        <f t="shared" si="220"/>
        <v>9747.7117961354688</v>
      </c>
      <c r="T167" s="54">
        <f t="shared" si="220"/>
        <v>9687.7827402807998</v>
      </c>
      <c r="U167" s="54">
        <f t="shared" si="220"/>
        <v>10190.445808764322</v>
      </c>
      <c r="V167" s="54">
        <f t="shared" si="220"/>
        <v>8220.7203404644388</v>
      </c>
      <c r="W167" s="54">
        <f t="shared" ref="W167:Y191" si="221">IF(W30=0,0,W30*1000000/W57)</f>
        <v>9783.5341961168051</v>
      </c>
      <c r="X167" s="54">
        <f t="shared" si="221"/>
        <v>10102.611684105092</v>
      </c>
      <c r="Y167" s="54">
        <f t="shared" si="221"/>
        <v>10282.936125201577</v>
      </c>
      <c r="DA167" s="172" t="s">
        <v>577</v>
      </c>
    </row>
    <row r="168" spans="1:105" ht="11.45" customHeight="1" x14ac:dyDescent="0.25">
      <c r="A168" s="27" t="s">
        <v>33</v>
      </c>
      <c r="B168" s="28">
        <f t="shared" si="219"/>
        <v>8948.3296939869233</v>
      </c>
      <c r="C168" s="28">
        <f t="shared" si="219"/>
        <v>9195.5742853804477</v>
      </c>
      <c r="D168" s="28">
        <f t="shared" si="219"/>
        <v>9338.1023282790284</v>
      </c>
      <c r="E168" s="28">
        <f t="shared" si="219"/>
        <v>9773.7814423913369</v>
      </c>
      <c r="F168" s="28">
        <f t="shared" si="219"/>
        <v>9967.9802684217502</v>
      </c>
      <c r="G168" s="28">
        <f t="shared" si="219"/>
        <v>10202.323637776622</v>
      </c>
      <c r="H168" s="28">
        <f t="shared" si="219"/>
        <v>10204.729268857458</v>
      </c>
      <c r="I168" s="28">
        <f t="shared" si="219"/>
        <v>10249.60422454633</v>
      </c>
      <c r="J168" s="28">
        <f t="shared" si="219"/>
        <v>10113.238132359727</v>
      </c>
      <c r="K168" s="28">
        <f t="shared" si="219"/>
        <v>10312.730170593382</v>
      </c>
      <c r="L168" s="28">
        <f t="shared" si="219"/>
        <v>10052.329903366142</v>
      </c>
      <c r="M168" s="28">
        <f t="shared" ref="M168:M192" si="222">IF(M31=0,0,M31*1000000/M58)</f>
        <v>9803.4277314651881</v>
      </c>
      <c r="N168" s="28">
        <f t="shared" si="219"/>
        <v>9453.211545104743</v>
      </c>
      <c r="O168" s="28">
        <f t="shared" si="219"/>
        <v>9473.1739021222475</v>
      </c>
      <c r="P168" s="28">
        <f t="shared" si="219"/>
        <v>9682.3735023586905</v>
      </c>
      <c r="Q168" s="28">
        <f t="shared" si="219"/>
        <v>9971.5142461414525</v>
      </c>
      <c r="R168" s="28">
        <f t="shared" si="219"/>
        <v>9419.1213280527645</v>
      </c>
      <c r="S168" s="28">
        <f t="shared" si="219"/>
        <v>9370.0795993974043</v>
      </c>
      <c r="T168" s="28">
        <f t="shared" si="219"/>
        <v>9299.4910924551841</v>
      </c>
      <c r="U168" s="28">
        <f t="shared" si="219"/>
        <v>9845.6421232743087</v>
      </c>
      <c r="V168" s="28">
        <f t="shared" si="219"/>
        <v>7981.0068545288832</v>
      </c>
      <c r="W168" s="28">
        <f t="shared" si="221"/>
        <v>9404.4271720933539</v>
      </c>
      <c r="X168" s="28">
        <f t="shared" si="221"/>
        <v>9698.0951788460188</v>
      </c>
      <c r="Y168" s="28">
        <f t="shared" si="221"/>
        <v>9931.7576060032698</v>
      </c>
      <c r="DA168" s="173" t="s">
        <v>578</v>
      </c>
    </row>
    <row r="169" spans="1:105" ht="11.45" customHeight="1" x14ac:dyDescent="0.25">
      <c r="A169" s="136" t="s">
        <v>173</v>
      </c>
      <c r="B169" s="137">
        <f t="shared" si="219"/>
        <v>2711.4407779876424</v>
      </c>
      <c r="C169" s="137">
        <f t="shared" si="219"/>
        <v>2840.639316545502</v>
      </c>
      <c r="D169" s="137">
        <f t="shared" si="219"/>
        <v>2438.2285241922341</v>
      </c>
      <c r="E169" s="137">
        <f t="shared" si="219"/>
        <v>2688.745446671734</v>
      </c>
      <c r="F169" s="137">
        <f t="shared" si="219"/>
        <v>2478.9168737394134</v>
      </c>
      <c r="G169" s="137">
        <f t="shared" si="219"/>
        <v>2666.7029420885383</v>
      </c>
      <c r="H169" s="137">
        <f t="shared" si="219"/>
        <v>2551.7533061921799</v>
      </c>
      <c r="I169" s="137">
        <f t="shared" si="219"/>
        <v>2693.6200904305574</v>
      </c>
      <c r="J169" s="137">
        <f t="shared" si="219"/>
        <v>2620.378605005717</v>
      </c>
      <c r="K169" s="137">
        <f t="shared" si="219"/>
        <v>2693.6531421718496</v>
      </c>
      <c r="L169" s="137">
        <f t="shared" si="219"/>
        <v>2726.0599849250325</v>
      </c>
      <c r="M169" s="137">
        <f t="shared" si="222"/>
        <v>2492.3515070529634</v>
      </c>
      <c r="N169" s="137">
        <f t="shared" si="219"/>
        <v>2374.2100950524341</v>
      </c>
      <c r="O169" s="137">
        <f t="shared" si="219"/>
        <v>2364.0697688708678</v>
      </c>
      <c r="P169" s="137">
        <f t="shared" si="219"/>
        <v>2629.9274473724772</v>
      </c>
      <c r="Q169" s="137">
        <f t="shared" si="219"/>
        <v>2859.6487327832551</v>
      </c>
      <c r="R169" s="137">
        <f t="shared" si="219"/>
        <v>2940.6708240117196</v>
      </c>
      <c r="S169" s="137">
        <f t="shared" si="219"/>
        <v>2658.2858134206263</v>
      </c>
      <c r="T169" s="137">
        <f t="shared" si="219"/>
        <v>2490.828310352374</v>
      </c>
      <c r="U169" s="137">
        <f t="shared" si="219"/>
        <v>2644.2003896268025</v>
      </c>
      <c r="V169" s="137">
        <f t="shared" si="219"/>
        <v>2269.7989001873661</v>
      </c>
      <c r="W169" s="137">
        <f t="shared" si="221"/>
        <v>2378.8821990796273</v>
      </c>
      <c r="X169" s="137">
        <f t="shared" si="221"/>
        <v>2358.5665087658276</v>
      </c>
      <c r="Y169" s="137">
        <f t="shared" si="221"/>
        <v>2491.9629243139207</v>
      </c>
      <c r="DA169" s="174" t="s">
        <v>579</v>
      </c>
    </row>
    <row r="170" spans="1:105" ht="11.45" customHeight="1" x14ac:dyDescent="0.25">
      <c r="A170" s="109" t="s">
        <v>20</v>
      </c>
      <c r="B170" s="110">
        <f t="shared" si="219"/>
        <v>10021.491203073496</v>
      </c>
      <c r="C170" s="110">
        <f t="shared" si="219"/>
        <v>10264.899216942193</v>
      </c>
      <c r="D170" s="110">
        <f t="shared" si="219"/>
        <v>10571.335484592459</v>
      </c>
      <c r="E170" s="110">
        <f t="shared" si="219"/>
        <v>11081.84608639078</v>
      </c>
      <c r="F170" s="110">
        <f t="shared" si="219"/>
        <v>11366.959375083636</v>
      </c>
      <c r="G170" s="110">
        <f t="shared" si="219"/>
        <v>11660.53773315119</v>
      </c>
      <c r="H170" s="110">
        <f t="shared" si="219"/>
        <v>11729.491612910038</v>
      </c>
      <c r="I170" s="110">
        <f t="shared" si="219"/>
        <v>11820.635589987167</v>
      </c>
      <c r="J170" s="110">
        <f t="shared" si="219"/>
        <v>11701.204225442667</v>
      </c>
      <c r="K170" s="110">
        <f t="shared" si="219"/>
        <v>11958.986888492847</v>
      </c>
      <c r="L170" s="110">
        <f t="shared" si="219"/>
        <v>11634.78142599752</v>
      </c>
      <c r="M170" s="110">
        <f t="shared" si="222"/>
        <v>11382.917977928641</v>
      </c>
      <c r="N170" s="110">
        <f t="shared" si="219"/>
        <v>10981.509836205698</v>
      </c>
      <c r="O170" s="110">
        <f t="shared" si="219"/>
        <v>11021.025821427849</v>
      </c>
      <c r="P170" s="110">
        <f t="shared" si="219"/>
        <v>11230.684654804394</v>
      </c>
      <c r="Q170" s="110">
        <f t="shared" si="219"/>
        <v>11531.186742793987</v>
      </c>
      <c r="R170" s="110">
        <f t="shared" si="219"/>
        <v>10790.82924325101</v>
      </c>
      <c r="S170" s="110">
        <f t="shared" si="219"/>
        <v>10773.437947385464</v>
      </c>
      <c r="T170" s="110">
        <f t="shared" si="219"/>
        <v>10711.288227161098</v>
      </c>
      <c r="U170" s="110">
        <f t="shared" si="219"/>
        <v>11343.464376213484</v>
      </c>
      <c r="V170" s="110">
        <f t="shared" si="219"/>
        <v>9191.0250744366695</v>
      </c>
      <c r="W170" s="110">
        <f t="shared" si="221"/>
        <v>10903.871892549487</v>
      </c>
      <c r="X170" s="110">
        <f t="shared" si="221"/>
        <v>11273.15933662749</v>
      </c>
      <c r="Y170" s="110">
        <f t="shared" si="221"/>
        <v>11548.117047399148</v>
      </c>
      <c r="DA170" s="176" t="s">
        <v>580</v>
      </c>
    </row>
    <row r="171" spans="1:105" ht="11.45" customHeight="1" x14ac:dyDescent="0.25">
      <c r="A171" s="111" t="s">
        <v>110</v>
      </c>
      <c r="B171" s="84">
        <f t="shared" si="219"/>
        <v>7023.5058412407925</v>
      </c>
      <c r="C171" s="84">
        <f t="shared" si="219"/>
        <v>6996.9068745034765</v>
      </c>
      <c r="D171" s="84">
        <f t="shared" si="219"/>
        <v>7013.8724236381722</v>
      </c>
      <c r="E171" s="84">
        <f t="shared" si="219"/>
        <v>7113.3388951214483</v>
      </c>
      <c r="F171" s="84">
        <f t="shared" si="219"/>
        <v>7072.1149293418939</v>
      </c>
      <c r="G171" s="84">
        <f t="shared" si="219"/>
        <v>7044.2873888301274</v>
      </c>
      <c r="H171" s="84">
        <f t="shared" si="219"/>
        <v>6884.9141947951393</v>
      </c>
      <c r="I171" s="84">
        <f t="shared" si="219"/>
        <v>6777.9589079696716</v>
      </c>
      <c r="J171" s="84">
        <f t="shared" si="219"/>
        <v>6613.5675116811535</v>
      </c>
      <c r="K171" s="84">
        <f t="shared" si="219"/>
        <v>6662.0349845081682</v>
      </c>
      <c r="L171" s="84">
        <f t="shared" si="219"/>
        <v>6404.5046216177479</v>
      </c>
      <c r="M171" s="84">
        <f t="shared" si="222"/>
        <v>6211.4140306342642</v>
      </c>
      <c r="N171" s="84">
        <f t="shared" si="219"/>
        <v>5948.8410282602872</v>
      </c>
      <c r="O171" s="84">
        <f t="shared" si="219"/>
        <v>5912.3251247554745</v>
      </c>
      <c r="P171" s="84">
        <f t="shared" si="219"/>
        <v>5966.4255130211504</v>
      </c>
      <c r="Q171" s="84">
        <f t="shared" si="219"/>
        <v>6088.7456418969141</v>
      </c>
      <c r="R171" s="84">
        <f t="shared" si="219"/>
        <v>5706.9710754206135</v>
      </c>
      <c r="S171" s="84">
        <f t="shared" si="219"/>
        <v>5601.3103313256361</v>
      </c>
      <c r="T171" s="84">
        <f t="shared" si="219"/>
        <v>5597.0112648693466</v>
      </c>
      <c r="U171" s="84">
        <f t="shared" si="219"/>
        <v>5969.0430232529916</v>
      </c>
      <c r="V171" s="84">
        <f t="shared" si="219"/>
        <v>4192.5180139487757</v>
      </c>
      <c r="W171" s="84">
        <f t="shared" si="221"/>
        <v>5288.8572548288139</v>
      </c>
      <c r="X171" s="84">
        <f t="shared" si="221"/>
        <v>6024.3674580288889</v>
      </c>
      <c r="Y171" s="84">
        <f t="shared" si="221"/>
        <v>6505.1280804034859</v>
      </c>
      <c r="DA171" s="171" t="s">
        <v>581</v>
      </c>
    </row>
    <row r="172" spans="1:105" ht="11.45" customHeight="1" x14ac:dyDescent="0.25">
      <c r="A172" s="111" t="s">
        <v>111</v>
      </c>
      <c r="B172" s="84">
        <f t="shared" si="219"/>
        <v>18104.617281478244</v>
      </c>
      <c r="C172" s="84">
        <f t="shared" si="219"/>
        <v>18036.052646700802</v>
      </c>
      <c r="D172" s="84">
        <f t="shared" si="219"/>
        <v>18079.785047726258</v>
      </c>
      <c r="E172" s="84">
        <f t="shared" si="219"/>
        <v>18336.181559560817</v>
      </c>
      <c r="F172" s="84">
        <f t="shared" si="219"/>
        <v>18229.917801811633</v>
      </c>
      <c r="G172" s="84">
        <f t="shared" si="219"/>
        <v>18158.186250327457</v>
      </c>
      <c r="H172" s="84">
        <f t="shared" si="219"/>
        <v>17747.367102717766</v>
      </c>
      <c r="I172" s="84">
        <f t="shared" si="219"/>
        <v>17471.666536935401</v>
      </c>
      <c r="J172" s="84">
        <f t="shared" si="219"/>
        <v>17047.911879155312</v>
      </c>
      <c r="K172" s="84">
        <f t="shared" si="219"/>
        <v>17172.847355250615</v>
      </c>
      <c r="L172" s="84">
        <f t="shared" si="219"/>
        <v>16509.006708729903</v>
      </c>
      <c r="M172" s="84">
        <f t="shared" si="222"/>
        <v>16011.273620806274</v>
      </c>
      <c r="N172" s="84">
        <f t="shared" si="219"/>
        <v>15334.434471827975</v>
      </c>
      <c r="O172" s="84">
        <f t="shared" si="219"/>
        <v>15240.306770849909</v>
      </c>
      <c r="P172" s="84">
        <f t="shared" si="219"/>
        <v>15379.762314344753</v>
      </c>
      <c r="Q172" s="84">
        <f t="shared" si="219"/>
        <v>15695.069109722253</v>
      </c>
      <c r="R172" s="84">
        <f t="shared" si="219"/>
        <v>14710.961945851139</v>
      </c>
      <c r="S172" s="84">
        <f t="shared" si="219"/>
        <v>14438.598346139541</v>
      </c>
      <c r="T172" s="84">
        <f t="shared" si="219"/>
        <v>14427.51656524292</v>
      </c>
      <c r="U172" s="84">
        <f t="shared" si="219"/>
        <v>15386.509517529177</v>
      </c>
      <c r="V172" s="84">
        <f t="shared" si="219"/>
        <v>13035.459218895974</v>
      </c>
      <c r="W172" s="84">
        <f t="shared" si="221"/>
        <v>15341.780670880202</v>
      </c>
      <c r="X172" s="84">
        <f t="shared" si="221"/>
        <v>15555.584737549432</v>
      </c>
      <c r="Y172" s="84">
        <f t="shared" si="221"/>
        <v>15744.33141257565</v>
      </c>
      <c r="DA172" s="171" t="s">
        <v>582</v>
      </c>
    </row>
    <row r="173" spans="1:105" ht="11.45" customHeight="1" x14ac:dyDescent="0.25">
      <c r="A173" s="111" t="s">
        <v>112</v>
      </c>
      <c r="B173" s="84">
        <f t="shared" si="219"/>
        <v>21723.556243062631</v>
      </c>
      <c r="C173" s="84">
        <f t="shared" si="219"/>
        <v>21641.286196879628</v>
      </c>
      <c r="D173" s="84">
        <f t="shared" si="219"/>
        <v>21693.760284486696</v>
      </c>
      <c r="E173" s="84">
        <f t="shared" si="219"/>
        <v>22001.407994392237</v>
      </c>
      <c r="F173" s="84">
        <f t="shared" si="219"/>
        <v>21873.903132943156</v>
      </c>
      <c r="G173" s="84">
        <f t="shared" si="219"/>
        <v>21787.833133846139</v>
      </c>
      <c r="H173" s="84">
        <f t="shared" si="219"/>
        <v>21294.895187681635</v>
      </c>
      <c r="I173" s="84">
        <f t="shared" si="219"/>
        <v>20964.084729006845</v>
      </c>
      <c r="J173" s="84">
        <f t="shared" si="219"/>
        <v>20455.625588533159</v>
      </c>
      <c r="K173" s="84">
        <f t="shared" si="219"/>
        <v>20605.534465341432</v>
      </c>
      <c r="L173" s="84">
        <f t="shared" si="219"/>
        <v>19808.998454835593</v>
      </c>
      <c r="M173" s="84">
        <f t="shared" si="222"/>
        <v>19211.773307159932</v>
      </c>
      <c r="N173" s="84">
        <f t="shared" si="219"/>
        <v>18399.640518505028</v>
      </c>
      <c r="O173" s="84">
        <f t="shared" si="219"/>
        <v>18286.697594916186</v>
      </c>
      <c r="P173" s="84">
        <f t="shared" si="219"/>
        <v>17615.2094627929</v>
      </c>
      <c r="Q173" s="84">
        <f t="shared" si="219"/>
        <v>17120.329594424646</v>
      </c>
      <c r="R173" s="84">
        <f t="shared" si="219"/>
        <v>16849.199017441621</v>
      </c>
      <c r="S173" s="84">
        <f t="shared" si="219"/>
        <v>17324.735362632488</v>
      </c>
      <c r="T173" s="84">
        <f t="shared" si="219"/>
        <v>17311.438440259688</v>
      </c>
      <c r="U173" s="84">
        <f t="shared" si="219"/>
        <v>18462.124865263762</v>
      </c>
      <c r="V173" s="84">
        <f t="shared" si="219"/>
        <v>12967.370275580153</v>
      </c>
      <c r="W173" s="84">
        <f t="shared" si="221"/>
        <v>17176.240778541385</v>
      </c>
      <c r="X173" s="84">
        <f t="shared" si="221"/>
        <v>17809.849692324035</v>
      </c>
      <c r="Y173" s="84">
        <f t="shared" si="221"/>
        <v>18361.045492149155</v>
      </c>
      <c r="DA173" s="171" t="s">
        <v>583</v>
      </c>
    </row>
    <row r="174" spans="1:105" ht="11.45" customHeight="1" x14ac:dyDescent="0.25">
      <c r="A174" s="111" t="s">
        <v>113</v>
      </c>
      <c r="B174" s="84">
        <f t="shared" si="219"/>
        <v>0</v>
      </c>
      <c r="C174" s="84">
        <f t="shared" si="219"/>
        <v>0</v>
      </c>
      <c r="D174" s="84">
        <f t="shared" si="219"/>
        <v>0</v>
      </c>
      <c r="E174" s="84">
        <f t="shared" si="219"/>
        <v>0</v>
      </c>
      <c r="F174" s="84">
        <f t="shared" si="219"/>
        <v>11267.074137508964</v>
      </c>
      <c r="G174" s="84">
        <f t="shared" si="219"/>
        <v>11222.740163140168</v>
      </c>
      <c r="H174" s="84">
        <f t="shared" si="219"/>
        <v>10968.831733955334</v>
      </c>
      <c r="I174" s="84">
        <f t="shared" si="219"/>
        <v>10798.433888600575</v>
      </c>
      <c r="J174" s="84">
        <f t="shared" si="219"/>
        <v>10536.530615243602</v>
      </c>
      <c r="K174" s="84">
        <f t="shared" si="219"/>
        <v>10613.74748955287</v>
      </c>
      <c r="L174" s="84">
        <f t="shared" si="219"/>
        <v>10203.458103656823</v>
      </c>
      <c r="M174" s="84">
        <f t="shared" si="222"/>
        <v>10075.271432676625</v>
      </c>
      <c r="N174" s="84">
        <f t="shared" si="219"/>
        <v>10157.224099471405</v>
      </c>
      <c r="O174" s="84">
        <f t="shared" si="219"/>
        <v>10626.185036147996</v>
      </c>
      <c r="P174" s="84">
        <f t="shared" si="219"/>
        <v>11287.80981708402</v>
      </c>
      <c r="Q174" s="84">
        <f t="shared" si="219"/>
        <v>12125.500864504298</v>
      </c>
      <c r="R174" s="84">
        <f t="shared" si="219"/>
        <v>11933.472198965535</v>
      </c>
      <c r="S174" s="84">
        <f t="shared" si="219"/>
        <v>12298.158558182773</v>
      </c>
      <c r="T174" s="84">
        <f t="shared" si="219"/>
        <v>12903.155567450654</v>
      </c>
      <c r="U174" s="84">
        <f t="shared" si="219"/>
        <v>14264.541288902061</v>
      </c>
      <c r="V174" s="84">
        <f t="shared" si="219"/>
        <v>10019.084479951691</v>
      </c>
      <c r="W174" s="84">
        <f t="shared" si="221"/>
        <v>13271.018236617609</v>
      </c>
      <c r="X174" s="84">
        <f t="shared" si="221"/>
        <v>14756.698422586664</v>
      </c>
      <c r="Y174" s="84">
        <f t="shared" si="221"/>
        <v>15242.277114435228</v>
      </c>
      <c r="DA174" s="171" t="s">
        <v>584</v>
      </c>
    </row>
    <row r="175" spans="1:105" ht="11.45" customHeight="1" x14ac:dyDescent="0.25">
      <c r="A175" s="111" t="s">
        <v>114</v>
      </c>
      <c r="B175" s="84">
        <f t="shared" si="219"/>
        <v>0</v>
      </c>
      <c r="C175" s="84">
        <f t="shared" si="219"/>
        <v>0</v>
      </c>
      <c r="D175" s="84">
        <f t="shared" si="219"/>
        <v>0</v>
      </c>
      <c r="E175" s="84">
        <f t="shared" si="219"/>
        <v>0</v>
      </c>
      <c r="F175" s="84">
        <f t="shared" si="219"/>
        <v>0</v>
      </c>
      <c r="G175" s="84">
        <f t="shared" si="219"/>
        <v>0</v>
      </c>
      <c r="H175" s="84">
        <f t="shared" si="219"/>
        <v>0</v>
      </c>
      <c r="I175" s="84">
        <f t="shared" si="219"/>
        <v>0</v>
      </c>
      <c r="J175" s="84">
        <f t="shared" si="219"/>
        <v>0</v>
      </c>
      <c r="K175" s="84">
        <f t="shared" si="219"/>
        <v>0</v>
      </c>
      <c r="L175" s="84">
        <f t="shared" si="219"/>
        <v>0</v>
      </c>
      <c r="M175" s="84">
        <f t="shared" si="222"/>
        <v>8818.8930261041623</v>
      </c>
      <c r="N175" s="84">
        <f t="shared" si="219"/>
        <v>8446.0949469455827</v>
      </c>
      <c r="O175" s="84">
        <f t="shared" si="219"/>
        <v>8394.2500940389418</v>
      </c>
      <c r="P175" s="84">
        <f t="shared" si="219"/>
        <v>8471.0611928374838</v>
      </c>
      <c r="Q175" s="84">
        <f t="shared" si="219"/>
        <v>8644.7298818307499</v>
      </c>
      <c r="R175" s="84">
        <f t="shared" si="219"/>
        <v>8102.6908154866269</v>
      </c>
      <c r="S175" s="84">
        <f t="shared" si="219"/>
        <v>7952.6749262484363</v>
      </c>
      <c r="T175" s="84">
        <f t="shared" si="219"/>
        <v>7946.5711619520707</v>
      </c>
      <c r="U175" s="84">
        <f t="shared" si="219"/>
        <v>8474.7775032646259</v>
      </c>
      <c r="V175" s="84">
        <f t="shared" si="219"/>
        <v>5952.4880635357486</v>
      </c>
      <c r="W175" s="84">
        <f t="shared" si="221"/>
        <v>7509.057700973688</v>
      </c>
      <c r="X175" s="84">
        <f t="shared" si="221"/>
        <v>7952.0865518406363</v>
      </c>
      <c r="Y175" s="84">
        <f t="shared" si="221"/>
        <v>8047.144953375303</v>
      </c>
      <c r="DA175" s="171" t="s">
        <v>585</v>
      </c>
    </row>
    <row r="176" spans="1:105" ht="11.45" customHeight="1" x14ac:dyDescent="0.25">
      <c r="A176" s="111" t="s">
        <v>115</v>
      </c>
      <c r="B176" s="84">
        <f t="shared" si="219"/>
        <v>0</v>
      </c>
      <c r="C176" s="84">
        <f t="shared" si="219"/>
        <v>0</v>
      </c>
      <c r="D176" s="84">
        <f t="shared" si="219"/>
        <v>0</v>
      </c>
      <c r="E176" s="84">
        <f t="shared" si="219"/>
        <v>0</v>
      </c>
      <c r="F176" s="84">
        <f t="shared" si="219"/>
        <v>0</v>
      </c>
      <c r="G176" s="84">
        <f t="shared" si="219"/>
        <v>0</v>
      </c>
      <c r="H176" s="84">
        <f t="shared" si="219"/>
        <v>0</v>
      </c>
      <c r="I176" s="84">
        <f t="shared" si="219"/>
        <v>0</v>
      </c>
      <c r="J176" s="84">
        <f t="shared" si="219"/>
        <v>0</v>
      </c>
      <c r="K176" s="84">
        <f t="shared" si="219"/>
        <v>10773.274128440948</v>
      </c>
      <c r="L176" s="84">
        <f t="shared" si="219"/>
        <v>10987.7404866498</v>
      </c>
      <c r="M176" s="84">
        <f t="shared" si="222"/>
        <v>11157.218180610893</v>
      </c>
      <c r="N176" s="84">
        <f t="shared" si="219"/>
        <v>11400.790981230593</v>
      </c>
      <c r="O176" s="84">
        <f t="shared" si="219"/>
        <v>11435.94376332008</v>
      </c>
      <c r="P176" s="84">
        <f t="shared" si="219"/>
        <v>11488.146585721241</v>
      </c>
      <c r="Q176" s="84">
        <f t="shared" si="219"/>
        <v>11605.31072002628</v>
      </c>
      <c r="R176" s="84">
        <f t="shared" si="219"/>
        <v>11235.585076180139</v>
      </c>
      <c r="S176" s="84">
        <f t="shared" si="219"/>
        <v>11131.089486822349</v>
      </c>
      <c r="T176" s="84">
        <f t="shared" si="219"/>
        <v>11126.817050900267</v>
      </c>
      <c r="U176" s="84">
        <f t="shared" si="219"/>
        <v>10774.489028824315</v>
      </c>
      <c r="V176" s="84">
        <f t="shared" si="219"/>
        <v>8266.5510936637038</v>
      </c>
      <c r="W176" s="84">
        <f t="shared" si="221"/>
        <v>10142.038422318961</v>
      </c>
      <c r="X176" s="84">
        <f t="shared" si="221"/>
        <v>10436.937431302602</v>
      </c>
      <c r="Y176" s="84">
        <f t="shared" si="221"/>
        <v>10499.133136316015</v>
      </c>
      <c r="DA176" s="171" t="s">
        <v>586</v>
      </c>
    </row>
    <row r="177" spans="1:105" ht="11.45" customHeight="1" x14ac:dyDescent="0.25">
      <c r="A177" s="109" t="s">
        <v>21</v>
      </c>
      <c r="B177" s="110">
        <f t="shared" si="219"/>
        <v>35868.819213519389</v>
      </c>
      <c r="C177" s="110">
        <f t="shared" si="219"/>
        <v>35851.046925590323</v>
      </c>
      <c r="D177" s="110">
        <f t="shared" si="219"/>
        <v>35169.791419858113</v>
      </c>
      <c r="E177" s="110">
        <f t="shared" si="219"/>
        <v>35862.809558096968</v>
      </c>
      <c r="F177" s="110">
        <f t="shared" si="219"/>
        <v>36627.640428798062</v>
      </c>
      <c r="G177" s="110">
        <f t="shared" si="219"/>
        <v>35942.033130228068</v>
      </c>
      <c r="H177" s="110">
        <f t="shared" si="219"/>
        <v>36334.646746859638</v>
      </c>
      <c r="I177" s="110">
        <f t="shared" si="219"/>
        <v>37097.226953919642</v>
      </c>
      <c r="J177" s="110">
        <f t="shared" si="219"/>
        <v>36400.106894361947</v>
      </c>
      <c r="K177" s="110">
        <f t="shared" si="219"/>
        <v>35698.897275904441</v>
      </c>
      <c r="L177" s="110">
        <f t="shared" si="219"/>
        <v>35134.918728481061</v>
      </c>
      <c r="M177" s="110">
        <f t="shared" si="222"/>
        <v>34978.166590847832</v>
      </c>
      <c r="N177" s="110">
        <f t="shared" si="219"/>
        <v>34292.320187105724</v>
      </c>
      <c r="O177" s="110">
        <f t="shared" si="219"/>
        <v>33552.1635602928</v>
      </c>
      <c r="P177" s="110">
        <f t="shared" si="219"/>
        <v>32891.722211110005</v>
      </c>
      <c r="Q177" s="110">
        <f t="shared" si="219"/>
        <v>33575.648941113985</v>
      </c>
      <c r="R177" s="110">
        <f t="shared" si="219"/>
        <v>32795.368543613949</v>
      </c>
      <c r="S177" s="110">
        <f t="shared" si="219"/>
        <v>28401.222219779731</v>
      </c>
      <c r="T177" s="110">
        <f t="shared" si="219"/>
        <v>28640.745432294916</v>
      </c>
      <c r="U177" s="110">
        <f t="shared" si="219"/>
        <v>28875.15555461813</v>
      </c>
      <c r="V177" s="110">
        <f t="shared" si="219"/>
        <v>19467.983695300536</v>
      </c>
      <c r="W177" s="110">
        <f t="shared" si="221"/>
        <v>24526.671868880905</v>
      </c>
      <c r="X177" s="110">
        <f t="shared" si="221"/>
        <v>27597.971512455562</v>
      </c>
      <c r="Y177" s="110">
        <f t="shared" si="221"/>
        <v>30646.566989922714</v>
      </c>
      <c r="DA177" s="176" t="s">
        <v>587</v>
      </c>
    </row>
    <row r="178" spans="1:105" ht="11.45" customHeight="1" x14ac:dyDescent="0.25">
      <c r="A178" s="111" t="s">
        <v>110</v>
      </c>
      <c r="B178" s="102">
        <f t="shared" si="219"/>
        <v>20269.512876760888</v>
      </c>
      <c r="C178" s="102">
        <f t="shared" si="219"/>
        <v>20258.967709058543</v>
      </c>
      <c r="D178" s="102">
        <f t="shared" si="219"/>
        <v>19854.943698471488</v>
      </c>
      <c r="E178" s="102">
        <f t="shared" si="219"/>
        <v>20265.947025015459</v>
      </c>
      <c r="F178" s="102">
        <f t="shared" si="219"/>
        <v>20720.000749961022</v>
      </c>
      <c r="G178" s="102">
        <f t="shared" si="219"/>
        <v>20312.957028130793</v>
      </c>
      <c r="H178" s="102">
        <f t="shared" si="219"/>
        <v>20546.003934881686</v>
      </c>
      <c r="I178" s="102">
        <f t="shared" si="219"/>
        <v>20999.013701712538</v>
      </c>
      <c r="J178" s="102">
        <f t="shared" si="219"/>
        <v>20584.87194009234</v>
      </c>
      <c r="K178" s="102">
        <f t="shared" si="219"/>
        <v>20168.700589748056</v>
      </c>
      <c r="L178" s="102">
        <f t="shared" si="219"/>
        <v>19834.272632956156</v>
      </c>
      <c r="M178" s="102">
        <f t="shared" si="222"/>
        <v>19741.369237784675</v>
      </c>
      <c r="N178" s="102">
        <f t="shared" si="219"/>
        <v>19335.129767206505</v>
      </c>
      <c r="O178" s="102">
        <f t="shared" si="219"/>
        <v>18897.177149421128</v>
      </c>
      <c r="P178" s="102">
        <f t="shared" si="219"/>
        <v>18506.799590311057</v>
      </c>
      <c r="Q178" s="102">
        <f t="shared" si="219"/>
        <v>19102.087017358226</v>
      </c>
      <c r="R178" s="102">
        <f t="shared" si="219"/>
        <v>18822.603691194152</v>
      </c>
      <c r="S178" s="102">
        <f t="shared" si="219"/>
        <v>16183.797592967341</v>
      </c>
      <c r="T178" s="102">
        <f t="shared" si="219"/>
        <v>16327.138988455808</v>
      </c>
      <c r="U178" s="102">
        <f t="shared" si="219"/>
        <v>16467.478531088927</v>
      </c>
      <c r="V178" s="102">
        <f t="shared" si="219"/>
        <v>10885.880920726046</v>
      </c>
      <c r="W178" s="102">
        <f t="shared" si="221"/>
        <v>13873.853641488502</v>
      </c>
      <c r="X178" s="102">
        <f t="shared" si="221"/>
        <v>15703.540426726275</v>
      </c>
      <c r="Y178" s="102">
        <f t="shared" si="221"/>
        <v>17529.820963552313</v>
      </c>
      <c r="DA178" s="175" t="s">
        <v>588</v>
      </c>
    </row>
    <row r="179" spans="1:105" ht="11.45" customHeight="1" x14ac:dyDescent="0.25">
      <c r="A179" s="111" t="s">
        <v>111</v>
      </c>
      <c r="B179" s="102">
        <f t="shared" si="219"/>
        <v>36102.659256024017</v>
      </c>
      <c r="C179" s="102">
        <f t="shared" si="219"/>
        <v>36085.629644665154</v>
      </c>
      <c r="D179" s="102">
        <f t="shared" si="219"/>
        <v>35450.436999458572</v>
      </c>
      <c r="E179" s="102">
        <f t="shared" si="219"/>
        <v>36078.954024755614</v>
      </c>
      <c r="F179" s="102">
        <f t="shared" si="219"/>
        <v>36823.006166782929</v>
      </c>
      <c r="G179" s="102">
        <f t="shared" si="219"/>
        <v>36090.383066757851</v>
      </c>
      <c r="H179" s="102">
        <f t="shared" si="219"/>
        <v>36465.732560650038</v>
      </c>
      <c r="I179" s="102">
        <f t="shared" si="219"/>
        <v>37229.981929053065</v>
      </c>
      <c r="J179" s="102">
        <f t="shared" si="219"/>
        <v>36514.096588306471</v>
      </c>
      <c r="K179" s="102">
        <f t="shared" si="219"/>
        <v>35787.356508936544</v>
      </c>
      <c r="L179" s="102">
        <f t="shared" si="219"/>
        <v>35206.587343245039</v>
      </c>
      <c r="M179" s="102">
        <f t="shared" si="222"/>
        <v>35040.36505364623</v>
      </c>
      <c r="N179" s="102">
        <f t="shared" si="219"/>
        <v>34337.940844845194</v>
      </c>
      <c r="O179" s="102">
        <f t="shared" si="219"/>
        <v>33574.407095490598</v>
      </c>
      <c r="P179" s="102">
        <f t="shared" si="219"/>
        <v>32912.824520180708</v>
      </c>
      <c r="Q179" s="102">
        <f t="shared" si="219"/>
        <v>33175.959108251482</v>
      </c>
      <c r="R179" s="102">
        <f t="shared" si="219"/>
        <v>32267.196979542041</v>
      </c>
      <c r="S179" s="102">
        <f t="shared" si="219"/>
        <v>26529.547082497516</v>
      </c>
      <c r="T179" s="102">
        <f t="shared" si="219"/>
        <v>26403.323795148019</v>
      </c>
      <c r="U179" s="102">
        <f t="shared" si="219"/>
        <v>25963.10714383809</v>
      </c>
      <c r="V179" s="102">
        <f t="shared" si="219"/>
        <v>17089.459920888741</v>
      </c>
      <c r="W179" s="102">
        <f t="shared" si="221"/>
        <v>21382.240989621638</v>
      </c>
      <c r="X179" s="102">
        <f t="shared" si="221"/>
        <v>24094.062389022027</v>
      </c>
      <c r="Y179" s="102">
        <f t="shared" si="221"/>
        <v>26558.569101438792</v>
      </c>
      <c r="DA179" s="175" t="s">
        <v>589</v>
      </c>
    </row>
    <row r="180" spans="1:105" ht="11.45" customHeight="1" x14ac:dyDescent="0.25">
      <c r="A180" s="111" t="s">
        <v>112</v>
      </c>
      <c r="B180" s="102">
        <f t="shared" si="219"/>
        <v>0</v>
      </c>
      <c r="C180" s="102">
        <f t="shared" si="219"/>
        <v>0</v>
      </c>
      <c r="D180" s="102">
        <f t="shared" si="219"/>
        <v>0</v>
      </c>
      <c r="E180" s="102">
        <f t="shared" si="219"/>
        <v>0</v>
      </c>
      <c r="F180" s="102">
        <f t="shared" ref="B180:V192" si="223">IF(F43=0,0,F43*1000000/F70)</f>
        <v>0</v>
      </c>
      <c r="G180" s="102">
        <f t="shared" si="223"/>
        <v>0</v>
      </c>
      <c r="H180" s="102">
        <f t="shared" si="223"/>
        <v>0</v>
      </c>
      <c r="I180" s="102">
        <f t="shared" si="223"/>
        <v>0</v>
      </c>
      <c r="J180" s="102">
        <f t="shared" si="223"/>
        <v>0</v>
      </c>
      <c r="K180" s="102">
        <f t="shared" si="223"/>
        <v>0</v>
      </c>
      <c r="L180" s="102">
        <f t="shared" si="223"/>
        <v>0</v>
      </c>
      <c r="M180" s="102">
        <f t="shared" si="222"/>
        <v>0</v>
      </c>
      <c r="N180" s="102">
        <f t="shared" si="223"/>
        <v>0</v>
      </c>
      <c r="O180" s="102">
        <f t="shared" si="223"/>
        <v>0</v>
      </c>
      <c r="P180" s="102">
        <f t="shared" si="223"/>
        <v>18963.539097382243</v>
      </c>
      <c r="Q180" s="102">
        <f t="shared" si="223"/>
        <v>19573.517950932863</v>
      </c>
      <c r="R180" s="102">
        <f t="shared" si="223"/>
        <v>18905.213594760902</v>
      </c>
      <c r="S180" s="102">
        <f t="shared" si="223"/>
        <v>16254.826127618169</v>
      </c>
      <c r="T180" s="102">
        <f t="shared" si="223"/>
        <v>16398.79662942225</v>
      </c>
      <c r="U180" s="102">
        <f t="shared" si="223"/>
        <v>16539.752103638148</v>
      </c>
      <c r="V180" s="102">
        <f t="shared" si="223"/>
        <v>10933.657603901975</v>
      </c>
      <c r="W180" s="102">
        <f t="shared" si="221"/>
        <v>13934.744139435856</v>
      </c>
      <c r="X180" s="102">
        <f t="shared" si="221"/>
        <v>15772.461176564686</v>
      </c>
      <c r="Y180" s="102">
        <f t="shared" si="221"/>
        <v>17606.757015710649</v>
      </c>
      <c r="DA180" s="175" t="s">
        <v>590</v>
      </c>
    </row>
    <row r="181" spans="1:105" ht="11.45" customHeight="1" x14ac:dyDescent="0.25">
      <c r="A181" s="111" t="s">
        <v>113</v>
      </c>
      <c r="B181" s="102">
        <f t="shared" si="223"/>
        <v>57115.542517366965</v>
      </c>
      <c r="C181" s="102">
        <f t="shared" si="223"/>
        <v>57108.466298038496</v>
      </c>
      <c r="D181" s="102">
        <f t="shared" si="223"/>
        <v>56835.212024537279</v>
      </c>
      <c r="E181" s="102">
        <f t="shared" si="223"/>
        <v>57113.150005532654</v>
      </c>
      <c r="F181" s="102">
        <f t="shared" si="223"/>
        <v>57415.251539122692</v>
      </c>
      <c r="G181" s="102">
        <f t="shared" si="223"/>
        <v>57144.665692386152</v>
      </c>
      <c r="H181" s="102">
        <f t="shared" si="223"/>
        <v>57300.085746889767</v>
      </c>
      <c r="I181" s="102">
        <f t="shared" si="223"/>
        <v>57598.397152985883</v>
      </c>
      <c r="J181" s="102">
        <f t="shared" si="223"/>
        <v>57325.876149334719</v>
      </c>
      <c r="K181" s="102">
        <f t="shared" si="223"/>
        <v>57047.778419867835</v>
      </c>
      <c r="L181" s="102">
        <f t="shared" si="223"/>
        <v>56821.118010008511</v>
      </c>
      <c r="M181" s="102">
        <f t="shared" si="222"/>
        <v>56757.635779215118</v>
      </c>
      <c r="N181" s="102">
        <f t="shared" si="223"/>
        <v>56477.34259249219</v>
      </c>
      <c r="O181" s="102">
        <f t="shared" si="223"/>
        <v>56170.096354044159</v>
      </c>
      <c r="P181" s="102">
        <f t="shared" si="223"/>
        <v>55891.61897870223</v>
      </c>
      <c r="Q181" s="102">
        <f t="shared" si="223"/>
        <v>56179.923067421172</v>
      </c>
      <c r="R181" s="102">
        <f t="shared" si="223"/>
        <v>55850.6414299916</v>
      </c>
      <c r="S181" s="102">
        <f t="shared" si="223"/>
        <v>70688.805739213916</v>
      </c>
      <c r="T181" s="102">
        <f t="shared" si="223"/>
        <v>71314.903044365288</v>
      </c>
      <c r="U181" s="102">
        <f t="shared" si="223"/>
        <v>71927.888631322567</v>
      </c>
      <c r="V181" s="102">
        <f t="shared" si="223"/>
        <v>47548.167683449567</v>
      </c>
      <c r="W181" s="102">
        <f t="shared" si="221"/>
        <v>60599.259183990303</v>
      </c>
      <c r="X181" s="102">
        <f t="shared" si="221"/>
        <v>68591.102444652643</v>
      </c>
      <c r="Y181" s="102">
        <f t="shared" si="221"/>
        <v>76568.067637859378</v>
      </c>
      <c r="DA181" s="175" t="s">
        <v>591</v>
      </c>
    </row>
    <row r="182" spans="1:105" ht="11.45" customHeight="1" x14ac:dyDescent="0.25">
      <c r="A182" s="111" t="s">
        <v>115</v>
      </c>
      <c r="B182" s="102">
        <f t="shared" si="223"/>
        <v>0</v>
      </c>
      <c r="C182" s="102">
        <f t="shared" si="223"/>
        <v>0</v>
      </c>
      <c r="D182" s="102">
        <f t="shared" si="223"/>
        <v>0</v>
      </c>
      <c r="E182" s="102">
        <f t="shared" si="223"/>
        <v>0</v>
      </c>
      <c r="F182" s="102">
        <f t="shared" si="223"/>
        <v>0</v>
      </c>
      <c r="G182" s="102">
        <f t="shared" si="223"/>
        <v>0</v>
      </c>
      <c r="H182" s="102">
        <f t="shared" si="223"/>
        <v>0</v>
      </c>
      <c r="I182" s="102">
        <f t="shared" si="223"/>
        <v>0</v>
      </c>
      <c r="J182" s="102">
        <f t="shared" si="223"/>
        <v>0</v>
      </c>
      <c r="K182" s="102">
        <f t="shared" si="223"/>
        <v>0</v>
      </c>
      <c r="L182" s="102">
        <f t="shared" si="223"/>
        <v>0</v>
      </c>
      <c r="M182" s="102">
        <f t="shared" si="222"/>
        <v>0</v>
      </c>
      <c r="N182" s="102">
        <f t="shared" si="223"/>
        <v>0</v>
      </c>
      <c r="O182" s="102">
        <f t="shared" si="223"/>
        <v>48846.204297213619</v>
      </c>
      <c r="P182" s="102">
        <f t="shared" si="223"/>
        <v>48894.782363568513</v>
      </c>
      <c r="Q182" s="102">
        <f t="shared" si="223"/>
        <v>48945.121108678984</v>
      </c>
      <c r="R182" s="102">
        <f t="shared" si="223"/>
        <v>48887.610711709924</v>
      </c>
      <c r="S182" s="102">
        <f t="shared" si="223"/>
        <v>48537.235642521824</v>
      </c>
      <c r="T182" s="102">
        <f t="shared" si="223"/>
        <v>48516.858676486205</v>
      </c>
      <c r="U182" s="102">
        <f t="shared" si="223"/>
        <v>48497.089207001765</v>
      </c>
      <c r="V182" s="102">
        <f t="shared" si="223"/>
        <v>39821.167953046614</v>
      </c>
      <c r="W182" s="102">
        <f t="shared" si="221"/>
        <v>48102.914156346844</v>
      </c>
      <c r="X182" s="102">
        <f t="shared" si="221"/>
        <v>48387.514506233609</v>
      </c>
      <c r="Y182" s="102">
        <f t="shared" si="221"/>
        <v>48352.930254954998</v>
      </c>
      <c r="DA182" s="175" t="s">
        <v>592</v>
      </c>
    </row>
    <row r="183" spans="1:105" ht="11.45" customHeight="1" x14ac:dyDescent="0.25">
      <c r="A183" s="27" t="s">
        <v>34</v>
      </c>
      <c r="B183" s="28">
        <f t="shared" si="223"/>
        <v>9771.1978069685993</v>
      </c>
      <c r="C183" s="28">
        <f t="shared" si="223"/>
        <v>11172.142338384219</v>
      </c>
      <c r="D183" s="28">
        <f t="shared" si="223"/>
        <v>11228.175570077743</v>
      </c>
      <c r="E183" s="28">
        <f t="shared" si="223"/>
        <v>11753.399548672689</v>
      </c>
      <c r="F183" s="28">
        <f t="shared" si="223"/>
        <v>12012.618081098484</v>
      </c>
      <c r="G183" s="28">
        <f t="shared" si="223"/>
        <v>11569.74202453412</v>
      </c>
      <c r="H183" s="28">
        <f t="shared" si="223"/>
        <v>12045.703178311391</v>
      </c>
      <c r="I183" s="28">
        <f t="shared" si="223"/>
        <v>11726.579928113939</v>
      </c>
      <c r="J183" s="28">
        <f t="shared" si="223"/>
        <v>11592.88229401322</v>
      </c>
      <c r="K183" s="28">
        <f t="shared" si="223"/>
        <v>11736.65116352955</v>
      </c>
      <c r="L183" s="28">
        <f t="shared" si="223"/>
        <v>12139.541451786887</v>
      </c>
      <c r="M183" s="28">
        <f t="shared" si="222"/>
        <v>12400.340279780612</v>
      </c>
      <c r="N183" s="28">
        <f t="shared" si="223"/>
        <v>12421.852082261255</v>
      </c>
      <c r="O183" s="28">
        <f t="shared" si="223"/>
        <v>13366.933637453831</v>
      </c>
      <c r="P183" s="28">
        <f t="shared" si="223"/>
        <v>12856.041703287738</v>
      </c>
      <c r="Q183" s="28">
        <f t="shared" si="223"/>
        <v>12397.586329272046</v>
      </c>
      <c r="R183" s="28">
        <f t="shared" si="223"/>
        <v>12497.201986655604</v>
      </c>
      <c r="S183" s="28">
        <f t="shared" si="223"/>
        <v>13117.491229714904</v>
      </c>
      <c r="T183" s="28">
        <f t="shared" si="223"/>
        <v>13163.645139954957</v>
      </c>
      <c r="U183" s="28">
        <f t="shared" si="223"/>
        <v>13306.451389933236</v>
      </c>
      <c r="V183" s="28">
        <f t="shared" si="223"/>
        <v>10402.524998622834</v>
      </c>
      <c r="W183" s="28">
        <f t="shared" si="221"/>
        <v>13267.470598575164</v>
      </c>
      <c r="X183" s="28">
        <f t="shared" si="221"/>
        <v>13852.863219859848</v>
      </c>
      <c r="Y183" s="28">
        <f t="shared" si="221"/>
        <v>13521.323218193853</v>
      </c>
      <c r="DA183" s="173" t="s">
        <v>593</v>
      </c>
    </row>
    <row r="184" spans="1:105" ht="11.45" customHeight="1" x14ac:dyDescent="0.25">
      <c r="A184" s="136" t="s">
        <v>153</v>
      </c>
      <c r="B184" s="137">
        <f t="shared" si="223"/>
        <v>7514.0381043575817</v>
      </c>
      <c r="C184" s="137">
        <f t="shared" si="223"/>
        <v>9023.9102856155187</v>
      </c>
      <c r="D184" s="137">
        <f t="shared" si="223"/>
        <v>8532.027861276425</v>
      </c>
      <c r="E184" s="137">
        <f t="shared" si="223"/>
        <v>9079.0985292799542</v>
      </c>
      <c r="F184" s="137">
        <f t="shared" si="223"/>
        <v>8996.8310064487796</v>
      </c>
      <c r="G184" s="137">
        <f t="shared" si="223"/>
        <v>8259.7520517905523</v>
      </c>
      <c r="H184" s="137">
        <f t="shared" si="223"/>
        <v>8710.680659155496</v>
      </c>
      <c r="I184" s="137">
        <f t="shared" si="223"/>
        <v>8586.4852257081511</v>
      </c>
      <c r="J184" s="137">
        <f t="shared" si="223"/>
        <v>8646.6696168550952</v>
      </c>
      <c r="K184" s="137">
        <f t="shared" si="223"/>
        <v>8981.5494328406203</v>
      </c>
      <c r="L184" s="137">
        <f t="shared" si="223"/>
        <v>9548.4427028772461</v>
      </c>
      <c r="M184" s="137">
        <f t="shared" si="222"/>
        <v>9846.2622704591122</v>
      </c>
      <c r="N184" s="137">
        <f t="shared" si="223"/>
        <v>9872.5577164516071</v>
      </c>
      <c r="O184" s="137">
        <f t="shared" si="223"/>
        <v>10246.541664407141</v>
      </c>
      <c r="P184" s="137">
        <f t="shared" si="223"/>
        <v>9659.7597635427537</v>
      </c>
      <c r="Q184" s="137">
        <f t="shared" si="223"/>
        <v>9135.2757174507606</v>
      </c>
      <c r="R184" s="137">
        <f t="shared" si="223"/>
        <v>9038.1596263702486</v>
      </c>
      <c r="S184" s="137">
        <f t="shared" si="223"/>
        <v>9579.5472818607286</v>
      </c>
      <c r="T184" s="137">
        <f t="shared" si="223"/>
        <v>9620.9041904488786</v>
      </c>
      <c r="U184" s="137">
        <f t="shared" si="223"/>
        <v>9591.6505948328213</v>
      </c>
      <c r="V184" s="137">
        <f t="shared" si="223"/>
        <v>6307.4208455788194</v>
      </c>
      <c r="W184" s="137">
        <f t="shared" si="221"/>
        <v>9144.0145690535155</v>
      </c>
      <c r="X184" s="137">
        <f t="shared" si="221"/>
        <v>9888.8392966685606</v>
      </c>
      <c r="Y184" s="137">
        <f t="shared" si="221"/>
        <v>9648.7698293496524</v>
      </c>
      <c r="DA184" s="174" t="s">
        <v>594</v>
      </c>
    </row>
    <row r="185" spans="1:105" ht="11.45" customHeight="1" x14ac:dyDescent="0.25">
      <c r="A185" s="111" t="s">
        <v>110</v>
      </c>
      <c r="B185" s="84">
        <f t="shared" si="223"/>
        <v>6162.2892171542653</v>
      </c>
      <c r="C185" s="84">
        <f t="shared" si="223"/>
        <v>7112.9576506321746</v>
      </c>
      <c r="D185" s="84">
        <f t="shared" si="223"/>
        <v>7047.6825243636977</v>
      </c>
      <c r="E185" s="84">
        <f t="shared" si="223"/>
        <v>7374.4727841751683</v>
      </c>
      <c r="F185" s="84">
        <f t="shared" si="223"/>
        <v>7158.7930107344146</v>
      </c>
      <c r="G185" s="84">
        <f t="shared" si="223"/>
        <v>6373.6565614831734</v>
      </c>
      <c r="H185" s="84">
        <f t="shared" si="223"/>
        <v>6547.5059372232427</v>
      </c>
      <c r="I185" s="84">
        <f t="shared" si="223"/>
        <v>6320.3483657731294</v>
      </c>
      <c r="J185" s="84">
        <f t="shared" si="223"/>
        <v>6063.6877265520961</v>
      </c>
      <c r="K185" s="84">
        <f t="shared" si="223"/>
        <v>6010.0079668497328</v>
      </c>
      <c r="L185" s="84">
        <f t="shared" si="223"/>
        <v>6103.7409671998976</v>
      </c>
      <c r="M185" s="84">
        <f t="shared" si="222"/>
        <v>6003.6116475550607</v>
      </c>
      <c r="N185" s="84">
        <f t="shared" si="223"/>
        <v>6198.0601830982405</v>
      </c>
      <c r="O185" s="84">
        <f t="shared" si="223"/>
        <v>6739.627641984579</v>
      </c>
      <c r="P185" s="84">
        <f t="shared" si="223"/>
        <v>6668.3865017644239</v>
      </c>
      <c r="Q185" s="84">
        <f t="shared" si="223"/>
        <v>6619.7297385285747</v>
      </c>
      <c r="R185" s="84">
        <f t="shared" si="223"/>
        <v>6767.5399914846612</v>
      </c>
      <c r="S185" s="84">
        <f t="shared" si="223"/>
        <v>7188.6365994665457</v>
      </c>
      <c r="T185" s="84">
        <f t="shared" si="223"/>
        <v>7116.5570389680252</v>
      </c>
      <c r="U185" s="84">
        <f t="shared" si="223"/>
        <v>7448.5299222570002</v>
      </c>
      <c r="V185" s="84">
        <f t="shared" si="223"/>
        <v>5036.3539928544815</v>
      </c>
      <c r="W185" s="84">
        <f t="shared" si="221"/>
        <v>7598.76440045855</v>
      </c>
      <c r="X185" s="84">
        <f t="shared" si="221"/>
        <v>7837.4614033980397</v>
      </c>
      <c r="Y185" s="84">
        <f t="shared" si="221"/>
        <v>7255.9115328438484</v>
      </c>
      <c r="DA185" s="171" t="s">
        <v>595</v>
      </c>
    </row>
    <row r="186" spans="1:105" ht="11.45" customHeight="1" x14ac:dyDescent="0.25">
      <c r="A186" s="111" t="s">
        <v>111</v>
      </c>
      <c r="B186" s="84">
        <f t="shared" si="223"/>
        <v>7665.813908740759</v>
      </c>
      <c r="C186" s="84">
        <f t="shared" si="223"/>
        <v>9219.4659853621324</v>
      </c>
      <c r="D186" s="84">
        <f t="shared" si="223"/>
        <v>8642.8289762521526</v>
      </c>
      <c r="E186" s="84">
        <f t="shared" si="223"/>
        <v>9182.851461491291</v>
      </c>
      <c r="F186" s="84">
        <f t="shared" si="223"/>
        <v>9086.9452857446104</v>
      </c>
      <c r="G186" s="84">
        <f t="shared" si="223"/>
        <v>8335.3753763909372</v>
      </c>
      <c r="H186" s="84">
        <f t="shared" si="223"/>
        <v>8782.6509566851182</v>
      </c>
      <c r="I186" s="84">
        <f t="shared" si="223"/>
        <v>8645.2633353881811</v>
      </c>
      <c r="J186" s="84">
        <f t="shared" si="223"/>
        <v>8707.9590266613213</v>
      </c>
      <c r="K186" s="84">
        <f t="shared" si="223"/>
        <v>9054.6142906050773</v>
      </c>
      <c r="L186" s="84">
        <f t="shared" si="223"/>
        <v>9631.5927811686579</v>
      </c>
      <c r="M186" s="84">
        <f t="shared" si="222"/>
        <v>9946.6527110880343</v>
      </c>
      <c r="N186" s="84">
        <f t="shared" si="223"/>
        <v>9978.0099562572723</v>
      </c>
      <c r="O186" s="84">
        <f t="shared" si="223"/>
        <v>10346.017391031231</v>
      </c>
      <c r="P186" s="84">
        <f t="shared" si="223"/>
        <v>9718.3699386504959</v>
      </c>
      <c r="Q186" s="84">
        <f t="shared" si="223"/>
        <v>9182.4698847642376</v>
      </c>
      <c r="R186" s="84">
        <f t="shared" si="223"/>
        <v>9078.6997133521145</v>
      </c>
      <c r="S186" s="84">
        <f t="shared" si="223"/>
        <v>9627.5715313164346</v>
      </c>
      <c r="T186" s="84">
        <f t="shared" si="223"/>
        <v>9675.6815442885963</v>
      </c>
      <c r="U186" s="84">
        <f t="shared" si="223"/>
        <v>9640.0159812311322</v>
      </c>
      <c r="V186" s="84">
        <f t="shared" si="223"/>
        <v>6333.9090116097532</v>
      </c>
      <c r="W186" s="84">
        <f t="shared" si="221"/>
        <v>9178.6510357946045</v>
      </c>
      <c r="X186" s="84">
        <f t="shared" si="221"/>
        <v>9938.6259847191668</v>
      </c>
      <c r="Y186" s="84">
        <f t="shared" si="221"/>
        <v>9704.2826890699343</v>
      </c>
      <c r="DA186" s="171" t="s">
        <v>596</v>
      </c>
    </row>
    <row r="187" spans="1:105" ht="11.45" customHeight="1" x14ac:dyDescent="0.25">
      <c r="A187" s="111" t="s">
        <v>112</v>
      </c>
      <c r="B187" s="84">
        <f t="shared" si="223"/>
        <v>0</v>
      </c>
      <c r="C187" s="84">
        <f t="shared" si="223"/>
        <v>0</v>
      </c>
      <c r="D187" s="84">
        <f t="shared" si="223"/>
        <v>0</v>
      </c>
      <c r="E187" s="84">
        <f t="shared" si="223"/>
        <v>0</v>
      </c>
      <c r="F187" s="84">
        <f t="shared" si="223"/>
        <v>0</v>
      </c>
      <c r="G187" s="84">
        <f t="shared" si="223"/>
        <v>0</v>
      </c>
      <c r="H187" s="84">
        <f t="shared" si="223"/>
        <v>0</v>
      </c>
      <c r="I187" s="84">
        <f t="shared" si="223"/>
        <v>0</v>
      </c>
      <c r="J187" s="84">
        <f t="shared" si="223"/>
        <v>0</v>
      </c>
      <c r="K187" s="84">
        <f t="shared" si="223"/>
        <v>0</v>
      </c>
      <c r="L187" s="84">
        <f t="shared" si="223"/>
        <v>0</v>
      </c>
      <c r="M187" s="84">
        <f t="shared" si="222"/>
        <v>0</v>
      </c>
      <c r="N187" s="84">
        <f t="shared" si="223"/>
        <v>0</v>
      </c>
      <c r="O187" s="84">
        <f t="shared" si="223"/>
        <v>10708.603273725434</v>
      </c>
      <c r="P187" s="84">
        <f t="shared" si="223"/>
        <v>10065.637725220364</v>
      </c>
      <c r="Q187" s="84">
        <f t="shared" si="223"/>
        <v>9492.582846060679</v>
      </c>
      <c r="R187" s="84">
        <f t="shared" si="223"/>
        <v>9386.6507904386071</v>
      </c>
      <c r="S187" s="84">
        <f t="shared" si="223"/>
        <v>9977.8940507656425</v>
      </c>
      <c r="T187" s="84">
        <f t="shared" si="223"/>
        <v>10023.129413465722</v>
      </c>
      <c r="U187" s="84">
        <f t="shared" si="223"/>
        <v>9991.131404594651</v>
      </c>
      <c r="V187" s="84">
        <f t="shared" si="223"/>
        <v>6433.8518016128019</v>
      </c>
      <c r="W187" s="84">
        <f t="shared" si="221"/>
        <v>9502.1177601210802</v>
      </c>
      <c r="X187" s="84">
        <f t="shared" si="221"/>
        <v>10316.425320965123</v>
      </c>
      <c r="Y187" s="84">
        <f t="shared" si="221"/>
        <v>10053.613779592179</v>
      </c>
      <c r="DA187" s="171" t="s">
        <v>597</v>
      </c>
    </row>
    <row r="188" spans="1:105" ht="11.45" customHeight="1" x14ac:dyDescent="0.25">
      <c r="A188" s="111" t="s">
        <v>113</v>
      </c>
      <c r="B188" s="84">
        <f t="shared" si="223"/>
        <v>0</v>
      </c>
      <c r="C188" s="84">
        <f t="shared" si="223"/>
        <v>0</v>
      </c>
      <c r="D188" s="84">
        <f t="shared" si="223"/>
        <v>0</v>
      </c>
      <c r="E188" s="84">
        <f t="shared" si="223"/>
        <v>0</v>
      </c>
      <c r="F188" s="84">
        <f t="shared" si="223"/>
        <v>0</v>
      </c>
      <c r="G188" s="84">
        <f t="shared" si="223"/>
        <v>0</v>
      </c>
      <c r="H188" s="84">
        <f t="shared" si="223"/>
        <v>0</v>
      </c>
      <c r="I188" s="84">
        <f t="shared" si="223"/>
        <v>0</v>
      </c>
      <c r="J188" s="84">
        <f t="shared" si="223"/>
        <v>0</v>
      </c>
      <c r="K188" s="84">
        <f t="shared" si="223"/>
        <v>0</v>
      </c>
      <c r="L188" s="84">
        <f t="shared" si="223"/>
        <v>0</v>
      </c>
      <c r="M188" s="84">
        <f t="shared" si="222"/>
        <v>0</v>
      </c>
      <c r="N188" s="84">
        <f t="shared" si="223"/>
        <v>10763.656722863492</v>
      </c>
      <c r="O188" s="84">
        <f t="shared" si="223"/>
        <v>11192.184199084057</v>
      </c>
      <c r="P188" s="84">
        <f t="shared" si="223"/>
        <v>10520.183503139857</v>
      </c>
      <c r="Q188" s="84">
        <f t="shared" si="223"/>
        <v>9921.2505144207989</v>
      </c>
      <c r="R188" s="84">
        <f t="shared" si="223"/>
        <v>9810.5347610396966</v>
      </c>
      <c r="S188" s="84">
        <f t="shared" si="223"/>
        <v>10428.477484931931</v>
      </c>
      <c r="T188" s="84">
        <f t="shared" si="223"/>
        <v>10475.755593823487</v>
      </c>
      <c r="U188" s="84">
        <f t="shared" si="223"/>
        <v>10442.312613433351</v>
      </c>
      <c r="V188" s="84">
        <f t="shared" si="223"/>
        <v>6724.3927739801338</v>
      </c>
      <c r="W188" s="84">
        <f t="shared" si="221"/>
        <v>9931.2160077497283</v>
      </c>
      <c r="X188" s="84">
        <f t="shared" si="221"/>
        <v>10782.296207726427</v>
      </c>
      <c r="Y188" s="84">
        <f t="shared" si="221"/>
        <v>10507.616578132873</v>
      </c>
      <c r="DA188" s="171" t="s">
        <v>598</v>
      </c>
    </row>
    <row r="189" spans="1:105" ht="11.45" customHeight="1" x14ac:dyDescent="0.25">
      <c r="A189" s="111" t="s">
        <v>115</v>
      </c>
      <c r="B189" s="84">
        <f t="shared" si="223"/>
        <v>0</v>
      </c>
      <c r="C189" s="84">
        <f t="shared" si="223"/>
        <v>0</v>
      </c>
      <c r="D189" s="84">
        <f t="shared" si="223"/>
        <v>0</v>
      </c>
      <c r="E189" s="84">
        <f t="shared" si="223"/>
        <v>0</v>
      </c>
      <c r="F189" s="84">
        <f t="shared" si="223"/>
        <v>0</v>
      </c>
      <c r="G189" s="84">
        <f t="shared" si="223"/>
        <v>0</v>
      </c>
      <c r="H189" s="84">
        <f t="shared" si="223"/>
        <v>0</v>
      </c>
      <c r="I189" s="84">
        <f t="shared" si="223"/>
        <v>0</v>
      </c>
      <c r="J189" s="84">
        <f t="shared" si="223"/>
        <v>0</v>
      </c>
      <c r="K189" s="84">
        <f t="shared" si="223"/>
        <v>0</v>
      </c>
      <c r="L189" s="84">
        <f t="shared" si="223"/>
        <v>0</v>
      </c>
      <c r="M189" s="84">
        <f t="shared" si="222"/>
        <v>7504.06557038347</v>
      </c>
      <c r="N189" s="84">
        <f t="shared" si="223"/>
        <v>7505.066320049631</v>
      </c>
      <c r="O189" s="84">
        <f t="shared" si="223"/>
        <v>7519.0316995559333</v>
      </c>
      <c r="P189" s="84">
        <f t="shared" si="223"/>
        <v>7541.2348353786383</v>
      </c>
      <c r="Q189" s="84">
        <f t="shared" si="223"/>
        <v>7562.31386545443</v>
      </c>
      <c r="R189" s="84">
        <f t="shared" si="223"/>
        <v>7558.2737203834795</v>
      </c>
      <c r="S189" s="84">
        <f t="shared" si="223"/>
        <v>7536.3206251175425</v>
      </c>
      <c r="T189" s="84">
        <f t="shared" si="223"/>
        <v>7534.6975078651394</v>
      </c>
      <c r="U189" s="84">
        <f t="shared" si="223"/>
        <v>7533.5503393238141</v>
      </c>
      <c r="V189" s="84">
        <f t="shared" si="223"/>
        <v>5501.3406644066445</v>
      </c>
      <c r="W189" s="84">
        <f t="shared" si="221"/>
        <v>7515.5691067036669</v>
      </c>
      <c r="X189" s="84">
        <f t="shared" si="221"/>
        <v>7522.0652453344774</v>
      </c>
      <c r="Y189" s="84">
        <f t="shared" si="221"/>
        <v>7531.3141718399129</v>
      </c>
      <c r="DA189" s="171" t="s">
        <v>599</v>
      </c>
    </row>
    <row r="190" spans="1:105" ht="11.45" customHeight="1" x14ac:dyDescent="0.25">
      <c r="A190" s="109" t="s">
        <v>154</v>
      </c>
      <c r="B190" s="110">
        <f t="shared" si="223"/>
        <v>20414.320193307918</v>
      </c>
      <c r="C190" s="110">
        <f t="shared" si="223"/>
        <v>21196.651711930699</v>
      </c>
      <c r="D190" s="110">
        <f t="shared" si="223"/>
        <v>23162.737496787275</v>
      </c>
      <c r="E190" s="110">
        <f t="shared" si="223"/>
        <v>23449.14808651332</v>
      </c>
      <c r="F190" s="110">
        <f t="shared" si="223"/>
        <v>25842.458395272119</v>
      </c>
      <c r="G190" s="110">
        <f t="shared" si="223"/>
        <v>26719.921421380444</v>
      </c>
      <c r="H190" s="110">
        <f t="shared" si="223"/>
        <v>27136.590766122998</v>
      </c>
      <c r="I190" s="110">
        <f t="shared" si="223"/>
        <v>28049.856557949348</v>
      </c>
      <c r="J190" s="110">
        <f t="shared" si="223"/>
        <v>25668.608506941982</v>
      </c>
      <c r="K190" s="110">
        <f t="shared" si="223"/>
        <v>23188.505527451656</v>
      </c>
      <c r="L190" s="110">
        <f t="shared" si="223"/>
        <v>22629.377931741376</v>
      </c>
      <c r="M190" s="110">
        <f t="shared" si="222"/>
        <v>22514.733378992431</v>
      </c>
      <c r="N190" s="110">
        <f t="shared" si="223"/>
        <v>22084.936513312827</v>
      </c>
      <c r="O190" s="110">
        <f t="shared" si="223"/>
        <v>28813.969926444563</v>
      </c>
      <c r="P190" s="110">
        <f t="shared" si="223"/>
        <v>29234.933475496844</v>
      </c>
      <c r="Q190" s="110">
        <f t="shared" si="223"/>
        <v>30536.85547240877</v>
      </c>
      <c r="R190" s="110">
        <f t="shared" si="223"/>
        <v>30373.252376717115</v>
      </c>
      <c r="S190" s="110">
        <f t="shared" si="223"/>
        <v>31414.9642664975</v>
      </c>
      <c r="T190" s="110">
        <f t="shared" si="223"/>
        <v>31423.984055048939</v>
      </c>
      <c r="U190" s="110">
        <f t="shared" si="223"/>
        <v>32285.835160387978</v>
      </c>
      <c r="V190" s="110">
        <f t="shared" si="223"/>
        <v>31119.140904555756</v>
      </c>
      <c r="W190" s="110">
        <f t="shared" si="221"/>
        <v>34102.232317460257</v>
      </c>
      <c r="X190" s="110">
        <f t="shared" si="221"/>
        <v>33615.06681392264</v>
      </c>
      <c r="Y190" s="110">
        <f t="shared" si="221"/>
        <v>32630.53131196016</v>
      </c>
      <c r="DA190" s="176" t="s">
        <v>600</v>
      </c>
    </row>
    <row r="191" spans="1:105" ht="11.45" customHeight="1" x14ac:dyDescent="0.25">
      <c r="A191" s="128" t="s">
        <v>27</v>
      </c>
      <c r="B191" s="102">
        <f t="shared" si="223"/>
        <v>17507.838058887679</v>
      </c>
      <c r="C191" s="102">
        <f t="shared" si="223"/>
        <v>18239.465207029305</v>
      </c>
      <c r="D191" s="102">
        <f t="shared" si="223"/>
        <v>20224.303299150288</v>
      </c>
      <c r="E191" s="102">
        <f t="shared" si="223"/>
        <v>20586.433848630601</v>
      </c>
      <c r="F191" s="102">
        <f t="shared" si="223"/>
        <v>22631.501977297637</v>
      </c>
      <c r="G191" s="102">
        <f t="shared" si="223"/>
        <v>23523.488895529506</v>
      </c>
      <c r="H191" s="102">
        <f t="shared" si="223"/>
        <v>23982.259148880661</v>
      </c>
      <c r="I191" s="102">
        <f t="shared" si="223"/>
        <v>24977.839554210899</v>
      </c>
      <c r="J191" s="102">
        <f t="shared" si="223"/>
        <v>22746.689744220705</v>
      </c>
      <c r="K191" s="102">
        <f t="shared" si="223"/>
        <v>20326.834660527074</v>
      </c>
      <c r="L191" s="102">
        <f t="shared" si="223"/>
        <v>19765.730903361102</v>
      </c>
      <c r="M191" s="102">
        <f t="shared" si="222"/>
        <v>19616.137597943394</v>
      </c>
      <c r="N191" s="102">
        <f t="shared" si="223"/>
        <v>19133.74333844554</v>
      </c>
      <c r="O191" s="102">
        <f t="shared" si="223"/>
        <v>24905.33371995838</v>
      </c>
      <c r="P191" s="102">
        <f t="shared" si="223"/>
        <v>25392.364646685812</v>
      </c>
      <c r="Q191" s="102">
        <f t="shared" si="223"/>
        <v>26615.977576806377</v>
      </c>
      <c r="R191" s="102">
        <f t="shared" si="223"/>
        <v>26523.548477451881</v>
      </c>
      <c r="S191" s="102">
        <f t="shared" si="223"/>
        <v>27585.135605451353</v>
      </c>
      <c r="T191" s="102">
        <f t="shared" si="223"/>
        <v>27557.587034075532</v>
      </c>
      <c r="U191" s="102">
        <f t="shared" si="223"/>
        <v>28386.762794353253</v>
      </c>
      <c r="V191" s="102">
        <f t="shared" si="223"/>
        <v>27395.246901406877</v>
      </c>
      <c r="W191" s="102">
        <f t="shared" si="221"/>
        <v>30233.54818471742</v>
      </c>
      <c r="X191" s="102">
        <f t="shared" si="221"/>
        <v>29628.45686808028</v>
      </c>
      <c r="Y191" s="102">
        <f t="shared" si="221"/>
        <v>28883.288047609934</v>
      </c>
      <c r="DA191" s="175" t="s">
        <v>601</v>
      </c>
    </row>
    <row r="192" spans="1:105" ht="11.45" customHeight="1" x14ac:dyDescent="0.25">
      <c r="A192" s="138" t="s">
        <v>116</v>
      </c>
      <c r="B192" s="86">
        <f t="shared" si="223"/>
        <v>84999.388348567154</v>
      </c>
      <c r="C192" s="86">
        <f t="shared" si="223"/>
        <v>84999.026237513346</v>
      </c>
      <c r="D192" s="86">
        <f t="shared" si="223"/>
        <v>85000.945913987045</v>
      </c>
      <c r="E192" s="86">
        <f t="shared" si="223"/>
        <v>85000.136581900078</v>
      </c>
      <c r="F192" s="86">
        <f t="shared" si="223"/>
        <v>84999.170854515862</v>
      </c>
      <c r="G192" s="86">
        <f t="shared" si="223"/>
        <v>85000.122717574137</v>
      </c>
      <c r="H192" s="86">
        <f t="shared" si="223"/>
        <v>84999.237216375099</v>
      </c>
      <c r="I192" s="86">
        <f t="shared" si="223"/>
        <v>84999.724007364712</v>
      </c>
      <c r="J192" s="86">
        <f t="shared" si="223"/>
        <v>85000.874525091524</v>
      </c>
      <c r="K192" s="86">
        <f t="shared" si="223"/>
        <v>84998.872879241855</v>
      </c>
      <c r="L192" s="86">
        <f t="shared" si="223"/>
        <v>85001.275898186344</v>
      </c>
      <c r="M192" s="86">
        <f t="shared" si="222"/>
        <v>84998.698124687275</v>
      </c>
      <c r="N192" s="86">
        <f t="shared" si="223"/>
        <v>84999.653403035045</v>
      </c>
      <c r="O192" s="86">
        <f t="shared" si="223"/>
        <v>84999.237764538368</v>
      </c>
      <c r="P192" s="86">
        <f t="shared" si="223"/>
        <v>84999.539390745893</v>
      </c>
      <c r="Q192" s="86">
        <f t="shared" si="223"/>
        <v>84999.358793650958</v>
      </c>
      <c r="R192" s="86">
        <f t="shared" si="223"/>
        <v>84999.615167165291</v>
      </c>
      <c r="S192" s="86">
        <f t="shared" si="223"/>
        <v>85000.850476932741</v>
      </c>
      <c r="T192" s="86">
        <f t="shared" si="223"/>
        <v>85000.12597923429</v>
      </c>
      <c r="U192" s="86">
        <f t="shared" si="223"/>
        <v>85000.098431210819</v>
      </c>
      <c r="V192" s="86">
        <f t="shared" ref="V192:W192" si="224">IF(V55=0,0,V55*1000000/V82)</f>
        <v>84999.473470184152</v>
      </c>
      <c r="W192" s="86">
        <f t="shared" si="224"/>
        <v>85000.79887525829</v>
      </c>
      <c r="X192" s="86">
        <f t="shared" ref="X192:Y192" si="225">IF(X55=0,0,X55*1000000/X82)</f>
        <v>85000.919476869196</v>
      </c>
      <c r="Y192" s="86">
        <f t="shared" si="225"/>
        <v>84999.665761041309</v>
      </c>
      <c r="DA192" s="178" t="s">
        <v>602</v>
      </c>
    </row>
    <row r="193" spans="1:105" ht="11.45" customHeight="1" x14ac:dyDescent="0.25">
      <c r="A193" s="106"/>
      <c r="B193" s="106"/>
      <c r="C193" s="106"/>
      <c r="D193" s="106"/>
      <c r="E193" s="106"/>
      <c r="F193" s="106"/>
      <c r="G193" s="106"/>
      <c r="H193" s="106"/>
      <c r="I193" s="106"/>
      <c r="J193" s="106"/>
      <c r="K193" s="106"/>
      <c r="L193" s="106"/>
      <c r="M193" s="106"/>
      <c r="N193" s="106"/>
      <c r="O193" s="106"/>
      <c r="P193" s="106"/>
      <c r="Q193" s="106"/>
      <c r="R193" s="106"/>
      <c r="S193" s="106"/>
      <c r="T193" s="106"/>
      <c r="U193" s="106"/>
      <c r="V193" s="106"/>
      <c r="W193" s="106"/>
      <c r="X193" s="106"/>
      <c r="Y193" s="106"/>
      <c r="DA193" s="171"/>
    </row>
    <row r="194" spans="1:105" ht="11.45" customHeight="1" x14ac:dyDescent="0.25">
      <c r="A194" s="53" t="s">
        <v>137</v>
      </c>
      <c r="B194" s="62"/>
      <c r="C194" s="62"/>
      <c r="D194" s="62"/>
      <c r="E194" s="62"/>
      <c r="F194" s="62"/>
      <c r="G194" s="62"/>
      <c r="H194" s="62"/>
      <c r="I194" s="62"/>
      <c r="J194" s="62"/>
      <c r="K194" s="62"/>
      <c r="L194" s="62"/>
      <c r="M194" s="62"/>
      <c r="N194" s="62"/>
      <c r="O194" s="62"/>
      <c r="P194" s="62"/>
      <c r="Q194" s="62"/>
      <c r="R194" s="62"/>
      <c r="S194" s="62"/>
      <c r="T194" s="62"/>
      <c r="U194" s="62"/>
      <c r="V194" s="62"/>
      <c r="W194" s="62"/>
      <c r="X194" s="62"/>
      <c r="Y194" s="62"/>
      <c r="DA194" s="172"/>
    </row>
    <row r="195" spans="1:105" ht="11.45" customHeight="1" x14ac:dyDescent="0.25">
      <c r="A195" s="27" t="s">
        <v>107</v>
      </c>
      <c r="B195" s="28">
        <f t="shared" ref="B195:L195" si="226">IF(B4=0,0,B4*1000000/B58)</f>
        <v>17507.917892586182</v>
      </c>
      <c r="C195" s="28">
        <f t="shared" si="226"/>
        <v>17256.956985747049</v>
      </c>
      <c r="D195" s="28">
        <f t="shared" si="226"/>
        <v>16802.664686740671</v>
      </c>
      <c r="E195" s="28">
        <f t="shared" si="226"/>
        <v>17102.833503042461</v>
      </c>
      <c r="F195" s="28">
        <f t="shared" si="226"/>
        <v>16848.836468539776</v>
      </c>
      <c r="G195" s="28">
        <f t="shared" si="226"/>
        <v>18795.854110783795</v>
      </c>
      <c r="H195" s="28">
        <f t="shared" si="226"/>
        <v>17846.397444026232</v>
      </c>
      <c r="I195" s="28">
        <f t="shared" si="226"/>
        <v>18061.881797806444</v>
      </c>
      <c r="J195" s="28">
        <f t="shared" si="226"/>
        <v>17765.135300231013</v>
      </c>
      <c r="K195" s="28">
        <f t="shared" si="226"/>
        <v>17900.109992277212</v>
      </c>
      <c r="L195" s="28">
        <f t="shared" si="226"/>
        <v>17002.424590249004</v>
      </c>
      <c r="M195" s="28">
        <f>IF(M4=0,0,M4*1000000/M58)</f>
        <v>16907.195822031008</v>
      </c>
      <c r="N195" s="28">
        <f t="shared" ref="N195:V195" si="227">IF(N4=0,0,N4*1000000/N58)</f>
        <v>16336.444791172566</v>
      </c>
      <c r="O195" s="28">
        <f t="shared" si="227"/>
        <v>16261.30528816679</v>
      </c>
      <c r="P195" s="28">
        <f t="shared" si="227"/>
        <v>14957.436044645912</v>
      </c>
      <c r="Q195" s="28">
        <f t="shared" si="227"/>
        <v>15615.794540266206</v>
      </c>
      <c r="R195" s="28">
        <f t="shared" si="227"/>
        <v>16011.677108719845</v>
      </c>
      <c r="S195" s="28">
        <f t="shared" si="227"/>
        <v>13856.172317056784</v>
      </c>
      <c r="T195" s="28">
        <f t="shared" si="227"/>
        <v>13864.459526439769</v>
      </c>
      <c r="U195" s="28">
        <f t="shared" si="227"/>
        <v>13731.338534747367</v>
      </c>
      <c r="V195" s="28">
        <f t="shared" si="227"/>
        <v>10154.757939010802</v>
      </c>
      <c r="W195" s="28">
        <f t="shared" ref="W195:Y195" si="228">IF(W4=0,0,W4*1000000/W58)</f>
        <v>12458.777183665714</v>
      </c>
      <c r="X195" s="28">
        <f t="shared" si="228"/>
        <v>13552.684128162464</v>
      </c>
      <c r="Y195" s="28">
        <f t="shared" si="228"/>
        <v>13904.969519265436</v>
      </c>
      <c r="DA195" s="173" t="s">
        <v>603</v>
      </c>
    </row>
    <row r="196" spans="1:105" ht="11.45" customHeight="1" x14ac:dyDescent="0.25">
      <c r="A196" s="136" t="s">
        <v>173</v>
      </c>
      <c r="B196" s="137">
        <f t="shared" ref="B196:L196" si="229">IF(B5=0,0,B5*1000000/B59)</f>
        <v>3282.6492055576568</v>
      </c>
      <c r="C196" s="137">
        <f t="shared" si="229"/>
        <v>3438.6289698899191</v>
      </c>
      <c r="D196" s="137">
        <f t="shared" si="229"/>
        <v>2951.1194340863935</v>
      </c>
      <c r="E196" s="137">
        <f t="shared" si="229"/>
        <v>3278.1826765016622</v>
      </c>
      <c r="F196" s="137">
        <f t="shared" si="229"/>
        <v>2986.7469279332558</v>
      </c>
      <c r="G196" s="137">
        <f t="shared" si="229"/>
        <v>3239.6934080969277</v>
      </c>
      <c r="H196" s="137">
        <f t="shared" si="229"/>
        <v>3073.2082244979397</v>
      </c>
      <c r="I196" s="137">
        <f t="shared" si="229"/>
        <v>3275.3677107439189</v>
      </c>
      <c r="J196" s="137">
        <f t="shared" si="229"/>
        <v>3159.4985681165122</v>
      </c>
      <c r="K196" s="137">
        <f t="shared" si="229"/>
        <v>3260.247366604799</v>
      </c>
      <c r="L196" s="137">
        <f t="shared" si="229"/>
        <v>3275.4698328315112</v>
      </c>
      <c r="M196" s="137">
        <f>IF(M5=0,0,M5*1000000/M59)</f>
        <v>3031.9813239881537</v>
      </c>
      <c r="N196" s="137">
        <f t="shared" ref="N196:V196" si="230">IF(N5=0,0,N5*1000000/N59)</f>
        <v>2874.9674089716164</v>
      </c>
      <c r="O196" s="137">
        <f t="shared" si="230"/>
        <v>2852.9301328130819</v>
      </c>
      <c r="P196" s="137">
        <f t="shared" si="230"/>
        <v>3143.3548252348851</v>
      </c>
      <c r="Q196" s="137">
        <f t="shared" si="230"/>
        <v>3378.9340521842173</v>
      </c>
      <c r="R196" s="137">
        <f t="shared" si="230"/>
        <v>3475.4029601239972</v>
      </c>
      <c r="S196" s="137">
        <f t="shared" si="230"/>
        <v>3139.8244084750668</v>
      </c>
      <c r="T196" s="137">
        <f t="shared" si="230"/>
        <v>2940.6043576143038</v>
      </c>
      <c r="U196" s="137">
        <f t="shared" si="230"/>
        <v>3124.2510343188565</v>
      </c>
      <c r="V196" s="137">
        <f t="shared" si="230"/>
        <v>2678.2808328407514</v>
      </c>
      <c r="W196" s="137">
        <f t="shared" ref="W196:Y196" si="231">IF(W5=0,0,W5*1000000/W59)</f>
        <v>2808.8488637116534</v>
      </c>
      <c r="X196" s="137">
        <f t="shared" si="231"/>
        <v>2784.7883417080152</v>
      </c>
      <c r="Y196" s="137">
        <f t="shared" si="231"/>
        <v>2945.7360585205706</v>
      </c>
      <c r="DA196" s="174" t="s">
        <v>604</v>
      </c>
    </row>
    <row r="197" spans="1:105" ht="11.45" customHeight="1" x14ac:dyDescent="0.25">
      <c r="A197" s="109" t="s">
        <v>20</v>
      </c>
      <c r="B197" s="110">
        <f t="shared" ref="B197:V210" si="232">IF(B6=0,0,B6*1000000/B60)</f>
        <v>17324.911114299375</v>
      </c>
      <c r="C197" s="110">
        <f t="shared" si="232"/>
        <v>16966.282849429779</v>
      </c>
      <c r="D197" s="110">
        <f t="shared" si="232"/>
        <v>16815.245822879409</v>
      </c>
      <c r="E197" s="110">
        <f t="shared" si="232"/>
        <v>17226.455479452055</v>
      </c>
      <c r="F197" s="110">
        <f t="shared" si="232"/>
        <v>16896.530549585506</v>
      </c>
      <c r="G197" s="110">
        <f t="shared" si="232"/>
        <v>19387.095855054948</v>
      </c>
      <c r="H197" s="110">
        <f t="shared" si="232"/>
        <v>18641.048781646321</v>
      </c>
      <c r="I197" s="110">
        <f t="shared" si="232"/>
        <v>18615.946691176472</v>
      </c>
      <c r="J197" s="110">
        <f t="shared" si="232"/>
        <v>18305.983291939487</v>
      </c>
      <c r="K197" s="110">
        <f t="shared" si="232"/>
        <v>18658.660844250368</v>
      </c>
      <c r="L197" s="110">
        <f t="shared" si="232"/>
        <v>17849.578608588406</v>
      </c>
      <c r="M197" s="110">
        <f>IF(M6=0,0,M6*1000000/M60)</f>
        <v>17583.651299546618</v>
      </c>
      <c r="N197" s="110">
        <f t="shared" ref="N197:V197" si="233">IF(N6=0,0,N6*1000000/N60)</f>
        <v>16969.795037756201</v>
      </c>
      <c r="O197" s="110">
        <f t="shared" si="233"/>
        <v>16904.087208839952</v>
      </c>
      <c r="P197" s="110">
        <f t="shared" si="233"/>
        <v>15905.626800678292</v>
      </c>
      <c r="Q197" s="110">
        <f t="shared" si="233"/>
        <v>16375.900798752786</v>
      </c>
      <c r="R197" s="110">
        <f t="shared" si="233"/>
        <v>16743.753552060574</v>
      </c>
      <c r="S197" s="110">
        <f t="shared" si="233"/>
        <v>14942.000372814769</v>
      </c>
      <c r="T197" s="110">
        <f t="shared" si="233"/>
        <v>14940.150854309619</v>
      </c>
      <c r="U197" s="110">
        <f t="shared" si="233"/>
        <v>14727.194897049443</v>
      </c>
      <c r="V197" s="110">
        <f t="shared" si="233"/>
        <v>11056.568199526266</v>
      </c>
      <c r="W197" s="110">
        <f t="shared" ref="W197:Y209" si="234">IF(W6=0,0,W6*1000000/W60)</f>
        <v>13449.039008237654</v>
      </c>
      <c r="X197" s="110">
        <f t="shared" si="234"/>
        <v>14512.36833601328</v>
      </c>
      <c r="Y197" s="110">
        <f t="shared" si="234"/>
        <v>14793.829535637909</v>
      </c>
      <c r="DA197" s="176" t="s">
        <v>605</v>
      </c>
    </row>
    <row r="198" spans="1:105" ht="11.45" customHeight="1" x14ac:dyDescent="0.25">
      <c r="A198" s="111" t="s">
        <v>110</v>
      </c>
      <c r="B198" s="84">
        <f t="shared" si="232"/>
        <v>11877.325159783992</v>
      </c>
      <c r="C198" s="84">
        <f t="shared" si="232"/>
        <v>11296.609562917762</v>
      </c>
      <c r="D198" s="84">
        <f t="shared" si="232"/>
        <v>10883.320604948085</v>
      </c>
      <c r="E198" s="84">
        <f t="shared" si="232"/>
        <v>10769.517236627578</v>
      </c>
      <c r="F198" s="84">
        <f t="shared" si="232"/>
        <v>10223.795084135112</v>
      </c>
      <c r="G198" s="84">
        <f t="shared" si="232"/>
        <v>11375.159274607844</v>
      </c>
      <c r="H198" s="84">
        <f t="shared" si="232"/>
        <v>10613.818972909321</v>
      </c>
      <c r="I198" s="84">
        <f t="shared" si="232"/>
        <v>10344.08078549872</v>
      </c>
      <c r="J198" s="84">
        <f t="shared" si="232"/>
        <v>10020.374935549164</v>
      </c>
      <c r="K198" s="84">
        <f t="shared" si="232"/>
        <v>10060.627698196196</v>
      </c>
      <c r="L198" s="84">
        <f t="shared" si="232"/>
        <v>9505.6301515931336</v>
      </c>
      <c r="M198" s="84">
        <f t="shared" ref="M198:M219" si="235">IF(M7=0,0,M7*1000000/M61)</f>
        <v>9279.4569594514433</v>
      </c>
      <c r="N198" s="84">
        <f t="shared" si="232"/>
        <v>8888.0861622607681</v>
      </c>
      <c r="O198" s="84">
        <f t="shared" si="232"/>
        <v>8764.5027406201989</v>
      </c>
      <c r="P198" s="84">
        <f t="shared" si="232"/>
        <v>8163.8954180977125</v>
      </c>
      <c r="Q198" s="84">
        <f t="shared" si="232"/>
        <v>8352.1544544319222</v>
      </c>
      <c r="R198" s="84">
        <f t="shared" si="232"/>
        <v>8554.1249107697404</v>
      </c>
      <c r="S198" s="84">
        <f t="shared" si="232"/>
        <v>7499.6541970842018</v>
      </c>
      <c r="T198" s="84">
        <f t="shared" si="232"/>
        <v>7538.3282162485084</v>
      </c>
      <c r="U198" s="84">
        <f t="shared" si="232"/>
        <v>7485.5783756579876</v>
      </c>
      <c r="V198" s="84">
        <f t="shared" si="232"/>
        <v>4865.6317588313286</v>
      </c>
      <c r="W198" s="84">
        <f t="shared" si="234"/>
        <v>6298.3094447151743</v>
      </c>
      <c r="X198" s="84">
        <f t="shared" si="234"/>
        <v>7497.2533294596151</v>
      </c>
      <c r="Y198" s="84">
        <f t="shared" si="234"/>
        <v>8063.1163443961632</v>
      </c>
      <c r="DA198" s="171" t="s">
        <v>606</v>
      </c>
    </row>
    <row r="199" spans="1:105" ht="11.45" customHeight="1" x14ac:dyDescent="0.25">
      <c r="A199" s="111" t="s">
        <v>111</v>
      </c>
      <c r="B199" s="84">
        <f t="shared" si="232"/>
        <v>32020.799412796638</v>
      </c>
      <c r="C199" s="84">
        <f t="shared" si="232"/>
        <v>30455.21310502278</v>
      </c>
      <c r="D199" s="84">
        <f t="shared" si="232"/>
        <v>29341.002401464695</v>
      </c>
      <c r="E199" s="84">
        <f t="shared" si="232"/>
        <v>29034.19301631541</v>
      </c>
      <c r="F199" s="84">
        <f t="shared" si="232"/>
        <v>27562.94765214466</v>
      </c>
      <c r="G199" s="84">
        <f t="shared" si="232"/>
        <v>30666.98002460476</v>
      </c>
      <c r="H199" s="84">
        <f t="shared" si="232"/>
        <v>28614.436648246607</v>
      </c>
      <c r="I199" s="84">
        <f t="shared" si="232"/>
        <v>27887.233151091259</v>
      </c>
      <c r="J199" s="84">
        <f t="shared" si="232"/>
        <v>27014.5349677427</v>
      </c>
      <c r="K199" s="84">
        <f t="shared" si="232"/>
        <v>27123.054825639301</v>
      </c>
      <c r="L199" s="84">
        <f t="shared" si="232"/>
        <v>25626.803365374155</v>
      </c>
      <c r="M199" s="84">
        <f t="shared" si="235"/>
        <v>25017.049374413047</v>
      </c>
      <c r="N199" s="84">
        <f t="shared" si="232"/>
        <v>23961.929166430389</v>
      </c>
      <c r="O199" s="84">
        <f t="shared" si="232"/>
        <v>23628.753143894715</v>
      </c>
      <c r="P199" s="84">
        <f t="shared" si="232"/>
        <v>22009.539529581307</v>
      </c>
      <c r="Q199" s="84">
        <f t="shared" si="232"/>
        <v>22517.078454297734</v>
      </c>
      <c r="R199" s="84">
        <f t="shared" si="232"/>
        <v>23061.582825669338</v>
      </c>
      <c r="S199" s="84">
        <f t="shared" si="232"/>
        <v>20218.771438816035</v>
      </c>
      <c r="T199" s="84">
        <f t="shared" si="232"/>
        <v>20323.035066652039</v>
      </c>
      <c r="U199" s="84">
        <f t="shared" si="232"/>
        <v>20180.823580321321</v>
      </c>
      <c r="V199" s="84">
        <f t="shared" si="232"/>
        <v>15822.268817842059</v>
      </c>
      <c r="W199" s="84">
        <f t="shared" si="234"/>
        <v>19108.035597381702</v>
      </c>
      <c r="X199" s="84">
        <f t="shared" si="234"/>
        <v>20246.74420758634</v>
      </c>
      <c r="Y199" s="84">
        <f t="shared" si="234"/>
        <v>20410.301529032648</v>
      </c>
      <c r="DA199" s="171" t="s">
        <v>607</v>
      </c>
    </row>
    <row r="200" spans="1:105" ht="11.45" customHeight="1" x14ac:dyDescent="0.25">
      <c r="A200" s="111" t="s">
        <v>112</v>
      </c>
      <c r="B200" s="84">
        <f t="shared" si="232"/>
        <v>36428.502821581518</v>
      </c>
      <c r="C200" s="84">
        <f t="shared" si="232"/>
        <v>34696.591737465125</v>
      </c>
      <c r="D200" s="84">
        <f t="shared" si="232"/>
        <v>33471.866933160287</v>
      </c>
      <c r="E200" s="84">
        <f t="shared" si="232"/>
        <v>33174.624893330671</v>
      </c>
      <c r="F200" s="84">
        <f t="shared" si="232"/>
        <v>31539.241807669157</v>
      </c>
      <c r="G200" s="84">
        <f t="shared" si="232"/>
        <v>35138.23586297813</v>
      </c>
      <c r="H200" s="84">
        <f t="shared" si="232"/>
        <v>32827.544219393567</v>
      </c>
      <c r="I200" s="84">
        <f t="shared" si="232"/>
        <v>32025.206457834316</v>
      </c>
      <c r="J200" s="84">
        <f t="shared" si="232"/>
        <v>31041.807581870566</v>
      </c>
      <c r="K200" s="84">
        <f t="shared" si="232"/>
        <v>31184.70922391137</v>
      </c>
      <c r="L200" s="84">
        <f t="shared" si="232"/>
        <v>29478.405675788545</v>
      </c>
      <c r="M200" s="84">
        <f t="shared" si="235"/>
        <v>28786.883085166053</v>
      </c>
      <c r="N200" s="84">
        <f t="shared" si="232"/>
        <v>27580.085892911153</v>
      </c>
      <c r="O200" s="84">
        <f t="shared" si="232"/>
        <v>27206.753512543306</v>
      </c>
      <c r="P200" s="84">
        <f t="shared" si="232"/>
        <v>24199.372313669985</v>
      </c>
      <c r="Q200" s="84">
        <f t="shared" si="232"/>
        <v>23583.868735608474</v>
      </c>
      <c r="R200" s="84">
        <f t="shared" si="232"/>
        <v>25359.985284901803</v>
      </c>
      <c r="S200" s="84">
        <f t="shared" si="232"/>
        <v>23307.343246070177</v>
      </c>
      <c r="T200" s="84">
        <f t="shared" si="232"/>
        <v>23421.686675589423</v>
      </c>
      <c r="U200" s="84">
        <f t="shared" si="232"/>
        <v>23250.256096745248</v>
      </c>
      <c r="V200" s="84">
        <f t="shared" si="232"/>
        <v>15131.432487618558</v>
      </c>
      <c r="W200" s="84">
        <f t="shared" si="234"/>
        <v>20549.93093152795</v>
      </c>
      <c r="X200" s="84">
        <f t="shared" si="234"/>
        <v>22239.480370612848</v>
      </c>
      <c r="Y200" s="84">
        <f t="shared" si="234"/>
        <v>22815.950921893356</v>
      </c>
      <c r="DA200" s="171" t="s">
        <v>608</v>
      </c>
    </row>
    <row r="201" spans="1:105" ht="11.45" customHeight="1" x14ac:dyDescent="0.25">
      <c r="A201" s="111" t="s">
        <v>113</v>
      </c>
      <c r="B201" s="84">
        <f t="shared" si="232"/>
        <v>0</v>
      </c>
      <c r="C201" s="84">
        <f t="shared" si="232"/>
        <v>0</v>
      </c>
      <c r="D201" s="84">
        <f t="shared" si="232"/>
        <v>0</v>
      </c>
      <c r="E201" s="84">
        <f t="shared" si="232"/>
        <v>0</v>
      </c>
      <c r="F201" s="84">
        <f t="shared" si="232"/>
        <v>16245.613484163645</v>
      </c>
      <c r="G201" s="84">
        <f t="shared" si="232"/>
        <v>18099.426797460696</v>
      </c>
      <c r="H201" s="84">
        <f t="shared" si="232"/>
        <v>16909.207845728204</v>
      </c>
      <c r="I201" s="84">
        <f t="shared" si="232"/>
        <v>16495.930023847555</v>
      </c>
      <c r="J201" s="84">
        <f t="shared" si="232"/>
        <v>15989.389056975508</v>
      </c>
      <c r="K201" s="84">
        <f t="shared" si="232"/>
        <v>16062.99656019338</v>
      </c>
      <c r="L201" s="84">
        <f t="shared" si="232"/>
        <v>15184.093126226873</v>
      </c>
      <c r="M201" s="84">
        <f t="shared" si="235"/>
        <v>15096.766766224735</v>
      </c>
      <c r="N201" s="84">
        <f t="shared" si="232"/>
        <v>15225.140557242237</v>
      </c>
      <c r="O201" s="84">
        <f t="shared" si="232"/>
        <v>15809.52468626852</v>
      </c>
      <c r="P201" s="84">
        <f t="shared" si="232"/>
        <v>15506.935239486271</v>
      </c>
      <c r="Q201" s="84">
        <f t="shared" si="232"/>
        <v>16703.312816775637</v>
      </c>
      <c r="R201" s="84">
        <f t="shared" si="232"/>
        <v>17961.250208409161</v>
      </c>
      <c r="S201" s="84">
        <f t="shared" si="232"/>
        <v>16544.980157584756</v>
      </c>
      <c r="T201" s="84">
        <f t="shared" si="232"/>
        <v>17457.455535548379</v>
      </c>
      <c r="U201" s="84">
        <f t="shared" si="232"/>
        <v>17964.033960878052</v>
      </c>
      <c r="V201" s="84">
        <f t="shared" si="232"/>
        <v>11691.121420480395</v>
      </c>
      <c r="W201" s="84">
        <f t="shared" si="234"/>
        <v>15877.65982497476</v>
      </c>
      <c r="X201" s="84">
        <f t="shared" si="234"/>
        <v>18426.955340651435</v>
      </c>
      <c r="Y201" s="84">
        <f t="shared" si="234"/>
        <v>18940.481724178029</v>
      </c>
      <c r="DA201" s="171" t="s">
        <v>609</v>
      </c>
    </row>
    <row r="202" spans="1:105" ht="11.45" customHeight="1" x14ac:dyDescent="0.25">
      <c r="A202" s="111" t="s">
        <v>114</v>
      </c>
      <c r="B202" s="84">
        <f t="shared" si="232"/>
        <v>0</v>
      </c>
      <c r="C202" s="84">
        <f t="shared" si="232"/>
        <v>0</v>
      </c>
      <c r="D202" s="84">
        <f t="shared" si="232"/>
        <v>0</v>
      </c>
      <c r="E202" s="84">
        <f t="shared" si="232"/>
        <v>0</v>
      </c>
      <c r="F202" s="84">
        <f t="shared" si="232"/>
        <v>0</v>
      </c>
      <c r="G202" s="84">
        <f t="shared" si="232"/>
        <v>0</v>
      </c>
      <c r="H202" s="84">
        <f t="shared" si="232"/>
        <v>0</v>
      </c>
      <c r="I202" s="84">
        <f t="shared" si="232"/>
        <v>0</v>
      </c>
      <c r="J202" s="84">
        <f t="shared" si="232"/>
        <v>0</v>
      </c>
      <c r="K202" s="84">
        <f t="shared" si="232"/>
        <v>0</v>
      </c>
      <c r="L202" s="84">
        <f t="shared" si="232"/>
        <v>0</v>
      </c>
      <c r="M202" s="84">
        <f t="shared" si="235"/>
        <v>13214.211849378522</v>
      </c>
      <c r="N202" s="84">
        <f t="shared" si="232"/>
        <v>12660.248653345363</v>
      </c>
      <c r="O202" s="84">
        <f t="shared" si="232"/>
        <v>12488.875700260503</v>
      </c>
      <c r="P202" s="84">
        <f t="shared" si="232"/>
        <v>11637.350332412891</v>
      </c>
      <c r="Q202" s="84">
        <f t="shared" si="232"/>
        <v>11908.425808243917</v>
      </c>
      <c r="R202" s="84">
        <f t="shared" si="232"/>
        <v>12195.482980297214</v>
      </c>
      <c r="S202" s="84">
        <f t="shared" si="232"/>
        <v>10698.906525884351</v>
      </c>
      <c r="T202" s="84">
        <f t="shared" si="232"/>
        <v>10751.394261245685</v>
      </c>
      <c r="U202" s="84">
        <f t="shared" si="232"/>
        <v>10672.701476771361</v>
      </c>
      <c r="V202" s="84">
        <f t="shared" si="232"/>
        <v>6945.8702383445925</v>
      </c>
      <c r="W202" s="84">
        <f t="shared" si="234"/>
        <v>8983.9574971870825</v>
      </c>
      <c r="X202" s="84">
        <f t="shared" si="234"/>
        <v>9929.9138302832434</v>
      </c>
      <c r="Y202" s="84">
        <f t="shared" si="234"/>
        <v>9999.6083772069578</v>
      </c>
      <c r="DA202" s="171" t="s">
        <v>610</v>
      </c>
    </row>
    <row r="203" spans="1:105" ht="11.45" customHeight="1" x14ac:dyDescent="0.25">
      <c r="A203" s="111" t="s">
        <v>115</v>
      </c>
      <c r="B203" s="84">
        <f t="shared" si="232"/>
        <v>0</v>
      </c>
      <c r="C203" s="84">
        <f t="shared" si="232"/>
        <v>0</v>
      </c>
      <c r="D203" s="84">
        <f t="shared" si="232"/>
        <v>0</v>
      </c>
      <c r="E203" s="84">
        <f t="shared" si="232"/>
        <v>0</v>
      </c>
      <c r="F203" s="84">
        <f t="shared" si="232"/>
        <v>0</v>
      </c>
      <c r="G203" s="84">
        <f t="shared" si="232"/>
        <v>0</v>
      </c>
      <c r="H203" s="84">
        <f t="shared" si="232"/>
        <v>0</v>
      </c>
      <c r="I203" s="84">
        <f t="shared" si="232"/>
        <v>0</v>
      </c>
      <c r="J203" s="84">
        <f t="shared" si="232"/>
        <v>0</v>
      </c>
      <c r="K203" s="84">
        <f t="shared" si="232"/>
        <v>16201.170016613067</v>
      </c>
      <c r="L203" s="84">
        <f t="shared" si="232"/>
        <v>16247.65617971553</v>
      </c>
      <c r="M203" s="84">
        <f t="shared" si="235"/>
        <v>16612.078320780423</v>
      </c>
      <c r="N203" s="84">
        <f t="shared" si="232"/>
        <v>16980.95509253546</v>
      </c>
      <c r="O203" s="84">
        <f t="shared" si="232"/>
        <v>16906.523155094132</v>
      </c>
      <c r="P203" s="84">
        <f t="shared" si="232"/>
        <v>15682.204456837342</v>
      </c>
      <c r="Q203" s="84">
        <f t="shared" si="232"/>
        <v>15885.48775209264</v>
      </c>
      <c r="R203" s="84">
        <f t="shared" si="232"/>
        <v>16803.752775898607</v>
      </c>
      <c r="S203" s="84">
        <f t="shared" si="232"/>
        <v>14880.06027753337</v>
      </c>
      <c r="T203" s="84">
        <f t="shared" si="232"/>
        <v>14958.801946600006</v>
      </c>
      <c r="U203" s="84">
        <f t="shared" si="232"/>
        <v>13482.908707652798</v>
      </c>
      <c r="V203" s="84">
        <f t="shared" si="232"/>
        <v>9585.0269976253567</v>
      </c>
      <c r="W203" s="84">
        <f t="shared" si="234"/>
        <v>12057.252399064613</v>
      </c>
      <c r="X203" s="84">
        <f t="shared" si="234"/>
        <v>12950.254849301698</v>
      </c>
      <c r="Y203" s="84">
        <f t="shared" si="234"/>
        <v>12963.893778828751</v>
      </c>
      <c r="DA203" s="171" t="s">
        <v>611</v>
      </c>
    </row>
    <row r="204" spans="1:105" ht="11.45" customHeight="1" x14ac:dyDescent="0.25">
      <c r="A204" s="109" t="s">
        <v>21</v>
      </c>
      <c r="B204" s="110">
        <f t="shared" si="232"/>
        <v>916678.82147024502</v>
      </c>
      <c r="C204" s="110">
        <f t="shared" si="232"/>
        <v>919128.36372684955</v>
      </c>
      <c r="D204" s="110">
        <f t="shared" si="232"/>
        <v>878724.03925492882</v>
      </c>
      <c r="E204" s="110">
        <f t="shared" si="232"/>
        <v>875901.10535590316</v>
      </c>
      <c r="F204" s="110">
        <f t="shared" si="232"/>
        <v>934564.08104753413</v>
      </c>
      <c r="G204" s="110">
        <f t="shared" si="232"/>
        <v>912924.04889438266</v>
      </c>
      <c r="H204" s="110">
        <f t="shared" si="232"/>
        <v>815922.1247128431</v>
      </c>
      <c r="I204" s="110">
        <f t="shared" si="232"/>
        <v>966747.27932285366</v>
      </c>
      <c r="J204" s="110">
        <f t="shared" si="232"/>
        <v>978127.76215347543</v>
      </c>
      <c r="K204" s="110">
        <f t="shared" si="232"/>
        <v>910313.90134529152</v>
      </c>
      <c r="L204" s="110">
        <f t="shared" si="232"/>
        <v>815149.33141164226</v>
      </c>
      <c r="M204" s="110">
        <f t="shared" si="235"/>
        <v>893902.94749671267</v>
      </c>
      <c r="N204" s="110">
        <f t="shared" si="232"/>
        <v>874482.82497835078</v>
      </c>
      <c r="O204" s="110">
        <f t="shared" si="232"/>
        <v>898884.65905296197</v>
      </c>
      <c r="P204" s="110">
        <f t="shared" si="232"/>
        <v>660027.75966153271</v>
      </c>
      <c r="Q204" s="110">
        <f t="shared" si="232"/>
        <v>769916.35132443742</v>
      </c>
      <c r="R204" s="110">
        <f t="shared" si="232"/>
        <v>772389.14583265956</v>
      </c>
      <c r="S204" s="110">
        <f t="shared" si="232"/>
        <v>670682.11294541776</v>
      </c>
      <c r="T204" s="110">
        <f t="shared" si="232"/>
        <v>691070.70013096614</v>
      </c>
      <c r="U204" s="110">
        <f t="shared" si="232"/>
        <v>701314.04104532721</v>
      </c>
      <c r="V204" s="110">
        <f t="shared" si="232"/>
        <v>408242.93139517331</v>
      </c>
      <c r="W204" s="110">
        <f t="shared" si="234"/>
        <v>629463.90703197906</v>
      </c>
      <c r="X204" s="110">
        <f t="shared" si="234"/>
        <v>787119.03870940919</v>
      </c>
      <c r="Y204" s="110">
        <f t="shared" si="234"/>
        <v>853515.30860197637</v>
      </c>
      <c r="DA204" s="176" t="s">
        <v>612</v>
      </c>
    </row>
    <row r="205" spans="1:105" ht="11.45" customHeight="1" x14ac:dyDescent="0.25">
      <c r="A205" s="111" t="s">
        <v>110</v>
      </c>
      <c r="B205" s="102">
        <f t="shared" si="232"/>
        <v>199237.04019101258</v>
      </c>
      <c r="C205" s="102">
        <f t="shared" si="232"/>
        <v>199764.48965750221</v>
      </c>
      <c r="D205" s="102">
        <f t="shared" si="232"/>
        <v>190799.84906558253</v>
      </c>
      <c r="E205" s="102">
        <f t="shared" si="232"/>
        <v>190372.54662574228</v>
      </c>
      <c r="F205" s="102">
        <f t="shared" si="232"/>
        <v>203337.07038955076</v>
      </c>
      <c r="G205" s="102">
        <f t="shared" si="232"/>
        <v>198441.18389129499</v>
      </c>
      <c r="H205" s="102">
        <f t="shared" si="232"/>
        <v>177452.36281481746</v>
      </c>
      <c r="I205" s="102">
        <f t="shared" si="232"/>
        <v>210473.3242834743</v>
      </c>
      <c r="J205" s="102">
        <f t="shared" si="232"/>
        <v>212749.10816367227</v>
      </c>
      <c r="K205" s="102">
        <f t="shared" si="232"/>
        <v>197806.67579192572</v>
      </c>
      <c r="L205" s="102">
        <f t="shared" si="232"/>
        <v>176986.91283267905</v>
      </c>
      <c r="M205" s="102">
        <f t="shared" si="235"/>
        <v>194042.67410250509</v>
      </c>
      <c r="N205" s="102">
        <f t="shared" si="232"/>
        <v>189639.21870166031</v>
      </c>
      <c r="O205" s="102">
        <f t="shared" si="232"/>
        <v>194718.4145127027</v>
      </c>
      <c r="P205" s="102">
        <f t="shared" si="232"/>
        <v>142834.64572376694</v>
      </c>
      <c r="Q205" s="102">
        <f t="shared" si="232"/>
        <v>168471.56063885143</v>
      </c>
      <c r="R205" s="102">
        <f t="shared" si="232"/>
        <v>170502.20378214729</v>
      </c>
      <c r="S205" s="102">
        <f t="shared" si="232"/>
        <v>146989.65960985757</v>
      </c>
      <c r="T205" s="102">
        <f t="shared" si="232"/>
        <v>151521.72464548945</v>
      </c>
      <c r="U205" s="102">
        <f t="shared" si="232"/>
        <v>153830.32566126506</v>
      </c>
      <c r="V205" s="102">
        <f t="shared" si="232"/>
        <v>87798.668818976119</v>
      </c>
      <c r="W205" s="102">
        <f t="shared" si="234"/>
        <v>136948.08789650156</v>
      </c>
      <c r="X205" s="102">
        <f t="shared" si="234"/>
        <v>172261.20627464549</v>
      </c>
      <c r="Y205" s="102">
        <f t="shared" si="234"/>
        <v>187773.20341853</v>
      </c>
      <c r="DA205" s="175" t="s">
        <v>613</v>
      </c>
    </row>
    <row r="206" spans="1:105" ht="11.45" customHeight="1" x14ac:dyDescent="0.25">
      <c r="A206" s="111" t="s">
        <v>111</v>
      </c>
      <c r="B206" s="102">
        <f t="shared" si="232"/>
        <v>928350.85152037407</v>
      </c>
      <c r="C206" s="102">
        <f t="shared" si="232"/>
        <v>930848.61587559863</v>
      </c>
      <c r="D206" s="102">
        <f t="shared" si="232"/>
        <v>891390.7848988953</v>
      </c>
      <c r="E206" s="102">
        <f t="shared" si="232"/>
        <v>886790.13533477264</v>
      </c>
      <c r="F206" s="102">
        <f t="shared" si="232"/>
        <v>945358.99012650293</v>
      </c>
      <c r="G206" s="102">
        <f t="shared" si="232"/>
        <v>921773.03306023066</v>
      </c>
      <c r="H206" s="102">
        <f t="shared" si="232"/>
        <v>823140.11461949127</v>
      </c>
      <c r="I206" s="102">
        <f t="shared" si="232"/>
        <v>975780.85018284083</v>
      </c>
      <c r="J206" s="102">
        <f t="shared" si="232"/>
        <v>986337.79359352449</v>
      </c>
      <c r="K206" s="102">
        <f t="shared" si="232"/>
        <v>916978.5363238646</v>
      </c>
      <c r="L206" s="102">
        <f t="shared" si="232"/>
        <v>820552.24131766346</v>
      </c>
      <c r="M206" s="102">
        <f t="shared" si="235"/>
        <v>899425.70284031588</v>
      </c>
      <c r="N206" s="102">
        <f t="shared" si="232"/>
        <v>879290.7879011709</v>
      </c>
      <c r="O206" s="102">
        <f t="shared" si="232"/>
        <v>903201.18480103416</v>
      </c>
      <c r="P206" s="102">
        <f t="shared" si="232"/>
        <v>663076.14711525454</v>
      </c>
      <c r="Q206" s="102">
        <f t="shared" si="232"/>
        <v>763637.75790651585</v>
      </c>
      <c r="R206" s="102">
        <f t="shared" si="232"/>
        <v>762779.45328020083</v>
      </c>
      <c r="S206" s="102">
        <f t="shared" si="232"/>
        <v>629505.78114808397</v>
      </c>
      <c r="T206" s="102">
        <f t="shared" si="232"/>
        <v>639896.8098872538</v>
      </c>
      <c r="U206" s="102">
        <f t="shared" si="232"/>
        <v>633128.6258713929</v>
      </c>
      <c r="V206" s="102">
        <f t="shared" si="232"/>
        <v>359700.51601649931</v>
      </c>
      <c r="W206" s="102">
        <f t="shared" si="234"/>
        <v>550768.65619254683</v>
      </c>
      <c r="X206" s="102">
        <f t="shared" si="234"/>
        <v>689558.77360808477</v>
      </c>
      <c r="Y206" s="102">
        <f t="shared" si="234"/>
        <v>742027.04659262008</v>
      </c>
      <c r="DA206" s="175" t="s">
        <v>614</v>
      </c>
    </row>
    <row r="207" spans="1:105" ht="11.45" customHeight="1" x14ac:dyDescent="0.25">
      <c r="A207" s="111" t="s">
        <v>112</v>
      </c>
      <c r="B207" s="102">
        <f t="shared" si="232"/>
        <v>0</v>
      </c>
      <c r="C207" s="102">
        <f t="shared" si="232"/>
        <v>0</v>
      </c>
      <c r="D207" s="102">
        <f t="shared" si="232"/>
        <v>0</v>
      </c>
      <c r="E207" s="102">
        <f t="shared" si="232"/>
        <v>0</v>
      </c>
      <c r="F207" s="102">
        <f t="shared" si="232"/>
        <v>0</v>
      </c>
      <c r="G207" s="102">
        <f t="shared" si="232"/>
        <v>0</v>
      </c>
      <c r="H207" s="102">
        <f t="shared" si="232"/>
        <v>0</v>
      </c>
      <c r="I207" s="102">
        <f t="shared" si="232"/>
        <v>0</v>
      </c>
      <c r="J207" s="102">
        <f t="shared" si="232"/>
        <v>0</v>
      </c>
      <c r="K207" s="102">
        <f t="shared" si="232"/>
        <v>0</v>
      </c>
      <c r="L207" s="102">
        <f t="shared" si="232"/>
        <v>0</v>
      </c>
      <c r="M207" s="102">
        <f t="shared" si="235"/>
        <v>0</v>
      </c>
      <c r="N207" s="102">
        <f t="shared" si="232"/>
        <v>0</v>
      </c>
      <c r="O207" s="102">
        <f t="shared" si="232"/>
        <v>0</v>
      </c>
      <c r="P207" s="102">
        <f t="shared" si="232"/>
        <v>382047.74654486781</v>
      </c>
      <c r="Q207" s="102">
        <f t="shared" si="232"/>
        <v>450539.41963280557</v>
      </c>
      <c r="R207" s="102">
        <f t="shared" si="232"/>
        <v>446909.2403377954</v>
      </c>
      <c r="S207" s="102">
        <f t="shared" si="232"/>
        <v>385702.28836071264</v>
      </c>
      <c r="T207" s="102">
        <f t="shared" si="232"/>
        <v>397432.44943598664</v>
      </c>
      <c r="U207" s="102">
        <f t="shared" si="232"/>
        <v>403333.48638185661</v>
      </c>
      <c r="V207" s="102">
        <f t="shared" si="232"/>
        <v>230132.62562288935</v>
      </c>
      <c r="W207" s="102">
        <f t="shared" si="234"/>
        <v>358934.32815527637</v>
      </c>
      <c r="X207" s="102">
        <f t="shared" si="234"/>
        <v>451399.13768333738</v>
      </c>
      <c r="Y207" s="102">
        <f t="shared" si="234"/>
        <v>491919.94713803672</v>
      </c>
      <c r="DA207" s="175" t="s">
        <v>615</v>
      </c>
    </row>
    <row r="208" spans="1:105" ht="11.45" customHeight="1" x14ac:dyDescent="0.25">
      <c r="A208" s="111" t="s">
        <v>113</v>
      </c>
      <c r="B208" s="102">
        <f t="shared" si="232"/>
        <v>1468680.2474861569</v>
      </c>
      <c r="C208" s="102">
        <f t="shared" si="232"/>
        <v>1473144.2220010259</v>
      </c>
      <c r="D208" s="102">
        <f t="shared" si="232"/>
        <v>1429104.6470660197</v>
      </c>
      <c r="E208" s="102">
        <f t="shared" si="232"/>
        <v>1403792.8590737339</v>
      </c>
      <c r="F208" s="102">
        <f t="shared" si="232"/>
        <v>1474024.7976235829</v>
      </c>
      <c r="G208" s="102">
        <f t="shared" si="232"/>
        <v>1459513.7912792363</v>
      </c>
      <c r="H208" s="102">
        <f t="shared" si="232"/>
        <v>1293433.474041821</v>
      </c>
      <c r="I208" s="102">
        <f t="shared" si="232"/>
        <v>1509627.7255845289</v>
      </c>
      <c r="J208" s="102">
        <f t="shared" si="232"/>
        <v>1548516.4218757662</v>
      </c>
      <c r="K208" s="102">
        <f t="shared" si="232"/>
        <v>1461733.7925732431</v>
      </c>
      <c r="L208" s="102">
        <f t="shared" si="232"/>
        <v>1324317.3864800516</v>
      </c>
      <c r="M208" s="102">
        <f t="shared" si="235"/>
        <v>1456870.5655354785</v>
      </c>
      <c r="N208" s="102">
        <f t="shared" si="232"/>
        <v>1446213.8918318911</v>
      </c>
      <c r="O208" s="102">
        <f t="shared" si="232"/>
        <v>1511058.6296600578</v>
      </c>
      <c r="P208" s="102">
        <f t="shared" si="232"/>
        <v>1126016.9830063628</v>
      </c>
      <c r="Q208" s="102">
        <f t="shared" si="232"/>
        <v>1293138.5148680073</v>
      </c>
      <c r="R208" s="102">
        <f t="shared" si="232"/>
        <v>1320279.5942370745</v>
      </c>
      <c r="S208" s="102">
        <f t="shared" si="232"/>
        <v>1677337.7900841206</v>
      </c>
      <c r="T208" s="102">
        <f t="shared" si="232"/>
        <v>1728349.7831395785</v>
      </c>
      <c r="U208" s="102">
        <f t="shared" si="232"/>
        <v>1754012.1464925637</v>
      </c>
      <c r="V208" s="102">
        <f t="shared" si="232"/>
        <v>1000798.1838250157</v>
      </c>
      <c r="W208" s="102">
        <f t="shared" si="234"/>
        <v>1560929.5846600027</v>
      </c>
      <c r="X208" s="102">
        <f t="shared" si="234"/>
        <v>1963039.5123286215</v>
      </c>
      <c r="Y208" s="102">
        <f t="shared" si="234"/>
        <v>2139255.9544763579</v>
      </c>
      <c r="DA208" s="175" t="s">
        <v>616</v>
      </c>
    </row>
    <row r="209" spans="1:105" ht="11.45" customHeight="1" x14ac:dyDescent="0.25">
      <c r="A209" s="111" t="s">
        <v>115</v>
      </c>
      <c r="B209" s="102">
        <f t="shared" si="232"/>
        <v>0</v>
      </c>
      <c r="C209" s="102">
        <f t="shared" si="232"/>
        <v>0</v>
      </c>
      <c r="D209" s="102">
        <f t="shared" si="232"/>
        <v>0</v>
      </c>
      <c r="E209" s="102">
        <f t="shared" si="232"/>
        <v>0</v>
      </c>
      <c r="F209" s="102">
        <f t="shared" si="232"/>
        <v>0</v>
      </c>
      <c r="G209" s="102">
        <f t="shared" si="232"/>
        <v>0</v>
      </c>
      <c r="H209" s="102">
        <f t="shared" si="232"/>
        <v>0</v>
      </c>
      <c r="I209" s="102">
        <f t="shared" si="232"/>
        <v>0</v>
      </c>
      <c r="J209" s="102">
        <f t="shared" si="232"/>
        <v>0</v>
      </c>
      <c r="K209" s="102">
        <f t="shared" si="232"/>
        <v>0</v>
      </c>
      <c r="L209" s="102">
        <f t="shared" si="232"/>
        <v>0</v>
      </c>
      <c r="M209" s="102">
        <f t="shared" si="235"/>
        <v>0</v>
      </c>
      <c r="N209" s="102">
        <f t="shared" si="232"/>
        <v>0</v>
      </c>
      <c r="O209" s="102">
        <f t="shared" si="232"/>
        <v>1314035.1062283458</v>
      </c>
      <c r="P209" s="102">
        <f t="shared" si="232"/>
        <v>985055.65463683591</v>
      </c>
      <c r="Q209" s="102">
        <f t="shared" si="232"/>
        <v>1126609.254066699</v>
      </c>
      <c r="R209" s="102">
        <f t="shared" si="232"/>
        <v>1155677.2345145498</v>
      </c>
      <c r="S209" s="102">
        <f t="shared" si="232"/>
        <v>1151714.7406588101</v>
      </c>
      <c r="T209" s="102">
        <f t="shared" si="232"/>
        <v>1175828.5939188972</v>
      </c>
      <c r="U209" s="102">
        <f t="shared" si="232"/>
        <v>1182635.6251693354</v>
      </c>
      <c r="V209" s="102">
        <f t="shared" si="232"/>
        <v>838159.58651697671</v>
      </c>
      <c r="W209" s="102">
        <f t="shared" si="234"/>
        <v>1239045.8699673179</v>
      </c>
      <c r="X209" s="102">
        <f t="shared" si="234"/>
        <v>1384823.9712396702</v>
      </c>
      <c r="Y209" s="102">
        <f t="shared" si="234"/>
        <v>1350945.5985427867</v>
      </c>
      <c r="DA209" s="175" t="s">
        <v>617</v>
      </c>
    </row>
    <row r="210" spans="1:105" ht="11.45" customHeight="1" x14ac:dyDescent="0.25">
      <c r="A210" s="27" t="s">
        <v>108</v>
      </c>
      <c r="B210" s="28">
        <f t="shared" si="232"/>
        <v>41905.744327367443</v>
      </c>
      <c r="C210" s="28">
        <f t="shared" si="232"/>
        <v>43561.08279239884</v>
      </c>
      <c r="D210" s="28">
        <f t="shared" si="232"/>
        <v>49021.028438182169</v>
      </c>
      <c r="E210" s="28">
        <f t="shared" si="232"/>
        <v>50233.30314784572</v>
      </c>
      <c r="F210" s="28">
        <f t="shared" ref="B210:V219" si="236">IF(F19=0,0,F19*1000000/F73)</f>
        <v>53272.164084522839</v>
      </c>
      <c r="G210" s="28">
        <f t="shared" si="236"/>
        <v>55179.75703135517</v>
      </c>
      <c r="H210" s="28">
        <f t="shared" si="236"/>
        <v>56717.392277832048</v>
      </c>
      <c r="I210" s="28">
        <f t="shared" si="236"/>
        <v>52972.601499195393</v>
      </c>
      <c r="J210" s="28">
        <f t="shared" si="236"/>
        <v>52127.909358570869</v>
      </c>
      <c r="K210" s="28">
        <f t="shared" si="236"/>
        <v>52023.000805753429</v>
      </c>
      <c r="L210" s="28">
        <f t="shared" si="236"/>
        <v>53274.631743104546</v>
      </c>
      <c r="M210" s="28">
        <f t="shared" si="235"/>
        <v>54189.605482453073</v>
      </c>
      <c r="N210" s="28">
        <f t="shared" si="236"/>
        <v>54961.133793237066</v>
      </c>
      <c r="O210" s="28">
        <f t="shared" si="236"/>
        <v>58609.878202834298</v>
      </c>
      <c r="P210" s="28">
        <f t="shared" si="236"/>
        <v>57107.013618069526</v>
      </c>
      <c r="Q210" s="28">
        <f t="shared" si="236"/>
        <v>55972.634051568093</v>
      </c>
      <c r="R210" s="28">
        <f t="shared" si="236"/>
        <v>59272.424935049712</v>
      </c>
      <c r="S210" s="28">
        <f t="shared" si="236"/>
        <v>61687.748138009141</v>
      </c>
      <c r="T210" s="28">
        <f t="shared" si="236"/>
        <v>62149.168161115696</v>
      </c>
      <c r="U210" s="28">
        <f t="shared" si="236"/>
        <v>64072.330775903407</v>
      </c>
      <c r="V210" s="28">
        <f t="shared" si="236"/>
        <v>61489.114144195228</v>
      </c>
      <c r="W210" s="28">
        <f t="shared" ref="W210:Y210" si="237">IF(W19=0,0,W19*1000000/W73)</f>
        <v>68956.566963766614</v>
      </c>
      <c r="X210" s="28">
        <f t="shared" si="237"/>
        <v>67995.080789197018</v>
      </c>
      <c r="Y210" s="28">
        <f t="shared" si="237"/>
        <v>66183.130538067679</v>
      </c>
      <c r="DA210" s="173" t="s">
        <v>618</v>
      </c>
    </row>
    <row r="211" spans="1:105" ht="11.45" customHeight="1" x14ac:dyDescent="0.25">
      <c r="A211" s="136" t="s">
        <v>153</v>
      </c>
      <c r="B211" s="137">
        <f t="shared" si="236"/>
        <v>2746.394436770312</v>
      </c>
      <c r="C211" s="137">
        <f t="shared" si="236"/>
        <v>3184.0798735288263</v>
      </c>
      <c r="D211" s="137">
        <f t="shared" si="236"/>
        <v>3053.295788756378</v>
      </c>
      <c r="E211" s="137">
        <f t="shared" si="236"/>
        <v>3214.5191371870683</v>
      </c>
      <c r="F211" s="137">
        <f t="shared" si="236"/>
        <v>3196.0436538981571</v>
      </c>
      <c r="G211" s="137">
        <f t="shared" si="236"/>
        <v>2988.3242595485885</v>
      </c>
      <c r="H211" s="137">
        <f t="shared" si="236"/>
        <v>3120.9246694329745</v>
      </c>
      <c r="I211" s="137">
        <f t="shared" si="236"/>
        <v>3088.1506335116965</v>
      </c>
      <c r="J211" s="137">
        <f t="shared" si="236"/>
        <v>3106.4886829536322</v>
      </c>
      <c r="K211" s="137">
        <f t="shared" si="236"/>
        <v>3202.214194631078</v>
      </c>
      <c r="L211" s="137">
        <f t="shared" si="236"/>
        <v>3363.2395796437636</v>
      </c>
      <c r="M211" s="137">
        <f t="shared" si="235"/>
        <v>3446.2544158330193</v>
      </c>
      <c r="N211" s="137">
        <f t="shared" si="236"/>
        <v>3452.5170848893458</v>
      </c>
      <c r="O211" s="137">
        <f t="shared" si="236"/>
        <v>3556.6946390852349</v>
      </c>
      <c r="P211" s="137">
        <f t="shared" si="236"/>
        <v>3396.1821975532293</v>
      </c>
      <c r="Q211" s="137">
        <f t="shared" si="236"/>
        <v>3247.9357258472587</v>
      </c>
      <c r="R211" s="137">
        <f t="shared" si="236"/>
        <v>3220.4643348221707</v>
      </c>
      <c r="S211" s="137">
        <f t="shared" si="236"/>
        <v>3372.9361251233831</v>
      </c>
      <c r="T211" s="137">
        <f t="shared" si="236"/>
        <v>3383.6374716020082</v>
      </c>
      <c r="U211" s="137">
        <f t="shared" si="236"/>
        <v>3374.177558404162</v>
      </c>
      <c r="V211" s="137">
        <f t="shared" si="236"/>
        <v>2282.6923659945537</v>
      </c>
      <c r="W211" s="137">
        <f t="shared" ref="W211:Y211" si="238">IF(W20=0,0,W20*1000000/W74)</f>
        <v>3246.8061982530789</v>
      </c>
      <c r="X211" s="137">
        <f t="shared" si="238"/>
        <v>3456.7769892353408</v>
      </c>
      <c r="Y211" s="137">
        <f t="shared" si="238"/>
        <v>3390.437377906349</v>
      </c>
      <c r="DA211" s="174" t="s">
        <v>619</v>
      </c>
    </row>
    <row r="212" spans="1:105" ht="11.45" customHeight="1" x14ac:dyDescent="0.25">
      <c r="A212" s="111" t="s">
        <v>110</v>
      </c>
      <c r="B212" s="84">
        <f t="shared" si="236"/>
        <v>2006.7554037020557</v>
      </c>
      <c r="C212" s="84">
        <f t="shared" si="236"/>
        <v>2250.8209956129153</v>
      </c>
      <c r="D212" s="84">
        <f t="shared" si="236"/>
        <v>2234.2812708738393</v>
      </c>
      <c r="E212" s="84">
        <f t="shared" si="236"/>
        <v>2316.7840837918693</v>
      </c>
      <c r="F212" s="84">
        <f t="shared" si="236"/>
        <v>2262.416833689846</v>
      </c>
      <c r="G212" s="84">
        <f t="shared" si="236"/>
        <v>2061.6346545555302</v>
      </c>
      <c r="H212" s="84">
        <f t="shared" si="236"/>
        <v>2106.5001768797979</v>
      </c>
      <c r="I212" s="84">
        <f t="shared" si="236"/>
        <v>2047.8285447669202</v>
      </c>
      <c r="J212" s="84">
        <f t="shared" si="236"/>
        <v>1981.0262997764496</v>
      </c>
      <c r="K212" s="84">
        <f t="shared" si="236"/>
        <v>1966.9839551704367</v>
      </c>
      <c r="L212" s="84">
        <f t="shared" si="236"/>
        <v>1991.4878212678523</v>
      </c>
      <c r="M212" s="84">
        <f t="shared" si="235"/>
        <v>1965.3090426470085</v>
      </c>
      <c r="N212" s="84">
        <f t="shared" si="236"/>
        <v>2016.0690862068184</v>
      </c>
      <c r="O212" s="84">
        <f t="shared" si="236"/>
        <v>2155.8051321211228</v>
      </c>
      <c r="P212" s="84">
        <f t="shared" si="236"/>
        <v>2137.5554533001186</v>
      </c>
      <c r="Q212" s="84">
        <f t="shared" si="236"/>
        <v>2125.0687575520951</v>
      </c>
      <c r="R212" s="84">
        <f t="shared" si="236"/>
        <v>2162.9448388983824</v>
      </c>
      <c r="S212" s="84">
        <f t="shared" si="236"/>
        <v>2269.9589472356824</v>
      </c>
      <c r="T212" s="84">
        <f t="shared" si="236"/>
        <v>2251.7321405236285</v>
      </c>
      <c r="U212" s="84">
        <f t="shared" si="236"/>
        <v>2335.3782576008703</v>
      </c>
      <c r="V212" s="84">
        <f t="shared" si="236"/>
        <v>1639.023483007041</v>
      </c>
      <c r="W212" s="84">
        <f t="shared" ref="W212:Y212" si="239">IF(W21=0,0,W21*1000000/W75)</f>
        <v>2372.9859275556264</v>
      </c>
      <c r="X212" s="84">
        <f t="shared" si="239"/>
        <v>2432.4342578242313</v>
      </c>
      <c r="Y212" s="84">
        <f t="shared" si="239"/>
        <v>2286.9378502045756</v>
      </c>
      <c r="DA212" s="171" t="s">
        <v>620</v>
      </c>
    </row>
    <row r="213" spans="1:105" ht="11.45" customHeight="1" x14ac:dyDescent="0.25">
      <c r="A213" s="111" t="s">
        <v>111</v>
      </c>
      <c r="B213" s="84">
        <f t="shared" si="236"/>
        <v>2829.441894963074</v>
      </c>
      <c r="C213" s="84">
        <f t="shared" si="236"/>
        <v>3279.5841207689341</v>
      </c>
      <c r="D213" s="84">
        <f t="shared" si="236"/>
        <v>3114.4323177742413</v>
      </c>
      <c r="E213" s="84">
        <f t="shared" si="236"/>
        <v>3269.1602479447429</v>
      </c>
      <c r="F213" s="84">
        <f t="shared" si="236"/>
        <v>3241.8169775348269</v>
      </c>
      <c r="G213" s="84">
        <f t="shared" si="236"/>
        <v>3025.4800393923601</v>
      </c>
      <c r="H213" s="84">
        <f t="shared" si="236"/>
        <v>3154.6752637840286</v>
      </c>
      <c r="I213" s="84">
        <f t="shared" si="236"/>
        <v>3115.1340725598357</v>
      </c>
      <c r="J213" s="84">
        <f t="shared" si="236"/>
        <v>3133.1938354299223</v>
      </c>
      <c r="K213" s="84">
        <f t="shared" si="236"/>
        <v>3232.5862835907897</v>
      </c>
      <c r="L213" s="84">
        <f t="shared" si="236"/>
        <v>3396.3516673824456</v>
      </c>
      <c r="M213" s="84">
        <f t="shared" si="235"/>
        <v>3484.9433734283007</v>
      </c>
      <c r="N213" s="84">
        <f t="shared" si="236"/>
        <v>3493.7297517107481</v>
      </c>
      <c r="O213" s="84">
        <f t="shared" si="236"/>
        <v>3596.4392204367441</v>
      </c>
      <c r="P213" s="84">
        <f t="shared" si="236"/>
        <v>3420.8096082636416</v>
      </c>
      <c r="Q213" s="84">
        <f t="shared" si="236"/>
        <v>3269.0515722762798</v>
      </c>
      <c r="R213" s="84">
        <f t="shared" si="236"/>
        <v>3239.4634418043779</v>
      </c>
      <c r="S213" s="84">
        <f t="shared" si="236"/>
        <v>3395.2172216675135</v>
      </c>
      <c r="T213" s="84">
        <f t="shared" si="236"/>
        <v>3408.783465825717</v>
      </c>
      <c r="U213" s="84">
        <f t="shared" si="236"/>
        <v>3398.727652265391</v>
      </c>
      <c r="V213" s="84">
        <f t="shared" si="236"/>
        <v>2297.1981839354321</v>
      </c>
      <c r="W213" s="84">
        <f t="shared" ref="W213:Y213" si="240">IF(W22=0,0,W22*1000000/W76)</f>
        <v>3267.963888142262</v>
      </c>
      <c r="X213" s="84">
        <f t="shared" si="240"/>
        <v>3482.693374700541</v>
      </c>
      <c r="Y213" s="84">
        <f t="shared" si="240"/>
        <v>3416.8421290734104</v>
      </c>
      <c r="DA213" s="171" t="s">
        <v>621</v>
      </c>
    </row>
    <row r="214" spans="1:105" ht="11.45" customHeight="1" x14ac:dyDescent="0.25">
      <c r="A214" s="111" t="s">
        <v>112</v>
      </c>
      <c r="B214" s="84">
        <f t="shared" si="236"/>
        <v>0</v>
      </c>
      <c r="C214" s="84">
        <f t="shared" si="236"/>
        <v>0</v>
      </c>
      <c r="D214" s="84">
        <f t="shared" si="236"/>
        <v>0</v>
      </c>
      <c r="E214" s="84">
        <f t="shared" si="236"/>
        <v>0</v>
      </c>
      <c r="F214" s="84">
        <f t="shared" si="236"/>
        <v>0</v>
      </c>
      <c r="G214" s="84">
        <f t="shared" si="236"/>
        <v>0</v>
      </c>
      <c r="H214" s="84">
        <f t="shared" si="236"/>
        <v>0</v>
      </c>
      <c r="I214" s="84">
        <f t="shared" si="236"/>
        <v>0</v>
      </c>
      <c r="J214" s="84">
        <f t="shared" si="236"/>
        <v>0</v>
      </c>
      <c r="K214" s="84">
        <f t="shared" si="236"/>
        <v>0</v>
      </c>
      <c r="L214" s="84">
        <f t="shared" si="236"/>
        <v>0</v>
      </c>
      <c r="M214" s="84">
        <f t="shared" si="235"/>
        <v>0</v>
      </c>
      <c r="N214" s="84">
        <f t="shared" si="236"/>
        <v>0</v>
      </c>
      <c r="O214" s="84">
        <f t="shared" si="236"/>
        <v>3355.7984577220918</v>
      </c>
      <c r="P214" s="84">
        <f t="shared" si="236"/>
        <v>3193.6156149079734</v>
      </c>
      <c r="Q214" s="84">
        <f t="shared" si="236"/>
        <v>3047.3134148105569</v>
      </c>
      <c r="R214" s="84">
        <f t="shared" si="236"/>
        <v>3020.0778323607037</v>
      </c>
      <c r="S214" s="84">
        <f t="shared" si="236"/>
        <v>3171.3247513617353</v>
      </c>
      <c r="T214" s="84">
        <f t="shared" si="236"/>
        <v>3182.8214544263878</v>
      </c>
      <c r="U214" s="84">
        <f t="shared" si="236"/>
        <v>3174.6901413916898</v>
      </c>
      <c r="V214" s="84">
        <f t="shared" si="236"/>
        <v>2105.9567489341398</v>
      </c>
      <c r="W214" s="84">
        <f t="shared" ref="W214:Y214" si="241">IF(W23=0,0,W23*1000000/W77)</f>
        <v>3049.7618910260708</v>
      </c>
      <c r="X214" s="84">
        <f t="shared" si="241"/>
        <v>3257.1142875096507</v>
      </c>
      <c r="Y214" s="84">
        <f t="shared" si="241"/>
        <v>3190.5632936683273</v>
      </c>
      <c r="DA214" s="171" t="s">
        <v>622</v>
      </c>
    </row>
    <row r="215" spans="1:105" ht="11.45" customHeight="1" x14ac:dyDescent="0.25">
      <c r="A215" s="111" t="s">
        <v>113</v>
      </c>
      <c r="B215" s="84">
        <f t="shared" si="236"/>
        <v>0</v>
      </c>
      <c r="C215" s="84">
        <f t="shared" si="236"/>
        <v>0</v>
      </c>
      <c r="D215" s="84">
        <f t="shared" si="236"/>
        <v>0</v>
      </c>
      <c r="E215" s="84">
        <f t="shared" si="236"/>
        <v>0</v>
      </c>
      <c r="F215" s="84">
        <f t="shared" si="236"/>
        <v>0</v>
      </c>
      <c r="G215" s="84">
        <f t="shared" si="236"/>
        <v>0</v>
      </c>
      <c r="H215" s="84">
        <f t="shared" si="236"/>
        <v>0</v>
      </c>
      <c r="I215" s="84">
        <f t="shared" si="236"/>
        <v>0</v>
      </c>
      <c r="J215" s="84">
        <f t="shared" si="236"/>
        <v>0</v>
      </c>
      <c r="K215" s="84">
        <f t="shared" si="236"/>
        <v>0</v>
      </c>
      <c r="L215" s="84">
        <f t="shared" si="236"/>
        <v>0</v>
      </c>
      <c r="M215" s="84">
        <f t="shared" si="235"/>
        <v>0</v>
      </c>
      <c r="N215" s="84">
        <f t="shared" si="236"/>
        <v>3399.4908886860535</v>
      </c>
      <c r="O215" s="84">
        <f t="shared" si="236"/>
        <v>3507.3401744167427</v>
      </c>
      <c r="P215" s="84">
        <f t="shared" si="236"/>
        <v>3337.8334512420738</v>
      </c>
      <c r="Q215" s="84">
        <f t="shared" si="236"/>
        <v>3184.9245115450399</v>
      </c>
      <c r="R215" s="84">
        <f t="shared" si="236"/>
        <v>3156.4590200372909</v>
      </c>
      <c r="S215" s="84">
        <f t="shared" si="236"/>
        <v>3314.5359730939872</v>
      </c>
      <c r="T215" s="84">
        <f t="shared" si="236"/>
        <v>3326.5518462282071</v>
      </c>
      <c r="U215" s="84">
        <f t="shared" si="236"/>
        <v>3318.0533379784847</v>
      </c>
      <c r="V215" s="84">
        <f t="shared" si="236"/>
        <v>2201.0579014731975</v>
      </c>
      <c r="W215" s="84">
        <f t="shared" ref="W215:Y215" si="242">IF(W24=0,0,W24*1000000/W78)</f>
        <v>3187.483556465339</v>
      </c>
      <c r="X215" s="84">
        <f t="shared" si="242"/>
        <v>3404.1996076855621</v>
      </c>
      <c r="Y215" s="84">
        <f t="shared" si="242"/>
        <v>3334.6432927614892</v>
      </c>
      <c r="DA215" s="171" t="s">
        <v>623</v>
      </c>
    </row>
    <row r="216" spans="1:105" ht="11.45" customHeight="1" x14ac:dyDescent="0.25">
      <c r="A216" s="111" t="s">
        <v>115</v>
      </c>
      <c r="B216" s="84">
        <f t="shared" si="236"/>
        <v>0</v>
      </c>
      <c r="C216" s="84">
        <f t="shared" si="236"/>
        <v>0</v>
      </c>
      <c r="D216" s="84">
        <f t="shared" si="236"/>
        <v>0</v>
      </c>
      <c r="E216" s="84">
        <f t="shared" si="236"/>
        <v>0</v>
      </c>
      <c r="F216" s="84">
        <f t="shared" si="236"/>
        <v>0</v>
      </c>
      <c r="G216" s="84">
        <f t="shared" si="236"/>
        <v>0</v>
      </c>
      <c r="H216" s="84">
        <f t="shared" si="236"/>
        <v>0</v>
      </c>
      <c r="I216" s="84">
        <f t="shared" si="236"/>
        <v>0</v>
      </c>
      <c r="J216" s="84">
        <f t="shared" si="236"/>
        <v>0</v>
      </c>
      <c r="K216" s="84">
        <f t="shared" si="236"/>
        <v>0</v>
      </c>
      <c r="L216" s="84">
        <f t="shared" si="236"/>
        <v>0</v>
      </c>
      <c r="M216" s="84">
        <f t="shared" si="235"/>
        <v>2679.626323601532</v>
      </c>
      <c r="N216" s="84">
        <f t="shared" si="236"/>
        <v>2679.9122058996531</v>
      </c>
      <c r="O216" s="84">
        <f t="shared" si="236"/>
        <v>2683.9008749268942</v>
      </c>
      <c r="P216" s="84">
        <f t="shared" si="236"/>
        <v>2690.2392910435315</v>
      </c>
      <c r="Q216" s="84">
        <f t="shared" si="236"/>
        <v>2696.2533514051611</v>
      </c>
      <c r="R216" s="84">
        <f t="shared" si="236"/>
        <v>2695.100917166114</v>
      </c>
      <c r="S216" s="84">
        <f t="shared" si="236"/>
        <v>2688.836734189822</v>
      </c>
      <c r="T216" s="84">
        <f t="shared" si="236"/>
        <v>2688.3734427230843</v>
      </c>
      <c r="U216" s="84">
        <f t="shared" si="236"/>
        <v>2688.0459907562245</v>
      </c>
      <c r="V216" s="84">
        <f t="shared" si="236"/>
        <v>1992.8923798718019</v>
      </c>
      <c r="W216" s="84">
        <f t="shared" ref="W216:Y216" si="243">IF(W25=0,0,W25*1000000/W79)</f>
        <v>2682.9120578131933</v>
      </c>
      <c r="X216" s="84">
        <f t="shared" si="243"/>
        <v>2684.7670936710047</v>
      </c>
      <c r="Y216" s="84">
        <f t="shared" si="243"/>
        <v>2687.4076622963544</v>
      </c>
      <c r="DA216" s="171" t="s">
        <v>624</v>
      </c>
    </row>
    <row r="217" spans="1:105" ht="11.45" customHeight="1" x14ac:dyDescent="0.25">
      <c r="A217" s="109" t="s">
        <v>154</v>
      </c>
      <c r="B217" s="110">
        <f t="shared" si="236"/>
        <v>226552.73805713857</v>
      </c>
      <c r="C217" s="110">
        <f t="shared" si="236"/>
        <v>231976.31647921613</v>
      </c>
      <c r="D217" s="110">
        <f t="shared" si="236"/>
        <v>252498.28977076104</v>
      </c>
      <c r="E217" s="110">
        <f t="shared" si="236"/>
        <v>255864.5579527287</v>
      </c>
      <c r="F217" s="110">
        <f t="shared" si="236"/>
        <v>282911.96688436379</v>
      </c>
      <c r="G217" s="110">
        <f t="shared" si="236"/>
        <v>294065.54701334564</v>
      </c>
      <c r="H217" s="110">
        <f t="shared" si="236"/>
        <v>299239.9729010209</v>
      </c>
      <c r="I217" s="110">
        <f t="shared" si="236"/>
        <v>312288.88593613525</v>
      </c>
      <c r="J217" s="110">
        <f t="shared" si="236"/>
        <v>286330.99366013246</v>
      </c>
      <c r="K217" s="110">
        <f t="shared" si="236"/>
        <v>254951.45603302665</v>
      </c>
      <c r="L217" s="110">
        <f t="shared" si="236"/>
        <v>255336.53405458771</v>
      </c>
      <c r="M217" s="110">
        <f t="shared" si="235"/>
        <v>255138.12701780262</v>
      </c>
      <c r="N217" s="110">
        <f t="shared" si="236"/>
        <v>250204.22492263638</v>
      </c>
      <c r="O217" s="110">
        <f t="shared" si="236"/>
        <v>331142.47400469362</v>
      </c>
      <c r="P217" s="110">
        <f t="shared" si="236"/>
        <v>332340.52286919422</v>
      </c>
      <c r="Q217" s="110">
        <f t="shared" si="236"/>
        <v>349135.24399906385</v>
      </c>
      <c r="R217" s="110">
        <f t="shared" si="236"/>
        <v>348944.41151018662</v>
      </c>
      <c r="S217" s="110">
        <f t="shared" si="236"/>
        <v>363279.2137399402</v>
      </c>
      <c r="T217" s="110">
        <f t="shared" si="236"/>
        <v>365044.16449594032</v>
      </c>
      <c r="U217" s="110">
        <f t="shared" si="236"/>
        <v>374186.81809705758</v>
      </c>
      <c r="V217" s="110">
        <f t="shared" si="236"/>
        <v>361006.94160455652</v>
      </c>
      <c r="W217" s="110">
        <f t="shared" ref="W217:Y217" si="244">IF(W26=0,0,W26*1000000/W80)</f>
        <v>400971.07090240531</v>
      </c>
      <c r="X217" s="110">
        <f t="shared" si="244"/>
        <v>389743.66859376495</v>
      </c>
      <c r="Y217" s="110">
        <f t="shared" si="244"/>
        <v>376035.18934303767</v>
      </c>
      <c r="DA217" s="176" t="s">
        <v>625</v>
      </c>
    </row>
    <row r="218" spans="1:105" ht="11.45" customHeight="1" x14ac:dyDescent="0.25">
      <c r="A218" s="111" t="s">
        <v>27</v>
      </c>
      <c r="B218" s="163">
        <f t="shared" si="236"/>
        <v>182211.01417666304</v>
      </c>
      <c r="C218" s="163">
        <f t="shared" si="236"/>
        <v>186607.91451693163</v>
      </c>
      <c r="D218" s="163">
        <f t="shared" si="236"/>
        <v>206581.71151297056</v>
      </c>
      <c r="E218" s="163">
        <f t="shared" si="236"/>
        <v>211413.4195199961</v>
      </c>
      <c r="F218" s="163">
        <f t="shared" si="236"/>
        <v>233708.59020110691</v>
      </c>
      <c r="G218" s="163">
        <f t="shared" si="236"/>
        <v>244929.86379046136</v>
      </c>
      <c r="H218" s="163">
        <f t="shared" si="236"/>
        <v>250269.8541712359</v>
      </c>
      <c r="I218" s="163">
        <f t="shared" si="236"/>
        <v>264414.69372807362</v>
      </c>
      <c r="J218" s="163">
        <f t="shared" si="236"/>
        <v>242181.60302367568</v>
      </c>
      <c r="K218" s="163">
        <f t="shared" si="236"/>
        <v>212717.12115131418</v>
      </c>
      <c r="L218" s="163">
        <f t="shared" si="236"/>
        <v>211725.6201411176</v>
      </c>
      <c r="M218" s="163">
        <f t="shared" si="235"/>
        <v>211246.03142797347</v>
      </c>
      <c r="N218" s="163">
        <f t="shared" si="236"/>
        <v>205776.07302328883</v>
      </c>
      <c r="O218" s="163">
        <f t="shared" si="236"/>
        <v>270773.27852354717</v>
      </c>
      <c r="P218" s="163">
        <f t="shared" si="236"/>
        <v>272432.75646926026</v>
      </c>
      <c r="Q218" s="163">
        <f t="shared" si="236"/>
        <v>288566.14779037761</v>
      </c>
      <c r="R218" s="163">
        <f t="shared" si="236"/>
        <v>290072.42607338639</v>
      </c>
      <c r="S218" s="163">
        <f t="shared" si="236"/>
        <v>304118.79560572666</v>
      </c>
      <c r="T218" s="163">
        <f t="shared" si="236"/>
        <v>304611.57583958667</v>
      </c>
      <c r="U218" s="163">
        <f t="shared" si="236"/>
        <v>313454.09751821286</v>
      </c>
      <c r="V218" s="163">
        <f t="shared" si="236"/>
        <v>304523.51805202587</v>
      </c>
      <c r="W218" s="163">
        <f t="shared" ref="W218:Y218" si="245">IF(W27=0,0,W27*1000000/W81)</f>
        <v>340698.7773636764</v>
      </c>
      <c r="X218" s="163">
        <f t="shared" si="245"/>
        <v>327700.60052209708</v>
      </c>
      <c r="Y218" s="163">
        <f t="shared" si="245"/>
        <v>318782.27613976027</v>
      </c>
      <c r="DA218" s="207" t="s">
        <v>626</v>
      </c>
    </row>
    <row r="219" spans="1:105" ht="11.45" customHeight="1" x14ac:dyDescent="0.25">
      <c r="A219" s="138" t="s">
        <v>116</v>
      </c>
      <c r="B219" s="86">
        <f t="shared" si="236"/>
        <v>1211872.1470523858</v>
      </c>
      <c r="C219" s="86">
        <f t="shared" si="236"/>
        <v>1210816.0916598404</v>
      </c>
      <c r="D219" s="86">
        <f t="shared" si="236"/>
        <v>1218794.8767058311</v>
      </c>
      <c r="E219" s="86">
        <f t="shared" si="236"/>
        <v>1211604.9088665331</v>
      </c>
      <c r="F219" s="86">
        <f t="shared" si="236"/>
        <v>1189405.1195729349</v>
      </c>
      <c r="G219" s="86">
        <f t="shared" si="236"/>
        <v>1189951.0336914547</v>
      </c>
      <c r="H219" s="86">
        <f t="shared" si="236"/>
        <v>1197541.4232620422</v>
      </c>
      <c r="I219" s="86">
        <f t="shared" si="236"/>
        <v>1199793.381249493</v>
      </c>
      <c r="J219" s="86">
        <f t="shared" si="236"/>
        <v>1182825.2505168291</v>
      </c>
      <c r="K219" s="86">
        <f t="shared" si="236"/>
        <v>1167187.6548460233</v>
      </c>
      <c r="L219" s="86">
        <f t="shared" si="236"/>
        <v>1205207.606109479</v>
      </c>
      <c r="M219" s="86">
        <f t="shared" si="235"/>
        <v>1201303.9123198807</v>
      </c>
      <c r="N219" s="86">
        <f t="shared" si="236"/>
        <v>1197341.3430500268</v>
      </c>
      <c r="O219" s="86">
        <f t="shared" si="236"/>
        <v>1198928.381439578</v>
      </c>
      <c r="P219" s="86">
        <f t="shared" si="236"/>
        <v>1201741.4713978921</v>
      </c>
      <c r="Q219" s="86">
        <f t="shared" si="236"/>
        <v>1190463.3065561869</v>
      </c>
      <c r="R219" s="86">
        <f t="shared" si="236"/>
        <v>1184323.5780165882</v>
      </c>
      <c r="S219" s="86">
        <f t="shared" si="236"/>
        <v>1191035.1565960846</v>
      </c>
      <c r="T219" s="86">
        <f t="shared" si="236"/>
        <v>1202450.392861899</v>
      </c>
      <c r="U219" s="86">
        <f t="shared" si="236"/>
        <v>1195274.5849297573</v>
      </c>
      <c r="V219" s="86">
        <f t="shared" si="236"/>
        <v>1178255.1347277181</v>
      </c>
      <c r="W219" s="86">
        <f t="shared" ref="W219:Y219" si="246">IF(W28=0,0,W28*1000000/W82)</f>
        <v>1193946.987004692</v>
      </c>
      <c r="X219" s="86">
        <f t="shared" si="246"/>
        <v>1189454.7007735751</v>
      </c>
      <c r="Y219" s="86">
        <f t="shared" si="246"/>
        <v>1176166.1916904154</v>
      </c>
      <c r="DA219" s="178" t="s">
        <v>627</v>
      </c>
    </row>
    <row r="220" spans="1:105" ht="11.45" customHeight="1" x14ac:dyDescent="0.25">
      <c r="A220" s="106"/>
      <c r="B220" s="106"/>
      <c r="C220" s="106"/>
      <c r="D220" s="106"/>
      <c r="E220" s="106"/>
      <c r="F220" s="106"/>
      <c r="G220" s="106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106"/>
      <c r="U220" s="106"/>
      <c r="V220" s="106"/>
      <c r="W220" s="106"/>
      <c r="X220" s="106"/>
      <c r="Y220" s="106"/>
      <c r="DA220" s="171"/>
    </row>
    <row r="221" spans="1:105" ht="11.45" customHeight="1" x14ac:dyDescent="0.25">
      <c r="A221" s="53" t="s">
        <v>37</v>
      </c>
      <c r="B221" s="76"/>
      <c r="C221" s="76"/>
      <c r="D221" s="76"/>
      <c r="E221" s="76"/>
      <c r="F221" s="76"/>
      <c r="G221" s="76"/>
      <c r="H221" s="76"/>
      <c r="I221" s="76"/>
      <c r="J221" s="76"/>
      <c r="K221" s="76"/>
      <c r="L221" s="76"/>
      <c r="M221" s="76"/>
      <c r="N221" s="76"/>
      <c r="O221" s="76"/>
      <c r="P221" s="76"/>
      <c r="Q221" s="76"/>
      <c r="R221" s="76"/>
      <c r="S221" s="76"/>
      <c r="T221" s="76"/>
      <c r="U221" s="76"/>
      <c r="V221" s="76"/>
      <c r="W221" s="76"/>
      <c r="X221" s="76"/>
      <c r="Y221" s="76"/>
      <c r="DA221" s="183"/>
    </row>
    <row r="222" spans="1:105" ht="11.45" customHeight="1" x14ac:dyDescent="0.25">
      <c r="A222" s="27" t="s">
        <v>38</v>
      </c>
      <c r="B222" s="46">
        <f t="shared" ref="B222:K222" si="247">IF(B4=0,0,B4/B$4)</f>
        <v>1</v>
      </c>
      <c r="C222" s="46">
        <f t="shared" si="247"/>
        <v>1</v>
      </c>
      <c r="D222" s="46">
        <f t="shared" si="247"/>
        <v>1</v>
      </c>
      <c r="E222" s="46">
        <f t="shared" si="247"/>
        <v>1</v>
      </c>
      <c r="F222" s="46">
        <f t="shared" si="247"/>
        <v>1</v>
      </c>
      <c r="G222" s="46">
        <f t="shared" si="247"/>
        <v>1</v>
      </c>
      <c r="H222" s="46">
        <f t="shared" si="247"/>
        <v>1</v>
      </c>
      <c r="I222" s="46">
        <f t="shared" si="247"/>
        <v>1</v>
      </c>
      <c r="J222" s="46">
        <f t="shared" si="247"/>
        <v>1</v>
      </c>
      <c r="K222" s="46">
        <f t="shared" si="247"/>
        <v>1</v>
      </c>
      <c r="L222" s="46">
        <f t="shared" ref="L222" si="248">IF(L4=0,0,L4/L$4)</f>
        <v>1</v>
      </c>
      <c r="M222" s="46">
        <f t="shared" ref="M222:V222" si="249">IF(M4=0,0,M4/M$4)</f>
        <v>1</v>
      </c>
      <c r="N222" s="46">
        <f t="shared" si="249"/>
        <v>1</v>
      </c>
      <c r="O222" s="46">
        <f t="shared" si="249"/>
        <v>1</v>
      </c>
      <c r="P222" s="46">
        <f t="shared" si="249"/>
        <v>1</v>
      </c>
      <c r="Q222" s="46">
        <f t="shared" si="249"/>
        <v>1</v>
      </c>
      <c r="R222" s="46">
        <f t="shared" si="249"/>
        <v>1</v>
      </c>
      <c r="S222" s="46">
        <f t="shared" si="249"/>
        <v>1</v>
      </c>
      <c r="T222" s="46">
        <f t="shared" si="249"/>
        <v>1</v>
      </c>
      <c r="U222" s="46">
        <f t="shared" si="249"/>
        <v>1</v>
      </c>
      <c r="V222" s="46">
        <f t="shared" si="249"/>
        <v>1</v>
      </c>
      <c r="W222" s="46">
        <f t="shared" ref="W222:Y222" si="250">IF(W4=0,0,W4/W$4)</f>
        <v>1</v>
      </c>
      <c r="X222" s="46">
        <f t="shared" si="250"/>
        <v>1</v>
      </c>
      <c r="Y222" s="46">
        <f t="shared" si="250"/>
        <v>1</v>
      </c>
      <c r="DA222" s="211"/>
    </row>
    <row r="223" spans="1:105" ht="11.45" customHeight="1" x14ac:dyDescent="0.25">
      <c r="A223" s="153" t="s">
        <v>173</v>
      </c>
      <c r="B223" s="154">
        <f t="shared" ref="B223:K223" si="251">IF(B5=0,0,B5/B$4)</f>
        <v>2.9276675194964824E-2</v>
      </c>
      <c r="C223" s="154">
        <f t="shared" si="251"/>
        <v>3.0496936059874621E-2</v>
      </c>
      <c r="D223" s="154">
        <f t="shared" si="251"/>
        <v>2.7985336446252514E-2</v>
      </c>
      <c r="E223" s="154">
        <f t="shared" si="251"/>
        <v>3.1291829344235154E-2</v>
      </c>
      <c r="F223" s="154">
        <f t="shared" si="251"/>
        <v>2.9130648216971245E-2</v>
      </c>
      <c r="G223" s="154">
        <f t="shared" si="251"/>
        <v>2.9055586664462747E-2</v>
      </c>
      <c r="H223" s="154">
        <f t="shared" si="251"/>
        <v>2.9704177787877442E-2</v>
      </c>
      <c r="I223" s="154">
        <f t="shared" si="251"/>
        <v>3.2371304481460167E-2</v>
      </c>
      <c r="J223" s="154">
        <f t="shared" si="251"/>
        <v>3.2210303305933073E-2</v>
      </c>
      <c r="K223" s="154">
        <f t="shared" si="251"/>
        <v>3.3444558445917393E-2</v>
      </c>
      <c r="L223" s="154">
        <f t="shared" ref="L223" si="252">IF(L5=0,0,L5/L$4)</f>
        <v>3.5386141987502784E-2</v>
      </c>
      <c r="M223" s="154">
        <f t="shared" ref="M223:V223" si="253">IF(M5=0,0,M5/M$4)</f>
        <v>3.2944227590234437E-2</v>
      </c>
      <c r="N223" s="154">
        <f t="shared" si="253"/>
        <v>3.2334973822166553E-2</v>
      </c>
      <c r="O223" s="154">
        <f t="shared" si="253"/>
        <v>3.2378715839802348E-2</v>
      </c>
      <c r="P223" s="154">
        <f t="shared" si="253"/>
        <v>3.8998794192712287E-2</v>
      </c>
      <c r="Q223" s="154">
        <f t="shared" si="253"/>
        <v>4.0122601972720946E-2</v>
      </c>
      <c r="R223" s="154">
        <f t="shared" si="253"/>
        <v>3.927069123530353E-2</v>
      </c>
      <c r="S223" s="154">
        <f t="shared" si="253"/>
        <v>3.9932405404982996E-2</v>
      </c>
      <c r="T223" s="154">
        <f t="shared" si="253"/>
        <v>3.7127016350950844E-2</v>
      </c>
      <c r="U223" s="154">
        <f t="shared" si="253"/>
        <v>3.9867885197255253E-2</v>
      </c>
      <c r="V223" s="154">
        <f t="shared" si="253"/>
        <v>4.6683034088053493E-2</v>
      </c>
      <c r="W223" s="154">
        <f t="shared" ref="W223:Y223" si="254">IF(W5=0,0,W5/W$4)</f>
        <v>4.0184231620241165E-2</v>
      </c>
      <c r="X223" s="154">
        <f t="shared" si="254"/>
        <v>3.6862019742447516E-2</v>
      </c>
      <c r="Y223" s="154">
        <f t="shared" si="254"/>
        <v>3.8483984466106118E-2</v>
      </c>
      <c r="DA223" s="212"/>
    </row>
    <row r="224" spans="1:105" ht="11.45" customHeight="1" x14ac:dyDescent="0.25">
      <c r="A224" s="155" t="s">
        <v>20</v>
      </c>
      <c r="B224" s="156">
        <f t="shared" ref="B224:K224" si="255">IF(B6=0,0,B6/B$4)</f>
        <v>0.83241913474938711</v>
      </c>
      <c r="C224" s="156">
        <f t="shared" si="255"/>
        <v>0.83011039671607711</v>
      </c>
      <c r="D224" s="156">
        <f t="shared" si="255"/>
        <v>0.83874018024623942</v>
      </c>
      <c r="E224" s="156">
        <f t="shared" si="255"/>
        <v>0.84026729742081518</v>
      </c>
      <c r="F224" s="156">
        <f t="shared" si="255"/>
        <v>0.835587887407642</v>
      </c>
      <c r="G224" s="156">
        <f t="shared" si="255"/>
        <v>0.855120763300249</v>
      </c>
      <c r="H224" s="156">
        <f t="shared" si="255"/>
        <v>0.86187464872979092</v>
      </c>
      <c r="I224" s="156">
        <f t="shared" si="255"/>
        <v>0.84431515805572188</v>
      </c>
      <c r="J224" s="156">
        <f t="shared" si="255"/>
        <v>0.84145500050192179</v>
      </c>
      <c r="K224" s="156">
        <f t="shared" si="255"/>
        <v>0.84855224818764063</v>
      </c>
      <c r="L224" s="156">
        <f t="shared" ref="L224" si="256">IF(L6=0,0,L6/L$4)</f>
        <v>0.85458028098264494</v>
      </c>
      <c r="M224" s="156">
        <f t="shared" ref="M224:V224" si="257">IF(M6=0,0,M6/M$4)</f>
        <v>0.84658362703211665</v>
      </c>
      <c r="N224" s="156">
        <f t="shared" si="257"/>
        <v>0.84553867880179123</v>
      </c>
      <c r="O224" s="156">
        <f t="shared" si="257"/>
        <v>0.84538019469367032</v>
      </c>
      <c r="P224" s="156">
        <f t="shared" si="257"/>
        <v>0.86371104293655032</v>
      </c>
      <c r="Q224" s="156">
        <f t="shared" si="257"/>
        <v>0.85192642492765291</v>
      </c>
      <c r="R224" s="156">
        <f t="shared" si="257"/>
        <v>0.85421454354456672</v>
      </c>
      <c r="S224" s="156">
        <f t="shared" si="257"/>
        <v>0.88669667223532522</v>
      </c>
      <c r="T224" s="156">
        <f t="shared" si="257"/>
        <v>0.88732397239471528</v>
      </c>
      <c r="U224" s="156">
        <f t="shared" si="257"/>
        <v>0.88297354305508191</v>
      </c>
      <c r="V224" s="156">
        <f t="shared" si="257"/>
        <v>0.89449512514798291</v>
      </c>
      <c r="W224" s="156">
        <f t="shared" ref="W224:Y224" si="258">IF(W6=0,0,W6/W$4)</f>
        <v>0.8854890396223104</v>
      </c>
      <c r="X224" s="156">
        <f t="shared" si="258"/>
        <v>0.87712649948173027</v>
      </c>
      <c r="Y224" s="156">
        <f t="shared" si="258"/>
        <v>0.86905016382191036</v>
      </c>
      <c r="DA224" s="213"/>
    </row>
    <row r="225" spans="1:105" ht="11.45" customHeight="1" x14ac:dyDescent="0.25">
      <c r="A225" s="157" t="s">
        <v>110</v>
      </c>
      <c r="B225" s="103">
        <f t="shared" ref="B225:K225" si="259">IF(B7=0,0,B7/B$4)</f>
        <v>0.41647024266474014</v>
      </c>
      <c r="C225" s="103">
        <f t="shared" si="259"/>
        <v>0.3892645219172427</v>
      </c>
      <c r="D225" s="103">
        <f t="shared" si="259"/>
        <v>0.36851172409605554</v>
      </c>
      <c r="E225" s="103">
        <f t="shared" si="259"/>
        <v>0.33971016016700151</v>
      </c>
      <c r="F225" s="103">
        <f t="shared" si="259"/>
        <v>0.31109307300770883</v>
      </c>
      <c r="G225" s="103">
        <f t="shared" si="259"/>
        <v>0.29336497784252252</v>
      </c>
      <c r="H225" s="103">
        <f t="shared" si="259"/>
        <v>0.27185595934047529</v>
      </c>
      <c r="I225" s="103">
        <f t="shared" si="259"/>
        <v>0.24789460269281888</v>
      </c>
      <c r="J225" s="103">
        <f t="shared" si="259"/>
        <v>0.23597409319284024</v>
      </c>
      <c r="K225" s="103">
        <f t="shared" si="259"/>
        <v>0.22692605326649887</v>
      </c>
      <c r="L225" s="103">
        <f t="shared" ref="L225" si="260">IF(L7=0,0,L7/L$4)</f>
        <v>0.21950507457846485</v>
      </c>
      <c r="M225" s="103">
        <f t="shared" ref="M225:V225" si="261">IF(M7=0,0,M7/M$4)</f>
        <v>0.21098288615959623</v>
      </c>
      <c r="N225" s="103">
        <f t="shared" si="261"/>
        <v>0.20535603524786392</v>
      </c>
      <c r="O225" s="103">
        <f t="shared" si="261"/>
        <v>0.19822018529430707</v>
      </c>
      <c r="P225" s="103">
        <f t="shared" si="261"/>
        <v>0.19535173884886739</v>
      </c>
      <c r="Q225" s="103">
        <f t="shared" si="261"/>
        <v>0.18825888157468942</v>
      </c>
      <c r="R225" s="103">
        <f t="shared" si="261"/>
        <v>0.18994486016654802</v>
      </c>
      <c r="S225" s="103">
        <f t="shared" si="261"/>
        <v>0.18452347374288847</v>
      </c>
      <c r="T225" s="103">
        <f t="shared" si="261"/>
        <v>0.18833391407119207</v>
      </c>
      <c r="U225" s="103">
        <f t="shared" si="261"/>
        <v>0.19248296536638249</v>
      </c>
      <c r="V225" s="103">
        <f t="shared" si="261"/>
        <v>0.17015029192514486</v>
      </c>
      <c r="W225" s="103">
        <f t="shared" ref="W225:Y225" si="262">IF(W7=0,0,W7/W$4)</f>
        <v>0.18152937869319438</v>
      </c>
      <c r="X225" s="103">
        <f t="shared" si="262"/>
        <v>0.20109479911115438</v>
      </c>
      <c r="Y225" s="103">
        <f t="shared" si="262"/>
        <v>0.21125947211490295</v>
      </c>
      <c r="DA225" s="191"/>
    </row>
    <row r="226" spans="1:105" ht="11.45" customHeight="1" x14ac:dyDescent="0.25">
      <c r="A226" s="157" t="s">
        <v>111</v>
      </c>
      <c r="B226" s="103">
        <f t="shared" ref="B226:K226" si="263">IF(B8=0,0,B8/B$4)</f>
        <v>0.41416380209525278</v>
      </c>
      <c r="C226" s="103">
        <f t="shared" si="263"/>
        <v>0.4391811003114337</v>
      </c>
      <c r="D226" s="103">
        <f t="shared" si="263"/>
        <v>0.46860968888276666</v>
      </c>
      <c r="E226" s="103">
        <f t="shared" si="263"/>
        <v>0.49911135403999773</v>
      </c>
      <c r="F226" s="103">
        <f t="shared" si="263"/>
        <v>0.52314756660047079</v>
      </c>
      <c r="G226" s="103">
        <f t="shared" si="263"/>
        <v>0.56077555027346826</v>
      </c>
      <c r="H226" s="103">
        <f t="shared" si="263"/>
        <v>0.58907943331936397</v>
      </c>
      <c r="I226" s="103">
        <f t="shared" si="263"/>
        <v>0.59568304828334839</v>
      </c>
      <c r="J226" s="103">
        <f t="shared" si="263"/>
        <v>0.60491633100632713</v>
      </c>
      <c r="K226" s="103">
        <f t="shared" si="263"/>
        <v>0.62094302305927251</v>
      </c>
      <c r="L226" s="103">
        <f t="shared" ref="L226" si="264">IF(L8=0,0,L8/L$4)</f>
        <v>0.63430547918198377</v>
      </c>
      <c r="M226" s="103">
        <f t="shared" ref="M226:V226" si="265">IF(M8=0,0,M8/M$4)</f>
        <v>0.63476765760841858</v>
      </c>
      <c r="N226" s="103">
        <f t="shared" si="265"/>
        <v>0.63889644845284232</v>
      </c>
      <c r="O226" s="103">
        <f t="shared" si="265"/>
        <v>0.64571185627318239</v>
      </c>
      <c r="P226" s="103">
        <f t="shared" si="265"/>
        <v>0.6667290689082539</v>
      </c>
      <c r="Q226" s="103">
        <f t="shared" si="265"/>
        <v>0.66190135158603114</v>
      </c>
      <c r="R226" s="103">
        <f t="shared" si="265"/>
        <v>0.66226690532995036</v>
      </c>
      <c r="S226" s="103">
        <f t="shared" si="265"/>
        <v>0.69974920684918762</v>
      </c>
      <c r="T226" s="103">
        <f t="shared" si="265"/>
        <v>0.69528069179979102</v>
      </c>
      <c r="U226" s="103">
        <f t="shared" si="265"/>
        <v>0.68551335214986453</v>
      </c>
      <c r="V226" s="103">
        <f t="shared" si="265"/>
        <v>0.71872431604039921</v>
      </c>
      <c r="W226" s="103">
        <f t="shared" ref="W226:Y226" si="266">IF(W8=0,0,W8/W$4)</f>
        <v>0.696042492409921</v>
      </c>
      <c r="X226" s="103">
        <f t="shared" si="266"/>
        <v>0.66528897176689106</v>
      </c>
      <c r="Y226" s="103">
        <f t="shared" si="266"/>
        <v>0.64256107326106937</v>
      </c>
      <c r="DA226" s="191"/>
    </row>
    <row r="227" spans="1:105" ht="11.45" customHeight="1" x14ac:dyDescent="0.25">
      <c r="A227" s="157" t="s">
        <v>112</v>
      </c>
      <c r="B227" s="103">
        <f t="shared" ref="B227:K227" si="267">IF(B9=0,0,B9/B$4)</f>
        <v>1.7850899893943415E-3</v>
      </c>
      <c r="C227" s="103">
        <f t="shared" si="267"/>
        <v>1.6647744874008098E-3</v>
      </c>
      <c r="D227" s="103">
        <f t="shared" si="267"/>
        <v>1.6187672674171799E-3</v>
      </c>
      <c r="E227" s="103">
        <f t="shared" si="267"/>
        <v>1.4457832138159267E-3</v>
      </c>
      <c r="F227" s="103">
        <f t="shared" si="267"/>
        <v>1.2779751799599473E-3</v>
      </c>
      <c r="G227" s="103">
        <f t="shared" si="267"/>
        <v>8.3492309957907502E-4</v>
      </c>
      <c r="H227" s="103">
        <f t="shared" si="267"/>
        <v>7.1228715517998456E-4</v>
      </c>
      <c r="I227" s="103">
        <f t="shared" si="267"/>
        <v>5.3073076140531595E-4</v>
      </c>
      <c r="J227" s="103">
        <f t="shared" si="267"/>
        <v>3.5850587185751252E-4</v>
      </c>
      <c r="K227" s="103">
        <f t="shared" si="267"/>
        <v>4.7286489750442254E-4</v>
      </c>
      <c r="L227" s="103">
        <f t="shared" ref="L227" si="268">IF(L9=0,0,L9/L$4)</f>
        <v>5.5298585421059341E-4</v>
      </c>
      <c r="M227" s="103">
        <f t="shared" ref="M227:V227" si="269">IF(M9=0,0,M9/M$4)</f>
        <v>6.0168630227651094E-4</v>
      </c>
      <c r="N227" s="103">
        <f t="shared" si="269"/>
        <v>8.7611323932331223E-4</v>
      </c>
      <c r="O227" s="103">
        <f t="shared" si="269"/>
        <v>9.2831087003946095E-4</v>
      </c>
      <c r="P227" s="103">
        <f t="shared" si="269"/>
        <v>1.0648876414016256E-3</v>
      </c>
      <c r="Q227" s="103">
        <f t="shared" si="269"/>
        <v>1.1260053613106099E-3</v>
      </c>
      <c r="R227" s="103">
        <f t="shared" si="269"/>
        <v>1.2406927565455706E-3</v>
      </c>
      <c r="S227" s="103">
        <f t="shared" si="269"/>
        <v>1.4337554549508056E-3</v>
      </c>
      <c r="T227" s="103">
        <f t="shared" si="269"/>
        <v>2.2038854381852238E-3</v>
      </c>
      <c r="U227" s="103">
        <f t="shared" si="269"/>
        <v>3.0210767891563025E-3</v>
      </c>
      <c r="V227" s="103">
        <f t="shared" si="269"/>
        <v>2.7665689923723788E-3</v>
      </c>
      <c r="W227" s="103">
        <f t="shared" ref="W227:Y227" si="270">IF(W9=0,0,W9/W$4)</f>
        <v>3.1277848366912694E-3</v>
      </c>
      <c r="X227" s="103">
        <f t="shared" si="270"/>
        <v>3.9186611091292399E-3</v>
      </c>
      <c r="Y227" s="103">
        <f t="shared" si="270"/>
        <v>5.8402801211821969E-3</v>
      </c>
      <c r="DA227" s="191"/>
    </row>
    <row r="228" spans="1:105" ht="11.45" customHeight="1" x14ac:dyDescent="0.25">
      <c r="A228" s="157" t="s">
        <v>113</v>
      </c>
      <c r="B228" s="103">
        <f t="shared" ref="B228:K228" si="271">IF(B10=0,0,B10/B$4)</f>
        <v>0</v>
      </c>
      <c r="C228" s="103">
        <f t="shared" si="271"/>
        <v>0</v>
      </c>
      <c r="D228" s="103">
        <f t="shared" si="271"/>
        <v>0</v>
      </c>
      <c r="E228" s="103">
        <f t="shared" si="271"/>
        <v>0</v>
      </c>
      <c r="F228" s="103">
        <f t="shared" si="271"/>
        <v>6.9272619502355241E-5</v>
      </c>
      <c r="G228" s="103">
        <f t="shared" si="271"/>
        <v>1.4531208467902636E-4</v>
      </c>
      <c r="H228" s="103">
        <f t="shared" si="271"/>
        <v>2.2696891477160851E-4</v>
      </c>
      <c r="I228" s="103">
        <f t="shared" si="271"/>
        <v>2.0677631814931984E-4</v>
      </c>
      <c r="J228" s="103">
        <f t="shared" si="271"/>
        <v>2.0607043089687781E-4</v>
      </c>
      <c r="K228" s="103">
        <f t="shared" si="271"/>
        <v>2.1027344947598976E-4</v>
      </c>
      <c r="L228" s="103">
        <f t="shared" ref="L228" si="272">IF(L10=0,0,L10/L$4)</f>
        <v>2.1407208451316867E-4</v>
      </c>
      <c r="M228" s="103">
        <f t="shared" ref="M228:V228" si="273">IF(M10=0,0,M10/M$4)</f>
        <v>2.1077571003249492E-4</v>
      </c>
      <c r="N228" s="103">
        <f t="shared" si="273"/>
        <v>3.680864780590838E-4</v>
      </c>
      <c r="O228" s="103">
        <f t="shared" si="273"/>
        <v>4.3687160557694929E-4</v>
      </c>
      <c r="P228" s="103">
        <f t="shared" si="273"/>
        <v>4.3831728062408156E-4</v>
      </c>
      <c r="Q228" s="103">
        <f t="shared" si="273"/>
        <v>4.3666520283517431E-4</v>
      </c>
      <c r="R228" s="103">
        <f t="shared" si="273"/>
        <v>4.3395391564935928E-4</v>
      </c>
      <c r="S228" s="103">
        <f t="shared" si="273"/>
        <v>4.5783620684717186E-4</v>
      </c>
      <c r="T228" s="103">
        <f t="shared" si="273"/>
        <v>6.1916862650467238E-4</v>
      </c>
      <c r="U228" s="103">
        <f t="shared" si="273"/>
        <v>6.2921742838566077E-4</v>
      </c>
      <c r="V228" s="103">
        <f t="shared" si="273"/>
        <v>5.733986517222116E-4</v>
      </c>
      <c r="W228" s="103">
        <f t="shared" ref="W228:Y228" si="274">IF(W10=0,0,W10/W$4)</f>
        <v>6.4749758154989561E-4</v>
      </c>
      <c r="X228" s="103">
        <f t="shared" si="274"/>
        <v>7.0790624930090469E-4</v>
      </c>
      <c r="Y228" s="103">
        <f t="shared" si="274"/>
        <v>7.0033135797263417E-4</v>
      </c>
      <c r="DA228" s="191"/>
    </row>
    <row r="229" spans="1:105" ht="11.45" customHeight="1" x14ac:dyDescent="0.25">
      <c r="A229" s="157" t="s">
        <v>114</v>
      </c>
      <c r="B229" s="103">
        <f t="shared" ref="B229:K229" si="275">IF(B11=0,0,B11/B$4)</f>
        <v>0</v>
      </c>
      <c r="C229" s="103">
        <f t="shared" si="275"/>
        <v>0</v>
      </c>
      <c r="D229" s="103">
        <f t="shared" si="275"/>
        <v>0</v>
      </c>
      <c r="E229" s="103">
        <f t="shared" si="275"/>
        <v>0</v>
      </c>
      <c r="F229" s="103">
        <f t="shared" si="275"/>
        <v>0</v>
      </c>
      <c r="G229" s="103">
        <f t="shared" si="275"/>
        <v>0</v>
      </c>
      <c r="H229" s="103">
        <f t="shared" si="275"/>
        <v>0</v>
      </c>
      <c r="I229" s="103">
        <f t="shared" si="275"/>
        <v>0</v>
      </c>
      <c r="J229" s="103">
        <f t="shared" si="275"/>
        <v>0</v>
      </c>
      <c r="K229" s="103">
        <f t="shared" si="275"/>
        <v>0</v>
      </c>
      <c r="L229" s="103">
        <f t="shared" ref="L229" si="276">IF(L11=0,0,L11/L$4)</f>
        <v>0</v>
      </c>
      <c r="M229" s="103">
        <f t="shared" ref="M229:V229" si="277">IF(M11=0,0,M11/M$4)</f>
        <v>2.2847324473027602E-7</v>
      </c>
      <c r="N229" s="103">
        <f t="shared" si="277"/>
        <v>3.0905419268801669E-6</v>
      </c>
      <c r="O229" s="103">
        <f t="shared" si="277"/>
        <v>5.387922888852402E-6</v>
      </c>
      <c r="P229" s="103">
        <f t="shared" si="277"/>
        <v>1.7555707569111447E-5</v>
      </c>
      <c r="Q229" s="103">
        <f t="shared" si="277"/>
        <v>3.7909844549090858E-5</v>
      </c>
      <c r="R229" s="103">
        <f t="shared" si="277"/>
        <v>8.5153065950940038E-5</v>
      </c>
      <c r="S229" s="103">
        <f t="shared" si="277"/>
        <v>1.6937332734878307E-4</v>
      </c>
      <c r="T229" s="103">
        <f t="shared" si="277"/>
        <v>3.102616611250824E-4</v>
      </c>
      <c r="U229" s="103">
        <f t="shared" si="277"/>
        <v>4.8844745024974323E-4</v>
      </c>
      <c r="V229" s="103">
        <f t="shared" si="277"/>
        <v>9.3850616368734057E-4</v>
      </c>
      <c r="W229" s="103">
        <f t="shared" ref="W229:Y229" si="278">IF(W11=0,0,W11/W$4)</f>
        <v>1.9458122794415486E-3</v>
      </c>
      <c r="X229" s="103">
        <f t="shared" si="278"/>
        <v>3.0444119836871065E-3</v>
      </c>
      <c r="Y229" s="103">
        <f t="shared" si="278"/>
        <v>4.2850924260061148E-3</v>
      </c>
      <c r="DA229" s="191"/>
    </row>
    <row r="230" spans="1:105" ht="11.45" customHeight="1" x14ac:dyDescent="0.25">
      <c r="A230" s="157" t="s">
        <v>115</v>
      </c>
      <c r="B230" s="103">
        <f t="shared" ref="B230:K230" si="279">IF(B12=0,0,B12/B$4)</f>
        <v>0</v>
      </c>
      <c r="C230" s="103">
        <f t="shared" si="279"/>
        <v>0</v>
      </c>
      <c r="D230" s="103">
        <f t="shared" si="279"/>
        <v>0</v>
      </c>
      <c r="E230" s="103">
        <f t="shared" si="279"/>
        <v>0</v>
      </c>
      <c r="F230" s="103">
        <f t="shared" si="279"/>
        <v>0</v>
      </c>
      <c r="G230" s="103">
        <f t="shared" si="279"/>
        <v>0</v>
      </c>
      <c r="H230" s="103">
        <f t="shared" si="279"/>
        <v>0</v>
      </c>
      <c r="I230" s="103">
        <f t="shared" si="279"/>
        <v>0</v>
      </c>
      <c r="J230" s="103">
        <f t="shared" si="279"/>
        <v>0</v>
      </c>
      <c r="K230" s="103">
        <f t="shared" si="279"/>
        <v>3.3514888737145553E-8</v>
      </c>
      <c r="L230" s="103">
        <f t="shared" ref="L230" si="280">IF(L12=0,0,L12/L$4)</f>
        <v>2.6692834724215486E-6</v>
      </c>
      <c r="M230" s="103">
        <f t="shared" ref="M230:V230" si="281">IF(M12=0,0,M12/M$4)</f>
        <v>2.0392778548096936E-5</v>
      </c>
      <c r="N230" s="103">
        <f t="shared" si="281"/>
        <v>3.8904841775821864E-5</v>
      </c>
      <c r="O230" s="103">
        <f t="shared" si="281"/>
        <v>7.7582727675542818E-5</v>
      </c>
      <c r="P230" s="103">
        <f t="shared" si="281"/>
        <v>1.0947454983412401E-4</v>
      </c>
      <c r="Q230" s="103">
        <f t="shared" si="281"/>
        <v>1.656113582375703E-4</v>
      </c>
      <c r="R230" s="103">
        <f t="shared" si="281"/>
        <v>2.429783099222152E-4</v>
      </c>
      <c r="S230" s="103">
        <f t="shared" si="281"/>
        <v>3.6302665410249977E-4</v>
      </c>
      <c r="T230" s="103">
        <f t="shared" si="281"/>
        <v>5.7605079791732611E-4</v>
      </c>
      <c r="U230" s="103">
        <f t="shared" si="281"/>
        <v>8.3848387104308098E-4</v>
      </c>
      <c r="V230" s="103">
        <f t="shared" si="281"/>
        <v>1.3420433746567976E-3</v>
      </c>
      <c r="W230" s="103">
        <f t="shared" ref="W230:Y230" si="282">IF(W12=0,0,W12/W$4)</f>
        <v>2.1960738215123865E-3</v>
      </c>
      <c r="X230" s="103">
        <f t="shared" si="282"/>
        <v>3.0717492615676707E-3</v>
      </c>
      <c r="Y230" s="103">
        <f t="shared" si="282"/>
        <v>4.4039145407770543E-3</v>
      </c>
      <c r="DA230" s="191"/>
    </row>
    <row r="231" spans="1:105" ht="11.45" customHeight="1" x14ac:dyDescent="0.25">
      <c r="A231" s="155" t="s">
        <v>21</v>
      </c>
      <c r="B231" s="156">
        <f t="shared" ref="B231:K231" si="283">IF(B13=0,0,B13/B$4)</f>
        <v>0.13830419005564801</v>
      </c>
      <c r="C231" s="156">
        <f t="shared" si="283"/>
        <v>0.13939266722404828</v>
      </c>
      <c r="D231" s="156">
        <f t="shared" si="283"/>
        <v>0.13327448330750802</v>
      </c>
      <c r="E231" s="156">
        <f t="shared" si="283"/>
        <v>0.12844087323494968</v>
      </c>
      <c r="F231" s="156">
        <f t="shared" si="283"/>
        <v>0.13528146437538682</v>
      </c>
      <c r="G231" s="156">
        <f t="shared" si="283"/>
        <v>0.11582365003528827</v>
      </c>
      <c r="H231" s="156">
        <f t="shared" si="283"/>
        <v>0.10842117348233163</v>
      </c>
      <c r="I231" s="156">
        <f t="shared" si="283"/>
        <v>0.12331353746281794</v>
      </c>
      <c r="J231" s="156">
        <f t="shared" si="283"/>
        <v>0.12633469619214521</v>
      </c>
      <c r="K231" s="156">
        <f t="shared" si="283"/>
        <v>0.11800319336644199</v>
      </c>
      <c r="L231" s="156">
        <f t="shared" ref="L231" si="284">IF(L13=0,0,L13/L$4)</f>
        <v>0.11003357702985232</v>
      </c>
      <c r="M231" s="156">
        <f t="shared" ref="M231:V231" si="285">IF(M13=0,0,M13/M$4)</f>
        <v>0.12047214537764896</v>
      </c>
      <c r="N231" s="156">
        <f t="shared" si="285"/>
        <v>0.12212634737604222</v>
      </c>
      <c r="O231" s="156">
        <f t="shared" si="285"/>
        <v>0.12224108946652738</v>
      </c>
      <c r="P231" s="156">
        <f t="shared" si="285"/>
        <v>9.7290162870737426E-2</v>
      </c>
      <c r="Q231" s="156">
        <f t="shared" si="285"/>
        <v>0.10795097309962602</v>
      </c>
      <c r="R231" s="156">
        <f t="shared" si="285"/>
        <v>0.10651476522012976</v>
      </c>
      <c r="S231" s="156">
        <f t="shared" si="285"/>
        <v>7.3370922359691837E-2</v>
      </c>
      <c r="T231" s="156">
        <f t="shared" si="285"/>
        <v>7.5549011254333942E-2</v>
      </c>
      <c r="U231" s="156">
        <f t="shared" si="285"/>
        <v>7.7158571747662871E-2</v>
      </c>
      <c r="V231" s="156">
        <f t="shared" si="285"/>
        <v>5.8821840763963587E-2</v>
      </c>
      <c r="W231" s="156">
        <f t="shared" ref="W231:Y231" si="286">IF(W13=0,0,W13/W$4)</f>
        <v>7.432672875744846E-2</v>
      </c>
      <c r="X231" s="156">
        <f t="shared" si="286"/>
        <v>8.6011480775822144E-2</v>
      </c>
      <c r="Y231" s="156">
        <f t="shared" si="286"/>
        <v>9.2465851711983432E-2</v>
      </c>
      <c r="DA231" s="213"/>
    </row>
    <row r="232" spans="1:105" ht="11.45" customHeight="1" x14ac:dyDescent="0.25">
      <c r="A232" s="157" t="s">
        <v>110</v>
      </c>
      <c r="B232" s="103">
        <f t="shared" ref="B232:K232" si="287">IF(B14=0,0,B14/B$4)</f>
        <v>5.2832901156938002E-4</v>
      </c>
      <c r="C232" s="103">
        <f t="shared" si="287"/>
        <v>5.3201493985245046E-4</v>
      </c>
      <c r="D232" s="103">
        <f t="shared" si="287"/>
        <v>5.2632582155201892E-4</v>
      </c>
      <c r="E232" s="103">
        <f t="shared" si="287"/>
        <v>5.058372496674553E-4</v>
      </c>
      <c r="F232" s="103">
        <f t="shared" si="287"/>
        <v>5.1765466467065986E-4</v>
      </c>
      <c r="G232" s="103">
        <f t="shared" si="287"/>
        <v>3.9765021168881723E-4</v>
      </c>
      <c r="H232" s="103">
        <f t="shared" si="287"/>
        <v>3.5073900772216333E-4</v>
      </c>
      <c r="I232" s="103">
        <f t="shared" si="287"/>
        <v>4.3868989332782369E-4</v>
      </c>
      <c r="J232" s="103">
        <f t="shared" si="287"/>
        <v>4.1068878760608667E-4</v>
      </c>
      <c r="K232" s="103">
        <f t="shared" si="287"/>
        <v>3.5354613138382661E-4</v>
      </c>
      <c r="L232" s="103">
        <f t="shared" ref="L232" si="288">IF(L14=0,0,L14/L$4)</f>
        <v>3.1257453612765581E-4</v>
      </c>
      <c r="M232" s="103">
        <f t="shared" ref="M232:V232" si="289">IF(M14=0,0,M14/M$4)</f>
        <v>3.2836972591598326E-4</v>
      </c>
      <c r="N232" s="103">
        <f t="shared" si="289"/>
        <v>3.1556067573976627E-4</v>
      </c>
      <c r="O232" s="103">
        <f t="shared" si="289"/>
        <v>3.1391336098060096E-4</v>
      </c>
      <c r="P232" s="103">
        <f t="shared" si="289"/>
        <v>2.4012133206328178E-4</v>
      </c>
      <c r="Q232" s="103">
        <f t="shared" si="289"/>
        <v>2.5443851178003958E-4</v>
      </c>
      <c r="R232" s="103">
        <f t="shared" si="289"/>
        <v>2.4639008079642926E-4</v>
      </c>
      <c r="S232" s="103">
        <f t="shared" si="289"/>
        <v>2.1951295466104867E-4</v>
      </c>
      <c r="T232" s="103">
        <f t="shared" si="289"/>
        <v>2.0698204895183215E-4</v>
      </c>
      <c r="U232" s="103">
        <f t="shared" si="289"/>
        <v>1.9312200200752107E-4</v>
      </c>
      <c r="V232" s="103">
        <f t="shared" si="289"/>
        <v>1.3614428543305704E-4</v>
      </c>
      <c r="W232" s="103">
        <f t="shared" ref="W232:Y232" si="290">IF(W14=0,0,W14/W$4)</f>
        <v>1.6871678955643853E-4</v>
      </c>
      <c r="X232" s="103">
        <f t="shared" si="290"/>
        <v>1.8470657534895877E-4</v>
      </c>
      <c r="Y232" s="103">
        <f t="shared" si="290"/>
        <v>1.8371823714165422E-4</v>
      </c>
      <c r="DA232" s="191"/>
    </row>
    <row r="233" spans="1:105" ht="11.45" customHeight="1" x14ac:dyDescent="0.25">
      <c r="A233" s="157" t="s">
        <v>111</v>
      </c>
      <c r="B233" s="103">
        <f t="shared" ref="B233:K233" si="291">IF(B15=0,0,B15/B$4)</f>
        <v>0.13730721755545142</v>
      </c>
      <c r="C233" s="103">
        <f t="shared" si="291"/>
        <v>0.13840002267659973</v>
      </c>
      <c r="D233" s="103">
        <f t="shared" si="291"/>
        <v>0.13271771564495863</v>
      </c>
      <c r="E233" s="103">
        <f t="shared" si="291"/>
        <v>0.1272461940343351</v>
      </c>
      <c r="F233" s="103">
        <f t="shared" si="291"/>
        <v>0.13385364455511459</v>
      </c>
      <c r="G233" s="103">
        <f t="shared" si="291"/>
        <v>0.11453906034209273</v>
      </c>
      <c r="H233" s="103">
        <f t="shared" si="291"/>
        <v>0.10719838275088361</v>
      </c>
      <c r="I233" s="103">
        <f t="shared" si="291"/>
        <v>0.1216225327956057</v>
      </c>
      <c r="J233" s="103">
        <f t="shared" si="291"/>
        <v>0.12473152528895343</v>
      </c>
      <c r="K233" s="103">
        <f t="shared" si="291"/>
        <v>0.11651872877862432</v>
      </c>
      <c r="L233" s="103">
        <f t="shared" ref="L233" si="292">IF(L15=0,0,L15/L$4)</f>
        <v>0.10865033635477526</v>
      </c>
      <c r="M233" s="103">
        <f t="shared" ref="M233:V233" si="293">IF(M15=0,0,M15/M$4)</f>
        <v>0.11896932736645943</v>
      </c>
      <c r="N233" s="103">
        <f t="shared" si="293"/>
        <v>0.1205961966955305</v>
      </c>
      <c r="O233" s="103">
        <f t="shared" si="293"/>
        <v>0.12050656665007911</v>
      </c>
      <c r="P233" s="103">
        <f t="shared" si="293"/>
        <v>9.5969376757483599E-2</v>
      </c>
      <c r="Q233" s="103">
        <f t="shared" si="293"/>
        <v>0.10299587429288679</v>
      </c>
      <c r="R233" s="103">
        <f t="shared" si="293"/>
        <v>0.10075832345963688</v>
      </c>
      <c r="S233" s="103">
        <f t="shared" si="293"/>
        <v>6.4483753966827179E-2</v>
      </c>
      <c r="T233" s="103">
        <f t="shared" si="293"/>
        <v>6.5098911211355401E-2</v>
      </c>
      <c r="U233" s="103">
        <f t="shared" si="293"/>
        <v>6.3890155000048271E-2</v>
      </c>
      <c r="V233" s="103">
        <f t="shared" si="293"/>
        <v>4.6818865861215739E-2</v>
      </c>
      <c r="W233" s="103">
        <f t="shared" ref="W233:Y233" si="294">IF(W15=0,0,W15/W$4)</f>
        <v>5.8286337387154941E-2</v>
      </c>
      <c r="X233" s="103">
        <f t="shared" si="294"/>
        <v>6.7346000787861834E-2</v>
      </c>
      <c r="Y233" s="103">
        <f t="shared" si="294"/>
        <v>7.0935046756781028E-2</v>
      </c>
      <c r="DA233" s="191"/>
    </row>
    <row r="234" spans="1:105" ht="11.45" customHeight="1" x14ac:dyDescent="0.25">
      <c r="A234" s="157" t="s">
        <v>112</v>
      </c>
      <c r="B234" s="103">
        <f t="shared" ref="B234:K234" si="295">IF(B16=0,0,B16/B$4)</f>
        <v>0</v>
      </c>
      <c r="C234" s="103">
        <f t="shared" si="295"/>
        <v>0</v>
      </c>
      <c r="D234" s="103">
        <f t="shared" si="295"/>
        <v>0</v>
      </c>
      <c r="E234" s="103">
        <f t="shared" si="295"/>
        <v>0</v>
      </c>
      <c r="F234" s="103">
        <f t="shared" si="295"/>
        <v>0</v>
      </c>
      <c r="G234" s="103">
        <f t="shared" si="295"/>
        <v>0</v>
      </c>
      <c r="H234" s="103">
        <f t="shared" si="295"/>
        <v>0</v>
      </c>
      <c r="I234" s="103">
        <f t="shared" si="295"/>
        <v>0</v>
      </c>
      <c r="J234" s="103">
        <f t="shared" si="295"/>
        <v>0</v>
      </c>
      <c r="K234" s="103">
        <f t="shared" si="295"/>
        <v>0</v>
      </c>
      <c r="L234" s="103">
        <f t="shared" ref="L234" si="296">IF(L16=0,0,L16/L$4)</f>
        <v>0</v>
      </c>
      <c r="M234" s="103">
        <f t="shared" ref="M234:V234" si="297">IF(M16=0,0,M16/M$4)</f>
        <v>0</v>
      </c>
      <c r="N234" s="103">
        <f t="shared" si="297"/>
        <v>0</v>
      </c>
      <c r="O234" s="103">
        <f t="shared" si="297"/>
        <v>0</v>
      </c>
      <c r="P234" s="103">
        <f t="shared" si="297"/>
        <v>3.766955077225003E-6</v>
      </c>
      <c r="Q234" s="103">
        <f t="shared" si="297"/>
        <v>1.0798951008250918E-4</v>
      </c>
      <c r="R234" s="103">
        <f t="shared" si="297"/>
        <v>1.056436546654189E-4</v>
      </c>
      <c r="S234" s="103">
        <f t="shared" si="297"/>
        <v>9.8319543141479781E-5</v>
      </c>
      <c r="T234" s="103">
        <f t="shared" si="297"/>
        <v>9.1416416128281701E-5</v>
      </c>
      <c r="U234" s="103">
        <f t="shared" si="297"/>
        <v>1.1793083020002752E-4</v>
      </c>
      <c r="V234" s="103">
        <f t="shared" si="297"/>
        <v>1.1442188945201495E-4</v>
      </c>
      <c r="W234" s="103">
        <f t="shared" ref="W234:Y234" si="298">IF(W16=0,0,W16/W$4)</f>
        <v>3.0378681684063485E-4</v>
      </c>
      <c r="X234" s="103">
        <f t="shared" si="298"/>
        <v>4.5324797020385334E-4</v>
      </c>
      <c r="Y234" s="103">
        <f t="shared" si="298"/>
        <v>6.1618956161420442E-4</v>
      </c>
      <c r="DA234" s="191"/>
    </row>
    <row r="235" spans="1:105" ht="11.45" customHeight="1" x14ac:dyDescent="0.25">
      <c r="A235" s="157" t="s">
        <v>113</v>
      </c>
      <c r="B235" s="103">
        <f t="shared" ref="B235:K235" si="299">IF(B17=0,0,B17/B$4)</f>
        <v>4.6864348862721235E-4</v>
      </c>
      <c r="C235" s="103">
        <f t="shared" si="299"/>
        <v>4.6062960759608108E-4</v>
      </c>
      <c r="D235" s="103">
        <f t="shared" si="299"/>
        <v>3.0441840997355983E-5</v>
      </c>
      <c r="E235" s="103">
        <f t="shared" si="299"/>
        <v>6.8884195094715212E-4</v>
      </c>
      <c r="F235" s="103">
        <f t="shared" si="299"/>
        <v>9.1016515560157437E-4</v>
      </c>
      <c r="G235" s="103">
        <f t="shared" si="299"/>
        <v>8.8693948150673314E-4</v>
      </c>
      <c r="H235" s="103">
        <f t="shared" si="299"/>
        <v>8.7205172372585116E-4</v>
      </c>
      <c r="I235" s="103">
        <f t="shared" si="299"/>
        <v>1.2523147738844043E-3</v>
      </c>
      <c r="J235" s="103">
        <f t="shared" si="299"/>
        <v>1.1924821155857093E-3</v>
      </c>
      <c r="K235" s="103">
        <f t="shared" si="299"/>
        <v>1.1309184564338457E-3</v>
      </c>
      <c r="L235" s="103">
        <f t="shared" ref="L235" si="300">IF(L17=0,0,L17/L$4)</f>
        <v>1.0706661389493994E-3</v>
      </c>
      <c r="M235" s="103">
        <f t="shared" ref="M235:V235" si="301">IF(M17=0,0,M17/M$4)</f>
        <v>1.1744482852735407E-3</v>
      </c>
      <c r="N235" s="103">
        <f t="shared" si="301"/>
        <v>1.214590004771961E-3</v>
      </c>
      <c r="O235" s="103">
        <f t="shared" si="301"/>
        <v>1.2386053306823884E-3</v>
      </c>
      <c r="P235" s="103">
        <f t="shared" si="301"/>
        <v>9.020718055529471E-4</v>
      </c>
      <c r="Q235" s="103">
        <f t="shared" si="301"/>
        <v>4.291173985912544E-3</v>
      </c>
      <c r="R235" s="103">
        <f t="shared" si="301"/>
        <v>5.0848303294556609E-3</v>
      </c>
      <c r="S235" s="103">
        <f t="shared" si="301"/>
        <v>8.1843529445010874E-3</v>
      </c>
      <c r="T235" s="103">
        <f t="shared" si="301"/>
        <v>9.7156519739257201E-3</v>
      </c>
      <c r="U235" s="103">
        <f t="shared" si="301"/>
        <v>1.232890199229314E-2</v>
      </c>
      <c r="V235" s="103">
        <f t="shared" si="301"/>
        <v>1.1062195099080683E-2</v>
      </c>
      <c r="W235" s="103">
        <f t="shared" ref="W235:Y235" si="302">IF(W17=0,0,W17/W$4)</f>
        <v>1.4364082225288552E-2</v>
      </c>
      <c r="X235" s="103">
        <f t="shared" si="302"/>
        <v>1.6388501984637881E-2</v>
      </c>
      <c r="Y235" s="103">
        <f t="shared" si="302"/>
        <v>1.7734683275662251E-2</v>
      </c>
      <c r="DA235" s="191"/>
    </row>
    <row r="236" spans="1:105" ht="11.45" customHeight="1" x14ac:dyDescent="0.25">
      <c r="A236" s="157" t="s">
        <v>115</v>
      </c>
      <c r="B236" s="103">
        <f t="shared" ref="B236:K236" si="303">IF(B18=0,0,B18/B$4)</f>
        <v>0</v>
      </c>
      <c r="C236" s="103">
        <f t="shared" si="303"/>
        <v>0</v>
      </c>
      <c r="D236" s="103">
        <f t="shared" si="303"/>
        <v>0</v>
      </c>
      <c r="E236" s="103">
        <f t="shared" si="303"/>
        <v>0</v>
      </c>
      <c r="F236" s="103">
        <f t="shared" si="303"/>
        <v>0</v>
      </c>
      <c r="G236" s="103">
        <f t="shared" si="303"/>
        <v>0</v>
      </c>
      <c r="H236" s="103">
        <f t="shared" si="303"/>
        <v>0</v>
      </c>
      <c r="I236" s="103">
        <f t="shared" si="303"/>
        <v>0</v>
      </c>
      <c r="J236" s="103">
        <f t="shared" si="303"/>
        <v>0</v>
      </c>
      <c r="K236" s="103">
        <f t="shared" si="303"/>
        <v>0</v>
      </c>
      <c r="L236" s="103">
        <f t="shared" ref="L236" si="304">IF(L18=0,0,L18/L$4)</f>
        <v>0</v>
      </c>
      <c r="M236" s="103">
        <f t="shared" ref="M236:V236" si="305">IF(M18=0,0,M18/M$4)</f>
        <v>0</v>
      </c>
      <c r="N236" s="103">
        <f t="shared" si="305"/>
        <v>0</v>
      </c>
      <c r="O236" s="103">
        <f t="shared" si="305"/>
        <v>1.8200412478526707E-4</v>
      </c>
      <c r="P236" s="103">
        <f t="shared" si="305"/>
        <v>1.7482602056038469E-4</v>
      </c>
      <c r="Q236" s="103">
        <f t="shared" si="305"/>
        <v>3.0149679896414138E-4</v>
      </c>
      <c r="R236" s="103">
        <f t="shared" si="305"/>
        <v>3.1957769557536584E-4</v>
      </c>
      <c r="S236" s="103">
        <f t="shared" si="305"/>
        <v>3.8498295056103691E-4</v>
      </c>
      <c r="T236" s="103">
        <f t="shared" si="305"/>
        <v>4.3604960397269568E-4</v>
      </c>
      <c r="U236" s="103">
        <f t="shared" si="305"/>
        <v>6.2846192311390061E-4</v>
      </c>
      <c r="V236" s="103">
        <f t="shared" si="305"/>
        <v>6.9021362878208875E-4</v>
      </c>
      <c r="W236" s="103">
        <f t="shared" ref="W236:Y236" si="306">IF(W18=0,0,W18/W$4)</f>
        <v>1.2038055386078854E-3</v>
      </c>
      <c r="X236" s="103">
        <f t="shared" si="306"/>
        <v>1.6390234577696116E-3</v>
      </c>
      <c r="Y236" s="103">
        <f t="shared" si="306"/>
        <v>2.9962138807842938E-3</v>
      </c>
      <c r="DA236" s="191"/>
    </row>
    <row r="237" spans="1:105" ht="11.45" customHeight="1" x14ac:dyDescent="0.25">
      <c r="A237" s="27" t="s">
        <v>39</v>
      </c>
      <c r="B237" s="46">
        <f t="shared" ref="B237:K237" si="307">IF(B19=0,0,B19/B$19)</f>
        <v>1</v>
      </c>
      <c r="C237" s="46">
        <f t="shared" si="307"/>
        <v>1</v>
      </c>
      <c r="D237" s="46">
        <f t="shared" si="307"/>
        <v>1</v>
      </c>
      <c r="E237" s="46">
        <f t="shared" si="307"/>
        <v>1</v>
      </c>
      <c r="F237" s="46">
        <f t="shared" si="307"/>
        <v>1</v>
      </c>
      <c r="G237" s="46">
        <f t="shared" si="307"/>
        <v>1</v>
      </c>
      <c r="H237" s="46">
        <f t="shared" si="307"/>
        <v>1</v>
      </c>
      <c r="I237" s="46">
        <f t="shared" si="307"/>
        <v>1</v>
      </c>
      <c r="J237" s="46">
        <f t="shared" si="307"/>
        <v>1</v>
      </c>
      <c r="K237" s="46">
        <f t="shared" si="307"/>
        <v>1</v>
      </c>
      <c r="L237" s="46">
        <f t="shared" ref="L237" si="308">IF(L19=0,0,L19/L$19)</f>
        <v>1</v>
      </c>
      <c r="M237" s="46">
        <f t="shared" ref="M237:V237" si="309">IF(M19=0,0,M19/M$19)</f>
        <v>1</v>
      </c>
      <c r="N237" s="46">
        <f t="shared" si="309"/>
        <v>1</v>
      </c>
      <c r="O237" s="46">
        <f t="shared" si="309"/>
        <v>1</v>
      </c>
      <c r="P237" s="46">
        <f t="shared" si="309"/>
        <v>1</v>
      </c>
      <c r="Q237" s="46">
        <f t="shared" si="309"/>
        <v>1</v>
      </c>
      <c r="R237" s="46">
        <f t="shared" si="309"/>
        <v>1</v>
      </c>
      <c r="S237" s="46">
        <f t="shared" si="309"/>
        <v>1</v>
      </c>
      <c r="T237" s="46">
        <f t="shared" si="309"/>
        <v>1</v>
      </c>
      <c r="U237" s="46">
        <f t="shared" si="309"/>
        <v>1</v>
      </c>
      <c r="V237" s="46">
        <f t="shared" si="309"/>
        <v>1</v>
      </c>
      <c r="W237" s="46">
        <f t="shared" ref="W237:Y237" si="310">IF(W19=0,0,W19/W$19)</f>
        <v>1</v>
      </c>
      <c r="X237" s="46">
        <f t="shared" si="310"/>
        <v>1</v>
      </c>
      <c r="Y237" s="46">
        <f t="shared" si="310"/>
        <v>1</v>
      </c>
      <c r="DA237" s="211"/>
    </row>
    <row r="238" spans="1:105" ht="11.45" customHeight="1" x14ac:dyDescent="0.25">
      <c r="A238" s="153" t="s">
        <v>153</v>
      </c>
      <c r="B238" s="154">
        <f t="shared" ref="B238:K238" si="311">IF(B20=0,0,B20/B$19)</f>
        <v>5.4070352493769271E-2</v>
      </c>
      <c r="C238" s="154">
        <f t="shared" si="311"/>
        <v>6.0194944259091526E-2</v>
      </c>
      <c r="D238" s="154">
        <f t="shared" si="311"/>
        <v>5.0807467898043086E-2</v>
      </c>
      <c r="E238" s="154">
        <f t="shared" si="311"/>
        <v>5.2082765375027103E-2</v>
      </c>
      <c r="F238" s="154">
        <f t="shared" si="311"/>
        <v>4.9254094394601142E-2</v>
      </c>
      <c r="G238" s="154">
        <f t="shared" si="311"/>
        <v>4.444572868039174E-2</v>
      </c>
      <c r="H238" s="154">
        <f t="shared" si="311"/>
        <v>4.5066400013686593E-2</v>
      </c>
      <c r="I238" s="154">
        <f t="shared" si="311"/>
        <v>4.8891847290661761E-2</v>
      </c>
      <c r="J238" s="154">
        <f t="shared" si="311"/>
        <v>4.9278928038743577E-2</v>
      </c>
      <c r="K238" s="154">
        <f t="shared" si="311"/>
        <v>4.9616914857525701E-2</v>
      </c>
      <c r="L238" s="154">
        <f t="shared" ref="L238" si="312">IF(L20=0,0,L20/L$19)</f>
        <v>5.0625260618342716E-2</v>
      </c>
      <c r="M238" s="154">
        <f t="shared" ref="M238:V238" si="313">IF(M20=0,0,M20/M$19)</f>
        <v>5.0774653655807855E-2</v>
      </c>
      <c r="N238" s="154">
        <f t="shared" si="313"/>
        <v>4.9704494441646402E-2</v>
      </c>
      <c r="O238" s="154">
        <f t="shared" si="313"/>
        <v>5.0485791994643439E-2</v>
      </c>
      <c r="P238" s="154">
        <f t="shared" si="313"/>
        <v>4.9760005542648575E-2</v>
      </c>
      <c r="Q238" s="154">
        <f t="shared" si="313"/>
        <v>4.9181937546617017E-2</v>
      </c>
      <c r="R238" s="154">
        <f t="shared" si="313"/>
        <v>4.5524253556992619E-2</v>
      </c>
      <c r="S238" s="154">
        <f t="shared" si="313"/>
        <v>4.5818284628448024E-2</v>
      </c>
      <c r="T238" s="154">
        <f t="shared" si="313"/>
        <v>4.5597338512322741E-2</v>
      </c>
      <c r="U238" s="154">
        <f t="shared" si="313"/>
        <v>4.4041787267608656E-2</v>
      </c>
      <c r="V238" s="154">
        <f t="shared" si="313"/>
        <v>3.0996388220605832E-2</v>
      </c>
      <c r="W238" s="154">
        <f t="shared" ref="W238:Y238" si="314">IF(W20=0,0,W20/W$19)</f>
        <v>3.9305715206378398E-2</v>
      </c>
      <c r="X238" s="154">
        <f t="shared" si="314"/>
        <v>4.2344844924198391E-2</v>
      </c>
      <c r="Y238" s="154">
        <f t="shared" si="314"/>
        <v>4.2595899936238892E-2</v>
      </c>
      <c r="DA238" s="212"/>
    </row>
    <row r="239" spans="1:105" ht="11.45" customHeight="1" x14ac:dyDescent="0.25">
      <c r="A239" s="157" t="s">
        <v>110</v>
      </c>
      <c r="B239" s="103">
        <f t="shared" ref="B239:K239" si="315">IF(B21=0,0,B21/B$19)</f>
        <v>3.988253084791853E-3</v>
      </c>
      <c r="C239" s="103">
        <f t="shared" si="315"/>
        <v>3.9502475955228468E-3</v>
      </c>
      <c r="D239" s="103">
        <f t="shared" si="315"/>
        <v>2.5824985489538285E-3</v>
      </c>
      <c r="E239" s="103">
        <f t="shared" si="315"/>
        <v>2.1536473075088429E-3</v>
      </c>
      <c r="F239" s="103">
        <f t="shared" si="315"/>
        <v>1.6295006718808893E-3</v>
      </c>
      <c r="G239" s="103">
        <f t="shared" si="315"/>
        <v>1.1820423177810947E-3</v>
      </c>
      <c r="H239" s="103">
        <f t="shared" si="315"/>
        <v>9.7944188674589151E-4</v>
      </c>
      <c r="I239" s="103">
        <f t="shared" si="315"/>
        <v>8.1967200769529668E-4</v>
      </c>
      <c r="J239" s="103">
        <f t="shared" si="315"/>
        <v>7.2838525463381643E-4</v>
      </c>
      <c r="K239" s="103">
        <f t="shared" si="315"/>
        <v>7.3140444238784246E-4</v>
      </c>
      <c r="L239" s="103">
        <f t="shared" ref="L239" si="316">IF(L21=0,0,L21/L$19)</f>
        <v>7.0654438533412564E-4</v>
      </c>
      <c r="M239" s="103">
        <f t="shared" ref="M239:V239" si="317">IF(M21=0,0,M21/M$19)</f>
        <v>7.3705636240895033E-4</v>
      </c>
      <c r="N239" s="103">
        <f t="shared" si="317"/>
        <v>8.0812381762622443E-4</v>
      </c>
      <c r="O239" s="103">
        <f t="shared" si="317"/>
        <v>8.4324416435955151E-4</v>
      </c>
      <c r="P239" s="103">
        <f t="shared" si="317"/>
        <v>5.9125355959079647E-4</v>
      </c>
      <c r="Q239" s="103">
        <f t="shared" si="317"/>
        <v>5.8129986125799512E-4</v>
      </c>
      <c r="R239" s="103">
        <f t="shared" si="317"/>
        <v>5.2511886434391457E-4</v>
      </c>
      <c r="S239" s="103">
        <f t="shared" si="317"/>
        <v>5.8586225116276011E-4</v>
      </c>
      <c r="T239" s="103">
        <f t="shared" si="317"/>
        <v>6.1928644065842406E-4</v>
      </c>
      <c r="U239" s="103">
        <f t="shared" si="317"/>
        <v>6.3770806855742478E-4</v>
      </c>
      <c r="V239" s="103">
        <f t="shared" si="317"/>
        <v>4.3331089632554781E-4</v>
      </c>
      <c r="W239" s="103">
        <f t="shared" ref="W239:Y239" si="318">IF(W21=0,0,W21/W$19)</f>
        <v>5.743681990363021E-4</v>
      </c>
      <c r="X239" s="103">
        <f t="shared" si="318"/>
        <v>5.941749182694963E-4</v>
      </c>
      <c r="Y239" s="103">
        <f t="shared" si="318"/>
        <v>5.0296584445803211E-4</v>
      </c>
      <c r="DA239" s="191"/>
    </row>
    <row r="240" spans="1:105" ht="11.45" customHeight="1" x14ac:dyDescent="0.25">
      <c r="A240" s="157" t="s">
        <v>111</v>
      </c>
      <c r="B240" s="103">
        <f t="shared" ref="B240:K240" si="319">IF(B22=0,0,B22/B$19)</f>
        <v>5.0082099408977419E-2</v>
      </c>
      <c r="C240" s="103">
        <f t="shared" si="319"/>
        <v>5.6244696663568676E-2</v>
      </c>
      <c r="D240" s="103">
        <f t="shared" si="319"/>
        <v>4.822496934908925E-2</v>
      </c>
      <c r="E240" s="103">
        <f t="shared" si="319"/>
        <v>4.9929118067518256E-2</v>
      </c>
      <c r="F240" s="103">
        <f t="shared" si="319"/>
        <v>4.7624593722720251E-2</v>
      </c>
      <c r="G240" s="103">
        <f t="shared" si="319"/>
        <v>4.3263686362610645E-2</v>
      </c>
      <c r="H240" s="103">
        <f t="shared" si="319"/>
        <v>4.4086958126940703E-2</v>
      </c>
      <c r="I240" s="103">
        <f t="shared" si="319"/>
        <v>4.8072175282966464E-2</v>
      </c>
      <c r="J240" s="103">
        <f t="shared" si="319"/>
        <v>4.8550542784109758E-2</v>
      </c>
      <c r="K240" s="103">
        <f t="shared" si="319"/>
        <v>4.8885510415137855E-2</v>
      </c>
      <c r="L240" s="103">
        <f t="shared" ref="L240" si="320">IF(L22=0,0,L22/L$19)</f>
        <v>4.9918716233008587E-2</v>
      </c>
      <c r="M240" s="103">
        <f t="shared" ref="M240:V240" si="321">IF(M22=0,0,M22/M$19)</f>
        <v>5.0037257902990948E-2</v>
      </c>
      <c r="N240" s="103">
        <f t="shared" si="321"/>
        <v>4.8892769976435477E-2</v>
      </c>
      <c r="O240" s="103">
        <f t="shared" si="321"/>
        <v>4.9638760494728207E-2</v>
      </c>
      <c r="P240" s="103">
        <f t="shared" si="321"/>
        <v>4.9140905936916376E-2</v>
      </c>
      <c r="Q240" s="103">
        <f t="shared" si="321"/>
        <v>4.8554403528817749E-2</v>
      </c>
      <c r="R240" s="103">
        <f t="shared" si="321"/>
        <v>4.4943531269566496E-2</v>
      </c>
      <c r="S240" s="103">
        <f t="shared" si="321"/>
        <v>4.5151942507767447E-2</v>
      </c>
      <c r="T240" s="103">
        <f t="shared" si="321"/>
        <v>4.4833121438506714E-2</v>
      </c>
      <c r="U240" s="103">
        <f t="shared" si="321"/>
        <v>4.3150917192093789E-2</v>
      </c>
      <c r="V240" s="103">
        <f t="shared" si="321"/>
        <v>3.0333235319658702E-2</v>
      </c>
      <c r="W240" s="103">
        <f t="shared" ref="W240:Y240" si="322">IF(W22=0,0,W22/W$19)</f>
        <v>3.8370204116765338E-2</v>
      </c>
      <c r="X240" s="103">
        <f t="shared" si="322"/>
        <v>4.132460804223078E-2</v>
      </c>
      <c r="Y240" s="103">
        <f t="shared" si="322"/>
        <v>4.1566573446389109E-2</v>
      </c>
      <c r="DA240" s="191"/>
    </row>
    <row r="241" spans="1:105" ht="11.45" customHeight="1" x14ac:dyDescent="0.25">
      <c r="A241" s="157" t="s">
        <v>112</v>
      </c>
      <c r="B241" s="103">
        <f t="shared" ref="B241:K241" si="323">IF(B23=0,0,B23/B$19)</f>
        <v>0</v>
      </c>
      <c r="C241" s="103">
        <f t="shared" si="323"/>
        <v>0</v>
      </c>
      <c r="D241" s="103">
        <f t="shared" si="323"/>
        <v>0</v>
      </c>
      <c r="E241" s="103">
        <f t="shared" si="323"/>
        <v>0</v>
      </c>
      <c r="F241" s="103">
        <f t="shared" si="323"/>
        <v>0</v>
      </c>
      <c r="G241" s="103">
        <f t="shared" si="323"/>
        <v>0</v>
      </c>
      <c r="H241" s="103">
        <f t="shared" si="323"/>
        <v>0</v>
      </c>
      <c r="I241" s="103">
        <f t="shared" si="323"/>
        <v>0</v>
      </c>
      <c r="J241" s="103">
        <f t="shared" si="323"/>
        <v>0</v>
      </c>
      <c r="K241" s="103">
        <f t="shared" si="323"/>
        <v>0</v>
      </c>
      <c r="L241" s="103">
        <f t="shared" ref="L241" si="324">IF(L23=0,0,L23/L$19)</f>
        <v>0</v>
      </c>
      <c r="M241" s="103">
        <f t="shared" ref="M241:V241" si="325">IF(M23=0,0,M23/M$19)</f>
        <v>0</v>
      </c>
      <c r="N241" s="103">
        <f t="shared" si="325"/>
        <v>0</v>
      </c>
      <c r="O241" s="103">
        <f t="shared" si="325"/>
        <v>3.8363376336071808E-8</v>
      </c>
      <c r="P241" s="103">
        <f t="shared" si="325"/>
        <v>4.3583387559742551E-6</v>
      </c>
      <c r="Q241" s="103">
        <f t="shared" si="325"/>
        <v>9.2297428457864339E-6</v>
      </c>
      <c r="R241" s="103">
        <f t="shared" si="325"/>
        <v>1.4930135919245942E-5</v>
      </c>
      <c r="S241" s="103">
        <f t="shared" si="325"/>
        <v>2.4840061835566594E-5</v>
      </c>
      <c r="T241" s="103">
        <f t="shared" si="325"/>
        <v>5.3452254550977745E-5</v>
      </c>
      <c r="U241" s="103">
        <f t="shared" si="325"/>
        <v>1.2201978215381773E-4</v>
      </c>
      <c r="V241" s="103">
        <f t="shared" si="325"/>
        <v>1.0346376790017661E-4</v>
      </c>
      <c r="W241" s="103">
        <f t="shared" ref="W241:Y241" si="326">IF(W23=0,0,W23/W$19)</f>
        <v>1.6883112166487412E-4</v>
      </c>
      <c r="X241" s="103">
        <f t="shared" si="326"/>
        <v>1.9068103699149895E-4</v>
      </c>
      <c r="Y241" s="103">
        <f t="shared" si="326"/>
        <v>1.9947449970786165E-4</v>
      </c>
      <c r="DA241" s="191"/>
    </row>
    <row r="242" spans="1:105" ht="11.45" customHeight="1" x14ac:dyDescent="0.25">
      <c r="A242" s="157" t="s">
        <v>113</v>
      </c>
      <c r="B242" s="103">
        <f t="shared" ref="B242:K242" si="327">IF(B24=0,0,B24/B$19)</f>
        <v>0</v>
      </c>
      <c r="C242" s="103">
        <f t="shared" si="327"/>
        <v>0</v>
      </c>
      <c r="D242" s="103">
        <f t="shared" si="327"/>
        <v>0</v>
      </c>
      <c r="E242" s="103">
        <f t="shared" si="327"/>
        <v>0</v>
      </c>
      <c r="F242" s="103">
        <f t="shared" si="327"/>
        <v>0</v>
      </c>
      <c r="G242" s="103">
        <f t="shared" si="327"/>
        <v>0</v>
      </c>
      <c r="H242" s="103">
        <f t="shared" si="327"/>
        <v>0</v>
      </c>
      <c r="I242" s="103">
        <f t="shared" si="327"/>
        <v>0</v>
      </c>
      <c r="J242" s="103">
        <f t="shared" si="327"/>
        <v>0</v>
      </c>
      <c r="K242" s="103">
        <f t="shared" si="327"/>
        <v>0</v>
      </c>
      <c r="L242" s="103">
        <f t="shared" ref="L242" si="328">IF(L24=0,0,L24/L$19)</f>
        <v>0</v>
      </c>
      <c r="M242" s="103">
        <f t="shared" ref="M242:V242" si="329">IF(M24=0,0,M24/M$19)</f>
        <v>0</v>
      </c>
      <c r="N242" s="103">
        <f t="shared" si="329"/>
        <v>2.8543285618953243E-7</v>
      </c>
      <c r="O242" s="103">
        <f t="shared" si="329"/>
        <v>1.9847419119099407E-6</v>
      </c>
      <c r="P242" s="103">
        <f t="shared" si="329"/>
        <v>3.26452657303728E-6</v>
      </c>
      <c r="Q242" s="103">
        <f t="shared" si="329"/>
        <v>9.2212086389762505E-6</v>
      </c>
      <c r="R242" s="103">
        <f t="shared" si="329"/>
        <v>1.1876736504788559E-5</v>
      </c>
      <c r="S242" s="103">
        <f t="shared" si="329"/>
        <v>1.7302536881693201E-5</v>
      </c>
      <c r="T242" s="103">
        <f t="shared" si="329"/>
        <v>3.1511389436710429E-5</v>
      </c>
      <c r="U242" s="103">
        <f t="shared" si="329"/>
        <v>5.4996554896295511E-5</v>
      </c>
      <c r="V242" s="103">
        <f t="shared" si="329"/>
        <v>5.2495001688475949E-5</v>
      </c>
      <c r="W242" s="103">
        <f t="shared" ref="W242:Y242" si="330">IF(W24=0,0,W24/W$19)</f>
        <v>7.5233670202409279E-5</v>
      </c>
      <c r="X242" s="103">
        <f t="shared" si="330"/>
        <v>8.1125756229125836E-5</v>
      </c>
      <c r="Y242" s="103">
        <f t="shared" si="330"/>
        <v>7.9566295764017881E-5</v>
      </c>
      <c r="DA242" s="191"/>
    </row>
    <row r="243" spans="1:105" ht="11.45" customHeight="1" x14ac:dyDescent="0.25">
      <c r="A243" s="157" t="s">
        <v>115</v>
      </c>
      <c r="B243" s="103">
        <f t="shared" ref="B243:K243" si="331">IF(B25=0,0,B25/B$19)</f>
        <v>0</v>
      </c>
      <c r="C243" s="103">
        <f t="shared" si="331"/>
        <v>0</v>
      </c>
      <c r="D243" s="103">
        <f t="shared" si="331"/>
        <v>0</v>
      </c>
      <c r="E243" s="103">
        <f t="shared" si="331"/>
        <v>0</v>
      </c>
      <c r="F243" s="103">
        <f t="shared" si="331"/>
        <v>0</v>
      </c>
      <c r="G243" s="103">
        <f t="shared" si="331"/>
        <v>0</v>
      </c>
      <c r="H243" s="103">
        <f t="shared" si="331"/>
        <v>0</v>
      </c>
      <c r="I243" s="103">
        <f t="shared" si="331"/>
        <v>0</v>
      </c>
      <c r="J243" s="103">
        <f t="shared" si="331"/>
        <v>0</v>
      </c>
      <c r="K243" s="103">
        <f t="shared" si="331"/>
        <v>0</v>
      </c>
      <c r="L243" s="103">
        <f t="shared" ref="L243" si="332">IF(L25=0,0,L25/L$19)</f>
        <v>0</v>
      </c>
      <c r="M243" s="103">
        <f t="shared" ref="M243:V243" si="333">IF(M25=0,0,M25/M$19)</f>
        <v>3.3939040795090594E-7</v>
      </c>
      <c r="N243" s="103">
        <f t="shared" si="333"/>
        <v>3.315214728508471E-6</v>
      </c>
      <c r="O243" s="103">
        <f t="shared" si="333"/>
        <v>1.7642302674359333E-6</v>
      </c>
      <c r="P243" s="103">
        <f t="shared" si="333"/>
        <v>2.0223180812385036E-5</v>
      </c>
      <c r="Q243" s="103">
        <f t="shared" si="333"/>
        <v>2.7783205056508528E-5</v>
      </c>
      <c r="R243" s="103">
        <f t="shared" si="333"/>
        <v>2.8796550658173675E-5</v>
      </c>
      <c r="S243" s="103">
        <f t="shared" si="333"/>
        <v>3.8337270800550924E-5</v>
      </c>
      <c r="T243" s="103">
        <f t="shared" si="333"/>
        <v>5.9966989169912146E-5</v>
      </c>
      <c r="U243" s="103">
        <f t="shared" si="333"/>
        <v>7.6145669907325532E-5</v>
      </c>
      <c r="V243" s="103">
        <f t="shared" si="333"/>
        <v>7.3883235032929463E-5</v>
      </c>
      <c r="W243" s="103">
        <f t="shared" ref="W243:Y243" si="334">IF(W25=0,0,W25/W$19)</f>
        <v>1.170780987094735E-4</v>
      </c>
      <c r="X243" s="103">
        <f t="shared" si="334"/>
        <v>1.5425517047749153E-4</v>
      </c>
      <c r="Y243" s="103">
        <f t="shared" si="334"/>
        <v>2.4731984991987533E-4</v>
      </c>
      <c r="DA243" s="191"/>
    </row>
    <row r="244" spans="1:105" ht="11.45" customHeight="1" x14ac:dyDescent="0.25">
      <c r="A244" s="155" t="s">
        <v>154</v>
      </c>
      <c r="B244" s="156">
        <f t="shared" ref="B244:K244" si="335">IF(B26=0,0,B26/B$19)</f>
        <v>0.94592964750623065</v>
      </c>
      <c r="C244" s="156">
        <f t="shared" si="335"/>
        <v>0.93980505574090845</v>
      </c>
      <c r="D244" s="156">
        <f t="shared" si="335"/>
        <v>0.94919253210195698</v>
      </c>
      <c r="E244" s="156">
        <f t="shared" si="335"/>
        <v>0.9479172346249729</v>
      </c>
      <c r="F244" s="156">
        <f t="shared" si="335"/>
        <v>0.95074590560539884</v>
      </c>
      <c r="G244" s="156">
        <f t="shared" si="335"/>
        <v>0.95555427131960824</v>
      </c>
      <c r="H244" s="156">
        <f t="shared" si="335"/>
        <v>0.95493359998631333</v>
      </c>
      <c r="I244" s="156">
        <f t="shared" si="335"/>
        <v>0.95110815270933824</v>
      </c>
      <c r="J244" s="156">
        <f t="shared" si="335"/>
        <v>0.95072107196125644</v>
      </c>
      <c r="K244" s="156">
        <f t="shared" si="335"/>
        <v>0.95038308514247427</v>
      </c>
      <c r="L244" s="156">
        <f t="shared" ref="L244" si="336">IF(L26=0,0,L26/L$19)</f>
        <v>0.94937473938165728</v>
      </c>
      <c r="M244" s="156">
        <f t="shared" ref="M244:V244" si="337">IF(M26=0,0,M26/M$19)</f>
        <v>0.94922534634419209</v>
      </c>
      <c r="N244" s="156">
        <f t="shared" si="337"/>
        <v>0.95029550555835351</v>
      </c>
      <c r="O244" s="156">
        <f t="shared" si="337"/>
        <v>0.94951420800535646</v>
      </c>
      <c r="P244" s="156">
        <f t="shared" si="337"/>
        <v>0.9502399944573513</v>
      </c>
      <c r="Q244" s="156">
        <f t="shared" si="337"/>
        <v>0.95081806245338296</v>
      </c>
      <c r="R244" s="156">
        <f t="shared" si="337"/>
        <v>0.95447574644300737</v>
      </c>
      <c r="S244" s="156">
        <f t="shared" si="337"/>
        <v>0.95418171537155194</v>
      </c>
      <c r="T244" s="156">
        <f t="shared" si="337"/>
        <v>0.95440266148767727</v>
      </c>
      <c r="U244" s="156">
        <f t="shared" si="337"/>
        <v>0.95595821273239134</v>
      </c>
      <c r="V244" s="156">
        <f t="shared" si="337"/>
        <v>0.9690036117793942</v>
      </c>
      <c r="W244" s="156">
        <f t="shared" ref="W244:Y244" si="338">IF(W26=0,0,W26/W$19)</f>
        <v>0.96069428479362151</v>
      </c>
      <c r="X244" s="156">
        <f t="shared" si="338"/>
        <v>0.95765515507580168</v>
      </c>
      <c r="Y244" s="156">
        <f t="shared" si="338"/>
        <v>0.95740410006376109</v>
      </c>
      <c r="DA244" s="213"/>
    </row>
    <row r="245" spans="1:105" ht="11.45" customHeight="1" x14ac:dyDescent="0.25">
      <c r="A245" s="157" t="s">
        <v>27</v>
      </c>
      <c r="B245" s="103">
        <f t="shared" ref="B245:K245" si="339">IF(B27=0,0,B27/B$19)</f>
        <v>0.72802595993534402</v>
      </c>
      <c r="C245" s="103">
        <f t="shared" si="339"/>
        <v>0.7225161482709872</v>
      </c>
      <c r="D245" s="103">
        <f t="shared" si="339"/>
        <v>0.74135497611741041</v>
      </c>
      <c r="E245" s="103">
        <f t="shared" si="339"/>
        <v>0.7484272738582245</v>
      </c>
      <c r="F245" s="103">
        <f t="shared" si="339"/>
        <v>0.74495894704893861</v>
      </c>
      <c r="G245" s="103">
        <f t="shared" si="339"/>
        <v>0.75450811924762695</v>
      </c>
      <c r="H245" s="103">
        <f t="shared" si="339"/>
        <v>0.75737280427890041</v>
      </c>
      <c r="I245" s="103">
        <f t="shared" si="339"/>
        <v>0.76408566629239716</v>
      </c>
      <c r="J245" s="103">
        <f t="shared" si="339"/>
        <v>0.76638729011318396</v>
      </c>
      <c r="K245" s="103">
        <f t="shared" si="339"/>
        <v>0.75785902108941616</v>
      </c>
      <c r="L245" s="103">
        <f t="shared" ref="L245" si="340">IF(L27=0,0,L27/L$19)</f>
        <v>0.75266685479831352</v>
      </c>
      <c r="M245" s="103">
        <f t="shared" ref="M245:V245" si="341">IF(M27=0,0,M27/M$19)</f>
        <v>0.75108515139708321</v>
      </c>
      <c r="N245" s="103">
        <f t="shared" si="341"/>
        <v>0.7465354942996415</v>
      </c>
      <c r="O245" s="103">
        <f t="shared" si="341"/>
        <v>0.72591273968509373</v>
      </c>
      <c r="P245" s="103">
        <f t="shared" si="341"/>
        <v>0.72873466850294877</v>
      </c>
      <c r="Q245" s="103">
        <f t="shared" si="341"/>
        <v>0.73309029466957365</v>
      </c>
      <c r="R245" s="103">
        <f t="shared" si="341"/>
        <v>0.74120651705901042</v>
      </c>
      <c r="S245" s="103">
        <f t="shared" si="341"/>
        <v>0.74550994981078267</v>
      </c>
      <c r="T245" s="103">
        <f t="shared" si="341"/>
        <v>0.74279751786114045</v>
      </c>
      <c r="U245" s="103">
        <f t="shared" si="341"/>
        <v>0.74564785536038669</v>
      </c>
      <c r="V245" s="103">
        <f t="shared" si="341"/>
        <v>0.76455124381558615</v>
      </c>
      <c r="W245" s="103">
        <f t="shared" ref="W245:Y245" si="342">IF(W27=0,0,W27/W$19)</f>
        <v>0.75862535430761913</v>
      </c>
      <c r="X245" s="103">
        <f t="shared" si="342"/>
        <v>0.7472347286395451</v>
      </c>
      <c r="Y245" s="103">
        <f t="shared" si="342"/>
        <v>0.75743737019409874</v>
      </c>
      <c r="DA245" s="191"/>
    </row>
    <row r="246" spans="1:105" ht="11.45" customHeight="1" x14ac:dyDescent="0.25">
      <c r="A246" s="158" t="s">
        <v>116</v>
      </c>
      <c r="B246" s="105">
        <f t="shared" ref="B246:K246" si="343">IF(B28=0,0,B28/B$19)</f>
        <v>0.21790368757088668</v>
      </c>
      <c r="C246" s="105">
        <f t="shared" si="343"/>
        <v>0.2172889074699213</v>
      </c>
      <c r="D246" s="105">
        <f t="shared" si="343"/>
        <v>0.20783755598454665</v>
      </c>
      <c r="E246" s="105">
        <f t="shared" si="343"/>
        <v>0.19948996076674844</v>
      </c>
      <c r="F246" s="105">
        <f t="shared" si="343"/>
        <v>0.2057869585564602</v>
      </c>
      <c r="G246" s="105">
        <f t="shared" si="343"/>
        <v>0.20104615207198126</v>
      </c>
      <c r="H246" s="105">
        <f t="shared" si="343"/>
        <v>0.19756079570741295</v>
      </c>
      <c r="I246" s="105">
        <f t="shared" si="343"/>
        <v>0.18702248641694116</v>
      </c>
      <c r="J246" s="105">
        <f t="shared" si="343"/>
        <v>0.18433378184807248</v>
      </c>
      <c r="K246" s="105">
        <f t="shared" si="343"/>
        <v>0.19252406405305814</v>
      </c>
      <c r="L246" s="105">
        <f t="shared" ref="L246" si="344">IF(L28=0,0,L28/L$19)</f>
        <v>0.19670788458334373</v>
      </c>
      <c r="M246" s="105">
        <f t="shared" ref="M246:V246" si="345">IF(M28=0,0,M28/M$19)</f>
        <v>0.19814019494710886</v>
      </c>
      <c r="N246" s="105">
        <f t="shared" si="345"/>
        <v>0.20376001125871207</v>
      </c>
      <c r="O246" s="105">
        <f t="shared" si="345"/>
        <v>0.22360146832026281</v>
      </c>
      <c r="P246" s="105">
        <f t="shared" si="345"/>
        <v>0.22150532595440259</v>
      </c>
      <c r="Q246" s="105">
        <f t="shared" si="345"/>
        <v>0.21772776778380931</v>
      </c>
      <c r="R246" s="105">
        <f t="shared" si="345"/>
        <v>0.21326922938399695</v>
      </c>
      <c r="S246" s="105">
        <f t="shared" si="345"/>
        <v>0.2086717655607693</v>
      </c>
      <c r="T246" s="105">
        <f t="shared" si="345"/>
        <v>0.21160514362653679</v>
      </c>
      <c r="U246" s="105">
        <f t="shared" si="345"/>
        <v>0.21031035737200468</v>
      </c>
      <c r="V246" s="105">
        <f t="shared" si="345"/>
        <v>0.204452367963808</v>
      </c>
      <c r="W246" s="105">
        <f t="shared" ref="W246:Y246" si="346">IF(W28=0,0,W28/W$19)</f>
        <v>0.20206893048600236</v>
      </c>
      <c r="X246" s="105">
        <f t="shared" si="346"/>
        <v>0.2104204264362565</v>
      </c>
      <c r="Y246" s="105">
        <f t="shared" si="346"/>
        <v>0.19996672986966244</v>
      </c>
      <c r="DA246" s="192"/>
    </row>
    <row r="247" spans="1:105" ht="11.45" customHeight="1" x14ac:dyDescent="0.25">
      <c r="A247" s="106"/>
      <c r="B247" s="106"/>
      <c r="C247" s="106"/>
      <c r="D247" s="106"/>
      <c r="E247" s="106"/>
      <c r="F247" s="106"/>
      <c r="G247" s="106"/>
      <c r="H247" s="106"/>
      <c r="I247" s="106"/>
      <c r="J247" s="106"/>
      <c r="K247" s="106"/>
      <c r="L247" s="106"/>
      <c r="M247" s="106"/>
      <c r="N247" s="106"/>
      <c r="O247" s="106"/>
      <c r="P247" s="106"/>
      <c r="Q247" s="106"/>
      <c r="R247" s="106"/>
      <c r="S247" s="106"/>
      <c r="T247" s="106"/>
      <c r="U247" s="106"/>
      <c r="V247" s="106"/>
      <c r="W247" s="106"/>
      <c r="X247" s="106"/>
      <c r="Y247" s="106"/>
      <c r="DA247" s="171"/>
    </row>
    <row r="248" spans="1:105" ht="11.45" customHeight="1" x14ac:dyDescent="0.25">
      <c r="A248" s="53" t="s">
        <v>66</v>
      </c>
      <c r="B248" s="76"/>
      <c r="C248" s="76"/>
      <c r="D248" s="76"/>
      <c r="E248" s="76"/>
      <c r="F248" s="76"/>
      <c r="G248" s="76"/>
      <c r="H248" s="76"/>
      <c r="I248" s="76"/>
      <c r="J248" s="76"/>
      <c r="K248" s="76"/>
      <c r="L248" s="76"/>
      <c r="M248" s="76"/>
      <c r="N248" s="76"/>
      <c r="O248" s="76"/>
      <c r="P248" s="76"/>
      <c r="Q248" s="76"/>
      <c r="R248" s="76"/>
      <c r="S248" s="76"/>
      <c r="T248" s="76"/>
      <c r="U248" s="76"/>
      <c r="V248" s="76"/>
      <c r="W248" s="76"/>
      <c r="X248" s="76"/>
      <c r="Y248" s="76"/>
      <c r="DA248" s="183"/>
    </row>
    <row r="249" spans="1:105" ht="11.45" customHeight="1" x14ac:dyDescent="0.25">
      <c r="A249" s="27" t="s">
        <v>33</v>
      </c>
      <c r="B249" s="46">
        <f t="shared" ref="B249:K249" si="347">IF(B31=0,0,B31/B$31)</f>
        <v>1</v>
      </c>
      <c r="C249" s="46">
        <f t="shared" si="347"/>
        <v>1</v>
      </c>
      <c r="D249" s="46">
        <f t="shared" si="347"/>
        <v>1</v>
      </c>
      <c r="E249" s="46">
        <f t="shared" si="347"/>
        <v>1</v>
      </c>
      <c r="F249" s="46">
        <f t="shared" si="347"/>
        <v>1</v>
      </c>
      <c r="G249" s="46">
        <f t="shared" si="347"/>
        <v>1</v>
      </c>
      <c r="H249" s="46">
        <f t="shared" si="347"/>
        <v>1</v>
      </c>
      <c r="I249" s="46">
        <f t="shared" si="347"/>
        <v>1</v>
      </c>
      <c r="J249" s="46">
        <f t="shared" si="347"/>
        <v>1</v>
      </c>
      <c r="K249" s="46">
        <f t="shared" si="347"/>
        <v>1</v>
      </c>
      <c r="L249" s="46">
        <f t="shared" ref="L249" si="348">IF(L31=0,0,L31/L$31)</f>
        <v>1</v>
      </c>
      <c r="M249" s="46">
        <f t="shared" ref="M249:V249" si="349">IF(M31=0,0,M31/M$31)</f>
        <v>1</v>
      </c>
      <c r="N249" s="46">
        <f t="shared" si="349"/>
        <v>1</v>
      </c>
      <c r="O249" s="46">
        <f t="shared" si="349"/>
        <v>1</v>
      </c>
      <c r="P249" s="46">
        <f t="shared" si="349"/>
        <v>1</v>
      </c>
      <c r="Q249" s="46">
        <f t="shared" si="349"/>
        <v>1</v>
      </c>
      <c r="R249" s="46">
        <f t="shared" si="349"/>
        <v>1</v>
      </c>
      <c r="S249" s="46">
        <f t="shared" si="349"/>
        <v>1</v>
      </c>
      <c r="T249" s="46">
        <f t="shared" si="349"/>
        <v>1</v>
      </c>
      <c r="U249" s="46">
        <f t="shared" si="349"/>
        <v>1</v>
      </c>
      <c r="V249" s="46">
        <f t="shared" si="349"/>
        <v>1</v>
      </c>
      <c r="W249" s="46">
        <f t="shared" ref="W249:Y249" si="350">IF(W31=0,0,W31/W$31)</f>
        <v>1</v>
      </c>
      <c r="X249" s="46">
        <f t="shared" si="350"/>
        <v>1</v>
      </c>
      <c r="Y249" s="46">
        <f t="shared" si="350"/>
        <v>1</v>
      </c>
      <c r="DA249" s="211"/>
    </row>
    <row r="250" spans="1:105" ht="11.45" customHeight="1" x14ac:dyDescent="0.25">
      <c r="A250" s="153" t="s">
        <v>173</v>
      </c>
      <c r="B250" s="154">
        <f t="shared" ref="B250:K250" si="351">IF(B32=0,0,B32/B$31)</f>
        <v>4.7314028477043524E-2</v>
      </c>
      <c r="C250" s="154">
        <f t="shared" si="351"/>
        <v>4.7279442258102475E-2</v>
      </c>
      <c r="D250" s="154">
        <f t="shared" si="351"/>
        <v>4.160424891507794E-2</v>
      </c>
      <c r="E250" s="154">
        <f t="shared" si="351"/>
        <v>4.4911021651752814E-2</v>
      </c>
      <c r="F250" s="154">
        <f t="shared" si="351"/>
        <v>4.0867345760413162E-2</v>
      </c>
      <c r="G250" s="154">
        <f t="shared" si="351"/>
        <v>4.4061912729875363E-2</v>
      </c>
      <c r="H250" s="154">
        <f t="shared" si="351"/>
        <v>4.3133361795836128E-2</v>
      </c>
      <c r="I250" s="154">
        <f t="shared" si="351"/>
        <v>4.6912910732713302E-2</v>
      </c>
      <c r="J250" s="154">
        <f t="shared" si="351"/>
        <v>4.6926588444206711E-2</v>
      </c>
      <c r="K250" s="154">
        <f t="shared" si="351"/>
        <v>4.7962148583582526E-2</v>
      </c>
      <c r="L250" s="154">
        <f t="shared" ref="L250" si="352">IF(L32=0,0,L32/L$31)</f>
        <v>4.981259236542044E-2</v>
      </c>
      <c r="M250" s="154">
        <f t="shared" ref="M250:V250" si="353">IF(M32=0,0,M32/M$31)</f>
        <v>4.6704177856037671E-2</v>
      </c>
      <c r="N250" s="154">
        <f t="shared" si="353"/>
        <v>4.6146302411972401E-2</v>
      </c>
      <c r="O250" s="154">
        <f t="shared" si="353"/>
        <v>4.6056259886986223E-2</v>
      </c>
      <c r="P250" s="154">
        <f t="shared" si="353"/>
        <v>5.04053764122947E-2</v>
      </c>
      <c r="Q250" s="154">
        <f t="shared" si="353"/>
        <v>5.3177147279055835E-2</v>
      </c>
      <c r="R250" s="154">
        <f t="shared" si="353"/>
        <v>5.6485402032109895E-2</v>
      </c>
      <c r="S250" s="154">
        <f t="shared" si="353"/>
        <v>4.9994448187037376E-2</v>
      </c>
      <c r="T250" s="154">
        <f t="shared" si="353"/>
        <v>4.6885765117075075E-2</v>
      </c>
      <c r="U250" s="154">
        <f t="shared" si="353"/>
        <v>4.7058759034338794E-2</v>
      </c>
      <c r="V250" s="154">
        <f t="shared" si="353"/>
        <v>5.0338727647845798E-2</v>
      </c>
      <c r="W250" s="154">
        <f t="shared" ref="W250:Y250" si="354">IF(W32=0,0,W32/W$31)</f>
        <v>4.5086165878839332E-2</v>
      </c>
      <c r="X250" s="154">
        <f t="shared" si="354"/>
        <v>4.3628867198927127E-2</v>
      </c>
      <c r="Y250" s="154">
        <f t="shared" si="354"/>
        <v>4.557972555141538E-2</v>
      </c>
      <c r="DA250" s="212"/>
    </row>
    <row r="251" spans="1:105" ht="11.45" customHeight="1" x14ac:dyDescent="0.25">
      <c r="A251" s="155" t="s">
        <v>20</v>
      </c>
      <c r="B251" s="156">
        <f t="shared" ref="B251:K251" si="355">IF(B33=0,0,B33/B$31)</f>
        <v>0.94209763479134412</v>
      </c>
      <c r="C251" s="156">
        <f t="shared" si="355"/>
        <v>0.9425170156165017</v>
      </c>
      <c r="D251" s="156">
        <f t="shared" si="355"/>
        <v>0.94879768303751688</v>
      </c>
      <c r="E251" s="156">
        <f t="shared" si="355"/>
        <v>0.94588664566765401</v>
      </c>
      <c r="F251" s="156">
        <f t="shared" si="355"/>
        <v>0.95017073764175708</v>
      </c>
      <c r="G251" s="156">
        <f t="shared" si="355"/>
        <v>0.94753714096566111</v>
      </c>
      <c r="H251" s="156">
        <f t="shared" si="355"/>
        <v>0.94842288737013436</v>
      </c>
      <c r="I251" s="156">
        <f t="shared" si="355"/>
        <v>0.94474845080267456</v>
      </c>
      <c r="J251" s="156">
        <f t="shared" si="355"/>
        <v>0.94481478174285416</v>
      </c>
      <c r="K251" s="156">
        <f t="shared" si="355"/>
        <v>0.94400556046515605</v>
      </c>
      <c r="L251" s="156">
        <f t="shared" ref="L251" si="356">IF(L33=0,0,L33/L$31)</f>
        <v>0.94216562051994868</v>
      </c>
      <c r="M251" s="156">
        <f t="shared" ref="M251:V251" si="357">IF(M33=0,0,M33/M$31)</f>
        <v>0.94516588949076108</v>
      </c>
      <c r="N251" s="156">
        <f t="shared" si="357"/>
        <v>0.94557745662472026</v>
      </c>
      <c r="O251" s="156">
        <f t="shared" si="357"/>
        <v>0.94611136160596343</v>
      </c>
      <c r="P251" s="156">
        <f t="shared" si="357"/>
        <v>0.94210485041441949</v>
      </c>
      <c r="Q251" s="156">
        <f t="shared" si="357"/>
        <v>0.93945042699497694</v>
      </c>
      <c r="R251" s="156">
        <f t="shared" si="357"/>
        <v>0.93582661167274805</v>
      </c>
      <c r="S251" s="156">
        <f t="shared" si="357"/>
        <v>0.94541098808065382</v>
      </c>
      <c r="T251" s="156">
        <f t="shared" si="357"/>
        <v>0.9484461968765685</v>
      </c>
      <c r="U251" s="156">
        <f t="shared" si="357"/>
        <v>0.94851061786757196</v>
      </c>
      <c r="V251" s="156">
        <f t="shared" si="357"/>
        <v>0.94609222094918721</v>
      </c>
      <c r="W251" s="156">
        <f t="shared" ref="W251:Y251" si="358">IF(W33=0,0,W33/W$31)</f>
        <v>0.95107715147006722</v>
      </c>
      <c r="X251" s="156">
        <f t="shared" si="358"/>
        <v>0.95215676879854316</v>
      </c>
      <c r="Y251" s="156">
        <f t="shared" si="358"/>
        <v>0.94977195655790259</v>
      </c>
      <c r="DA251" s="213"/>
    </row>
    <row r="252" spans="1:105" ht="11.45" customHeight="1" x14ac:dyDescent="0.25">
      <c r="A252" s="157" t="s">
        <v>110</v>
      </c>
      <c r="B252" s="103">
        <f t="shared" ref="B252:K252" si="359">IF(B34=0,0,B34/B$31)</f>
        <v>0.48184993203993243</v>
      </c>
      <c r="C252" s="103">
        <f t="shared" si="359"/>
        <v>0.45246829983823189</v>
      </c>
      <c r="D252" s="103">
        <f t="shared" si="359"/>
        <v>0.42733383529451202</v>
      </c>
      <c r="E252" s="103">
        <f t="shared" si="359"/>
        <v>0.39263702003815909</v>
      </c>
      <c r="F252" s="103">
        <f t="shared" si="359"/>
        <v>0.36373932784611324</v>
      </c>
      <c r="G252" s="103">
        <f t="shared" si="359"/>
        <v>0.3346962257081802</v>
      </c>
      <c r="H252" s="103">
        <f t="shared" si="359"/>
        <v>0.30840029641963546</v>
      </c>
      <c r="I252" s="103">
        <f t="shared" si="359"/>
        <v>0.2862397862267691</v>
      </c>
      <c r="J252" s="103">
        <f t="shared" si="359"/>
        <v>0.27358635353486793</v>
      </c>
      <c r="K252" s="103">
        <f t="shared" si="359"/>
        <v>0.26082441135076367</v>
      </c>
      <c r="L252" s="103">
        <f t="shared" ref="L252" si="360">IF(L34=0,0,L34/L$31)</f>
        <v>0.25014586016689644</v>
      </c>
      <c r="M252" s="103">
        <f t="shared" ref="M252:V252" si="361">IF(M34=0,0,M34/M$31)</f>
        <v>0.24356157685816851</v>
      </c>
      <c r="N252" s="103">
        <f t="shared" si="361"/>
        <v>0.23752523200081441</v>
      </c>
      <c r="O252" s="103">
        <f t="shared" si="361"/>
        <v>0.22952965207653248</v>
      </c>
      <c r="P252" s="103">
        <f t="shared" si="361"/>
        <v>0.22055118449616626</v>
      </c>
      <c r="Q252" s="103">
        <f t="shared" si="361"/>
        <v>0.21492540865267531</v>
      </c>
      <c r="R252" s="103">
        <f t="shared" si="361"/>
        <v>0.21541902820368855</v>
      </c>
      <c r="S252" s="103">
        <f t="shared" si="361"/>
        <v>0.20379804473454136</v>
      </c>
      <c r="T252" s="103">
        <f t="shared" si="361"/>
        <v>0.20847473584652484</v>
      </c>
      <c r="U252" s="103">
        <f t="shared" si="361"/>
        <v>0.21406244264678564</v>
      </c>
      <c r="V252" s="103">
        <f t="shared" si="361"/>
        <v>0.18654357264528812</v>
      </c>
      <c r="W252" s="103">
        <f t="shared" ref="W252:Y252" si="362">IF(W34=0,0,W34/W$31)</f>
        <v>0.20194255365189193</v>
      </c>
      <c r="X252" s="103">
        <f t="shared" si="362"/>
        <v>0.22581302110573659</v>
      </c>
      <c r="Y252" s="103">
        <f t="shared" si="362"/>
        <v>0.23862340873616145</v>
      </c>
      <c r="DA252" s="191"/>
    </row>
    <row r="253" spans="1:105" ht="11.45" customHeight="1" x14ac:dyDescent="0.25">
      <c r="A253" s="157" t="s">
        <v>111</v>
      </c>
      <c r="B253" s="103">
        <f t="shared" ref="B253:K253" si="363">IF(B35=0,0,B35/B$31)</f>
        <v>0.45816492831315569</v>
      </c>
      <c r="C253" s="103">
        <f t="shared" si="363"/>
        <v>0.48810005150155056</v>
      </c>
      <c r="D253" s="103">
        <f t="shared" si="363"/>
        <v>0.5195760352896176</v>
      </c>
      <c r="E253" s="103">
        <f t="shared" si="363"/>
        <v>0.55157177584536787</v>
      </c>
      <c r="F253" s="103">
        <f t="shared" si="363"/>
        <v>0.58485203477797976</v>
      </c>
      <c r="G253" s="103">
        <f t="shared" si="363"/>
        <v>0.61172114908625363</v>
      </c>
      <c r="H253" s="103">
        <f t="shared" si="363"/>
        <v>0.6389570498763214</v>
      </c>
      <c r="I253" s="103">
        <f t="shared" si="363"/>
        <v>0.65765790653697287</v>
      </c>
      <c r="J253" s="103">
        <f t="shared" si="363"/>
        <v>0.67057489645307256</v>
      </c>
      <c r="K253" s="103">
        <f t="shared" si="363"/>
        <v>0.68239762144793747</v>
      </c>
      <c r="L253" s="103">
        <f t="shared" ref="L253" si="364">IF(L35=0,0,L35/L$31)</f>
        <v>0.69114487912970535</v>
      </c>
      <c r="M253" s="103">
        <f t="shared" ref="M253:V253" si="365">IF(M35=0,0,M35/M$31)</f>
        <v>0.70064530381448731</v>
      </c>
      <c r="N253" s="103">
        <f t="shared" si="365"/>
        <v>0.70656908354500525</v>
      </c>
      <c r="O253" s="103">
        <f t="shared" si="365"/>
        <v>0.71491030643008491</v>
      </c>
      <c r="P253" s="103">
        <f t="shared" si="365"/>
        <v>0.71971968366926242</v>
      </c>
      <c r="Q253" s="103">
        <f t="shared" si="365"/>
        <v>0.72251593772037637</v>
      </c>
      <c r="R253" s="103">
        <f t="shared" si="365"/>
        <v>0.71814385050457152</v>
      </c>
      <c r="S253" s="103">
        <f t="shared" si="365"/>
        <v>0.73894596622858189</v>
      </c>
      <c r="T253" s="103">
        <f t="shared" si="365"/>
        <v>0.7358799084637877</v>
      </c>
      <c r="U253" s="103">
        <f t="shared" si="365"/>
        <v>0.72893024582359722</v>
      </c>
      <c r="V253" s="103">
        <f t="shared" si="365"/>
        <v>0.75341073922036983</v>
      </c>
      <c r="W253" s="103">
        <f t="shared" ref="W253:Y253" si="366">IF(W35=0,0,W35/W$31)</f>
        <v>0.74035250936343522</v>
      </c>
      <c r="X253" s="103">
        <f t="shared" si="366"/>
        <v>0.71429949574591234</v>
      </c>
      <c r="Y253" s="103">
        <f t="shared" si="366"/>
        <v>0.6939579316168204</v>
      </c>
      <c r="DA253" s="191"/>
    </row>
    <row r="254" spans="1:105" ht="11.45" customHeight="1" x14ac:dyDescent="0.25">
      <c r="A254" s="157" t="s">
        <v>112</v>
      </c>
      <c r="B254" s="103">
        <f t="shared" ref="B254:K254" si="367">IF(B36=0,0,B36/B$31)</f>
        <v>2.082774438256062E-3</v>
      </c>
      <c r="C254" s="103">
        <f t="shared" si="367"/>
        <v>1.9486642767193173E-3</v>
      </c>
      <c r="D254" s="103">
        <f t="shared" si="367"/>
        <v>1.8878124533872854E-3</v>
      </c>
      <c r="E254" s="103">
        <f t="shared" si="367"/>
        <v>1.6778497841270614E-3</v>
      </c>
      <c r="F254" s="103">
        <f t="shared" si="367"/>
        <v>1.4981669097764321E-3</v>
      </c>
      <c r="G254" s="103">
        <f t="shared" si="367"/>
        <v>9.5376972536688161E-4</v>
      </c>
      <c r="H254" s="103">
        <f t="shared" si="367"/>
        <v>8.0805569932848706E-4</v>
      </c>
      <c r="I254" s="103">
        <f t="shared" si="367"/>
        <v>6.1222932537410282E-4</v>
      </c>
      <c r="J254" s="103">
        <f t="shared" si="367"/>
        <v>4.1499257131200431E-4</v>
      </c>
      <c r="K254" s="103">
        <f t="shared" si="367"/>
        <v>5.4232709882592032E-4</v>
      </c>
      <c r="L254" s="103">
        <f t="shared" ref="L254" si="368">IF(L36=0,0,L36/L$31)</f>
        <v>6.2851648493746147E-4</v>
      </c>
      <c r="M254" s="103">
        <f t="shared" ref="M254:V254" si="369">IF(M36=0,0,M36/M$31)</f>
        <v>6.9252676886146641E-4</v>
      </c>
      <c r="N254" s="103">
        <f t="shared" si="369"/>
        <v>1.0100715519371208E-3</v>
      </c>
      <c r="O254" s="103">
        <f t="shared" si="369"/>
        <v>1.0710552894468445E-3</v>
      </c>
      <c r="P254" s="103">
        <f t="shared" si="369"/>
        <v>1.197464976607448E-3</v>
      </c>
      <c r="Q254" s="103">
        <f t="shared" si="369"/>
        <v>1.2800899940883716E-3</v>
      </c>
      <c r="R254" s="103">
        <f t="shared" si="369"/>
        <v>1.4012671535377709E-3</v>
      </c>
      <c r="S254" s="103">
        <f t="shared" si="369"/>
        <v>1.575973519869231E-3</v>
      </c>
      <c r="T254" s="103">
        <f t="shared" si="369"/>
        <v>2.428554006061318E-3</v>
      </c>
      <c r="U254" s="103">
        <f t="shared" si="369"/>
        <v>3.3456810462367103E-3</v>
      </c>
      <c r="V254" s="103">
        <f t="shared" si="369"/>
        <v>3.0166523565714294E-3</v>
      </c>
      <c r="W254" s="103">
        <f t="shared" ref="W254:Y254" si="370">IF(W36=0,0,W36/W$31)</f>
        <v>3.4633604566563485E-3</v>
      </c>
      <c r="X254" s="103">
        <f t="shared" si="370"/>
        <v>4.3854301657256789E-3</v>
      </c>
      <c r="Y254" s="103">
        <f t="shared" si="370"/>
        <v>6.5801597928136042E-3</v>
      </c>
      <c r="DA254" s="191"/>
    </row>
    <row r="255" spans="1:105" ht="11.45" customHeight="1" x14ac:dyDescent="0.25">
      <c r="A255" s="157" t="s">
        <v>113</v>
      </c>
      <c r="B255" s="103">
        <f t="shared" ref="B255:K255" si="371">IF(B37=0,0,B37/B$31)</f>
        <v>0</v>
      </c>
      <c r="C255" s="103">
        <f t="shared" si="371"/>
        <v>0</v>
      </c>
      <c r="D255" s="103">
        <f t="shared" si="371"/>
        <v>0</v>
      </c>
      <c r="E255" s="103">
        <f t="shared" si="371"/>
        <v>0</v>
      </c>
      <c r="F255" s="103">
        <f t="shared" si="371"/>
        <v>8.1208107887678025E-5</v>
      </c>
      <c r="G255" s="103">
        <f t="shared" si="371"/>
        <v>1.6599644586031461E-4</v>
      </c>
      <c r="H255" s="103">
        <f t="shared" si="371"/>
        <v>2.5748537484893505E-4</v>
      </c>
      <c r="I255" s="103">
        <f t="shared" si="371"/>
        <v>2.3852871355843541E-4</v>
      </c>
      <c r="J255" s="103">
        <f t="shared" si="371"/>
        <v>2.3853918360159209E-4</v>
      </c>
      <c r="K255" s="103">
        <f t="shared" si="371"/>
        <v>2.4116188453884071E-4</v>
      </c>
      <c r="L255" s="103">
        <f t="shared" ref="L255" si="372">IF(L37=0,0,L37/L$31)</f>
        <v>2.433115296837451E-4</v>
      </c>
      <c r="M255" s="103">
        <f t="shared" ref="M255:V255" si="373">IF(M37=0,0,M37/M$31)</f>
        <v>2.4259788010963244E-4</v>
      </c>
      <c r="N255" s="103">
        <f t="shared" si="373"/>
        <v>4.2436715193046483E-4</v>
      </c>
      <c r="O255" s="103">
        <f t="shared" si="373"/>
        <v>5.0404843793592211E-4</v>
      </c>
      <c r="P255" s="103">
        <f t="shared" si="373"/>
        <v>4.9288729794846019E-4</v>
      </c>
      <c r="Q255" s="103">
        <f t="shared" si="373"/>
        <v>4.9641926772467924E-4</v>
      </c>
      <c r="R255" s="103">
        <f t="shared" si="373"/>
        <v>4.9011760965029269E-4</v>
      </c>
      <c r="S255" s="103">
        <f t="shared" si="373"/>
        <v>5.0325021323338007E-4</v>
      </c>
      <c r="T255" s="103">
        <f t="shared" si="373"/>
        <v>6.8228793669221105E-4</v>
      </c>
      <c r="U255" s="103">
        <f t="shared" si="373"/>
        <v>6.9682466585022464E-4</v>
      </c>
      <c r="V255" s="103">
        <f t="shared" si="373"/>
        <v>6.2523089022602165E-4</v>
      </c>
      <c r="W255" s="103">
        <f t="shared" ref="W255:Y255" si="374">IF(W37=0,0,W37/W$31)</f>
        <v>7.169666830704306E-4</v>
      </c>
      <c r="X255" s="103">
        <f t="shared" si="374"/>
        <v>7.9222809366124311E-4</v>
      </c>
      <c r="Y255" s="103">
        <f t="shared" si="374"/>
        <v>7.8905328986946985E-4</v>
      </c>
      <c r="DA255" s="191"/>
    </row>
    <row r="256" spans="1:105" ht="11.45" customHeight="1" x14ac:dyDescent="0.25">
      <c r="A256" s="157" t="s">
        <v>114</v>
      </c>
      <c r="B256" s="103">
        <f t="shared" ref="B256:K256" si="375">IF(B38=0,0,B38/B$31)</f>
        <v>0</v>
      </c>
      <c r="C256" s="103">
        <f t="shared" si="375"/>
        <v>0</v>
      </c>
      <c r="D256" s="103">
        <f t="shared" si="375"/>
        <v>0</v>
      </c>
      <c r="E256" s="103">
        <f t="shared" si="375"/>
        <v>0</v>
      </c>
      <c r="F256" s="103">
        <f t="shared" si="375"/>
        <v>0</v>
      </c>
      <c r="G256" s="103">
        <f t="shared" si="375"/>
        <v>0</v>
      </c>
      <c r="H256" s="103">
        <f t="shared" si="375"/>
        <v>0</v>
      </c>
      <c r="I256" s="103">
        <f t="shared" si="375"/>
        <v>0</v>
      </c>
      <c r="J256" s="103">
        <f t="shared" si="375"/>
        <v>0</v>
      </c>
      <c r="K256" s="103">
        <f t="shared" si="375"/>
        <v>0</v>
      </c>
      <c r="L256" s="103">
        <f t="shared" ref="L256" si="376">IF(L38=0,0,L38/L$31)</f>
        <v>0</v>
      </c>
      <c r="M256" s="103">
        <f t="shared" ref="M256:V256" si="377">IF(M38=0,0,M38/M$31)</f>
        <v>2.6296732590671438E-7</v>
      </c>
      <c r="N256" s="103">
        <f t="shared" si="377"/>
        <v>3.5630878981142755E-6</v>
      </c>
      <c r="O256" s="103">
        <f t="shared" si="377"/>
        <v>6.2164125138293201E-6</v>
      </c>
      <c r="P256" s="103">
        <f t="shared" si="377"/>
        <v>1.9741373771511916E-5</v>
      </c>
      <c r="Q256" s="103">
        <f t="shared" si="377"/>
        <v>4.3097497003258309E-5</v>
      </c>
      <c r="R256" s="103">
        <f t="shared" si="377"/>
        <v>9.617384619243977E-5</v>
      </c>
      <c r="S256" s="103">
        <f t="shared" si="377"/>
        <v>1.8617392383904398E-4</v>
      </c>
      <c r="T256" s="103">
        <f t="shared" si="377"/>
        <v>3.4189036643983293E-4</v>
      </c>
      <c r="U256" s="103">
        <f t="shared" si="377"/>
        <v>5.4092944020783904E-4</v>
      </c>
      <c r="V256" s="103">
        <f t="shared" si="377"/>
        <v>1.0233422112912761E-3</v>
      </c>
      <c r="W256" s="103">
        <f t="shared" ref="W256:Y256" si="378">IF(W38=0,0,W38/W$31)</f>
        <v>2.1545757322051352E-3</v>
      </c>
      <c r="X256" s="103">
        <f t="shared" si="378"/>
        <v>3.4070453602263427E-3</v>
      </c>
      <c r="Y256" s="103">
        <f t="shared" si="378"/>
        <v>4.8279521367183926E-3</v>
      </c>
      <c r="DA256" s="191"/>
    </row>
    <row r="257" spans="1:105" ht="11.45" customHeight="1" x14ac:dyDescent="0.25">
      <c r="A257" s="157" t="s">
        <v>115</v>
      </c>
      <c r="B257" s="103">
        <f t="shared" ref="B257:K257" si="379">IF(B39=0,0,B39/B$31)</f>
        <v>0</v>
      </c>
      <c r="C257" s="103">
        <f t="shared" si="379"/>
        <v>0</v>
      </c>
      <c r="D257" s="103">
        <f t="shared" si="379"/>
        <v>0</v>
      </c>
      <c r="E257" s="103">
        <f t="shared" si="379"/>
        <v>0</v>
      </c>
      <c r="F257" s="103">
        <f t="shared" si="379"/>
        <v>0</v>
      </c>
      <c r="G257" s="103">
        <f t="shared" si="379"/>
        <v>0</v>
      </c>
      <c r="H257" s="103">
        <f t="shared" si="379"/>
        <v>0</v>
      </c>
      <c r="I257" s="103">
        <f t="shared" si="379"/>
        <v>0</v>
      </c>
      <c r="J257" s="103">
        <f t="shared" si="379"/>
        <v>0</v>
      </c>
      <c r="K257" s="103">
        <f t="shared" si="379"/>
        <v>3.868308998539774E-8</v>
      </c>
      <c r="L257" s="103">
        <f t="shared" ref="L257" si="380">IF(L39=0,0,L39/L$31)</f>
        <v>3.0532087256875354E-6</v>
      </c>
      <c r="M257" s="103">
        <f t="shared" ref="M257:V257" si="381">IF(M39=0,0,M39/M$31)</f>
        <v>2.3621201808300996E-5</v>
      </c>
      <c r="N257" s="103">
        <f t="shared" si="381"/>
        <v>4.5139287134974857E-5</v>
      </c>
      <c r="O257" s="103">
        <f t="shared" si="381"/>
        <v>9.0082959449514936E-5</v>
      </c>
      <c r="P257" s="103">
        <f t="shared" si="381"/>
        <v>1.2388860066326883E-4</v>
      </c>
      <c r="Q257" s="103">
        <f t="shared" si="381"/>
        <v>1.8947386310901881E-4</v>
      </c>
      <c r="R257" s="103">
        <f t="shared" si="381"/>
        <v>2.7617435510744802E-4</v>
      </c>
      <c r="S257" s="103">
        <f t="shared" si="381"/>
        <v>4.0157946058876954E-4</v>
      </c>
      <c r="T257" s="103">
        <f t="shared" si="381"/>
        <v>6.3882025706264169E-4</v>
      </c>
      <c r="U257" s="103">
        <f t="shared" si="381"/>
        <v>9.3449424489456775E-4</v>
      </c>
      <c r="V257" s="103">
        <f t="shared" si="381"/>
        <v>1.4726836254404874E-3</v>
      </c>
      <c r="W257" s="103">
        <f t="shared" ref="W257:Y257" si="382">IF(W39=0,0,W39/W$31)</f>
        <v>2.4471855828079804E-3</v>
      </c>
      <c r="X257" s="103">
        <f t="shared" si="382"/>
        <v>3.4595483272810172E-3</v>
      </c>
      <c r="Y257" s="103">
        <f t="shared" si="382"/>
        <v>4.9934509855194291E-3</v>
      </c>
      <c r="DA257" s="191"/>
    </row>
    <row r="258" spans="1:105" ht="11.45" customHeight="1" x14ac:dyDescent="0.25">
      <c r="A258" s="155" t="s">
        <v>21</v>
      </c>
      <c r="B258" s="156">
        <f t="shared" ref="B258:K258" si="383">IF(B40=0,0,B40/B$31)</f>
        <v>1.0588336731612353E-2</v>
      </c>
      <c r="C258" s="156">
        <f t="shared" si="383"/>
        <v>1.0203542125395867E-2</v>
      </c>
      <c r="D258" s="156">
        <f t="shared" si="383"/>
        <v>9.5980680474051887E-3</v>
      </c>
      <c r="E258" s="156">
        <f t="shared" si="383"/>
        <v>9.202332680593131E-3</v>
      </c>
      <c r="F258" s="156">
        <f t="shared" si="383"/>
        <v>8.961916597829701E-3</v>
      </c>
      <c r="G258" s="156">
        <f t="shared" si="383"/>
        <v>8.4009463044635389E-3</v>
      </c>
      <c r="H258" s="156">
        <f t="shared" si="383"/>
        <v>8.4437508340294738E-3</v>
      </c>
      <c r="I258" s="156">
        <f t="shared" si="383"/>
        <v>8.3386384646120786E-3</v>
      </c>
      <c r="J258" s="156">
        <f t="shared" si="383"/>
        <v>8.2586298129390268E-3</v>
      </c>
      <c r="K258" s="156">
        <f t="shared" si="383"/>
        <v>8.032290951261397E-3</v>
      </c>
      <c r="L258" s="156">
        <f t="shared" ref="L258" si="384">IF(L40=0,0,L40/L$31)</f>
        <v>8.021787114630979E-3</v>
      </c>
      <c r="M258" s="156">
        <f t="shared" ref="M258:V258" si="385">IF(M40=0,0,M40/M$31)</f>
        <v>8.1299326532014455E-3</v>
      </c>
      <c r="N258" s="156">
        <f t="shared" si="385"/>
        <v>8.2762409633073061E-3</v>
      </c>
      <c r="O258" s="156">
        <f t="shared" si="385"/>
        <v>7.8323785070502847E-3</v>
      </c>
      <c r="P258" s="156">
        <f t="shared" si="385"/>
        <v>7.4897731732857017E-3</v>
      </c>
      <c r="Q258" s="156">
        <f t="shared" si="385"/>
        <v>7.3724257259673402E-3</v>
      </c>
      <c r="R258" s="156">
        <f t="shared" si="385"/>
        <v>7.687986295142067E-3</v>
      </c>
      <c r="S258" s="156">
        <f t="shared" si="385"/>
        <v>4.5945637323089178E-3</v>
      </c>
      <c r="T258" s="156">
        <f t="shared" si="385"/>
        <v>4.6680380063563983E-3</v>
      </c>
      <c r="U258" s="156">
        <f t="shared" si="385"/>
        <v>4.4306230980891686E-3</v>
      </c>
      <c r="V258" s="156">
        <f t="shared" si="385"/>
        <v>3.5690514029669772E-3</v>
      </c>
      <c r="W258" s="156">
        <f t="shared" ref="W258:Y258" si="386">IF(W40=0,0,W40/W$31)</f>
        <v>3.8366826510934076E-3</v>
      </c>
      <c r="X258" s="156">
        <f t="shared" si="386"/>
        <v>4.2143640025296639E-3</v>
      </c>
      <c r="Y258" s="156">
        <f t="shared" si="386"/>
        <v>4.6483178906819725E-3</v>
      </c>
      <c r="DA258" s="213"/>
    </row>
    <row r="259" spans="1:105" ht="11.45" customHeight="1" x14ac:dyDescent="0.25">
      <c r="A259" s="157" t="s">
        <v>110</v>
      </c>
      <c r="B259" s="103">
        <f t="shared" ref="B259:K259" si="387">IF(B41=0,0,B41/B$31)</f>
        <v>1.0516475488592737E-4</v>
      </c>
      <c r="C259" s="103">
        <f t="shared" si="387"/>
        <v>1.0125307228419651E-4</v>
      </c>
      <c r="D259" s="103">
        <f t="shared" si="387"/>
        <v>9.8551863830059484E-5</v>
      </c>
      <c r="E259" s="103">
        <f t="shared" si="387"/>
        <v>9.4227753165608417E-5</v>
      </c>
      <c r="F259" s="103">
        <f t="shared" si="387"/>
        <v>8.9161236367131064E-5</v>
      </c>
      <c r="G259" s="103">
        <f t="shared" si="387"/>
        <v>7.4990375418838308E-5</v>
      </c>
      <c r="H259" s="103">
        <f t="shared" si="387"/>
        <v>7.1019681894557115E-5</v>
      </c>
      <c r="I259" s="103">
        <f t="shared" si="387"/>
        <v>7.7128585262357713E-5</v>
      </c>
      <c r="J259" s="103">
        <f t="shared" si="387"/>
        <v>6.9802592599048439E-5</v>
      </c>
      <c r="K259" s="103">
        <f t="shared" si="387"/>
        <v>6.2569849242876139E-5</v>
      </c>
      <c r="L259" s="103">
        <f t="shared" ref="L259" si="388">IF(L41=0,0,L41/L$31)</f>
        <v>5.9247883966680755E-5</v>
      </c>
      <c r="M259" s="103">
        <f t="shared" ref="M259:V259" si="389">IF(M41=0,0,M41/M$31)</f>
        <v>5.7615158645712808E-5</v>
      </c>
      <c r="N259" s="103">
        <f t="shared" si="389"/>
        <v>5.5600664741117738E-5</v>
      </c>
      <c r="O259" s="103">
        <f t="shared" si="389"/>
        <v>5.2294932155062528E-5</v>
      </c>
      <c r="P259" s="103">
        <f t="shared" si="389"/>
        <v>4.8062219973747545E-5</v>
      </c>
      <c r="Q259" s="103">
        <f t="shared" si="389"/>
        <v>4.5179356311141171E-5</v>
      </c>
      <c r="R259" s="103">
        <f t="shared" si="389"/>
        <v>4.6238033359211376E-5</v>
      </c>
      <c r="S259" s="103">
        <f t="shared" si="389"/>
        <v>3.5739938825008414E-5</v>
      </c>
      <c r="T259" s="103">
        <f t="shared" si="389"/>
        <v>3.3251529613124349E-5</v>
      </c>
      <c r="U259" s="103">
        <f t="shared" si="389"/>
        <v>2.8832727680202608E-5</v>
      </c>
      <c r="V259" s="103">
        <f t="shared" si="389"/>
        <v>2.1477659678988299E-5</v>
      </c>
      <c r="W259" s="103">
        <f t="shared" ref="W259:Y259" si="390">IF(W41=0,0,W41/W$31)</f>
        <v>2.2643445429093908E-5</v>
      </c>
      <c r="X259" s="103">
        <f t="shared" si="390"/>
        <v>2.3530509083387357E-5</v>
      </c>
      <c r="Y259" s="103">
        <f t="shared" si="390"/>
        <v>2.401264853046844E-5</v>
      </c>
      <c r="DA259" s="191"/>
    </row>
    <row r="260" spans="1:105" ht="11.45" customHeight="1" x14ac:dyDescent="0.25">
      <c r="A260" s="157" t="s">
        <v>111</v>
      </c>
      <c r="B260" s="103">
        <f t="shared" ref="B260:K260" si="391">IF(B42=0,0,B42/B$31)</f>
        <v>1.0447513551151567E-2</v>
      </c>
      <c r="C260" s="103">
        <f t="shared" si="391"/>
        <v>1.0068777663342068E-2</v>
      </c>
      <c r="D260" s="103">
        <f t="shared" si="391"/>
        <v>9.4973377521250131E-3</v>
      </c>
      <c r="E260" s="103">
        <f t="shared" si="391"/>
        <v>9.0590640629034189E-3</v>
      </c>
      <c r="F260" s="103">
        <f t="shared" si="391"/>
        <v>8.8128307215943787E-3</v>
      </c>
      <c r="G260" s="103">
        <f t="shared" si="391"/>
        <v>8.2619788437602731E-3</v>
      </c>
      <c r="H260" s="103">
        <f t="shared" si="391"/>
        <v>8.3051691526943774E-3</v>
      </c>
      <c r="I260" s="103">
        <f t="shared" si="391"/>
        <v>8.1773102967569473E-3</v>
      </c>
      <c r="J260" s="103">
        <f t="shared" si="391"/>
        <v>8.1112802123535985E-3</v>
      </c>
      <c r="K260" s="103">
        <f t="shared" si="391"/>
        <v>7.8931113977081004E-3</v>
      </c>
      <c r="L260" s="103">
        <f t="shared" ref="L260" si="392">IF(L42=0,0,L42/L$31)</f>
        <v>7.8848401489883362E-3</v>
      </c>
      <c r="M260" s="103">
        <f t="shared" ref="M260:V260" si="393">IF(M42=0,0,M42/M$31)</f>
        <v>7.993407710105923E-3</v>
      </c>
      <c r="N260" s="103">
        <f t="shared" si="393"/>
        <v>8.1386713054257855E-3</v>
      </c>
      <c r="O260" s="103">
        <f t="shared" si="393"/>
        <v>7.689435528710202E-3</v>
      </c>
      <c r="P260" s="103">
        <f t="shared" si="393"/>
        <v>7.3588465380933421E-3</v>
      </c>
      <c r="Q260" s="103">
        <f t="shared" si="393"/>
        <v>7.0074320301044234E-3</v>
      </c>
      <c r="R260" s="103">
        <f t="shared" si="393"/>
        <v>7.2455209948236472E-3</v>
      </c>
      <c r="S260" s="103">
        <f t="shared" si="393"/>
        <v>4.0186521936912576E-3</v>
      </c>
      <c r="T260" s="103">
        <f t="shared" si="393"/>
        <v>4.0046645479990279E-3</v>
      </c>
      <c r="U260" s="103">
        <f t="shared" si="393"/>
        <v>3.6539911086405892E-3</v>
      </c>
      <c r="V260" s="103">
        <f t="shared" si="393"/>
        <v>2.8302191025463023E-3</v>
      </c>
      <c r="W260" s="103">
        <f t="shared" ref="W260:Y260" si="394">IF(W42=0,0,W42/W$31)</f>
        <v>2.9977391525198649E-3</v>
      </c>
      <c r="X260" s="103">
        <f t="shared" si="394"/>
        <v>3.288436252913193E-3</v>
      </c>
      <c r="Y260" s="103">
        <f t="shared" si="394"/>
        <v>3.5545917310101176E-3</v>
      </c>
      <c r="DA260" s="191"/>
    </row>
    <row r="261" spans="1:105" ht="11.45" customHeight="1" x14ac:dyDescent="0.25">
      <c r="A261" s="157" t="s">
        <v>112</v>
      </c>
      <c r="B261" s="103">
        <f t="shared" ref="B261:K261" si="395">IF(B43=0,0,B43/B$31)</f>
        <v>0</v>
      </c>
      <c r="C261" s="103">
        <f t="shared" si="395"/>
        <v>0</v>
      </c>
      <c r="D261" s="103">
        <f t="shared" si="395"/>
        <v>0</v>
      </c>
      <c r="E261" s="103">
        <f t="shared" si="395"/>
        <v>0</v>
      </c>
      <c r="F261" s="103">
        <f t="shared" si="395"/>
        <v>0</v>
      </c>
      <c r="G261" s="103">
        <f t="shared" si="395"/>
        <v>0</v>
      </c>
      <c r="H261" s="103">
        <f t="shared" si="395"/>
        <v>0</v>
      </c>
      <c r="I261" s="103">
        <f t="shared" si="395"/>
        <v>0</v>
      </c>
      <c r="J261" s="103">
        <f t="shared" si="395"/>
        <v>0</v>
      </c>
      <c r="K261" s="103">
        <f t="shared" si="395"/>
        <v>0</v>
      </c>
      <c r="L261" s="103">
        <f t="shared" ref="L261" si="396">IF(L43=0,0,L43/L$31)</f>
        <v>0</v>
      </c>
      <c r="M261" s="103">
        <f t="shared" ref="M261:V261" si="397">IF(M43=0,0,M43/M$31)</f>
        <v>0</v>
      </c>
      <c r="N261" s="103">
        <f t="shared" si="397"/>
        <v>0</v>
      </c>
      <c r="O261" s="103">
        <f t="shared" si="397"/>
        <v>0</v>
      </c>
      <c r="P261" s="103">
        <f t="shared" si="397"/>
        <v>2.8884676826901181E-7</v>
      </c>
      <c r="Q261" s="103">
        <f t="shared" si="397"/>
        <v>7.3471792638564109E-6</v>
      </c>
      <c r="R261" s="103">
        <f t="shared" si="397"/>
        <v>7.5968246747855352E-6</v>
      </c>
      <c r="S261" s="103">
        <f t="shared" si="397"/>
        <v>6.1273115075076142E-6</v>
      </c>
      <c r="T261" s="103">
        <f t="shared" si="397"/>
        <v>5.62362832130129E-6</v>
      </c>
      <c r="U261" s="103">
        <f t="shared" si="397"/>
        <v>6.7446730248999695E-6</v>
      </c>
      <c r="V261" s="103">
        <f t="shared" si="397"/>
        <v>6.9168488240719822E-6</v>
      </c>
      <c r="W261" s="103">
        <f t="shared" ref="W261:Y261" si="398">IF(W43=0,0,W43/W$31)</f>
        <v>1.5624135529628341E-5</v>
      </c>
      <c r="X261" s="103">
        <f t="shared" si="398"/>
        <v>2.2131634237237547E-5</v>
      </c>
      <c r="Y261" s="103">
        <f t="shared" si="398"/>
        <v>3.0877576326390721E-5</v>
      </c>
      <c r="DA261" s="191"/>
    </row>
    <row r="262" spans="1:105" ht="11.45" customHeight="1" x14ac:dyDescent="0.25">
      <c r="A262" s="157" t="s">
        <v>113</v>
      </c>
      <c r="B262" s="103">
        <f t="shared" ref="B262:K262" si="399">IF(B44=0,0,B44/B$31)</f>
        <v>3.5658425574856886E-5</v>
      </c>
      <c r="C262" s="103">
        <f t="shared" si="399"/>
        <v>3.3511389769603113E-5</v>
      </c>
      <c r="D262" s="103">
        <f t="shared" si="399"/>
        <v>2.1784314501148383E-6</v>
      </c>
      <c r="E262" s="103">
        <f t="shared" si="399"/>
        <v>4.9040864524103589E-5</v>
      </c>
      <c r="F262" s="103">
        <f t="shared" si="399"/>
        <v>5.992463986819248E-5</v>
      </c>
      <c r="G262" s="103">
        <f t="shared" si="399"/>
        <v>6.3977085284428216E-5</v>
      </c>
      <c r="H262" s="103">
        <f t="shared" si="399"/>
        <v>6.7561999440539131E-5</v>
      </c>
      <c r="I262" s="103">
        <f t="shared" si="399"/>
        <v>8.4199582592772539E-5</v>
      </c>
      <c r="J262" s="103">
        <f t="shared" si="399"/>
        <v>7.7547007986380716E-5</v>
      </c>
      <c r="K262" s="103">
        <f t="shared" si="399"/>
        <v>7.6609704310420042E-5</v>
      </c>
      <c r="L262" s="103">
        <f t="shared" ref="L262" si="400">IF(L44=0,0,L44/L$31)</f>
        <v>7.7699081675963115E-5</v>
      </c>
      <c r="M262" s="103">
        <f t="shared" ref="M262:V262" si="401">IF(M44=0,0,M44/M$31)</f>
        <v>7.8909784449810068E-5</v>
      </c>
      <c r="N262" s="103">
        <f t="shared" si="401"/>
        <v>8.1968993140402137E-5</v>
      </c>
      <c r="O262" s="103">
        <f t="shared" si="401"/>
        <v>7.9034496630003793E-5</v>
      </c>
      <c r="P262" s="103">
        <f t="shared" si="401"/>
        <v>6.9170064531936994E-5</v>
      </c>
      <c r="Q262" s="103">
        <f t="shared" si="401"/>
        <v>2.9195451023722381E-4</v>
      </c>
      <c r="R262" s="103">
        <f t="shared" si="401"/>
        <v>3.6564964205608078E-4</v>
      </c>
      <c r="S262" s="103">
        <f t="shared" si="401"/>
        <v>5.1005200366099435E-4</v>
      </c>
      <c r="T262" s="103">
        <f t="shared" si="401"/>
        <v>5.9767400555065322E-4</v>
      </c>
      <c r="U262" s="103">
        <f t="shared" si="401"/>
        <v>7.0511173840643096E-4</v>
      </c>
      <c r="V262" s="103">
        <f t="shared" si="401"/>
        <v>6.6871410294984997E-4</v>
      </c>
      <c r="W262" s="103">
        <f t="shared" ref="W262:Y262" si="402">IF(W44=0,0,W44/W$31)</f>
        <v>7.3876269477607653E-4</v>
      </c>
      <c r="X262" s="103">
        <f t="shared" si="402"/>
        <v>8.0023376929215344E-4</v>
      </c>
      <c r="Y262" s="103">
        <f t="shared" si="402"/>
        <v>8.8869411392509179E-4</v>
      </c>
      <c r="DA262" s="191"/>
    </row>
    <row r="263" spans="1:105" ht="11.45" customHeight="1" x14ac:dyDescent="0.25">
      <c r="A263" s="157" t="s">
        <v>115</v>
      </c>
      <c r="B263" s="103">
        <f t="shared" ref="B263:K263" si="403">IF(B45=0,0,B45/B$31)</f>
        <v>0</v>
      </c>
      <c r="C263" s="103">
        <f t="shared" si="403"/>
        <v>0</v>
      </c>
      <c r="D263" s="103">
        <f t="shared" si="403"/>
        <v>0</v>
      </c>
      <c r="E263" s="103">
        <f t="shared" si="403"/>
        <v>0</v>
      </c>
      <c r="F263" s="103">
        <f t="shared" si="403"/>
        <v>0</v>
      </c>
      <c r="G263" s="103">
        <f t="shared" si="403"/>
        <v>0</v>
      </c>
      <c r="H263" s="103">
        <f t="shared" si="403"/>
        <v>0</v>
      </c>
      <c r="I263" s="103">
        <f t="shared" si="403"/>
        <v>0</v>
      </c>
      <c r="J263" s="103">
        <f t="shared" si="403"/>
        <v>0</v>
      </c>
      <c r="K263" s="103">
        <f t="shared" si="403"/>
        <v>0</v>
      </c>
      <c r="L263" s="103">
        <f t="shared" ref="L263" si="404">IF(L45=0,0,L45/L$31)</f>
        <v>0</v>
      </c>
      <c r="M263" s="103">
        <f t="shared" ref="M263:V263" si="405">IF(M45=0,0,M45/M$31)</f>
        <v>0</v>
      </c>
      <c r="N263" s="103">
        <f t="shared" si="405"/>
        <v>0</v>
      </c>
      <c r="O263" s="103">
        <f t="shared" si="405"/>
        <v>1.1613549555016874E-5</v>
      </c>
      <c r="P263" s="103">
        <f t="shared" si="405"/>
        <v>1.340550391840594E-5</v>
      </c>
      <c r="Q263" s="103">
        <f t="shared" si="405"/>
        <v>2.0512650050694208E-5</v>
      </c>
      <c r="R263" s="103">
        <f t="shared" si="405"/>
        <v>2.2980800228342927E-5</v>
      </c>
      <c r="S263" s="103">
        <f t="shared" si="405"/>
        <v>2.3992284624151003E-5</v>
      </c>
      <c r="T263" s="103">
        <f t="shared" si="405"/>
        <v>2.6824294872290735E-5</v>
      </c>
      <c r="U263" s="103">
        <f t="shared" si="405"/>
        <v>3.5942850337045239E-5</v>
      </c>
      <c r="V263" s="103">
        <f t="shared" si="405"/>
        <v>4.1723688967764858E-5</v>
      </c>
      <c r="W263" s="103">
        <f t="shared" ref="W263:Y263" si="406">IF(W45=0,0,W45/W$31)</f>
        <v>6.1913222838743702E-5</v>
      </c>
      <c r="X263" s="103">
        <f t="shared" si="406"/>
        <v>8.0031837003692816E-5</v>
      </c>
      <c r="Y263" s="103">
        <f t="shared" si="406"/>
        <v>1.5014182088990405E-4</v>
      </c>
      <c r="DA263" s="191"/>
    </row>
    <row r="264" spans="1:105" ht="11.45" customHeight="1" x14ac:dyDescent="0.25">
      <c r="A264" s="27" t="s">
        <v>34</v>
      </c>
      <c r="B264" s="46">
        <f t="shared" ref="B264:K264" si="407">IF(B46=0,0,B46/B$46)</f>
        <v>1</v>
      </c>
      <c r="C264" s="46">
        <f t="shared" si="407"/>
        <v>1</v>
      </c>
      <c r="D264" s="46">
        <f t="shared" si="407"/>
        <v>1</v>
      </c>
      <c r="E264" s="46">
        <f t="shared" si="407"/>
        <v>1</v>
      </c>
      <c r="F264" s="46">
        <f t="shared" si="407"/>
        <v>1</v>
      </c>
      <c r="G264" s="46">
        <f t="shared" si="407"/>
        <v>1</v>
      </c>
      <c r="H264" s="46">
        <f t="shared" si="407"/>
        <v>1</v>
      </c>
      <c r="I264" s="46">
        <f t="shared" si="407"/>
        <v>1</v>
      </c>
      <c r="J264" s="46">
        <f t="shared" si="407"/>
        <v>1</v>
      </c>
      <c r="K264" s="46">
        <f t="shared" si="407"/>
        <v>1</v>
      </c>
      <c r="L264" s="46">
        <f t="shared" ref="L264" si="408">IF(L46=0,0,L46/L$46)</f>
        <v>1</v>
      </c>
      <c r="M264" s="46">
        <f t="shared" ref="M264:V264" si="409">IF(M46=0,0,M46/M$46)</f>
        <v>1</v>
      </c>
      <c r="N264" s="46">
        <f t="shared" si="409"/>
        <v>1</v>
      </c>
      <c r="O264" s="46">
        <f t="shared" si="409"/>
        <v>1</v>
      </c>
      <c r="P264" s="46">
        <f t="shared" si="409"/>
        <v>1</v>
      </c>
      <c r="Q264" s="46">
        <f t="shared" si="409"/>
        <v>1</v>
      </c>
      <c r="R264" s="46">
        <f t="shared" si="409"/>
        <v>1</v>
      </c>
      <c r="S264" s="46">
        <f t="shared" si="409"/>
        <v>1</v>
      </c>
      <c r="T264" s="46">
        <f t="shared" si="409"/>
        <v>1</v>
      </c>
      <c r="U264" s="46">
        <f t="shared" si="409"/>
        <v>1</v>
      </c>
      <c r="V264" s="46">
        <f t="shared" si="409"/>
        <v>1</v>
      </c>
      <c r="W264" s="46">
        <f t="shared" ref="W264:Y264" si="410">IF(W46=0,0,W46/W$46)</f>
        <v>1</v>
      </c>
      <c r="X264" s="46">
        <f t="shared" si="410"/>
        <v>1</v>
      </c>
      <c r="Y264" s="46">
        <f t="shared" si="410"/>
        <v>1</v>
      </c>
      <c r="DA264" s="211"/>
    </row>
    <row r="265" spans="1:105" ht="11.45" customHeight="1" x14ac:dyDescent="0.25">
      <c r="A265" s="153" t="s">
        <v>153</v>
      </c>
      <c r="B265" s="154">
        <f t="shared" ref="B265:K265" si="411">IF(B47=0,0,B47/B$46)</f>
        <v>0.63444712980648776</v>
      </c>
      <c r="C265" s="154">
        <f t="shared" si="411"/>
        <v>0.66517058886633784</v>
      </c>
      <c r="D265" s="154">
        <f t="shared" si="411"/>
        <v>0.61984651115471801</v>
      </c>
      <c r="E265" s="154">
        <f t="shared" si="411"/>
        <v>0.62870799869620797</v>
      </c>
      <c r="F265" s="154">
        <f t="shared" si="411"/>
        <v>0.61486796771595076</v>
      </c>
      <c r="G265" s="154">
        <f t="shared" si="411"/>
        <v>0.58590260539787509</v>
      </c>
      <c r="H265" s="154">
        <f t="shared" si="411"/>
        <v>0.59225095681453599</v>
      </c>
      <c r="I265" s="154">
        <f t="shared" si="411"/>
        <v>0.61409184654789972</v>
      </c>
      <c r="J265" s="154">
        <f t="shared" si="411"/>
        <v>0.61676429284790435</v>
      </c>
      <c r="K265" s="154">
        <f t="shared" si="411"/>
        <v>0.61685323386487145</v>
      </c>
      <c r="L265" s="154">
        <f t="shared" ref="L265" si="412">IF(L47=0,0,L47/L$46)</f>
        <v>0.63075425228548943</v>
      </c>
      <c r="M265" s="154">
        <f t="shared" ref="M265:V265" si="413">IF(M47=0,0,M47/M$46)</f>
        <v>0.63394768481207631</v>
      </c>
      <c r="N265" s="154">
        <f t="shared" si="413"/>
        <v>0.62886704346633726</v>
      </c>
      <c r="O265" s="154">
        <f t="shared" si="413"/>
        <v>0.6377330588816108</v>
      </c>
      <c r="P265" s="154">
        <f t="shared" si="413"/>
        <v>0.62869201100448713</v>
      </c>
      <c r="Q265" s="154">
        <f t="shared" si="413"/>
        <v>0.62453742926722067</v>
      </c>
      <c r="R265" s="154">
        <f t="shared" si="413"/>
        <v>0.60596041326663186</v>
      </c>
      <c r="S265" s="154">
        <f t="shared" si="413"/>
        <v>0.61196111709405676</v>
      </c>
      <c r="T265" s="154">
        <f t="shared" si="413"/>
        <v>0.61211174369208243</v>
      </c>
      <c r="U265" s="154">
        <f t="shared" si="413"/>
        <v>0.60283522760602881</v>
      </c>
      <c r="V265" s="154">
        <f t="shared" si="413"/>
        <v>0.50626159439196827</v>
      </c>
      <c r="W265" s="154">
        <f t="shared" ref="W265:Y265" si="414">IF(W47=0,0,W47/W$46)</f>
        <v>0.57533890702256762</v>
      </c>
      <c r="X265" s="154">
        <f t="shared" si="414"/>
        <v>0.59458295031401243</v>
      </c>
      <c r="Y265" s="154">
        <f t="shared" si="414"/>
        <v>0.59335161508316636</v>
      </c>
      <c r="DA265" s="212"/>
    </row>
    <row r="266" spans="1:105" ht="11.45" customHeight="1" x14ac:dyDescent="0.25">
      <c r="A266" s="157" t="s">
        <v>110</v>
      </c>
      <c r="B266" s="103">
        <f t="shared" ref="B266:K266" si="415">IF(B48=0,0,B48/B$46)</f>
        <v>5.2523795270010089E-2</v>
      </c>
      <c r="C266" s="103">
        <f t="shared" si="415"/>
        <v>4.8673860047152288E-2</v>
      </c>
      <c r="D266" s="103">
        <f t="shared" si="415"/>
        <v>3.5564916782630025E-2</v>
      </c>
      <c r="E266" s="103">
        <f t="shared" si="415"/>
        <v>2.9298692207331174E-2</v>
      </c>
      <c r="F266" s="103">
        <f t="shared" si="415"/>
        <v>2.2865694440154714E-2</v>
      </c>
      <c r="G266" s="103">
        <f t="shared" si="415"/>
        <v>1.7428743792501582E-2</v>
      </c>
      <c r="H266" s="103">
        <f t="shared" si="415"/>
        <v>1.4334322511834675E-2</v>
      </c>
      <c r="I266" s="103">
        <f t="shared" si="415"/>
        <v>1.1427927111342885E-2</v>
      </c>
      <c r="J266" s="103">
        <f t="shared" si="415"/>
        <v>1.0025051510779124E-2</v>
      </c>
      <c r="K266" s="103">
        <f t="shared" si="415"/>
        <v>9.9056511022599485E-3</v>
      </c>
      <c r="L266" s="103">
        <f t="shared" ref="L266" si="416">IF(L48=0,0,L48/L$46)</f>
        <v>9.5033355358526209E-3</v>
      </c>
      <c r="M266" s="103">
        <f t="shared" ref="M266:V266" si="417">IF(M48=0,0,M48/M$46)</f>
        <v>9.8393141034159477E-3</v>
      </c>
      <c r="N266" s="103">
        <f t="shared" si="417"/>
        <v>1.099252887705986E-2</v>
      </c>
      <c r="O266" s="103">
        <f t="shared" si="417"/>
        <v>1.1558960314614076E-2</v>
      </c>
      <c r="P266" s="103">
        <f t="shared" si="417"/>
        <v>8.1933087153555854E-3</v>
      </c>
      <c r="Q266" s="103">
        <f t="shared" si="417"/>
        <v>8.1753451302964825E-3</v>
      </c>
      <c r="R266" s="103">
        <f t="shared" si="417"/>
        <v>7.7926094936065305E-3</v>
      </c>
      <c r="S266" s="103">
        <f t="shared" si="417"/>
        <v>8.7251354399989871E-3</v>
      </c>
      <c r="T266" s="103">
        <f t="shared" si="417"/>
        <v>9.2406800366012318E-3</v>
      </c>
      <c r="U266" s="103">
        <f t="shared" si="417"/>
        <v>9.793626042527424E-3</v>
      </c>
      <c r="V266" s="103">
        <f t="shared" si="417"/>
        <v>7.870279402122704E-3</v>
      </c>
      <c r="W266" s="103">
        <f t="shared" ref="W266:Y266" si="418">IF(W48=0,0,W48/W$46)</f>
        <v>9.5592914083359095E-3</v>
      </c>
      <c r="X266" s="103">
        <f t="shared" si="418"/>
        <v>9.3969424466347207E-3</v>
      </c>
      <c r="Y266" s="103">
        <f t="shared" si="418"/>
        <v>7.8109565500957007E-3</v>
      </c>
      <c r="DA266" s="191"/>
    </row>
    <row r="267" spans="1:105" ht="11.45" customHeight="1" x14ac:dyDescent="0.25">
      <c r="A267" s="157" t="s">
        <v>111</v>
      </c>
      <c r="B267" s="103">
        <f t="shared" ref="B267:K267" si="419">IF(B49=0,0,B49/B$46)</f>
        <v>0.58192333453647771</v>
      </c>
      <c r="C267" s="103">
        <f t="shared" si="419"/>
        <v>0.6164967288191856</v>
      </c>
      <c r="D267" s="103">
        <f t="shared" si="419"/>
        <v>0.58428159437208793</v>
      </c>
      <c r="E267" s="103">
        <f t="shared" si="419"/>
        <v>0.59940930648887669</v>
      </c>
      <c r="F267" s="103">
        <f t="shared" si="419"/>
        <v>0.59200227327579602</v>
      </c>
      <c r="G267" s="103">
        <f t="shared" si="419"/>
        <v>0.5684738616053735</v>
      </c>
      <c r="H267" s="103">
        <f t="shared" si="419"/>
        <v>0.57791663430270124</v>
      </c>
      <c r="I267" s="103">
        <f t="shared" si="419"/>
        <v>0.60266391943655673</v>
      </c>
      <c r="J267" s="103">
        <f t="shared" si="419"/>
        <v>0.6067392413371252</v>
      </c>
      <c r="K267" s="103">
        <f t="shared" si="419"/>
        <v>0.60694758276261163</v>
      </c>
      <c r="L267" s="103">
        <f t="shared" ref="L267" si="420">IF(L49=0,0,L49/L$46)</f>
        <v>0.62125091674963673</v>
      </c>
      <c r="M267" s="103">
        <f t="shared" ref="M267:V267" si="421">IF(M49=0,0,M49/M$46)</f>
        <v>0.6241042173031478</v>
      </c>
      <c r="N267" s="103">
        <f t="shared" si="421"/>
        <v>0.6178294373490395</v>
      </c>
      <c r="O267" s="103">
        <f t="shared" si="421"/>
        <v>0.62612411998786865</v>
      </c>
      <c r="P267" s="103">
        <f t="shared" si="421"/>
        <v>0.62014016310339393</v>
      </c>
      <c r="Q267" s="103">
        <f t="shared" si="421"/>
        <v>0.61575077625324426</v>
      </c>
      <c r="R267" s="103">
        <f t="shared" si="421"/>
        <v>0.59738961293585802</v>
      </c>
      <c r="S267" s="103">
        <f t="shared" si="421"/>
        <v>0.60210711950705398</v>
      </c>
      <c r="T267" s="103">
        <f t="shared" si="421"/>
        <v>0.60081432973134308</v>
      </c>
      <c r="U267" s="103">
        <f t="shared" si="421"/>
        <v>0.58933154911615304</v>
      </c>
      <c r="V267" s="103">
        <f t="shared" si="421"/>
        <v>0.49436937401413222</v>
      </c>
      <c r="W267" s="103">
        <f t="shared" ref="W267:Y267" si="422">IF(W49=0,0,W49/W$46)</f>
        <v>0.56012275632342834</v>
      </c>
      <c r="X267" s="103">
        <f t="shared" si="422"/>
        <v>0.57883901876818189</v>
      </c>
      <c r="Y267" s="103">
        <f t="shared" si="422"/>
        <v>0.57784433805151836</v>
      </c>
      <c r="DA267" s="191"/>
    </row>
    <row r="268" spans="1:105" ht="11.45" customHeight="1" x14ac:dyDescent="0.25">
      <c r="A268" s="157" t="s">
        <v>112</v>
      </c>
      <c r="B268" s="103">
        <f t="shared" ref="B268:K268" si="423">IF(B50=0,0,B50/B$46)</f>
        <v>0</v>
      </c>
      <c r="C268" s="103">
        <f t="shared" si="423"/>
        <v>0</v>
      </c>
      <c r="D268" s="103">
        <f t="shared" si="423"/>
        <v>0</v>
      </c>
      <c r="E268" s="103">
        <f t="shared" si="423"/>
        <v>0</v>
      </c>
      <c r="F268" s="103">
        <f t="shared" si="423"/>
        <v>0</v>
      </c>
      <c r="G268" s="103">
        <f t="shared" si="423"/>
        <v>0</v>
      </c>
      <c r="H268" s="103">
        <f t="shared" si="423"/>
        <v>0</v>
      </c>
      <c r="I268" s="103">
        <f t="shared" si="423"/>
        <v>0</v>
      </c>
      <c r="J268" s="103">
        <f t="shared" si="423"/>
        <v>0</v>
      </c>
      <c r="K268" s="103">
        <f t="shared" si="423"/>
        <v>0</v>
      </c>
      <c r="L268" s="103">
        <f t="shared" ref="L268" si="424">IF(L50=0,0,L50/L$46)</f>
        <v>0</v>
      </c>
      <c r="M268" s="103">
        <f t="shared" ref="M268:V268" si="425">IF(M50=0,0,M50/M$46)</f>
        <v>0</v>
      </c>
      <c r="N268" s="103">
        <f t="shared" si="425"/>
        <v>0</v>
      </c>
      <c r="O268" s="103">
        <f t="shared" si="425"/>
        <v>5.3677565229180346E-7</v>
      </c>
      <c r="P268" s="103">
        <f t="shared" si="425"/>
        <v>6.1018540092382571E-5</v>
      </c>
      <c r="Q268" s="103">
        <f t="shared" si="425"/>
        <v>1.2980621234777749E-4</v>
      </c>
      <c r="R268" s="103">
        <f t="shared" si="425"/>
        <v>2.2008791349359115E-4</v>
      </c>
      <c r="S268" s="103">
        <f t="shared" si="425"/>
        <v>3.6753523293430769E-4</v>
      </c>
      <c r="T268" s="103">
        <f t="shared" si="425"/>
        <v>7.947238431038658E-4</v>
      </c>
      <c r="U268" s="103">
        <f t="shared" si="425"/>
        <v>1.8490635765267107E-3</v>
      </c>
      <c r="V268" s="103">
        <f t="shared" si="425"/>
        <v>1.8683978719505896E-3</v>
      </c>
      <c r="W268" s="103">
        <f t="shared" ref="W268:Y268" si="426">IF(W50=0,0,W50/W$46)</f>
        <v>2.733974620945588E-3</v>
      </c>
      <c r="X268" s="103">
        <f t="shared" si="426"/>
        <v>2.964433375907927E-3</v>
      </c>
      <c r="Y268" s="103">
        <f t="shared" si="426"/>
        <v>3.0765949926127678E-3</v>
      </c>
      <c r="DA268" s="191"/>
    </row>
    <row r="269" spans="1:105" ht="11.45" customHeight="1" x14ac:dyDescent="0.25">
      <c r="A269" s="157" t="s">
        <v>113</v>
      </c>
      <c r="B269" s="103">
        <f t="shared" ref="B269:K269" si="427">IF(B51=0,0,B51/B$46)</f>
        <v>0</v>
      </c>
      <c r="C269" s="103">
        <f t="shared" si="427"/>
        <v>0</v>
      </c>
      <c r="D269" s="103">
        <f t="shared" si="427"/>
        <v>0</v>
      </c>
      <c r="E269" s="103">
        <f t="shared" si="427"/>
        <v>0</v>
      </c>
      <c r="F269" s="103">
        <f t="shared" si="427"/>
        <v>0</v>
      </c>
      <c r="G269" s="103">
        <f t="shared" si="427"/>
        <v>0</v>
      </c>
      <c r="H269" s="103">
        <f t="shared" si="427"/>
        <v>0</v>
      </c>
      <c r="I269" s="103">
        <f t="shared" si="427"/>
        <v>0</v>
      </c>
      <c r="J269" s="103">
        <f t="shared" si="427"/>
        <v>0</v>
      </c>
      <c r="K269" s="103">
        <f t="shared" si="427"/>
        <v>0</v>
      </c>
      <c r="L269" s="103">
        <f t="shared" ref="L269" si="428">IF(L51=0,0,L51/L$46)</f>
        <v>0</v>
      </c>
      <c r="M269" s="103">
        <f t="shared" ref="M269:V269" si="429">IF(M51=0,0,M51/M$46)</f>
        <v>0</v>
      </c>
      <c r="N269" s="103">
        <f t="shared" si="429"/>
        <v>3.9987039369825788E-6</v>
      </c>
      <c r="O269" s="103">
        <f t="shared" si="429"/>
        <v>2.7770265188953547E-5</v>
      </c>
      <c r="P269" s="103">
        <f t="shared" si="429"/>
        <v>4.570471841053473E-5</v>
      </c>
      <c r="Q269" s="103">
        <f t="shared" si="429"/>
        <v>1.2968618808708771E-4</v>
      </c>
      <c r="R269" s="103">
        <f t="shared" si="429"/>
        <v>1.7507718419914416E-4</v>
      </c>
      <c r="S269" s="103">
        <f t="shared" si="429"/>
        <v>2.560095045360223E-4</v>
      </c>
      <c r="T269" s="103">
        <f t="shared" si="429"/>
        <v>4.6850881642048511E-4</v>
      </c>
      <c r="U269" s="103">
        <f t="shared" si="429"/>
        <v>8.3340688450827594E-4</v>
      </c>
      <c r="V269" s="103">
        <f t="shared" si="429"/>
        <v>9.4797967861968459E-4</v>
      </c>
      <c r="W269" s="103">
        <f t="shared" ref="W269:Y269" si="430">IF(W51=0,0,W51/W$46)</f>
        <v>1.218299937509514E-3</v>
      </c>
      <c r="X269" s="103">
        <f t="shared" si="430"/>
        <v>1.2612260936157632E-3</v>
      </c>
      <c r="Y269" s="103">
        <f t="shared" si="430"/>
        <v>1.2271907812118007E-3</v>
      </c>
      <c r="DA269" s="191"/>
    </row>
    <row r="270" spans="1:105" ht="11.45" customHeight="1" x14ac:dyDescent="0.25">
      <c r="A270" s="157" t="s">
        <v>115</v>
      </c>
      <c r="B270" s="103">
        <f t="shared" ref="B270:K270" si="431">IF(B52=0,0,B52/B$46)</f>
        <v>0</v>
      </c>
      <c r="C270" s="103">
        <f t="shared" si="431"/>
        <v>0</v>
      </c>
      <c r="D270" s="103">
        <f t="shared" si="431"/>
        <v>0</v>
      </c>
      <c r="E270" s="103">
        <f t="shared" si="431"/>
        <v>0</v>
      </c>
      <c r="F270" s="103">
        <f t="shared" si="431"/>
        <v>0</v>
      </c>
      <c r="G270" s="103">
        <f t="shared" si="431"/>
        <v>0</v>
      </c>
      <c r="H270" s="103">
        <f t="shared" si="431"/>
        <v>0</v>
      </c>
      <c r="I270" s="103">
        <f t="shared" si="431"/>
        <v>0</v>
      </c>
      <c r="J270" s="103">
        <f t="shared" si="431"/>
        <v>0</v>
      </c>
      <c r="K270" s="103">
        <f t="shared" si="431"/>
        <v>0</v>
      </c>
      <c r="L270" s="103">
        <f t="shared" ref="L270" si="432">IF(L52=0,0,L52/L$46)</f>
        <v>0</v>
      </c>
      <c r="M270" s="103">
        <f t="shared" ref="M270:V270" si="433">IF(M52=0,0,M52/M$46)</f>
        <v>4.1534055126348355E-6</v>
      </c>
      <c r="N270" s="103">
        <f t="shared" si="433"/>
        <v>4.1078536301012743E-5</v>
      </c>
      <c r="O270" s="103">
        <f t="shared" si="433"/>
        <v>2.1671538286836491E-5</v>
      </c>
      <c r="P270" s="103">
        <f t="shared" si="433"/>
        <v>2.5181592723473893E-4</v>
      </c>
      <c r="Q270" s="103">
        <f t="shared" si="433"/>
        <v>3.5181548324506864E-4</v>
      </c>
      <c r="R270" s="103">
        <f t="shared" si="433"/>
        <v>3.8302573947461728E-4</v>
      </c>
      <c r="S270" s="103">
        <f t="shared" si="433"/>
        <v>5.0531740953352843E-4</v>
      </c>
      <c r="T270" s="103">
        <f t="shared" si="433"/>
        <v>7.9350126461387351E-4</v>
      </c>
      <c r="U270" s="103">
        <f t="shared" si="433"/>
        <v>1.0275819863134073E-3</v>
      </c>
      <c r="V270" s="103">
        <f t="shared" si="433"/>
        <v>1.205563425143193E-3</v>
      </c>
      <c r="W270" s="103">
        <f t="shared" ref="W270:Y270" si="434">IF(W52=0,0,W52/W$46)</f>
        <v>1.7045847323482286E-3</v>
      </c>
      <c r="X270" s="103">
        <f t="shared" si="434"/>
        <v>2.1213296296720514E-3</v>
      </c>
      <c r="Y270" s="103">
        <f t="shared" si="434"/>
        <v>3.3925347077276443E-3</v>
      </c>
      <c r="DA270" s="191"/>
    </row>
    <row r="271" spans="1:105" ht="11.45" customHeight="1" x14ac:dyDescent="0.25">
      <c r="A271" s="155" t="s">
        <v>154</v>
      </c>
      <c r="B271" s="156">
        <f t="shared" ref="B271:K271" si="435">IF(B53=0,0,B53/B$46)</f>
        <v>0.36555287019351218</v>
      </c>
      <c r="C271" s="156">
        <f t="shared" si="435"/>
        <v>0.33482941113366205</v>
      </c>
      <c r="D271" s="156">
        <f t="shared" si="435"/>
        <v>0.38015348884528211</v>
      </c>
      <c r="E271" s="156">
        <f t="shared" si="435"/>
        <v>0.37129200130379197</v>
      </c>
      <c r="F271" s="156">
        <f t="shared" si="435"/>
        <v>0.38513203228404919</v>
      </c>
      <c r="G271" s="156">
        <f t="shared" si="435"/>
        <v>0.41409739460212491</v>
      </c>
      <c r="H271" s="156">
        <f t="shared" si="435"/>
        <v>0.40774904318546401</v>
      </c>
      <c r="I271" s="156">
        <f t="shared" si="435"/>
        <v>0.38590815345210033</v>
      </c>
      <c r="J271" s="156">
        <f t="shared" si="435"/>
        <v>0.38323570715209565</v>
      </c>
      <c r="K271" s="156">
        <f t="shared" si="435"/>
        <v>0.38314676613512849</v>
      </c>
      <c r="L271" s="156">
        <f t="shared" ref="L271" si="436">IF(L53=0,0,L53/L$46)</f>
        <v>0.36924574771451052</v>
      </c>
      <c r="M271" s="156">
        <f t="shared" ref="M271:V271" si="437">IF(M53=0,0,M53/M$46)</f>
        <v>0.3660523151879238</v>
      </c>
      <c r="N271" s="156">
        <f t="shared" si="437"/>
        <v>0.37113295653366268</v>
      </c>
      <c r="O271" s="156">
        <f t="shared" si="437"/>
        <v>0.36226694111838925</v>
      </c>
      <c r="P271" s="156">
        <f t="shared" si="437"/>
        <v>0.37130798899551293</v>
      </c>
      <c r="Q271" s="156">
        <f t="shared" si="437"/>
        <v>0.3754625707327795</v>
      </c>
      <c r="R271" s="156">
        <f t="shared" si="437"/>
        <v>0.39403958673336814</v>
      </c>
      <c r="S271" s="156">
        <f t="shared" si="437"/>
        <v>0.38803888290594335</v>
      </c>
      <c r="T271" s="156">
        <f t="shared" si="437"/>
        <v>0.38788825630791757</v>
      </c>
      <c r="U271" s="156">
        <f t="shared" si="437"/>
        <v>0.39716477239397124</v>
      </c>
      <c r="V271" s="156">
        <f t="shared" si="437"/>
        <v>0.49373840560803173</v>
      </c>
      <c r="W271" s="156">
        <f t="shared" ref="W271:Y271" si="438">IF(W53=0,0,W53/W$46)</f>
        <v>0.42466109297743238</v>
      </c>
      <c r="X271" s="156">
        <f t="shared" si="438"/>
        <v>0.40541704968598752</v>
      </c>
      <c r="Y271" s="156">
        <f t="shared" si="438"/>
        <v>0.40664838491683375</v>
      </c>
      <c r="DA271" s="213"/>
    </row>
    <row r="272" spans="1:105" ht="11.45" customHeight="1" x14ac:dyDescent="0.25">
      <c r="A272" s="162" t="s">
        <v>27</v>
      </c>
      <c r="B272" s="104">
        <f t="shared" ref="B272:K272" si="439">IF(B54=0,0,B54/B$46)</f>
        <v>0.3000063968095259</v>
      </c>
      <c r="C272" s="104">
        <f t="shared" si="439"/>
        <v>0.27535426348476155</v>
      </c>
      <c r="D272" s="104">
        <f t="shared" si="439"/>
        <v>0.31687000365258033</v>
      </c>
      <c r="E272" s="104">
        <f t="shared" si="439"/>
        <v>0.31147730790717548</v>
      </c>
      <c r="F272" s="104">
        <f t="shared" si="439"/>
        <v>0.31991434347336489</v>
      </c>
      <c r="G272" s="104">
        <f t="shared" si="439"/>
        <v>0.34560500224123836</v>
      </c>
      <c r="H272" s="104">
        <f t="shared" si="439"/>
        <v>0.34172390058968305</v>
      </c>
      <c r="I272" s="104">
        <f t="shared" si="439"/>
        <v>0.32605530633102581</v>
      </c>
      <c r="J272" s="104">
        <f t="shared" si="439"/>
        <v>0.32367132775332869</v>
      </c>
      <c r="K272" s="104">
        <f t="shared" si="439"/>
        <v>0.32100140656895082</v>
      </c>
      <c r="L272" s="104">
        <f t="shared" ref="L272" si="440">IF(L54=0,0,L54/L$46)</f>
        <v>0.30836169928365148</v>
      </c>
      <c r="M272" s="104">
        <f t="shared" ref="M272:V272" si="441">IF(M54=0,0,M54/M$46)</f>
        <v>0.30478704477001345</v>
      </c>
      <c r="N272" s="104">
        <f t="shared" si="441"/>
        <v>0.30713185304512952</v>
      </c>
      <c r="O272" s="104">
        <f t="shared" si="441"/>
        <v>0.29275883297520133</v>
      </c>
      <c r="P272" s="104">
        <f t="shared" si="441"/>
        <v>0.30171397700634051</v>
      </c>
      <c r="Q272" s="104">
        <f t="shared" si="441"/>
        <v>0.30527631736277649</v>
      </c>
      <c r="R272" s="104">
        <f t="shared" si="441"/>
        <v>0.32144325277647628</v>
      </c>
      <c r="S272" s="104">
        <f t="shared" si="441"/>
        <v>0.31800462758986553</v>
      </c>
      <c r="T272" s="104">
        <f t="shared" si="441"/>
        <v>0.31726662017336443</v>
      </c>
      <c r="U272" s="104">
        <f t="shared" si="441"/>
        <v>0.32515015200592151</v>
      </c>
      <c r="V272" s="104">
        <f t="shared" si="441"/>
        <v>0.40655606839572206</v>
      </c>
      <c r="W272" s="104">
        <f t="shared" ref="W272:Y272" si="442">IF(W54=0,0,W54/W$46)</f>
        <v>0.34989150210619369</v>
      </c>
      <c r="X272" s="104">
        <f t="shared" si="442"/>
        <v>0.33160936855019429</v>
      </c>
      <c r="Y272" s="104">
        <f t="shared" si="442"/>
        <v>0.33591338093904188</v>
      </c>
      <c r="DA272" s="195"/>
    </row>
    <row r="273" spans="1:105" ht="11.45" customHeight="1" x14ac:dyDescent="0.25">
      <c r="A273" s="158" t="s">
        <v>116</v>
      </c>
      <c r="B273" s="105">
        <f t="shared" ref="B273:K273" si="443">IF(B55=0,0,B55/B$46)</f>
        <v>6.5546473383986281E-2</v>
      </c>
      <c r="C273" s="105">
        <f t="shared" si="443"/>
        <v>5.9475147648900488E-2</v>
      </c>
      <c r="D273" s="105">
        <f t="shared" si="443"/>
        <v>6.3283485192701772E-2</v>
      </c>
      <c r="E273" s="105">
        <f t="shared" si="443"/>
        <v>5.981469339661645E-2</v>
      </c>
      <c r="F273" s="105">
        <f t="shared" si="443"/>
        <v>6.5217688810684224E-2</v>
      </c>
      <c r="G273" s="105">
        <f t="shared" si="443"/>
        <v>6.8492392360886625E-2</v>
      </c>
      <c r="H273" s="105">
        <f t="shared" si="443"/>
        <v>6.6025142595781003E-2</v>
      </c>
      <c r="I273" s="105">
        <f t="shared" si="443"/>
        <v>5.9852847121074471E-2</v>
      </c>
      <c r="J273" s="105">
        <f t="shared" si="443"/>
        <v>5.9564379398767013E-2</v>
      </c>
      <c r="K273" s="105">
        <f t="shared" si="443"/>
        <v>6.2145359566177713E-2</v>
      </c>
      <c r="L273" s="105">
        <f t="shared" ref="L273" si="444">IF(L55=0,0,L55/L$46)</f>
        <v>6.0884048430859088E-2</v>
      </c>
      <c r="M273" s="105">
        <f t="shared" ref="M273:V273" si="445">IF(M55=0,0,M55/M$46)</f>
        <v>6.1265270417910328E-2</v>
      </c>
      <c r="N273" s="105">
        <f t="shared" si="445"/>
        <v>6.4001103488533176E-2</v>
      </c>
      <c r="O273" s="105">
        <f t="shared" si="445"/>
        <v>6.9508108143187933E-2</v>
      </c>
      <c r="P273" s="105">
        <f t="shared" si="445"/>
        <v>6.9594011989172394E-2</v>
      </c>
      <c r="Q273" s="105">
        <f t="shared" si="445"/>
        <v>7.0186253370002949E-2</v>
      </c>
      <c r="R273" s="105">
        <f t="shared" si="445"/>
        <v>7.259633395689187E-2</v>
      </c>
      <c r="S273" s="105">
        <f t="shared" si="445"/>
        <v>7.0034255316077806E-2</v>
      </c>
      <c r="T273" s="105">
        <f t="shared" si="445"/>
        <v>7.0621636134553092E-2</v>
      </c>
      <c r="U273" s="105">
        <f t="shared" si="445"/>
        <v>7.2014620388049719E-2</v>
      </c>
      <c r="V273" s="105">
        <f t="shared" si="445"/>
        <v>8.7182337212309696E-2</v>
      </c>
      <c r="W273" s="105">
        <f t="shared" ref="W273:Y273" si="446">IF(W55=0,0,W55/W$46)</f>
        <v>7.4769590871238731E-2</v>
      </c>
      <c r="X273" s="105">
        <f t="shared" si="446"/>
        <v>7.3807681135793252E-2</v>
      </c>
      <c r="Y273" s="105">
        <f t="shared" si="446"/>
        <v>7.0735003977791866E-2</v>
      </c>
      <c r="DA273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6:V26 W6:Y28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DA166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628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ht="11.45" customHeight="1" x14ac:dyDescent="0.25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DA2" s="208"/>
    </row>
    <row r="3" spans="1:105" ht="11.45" customHeight="1" x14ac:dyDescent="0.25">
      <c r="A3" s="53" t="s">
        <v>32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X3" s="132"/>
      <c r="Y3" s="132"/>
      <c r="DA3" s="172"/>
    </row>
    <row r="4" spans="1:105" ht="11.45" customHeight="1" x14ac:dyDescent="0.25">
      <c r="A4" s="133" t="s">
        <v>51</v>
      </c>
      <c r="B4" s="145">
        <f t="shared" ref="B4:K4" si="0">B5+B9+B10+B15</f>
        <v>26401.607394668954</v>
      </c>
      <c r="C4" s="145">
        <f t="shared" si="0"/>
        <v>27709.408082545135</v>
      </c>
      <c r="D4" s="145">
        <f t="shared" si="0"/>
        <v>28440.030524505586</v>
      </c>
      <c r="E4" s="145">
        <f t="shared" si="0"/>
        <v>29799.21874462597</v>
      </c>
      <c r="F4" s="145">
        <f t="shared" si="0"/>
        <v>30876.684092863277</v>
      </c>
      <c r="G4" s="145">
        <f t="shared" si="0"/>
        <v>31860.725967325885</v>
      </c>
      <c r="H4" s="145">
        <f t="shared" si="0"/>
        <v>32786.498108340493</v>
      </c>
      <c r="I4" s="145">
        <f t="shared" si="0"/>
        <v>33952.13731728289</v>
      </c>
      <c r="J4" s="145">
        <f t="shared" si="0"/>
        <v>32382.830008598452</v>
      </c>
      <c r="K4" s="145">
        <f t="shared" si="0"/>
        <v>30624.303921571624</v>
      </c>
      <c r="L4" s="145">
        <f t="shared" ref="L4" si="1">L5+L9+L10+L15</f>
        <v>29811.811986632358</v>
      </c>
      <c r="M4" s="145">
        <f t="shared" ref="M4:V4" si="2">M5+M9+M10+M15</f>
        <v>28559.04547719899</v>
      </c>
      <c r="N4" s="145">
        <f t="shared" si="2"/>
        <v>26097.732758419243</v>
      </c>
      <c r="O4" s="145">
        <f t="shared" si="2"/>
        <v>25631.985247110162</v>
      </c>
      <c r="P4" s="145">
        <f t="shared" si="2"/>
        <v>25937.970741903755</v>
      </c>
      <c r="Q4" s="145">
        <f t="shared" si="2"/>
        <v>26690.42151431397</v>
      </c>
      <c r="R4" s="145">
        <f t="shared" si="2"/>
        <v>27552.230917081411</v>
      </c>
      <c r="S4" s="145">
        <f t="shared" si="2"/>
        <v>28156.733619190811</v>
      </c>
      <c r="T4" s="145">
        <f t="shared" si="2"/>
        <v>28791.443491899103</v>
      </c>
      <c r="U4" s="145">
        <f t="shared" si="2"/>
        <v>29033.216917999751</v>
      </c>
      <c r="V4" s="145">
        <f t="shared" si="2"/>
        <v>23921.70415581646</v>
      </c>
      <c r="W4" s="145">
        <f t="shared" ref="W4:Y4" si="3">W5+W9+W10+W15</f>
        <v>27373.713577384315</v>
      </c>
      <c r="X4" s="145">
        <f t="shared" si="3"/>
        <v>28417.034749249302</v>
      </c>
      <c r="Y4" s="145">
        <f t="shared" si="3"/>
        <v>28226.923189417987</v>
      </c>
      <c r="DA4" s="206" t="s">
        <v>629</v>
      </c>
    </row>
    <row r="5" spans="1:105" ht="11.45" customHeight="1" x14ac:dyDescent="0.25">
      <c r="A5" s="92" t="s">
        <v>46</v>
      </c>
      <c r="B5" s="97">
        <f t="shared" ref="B5:K5" si="4">SUM(B6:B8)</f>
        <v>26324.20232158211</v>
      </c>
      <c r="C5" s="97">
        <f t="shared" si="4"/>
        <v>27628.950558899392</v>
      </c>
      <c r="D5" s="97">
        <f t="shared" si="4"/>
        <v>28286.562596732583</v>
      </c>
      <c r="E5" s="97">
        <f t="shared" si="4"/>
        <v>29590.501117798798</v>
      </c>
      <c r="F5" s="97">
        <f t="shared" si="4"/>
        <v>30679.733963886494</v>
      </c>
      <c r="G5" s="97">
        <f t="shared" si="4"/>
        <v>31576.251504729153</v>
      </c>
      <c r="H5" s="97">
        <f t="shared" si="4"/>
        <v>32586.407222699912</v>
      </c>
      <c r="I5" s="97">
        <f t="shared" si="4"/>
        <v>33523.137059329318</v>
      </c>
      <c r="J5" s="97">
        <f t="shared" si="4"/>
        <v>31714.932674118656</v>
      </c>
      <c r="K5" s="97">
        <f t="shared" si="4"/>
        <v>29490.238349097166</v>
      </c>
      <c r="L5" s="97">
        <f t="shared" ref="L5" si="5">SUM(L6:L8)</f>
        <v>28297.410920034396</v>
      </c>
      <c r="M5" s="97">
        <f t="shared" ref="M5:V5" si="6">SUM(M6:M8)</f>
        <v>26750.707050730871</v>
      </c>
      <c r="N5" s="97">
        <f t="shared" si="6"/>
        <v>23874.804127257092</v>
      </c>
      <c r="O5" s="97">
        <f t="shared" si="6"/>
        <v>24645.447635425622</v>
      </c>
      <c r="P5" s="97">
        <f t="shared" si="6"/>
        <v>24875.9505588994</v>
      </c>
      <c r="Q5" s="97">
        <f t="shared" si="6"/>
        <v>25614.961306964746</v>
      </c>
      <c r="R5" s="97">
        <f t="shared" si="6"/>
        <v>26319.81238177128</v>
      </c>
      <c r="S5" s="97">
        <f t="shared" si="6"/>
        <v>26736.134909716249</v>
      </c>
      <c r="T5" s="97">
        <f t="shared" si="6"/>
        <v>26977.42192605331</v>
      </c>
      <c r="U5" s="97">
        <f t="shared" si="6"/>
        <v>27234.071281169388</v>
      </c>
      <c r="V5" s="97">
        <f t="shared" si="6"/>
        <v>22336.954256233872</v>
      </c>
      <c r="W5" s="97">
        <f t="shared" ref="W5:Y5" si="7">SUM(W6:W8)</f>
        <v>25724.942046431646</v>
      </c>
      <c r="X5" s="97">
        <f t="shared" si="7"/>
        <v>26755.891401547724</v>
      </c>
      <c r="Y5" s="97">
        <f t="shared" si="7"/>
        <v>25976.04471195185</v>
      </c>
      <c r="DA5" s="175"/>
    </row>
    <row r="6" spans="1:105" ht="11.45" customHeight="1" x14ac:dyDescent="0.25">
      <c r="A6" s="128" t="s">
        <v>52</v>
      </c>
      <c r="B6" s="97">
        <v>84.730610490111772</v>
      </c>
      <c r="C6" s="97">
        <v>81.341358555460005</v>
      </c>
      <c r="D6" s="97">
        <v>81.341358555460005</v>
      </c>
      <c r="E6" s="97">
        <v>80.211607910576092</v>
      </c>
      <c r="F6" s="97">
        <v>82.471109200343932</v>
      </c>
      <c r="G6" s="97">
        <v>50.838349097162506</v>
      </c>
      <c r="H6" s="97">
        <v>46.319346517626819</v>
      </c>
      <c r="I6" s="97">
        <v>45.18968185726569</v>
      </c>
      <c r="J6" s="97">
        <v>14.68667239896819</v>
      </c>
      <c r="K6" s="97">
        <v>18.075838349097161</v>
      </c>
      <c r="L6" s="97">
        <v>21.465090283748921</v>
      </c>
      <c r="M6" s="97">
        <v>23.724591573516761</v>
      </c>
      <c r="N6" s="97">
        <v>29.373258813413582</v>
      </c>
      <c r="O6" s="97">
        <v>35.022012037833193</v>
      </c>
      <c r="P6" s="97">
        <v>39.540928632846082</v>
      </c>
      <c r="Q6" s="97">
        <v>48.578847807394673</v>
      </c>
      <c r="R6" s="97">
        <v>53.097850386930347</v>
      </c>
      <c r="S6" s="97">
        <v>57.616766981943243</v>
      </c>
      <c r="T6" s="97">
        <v>70.043938091143588</v>
      </c>
      <c r="U6" s="97">
        <v>97.157695614789333</v>
      </c>
      <c r="V6" s="97">
        <v>74.562940670679282</v>
      </c>
      <c r="W6" s="97">
        <v>93.973000859845214</v>
      </c>
      <c r="X6" s="97">
        <v>121.4347377472055</v>
      </c>
      <c r="Y6" s="97">
        <v>127.7466036113499</v>
      </c>
      <c r="DA6" s="175" t="s">
        <v>630</v>
      </c>
    </row>
    <row r="7" spans="1:105" ht="11.45" customHeight="1" x14ac:dyDescent="0.25">
      <c r="A7" s="128" t="s">
        <v>53</v>
      </c>
      <c r="B7" s="97">
        <v>9019.1363714531381</v>
      </c>
      <c r="C7" s="97">
        <v>8973.6386070507306</v>
      </c>
      <c r="D7" s="97">
        <v>8564.1588134135854</v>
      </c>
      <c r="E7" s="97">
        <v>8344.0766122098012</v>
      </c>
      <c r="F7" s="97">
        <v>7971.629922613929</v>
      </c>
      <c r="G7" s="97">
        <v>7681.713929492691</v>
      </c>
      <c r="H7" s="97">
        <v>7330.4289767841783</v>
      </c>
      <c r="I7" s="97">
        <v>7056.3843508168529</v>
      </c>
      <c r="J7" s="97">
        <v>6499.8304385210658</v>
      </c>
      <c r="K7" s="97">
        <v>6099.8734307824589</v>
      </c>
      <c r="L7" s="97">
        <v>5619.5018056749777</v>
      </c>
      <c r="M7" s="97">
        <v>5228.0094582975062</v>
      </c>
      <c r="N7" s="97">
        <v>4713.7790197764398</v>
      </c>
      <c r="O7" s="97">
        <v>4603.7379191745486</v>
      </c>
      <c r="P7" s="97">
        <v>4534.9622527944966</v>
      </c>
      <c r="Q7" s="97">
        <v>4561.4144453998288</v>
      </c>
      <c r="R7" s="97">
        <v>4767.7415305245058</v>
      </c>
      <c r="S7" s="97">
        <v>4871.4340498710226</v>
      </c>
      <c r="T7" s="97">
        <v>5075.6448839208933</v>
      </c>
      <c r="U7" s="97">
        <v>5407.8842648323298</v>
      </c>
      <c r="V7" s="97">
        <v>4281.021324161652</v>
      </c>
      <c r="W7" s="97">
        <v>5276.608684436801</v>
      </c>
      <c r="X7" s="97">
        <v>5822.7555460017193</v>
      </c>
      <c r="Y7" s="97">
        <v>6090.0897678417878</v>
      </c>
      <c r="DA7" s="175" t="s">
        <v>631</v>
      </c>
    </row>
    <row r="8" spans="1:105" ht="11.45" customHeight="1" x14ac:dyDescent="0.25">
      <c r="A8" s="128" t="s">
        <v>54</v>
      </c>
      <c r="B8" s="97">
        <v>17220.335339638859</v>
      </c>
      <c r="C8" s="97">
        <v>18573.970593293201</v>
      </c>
      <c r="D8" s="97">
        <v>19641.062424763539</v>
      </c>
      <c r="E8" s="97">
        <v>21166.212897678419</v>
      </c>
      <c r="F8" s="97">
        <v>22625.632932072222</v>
      </c>
      <c r="G8" s="97">
        <v>23843.699226139299</v>
      </c>
      <c r="H8" s="97">
        <v>25209.658899398109</v>
      </c>
      <c r="I8" s="97">
        <v>26421.5630266552</v>
      </c>
      <c r="J8" s="97">
        <v>25200.415563198621</v>
      </c>
      <c r="K8" s="97">
        <v>23372.289079965609</v>
      </c>
      <c r="L8" s="97">
        <v>22656.44402407567</v>
      </c>
      <c r="M8" s="97">
        <v>21498.973000859849</v>
      </c>
      <c r="N8" s="97">
        <v>19131.651848667239</v>
      </c>
      <c r="O8" s="97">
        <v>20006.68770421324</v>
      </c>
      <c r="P8" s="97">
        <v>20301.447377472057</v>
      </c>
      <c r="Q8" s="97">
        <v>21004.968013757523</v>
      </c>
      <c r="R8" s="97">
        <v>21498.973000859845</v>
      </c>
      <c r="S8" s="97">
        <v>21807.084092863282</v>
      </c>
      <c r="T8" s="97">
        <v>21831.733104041272</v>
      </c>
      <c r="U8" s="97">
        <v>21729.029320722268</v>
      </c>
      <c r="V8" s="97">
        <v>17981.369991401541</v>
      </c>
      <c r="W8" s="97">
        <v>20354.360361135001</v>
      </c>
      <c r="X8" s="97">
        <v>20811.701117798799</v>
      </c>
      <c r="Y8" s="97">
        <v>19758.208340498713</v>
      </c>
      <c r="DA8" s="175" t="s">
        <v>632</v>
      </c>
    </row>
    <row r="9" spans="1:105" ht="11.45" customHeight="1" x14ac:dyDescent="0.25">
      <c r="A9" s="92" t="s">
        <v>55</v>
      </c>
      <c r="B9" s="97">
        <v>6.7067067927772994</v>
      </c>
      <c r="C9" s="97">
        <v>9.7591573516766967</v>
      </c>
      <c r="D9" s="97">
        <v>13.11255374032674</v>
      </c>
      <c r="E9" s="97">
        <v>15.842476354256229</v>
      </c>
      <c r="F9" s="97">
        <v>19.49681857265692</v>
      </c>
      <c r="G9" s="97">
        <v>23.172656921754079</v>
      </c>
      <c r="H9" s="97">
        <v>27.42880481513328</v>
      </c>
      <c r="I9" s="97">
        <v>39.617024935511601</v>
      </c>
      <c r="J9" s="97">
        <v>40.907394668959583</v>
      </c>
      <c r="K9" s="97">
        <v>48.323043852106608</v>
      </c>
      <c r="L9" s="97">
        <v>61.371281169389512</v>
      </c>
      <c r="M9" s="97">
        <v>66.079105760963017</v>
      </c>
      <c r="N9" s="97">
        <v>70.723043852106613</v>
      </c>
      <c r="O9" s="97">
        <v>76.698624247635422</v>
      </c>
      <c r="P9" s="97">
        <v>82.567755803955279</v>
      </c>
      <c r="Q9" s="97">
        <v>87.532932072226998</v>
      </c>
      <c r="R9" s="97">
        <v>108.4273430782459</v>
      </c>
      <c r="S9" s="97">
        <v>127.11681714950012</v>
      </c>
      <c r="T9" s="97">
        <v>126.34088561737282</v>
      </c>
      <c r="U9" s="97">
        <v>158.45024158355778</v>
      </c>
      <c r="V9" s="97">
        <v>169.57454339710972</v>
      </c>
      <c r="W9" s="97">
        <v>219.56677449645812</v>
      </c>
      <c r="X9" s="97">
        <v>245.98637127793469</v>
      </c>
      <c r="Y9" s="97">
        <v>281.62594960396353</v>
      </c>
      <c r="DA9" s="175" t="s">
        <v>633</v>
      </c>
    </row>
    <row r="10" spans="1:105" ht="11.45" customHeight="1" x14ac:dyDescent="0.25">
      <c r="A10" s="92" t="s">
        <v>56</v>
      </c>
      <c r="B10" s="97">
        <f>SUM(B11:B13)</f>
        <v>70.698366294067057</v>
      </c>
      <c r="C10" s="97">
        <f t="shared" ref="C10:W10" si="8">SUM(C11:C13)</f>
        <v>70.698366294067057</v>
      </c>
      <c r="D10" s="97">
        <f t="shared" si="8"/>
        <v>140.35537403267412</v>
      </c>
      <c r="E10" s="97">
        <f t="shared" si="8"/>
        <v>192.87515047291487</v>
      </c>
      <c r="F10" s="97">
        <f t="shared" si="8"/>
        <v>177.45331040412722</v>
      </c>
      <c r="G10" s="97">
        <f t="shared" si="8"/>
        <v>261.30180567497848</v>
      </c>
      <c r="H10" s="97">
        <f t="shared" si="8"/>
        <v>172.66208082545143</v>
      </c>
      <c r="I10" s="97">
        <f t="shared" si="8"/>
        <v>389.38323301805673</v>
      </c>
      <c r="J10" s="97">
        <f t="shared" si="8"/>
        <v>626.98993981083402</v>
      </c>
      <c r="K10" s="97">
        <f t="shared" si="8"/>
        <v>1085.7423903697334</v>
      </c>
      <c r="L10" s="97">
        <f t="shared" si="8"/>
        <v>1453.0191745485811</v>
      </c>
      <c r="M10" s="97">
        <f t="shared" si="8"/>
        <v>1742.1748065348231</v>
      </c>
      <c r="N10" s="97">
        <f t="shared" si="8"/>
        <v>2152.0199484092868</v>
      </c>
      <c r="O10" s="97">
        <f t="shared" si="8"/>
        <v>908.64333619948411</v>
      </c>
      <c r="P10" s="97">
        <f t="shared" si="8"/>
        <v>977.76861564918329</v>
      </c>
      <c r="Q10" s="97">
        <f t="shared" si="8"/>
        <v>985.21994840928619</v>
      </c>
      <c r="R10" s="97">
        <f t="shared" si="8"/>
        <v>1120.7089423903697</v>
      </c>
      <c r="S10" s="97">
        <f t="shared" si="8"/>
        <v>1288.9551518960718</v>
      </c>
      <c r="T10" s="97">
        <f t="shared" si="8"/>
        <v>1681.0098452510711</v>
      </c>
      <c r="U10" s="97">
        <f t="shared" si="8"/>
        <v>1630.1265425952897</v>
      </c>
      <c r="V10" s="97">
        <f t="shared" si="8"/>
        <v>1401.6082596983326</v>
      </c>
      <c r="W10" s="97">
        <f t="shared" si="8"/>
        <v>1400.7661575757684</v>
      </c>
      <c r="X10" s="97">
        <f t="shared" ref="X10:Y10" si="9">SUM(X11:X13)</f>
        <v>1371.9915306997093</v>
      </c>
      <c r="Y10" s="97">
        <f t="shared" si="9"/>
        <v>1902.101479458805</v>
      </c>
      <c r="DA10" s="175"/>
    </row>
    <row r="11" spans="1:105" ht="11.45" customHeight="1" x14ac:dyDescent="0.25">
      <c r="A11" s="128" t="s">
        <v>57</v>
      </c>
      <c r="B11" s="97">
        <v>0</v>
      </c>
      <c r="C11" s="97">
        <v>0</v>
      </c>
      <c r="D11" s="97">
        <v>0</v>
      </c>
      <c r="E11" s="97">
        <v>0</v>
      </c>
      <c r="F11" s="97">
        <v>0</v>
      </c>
      <c r="G11" s="97">
        <v>0</v>
      </c>
      <c r="H11" s="97">
        <v>0</v>
      </c>
      <c r="I11" s="97">
        <v>0</v>
      </c>
      <c r="J11" s="97">
        <v>0</v>
      </c>
      <c r="K11" s="97">
        <v>0</v>
      </c>
      <c r="L11" s="97">
        <v>0</v>
      </c>
      <c r="M11" s="97">
        <v>0</v>
      </c>
      <c r="N11" s="97">
        <v>0</v>
      </c>
      <c r="O11" s="97">
        <v>0</v>
      </c>
      <c r="P11" s="97">
        <v>0</v>
      </c>
      <c r="Q11" s="97">
        <v>0</v>
      </c>
      <c r="R11" s="97">
        <v>0</v>
      </c>
      <c r="S11" s="97">
        <v>3.4171672511873481E-2</v>
      </c>
      <c r="T11" s="97">
        <v>3.4866747201579111E-2</v>
      </c>
      <c r="U11" s="97">
        <v>4.0730041549709668E-2</v>
      </c>
      <c r="V11" s="97">
        <v>5.0822037112096777E-2</v>
      </c>
      <c r="W11" s="97">
        <v>5.9192829423169453E-2</v>
      </c>
      <c r="X11" s="97">
        <v>0.10133293530692421</v>
      </c>
      <c r="Y11" s="97">
        <v>0.20981995751535615</v>
      </c>
      <c r="DA11" s="175" t="s">
        <v>634</v>
      </c>
    </row>
    <row r="12" spans="1:105" ht="11.45" customHeight="1" x14ac:dyDescent="0.25">
      <c r="A12" s="128" t="s">
        <v>58</v>
      </c>
      <c r="B12" s="97">
        <v>0</v>
      </c>
      <c r="C12" s="97">
        <v>0</v>
      </c>
      <c r="D12" s="97">
        <v>72.226999140154774</v>
      </c>
      <c r="E12" s="97">
        <v>99.312123817712802</v>
      </c>
      <c r="F12" s="97">
        <v>74.806534823731724</v>
      </c>
      <c r="G12" s="97">
        <v>114.1444539982803</v>
      </c>
      <c r="H12" s="97">
        <v>115.4342218400688</v>
      </c>
      <c r="I12" s="97">
        <v>114.1444539982803</v>
      </c>
      <c r="J12" s="97">
        <v>92.863284608770414</v>
      </c>
      <c r="K12" s="97">
        <v>152.83748925193461</v>
      </c>
      <c r="L12" s="97">
        <v>232.15821152192601</v>
      </c>
      <c r="M12" s="97">
        <v>226.99914015477211</v>
      </c>
      <c r="N12" s="97">
        <v>199.91401547721404</v>
      </c>
      <c r="O12" s="97">
        <v>168.3147033533964</v>
      </c>
      <c r="P12" s="97">
        <v>187.70894239036977</v>
      </c>
      <c r="Q12" s="97">
        <v>190.01891659501285</v>
      </c>
      <c r="R12" s="97">
        <v>134.22871883061049</v>
      </c>
      <c r="S12" s="97">
        <v>138.0051590713671</v>
      </c>
      <c r="T12" s="97">
        <v>153.91126397248493</v>
      </c>
      <c r="U12" s="97">
        <v>130.28985382631132</v>
      </c>
      <c r="V12" s="97">
        <v>86.166895958727423</v>
      </c>
      <c r="W12" s="97">
        <v>112.06276870163369</v>
      </c>
      <c r="X12" s="97">
        <v>101.20103181427342</v>
      </c>
      <c r="Y12" s="97">
        <v>153.55339638865007</v>
      </c>
      <c r="DA12" s="175" t="s">
        <v>635</v>
      </c>
    </row>
    <row r="13" spans="1:105" ht="11.45" customHeight="1" x14ac:dyDescent="0.25">
      <c r="A13" s="128" t="s">
        <v>177</v>
      </c>
      <c r="B13" s="97">
        <v>70.698366294067057</v>
      </c>
      <c r="C13" s="97">
        <v>70.698366294067057</v>
      </c>
      <c r="D13" s="97">
        <v>68.128374892519346</v>
      </c>
      <c r="E13" s="97">
        <v>93.563026655202052</v>
      </c>
      <c r="F13" s="97">
        <v>102.6467755803955</v>
      </c>
      <c r="G13" s="97">
        <v>147.1573516766982</v>
      </c>
      <c r="H13" s="97">
        <v>57.227858985382618</v>
      </c>
      <c r="I13" s="97">
        <v>275.23877901977642</v>
      </c>
      <c r="J13" s="97">
        <v>534.1266552020636</v>
      </c>
      <c r="K13" s="97">
        <v>932.90490111779866</v>
      </c>
      <c r="L13" s="97">
        <v>1220.8609630266551</v>
      </c>
      <c r="M13" s="97">
        <v>1515.1756663800511</v>
      </c>
      <c r="N13" s="97">
        <v>1952.1059329320726</v>
      </c>
      <c r="O13" s="97">
        <v>740.32863284608777</v>
      </c>
      <c r="P13" s="97">
        <v>790.05967325881352</v>
      </c>
      <c r="Q13" s="97">
        <v>795.20103181427339</v>
      </c>
      <c r="R13" s="97">
        <v>986.48022355975922</v>
      </c>
      <c r="S13" s="97">
        <v>1150.9158211521928</v>
      </c>
      <c r="T13" s="97">
        <v>1527.0637145313844</v>
      </c>
      <c r="U13" s="97">
        <v>1499.7959587274288</v>
      </c>
      <c r="V13" s="97">
        <v>1315.390541702493</v>
      </c>
      <c r="W13" s="97">
        <v>1288.6441960447114</v>
      </c>
      <c r="X13" s="97">
        <v>1270.6891659501289</v>
      </c>
      <c r="Y13" s="97">
        <v>1748.3382631126397</v>
      </c>
      <c r="DA13" s="175" t="s">
        <v>636</v>
      </c>
    </row>
    <row r="14" spans="1:105" ht="11.45" hidden="1" customHeight="1" x14ac:dyDescent="0.25">
      <c r="A14" s="92" t="s">
        <v>178</v>
      </c>
      <c r="B14" s="97">
        <v>0</v>
      </c>
      <c r="C14" s="97">
        <v>0</v>
      </c>
      <c r="D14" s="97">
        <v>0</v>
      </c>
      <c r="E14" s="97">
        <v>0</v>
      </c>
      <c r="F14" s="97">
        <v>0</v>
      </c>
      <c r="G14" s="97">
        <v>0</v>
      </c>
      <c r="H14" s="97">
        <v>0</v>
      </c>
      <c r="I14" s="97">
        <v>0</v>
      </c>
      <c r="J14" s="97">
        <v>0</v>
      </c>
      <c r="K14" s="97">
        <v>0</v>
      </c>
      <c r="L14" s="97">
        <v>0</v>
      </c>
      <c r="M14" s="97">
        <v>0</v>
      </c>
      <c r="N14" s="97">
        <v>0</v>
      </c>
      <c r="O14" s="97">
        <v>0</v>
      </c>
      <c r="P14" s="97">
        <v>0</v>
      </c>
      <c r="Q14" s="97">
        <v>0</v>
      </c>
      <c r="R14" s="97">
        <v>0</v>
      </c>
      <c r="S14" s="97">
        <v>0</v>
      </c>
      <c r="T14" s="97">
        <v>0</v>
      </c>
      <c r="U14" s="97">
        <v>0</v>
      </c>
      <c r="V14" s="97">
        <v>0</v>
      </c>
      <c r="W14" s="97">
        <v>0</v>
      </c>
      <c r="X14" s="97">
        <v>0</v>
      </c>
      <c r="Y14" s="97">
        <v>0</v>
      </c>
      <c r="DA14" s="175" t="s">
        <v>637</v>
      </c>
    </row>
    <row r="15" spans="1:105" ht="11.45" customHeight="1" x14ac:dyDescent="0.25">
      <c r="A15" s="85" t="s">
        <v>91</v>
      </c>
      <c r="B15" s="98">
        <v>0</v>
      </c>
      <c r="C15" s="98">
        <v>0</v>
      </c>
      <c r="D15" s="98">
        <v>0</v>
      </c>
      <c r="E15" s="98">
        <v>0</v>
      </c>
      <c r="F15" s="98">
        <v>0</v>
      </c>
      <c r="G15" s="98">
        <v>0</v>
      </c>
      <c r="H15" s="98">
        <v>0</v>
      </c>
      <c r="I15" s="98">
        <v>0</v>
      </c>
      <c r="J15" s="98">
        <v>0</v>
      </c>
      <c r="K15" s="98">
        <v>1.3825261815447181E-4</v>
      </c>
      <c r="L15" s="98">
        <v>1.0610879988494325E-2</v>
      </c>
      <c r="M15" s="98">
        <v>8.4514172332518817E-2</v>
      </c>
      <c r="N15" s="98">
        <v>0.18563890075611872</v>
      </c>
      <c r="O15" s="98">
        <v>1.195651237424467</v>
      </c>
      <c r="P15" s="98">
        <v>1.6838115512162948</v>
      </c>
      <c r="Q15" s="98">
        <v>2.7073268677137228</v>
      </c>
      <c r="R15" s="98">
        <v>3.2822498415155343</v>
      </c>
      <c r="S15" s="98">
        <v>4.5267404289892497</v>
      </c>
      <c r="T15" s="98">
        <v>6.6708349773474929</v>
      </c>
      <c r="U15" s="98">
        <v>10.568852651516286</v>
      </c>
      <c r="V15" s="98">
        <v>13.567096487146056</v>
      </c>
      <c r="W15" s="98">
        <v>28.43859888043789</v>
      </c>
      <c r="X15" s="98">
        <v>43.16544572393363</v>
      </c>
      <c r="Y15" s="98">
        <v>67.151048403366161</v>
      </c>
      <c r="DA15" s="178" t="s">
        <v>638</v>
      </c>
    </row>
    <row r="16" spans="1:105" x14ac:dyDescent="0.25">
      <c r="A16" s="106"/>
      <c r="B16" s="106"/>
      <c r="C16" s="106"/>
      <c r="D16" s="106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6"/>
      <c r="P16" s="106"/>
      <c r="Q16" s="106"/>
      <c r="R16" s="106"/>
      <c r="S16" s="106"/>
      <c r="T16" s="106"/>
      <c r="U16" s="106"/>
      <c r="V16" s="106"/>
      <c r="W16" s="96"/>
      <c r="X16" s="96"/>
      <c r="Y16" s="96"/>
      <c r="DA16" s="171"/>
    </row>
    <row r="17" spans="1:105" ht="11.45" customHeight="1" x14ac:dyDescent="0.25">
      <c r="A17" s="53" t="s">
        <v>61</v>
      </c>
      <c r="B17" s="79">
        <f t="shared" ref="B17:K17" si="10">B18+B42</f>
        <v>26401.607394668958</v>
      </c>
      <c r="C17" s="79">
        <f t="shared" si="10"/>
        <v>27709.408082545138</v>
      </c>
      <c r="D17" s="79">
        <f t="shared" si="10"/>
        <v>28440.030524505586</v>
      </c>
      <c r="E17" s="79">
        <f t="shared" si="10"/>
        <v>29799.218744625963</v>
      </c>
      <c r="F17" s="79">
        <f t="shared" si="10"/>
        <v>30876.684092863281</v>
      </c>
      <c r="G17" s="79">
        <f t="shared" si="10"/>
        <v>31860.725967325881</v>
      </c>
      <c r="H17" s="79">
        <f t="shared" si="10"/>
        <v>32786.4981083405</v>
      </c>
      <c r="I17" s="79">
        <f t="shared" si="10"/>
        <v>33952.13731728289</v>
      </c>
      <c r="J17" s="79">
        <f t="shared" si="10"/>
        <v>32382.830008598452</v>
      </c>
      <c r="K17" s="79">
        <f t="shared" si="10"/>
        <v>30624.30392157162</v>
      </c>
      <c r="L17" s="79">
        <f t="shared" ref="L17" si="11">L18+L42</f>
        <v>29811.811986632354</v>
      </c>
      <c r="M17" s="79">
        <f t="shared" ref="M17:V17" si="12">M18+M42</f>
        <v>28559.04547719899</v>
      </c>
      <c r="N17" s="79">
        <f t="shared" si="12"/>
        <v>26097.732758419246</v>
      </c>
      <c r="O17" s="79">
        <f t="shared" si="12"/>
        <v>25631.985247110166</v>
      </c>
      <c r="P17" s="79">
        <f t="shared" si="12"/>
        <v>25937.970741903751</v>
      </c>
      <c r="Q17" s="79">
        <f t="shared" si="12"/>
        <v>26690.421514313981</v>
      </c>
      <c r="R17" s="79">
        <f t="shared" si="12"/>
        <v>27552.230917081411</v>
      </c>
      <c r="S17" s="79">
        <f t="shared" si="12"/>
        <v>28156.733619190807</v>
      </c>
      <c r="T17" s="79">
        <f t="shared" si="12"/>
        <v>28791.443491899099</v>
      </c>
      <c r="U17" s="79">
        <f t="shared" si="12"/>
        <v>29033.216917999747</v>
      </c>
      <c r="V17" s="79">
        <f t="shared" si="12"/>
        <v>23921.704155816464</v>
      </c>
      <c r="W17" s="79">
        <f t="shared" ref="W17:Y17" si="13">W18+W42</f>
        <v>27373.713577384311</v>
      </c>
      <c r="X17" s="79">
        <f t="shared" si="13"/>
        <v>28417.034749249295</v>
      </c>
      <c r="Y17" s="79">
        <f t="shared" si="13"/>
        <v>28226.923189417983</v>
      </c>
      <c r="DA17" s="172" t="s">
        <v>639</v>
      </c>
    </row>
    <row r="18" spans="1:105" ht="11.45" customHeight="1" x14ac:dyDescent="0.25">
      <c r="A18" s="27" t="s">
        <v>33</v>
      </c>
      <c r="B18" s="32">
        <f t="shared" ref="B18:K18" si="14">B19+B21+B33</f>
        <v>17223.910754375906</v>
      </c>
      <c r="C18" s="32">
        <f t="shared" si="14"/>
        <v>17658.419132729166</v>
      </c>
      <c r="D18" s="32">
        <f t="shared" si="14"/>
        <v>18358.28666697102</v>
      </c>
      <c r="E18" s="32">
        <f t="shared" si="14"/>
        <v>19145.867566976845</v>
      </c>
      <c r="F18" s="32">
        <f t="shared" si="14"/>
        <v>19636.179973243579</v>
      </c>
      <c r="G18" s="32">
        <f t="shared" si="14"/>
        <v>20549.471677460962</v>
      </c>
      <c r="H18" s="32">
        <f t="shared" si="14"/>
        <v>21242.740785652539</v>
      </c>
      <c r="I18" s="32">
        <f t="shared" si="14"/>
        <v>21828.169161685761</v>
      </c>
      <c r="J18" s="32">
        <f t="shared" si="14"/>
        <v>21263.399026857918</v>
      </c>
      <c r="K18" s="32">
        <f t="shared" si="14"/>
        <v>21037.527884951047</v>
      </c>
      <c r="L18" s="32">
        <f t="shared" ref="L18" si="15">L19+L21+L33</f>
        <v>20524.563965049889</v>
      </c>
      <c r="M18" s="32">
        <f t="shared" ref="M18:V18" si="16">M19+M21+M33</f>
        <v>19824.471948630151</v>
      </c>
      <c r="N18" s="32">
        <f t="shared" si="16"/>
        <v>18509.948677177836</v>
      </c>
      <c r="O18" s="32">
        <f t="shared" si="16"/>
        <v>18241.383291367922</v>
      </c>
      <c r="P18" s="32">
        <f t="shared" si="16"/>
        <v>18458.588214406533</v>
      </c>
      <c r="Q18" s="32">
        <f t="shared" si="16"/>
        <v>18832.719067709848</v>
      </c>
      <c r="R18" s="32">
        <f t="shared" si="16"/>
        <v>18932.08776827058</v>
      </c>
      <c r="S18" s="32">
        <f t="shared" si="16"/>
        <v>19157.628604857375</v>
      </c>
      <c r="T18" s="32">
        <f t="shared" si="16"/>
        <v>19473.69574236999</v>
      </c>
      <c r="U18" s="32">
        <f t="shared" si="16"/>
        <v>20052.743100213313</v>
      </c>
      <c r="V18" s="32">
        <f t="shared" si="16"/>
        <v>16214.037117396221</v>
      </c>
      <c r="W18" s="32">
        <f t="shared" ref="W18:Y18" si="17">W19+W21+W33</f>
        <v>18772.820114040918</v>
      </c>
      <c r="X18" s="32">
        <f t="shared" si="17"/>
        <v>19560.95983969422</v>
      </c>
      <c r="Y18" s="32">
        <f t="shared" si="17"/>
        <v>19787.87890958244</v>
      </c>
      <c r="DA18" s="173" t="s">
        <v>391</v>
      </c>
    </row>
    <row r="19" spans="1:105" ht="11.45" customHeight="1" x14ac:dyDescent="0.25">
      <c r="A19" s="107" t="s">
        <v>174</v>
      </c>
      <c r="B19" s="129">
        <v>376.50521239735724</v>
      </c>
      <c r="C19" s="129">
        <v>397.94173419415108</v>
      </c>
      <c r="D19" s="129">
        <v>363.9059791781898</v>
      </c>
      <c r="E19" s="129">
        <v>409.2505584830559</v>
      </c>
      <c r="F19" s="129">
        <v>395.0361973530371</v>
      </c>
      <c r="G19" s="129">
        <v>450.99094763830504</v>
      </c>
      <c r="H19" s="129">
        <v>458.02725194351808</v>
      </c>
      <c r="I19" s="129">
        <v>517.37196063861188</v>
      </c>
      <c r="J19" s="129">
        <v>517.3861059307319</v>
      </c>
      <c r="K19" s="129">
        <v>533.805869159743</v>
      </c>
      <c r="L19" s="129">
        <v>540.16087522011571</v>
      </c>
      <c r="M19" s="129">
        <v>495.08161881735691</v>
      </c>
      <c r="N19" s="129">
        <v>467.82219407636342</v>
      </c>
      <c r="O19" s="129">
        <v>461.77085934985564</v>
      </c>
      <c r="P19" s="129">
        <v>512.92429466211797</v>
      </c>
      <c r="Q19" s="129">
        <v>550.47825860831233</v>
      </c>
      <c r="R19" s="129">
        <v>567.78372103302218</v>
      </c>
      <c r="S19" s="129">
        <v>527.1724198079396</v>
      </c>
      <c r="T19" s="129">
        <v>499.5082661700585</v>
      </c>
      <c r="U19" s="129">
        <v>538.90736846784148</v>
      </c>
      <c r="V19" s="129">
        <v>446.49874198158898</v>
      </c>
      <c r="W19" s="129">
        <v>493.68881036835432</v>
      </c>
      <c r="X19" s="129">
        <v>477.49145113154196</v>
      </c>
      <c r="Y19" s="129">
        <v>513.14360299904263</v>
      </c>
      <c r="DA19" s="203" t="s">
        <v>392</v>
      </c>
    </row>
    <row r="20" spans="1:105" ht="11.45" customHeight="1" x14ac:dyDescent="0.25">
      <c r="A20" s="159" t="s">
        <v>131</v>
      </c>
      <c r="B20" s="97">
        <v>0</v>
      </c>
      <c r="C20" s="97">
        <v>0</v>
      </c>
      <c r="D20" s="97">
        <v>3.0433838199996162</v>
      </c>
      <c r="E20" s="97">
        <v>4.8136528362259829</v>
      </c>
      <c r="F20" s="97">
        <v>3.6725933536216551</v>
      </c>
      <c r="G20" s="97">
        <v>6.6032645725523738</v>
      </c>
      <c r="H20" s="97">
        <v>7.1008582885882428</v>
      </c>
      <c r="I20" s="97">
        <v>8.2358137828632074</v>
      </c>
      <c r="J20" s="97">
        <v>7.2877908826711586</v>
      </c>
      <c r="K20" s="97">
        <v>13.048028260656109</v>
      </c>
      <c r="L20" s="97">
        <v>21.430291978119993</v>
      </c>
      <c r="M20" s="97">
        <v>20.601819364658482</v>
      </c>
      <c r="N20" s="97">
        <v>19.033385414223062</v>
      </c>
      <c r="O20" s="97">
        <v>16.28708469009737</v>
      </c>
      <c r="P20" s="97">
        <v>20.386868553440276</v>
      </c>
      <c r="Q20" s="97">
        <v>22.014679432638619</v>
      </c>
      <c r="R20" s="97">
        <v>15.547397795236634</v>
      </c>
      <c r="S20" s="97">
        <v>14.523085443129268</v>
      </c>
      <c r="T20" s="97">
        <v>14.70104659683359</v>
      </c>
      <c r="U20" s="97">
        <v>12.678215014410416</v>
      </c>
      <c r="V20" s="97">
        <v>8.8096525056503641</v>
      </c>
      <c r="W20" s="97">
        <v>10.266748575787092</v>
      </c>
      <c r="X20" s="97">
        <v>8.1571542434941406</v>
      </c>
      <c r="Y20" s="97">
        <v>12.620026641981223</v>
      </c>
      <c r="DA20" s="175" t="s">
        <v>640</v>
      </c>
    </row>
    <row r="21" spans="1:105" ht="11.45" customHeight="1" x14ac:dyDescent="0.25">
      <c r="A21" s="109" t="s">
        <v>20</v>
      </c>
      <c r="B21" s="130">
        <f t="shared" ref="B21:K21" si="18">B22+B24+B26+B27+B29+B32</f>
        <v>15664.212404541175</v>
      </c>
      <c r="C21" s="130">
        <f t="shared" si="18"/>
        <v>16083.790785118115</v>
      </c>
      <c r="D21" s="130">
        <f t="shared" si="18"/>
        <v>16836.898558778837</v>
      </c>
      <c r="E21" s="130">
        <f t="shared" si="18"/>
        <v>17587.990140511971</v>
      </c>
      <c r="F21" s="130">
        <f t="shared" si="18"/>
        <v>18062.385555826088</v>
      </c>
      <c r="G21" s="130">
        <f t="shared" si="18"/>
        <v>18932.117883284784</v>
      </c>
      <c r="H21" s="130">
        <f t="shared" si="18"/>
        <v>19571.49067704453</v>
      </c>
      <c r="I21" s="130">
        <f t="shared" si="18"/>
        <v>20059.496207942095</v>
      </c>
      <c r="J21" s="130">
        <f t="shared" si="18"/>
        <v>19502.856224974614</v>
      </c>
      <c r="K21" s="130">
        <f t="shared" si="18"/>
        <v>19274.369855141889</v>
      </c>
      <c r="L21" s="130">
        <f t="shared" ref="L21" si="19">L22+L24+L26+L27+L29+L32</f>
        <v>18770.523795029163</v>
      </c>
      <c r="M21" s="130">
        <f t="shared" ref="M21:V21" si="20">M22+M24+M26+M27+M29+M32</f>
        <v>18120.401559414404</v>
      </c>
      <c r="N21" s="130">
        <f t="shared" si="20"/>
        <v>16855.47734145249</v>
      </c>
      <c r="O21" s="130">
        <f t="shared" si="20"/>
        <v>16659.356939225028</v>
      </c>
      <c r="P21" s="130">
        <f t="shared" si="20"/>
        <v>16837.904972879667</v>
      </c>
      <c r="Q21" s="130">
        <f t="shared" si="20"/>
        <v>17170.804430980334</v>
      </c>
      <c r="R21" s="130">
        <f t="shared" si="20"/>
        <v>17233.184968387708</v>
      </c>
      <c r="S21" s="130">
        <f t="shared" si="20"/>
        <v>17895.287581051212</v>
      </c>
      <c r="T21" s="130">
        <f t="shared" si="20"/>
        <v>18235.938035148847</v>
      </c>
      <c r="U21" s="130">
        <f t="shared" si="20"/>
        <v>18753.405624033643</v>
      </c>
      <c r="V21" s="130">
        <f t="shared" si="20"/>
        <v>15218.326281631558</v>
      </c>
      <c r="W21" s="130">
        <f t="shared" ref="W21:Y21" si="21">W22+W24+W26+W27+W29+W32</f>
        <v>17583.369849052702</v>
      </c>
      <c r="X21" s="130">
        <f t="shared" si="21"/>
        <v>18294.29420362278</v>
      </c>
      <c r="Y21" s="130">
        <f t="shared" si="21"/>
        <v>18386.339585230355</v>
      </c>
      <c r="DA21" s="176" t="s">
        <v>393</v>
      </c>
    </row>
    <row r="22" spans="1:105" ht="11.45" customHeight="1" x14ac:dyDescent="0.25">
      <c r="A22" s="111" t="s">
        <v>110</v>
      </c>
      <c r="B22" s="96">
        <v>8411.1450461389559</v>
      </c>
      <c r="C22" s="96">
        <v>8322.7710858145438</v>
      </c>
      <c r="D22" s="96">
        <v>8088.7514491612255</v>
      </c>
      <c r="E22" s="96">
        <v>7870.1105982187264</v>
      </c>
      <c r="F22" s="96">
        <v>7512.0549984358622</v>
      </c>
      <c r="G22" s="96">
        <v>7239.7115193730651</v>
      </c>
      <c r="H22" s="96">
        <v>6895.9391240274799</v>
      </c>
      <c r="I22" s="96">
        <v>6569.847438660182</v>
      </c>
      <c r="J22" s="96">
        <v>6007.7084348787221</v>
      </c>
      <c r="K22" s="96">
        <v>5659.7422947160985</v>
      </c>
      <c r="L22" s="96">
        <v>5255.7030255110085</v>
      </c>
      <c r="M22" s="96">
        <v>4904.1830486375684</v>
      </c>
      <c r="N22" s="96">
        <v>4392.0937428098841</v>
      </c>
      <c r="O22" s="96">
        <v>4258.0240544336557</v>
      </c>
      <c r="P22" s="96">
        <v>4174.1971296568654</v>
      </c>
      <c r="Q22" s="96">
        <v>4164.5726686977605</v>
      </c>
      <c r="R22" s="96">
        <v>4300.9600514379636</v>
      </c>
      <c r="S22" s="96">
        <v>4445.1567372770005</v>
      </c>
      <c r="T22" s="96">
        <v>4690.7592036518245</v>
      </c>
      <c r="U22" s="96">
        <v>4956.4612216387832</v>
      </c>
      <c r="V22" s="96">
        <v>3889.6825517005482</v>
      </c>
      <c r="W22" s="96">
        <v>4843.6996427233653</v>
      </c>
      <c r="X22" s="96">
        <v>5387.5893831878302</v>
      </c>
      <c r="Y22" s="96">
        <v>5671.9642331499008</v>
      </c>
      <c r="DA22" s="171" t="s">
        <v>641</v>
      </c>
    </row>
    <row r="23" spans="1:105" ht="11.45" customHeight="1" x14ac:dyDescent="0.25">
      <c r="A23" s="160" t="s">
        <v>131</v>
      </c>
      <c r="B23" s="96">
        <v>0</v>
      </c>
      <c r="C23" s="96">
        <v>0</v>
      </c>
      <c r="D23" s="96">
        <v>67.647075598946699</v>
      </c>
      <c r="E23" s="96">
        <v>92.569159448309563</v>
      </c>
      <c r="F23" s="96">
        <v>69.83846909259384</v>
      </c>
      <c r="G23" s="96">
        <v>106.00153027842079</v>
      </c>
      <c r="H23" s="96">
        <v>106.90867471023073</v>
      </c>
      <c r="I23" s="96">
        <v>104.58247489840474</v>
      </c>
      <c r="J23" s="96">
        <v>84.623305990589287</v>
      </c>
      <c r="K23" s="96">
        <v>138.34332231252961</v>
      </c>
      <c r="L23" s="96">
        <v>208.51426964437638</v>
      </c>
      <c r="M23" s="96">
        <v>204.07764994507841</v>
      </c>
      <c r="N23" s="96">
        <v>178.69270428126043</v>
      </c>
      <c r="O23" s="96">
        <v>150.18444101187822</v>
      </c>
      <c r="P23" s="96">
        <v>165.90910020068344</v>
      </c>
      <c r="Q23" s="96">
        <v>166.54923394630342</v>
      </c>
      <c r="R23" s="96">
        <v>117.77149351775509</v>
      </c>
      <c r="S23" s="96">
        <v>122.45972793321637</v>
      </c>
      <c r="T23" s="96">
        <v>138.05391081142642</v>
      </c>
      <c r="U23" s="96">
        <v>116.6046054578555</v>
      </c>
      <c r="V23" s="96">
        <v>76.745460660639907</v>
      </c>
      <c r="W23" s="96">
        <v>100.72953926455496</v>
      </c>
      <c r="X23" s="96">
        <v>92.038082556514155</v>
      </c>
      <c r="Y23" s="96">
        <v>139.49377779703104</v>
      </c>
      <c r="DA23" s="171" t="s">
        <v>642</v>
      </c>
    </row>
    <row r="24" spans="1:105" ht="11.45" customHeight="1" x14ac:dyDescent="0.25">
      <c r="A24" s="111" t="s">
        <v>111</v>
      </c>
      <c r="B24" s="96">
        <v>7168.3367479121071</v>
      </c>
      <c r="C24" s="96">
        <v>7679.6783407481107</v>
      </c>
      <c r="D24" s="96">
        <v>8666.8057510621529</v>
      </c>
      <c r="E24" s="96">
        <v>9637.667934382669</v>
      </c>
      <c r="F24" s="96">
        <v>10466.375508740592</v>
      </c>
      <c r="G24" s="96">
        <v>11638.333667182487</v>
      </c>
      <c r="H24" s="96">
        <v>12624.023883908234</v>
      </c>
      <c r="I24" s="96">
        <v>13439.414357189018</v>
      </c>
      <c r="J24" s="96">
        <v>13475.385263722972</v>
      </c>
      <c r="K24" s="96">
        <v>13591.352430195229</v>
      </c>
      <c r="L24" s="96">
        <v>13488.244867670906</v>
      </c>
      <c r="M24" s="96">
        <v>13187.435678371425</v>
      </c>
      <c r="N24" s="96">
        <v>12426.248002589386</v>
      </c>
      <c r="O24" s="96">
        <v>12357.210050774971</v>
      </c>
      <c r="P24" s="96">
        <v>12615.13174177634</v>
      </c>
      <c r="Q24" s="96">
        <v>12948.936951631887</v>
      </c>
      <c r="R24" s="96">
        <v>12870.504879295095</v>
      </c>
      <c r="S24" s="96">
        <v>13382.120144070674</v>
      </c>
      <c r="T24" s="96">
        <v>13459.949716156063</v>
      </c>
      <c r="U24" s="96">
        <v>13683.750045422727</v>
      </c>
      <c r="V24" s="96">
        <v>11234.275252955973</v>
      </c>
      <c r="W24" s="96">
        <v>12609.425488675173</v>
      </c>
      <c r="X24" s="96">
        <v>12730.383908195972</v>
      </c>
      <c r="Y24" s="96">
        <v>12509.335270633075</v>
      </c>
      <c r="DA24" s="171" t="s">
        <v>643</v>
      </c>
    </row>
    <row r="25" spans="1:105" ht="11.45" customHeight="1" x14ac:dyDescent="0.25">
      <c r="A25" s="160" t="s">
        <v>131</v>
      </c>
      <c r="B25" s="96">
        <v>29.309392702717425</v>
      </c>
      <c r="C25" s="96">
        <v>29.120426516108118</v>
      </c>
      <c r="D25" s="96">
        <v>29.958378166358255</v>
      </c>
      <c r="E25" s="96">
        <v>42.414811193119206</v>
      </c>
      <c r="F25" s="96">
        <v>47.268852363873052</v>
      </c>
      <c r="G25" s="96">
        <v>71.388295571572385</v>
      </c>
      <c r="H25" s="96">
        <v>28.592594947088084</v>
      </c>
      <c r="I25" s="96">
        <v>138.55772033439777</v>
      </c>
      <c r="J25" s="96">
        <v>279.68488412920499</v>
      </c>
      <c r="K25" s="96">
        <v>521.67612012546635</v>
      </c>
      <c r="L25" s="96">
        <v>689.66207147662089</v>
      </c>
      <c r="M25" s="96">
        <v>868.21728366877926</v>
      </c>
      <c r="N25" s="96">
        <v>1150.5231990053726</v>
      </c>
      <c r="O25" s="96">
        <v>440.94997921898096</v>
      </c>
      <c r="P25" s="96">
        <v>472.54597967096583</v>
      </c>
      <c r="Q25" s="96">
        <v>472.33615497707569</v>
      </c>
      <c r="R25" s="96">
        <v>564.65388551142803</v>
      </c>
      <c r="S25" s="96">
        <v>670.86391898485556</v>
      </c>
      <c r="T25" s="96">
        <v>879.93405527703476</v>
      </c>
      <c r="U25" s="96">
        <v>883.5071412981705</v>
      </c>
      <c r="V25" s="96">
        <v>765.80001007265435</v>
      </c>
      <c r="W25" s="96">
        <v>750.77667375203464</v>
      </c>
      <c r="X25" s="96">
        <v>732.54573905593622</v>
      </c>
      <c r="Y25" s="96">
        <v>1016.9252136500536</v>
      </c>
      <c r="DA25" s="171" t="s">
        <v>644</v>
      </c>
    </row>
    <row r="26" spans="1:105" ht="11.45" customHeight="1" x14ac:dyDescent="0.25">
      <c r="A26" s="111" t="s">
        <v>112</v>
      </c>
      <c r="B26" s="96">
        <v>84.730610490111772</v>
      </c>
      <c r="C26" s="96">
        <v>81.341358555460005</v>
      </c>
      <c r="D26" s="96">
        <v>81.341358555460005</v>
      </c>
      <c r="E26" s="96">
        <v>80.211607910576092</v>
      </c>
      <c r="F26" s="96">
        <v>82.471109200343932</v>
      </c>
      <c r="G26" s="96">
        <v>50.838349097162506</v>
      </c>
      <c r="H26" s="96">
        <v>46.319346517626819</v>
      </c>
      <c r="I26" s="96">
        <v>45.18968185726569</v>
      </c>
      <c r="J26" s="96">
        <v>14.68667239896819</v>
      </c>
      <c r="K26" s="96">
        <v>18.075838349097161</v>
      </c>
      <c r="L26" s="96">
        <v>21.465090283748921</v>
      </c>
      <c r="M26" s="96">
        <v>23.724591573516761</v>
      </c>
      <c r="N26" s="96">
        <v>29.373258813413582</v>
      </c>
      <c r="O26" s="96">
        <v>35.019297567345468</v>
      </c>
      <c r="P26" s="96">
        <v>39.296261515459662</v>
      </c>
      <c r="Q26" s="96">
        <v>47.123641023207171</v>
      </c>
      <c r="R26" s="96">
        <v>51.320944965546808</v>
      </c>
      <c r="S26" s="96">
        <v>55.46964998693911</v>
      </c>
      <c r="T26" s="96">
        <v>66.646986655422808</v>
      </c>
      <c r="U26" s="96">
        <v>90.332526017682525</v>
      </c>
      <c r="V26" s="96">
        <v>68.906964644610298</v>
      </c>
      <c r="W26" s="96">
        <v>82.430066646584862</v>
      </c>
      <c r="X26" s="96">
        <v>107.59681558518959</v>
      </c>
      <c r="Y26" s="96">
        <v>112.27471868665623</v>
      </c>
      <c r="DA26" s="171" t="s">
        <v>645</v>
      </c>
    </row>
    <row r="27" spans="1:105" ht="11.45" customHeight="1" x14ac:dyDescent="0.25">
      <c r="A27" s="111" t="s">
        <v>113</v>
      </c>
      <c r="B27" s="96">
        <v>0</v>
      </c>
      <c r="C27" s="96">
        <v>0</v>
      </c>
      <c r="D27" s="96">
        <v>0</v>
      </c>
      <c r="E27" s="96">
        <v>0</v>
      </c>
      <c r="F27" s="96">
        <v>1.4839394492867093</v>
      </c>
      <c r="G27" s="96">
        <v>3.2343476320726214</v>
      </c>
      <c r="H27" s="96">
        <v>5.2083225911867217</v>
      </c>
      <c r="I27" s="96">
        <v>5.0447302356305768</v>
      </c>
      <c r="J27" s="96">
        <v>5.0758539739493678</v>
      </c>
      <c r="K27" s="96">
        <v>5.1991536288481397</v>
      </c>
      <c r="L27" s="96">
        <v>5.1002006835110851</v>
      </c>
      <c r="M27" s="96">
        <v>4.974951335683782</v>
      </c>
      <c r="N27" s="96">
        <v>7.5879706976392933</v>
      </c>
      <c r="O27" s="96">
        <v>8.7490794960422917</v>
      </c>
      <c r="P27" s="96">
        <v>8.6895808209535517</v>
      </c>
      <c r="Q27" s="96">
        <v>9.120064386783751</v>
      </c>
      <c r="R27" s="96">
        <v>8.593621292024217</v>
      </c>
      <c r="S27" s="96">
        <v>9.1658265760349931</v>
      </c>
      <c r="T27" s="96">
        <v>12.522231197607303</v>
      </c>
      <c r="U27" s="96">
        <v>12.450412492618554</v>
      </c>
      <c r="V27" s="96">
        <v>8.8813653233317655</v>
      </c>
      <c r="W27" s="96">
        <v>12.014869471889732</v>
      </c>
      <c r="X27" s="96">
        <v>13.777735567746534</v>
      </c>
      <c r="Y27" s="96">
        <v>14.163161541921433</v>
      </c>
      <c r="DA27" s="171" t="s">
        <v>646</v>
      </c>
    </row>
    <row r="28" spans="1:105" ht="11.45" customHeight="1" x14ac:dyDescent="0.25">
      <c r="A28" s="160" t="s">
        <v>132</v>
      </c>
      <c r="B28" s="96">
        <v>0</v>
      </c>
      <c r="C28" s="96">
        <v>0</v>
      </c>
      <c r="D28" s="96">
        <v>0</v>
      </c>
      <c r="E28" s="96">
        <v>0</v>
      </c>
      <c r="F28" s="96">
        <v>0</v>
      </c>
      <c r="G28" s="96">
        <v>0</v>
      </c>
      <c r="H28" s="96">
        <v>0</v>
      </c>
      <c r="I28" s="96">
        <v>0</v>
      </c>
      <c r="J28" s="96">
        <v>0</v>
      </c>
      <c r="K28" s="96">
        <v>0</v>
      </c>
      <c r="L28" s="96">
        <v>0</v>
      </c>
      <c r="M28" s="96">
        <v>0</v>
      </c>
      <c r="N28" s="96">
        <v>0</v>
      </c>
      <c r="O28" s="96">
        <v>0</v>
      </c>
      <c r="P28" s="96">
        <v>0</v>
      </c>
      <c r="Q28" s="96">
        <v>0</v>
      </c>
      <c r="R28" s="96">
        <v>0</v>
      </c>
      <c r="S28" s="96">
        <v>2.463304666040255E-3</v>
      </c>
      <c r="T28" s="96">
        <v>3.4548515945301787E-3</v>
      </c>
      <c r="U28" s="96">
        <v>3.1995880455252639E-3</v>
      </c>
      <c r="V28" s="96">
        <v>2.6609763045344235E-3</v>
      </c>
      <c r="W28" s="96">
        <v>3.2382059728663331E-3</v>
      </c>
      <c r="X28" s="96">
        <v>5.6733366318561622E-3</v>
      </c>
      <c r="Y28" s="96">
        <v>1.0544133406603802E-2</v>
      </c>
      <c r="DA28" s="171" t="s">
        <v>647</v>
      </c>
    </row>
    <row r="29" spans="1:105" ht="11.45" customHeight="1" x14ac:dyDescent="0.25">
      <c r="A29" s="111" t="s">
        <v>185</v>
      </c>
      <c r="B29" s="96">
        <v>0</v>
      </c>
      <c r="C29" s="96">
        <v>0</v>
      </c>
      <c r="D29" s="96">
        <v>0</v>
      </c>
      <c r="E29" s="96">
        <v>0</v>
      </c>
      <c r="F29" s="96">
        <v>0</v>
      </c>
      <c r="G29" s="96">
        <v>0</v>
      </c>
      <c r="H29" s="96">
        <v>0</v>
      </c>
      <c r="I29" s="96">
        <v>0</v>
      </c>
      <c r="J29" s="96">
        <v>0</v>
      </c>
      <c r="K29" s="96">
        <v>0</v>
      </c>
      <c r="L29" s="96">
        <v>0</v>
      </c>
      <c r="M29" s="96">
        <v>2.396640673272736E-3</v>
      </c>
      <c r="N29" s="96">
        <v>2.516221659071028E-2</v>
      </c>
      <c r="O29" s="96">
        <v>5.286542539108989E-2</v>
      </c>
      <c r="P29" s="96">
        <v>0.16217708258970448</v>
      </c>
      <c r="Q29" s="96">
        <v>0.35553335641041117</v>
      </c>
      <c r="R29" s="96">
        <v>0.83809650171297756</v>
      </c>
      <c r="S29" s="96">
        <v>1.8697577954322733</v>
      </c>
      <c r="T29" s="96">
        <v>3.521438501050723</v>
      </c>
      <c r="U29" s="96">
        <v>6.1393787298279481</v>
      </c>
      <c r="V29" s="96">
        <v>10.783459101803492</v>
      </c>
      <c r="W29" s="96">
        <v>24.230900613016033</v>
      </c>
      <c r="X29" s="96">
        <v>37.825191566826732</v>
      </c>
      <c r="Y29" s="96">
        <v>53.009270493147952</v>
      </c>
      <c r="DA29" s="171" t="s">
        <v>648</v>
      </c>
    </row>
    <row r="30" spans="1:105" ht="11.45" customHeight="1" x14ac:dyDescent="0.25">
      <c r="A30" s="160" t="s">
        <v>131</v>
      </c>
      <c r="B30" s="96">
        <v>0</v>
      </c>
      <c r="C30" s="96">
        <v>0</v>
      </c>
      <c r="D30" s="96">
        <v>0</v>
      </c>
      <c r="E30" s="96">
        <v>0</v>
      </c>
      <c r="F30" s="96">
        <v>0</v>
      </c>
      <c r="G30" s="96">
        <v>0</v>
      </c>
      <c r="H30" s="96">
        <v>0</v>
      </c>
      <c r="I30" s="96">
        <v>0</v>
      </c>
      <c r="J30" s="96">
        <v>0</v>
      </c>
      <c r="K30" s="96">
        <v>0</v>
      </c>
      <c r="L30" s="96">
        <v>0</v>
      </c>
      <c r="M30" s="96">
        <v>7.2805201211590485E-5</v>
      </c>
      <c r="N30" s="96">
        <v>6.5299323654617342E-4</v>
      </c>
      <c r="O30" s="96">
        <v>1.272720084673065E-3</v>
      </c>
      <c r="P30" s="96">
        <v>4.1587635578871993E-3</v>
      </c>
      <c r="Q30" s="96">
        <v>8.5769531624442386E-3</v>
      </c>
      <c r="R30" s="96">
        <v>1.4683222130798715E-2</v>
      </c>
      <c r="S30" s="96">
        <v>3.2308456379436502E-2</v>
      </c>
      <c r="T30" s="96">
        <v>6.6240177385810062E-2</v>
      </c>
      <c r="U30" s="96">
        <v>9.1362547604649819E-2</v>
      </c>
      <c r="V30" s="96">
        <v>0.13501388239273152</v>
      </c>
      <c r="W30" s="96">
        <v>0.29408903225481503</v>
      </c>
      <c r="X30" s="96">
        <v>0.3551947154904857</v>
      </c>
      <c r="Y30" s="96">
        <v>0.68003279470078926</v>
      </c>
      <c r="DA30" s="171" t="s">
        <v>649</v>
      </c>
    </row>
    <row r="31" spans="1:105" ht="11.45" customHeight="1" x14ac:dyDescent="0.25">
      <c r="A31" s="160" t="s">
        <v>133</v>
      </c>
      <c r="B31" s="96">
        <v>0</v>
      </c>
      <c r="C31" s="96">
        <v>0</v>
      </c>
      <c r="D31" s="96">
        <v>0</v>
      </c>
      <c r="E31" s="96">
        <v>0</v>
      </c>
      <c r="F31" s="96">
        <v>0</v>
      </c>
      <c r="G31" s="96">
        <v>0</v>
      </c>
      <c r="H31" s="96">
        <v>0</v>
      </c>
      <c r="I31" s="96">
        <v>0</v>
      </c>
      <c r="J31" s="96">
        <v>0</v>
      </c>
      <c r="K31" s="96">
        <v>0</v>
      </c>
      <c r="L31" s="96">
        <v>0</v>
      </c>
      <c r="M31" s="96">
        <v>6.4706136495250018E-4</v>
      </c>
      <c r="N31" s="96">
        <v>9.1122747653439289E-3</v>
      </c>
      <c r="O31" s="96">
        <v>1.6781309762426772E-2</v>
      </c>
      <c r="P31" s="96">
        <v>5.7544492302274222E-2</v>
      </c>
      <c r="Q31" s="96">
        <v>0.14106617529727405</v>
      </c>
      <c r="R31" s="96">
        <v>0.30187207316368364</v>
      </c>
      <c r="S31" s="96">
        <v>0.69699549251099324</v>
      </c>
      <c r="T31" s="96">
        <v>1.2707473044178443</v>
      </c>
      <c r="U31" s="96">
        <v>2.2558706768270516</v>
      </c>
      <c r="V31" s="96">
        <v>3.9405639252071412</v>
      </c>
      <c r="W31" s="96">
        <v>10.089279884261657</v>
      </c>
      <c r="X31" s="96">
        <v>17.033327753649957</v>
      </c>
      <c r="Y31" s="96">
        <v>25.358419323828333</v>
      </c>
      <c r="DA31" s="171" t="s">
        <v>650</v>
      </c>
    </row>
    <row r="32" spans="1:105" ht="11.45" customHeight="1" x14ac:dyDescent="0.25">
      <c r="A32" s="111" t="s">
        <v>115</v>
      </c>
      <c r="B32" s="96">
        <v>0</v>
      </c>
      <c r="C32" s="96">
        <v>0</v>
      </c>
      <c r="D32" s="96">
        <v>0</v>
      </c>
      <c r="E32" s="96">
        <v>0</v>
      </c>
      <c r="F32" s="96">
        <v>0</v>
      </c>
      <c r="G32" s="96">
        <v>0</v>
      </c>
      <c r="H32" s="96">
        <v>0</v>
      </c>
      <c r="I32" s="96">
        <v>0</v>
      </c>
      <c r="J32" s="96">
        <v>0</v>
      </c>
      <c r="K32" s="96">
        <v>1.3825261815447181E-4</v>
      </c>
      <c r="L32" s="96">
        <v>1.0610879988494325E-2</v>
      </c>
      <c r="M32" s="96">
        <v>8.0892855532828045E-2</v>
      </c>
      <c r="N32" s="96">
        <v>0.14920432557476096</v>
      </c>
      <c r="O32" s="96">
        <v>0.30159152762432923</v>
      </c>
      <c r="P32" s="96">
        <v>0.42808202745921065</v>
      </c>
      <c r="Q32" s="96">
        <v>0.69557188428053951</v>
      </c>
      <c r="R32" s="96">
        <v>0.96737489536600607</v>
      </c>
      <c r="S32" s="96">
        <v>1.5054653451350979</v>
      </c>
      <c r="T32" s="96">
        <v>2.5384589868825773</v>
      </c>
      <c r="U32" s="96">
        <v>4.2720397320061139</v>
      </c>
      <c r="V32" s="96">
        <v>5.7966879052904012</v>
      </c>
      <c r="W32" s="96">
        <v>11.568880922673436</v>
      </c>
      <c r="X32" s="96">
        <v>17.121169519219066</v>
      </c>
      <c r="Y32" s="96">
        <v>25.592930725655055</v>
      </c>
      <c r="DA32" s="171" t="s">
        <v>651</v>
      </c>
    </row>
    <row r="33" spans="1:105" ht="11.45" customHeight="1" x14ac:dyDescent="0.25">
      <c r="A33" s="109" t="s">
        <v>21</v>
      </c>
      <c r="B33" s="130">
        <f t="shared" ref="B33:K33" si="22">B34+B36+B38+B39+B41</f>
        <v>1183.1931374373728</v>
      </c>
      <c r="C33" s="130">
        <f t="shared" si="22"/>
        <v>1176.6866134168984</v>
      </c>
      <c r="D33" s="130">
        <f t="shared" si="22"/>
        <v>1157.4821290139903</v>
      </c>
      <c r="E33" s="130">
        <f t="shared" si="22"/>
        <v>1148.6268679818202</v>
      </c>
      <c r="F33" s="130">
        <f t="shared" si="22"/>
        <v>1178.758220064454</v>
      </c>
      <c r="G33" s="130">
        <f t="shared" si="22"/>
        <v>1166.3628465378758</v>
      </c>
      <c r="H33" s="130">
        <f t="shared" si="22"/>
        <v>1213.2228566644903</v>
      </c>
      <c r="I33" s="130">
        <f t="shared" si="22"/>
        <v>1251.300993105056</v>
      </c>
      <c r="J33" s="130">
        <f t="shared" si="22"/>
        <v>1243.1566959525746</v>
      </c>
      <c r="K33" s="130">
        <f t="shared" si="22"/>
        <v>1229.3521606494148</v>
      </c>
      <c r="L33" s="130">
        <f t="shared" ref="L33" si="23">L34+L36+L38+L39+L41</f>
        <v>1213.8792948006089</v>
      </c>
      <c r="M33" s="130">
        <f t="shared" ref="M33:V33" si="24">M34+M36+M38+M39+M41</f>
        <v>1208.9887703983918</v>
      </c>
      <c r="N33" s="130">
        <f t="shared" si="24"/>
        <v>1186.6491416489794</v>
      </c>
      <c r="O33" s="130">
        <f t="shared" si="24"/>
        <v>1120.2554927930357</v>
      </c>
      <c r="P33" s="130">
        <f t="shared" si="24"/>
        <v>1107.75894686475</v>
      </c>
      <c r="Q33" s="130">
        <f t="shared" si="24"/>
        <v>1111.4363781212014</v>
      </c>
      <c r="R33" s="130">
        <f t="shared" si="24"/>
        <v>1131.1190788498486</v>
      </c>
      <c r="S33" s="130">
        <f t="shared" si="24"/>
        <v>735.16860399822349</v>
      </c>
      <c r="T33" s="130">
        <f t="shared" si="24"/>
        <v>738.24944105108284</v>
      </c>
      <c r="U33" s="130">
        <f t="shared" si="24"/>
        <v>760.4301077118306</v>
      </c>
      <c r="V33" s="130">
        <f t="shared" si="24"/>
        <v>549.21209378307401</v>
      </c>
      <c r="W33" s="130">
        <f t="shared" ref="W33:Y33" si="25">W34+W36+W38+W39+W41</f>
        <v>695.76145461985845</v>
      </c>
      <c r="X33" s="130">
        <f t="shared" si="25"/>
        <v>789.17418493989726</v>
      </c>
      <c r="Y33" s="130">
        <f t="shared" si="25"/>
        <v>888.39572135304047</v>
      </c>
      <c r="DA33" s="176" t="s">
        <v>394</v>
      </c>
    </row>
    <row r="34" spans="1:105" ht="11.45" customHeight="1" x14ac:dyDescent="0.25">
      <c r="A34" s="111" t="s">
        <v>110</v>
      </c>
      <c r="B34" s="97">
        <v>3.6597331512858347</v>
      </c>
      <c r="C34" s="97">
        <v>3.6686685900177549</v>
      </c>
      <c r="D34" s="97">
        <v>3.6884379886926499</v>
      </c>
      <c r="E34" s="97">
        <v>3.6575110022591009</v>
      </c>
      <c r="F34" s="97">
        <v>3.6497380413032476</v>
      </c>
      <c r="G34" s="97">
        <v>3.257274738980418</v>
      </c>
      <c r="H34" s="97">
        <v>3.1826517835527381</v>
      </c>
      <c r="I34" s="97">
        <v>3.5397676507396394</v>
      </c>
      <c r="J34" s="97">
        <v>3.2028471017147853</v>
      </c>
      <c r="K34" s="97">
        <v>2.8912440414628877</v>
      </c>
      <c r="L34" s="97">
        <v>2.656493554403609</v>
      </c>
      <c r="M34" s="97">
        <v>2.4978440692750139</v>
      </c>
      <c r="N34" s="97">
        <v>2.3101349686389288</v>
      </c>
      <c r="O34" s="97">
        <v>2.1266460917365624</v>
      </c>
      <c r="P34" s="97">
        <v>1.9689541704563749</v>
      </c>
      <c r="Q34" s="97">
        <v>1.9182993139314257</v>
      </c>
      <c r="R34" s="97">
        <v>1.8622674861655037</v>
      </c>
      <c r="S34" s="97">
        <v>1.5249615299844301</v>
      </c>
      <c r="T34" s="97">
        <v>1.4364746133524882</v>
      </c>
      <c r="U34" s="97">
        <v>1.3433960774563647</v>
      </c>
      <c r="V34" s="97">
        <v>0.81535518032963461</v>
      </c>
      <c r="W34" s="97">
        <v>0.9979066071787519</v>
      </c>
      <c r="X34" s="97">
        <v>1.0514328206715877</v>
      </c>
      <c r="Y34" s="97">
        <v>1.0791876475701523</v>
      </c>
      <c r="DA34" s="175" t="s">
        <v>652</v>
      </c>
    </row>
    <row r="35" spans="1:105" ht="11.45" customHeight="1" x14ac:dyDescent="0.25">
      <c r="A35" s="160" t="s">
        <v>131</v>
      </c>
      <c r="B35" s="97">
        <v>0</v>
      </c>
      <c r="C35" s="97">
        <v>0</v>
      </c>
      <c r="D35" s="97">
        <v>3.084679323271728E-2</v>
      </c>
      <c r="E35" s="97">
        <v>4.3020071309887276E-2</v>
      </c>
      <c r="F35" s="97">
        <v>3.3931077108287105E-2</v>
      </c>
      <c r="G35" s="97">
        <v>4.7691970314732608E-2</v>
      </c>
      <c r="H35" s="97">
        <v>4.934108003625403E-2</v>
      </c>
      <c r="I35" s="97">
        <v>5.6347984475444597E-2</v>
      </c>
      <c r="J35" s="97">
        <v>4.5114624530701565E-2</v>
      </c>
      <c r="K35" s="97">
        <v>7.0671823112105972E-2</v>
      </c>
      <c r="L35" s="97">
        <v>0.10539347650024516</v>
      </c>
      <c r="M35" s="97">
        <v>0.1039427245132115</v>
      </c>
      <c r="N35" s="97">
        <v>9.3988035996859079E-2</v>
      </c>
      <c r="O35" s="97">
        <v>7.5008771776427174E-2</v>
      </c>
      <c r="P35" s="97">
        <v>7.8258741647798863E-2</v>
      </c>
      <c r="Q35" s="97">
        <v>7.6716462079385817E-2</v>
      </c>
      <c r="R35" s="97">
        <v>5.0993736410534569E-2</v>
      </c>
      <c r="S35" s="97">
        <v>4.2011201203427342E-2</v>
      </c>
      <c r="T35" s="97">
        <v>4.227693845385512E-2</v>
      </c>
      <c r="U35" s="97">
        <v>3.1604437638198098E-2</v>
      </c>
      <c r="V35" s="97">
        <v>1.6087381961049637E-2</v>
      </c>
      <c r="W35" s="97">
        <v>2.0752457869921585E-2</v>
      </c>
      <c r="X35" s="97">
        <v>1.7961996334312384E-2</v>
      </c>
      <c r="Y35" s="97">
        <v>2.654106332892895E-2</v>
      </c>
      <c r="DA35" s="175" t="s">
        <v>653</v>
      </c>
    </row>
    <row r="36" spans="1:105" ht="11.45" customHeight="1" x14ac:dyDescent="0.25">
      <c r="A36" s="111" t="s">
        <v>111</v>
      </c>
      <c r="B36" s="97">
        <v>1172.8266974933097</v>
      </c>
      <c r="C36" s="97">
        <v>1163.2587874752039</v>
      </c>
      <c r="D36" s="97">
        <v>1140.6811372849709</v>
      </c>
      <c r="E36" s="97">
        <v>1129.1268806253049</v>
      </c>
      <c r="F36" s="97">
        <v>1157.0956028997807</v>
      </c>
      <c r="G36" s="97">
        <v>1143.167262509214</v>
      </c>
      <c r="H36" s="97">
        <v>1187.819722656991</v>
      </c>
      <c r="I36" s="97">
        <v>1213.1889307544354</v>
      </c>
      <c r="J36" s="97">
        <v>1204.1223081558496</v>
      </c>
      <c r="K36" s="97">
        <v>1183.3370263846934</v>
      </c>
      <c r="L36" s="97">
        <v>1154.9517207603269</v>
      </c>
      <c r="M36" s="97">
        <v>1145.3867719038376</v>
      </c>
      <c r="N36" s="97">
        <v>1121.2275346552808</v>
      </c>
      <c r="O36" s="97">
        <v>1049.4844743143665</v>
      </c>
      <c r="P36" s="97">
        <v>1031.085012273822</v>
      </c>
      <c r="Q36" s="97">
        <v>1029.2365542777004</v>
      </c>
      <c r="R36" s="97">
        <v>1027.5763496883278</v>
      </c>
      <c r="S36" s="97">
        <v>614.13321244958422</v>
      </c>
      <c r="T36" s="97">
        <v>621.93793772321555</v>
      </c>
      <c r="U36" s="97">
        <v>612.36499490390133</v>
      </c>
      <c r="V36" s="97">
        <v>387.11582555893483</v>
      </c>
      <c r="W36" s="97">
        <v>485.38982316076527</v>
      </c>
      <c r="X36" s="97">
        <v>551.88224542201294</v>
      </c>
      <c r="Y36" s="97">
        <v>608.49225728725492</v>
      </c>
      <c r="DA36" s="175" t="s">
        <v>654</v>
      </c>
    </row>
    <row r="37" spans="1:105" ht="11.45" customHeight="1" x14ac:dyDescent="0.25">
      <c r="A37" s="160" t="s">
        <v>131</v>
      </c>
      <c r="B37" s="97">
        <v>4.7953715705494462</v>
      </c>
      <c r="C37" s="97">
        <v>4.4109389139583195</v>
      </c>
      <c r="D37" s="97">
        <v>3.9429702083523375</v>
      </c>
      <c r="E37" s="97">
        <v>4.9692211623045086</v>
      </c>
      <c r="F37" s="97">
        <v>5.2257423000617873</v>
      </c>
      <c r="G37" s="97">
        <v>7.0120658813788426</v>
      </c>
      <c r="H37" s="97">
        <v>2.6903345963552945</v>
      </c>
      <c r="I37" s="97">
        <v>12.507739408327845</v>
      </c>
      <c r="J37" s="97">
        <v>24.991850076493893</v>
      </c>
      <c r="K37" s="97">
        <v>45.419958896342614</v>
      </c>
      <c r="L37" s="97">
        <v>59.053376032948293</v>
      </c>
      <c r="M37" s="97">
        <v>75.408488511794602</v>
      </c>
      <c r="N37" s="97">
        <v>103.81237278667632</v>
      </c>
      <c r="O37" s="97">
        <v>37.449404456027743</v>
      </c>
      <c r="P37" s="97">
        <v>38.623066902698504</v>
      </c>
      <c r="Q37" s="97">
        <v>37.543285477818081</v>
      </c>
      <c r="R37" s="97">
        <v>45.081757394348806</v>
      </c>
      <c r="S37" s="97">
        <v>30.787334835372501</v>
      </c>
      <c r="T37" s="97">
        <v>40.658723339399984</v>
      </c>
      <c r="U37" s="97">
        <v>39.538053843623885</v>
      </c>
      <c r="V37" s="97">
        <v>26.388289091840889</v>
      </c>
      <c r="W37" s="97">
        <v>28.900551990494836</v>
      </c>
      <c r="X37" s="97">
        <v>31.757014577088942</v>
      </c>
      <c r="Y37" s="97">
        <v>49.46634696081091</v>
      </c>
      <c r="DA37" s="175" t="s">
        <v>655</v>
      </c>
    </row>
    <row r="38" spans="1:105" ht="11.45" customHeight="1" x14ac:dyDescent="0.25">
      <c r="A38" s="111" t="s">
        <v>112</v>
      </c>
      <c r="B38" s="97">
        <v>0</v>
      </c>
      <c r="C38" s="97">
        <v>0</v>
      </c>
      <c r="D38" s="97">
        <v>0</v>
      </c>
      <c r="E38" s="97">
        <v>0</v>
      </c>
      <c r="F38" s="97">
        <v>0</v>
      </c>
      <c r="G38" s="97">
        <v>0</v>
      </c>
      <c r="H38" s="97">
        <v>0</v>
      </c>
      <c r="I38" s="97">
        <v>0</v>
      </c>
      <c r="J38" s="97">
        <v>0</v>
      </c>
      <c r="K38" s="97">
        <v>0</v>
      </c>
      <c r="L38" s="97">
        <v>0</v>
      </c>
      <c r="M38" s="97">
        <v>0</v>
      </c>
      <c r="N38" s="97">
        <v>0</v>
      </c>
      <c r="O38" s="97">
        <v>0</v>
      </c>
      <c r="P38" s="97">
        <v>3.5153798626504494E-2</v>
      </c>
      <c r="Q38" s="97">
        <v>0.94317719685468215</v>
      </c>
      <c r="R38" s="97">
        <v>0.93766021526074883</v>
      </c>
      <c r="S38" s="97">
        <v>0.80620637738112033</v>
      </c>
      <c r="T38" s="97">
        <v>0.75202206974441155</v>
      </c>
      <c r="U38" s="97">
        <v>0.97595164039217142</v>
      </c>
      <c r="V38" s="97">
        <v>0.81878940453542282</v>
      </c>
      <c r="W38" s="97">
        <v>2.195207941716685</v>
      </c>
      <c r="X38" s="97">
        <v>3.2411079548613575</v>
      </c>
      <c r="Y38" s="97">
        <v>4.6569665478619751</v>
      </c>
      <c r="DA38" s="175" t="s">
        <v>656</v>
      </c>
    </row>
    <row r="39" spans="1:105" ht="11.45" customHeight="1" x14ac:dyDescent="0.25">
      <c r="A39" s="111" t="s">
        <v>113</v>
      </c>
      <c r="B39" s="97">
        <v>6.7067067927772994</v>
      </c>
      <c r="C39" s="97">
        <v>9.7591573516766967</v>
      </c>
      <c r="D39" s="97">
        <v>13.11255374032674</v>
      </c>
      <c r="E39" s="97">
        <v>15.842476354256229</v>
      </c>
      <c r="F39" s="97">
        <v>18.012879123370212</v>
      </c>
      <c r="G39" s="97">
        <v>19.938309289681456</v>
      </c>
      <c r="H39" s="97">
        <v>22.220482223946558</v>
      </c>
      <c r="I39" s="97">
        <v>34.572294699881027</v>
      </c>
      <c r="J39" s="97">
        <v>35.831540695010219</v>
      </c>
      <c r="K39" s="97">
        <v>43.123890223258471</v>
      </c>
      <c r="L39" s="97">
        <v>56.271080485878429</v>
      </c>
      <c r="M39" s="97">
        <v>61.104154425279233</v>
      </c>
      <c r="N39" s="97">
        <v>63.111472025059498</v>
      </c>
      <c r="O39" s="97">
        <v>67.783020562088012</v>
      </c>
      <c r="P39" s="97">
        <v>73.659590408273573</v>
      </c>
      <c r="Q39" s="97">
        <v>77.743370644554886</v>
      </c>
      <c r="R39" s="97">
        <v>99.028947907985497</v>
      </c>
      <c r="S39" s="97">
        <v>116.80340252452869</v>
      </c>
      <c r="T39" s="97">
        <v>111.97576839295432</v>
      </c>
      <c r="U39" s="97">
        <v>142.68786971692035</v>
      </c>
      <c r="V39" s="97">
        <v>157.58384107194462</v>
      </c>
      <c r="W39" s="97">
        <v>202.215762642578</v>
      </c>
      <c r="X39" s="97">
        <v>226.44137993846994</v>
      </c>
      <c r="Y39" s="97">
        <v>261.98772044428398</v>
      </c>
      <c r="DA39" s="175" t="s">
        <v>657</v>
      </c>
    </row>
    <row r="40" spans="1:105" ht="11.45" customHeight="1" x14ac:dyDescent="0.25">
      <c r="A40" s="160" t="s">
        <v>132</v>
      </c>
      <c r="B40" s="97">
        <v>0</v>
      </c>
      <c r="C40" s="97">
        <v>0</v>
      </c>
      <c r="D40" s="97">
        <v>0</v>
      </c>
      <c r="E40" s="97">
        <v>0</v>
      </c>
      <c r="F40" s="97">
        <v>0</v>
      </c>
      <c r="G40" s="97">
        <v>0</v>
      </c>
      <c r="H40" s="97">
        <v>0</v>
      </c>
      <c r="I40" s="97">
        <v>0</v>
      </c>
      <c r="J40" s="97">
        <v>0</v>
      </c>
      <c r="K40" s="97">
        <v>0</v>
      </c>
      <c r="L40" s="97">
        <v>0</v>
      </c>
      <c r="M40" s="97">
        <v>0</v>
      </c>
      <c r="N40" s="97">
        <v>0</v>
      </c>
      <c r="O40" s="97">
        <v>0</v>
      </c>
      <c r="P40" s="97">
        <v>0</v>
      </c>
      <c r="Q40" s="97">
        <v>0</v>
      </c>
      <c r="R40" s="97">
        <v>0</v>
      </c>
      <c r="S40" s="97">
        <v>3.1390771368108757E-2</v>
      </c>
      <c r="T40" s="97">
        <v>3.0893828414145556E-2</v>
      </c>
      <c r="U40" s="97">
        <v>3.6668857554590595E-2</v>
      </c>
      <c r="V40" s="97">
        <v>4.721423472676789E-2</v>
      </c>
      <c r="W40" s="97">
        <v>5.4500491405998226E-2</v>
      </c>
      <c r="X40" s="97">
        <v>9.324305648457884E-2</v>
      </c>
      <c r="Y40" s="97">
        <v>0.19504356192507216</v>
      </c>
      <c r="DA40" s="175" t="s">
        <v>658</v>
      </c>
    </row>
    <row r="41" spans="1:105" ht="11.45" customHeight="1" x14ac:dyDescent="0.25">
      <c r="A41" s="111" t="s">
        <v>115</v>
      </c>
      <c r="B41" s="97">
        <v>0</v>
      </c>
      <c r="C41" s="97">
        <v>0</v>
      </c>
      <c r="D41" s="97">
        <v>0</v>
      </c>
      <c r="E41" s="97">
        <v>0</v>
      </c>
      <c r="F41" s="97">
        <v>0</v>
      </c>
      <c r="G41" s="97">
        <v>0</v>
      </c>
      <c r="H41" s="97">
        <v>0</v>
      </c>
      <c r="I41" s="97">
        <v>0</v>
      </c>
      <c r="J41" s="97">
        <v>0</v>
      </c>
      <c r="K41" s="97">
        <v>0</v>
      </c>
      <c r="L41" s="97">
        <v>0</v>
      </c>
      <c r="M41" s="97">
        <v>0</v>
      </c>
      <c r="N41" s="97">
        <v>0</v>
      </c>
      <c r="O41" s="97">
        <v>0.86135182484463324</v>
      </c>
      <c r="P41" s="97">
        <v>1.0102362135717895</v>
      </c>
      <c r="Q41" s="97">
        <v>1.594976688160036</v>
      </c>
      <c r="R41" s="97">
        <v>1.7138535521089708</v>
      </c>
      <c r="S41" s="97">
        <v>1.9008211167449687</v>
      </c>
      <c r="T41" s="97">
        <v>2.1472382518160287</v>
      </c>
      <c r="U41" s="97">
        <v>3.0578953731603842</v>
      </c>
      <c r="V41" s="97">
        <v>2.8782825673295025</v>
      </c>
      <c r="W41" s="97">
        <v>4.9627542676197018</v>
      </c>
      <c r="X41" s="97">
        <v>6.5580188038813798</v>
      </c>
      <c r="Y41" s="97">
        <v>12.179589426069521</v>
      </c>
      <c r="DA41" s="175" t="s">
        <v>659</v>
      </c>
    </row>
    <row r="42" spans="1:105" ht="11.45" customHeight="1" x14ac:dyDescent="0.25">
      <c r="A42" s="27" t="s">
        <v>34</v>
      </c>
      <c r="B42" s="32">
        <f t="shared" ref="B42:K42" si="26">B43+B52</f>
        <v>9177.6966402930502</v>
      </c>
      <c r="C42" s="32">
        <f t="shared" si="26"/>
        <v>10050.98894981597</v>
      </c>
      <c r="D42" s="32">
        <f t="shared" si="26"/>
        <v>10081.743857534568</v>
      </c>
      <c r="E42" s="32">
        <f t="shared" si="26"/>
        <v>10653.35117764912</v>
      </c>
      <c r="F42" s="32">
        <f t="shared" si="26"/>
        <v>11240.504119619703</v>
      </c>
      <c r="G42" s="32">
        <f t="shared" si="26"/>
        <v>11311.254289864917</v>
      </c>
      <c r="H42" s="32">
        <f t="shared" si="26"/>
        <v>11543.757322687965</v>
      </c>
      <c r="I42" s="32">
        <f t="shared" si="26"/>
        <v>12123.968155597126</v>
      </c>
      <c r="J42" s="32">
        <f t="shared" si="26"/>
        <v>11119.430981740532</v>
      </c>
      <c r="K42" s="32">
        <f t="shared" si="26"/>
        <v>9586.7760366205748</v>
      </c>
      <c r="L42" s="32">
        <f t="shared" ref="L42" si="27">L43+L52</f>
        <v>9287.2480215824671</v>
      </c>
      <c r="M42" s="32">
        <f t="shared" ref="M42:V42" si="28">M43+M52</f>
        <v>8734.5735285688388</v>
      </c>
      <c r="N42" s="32">
        <f t="shared" si="28"/>
        <v>7587.7840812414115</v>
      </c>
      <c r="O42" s="32">
        <f t="shared" si="28"/>
        <v>7390.6019557422442</v>
      </c>
      <c r="P42" s="32">
        <f t="shared" si="28"/>
        <v>7479.3825274972169</v>
      </c>
      <c r="Q42" s="32">
        <f t="shared" si="28"/>
        <v>7857.702446604133</v>
      </c>
      <c r="R42" s="32">
        <f t="shared" si="28"/>
        <v>8620.1431488108337</v>
      </c>
      <c r="S42" s="32">
        <f t="shared" si="28"/>
        <v>8999.1050143334323</v>
      </c>
      <c r="T42" s="32">
        <f t="shared" si="28"/>
        <v>9317.7477495291096</v>
      </c>
      <c r="U42" s="32">
        <f t="shared" si="28"/>
        <v>8980.4738177864347</v>
      </c>
      <c r="V42" s="32">
        <f t="shared" si="28"/>
        <v>7707.6670384202434</v>
      </c>
      <c r="W42" s="32">
        <f t="shared" ref="W42:Y42" si="29">W43+W52</f>
        <v>8600.8934633433946</v>
      </c>
      <c r="X42" s="32">
        <f t="shared" si="29"/>
        <v>8856.0749095550764</v>
      </c>
      <c r="Y42" s="32">
        <f t="shared" si="29"/>
        <v>8439.0442798355434</v>
      </c>
      <c r="DA42" s="173" t="s">
        <v>399</v>
      </c>
    </row>
    <row r="43" spans="1:105" ht="11.45" customHeight="1" x14ac:dyDescent="0.25">
      <c r="A43" s="136" t="s">
        <v>153</v>
      </c>
      <c r="B43" s="141">
        <f t="shared" ref="B43:K43" si="30">B44+B46+B48+B49+B51</f>
        <v>2763.0921213946472</v>
      </c>
      <c r="C43" s="141">
        <f t="shared" si="30"/>
        <v>3288.9036877340868</v>
      </c>
      <c r="D43" s="141">
        <f t="shared" si="30"/>
        <v>2952.9876312248093</v>
      </c>
      <c r="E43" s="141">
        <f t="shared" si="30"/>
        <v>3102.5019957334271</v>
      </c>
      <c r="F43" s="141">
        <f t="shared" si="30"/>
        <v>3124.7544856401855</v>
      </c>
      <c r="G43" s="141">
        <f t="shared" si="30"/>
        <v>2833.8527256601897</v>
      </c>
      <c r="H43" s="141">
        <f t="shared" si="30"/>
        <v>2938.8543012051687</v>
      </c>
      <c r="I43" s="141">
        <f t="shared" si="30"/>
        <v>3265.1525338813522</v>
      </c>
      <c r="J43" s="141">
        <f t="shared" si="30"/>
        <v>2929.2944172578113</v>
      </c>
      <c r="K43" s="141">
        <f t="shared" si="30"/>
        <v>2456.8226128804104</v>
      </c>
      <c r="L43" s="141">
        <f t="shared" ref="L43" si="31">L44+L46+L48+L49+L51</f>
        <v>2416.7407149456744</v>
      </c>
      <c r="M43" s="141">
        <f t="shared" ref="M43:V43" si="32">M44+M46+M48+M49+M51</f>
        <v>2364.1092952667141</v>
      </c>
      <c r="N43" s="141">
        <f t="shared" si="32"/>
        <v>2184.0717707898775</v>
      </c>
      <c r="O43" s="141">
        <f t="shared" si="32"/>
        <v>2175.7629107610383</v>
      </c>
      <c r="P43" s="141">
        <f t="shared" si="32"/>
        <v>2115.2771438290952</v>
      </c>
      <c r="Q43" s="141">
        <f t="shared" si="32"/>
        <v>2185.7953314721804</v>
      </c>
      <c r="R43" s="141">
        <f t="shared" si="32"/>
        <v>2098.7689611359297</v>
      </c>
      <c r="S43" s="141">
        <f t="shared" si="32"/>
        <v>2251.3885022691065</v>
      </c>
      <c r="T43" s="141">
        <f t="shared" si="32"/>
        <v>2289.6657849619487</v>
      </c>
      <c r="U43" s="141">
        <f t="shared" si="32"/>
        <v>2299.5880160161241</v>
      </c>
      <c r="V43" s="141">
        <f t="shared" si="32"/>
        <v>1514.2349122280514</v>
      </c>
      <c r="W43" s="141">
        <f t="shared" ref="W43:Y43" si="33">W44+W46+W48+W49+W51</f>
        <v>2197.0231415930634</v>
      </c>
      <c r="X43" s="141">
        <f t="shared" si="33"/>
        <v>2376.9598086373953</v>
      </c>
      <c r="Y43" s="141">
        <f t="shared" si="33"/>
        <v>2340.788435810412</v>
      </c>
      <c r="DA43" s="174" t="s">
        <v>400</v>
      </c>
    </row>
    <row r="44" spans="1:105" ht="11.45" customHeight="1" x14ac:dyDescent="0.25">
      <c r="A44" s="111" t="s">
        <v>110</v>
      </c>
      <c r="B44" s="96">
        <v>227.82637976554039</v>
      </c>
      <c r="C44" s="96">
        <v>249.25711845201698</v>
      </c>
      <c r="D44" s="96">
        <v>180.03994622563224</v>
      </c>
      <c r="E44" s="96">
        <v>160.37006832347311</v>
      </c>
      <c r="F44" s="96">
        <v>135.69552360745811</v>
      </c>
      <c r="G44" s="96">
        <v>101.89864174062087</v>
      </c>
      <c r="H44" s="96">
        <v>88.714170869697341</v>
      </c>
      <c r="I44" s="96">
        <v>79.76963786559962</v>
      </c>
      <c r="J44" s="96">
        <v>64.396335218667105</v>
      </c>
      <c r="K44" s="96">
        <v>56.271512117088371</v>
      </c>
      <c r="L44" s="96">
        <v>53.139622911375596</v>
      </c>
      <c r="M44" s="96">
        <v>53.244337348769768</v>
      </c>
      <c r="N44" s="96">
        <v>51.450913456941791</v>
      </c>
      <c r="O44" s="96">
        <v>50.094978537068634</v>
      </c>
      <c r="P44" s="96">
        <v>33.47618410513909</v>
      </c>
      <c r="Q44" s="96">
        <v>34.249668193724176</v>
      </c>
      <c r="R44" s="96">
        <v>30.827984969416178</v>
      </c>
      <c r="S44" s="96">
        <v>34.41232802454342</v>
      </c>
      <c r="T44" s="96">
        <v>35.60151226151023</v>
      </c>
      <c r="U44" s="96">
        <v>37.578624421559823</v>
      </c>
      <c r="V44" s="96">
        <v>23.348676081316558</v>
      </c>
      <c r="W44" s="96">
        <v>36.143472710780564</v>
      </c>
      <c r="X44" s="96">
        <v>37.032446862771629</v>
      </c>
      <c r="Y44" s="96">
        <v>29.805289264603786</v>
      </c>
      <c r="DA44" s="171" t="s">
        <v>660</v>
      </c>
    </row>
    <row r="45" spans="1:105" ht="11.45" customHeight="1" x14ac:dyDescent="0.25">
      <c r="A45" s="160" t="s">
        <v>131</v>
      </c>
      <c r="B45" s="96">
        <v>0</v>
      </c>
      <c r="C45" s="96">
        <v>0</v>
      </c>
      <c r="D45" s="96">
        <v>1.5056929279757481</v>
      </c>
      <c r="E45" s="96">
        <v>1.8862914618673696</v>
      </c>
      <c r="F45" s="96">
        <v>1.2615413004079477</v>
      </c>
      <c r="G45" s="96">
        <v>1.4919671769923979</v>
      </c>
      <c r="H45" s="96">
        <v>1.3753477612135756</v>
      </c>
      <c r="I45" s="96">
        <v>1.2698173325369075</v>
      </c>
      <c r="J45" s="96">
        <v>0.90707311097926735</v>
      </c>
      <c r="K45" s="96">
        <v>1.3754668556368019</v>
      </c>
      <c r="L45" s="96">
        <v>2.1082564229293976</v>
      </c>
      <c r="M45" s="96">
        <v>2.215655315320781</v>
      </c>
      <c r="N45" s="96">
        <v>2.093284752497139</v>
      </c>
      <c r="O45" s="96">
        <v>1.7668961595597099</v>
      </c>
      <c r="P45" s="96">
        <v>1.3305561310403677</v>
      </c>
      <c r="Q45" s="96">
        <v>1.3697098008289827</v>
      </c>
      <c r="R45" s="96">
        <v>0.84415055907742997</v>
      </c>
      <c r="S45" s="96">
        <v>0.94802603743859393</v>
      </c>
      <c r="T45" s="96">
        <v>1.0477894483852621</v>
      </c>
      <c r="U45" s="96">
        <v>0.8840663688025634</v>
      </c>
      <c r="V45" s="96">
        <v>0.4606815280833888</v>
      </c>
      <c r="W45" s="96">
        <v>0.75163937116690238</v>
      </c>
      <c r="X45" s="96">
        <v>0.63263830244033092</v>
      </c>
      <c r="Y45" s="96">
        <v>0.7330180916080884</v>
      </c>
      <c r="DA45" s="171" t="s">
        <v>661</v>
      </c>
    </row>
    <row r="46" spans="1:105" ht="11.45" customHeight="1" x14ac:dyDescent="0.25">
      <c r="A46" s="111" t="s">
        <v>111</v>
      </c>
      <c r="B46" s="96">
        <v>2535.2657416291067</v>
      </c>
      <c r="C46" s="96">
        <v>3039.6465692820698</v>
      </c>
      <c r="D46" s="96">
        <v>2772.947684999177</v>
      </c>
      <c r="E46" s="96">
        <v>2942.1319274099542</v>
      </c>
      <c r="F46" s="96">
        <v>2989.0589620327273</v>
      </c>
      <c r="G46" s="96">
        <v>2731.9540839195688</v>
      </c>
      <c r="H46" s="96">
        <v>2850.1401303354714</v>
      </c>
      <c r="I46" s="96">
        <v>3185.3828960157525</v>
      </c>
      <c r="J46" s="96">
        <v>2864.8980820391444</v>
      </c>
      <c r="K46" s="96">
        <v>2400.5511007633222</v>
      </c>
      <c r="L46" s="96">
        <v>2363.6010920342987</v>
      </c>
      <c r="M46" s="96">
        <v>2310.8619836625094</v>
      </c>
      <c r="N46" s="96">
        <v>2132.5699339031121</v>
      </c>
      <c r="O46" s="96">
        <v>2125.4827669887836</v>
      </c>
      <c r="P46" s="96">
        <v>2081.1849130125852</v>
      </c>
      <c r="Q46" s="96">
        <v>2150.0884245302591</v>
      </c>
      <c r="R46" s="96">
        <v>2065.9978077612773</v>
      </c>
      <c r="S46" s="96">
        <v>2214.0300454308936</v>
      </c>
      <c r="T46" s="96">
        <v>2248.8272001262185</v>
      </c>
      <c r="U46" s="96">
        <v>2251.8244373527587</v>
      </c>
      <c r="V46" s="96">
        <v>1481.9373283969367</v>
      </c>
      <c r="W46" s="96">
        <v>2144.3189235934424</v>
      </c>
      <c r="X46" s="96">
        <v>2321.0090292132604</v>
      </c>
      <c r="Y46" s="96">
        <v>2290.4632316658895</v>
      </c>
      <c r="DA46" s="171" t="s">
        <v>662</v>
      </c>
    </row>
    <row r="47" spans="1:105" ht="11.45" customHeight="1" x14ac:dyDescent="0.25">
      <c r="A47" s="160" t="s">
        <v>131</v>
      </c>
      <c r="B47" s="96">
        <v>10.366016809798557</v>
      </c>
      <c r="C47" s="96">
        <v>11.525978124117103</v>
      </c>
      <c r="D47" s="96">
        <v>9.5851941036698651</v>
      </c>
      <c r="E47" s="96">
        <v>12.94815001470938</v>
      </c>
      <c r="F47" s="96">
        <v>13.499361518726724</v>
      </c>
      <c r="G47" s="96">
        <v>16.757514538421798</v>
      </c>
      <c r="H47" s="96">
        <v>6.4553824547972738</v>
      </c>
      <c r="I47" s="96">
        <v>32.840671530306118</v>
      </c>
      <c r="J47" s="96">
        <v>59.461653409954195</v>
      </c>
      <c r="K47" s="96">
        <v>92.140218630997495</v>
      </c>
      <c r="L47" s="96">
        <v>120.85234522868312</v>
      </c>
      <c r="M47" s="96">
        <v>152.13953366835921</v>
      </c>
      <c r="N47" s="96">
        <v>197.45068519038153</v>
      </c>
      <c r="O47" s="96">
        <v>75.844917912941739</v>
      </c>
      <c r="P47" s="96">
        <v>77.958406121051354</v>
      </c>
      <c r="Q47" s="96">
        <v>78.428407142360413</v>
      </c>
      <c r="R47" s="96">
        <v>90.63931062154181</v>
      </c>
      <c r="S47" s="96">
        <v>110.99234329368184</v>
      </c>
      <c r="T47" s="96">
        <v>147.01538115325744</v>
      </c>
      <c r="U47" s="96">
        <v>145.39164810427053</v>
      </c>
      <c r="V47" s="96">
        <v>101.01832076037208</v>
      </c>
      <c r="W47" s="96">
        <v>127.6747009897415</v>
      </c>
      <c r="X47" s="96">
        <v>133.55805189550418</v>
      </c>
      <c r="Y47" s="96">
        <v>186.19932720865901</v>
      </c>
      <c r="DA47" s="171" t="s">
        <v>663</v>
      </c>
    </row>
    <row r="48" spans="1:105" ht="11.45" customHeight="1" x14ac:dyDescent="0.25">
      <c r="A48" s="111" t="s">
        <v>112</v>
      </c>
      <c r="B48" s="96">
        <v>0</v>
      </c>
      <c r="C48" s="96">
        <v>0</v>
      </c>
      <c r="D48" s="96">
        <v>0</v>
      </c>
      <c r="E48" s="96">
        <v>0</v>
      </c>
      <c r="F48" s="96">
        <v>0</v>
      </c>
      <c r="G48" s="96">
        <v>0</v>
      </c>
      <c r="H48" s="96">
        <v>0</v>
      </c>
      <c r="I48" s="96">
        <v>0</v>
      </c>
      <c r="J48" s="96">
        <v>0</v>
      </c>
      <c r="K48" s="96">
        <v>0</v>
      </c>
      <c r="L48" s="96">
        <v>0</v>
      </c>
      <c r="M48" s="96">
        <v>0</v>
      </c>
      <c r="N48" s="96">
        <v>0</v>
      </c>
      <c r="O48" s="96">
        <v>2.7144704877276882E-3</v>
      </c>
      <c r="P48" s="96">
        <v>0.20951331875991644</v>
      </c>
      <c r="Q48" s="96">
        <v>0.51202958733281834</v>
      </c>
      <c r="R48" s="96">
        <v>0.83924520612278708</v>
      </c>
      <c r="S48" s="96">
        <v>1.3409106176230066</v>
      </c>
      <c r="T48" s="96">
        <v>2.6449293659763726</v>
      </c>
      <c r="U48" s="96">
        <v>5.8492179567146341</v>
      </c>
      <c r="V48" s="96">
        <v>4.8371866215335633</v>
      </c>
      <c r="W48" s="96">
        <v>9.347726271543662</v>
      </c>
      <c r="X48" s="96">
        <v>10.596814207154559</v>
      </c>
      <c r="Y48" s="96">
        <v>10.814918376831695</v>
      </c>
      <c r="DA48" s="171" t="s">
        <v>664</v>
      </c>
    </row>
    <row r="49" spans="1:105" ht="11.45" customHeight="1" x14ac:dyDescent="0.25">
      <c r="A49" s="111" t="s">
        <v>113</v>
      </c>
      <c r="B49" s="96">
        <v>0</v>
      </c>
      <c r="C49" s="96">
        <v>0</v>
      </c>
      <c r="D49" s="96">
        <v>0</v>
      </c>
      <c r="E49" s="96">
        <v>0</v>
      </c>
      <c r="F49" s="96">
        <v>0</v>
      </c>
      <c r="G49" s="96">
        <v>0</v>
      </c>
      <c r="H49" s="96">
        <v>0</v>
      </c>
      <c r="I49" s="96">
        <v>0</v>
      </c>
      <c r="J49" s="96">
        <v>0</v>
      </c>
      <c r="K49" s="96">
        <v>0</v>
      </c>
      <c r="L49" s="96">
        <v>0</v>
      </c>
      <c r="M49" s="96">
        <v>0</v>
      </c>
      <c r="N49" s="96">
        <v>2.3601129407828297E-2</v>
      </c>
      <c r="O49" s="96">
        <v>0.16652418950511388</v>
      </c>
      <c r="P49" s="96">
        <v>0.21858457472815082</v>
      </c>
      <c r="Q49" s="96">
        <v>0.66949704088836182</v>
      </c>
      <c r="R49" s="96">
        <v>0.8047738782361773</v>
      </c>
      <c r="S49" s="96">
        <v>1.1817597214483118</v>
      </c>
      <c r="T49" s="96">
        <v>1.8777527740127786</v>
      </c>
      <c r="U49" s="96">
        <v>3.3526894155685771</v>
      </c>
      <c r="V49" s="96">
        <v>3.1601590389454515</v>
      </c>
      <c r="W49" s="96">
        <v>5.395335211413582</v>
      </c>
      <c r="X49" s="96">
        <v>5.8685887070251406</v>
      </c>
      <c r="Y49" s="96">
        <v>5.6848875752734775</v>
      </c>
      <c r="DA49" s="171" t="s">
        <v>665</v>
      </c>
    </row>
    <row r="50" spans="1:105" ht="11.45" customHeight="1" x14ac:dyDescent="0.25">
      <c r="A50" s="160" t="s">
        <v>132</v>
      </c>
      <c r="B50" s="96">
        <v>0</v>
      </c>
      <c r="C50" s="96">
        <v>0</v>
      </c>
      <c r="D50" s="96">
        <v>0</v>
      </c>
      <c r="E50" s="96">
        <v>0</v>
      </c>
      <c r="F50" s="96">
        <v>0</v>
      </c>
      <c r="G50" s="96">
        <v>0</v>
      </c>
      <c r="H50" s="96">
        <v>0</v>
      </c>
      <c r="I50" s="96">
        <v>0</v>
      </c>
      <c r="J50" s="96">
        <v>0</v>
      </c>
      <c r="K50" s="96">
        <v>0</v>
      </c>
      <c r="L50" s="96">
        <v>0</v>
      </c>
      <c r="M50" s="96">
        <v>0</v>
      </c>
      <c r="N50" s="96">
        <v>0</v>
      </c>
      <c r="O50" s="96">
        <v>0</v>
      </c>
      <c r="P50" s="96">
        <v>0</v>
      </c>
      <c r="Q50" s="96">
        <v>0</v>
      </c>
      <c r="R50" s="96">
        <v>0</v>
      </c>
      <c r="S50" s="96">
        <v>3.1759647772447056E-4</v>
      </c>
      <c r="T50" s="96">
        <v>5.1806719290337783E-4</v>
      </c>
      <c r="U50" s="96">
        <v>8.6159594959380912E-4</v>
      </c>
      <c r="V50" s="96">
        <v>9.4682608079446899E-4</v>
      </c>
      <c r="W50" s="96">
        <v>1.4541320443048958E-3</v>
      </c>
      <c r="X50" s="96">
        <v>2.4165421904891976E-3</v>
      </c>
      <c r="Y50" s="96">
        <v>4.2322621836802096E-3</v>
      </c>
      <c r="DA50" s="171" t="s">
        <v>666</v>
      </c>
    </row>
    <row r="51" spans="1:105" ht="11.45" customHeight="1" x14ac:dyDescent="0.25">
      <c r="A51" s="111" t="s">
        <v>115</v>
      </c>
      <c r="B51" s="96">
        <v>0</v>
      </c>
      <c r="C51" s="96">
        <v>0</v>
      </c>
      <c r="D51" s="96">
        <v>0</v>
      </c>
      <c r="E51" s="96">
        <v>0</v>
      </c>
      <c r="F51" s="96">
        <v>0</v>
      </c>
      <c r="G51" s="96">
        <v>0</v>
      </c>
      <c r="H51" s="96">
        <v>0</v>
      </c>
      <c r="I51" s="96">
        <v>0</v>
      </c>
      <c r="J51" s="96">
        <v>0</v>
      </c>
      <c r="K51" s="96">
        <v>0</v>
      </c>
      <c r="L51" s="96">
        <v>0</v>
      </c>
      <c r="M51" s="96">
        <v>2.9742554347382756E-3</v>
      </c>
      <c r="N51" s="96">
        <v>2.7322300416013828E-2</v>
      </c>
      <c r="O51" s="96">
        <v>1.5926575193077754E-2</v>
      </c>
      <c r="P51" s="96">
        <v>0.18794881788302015</v>
      </c>
      <c r="Q51" s="96">
        <v>0.2757121199758733</v>
      </c>
      <c r="R51" s="96">
        <v>0.29914932087687363</v>
      </c>
      <c r="S51" s="96">
        <v>0.42345847459819053</v>
      </c>
      <c r="T51" s="96">
        <v>0.71439043423104276</v>
      </c>
      <c r="U51" s="96">
        <v>0.98304686952273668</v>
      </c>
      <c r="V51" s="96">
        <v>0.95156208931901243</v>
      </c>
      <c r="W51" s="96">
        <v>1.8176838058830962</v>
      </c>
      <c r="X51" s="96">
        <v>2.4529296471832258</v>
      </c>
      <c r="Y51" s="96">
        <v>4.0201089278132551</v>
      </c>
      <c r="DA51" s="171" t="s">
        <v>667</v>
      </c>
    </row>
    <row r="52" spans="1:105" ht="11.45" customHeight="1" x14ac:dyDescent="0.25">
      <c r="A52" s="109" t="s">
        <v>186</v>
      </c>
      <c r="B52" s="130">
        <f t="shared" ref="B52:K52" si="34">B53+B55</f>
        <v>6414.6045188984026</v>
      </c>
      <c r="C52" s="130">
        <f t="shared" si="34"/>
        <v>6762.0852620818832</v>
      </c>
      <c r="D52" s="130">
        <f t="shared" si="34"/>
        <v>7128.7562263097579</v>
      </c>
      <c r="E52" s="130">
        <f t="shared" si="34"/>
        <v>7550.8491819156925</v>
      </c>
      <c r="F52" s="130">
        <f t="shared" si="34"/>
        <v>8115.749633979518</v>
      </c>
      <c r="G52" s="130">
        <f t="shared" si="34"/>
        <v>8477.401564204727</v>
      </c>
      <c r="H52" s="130">
        <f t="shared" si="34"/>
        <v>8604.9030214827962</v>
      </c>
      <c r="I52" s="130">
        <f t="shared" si="34"/>
        <v>8858.8156217157739</v>
      </c>
      <c r="J52" s="130">
        <f t="shared" si="34"/>
        <v>8190.1365644827201</v>
      </c>
      <c r="K52" s="130">
        <f t="shared" si="34"/>
        <v>7129.9534237401649</v>
      </c>
      <c r="L52" s="130">
        <f t="shared" ref="L52" si="35">L53+L55</f>
        <v>6870.5073066367922</v>
      </c>
      <c r="M52" s="130">
        <f t="shared" ref="M52:V52" si="36">M53+M55</f>
        <v>6370.4642333021256</v>
      </c>
      <c r="N52" s="130">
        <f t="shared" si="36"/>
        <v>5403.712310451534</v>
      </c>
      <c r="O52" s="130">
        <f t="shared" si="36"/>
        <v>5214.8390449812059</v>
      </c>
      <c r="P52" s="130">
        <f t="shared" si="36"/>
        <v>5364.1053836681222</v>
      </c>
      <c r="Q52" s="130">
        <f t="shared" si="36"/>
        <v>5671.9071151319522</v>
      </c>
      <c r="R52" s="130">
        <f t="shared" si="36"/>
        <v>6521.3741876749045</v>
      </c>
      <c r="S52" s="130">
        <f t="shared" si="36"/>
        <v>6747.7165120643258</v>
      </c>
      <c r="T52" s="130">
        <f t="shared" si="36"/>
        <v>7028.08196456716</v>
      </c>
      <c r="U52" s="130">
        <f t="shared" si="36"/>
        <v>6680.8858017703114</v>
      </c>
      <c r="V52" s="130">
        <f t="shared" si="36"/>
        <v>6193.4321261921923</v>
      </c>
      <c r="W52" s="130">
        <f t="shared" ref="W52:Y52" si="37">W53+W55</f>
        <v>6403.8703217503316</v>
      </c>
      <c r="X52" s="130">
        <f t="shared" si="37"/>
        <v>6479.115100917681</v>
      </c>
      <c r="Y52" s="130">
        <f t="shared" si="37"/>
        <v>6098.2558440251323</v>
      </c>
      <c r="DA52" s="176" t="s">
        <v>401</v>
      </c>
    </row>
    <row r="53" spans="1:105" ht="11.45" customHeight="1" x14ac:dyDescent="0.25">
      <c r="A53" s="128" t="s">
        <v>27</v>
      </c>
      <c r="B53" s="97">
        <v>5183.7780012980138</v>
      </c>
      <c r="C53" s="97">
        <v>5483.0115159594043</v>
      </c>
      <c r="D53" s="97">
        <v>5868.9482144729218</v>
      </c>
      <c r="E53" s="97">
        <v>6261.5109093675683</v>
      </c>
      <c r="F53" s="97">
        <v>6673.1449270250705</v>
      </c>
      <c r="G53" s="97">
        <v>7008.0758737625792</v>
      </c>
      <c r="H53" s="97">
        <v>7146.2308019907659</v>
      </c>
      <c r="I53" s="97">
        <v>7420.8950644694933</v>
      </c>
      <c r="J53" s="97">
        <v>6856.4739799846557</v>
      </c>
      <c r="K53" s="97">
        <v>5918.4949771261645</v>
      </c>
      <c r="L53" s="97">
        <v>5684.920919956885</v>
      </c>
      <c r="M53" s="97">
        <v>5255.8992123122798</v>
      </c>
      <c r="N53" s="97">
        <v>4430.6100820345655</v>
      </c>
      <c r="O53" s="97">
        <v>4162.0358999735708</v>
      </c>
      <c r="P53" s="97">
        <v>4309.9917391393719</v>
      </c>
      <c r="Q53" s="97">
        <v>4560.5591541065205</v>
      </c>
      <c r="R53" s="97">
        <v>5251.7950861941063</v>
      </c>
      <c r="S53" s="97">
        <v>5444.2227525666285</v>
      </c>
      <c r="T53" s="97">
        <v>5639.464431504196</v>
      </c>
      <c r="U53" s="97">
        <v>5350.1795650393242</v>
      </c>
      <c r="V53" s="97">
        <v>4981.7480584131408</v>
      </c>
      <c r="W53" s="97">
        <v>5143.1282642872893</v>
      </c>
      <c r="X53" s="97">
        <v>5146.7973203613374</v>
      </c>
      <c r="Y53" s="97">
        <v>4892.2909734654822</v>
      </c>
      <c r="DA53" s="175" t="s">
        <v>668</v>
      </c>
    </row>
    <row r="54" spans="1:105" ht="11.45" customHeight="1" x14ac:dyDescent="0.25">
      <c r="A54" s="160" t="s">
        <v>131</v>
      </c>
      <c r="B54" s="97">
        <v>21.195068042528014</v>
      </c>
      <c r="C54" s="97">
        <v>20.790927282758631</v>
      </c>
      <c r="D54" s="97">
        <v>20.287078665216981</v>
      </c>
      <c r="E54" s="97">
        <v>27.556542185585585</v>
      </c>
      <c r="F54" s="97">
        <v>30.137644315824097</v>
      </c>
      <c r="G54" s="97">
        <v>42.986788845458861</v>
      </c>
      <c r="H54" s="97">
        <v>16.185749060581522</v>
      </c>
      <c r="I54" s="97">
        <v>76.507969443152035</v>
      </c>
      <c r="J54" s="97">
        <v>142.30777770706266</v>
      </c>
      <c r="K54" s="97">
        <v>227.16926166889851</v>
      </c>
      <c r="L54" s="97">
        <v>290.67342536429265</v>
      </c>
      <c r="M54" s="97">
        <v>346.03107447453243</v>
      </c>
      <c r="N54" s="97">
        <v>410.2219498649664</v>
      </c>
      <c r="O54" s="97">
        <v>148.51650462046678</v>
      </c>
      <c r="P54" s="97">
        <v>161.44653186623009</v>
      </c>
      <c r="Q54" s="97">
        <v>166.354735021295</v>
      </c>
      <c r="R54" s="97">
        <v>230.4063849196678</v>
      </c>
      <c r="S54" s="97">
        <v>272.92630556987154</v>
      </c>
      <c r="T54" s="97">
        <v>368.67573144405821</v>
      </c>
      <c r="U54" s="97">
        <v>345.44052889368265</v>
      </c>
      <c r="V54" s="97">
        <v>339.58779070402386</v>
      </c>
      <c r="W54" s="97">
        <v>306.22653937799521</v>
      </c>
      <c r="X54" s="97">
        <v>296.16266673527946</v>
      </c>
      <c r="Y54" s="97">
        <v>397.71050465880086</v>
      </c>
      <c r="DA54" s="175" t="s">
        <v>669</v>
      </c>
    </row>
    <row r="55" spans="1:105" ht="11.45" customHeight="1" x14ac:dyDescent="0.25">
      <c r="A55" s="128" t="s">
        <v>116</v>
      </c>
      <c r="B55" s="97">
        <v>1230.826517600389</v>
      </c>
      <c r="C55" s="97">
        <v>1279.073746122479</v>
      </c>
      <c r="D55" s="97">
        <v>1259.8080118368362</v>
      </c>
      <c r="E55" s="97">
        <v>1289.3382725481242</v>
      </c>
      <c r="F55" s="97">
        <v>1442.6047069544472</v>
      </c>
      <c r="G55" s="97">
        <v>1469.3256904421482</v>
      </c>
      <c r="H55" s="97">
        <v>1458.6722194920301</v>
      </c>
      <c r="I55" s="97">
        <v>1437.9205572462809</v>
      </c>
      <c r="J55" s="97">
        <v>1333.6625844980649</v>
      </c>
      <c r="K55" s="97">
        <v>1211.4584466140004</v>
      </c>
      <c r="L55" s="97">
        <v>1185.5863866799073</v>
      </c>
      <c r="M55" s="97">
        <v>1114.5650209898458</v>
      </c>
      <c r="N55" s="97">
        <v>973.10222841696816</v>
      </c>
      <c r="O55" s="97">
        <v>1052.8031450076351</v>
      </c>
      <c r="P55" s="97">
        <v>1054.1136445287507</v>
      </c>
      <c r="Q55" s="97">
        <v>1111.3479610254315</v>
      </c>
      <c r="R55" s="97">
        <v>1269.579101480798</v>
      </c>
      <c r="S55" s="97">
        <v>1303.4937594976971</v>
      </c>
      <c r="T55" s="97">
        <v>1388.6175330629635</v>
      </c>
      <c r="U55" s="97">
        <v>1330.706236730987</v>
      </c>
      <c r="V55" s="97">
        <v>1211.6840677790519</v>
      </c>
      <c r="W55" s="97">
        <v>1260.7420574630428</v>
      </c>
      <c r="X55" s="97">
        <v>1332.3177805563437</v>
      </c>
      <c r="Y55" s="97">
        <v>1205.9648705596505</v>
      </c>
      <c r="DA55" s="175" t="s">
        <v>670</v>
      </c>
    </row>
    <row r="56" spans="1:105" ht="11.45" customHeight="1" x14ac:dyDescent="0.25">
      <c r="A56" s="161" t="s">
        <v>131</v>
      </c>
      <c r="B56" s="98">
        <v>5.0325171684736087</v>
      </c>
      <c r="C56" s="98">
        <v>4.8500954571248869</v>
      </c>
      <c r="D56" s="98">
        <v>4.3547537489219099</v>
      </c>
      <c r="E56" s="98">
        <v>5.6743020994833708</v>
      </c>
      <c r="F56" s="98">
        <v>6.5151750819098364</v>
      </c>
      <c r="G56" s="98">
        <v>9.0126868398663209</v>
      </c>
      <c r="H56" s="98">
        <v>3.3037979265604469</v>
      </c>
      <c r="I56" s="98">
        <v>14.824678303592655</v>
      </c>
      <c r="J56" s="98">
        <v>27.680489879347878</v>
      </c>
      <c r="K56" s="98">
        <v>46.499341796093695</v>
      </c>
      <c r="L56" s="98">
        <v>60.61974492411008</v>
      </c>
      <c r="M56" s="98">
        <v>73.379286056585613</v>
      </c>
      <c r="N56" s="98">
        <v>90.097726084675614</v>
      </c>
      <c r="O56" s="98">
        <v>37.567826637670571</v>
      </c>
      <c r="P56" s="98">
        <v>39.485688697867765</v>
      </c>
      <c r="Q56" s="98">
        <v>40.538449195724219</v>
      </c>
      <c r="R56" s="98">
        <v>55.698885112772885</v>
      </c>
      <c r="S56" s="98">
        <v>65.345918468411398</v>
      </c>
      <c r="T56" s="98">
        <v>90.779823317633941</v>
      </c>
      <c r="U56" s="98">
        <v>85.918586587681389</v>
      </c>
      <c r="V56" s="98">
        <v>82.596131073601782</v>
      </c>
      <c r="W56" s="98">
        <v>75.065729934445116</v>
      </c>
      <c r="X56" s="98">
        <v>76.665693686320097</v>
      </c>
      <c r="Y56" s="98">
        <v>98.036870634315335</v>
      </c>
      <c r="DA56" s="178" t="s">
        <v>671</v>
      </c>
    </row>
    <row r="57" spans="1:105" x14ac:dyDescent="0.25">
      <c r="A57" s="106"/>
      <c r="B57" s="106"/>
      <c r="C57" s="106"/>
      <c r="D57" s="106"/>
      <c r="E57" s="106"/>
      <c r="F57" s="106"/>
      <c r="G57" s="106"/>
      <c r="H57" s="106"/>
      <c r="I57" s="106"/>
      <c r="J57" s="106"/>
      <c r="K57" s="106"/>
      <c r="L57" s="106"/>
      <c r="M57" s="106"/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X57" s="106"/>
      <c r="Y57" s="106"/>
      <c r="DA57" s="171"/>
    </row>
    <row r="58" spans="1:105" ht="11.45" customHeight="1" x14ac:dyDescent="0.25">
      <c r="A58" s="68" t="s">
        <v>36</v>
      </c>
      <c r="B58" s="69"/>
      <c r="C58" s="69"/>
      <c r="D58" s="69"/>
      <c r="E58" s="69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X58" s="69"/>
      <c r="Y58" s="69"/>
      <c r="DA58" s="179"/>
    </row>
    <row r="59" spans="1:105" x14ac:dyDescent="0.25">
      <c r="A59" s="106"/>
      <c r="B59" s="106"/>
      <c r="C59" s="106"/>
      <c r="D59" s="106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X59" s="106"/>
      <c r="Y59" s="106"/>
      <c r="DA59" s="171"/>
    </row>
    <row r="60" spans="1:105" ht="11.45" customHeight="1" x14ac:dyDescent="0.25">
      <c r="A60" s="53" t="s">
        <v>73</v>
      </c>
      <c r="B60" s="79">
        <f>IF(B17=0,0,B17/TrRoad_act!B30*100)</f>
        <v>11.997940482454071</v>
      </c>
      <c r="C60" s="79">
        <f>IF(C17=0,0,C17/TrRoad_act!C30*100)</f>
        <v>11.635305728482219</v>
      </c>
      <c r="D60" s="79">
        <f>IF(D17=0,0,D17/TrRoad_act!D30*100)</f>
        <v>11.433958722052436</v>
      </c>
      <c r="E60" s="79">
        <f>IF(E17=0,0,E17/TrRoad_act!E30*100)</f>
        <v>11.364351626245643</v>
      </c>
      <c r="F60" s="79">
        <f>IF(F17=0,0,F17/TrRoad_act!F30*100)</f>
        <v>10.999720693973948</v>
      </c>
      <c r="G60" s="79">
        <f>IF(G17=0,0,G17/TrRoad_act!G30*100)</f>
        <v>10.78408789413446</v>
      </c>
      <c r="H60" s="79">
        <f>IF(H17=0,0,H17/TrRoad_act!H30*100)</f>
        <v>10.599273764866687</v>
      </c>
      <c r="I60" s="79">
        <f>IF(I17=0,0,I17/TrRoad_act!I30*100)</f>
        <v>10.367585058227869</v>
      </c>
      <c r="J60" s="79">
        <f>IF(J17=0,0,J17/TrRoad_act!J30*100)</f>
        <v>9.9610763477343465</v>
      </c>
      <c r="K60" s="79">
        <f>IF(K17=0,0,K17/TrRoad_act!K30*100)</f>
        <v>9.4674466097803389</v>
      </c>
      <c r="L60" s="79">
        <f>IF(L17=0,0,L17/TrRoad_act!L30*100)</f>
        <v>9.3817210718254476</v>
      </c>
      <c r="M60" s="79">
        <f>IF(M17=0,0,M17/TrRoad_act!M30*100)</f>
        <v>9.1638185146618234</v>
      </c>
      <c r="N60" s="79">
        <f>IF(N17=0,0,N17/TrRoad_act!N30*100)</f>
        <v>8.7354957808958389</v>
      </c>
      <c r="O60" s="79">
        <f>IF(O17=0,0,O17/TrRoad_act!O30*100)</f>
        <v>8.6459098222382611</v>
      </c>
      <c r="P60" s="79">
        <f>IF(P17=0,0,P17/TrRoad_act!P30*100)</f>
        <v>8.5830238942867538</v>
      </c>
      <c r="Q60" s="79">
        <f>IF(Q17=0,0,Q17/TrRoad_act!Q30*100)</f>
        <v>8.44994746976983</v>
      </c>
      <c r="R60" s="79">
        <f>IF(R17=0,0,R17/TrRoad_act!R30*100)</f>
        <v>9.032620768923822</v>
      </c>
      <c r="S60" s="79">
        <f>IF(S17=0,0,S17/TrRoad_act!S30*100)</f>
        <v>8.6551522877615827</v>
      </c>
      <c r="T60" s="79">
        <f>IF(T17=0,0,T17/TrRoad_act!T30*100)</f>
        <v>8.6993124409989839</v>
      </c>
      <c r="U60" s="79">
        <f>IF(U17=0,0,U17/TrRoad_act!U30*100)</f>
        <v>8.1738740563957091</v>
      </c>
      <c r="V60" s="79">
        <f>IF(V17=0,0,V17/TrRoad_act!V30*100)</f>
        <v>8.2735309025487016</v>
      </c>
      <c r="W60" s="79">
        <f>IF(W17=0,0,W17/TrRoad_act!W30*100)</f>
        <v>7.8721112985023129</v>
      </c>
      <c r="X60" s="79">
        <f>IF(X17=0,0,X17/TrRoad_act!X30*100)</f>
        <v>7.8169422433672473</v>
      </c>
      <c r="Y60" s="79">
        <f>IF(Y17=0,0,Y17/TrRoad_act!Y30*100)</f>
        <v>7.5541760842466248</v>
      </c>
      <c r="DA60" s="172" t="s">
        <v>672</v>
      </c>
    </row>
    <row r="61" spans="1:105" ht="11.45" customHeight="1" x14ac:dyDescent="0.25">
      <c r="A61" s="27" t="s">
        <v>33</v>
      </c>
      <c r="B61" s="32">
        <f>IF(B18=0,0,B18/TrRoad_act!B31*100)</f>
        <v>9.2700405702893462</v>
      </c>
      <c r="C61" s="32">
        <f>IF(C18=0,0,C18/TrRoad_act!C31*100)</f>
        <v>8.9327622207903996</v>
      </c>
      <c r="D61" s="32">
        <f>IF(D18=0,0,D18/TrRoad_act!D31*100)</f>
        <v>8.7956628516420086</v>
      </c>
      <c r="E61" s="32">
        <f>IF(E18=0,0,E18/TrRoad_act!E31*100)</f>
        <v>8.7445850302424528</v>
      </c>
      <c r="F61" s="32">
        <f>IF(F18=0,0,F18/TrRoad_act!F31*100)</f>
        <v>8.3993434209997897</v>
      </c>
      <c r="G61" s="32">
        <f>IF(G18=0,0,G18/TrRoad_act!G31*100)</f>
        <v>8.2460357136317164</v>
      </c>
      <c r="H61" s="32">
        <f>IF(H18=0,0,H18/TrRoad_act!H31*100)</f>
        <v>8.1586705400075061</v>
      </c>
      <c r="I61" s="32">
        <f>IF(I18=0,0,I18/TrRoad_act!I31*100)</f>
        <v>8.0174041991836322</v>
      </c>
      <c r="J61" s="32">
        <f>IF(J18=0,0,J18/TrRoad_act!J31*100)</f>
        <v>7.753059635262681</v>
      </c>
      <c r="K61" s="32">
        <f>IF(K18=0,0,K18/TrRoad_act!K31*100)</f>
        <v>7.5538464401967635</v>
      </c>
      <c r="L61" s="32">
        <f>IF(L18=0,0,L18/TrRoad_act!L31*100)</f>
        <v>7.5042699520627396</v>
      </c>
      <c r="M61" s="32">
        <f>IF(M18=0,0,M18/TrRoad_act!M31*100)</f>
        <v>7.3892329235834415</v>
      </c>
      <c r="N61" s="32">
        <f>IF(N18=0,0,N18/TrRoad_act!N31*100)</f>
        <v>7.1638963473491764</v>
      </c>
      <c r="O61" s="32">
        <f>IF(O18=0,0,O18/TrRoad_act!O31*100)</f>
        <v>7.1098770362335459</v>
      </c>
      <c r="P61" s="32">
        <f>IF(P18=0,0,P18/TrRoad_act!P31*100)</f>
        <v>7.0288878109199997</v>
      </c>
      <c r="Q61" s="32">
        <f>IF(Q18=0,0,Q18/TrRoad_act!Q31*100)</f>
        <v>6.8632141643450186</v>
      </c>
      <c r="R61" s="32">
        <f>IF(R18=0,0,R18/TrRoad_act!R31*100)</f>
        <v>7.1770035158230288</v>
      </c>
      <c r="S61" s="32">
        <f>IF(S18=0,0,S18/TrRoad_act!S31*100)</f>
        <v>6.8127666861394429</v>
      </c>
      <c r="T61" s="32">
        <f>IF(T18=0,0,T18/TrRoad_act!T31*100)</f>
        <v>6.8143891941232289</v>
      </c>
      <c r="U61" s="32">
        <f>IF(U18=0,0,U18/TrRoad_act!U31*100)</f>
        <v>6.4898573235831467</v>
      </c>
      <c r="V61" s="32">
        <f>IF(V18=0,0,V18/TrRoad_act!V31*100)</f>
        <v>6.410826072106107</v>
      </c>
      <c r="W61" s="32">
        <f>IF(W18=0,0,W18/TrRoad_act!W31*100)</f>
        <v>6.2274438014774631</v>
      </c>
      <c r="X61" s="32">
        <f>IF(X18=0,0,X18/TrRoad_act!X31*100)</f>
        <v>6.2098614291734897</v>
      </c>
      <c r="Y61" s="32">
        <f>IF(Y18=0,0,Y18/TrRoad_act!Y31*100)</f>
        <v>6.0775280088832417</v>
      </c>
      <c r="DA61" s="173" t="s">
        <v>673</v>
      </c>
    </row>
    <row r="62" spans="1:105" ht="11.45" customHeight="1" x14ac:dyDescent="0.25">
      <c r="A62" s="136" t="s">
        <v>173</v>
      </c>
      <c r="B62" s="141">
        <f>IF(B19=0,0,B19/TrRoad_act!B32*100)</f>
        <v>4.2828309691699866</v>
      </c>
      <c r="C62" s="141">
        <f>IF(C19=0,0,C19/TrRoad_act!C32*100)</f>
        <v>4.2577592045725616</v>
      </c>
      <c r="D62" s="141">
        <f>IF(D19=0,0,D19/TrRoad_act!D32*100)</f>
        <v>4.1907131237614212</v>
      </c>
      <c r="E62" s="141">
        <f>IF(E19=0,0,E19/TrRoad_act!E32*100)</f>
        <v>4.1619849037839378</v>
      </c>
      <c r="F62" s="141">
        <f>IF(F19=0,0,F19/TrRoad_act!F32*100)</f>
        <v>4.1347456064879404</v>
      </c>
      <c r="G62" s="141">
        <f>IF(G19=0,0,G19/TrRoad_act!G32*100)</f>
        <v>4.1072300560172543</v>
      </c>
      <c r="H62" s="141">
        <f>IF(H19=0,0,H19/TrRoad_act!H32*100)</f>
        <v>4.0783721905278556</v>
      </c>
      <c r="I62" s="141">
        <f>IF(I19=0,0,I19/TrRoad_act!I32*100)</f>
        <v>4.050671056086216</v>
      </c>
      <c r="J62" s="141">
        <f>IF(J19=0,0,J19/TrRoad_act!J32*100)</f>
        <v>4.0200940631758497</v>
      </c>
      <c r="K62" s="141">
        <f>IF(K19=0,0,K19/TrRoad_act!K32*100)</f>
        <v>3.9963007236364811</v>
      </c>
      <c r="L62" s="141">
        <f>IF(L19=0,0,L19/TrRoad_act!L32*100)</f>
        <v>3.9647744804764811</v>
      </c>
      <c r="M62" s="141">
        <f>IF(M19=0,0,M19/TrRoad_act!M32*100)</f>
        <v>3.9511070758436175</v>
      </c>
      <c r="N62" s="141">
        <f>IF(N19=0,0,N19/TrRoad_act!N32*100)</f>
        <v>3.9236295128519476</v>
      </c>
      <c r="O62" s="141">
        <f>IF(O19=0,0,O19/TrRoad_act!O32*100)</f>
        <v>3.9078886130237049</v>
      </c>
      <c r="P62" s="141">
        <f>IF(P19=0,0,P19/TrRoad_act!P32*100)</f>
        <v>3.8749360343668937</v>
      </c>
      <c r="Q62" s="141">
        <f>IF(Q19=0,0,Q19/TrRoad_act!Q32*100)</f>
        <v>3.772503561975483</v>
      </c>
      <c r="R62" s="141">
        <f>IF(R19=0,0,R19/TrRoad_act!R32*100)</f>
        <v>3.8105824445400236</v>
      </c>
      <c r="S62" s="141">
        <f>IF(S19=0,0,S19/TrRoad_act!S32*100)</f>
        <v>3.7498394033152054</v>
      </c>
      <c r="T62" s="141">
        <f>IF(T19=0,0,T19/TrRoad_act!T32*100)</f>
        <v>3.7280371014618807</v>
      </c>
      <c r="U62" s="141">
        <f>IF(U19=0,0,U19/TrRoad_act!U32*100)</f>
        <v>3.7062525581182895</v>
      </c>
      <c r="V62" s="141">
        <f>IF(V19=0,0,V19/TrRoad_act!V32*100)</f>
        <v>3.5070409503527182</v>
      </c>
      <c r="W62" s="141">
        <f>IF(W19=0,0,W19/TrRoad_act!W32*100)</f>
        <v>3.63237165240258</v>
      </c>
      <c r="X62" s="141">
        <f>IF(X19=0,0,X19/TrRoad_act!X32*100)</f>
        <v>3.4744287602887511</v>
      </c>
      <c r="Y62" s="141">
        <f>IF(Y19=0,0,Y19/TrRoad_act!Y32*100)</f>
        <v>3.4577607351414184</v>
      </c>
      <c r="DA62" s="174" t="s">
        <v>674</v>
      </c>
    </row>
    <row r="63" spans="1:105" ht="11.45" customHeight="1" x14ac:dyDescent="0.25">
      <c r="A63" s="109" t="s">
        <v>20</v>
      </c>
      <c r="B63" s="130">
        <f>IF(B21=0,0,B21/TrRoad_act!B33*100)</f>
        <v>8.9487529442935951</v>
      </c>
      <c r="C63" s="130">
        <f>IF(C21=0,0,C21/TrRoad_act!C33*100)</f>
        <v>8.6324320547871771</v>
      </c>
      <c r="D63" s="130">
        <f>IF(D21=0,0,D21/TrRoad_act!D33*100)</f>
        <v>8.502074509582048</v>
      </c>
      <c r="E63" s="130">
        <f>IF(E21=0,0,E21/TrRoad_act!E33*100)</f>
        <v>8.4926118239632427</v>
      </c>
      <c r="F63" s="130">
        <f>IF(F21=0,0,F21/TrRoad_act!F33*100)</f>
        <v>8.1313338357889382</v>
      </c>
      <c r="G63" s="130">
        <f>IF(G21=0,0,G21/TrRoad_act!G33*100)</f>
        <v>8.017657656128609</v>
      </c>
      <c r="H63" s="130">
        <f>IF(H21=0,0,H21/TrRoad_act!H33*100)</f>
        <v>7.9255740088470183</v>
      </c>
      <c r="I63" s="130">
        <f>IF(I21=0,0,I21/TrRoad_act!I33*100)</f>
        <v>7.7986656535823151</v>
      </c>
      <c r="J63" s="130">
        <f>IF(J21=0,0,J21/TrRoad_act!J33*100)</f>
        <v>7.52648109687967</v>
      </c>
      <c r="K63" s="130">
        <f>IF(K21=0,0,K21/TrRoad_act!K33*100)</f>
        <v>7.3312677892169704</v>
      </c>
      <c r="L63" s="130">
        <f>IF(L21=0,0,L21/TrRoad_act!L33*100)</f>
        <v>7.2842299643655464</v>
      </c>
      <c r="M63" s="130">
        <f>IF(M21=0,0,M21/TrRoad_act!M33*100)</f>
        <v>7.145909411701977</v>
      </c>
      <c r="N63" s="130">
        <f>IF(N21=0,0,N21/TrRoad_act!N33*100)</f>
        <v>6.899029871107504</v>
      </c>
      <c r="O63" s="130">
        <f>IF(O21=0,0,O21/TrRoad_act!O33*100)</f>
        <v>6.8630995177259413</v>
      </c>
      <c r="P63" s="130">
        <f>IF(P21=0,0,P21/TrRoad_act!P33*100)</f>
        <v>6.8057649299833987</v>
      </c>
      <c r="Q63" s="130">
        <f>IF(Q21=0,0,Q21/TrRoad_act!Q33*100)</f>
        <v>6.6608752018323685</v>
      </c>
      <c r="R63" s="130">
        <f>IF(R21=0,0,R21/TrRoad_act!R33*100)</f>
        <v>6.9809545158182207</v>
      </c>
      <c r="S63" s="130">
        <f>IF(S21=0,0,S21/TrRoad_act!S33*100)</f>
        <v>6.7313132712923167</v>
      </c>
      <c r="T63" s="130">
        <f>IF(T21=0,0,T21/TrRoad_act!T33*100)</f>
        <v>6.7281236158779096</v>
      </c>
      <c r="U63" s="130">
        <f>IF(U21=0,0,U21/TrRoad_act!U33*100)</f>
        <v>6.3988113948222081</v>
      </c>
      <c r="V63" s="130">
        <f>IF(V21=0,0,V21/TrRoad_act!V33*100)</f>
        <v>6.3599873402069909</v>
      </c>
      <c r="W63" s="130">
        <f>IF(W21=0,0,W21/TrRoad_act!W33*100)</f>
        <v>6.1329109834964184</v>
      </c>
      <c r="X63" s="130">
        <f>IF(X21=0,0,X21/TrRoad_act!X33*100)</f>
        <v>6.0995661781274784</v>
      </c>
      <c r="Y63" s="130">
        <f>IF(Y21=0,0,Y21/TrRoad_act!Y33*100)</f>
        <v>5.9457091362581096</v>
      </c>
      <c r="DA63" s="176" t="s">
        <v>675</v>
      </c>
    </row>
    <row r="64" spans="1:105" ht="11.45" customHeight="1" x14ac:dyDescent="0.25">
      <c r="A64" s="111" t="s">
        <v>110</v>
      </c>
      <c r="B64" s="96">
        <f>IF(B22=0,0,B22/TrRoad_act!B34*100)</f>
        <v>9.3949222098072998</v>
      </c>
      <c r="C64" s="96">
        <f>IF(C22=0,0,C22/TrRoad_act!C34*100)</f>
        <v>9.3049435964934695</v>
      </c>
      <c r="D64" s="96">
        <f>IF(D22=0,0,D22/TrRoad_act!D34*100)</f>
        <v>9.0688169694039278</v>
      </c>
      <c r="E64" s="96">
        <f>IF(E22=0,0,E22/TrRoad_act!E34*100)</f>
        <v>9.1549029575768373</v>
      </c>
      <c r="F64" s="96">
        <f>IF(F22=0,0,F22/TrRoad_act!F34*100)</f>
        <v>8.8339885802677909</v>
      </c>
      <c r="G64" s="96">
        <f>IF(G22=0,0,G22/TrRoad_act!G34*100)</f>
        <v>8.6799054998374245</v>
      </c>
      <c r="H64" s="96">
        <f>IF(H22=0,0,H22/TrRoad_act!H34*100)</f>
        <v>8.5879098821764863</v>
      </c>
      <c r="I64" s="96">
        <f>IF(I22=0,0,I22/TrRoad_act!I34*100)</f>
        <v>8.4302752428367569</v>
      </c>
      <c r="J64" s="96">
        <f>IF(J22=0,0,J22/TrRoad_act!J34*100)</f>
        <v>8.0067238803349063</v>
      </c>
      <c r="K64" s="96">
        <f>IF(K22=0,0,K22/TrRoad_act!K34*100)</f>
        <v>7.7915142320754738</v>
      </c>
      <c r="L64" s="96">
        <f>IF(L22=0,0,L22/TrRoad_act!L34*100)</f>
        <v>7.6819593831493389</v>
      </c>
      <c r="M64" s="96">
        <f>IF(M22=0,0,M22/TrRoad_act!M34*100)</f>
        <v>7.5050851378994796</v>
      </c>
      <c r="N64" s="96">
        <f>IF(N22=0,0,N22/TrRoad_act!N34*100)</f>
        <v>7.1565865666322672</v>
      </c>
      <c r="O64" s="96">
        <f>IF(O22=0,0,O22/TrRoad_act!O34*100)</f>
        <v>7.230588281803831</v>
      </c>
      <c r="P64" s="96">
        <f>IF(P22=0,0,P22/TrRoad_act!P34*100)</f>
        <v>7.2069530142173504</v>
      </c>
      <c r="Q64" s="96">
        <f>IF(Q22=0,0,Q22/TrRoad_act!Q34*100)</f>
        <v>7.061503953253788</v>
      </c>
      <c r="R64" s="96">
        <f>IF(R22=0,0,R22/TrRoad_act!R34*100)</f>
        <v>7.5687819915814787</v>
      </c>
      <c r="S64" s="96">
        <f>IF(S22=0,0,S22/TrRoad_act!S34*100)</f>
        <v>7.7565542144398396</v>
      </c>
      <c r="T64" s="96">
        <f>IF(T22=0,0,T22/TrRoad_act!T34*100)</f>
        <v>7.8735077788018444</v>
      </c>
      <c r="U64" s="96">
        <f>IF(U22=0,0,U22/TrRoad_act!U34*100)</f>
        <v>7.4936360242476283</v>
      </c>
      <c r="V64" s="96">
        <f>IF(V22=0,0,V22/TrRoad_act!V34*100)</f>
        <v>8.2443553073696396</v>
      </c>
      <c r="W64" s="96">
        <f>IF(W22=0,0,W22/TrRoad_act!W34*100)</f>
        <v>7.9566390941636884</v>
      </c>
      <c r="X64" s="96">
        <f>IF(X22=0,0,X22/TrRoad_act!X34*100)</f>
        <v>7.5742084820386246</v>
      </c>
      <c r="Y64" s="96">
        <f>IF(Y22=0,0,Y22/TrRoad_act!Y34*100)</f>
        <v>7.3004253284873002</v>
      </c>
      <c r="DA64" s="171" t="s">
        <v>676</v>
      </c>
    </row>
    <row r="65" spans="1:105" ht="11.45" customHeight="1" x14ac:dyDescent="0.25">
      <c r="A65" s="111" t="s">
        <v>111</v>
      </c>
      <c r="B65" s="96">
        <f>IF(B24=0,0,B24/TrRoad_act!B35*100)</f>
        <v>8.4206656892982128</v>
      </c>
      <c r="C65" s="96">
        <f>IF(C24=0,0,C24/TrRoad_act!C35*100)</f>
        <v>7.9591763915328029</v>
      </c>
      <c r="D65" s="96">
        <f>IF(D24=0,0,D24/TrRoad_act!D35*100)</f>
        <v>7.9918325930348226</v>
      </c>
      <c r="E65" s="96">
        <f>IF(E24=0,0,E24/TrRoad_act!E35*100)</f>
        <v>7.9805730656542426</v>
      </c>
      <c r="F65" s="96">
        <f>IF(F24=0,0,F24/TrRoad_act!F35*100)</f>
        <v>7.6548844858476075</v>
      </c>
      <c r="G65" s="96">
        <f>IF(G24=0,0,G24/TrRoad_act!G35*100)</f>
        <v>7.6345221442116902</v>
      </c>
      <c r="H65" s="96">
        <f>IF(H24=0,0,H24/TrRoad_act!H35*100)</f>
        <v>7.5881339308273041</v>
      </c>
      <c r="I65" s="96">
        <f>IF(I24=0,0,I24/TrRoad_act!I35*100)</f>
        <v>7.5057961777092768</v>
      </c>
      <c r="J65" s="96">
        <f>IF(J24=0,0,J24/TrRoad_act!J35*100)</f>
        <v>7.3271373848537396</v>
      </c>
      <c r="K65" s="96">
        <f>IF(K24=0,0,K24/TrRoad_act!K35*100)</f>
        <v>7.1515242726022912</v>
      </c>
      <c r="L65" s="96">
        <f>IF(L24=0,0,L24/TrRoad_act!L35*100)</f>
        <v>7.1354416017199274</v>
      </c>
      <c r="M65" s="96">
        <f>IF(M24=0,0,M24/TrRoad_act!M35*100)</f>
        <v>7.0155200061031664</v>
      </c>
      <c r="N65" s="96">
        <f>IF(N24=0,0,N24/TrRoad_act!N35*100)</f>
        <v>6.8065880246158921</v>
      </c>
      <c r="O65" s="96">
        <f>IF(O24=0,0,O24/TrRoad_act!O35*100)</f>
        <v>6.7371030722003651</v>
      </c>
      <c r="P65" s="96">
        <f>IF(P24=0,0,P24/TrRoad_act!P35*100)</f>
        <v>6.6744662293003909</v>
      </c>
      <c r="Q65" s="96">
        <f>IF(Q24=0,0,Q24/TrRoad_act!Q35*100)</f>
        <v>6.5313236928410818</v>
      </c>
      <c r="R65" s="96">
        <f>IF(R24=0,0,R24/TrRoad_act!R35*100)</f>
        <v>6.7940507628052007</v>
      </c>
      <c r="S65" s="96">
        <f>IF(S24=0,0,S24/TrRoad_act!S35*100)</f>
        <v>6.4401207209107207</v>
      </c>
      <c r="T65" s="96">
        <f>IF(T24=0,0,T24/TrRoad_act!T35*100)</f>
        <v>6.4005168545146578</v>
      </c>
      <c r="U65" s="96">
        <f>IF(U24=0,0,U24/TrRoad_act!U35*100)</f>
        <v>6.0754789529517259</v>
      </c>
      <c r="V65" s="96">
        <f>IF(V24=0,0,V24/TrRoad_act!V35*100)</f>
        <v>5.8957096258208015</v>
      </c>
      <c r="W65" s="96">
        <f>IF(W24=0,0,W24/TrRoad_act!W35*100)</f>
        <v>5.649851659711171</v>
      </c>
      <c r="X65" s="96">
        <f>IF(X24=0,0,X24/TrRoad_act!X35*100)</f>
        <v>5.6578692244414439</v>
      </c>
      <c r="Y65" s="96">
        <f>IF(Y24=0,0,Y24/TrRoad_act!Y35*100)</f>
        <v>5.5364172548918109</v>
      </c>
      <c r="DA65" s="171" t="s">
        <v>677</v>
      </c>
    </row>
    <row r="66" spans="1:105" ht="11.45" customHeight="1" x14ac:dyDescent="0.25">
      <c r="A66" s="111" t="s">
        <v>112</v>
      </c>
      <c r="B66" s="96">
        <f>IF(B26=0,0,B26/TrRoad_act!B36*100)</f>
        <v>21.895152019818546</v>
      </c>
      <c r="C66" s="96">
        <f>IF(C26=0,0,C26/TrRoad_act!C36*100)</f>
        <v>21.115839433552971</v>
      </c>
      <c r="D66" s="96">
        <f>IF(D26=0,0,D26/TrRoad_act!D36*100)</f>
        <v>20.643769526545469</v>
      </c>
      <c r="E66" s="96">
        <f>IF(E26=0,0,E26/TrRoad_act!E36*100)</f>
        <v>21.834753852526237</v>
      </c>
      <c r="F66" s="96">
        <f>IF(F26=0,0,F26/TrRoad_act!F36*100)</f>
        <v>23.546695611094375</v>
      </c>
      <c r="G66" s="96">
        <f>IF(G26=0,0,G26/TrRoad_act!G36*100)</f>
        <v>21.389097332985706</v>
      </c>
      <c r="H66" s="96">
        <f>IF(H26=0,0,H26/TrRoad_act!H36*100)</f>
        <v>22.015571929572559</v>
      </c>
      <c r="I66" s="96">
        <f>IF(I26=0,0,I26/TrRoad_act!I36*100)</f>
        <v>27.110755736160776</v>
      </c>
      <c r="J66" s="96">
        <f>IF(J26=0,0,J26/TrRoad_act!J36*100)</f>
        <v>12.903975218590672</v>
      </c>
      <c r="K66" s="96">
        <f>IF(K26=0,0,K26/TrRoad_act!K36*100)</f>
        <v>11.967697146905964</v>
      </c>
      <c r="L66" s="96">
        <f>IF(L26=0,0,L26/TrRoad_act!L36*100)</f>
        <v>12.486782745078203</v>
      </c>
      <c r="M66" s="96">
        <f>IF(M26=0,0,M26/TrRoad_act!M36*100)</f>
        <v>12.769088820757485</v>
      </c>
      <c r="N66" s="96">
        <f>IF(N26=0,0,N26/TrRoad_act!N36*100)</f>
        <v>11.254962990713787</v>
      </c>
      <c r="O66" s="96">
        <f>IF(O26=0,0,O26/TrRoad_act!O36*100)</f>
        <v>12.743826820541168</v>
      </c>
      <c r="P66" s="96">
        <f>IF(P26=0,0,P26/TrRoad_act!P36*100)</f>
        <v>12.496159084564356</v>
      </c>
      <c r="Q66" s="96">
        <f>IF(Q26=0,0,Q26/TrRoad_act!Q36*100)</f>
        <v>13.415685207886508</v>
      </c>
      <c r="R66" s="96">
        <f>IF(R26=0,0,R26/TrRoad_act!R36*100)</f>
        <v>13.884119794002665</v>
      </c>
      <c r="S66" s="96">
        <f>IF(S26=0,0,S26/TrRoad_act!S36*100)</f>
        <v>12.516654829848301</v>
      </c>
      <c r="T66" s="96">
        <f>IF(T26=0,0,T26/TrRoad_act!T36*100)</f>
        <v>9.6030967917322805</v>
      </c>
      <c r="U66" s="96">
        <f>IF(U26=0,0,U26/TrRoad_act!U36*100)</f>
        <v>8.7381798255908407</v>
      </c>
      <c r="V66" s="96">
        <f>IF(V26=0,0,V26/TrRoad_act!V36*100)</f>
        <v>9.0315166504251359</v>
      </c>
      <c r="W66" s="96">
        <f>IF(W26=0,0,W26/TrRoad_act!W36*100)</f>
        <v>7.8952930669895407</v>
      </c>
      <c r="X66" s="96">
        <f>IF(X26=0,0,X26/TrRoad_act!X36*100)</f>
        <v>7.788950903211064</v>
      </c>
      <c r="Y66" s="96">
        <f>IF(Y26=0,0,Y26/TrRoad_act!Y36*100)</f>
        <v>5.2405064560916239</v>
      </c>
      <c r="DA66" s="171" t="s">
        <v>678</v>
      </c>
    </row>
    <row r="67" spans="1:105" ht="11.45" customHeight="1" x14ac:dyDescent="0.25">
      <c r="A67" s="111" t="s">
        <v>113</v>
      </c>
      <c r="B67" s="96">
        <f>IF(B27=0,0,B27/TrRoad_act!B37*100)</f>
        <v>0</v>
      </c>
      <c r="C67" s="96">
        <f>IF(C27=0,0,C27/TrRoad_act!C37*100)</f>
        <v>0</v>
      </c>
      <c r="D67" s="96">
        <f>IF(D27=0,0,D27/TrRoad_act!D37*100)</f>
        <v>0</v>
      </c>
      <c r="E67" s="96">
        <f>IF(E27=0,0,E27/TrRoad_act!E37*100)</f>
        <v>0</v>
      </c>
      <c r="F67" s="96">
        <f>IF(F27=0,0,F27/TrRoad_act!F37*100)</f>
        <v>7.8163702508963571</v>
      </c>
      <c r="G67" s="96">
        <f>IF(G27=0,0,G27/TrRoad_act!G37*100)</f>
        <v>7.8186623382672442</v>
      </c>
      <c r="H67" s="96">
        <f>IF(H27=0,0,H27/TrRoad_act!H37*100)</f>
        <v>7.76880383871167</v>
      </c>
      <c r="I67" s="96">
        <f>IF(I27=0,0,I27/TrRoad_act!I37*100)</f>
        <v>7.7680810818674049</v>
      </c>
      <c r="J67" s="96">
        <f>IF(J27=0,0,J27/TrRoad_act!J37*100)</f>
        <v>7.7587154819614899</v>
      </c>
      <c r="K67" s="96">
        <f>IF(K27=0,0,K27/TrRoad_act!K37*100)</f>
        <v>7.7410064417025994</v>
      </c>
      <c r="L67" s="96">
        <f>IF(L27=0,0,L27/TrRoad_act!L37*100)</f>
        <v>7.6640633356624344</v>
      </c>
      <c r="M67" s="96">
        <f>IF(M27=0,0,M27/TrRoad_act!M37*100)</f>
        <v>7.6436283724895286</v>
      </c>
      <c r="N67" s="96">
        <f>IF(N27=0,0,N27/TrRoad_act!N37*100)</f>
        <v>6.9203484759097753</v>
      </c>
      <c r="O67" s="96">
        <f>IF(O27=0,0,O27/TrRoad_act!O37*100)</f>
        <v>6.7654145065760147</v>
      </c>
      <c r="P67" s="96">
        <f>IF(P27=0,0,P27/TrRoad_act!P37*100)</f>
        <v>6.7133506356902242</v>
      </c>
      <c r="Q67" s="96">
        <f>IF(Q27=0,0,Q27/TrRoad_act!Q37*100)</f>
        <v>6.6952037477992441</v>
      </c>
      <c r="R67" s="96">
        <f>IF(R27=0,0,R27/TrRoad_act!R37*100)</f>
        <v>6.6469215662873573</v>
      </c>
      <c r="S67" s="96">
        <f>IF(S27=0,0,S27/TrRoad_act!S37*100)</f>
        <v>6.4769334494657995</v>
      </c>
      <c r="T67" s="96">
        <f>IF(T27=0,0,T27/TrRoad_act!T37*100)</f>
        <v>6.4223294330921776</v>
      </c>
      <c r="U67" s="96">
        <f>IF(U27=0,0,U27/TrRoad_act!U37*100)</f>
        <v>5.7825791257054489</v>
      </c>
      <c r="V67" s="96">
        <f>IF(V27=0,0,V27/TrRoad_act!V37*100)</f>
        <v>5.6164531365050063</v>
      </c>
      <c r="W67" s="96">
        <f>IF(W27=0,0,W27/TrRoad_act!W37*100)</f>
        <v>5.5590474446758416</v>
      </c>
      <c r="X67" s="96">
        <f>IF(X27=0,0,X27/TrRoad_act!X37*100)</f>
        <v>5.521020425014548</v>
      </c>
      <c r="Y67" s="96">
        <f>IF(Y27=0,0,Y27/TrRoad_act!Y37*100)</f>
        <v>5.51291883665911</v>
      </c>
      <c r="DA67" s="171" t="s">
        <v>679</v>
      </c>
    </row>
    <row r="68" spans="1:105" ht="11.45" customHeight="1" x14ac:dyDescent="0.25">
      <c r="A68" s="111" t="s">
        <v>114</v>
      </c>
      <c r="B68" s="96">
        <f>IF(B29=0,0,B29/TrRoad_act!B38*100)</f>
        <v>0</v>
      </c>
      <c r="C68" s="96">
        <f>IF(C29=0,0,C29/TrRoad_act!C38*100)</f>
        <v>0</v>
      </c>
      <c r="D68" s="96">
        <f>IF(D29=0,0,D29/TrRoad_act!D38*100)</f>
        <v>0</v>
      </c>
      <c r="E68" s="96">
        <f>IF(E29=0,0,E29/TrRoad_act!E38*100)</f>
        <v>0</v>
      </c>
      <c r="F68" s="96">
        <f>IF(F29=0,0,F29/TrRoad_act!F38*100)</f>
        <v>0</v>
      </c>
      <c r="G68" s="96">
        <f>IF(G29=0,0,G29/TrRoad_act!G38*100)</f>
        <v>0</v>
      </c>
      <c r="H68" s="96">
        <f>IF(H29=0,0,H29/TrRoad_act!H38*100)</f>
        <v>0</v>
      </c>
      <c r="I68" s="96">
        <f>IF(I29=0,0,I29/TrRoad_act!I38*100)</f>
        <v>0</v>
      </c>
      <c r="J68" s="96">
        <f>IF(J29=0,0,J29/TrRoad_act!J38*100)</f>
        <v>0</v>
      </c>
      <c r="K68" s="96">
        <f>IF(K29=0,0,K29/TrRoad_act!K38*100)</f>
        <v>0</v>
      </c>
      <c r="L68" s="96">
        <f>IF(L29=0,0,L29/TrRoad_act!L38*100)</f>
        <v>0</v>
      </c>
      <c r="M68" s="96">
        <f>IF(M29=0,0,M29/TrRoad_act!M38*100)</f>
        <v>3.3970259450061007</v>
      </c>
      <c r="N68" s="96">
        <f>IF(N29=0,0,N29/TrRoad_act!N38*100)</f>
        <v>2.733168703620442</v>
      </c>
      <c r="O68" s="96">
        <f>IF(O29=0,0,O29/TrRoad_act!O38*100)</f>
        <v>3.314638924128837</v>
      </c>
      <c r="P68" s="96">
        <f>IF(P29=0,0,P29/TrRoad_act!P38*100)</f>
        <v>3.1282412788349818</v>
      </c>
      <c r="Q68" s="96">
        <f>IF(Q29=0,0,Q29/TrRoad_act!Q38*100)</f>
        <v>3.0063727605857387</v>
      </c>
      <c r="R68" s="96">
        <f>IF(R29=0,0,R29/TrRoad_act!R38*100)</f>
        <v>3.3035561508797251</v>
      </c>
      <c r="S68" s="96">
        <f>IF(S29=0,0,S29/TrRoad_act!S38*100)</f>
        <v>3.5714803654624365</v>
      </c>
      <c r="T68" s="96">
        <f>IF(T29=0,0,T29/TrRoad_act!T38*100)</f>
        <v>3.6042241993007464</v>
      </c>
      <c r="U68" s="96">
        <f>IF(U29=0,0,U29/TrRoad_act!U38*100)</f>
        <v>3.6732049906826387</v>
      </c>
      <c r="V68" s="96">
        <f>IF(V29=0,0,V29/TrRoad_act!V38*100)</f>
        <v>4.166391136721681</v>
      </c>
      <c r="W68" s="96">
        <f>IF(W29=0,0,W29/TrRoad_act!W38*100)</f>
        <v>3.7306807885447073</v>
      </c>
      <c r="X68" s="96">
        <f>IF(X29=0,0,X29/TrRoad_act!X38*100)</f>
        <v>3.5244793329397424</v>
      </c>
      <c r="Y68" s="96">
        <f>IF(Y29=0,0,Y29/TrRoad_act!Y38*100)</f>
        <v>3.3722254103544249</v>
      </c>
      <c r="DA68" s="171" t="s">
        <v>680</v>
      </c>
    </row>
    <row r="69" spans="1:105" ht="11.45" customHeight="1" x14ac:dyDescent="0.25">
      <c r="A69" s="111" t="s">
        <v>115</v>
      </c>
      <c r="B69" s="96">
        <f>IF(B32=0,0,B32/TrRoad_act!B39*100)</f>
        <v>0</v>
      </c>
      <c r="C69" s="96">
        <f>IF(C32=0,0,C32/TrRoad_act!C39*100)</f>
        <v>0</v>
      </c>
      <c r="D69" s="96">
        <f>IF(D32=0,0,D32/TrRoad_act!D39*100)</f>
        <v>0</v>
      </c>
      <c r="E69" s="96">
        <f>IF(E32=0,0,E32/TrRoad_act!E39*100)</f>
        <v>0</v>
      </c>
      <c r="F69" s="96">
        <f>IF(F32=0,0,F32/TrRoad_act!F39*100)</f>
        <v>0</v>
      </c>
      <c r="G69" s="96">
        <f>IF(G32=0,0,G32/TrRoad_act!G39*100)</f>
        <v>0</v>
      </c>
      <c r="H69" s="96">
        <f>IF(H32=0,0,H32/TrRoad_act!H39*100)</f>
        <v>0</v>
      </c>
      <c r="I69" s="96">
        <f>IF(I32=0,0,I32/TrRoad_act!I39*100)</f>
        <v>0</v>
      </c>
      <c r="J69" s="96">
        <f>IF(J32=0,0,J32/TrRoad_act!J39*100)</f>
        <v>0</v>
      </c>
      <c r="K69" s="96">
        <f>IF(K32=0,0,K32/TrRoad_act!K39*100)</f>
        <v>1.2832924931288183</v>
      </c>
      <c r="L69" s="96">
        <f>IF(L32=0,0,L32/TrRoad_act!L39*100)</f>
        <v>1.270660170064158</v>
      </c>
      <c r="M69" s="96">
        <f>IF(M32=0,0,M32/TrRoad_act!M39*100)</f>
        <v>1.2764561638223371</v>
      </c>
      <c r="N69" s="96">
        <f>IF(N32=0,0,N32/TrRoad_act!N39*100)</f>
        <v>1.2792952774996564</v>
      </c>
      <c r="O69" s="96">
        <f>IF(O32=0,0,O32/TrRoad_act!O39*100)</f>
        <v>1.3049107608650321</v>
      </c>
      <c r="P69" s="96">
        <f>IF(P32=0,0,P32/TrRoad_act!P39*100)</f>
        <v>1.3157815046424544</v>
      </c>
      <c r="Q69" s="96">
        <f>IF(Q32=0,0,Q32/TrRoad_act!Q39*100)</f>
        <v>1.3378494127235987</v>
      </c>
      <c r="R69" s="96">
        <f>IF(R32=0,0,R32/TrRoad_act!R39*100)</f>
        <v>1.3278716961905752</v>
      </c>
      <c r="S69" s="96">
        <f>IF(S32=0,0,S32/TrRoad_act!S39*100)</f>
        <v>1.3331562013538487</v>
      </c>
      <c r="T69" s="96">
        <f>IF(T32=0,0,T32/TrRoad_act!T39*100)</f>
        <v>1.3904969019236864</v>
      </c>
      <c r="U69" s="96">
        <f>IF(U32=0,0,U32/TrRoad_act!U39*100)</f>
        <v>1.4795171755760261</v>
      </c>
      <c r="V69" s="96">
        <f>IF(V32=0,0,V32/TrRoad_act!V39*100)</f>
        <v>1.5562999092623744</v>
      </c>
      <c r="W69" s="96">
        <f>IF(W32=0,0,W32/TrRoad_act!W39*100)</f>
        <v>1.5682118957509774</v>
      </c>
      <c r="X69" s="96">
        <f>IF(X32=0,0,X32/TrRoad_act!X39*100)</f>
        <v>1.57110703499194</v>
      </c>
      <c r="Y69" s="96">
        <f>IF(Y32=0,0,Y32/TrRoad_act!Y39*100)</f>
        <v>1.5741530485409625</v>
      </c>
      <c r="DA69" s="171" t="s">
        <v>681</v>
      </c>
    </row>
    <row r="70" spans="1:105" ht="11.45" customHeight="1" x14ac:dyDescent="0.25">
      <c r="A70" s="109" t="s">
        <v>21</v>
      </c>
      <c r="B70" s="130">
        <f>IF(B33=0,0,B33/TrRoad_act!B40*100)</f>
        <v>60.141986115663627</v>
      </c>
      <c r="C70" s="130">
        <f>IF(C33=0,0,C33/TrRoad_act!C40*100)</f>
        <v>58.336961343762496</v>
      </c>
      <c r="D70" s="130">
        <f>IF(D33=0,0,D33/TrRoad_act!D40*100)</f>
        <v>57.778584322029104</v>
      </c>
      <c r="E70" s="130">
        <f>IF(E33=0,0,E33/TrRoad_act!E40*100)</f>
        <v>57.00923268017317</v>
      </c>
      <c r="F70" s="130">
        <f>IF(F33=0,0,F33/TrRoad_act!F40*100)</f>
        <v>56.261611944396805</v>
      </c>
      <c r="G70" s="130">
        <f>IF(G33=0,0,G33/TrRoad_act!G40*100)</f>
        <v>55.712162850480809</v>
      </c>
      <c r="H70" s="130">
        <f>IF(H33=0,0,H33/TrRoad_act!H40*100)</f>
        <v>55.184107205191978</v>
      </c>
      <c r="I70" s="130">
        <f>IF(I33=0,0,I33/TrRoad_act!I40*100)</f>
        <v>55.116688044747399</v>
      </c>
      <c r="J70" s="130">
        <f>IF(J33=0,0,J33/TrRoad_act!J40*100)</f>
        <v>54.885586481038416</v>
      </c>
      <c r="K70" s="130">
        <f>IF(K33=0,0,K33/TrRoad_act!K40*100)</f>
        <v>54.955393860054301</v>
      </c>
      <c r="L70" s="130">
        <f>IF(L33=0,0,L33/TrRoad_act!L40*100)</f>
        <v>55.327224010966681</v>
      </c>
      <c r="M70" s="130">
        <f>IF(M33=0,0,M33/TrRoad_act!M40*100)</f>
        <v>55.428489985810728</v>
      </c>
      <c r="N70" s="130">
        <f>IF(N33=0,0,N33/TrRoad_act!N40*100)</f>
        <v>55.492371069538436</v>
      </c>
      <c r="O70" s="130">
        <f>IF(O33=0,0,O33/TrRoad_act!O40*100)</f>
        <v>55.747800328695973</v>
      </c>
      <c r="P70" s="130">
        <f>IF(P33=0,0,P33/TrRoad_act!P40*100)</f>
        <v>56.320270381620773</v>
      </c>
      <c r="Q70" s="130">
        <f>IF(Q33=0,0,Q33/TrRoad_act!Q40*100)</f>
        <v>54.940008804804819</v>
      </c>
      <c r="R70" s="130">
        <f>IF(R33=0,0,R33/TrRoad_act!R40*100)</f>
        <v>55.775102507388993</v>
      </c>
      <c r="S70" s="130">
        <f>IF(S33=0,0,S33/TrRoad_act!S40*100)</f>
        <v>56.901594736704617</v>
      </c>
      <c r="T70" s="130">
        <f>IF(T33=0,0,T33/TrRoad_act!T40*100)</f>
        <v>55.341037560051177</v>
      </c>
      <c r="U70" s="130">
        <f>IF(U33=0,0,U33/TrRoad_act!U40*100)</f>
        <v>55.546392089980316</v>
      </c>
      <c r="V70" s="130">
        <f>IF(V33=0,0,V33/TrRoad_act!V40*100)</f>
        <v>60.842930076824587</v>
      </c>
      <c r="W70" s="130">
        <f>IF(W33=0,0,W33/TrRoad_act!W40*100)</f>
        <v>60.156808162021605</v>
      </c>
      <c r="X70" s="130">
        <f>IF(X33=0,0,X33/TrRoad_act!X40*100)</f>
        <v>59.44736022080609</v>
      </c>
      <c r="Y70" s="130">
        <f>IF(Y33=0,0,Y33/TrRoad_act!Y40*100)</f>
        <v>58.700035260484739</v>
      </c>
      <c r="DA70" s="176" t="s">
        <v>682</v>
      </c>
    </row>
    <row r="71" spans="1:105" ht="11.45" customHeight="1" x14ac:dyDescent="0.25">
      <c r="A71" s="111" t="s">
        <v>110</v>
      </c>
      <c r="B71" s="97">
        <f>IF(B34=0,0,B34/TrRoad_act!B41*100)</f>
        <v>18.729624668282312</v>
      </c>
      <c r="C71" s="97">
        <f>IF(C34=0,0,C34/TrRoad_act!C41*100)</f>
        <v>18.328808116770002</v>
      </c>
      <c r="D71" s="97">
        <f>IF(D34=0,0,D34/TrRoad_act!D41*100)</f>
        <v>17.93139473434011</v>
      </c>
      <c r="E71" s="97">
        <f>IF(E34=0,0,E34/TrRoad_act!E41*100)</f>
        <v>17.728457890006858</v>
      </c>
      <c r="F71" s="97">
        <f>IF(F34=0,0,F34/TrRoad_act!F41*100)</f>
        <v>17.509508149946239</v>
      </c>
      <c r="G71" s="97">
        <f>IF(G34=0,0,G34/TrRoad_act!G41*100)</f>
        <v>17.429840548216273</v>
      </c>
      <c r="H71" s="97">
        <f>IF(H34=0,0,H34/TrRoad_act!H41*100)</f>
        <v>17.211520890927961</v>
      </c>
      <c r="I71" s="97">
        <f>IF(I34=0,0,I34/TrRoad_act!I41*100)</f>
        <v>16.856828139747151</v>
      </c>
      <c r="J71" s="97">
        <f>IF(J34=0,0,J34/TrRoad_act!J41*100)</f>
        <v>16.730352390677208</v>
      </c>
      <c r="K71" s="97">
        <f>IF(K34=0,0,K34/TrRoad_act!K41*100)</f>
        <v>16.591784162399911</v>
      </c>
      <c r="L71" s="97">
        <f>IF(L34=0,0,L34/TrRoad_act!L41*100)</f>
        <v>16.393452679532995</v>
      </c>
      <c r="M71" s="97">
        <f>IF(M34=0,0,M34/TrRoad_act!M41*100)</f>
        <v>16.159439390199186</v>
      </c>
      <c r="N71" s="97">
        <f>IF(N34=0,0,N34/TrRoad_act!N41*100)</f>
        <v>16.080570379867112</v>
      </c>
      <c r="O71" s="97">
        <f>IF(O34=0,0,O34/TrRoad_act!O41*100)</f>
        <v>15.850389515114472</v>
      </c>
      <c r="P71" s="97">
        <f>IF(P34=0,0,P34/TrRoad_act!P41*100)</f>
        <v>15.599831625997012</v>
      </c>
      <c r="Q71" s="97">
        <f>IF(Q34=0,0,Q34/TrRoad_act!Q41*100)</f>
        <v>15.473581815340456</v>
      </c>
      <c r="R71" s="97">
        <f>IF(R34=0,0,R34/TrRoad_act!R41*100)</f>
        <v>15.268183002548122</v>
      </c>
      <c r="S71" s="97">
        <f>IF(S34=0,0,S34/TrRoad_act!S41*100)</f>
        <v>15.173537753111733</v>
      </c>
      <c r="T71" s="97">
        <f>IF(T34=0,0,T34/TrRoad_act!T41*100)</f>
        <v>15.116974507873742</v>
      </c>
      <c r="U71" s="97">
        <f>IF(U34=0,0,U34/TrRoad_act!U41*100)</f>
        <v>15.079248728737079</v>
      </c>
      <c r="V71" s="97">
        <f>IF(V34=0,0,V34/TrRoad_act!V41*100)</f>
        <v>15.010069733381551</v>
      </c>
      <c r="W71" s="97">
        <f>IF(W34=0,0,W34/TrRoad_act!W41*100)</f>
        <v>14.619337310003665</v>
      </c>
      <c r="X71" s="97">
        <f>IF(X34=0,0,X34/TrRoad_act!X41*100)</f>
        <v>14.185412000540234</v>
      </c>
      <c r="Y71" s="97">
        <f>IF(Y34=0,0,Y34/TrRoad_act!Y41*100)</f>
        <v>13.803354014305055</v>
      </c>
      <c r="DA71" s="175" t="s">
        <v>683</v>
      </c>
    </row>
    <row r="72" spans="1:105" ht="11.45" customHeight="1" x14ac:dyDescent="0.25">
      <c r="A72" s="111" t="s">
        <v>111</v>
      </c>
      <c r="B72" s="97">
        <f>IF(B36=0,0,B36/TrRoad_act!B42*100)</f>
        <v>60.418615425119135</v>
      </c>
      <c r="C72" s="97">
        <f>IF(C36=0,0,C36/TrRoad_act!C42*100)</f>
        <v>58.443140336392219</v>
      </c>
      <c r="D72" s="97">
        <f>IF(D36=0,0,D36/TrRoad_act!D42*100)</f>
        <v>57.543835234877669</v>
      </c>
      <c r="E72" s="97">
        <f>IF(E36=0,0,E36/TrRoad_act!E42*100)</f>
        <v>56.927691152937001</v>
      </c>
      <c r="F72" s="97">
        <f>IF(F36=0,0,F36/TrRoad_act!F42*100)</f>
        <v>56.161946254471381</v>
      </c>
      <c r="G72" s="97">
        <f>IF(G36=0,0,G36/TrRoad_act!G42*100)</f>
        <v>55.522658294887961</v>
      </c>
      <c r="H72" s="97">
        <f>IF(H36=0,0,H36/TrRoad_act!H42*100)</f>
        <v>54.930164064028311</v>
      </c>
      <c r="I72" s="97">
        <f>IF(I36=0,0,I36/TrRoad_act!I42*100)</f>
        <v>54.492211014982161</v>
      </c>
      <c r="J72" s="97">
        <f>IF(J36=0,0,J36/TrRoad_act!J42*100)</f>
        <v>54.12795668813024</v>
      </c>
      <c r="K72" s="97">
        <f>IF(K36=0,0,K36/TrRoad_act!K42*100)</f>
        <v>53.831151371793048</v>
      </c>
      <c r="L72" s="97">
        <f>IF(L36=0,0,L36/TrRoad_act!L42*100)</f>
        <v>53.555668675984357</v>
      </c>
      <c r="M72" s="97">
        <f>IF(M36=0,0,M36/TrRoad_act!M42*100)</f>
        <v>53.409427966322433</v>
      </c>
      <c r="N72" s="97">
        <f>IF(N36=0,0,N36/TrRoad_act!N42*100)</f>
        <v>53.319285898363901</v>
      </c>
      <c r="O72" s="97">
        <f>IF(O36=0,0,O36/TrRoad_act!O42*100)</f>
        <v>53.196845382887979</v>
      </c>
      <c r="P72" s="97">
        <f>IF(P36=0,0,P36/TrRoad_act!P42*100)</f>
        <v>53.354721579025224</v>
      </c>
      <c r="Q72" s="97">
        <f>IF(Q36=0,0,Q36/TrRoad_act!Q42*100)</f>
        <v>53.526744625853141</v>
      </c>
      <c r="R72" s="97">
        <f>IF(R36=0,0,R36/TrRoad_act!R42*100)</f>
        <v>53.763697731287948</v>
      </c>
      <c r="S72" s="97">
        <f>IF(S36=0,0,S36/TrRoad_act!S42*100)</f>
        <v>54.345542785230741</v>
      </c>
      <c r="T72" s="97">
        <f>IF(T36=0,0,T36/TrRoad_act!T42*100)</f>
        <v>54.344983329804286</v>
      </c>
      <c r="U72" s="97">
        <f>IF(U36=0,0,U36/TrRoad_act!U42*100)</f>
        <v>54.238070307441014</v>
      </c>
      <c r="V72" s="97">
        <f>IF(V36=0,0,V36/TrRoad_act!V42*100)</f>
        <v>54.080873754070957</v>
      </c>
      <c r="W72" s="97">
        <f>IF(W36=0,0,W36/TrRoad_act!W42*100)</f>
        <v>53.712717433424793</v>
      </c>
      <c r="X72" s="97">
        <f>IF(X36=0,0,X36/TrRoad_act!X42*100)</f>
        <v>53.278101755343933</v>
      </c>
      <c r="Y72" s="97">
        <f>IF(Y36=0,0,Y36/TrRoad_act!Y42*100)</f>
        <v>52.576667457860559</v>
      </c>
      <c r="DA72" s="175" t="s">
        <v>684</v>
      </c>
    </row>
    <row r="73" spans="1:105" ht="11.45" customHeight="1" x14ac:dyDescent="0.25">
      <c r="A73" s="111" t="s">
        <v>112</v>
      </c>
      <c r="B73" s="97">
        <f>IF(B38=0,0,B38/TrRoad_act!B43*100)</f>
        <v>0</v>
      </c>
      <c r="C73" s="97">
        <f>IF(C38=0,0,C38/TrRoad_act!C43*100)</f>
        <v>0</v>
      </c>
      <c r="D73" s="97">
        <f>IF(D38=0,0,D38/TrRoad_act!D43*100)</f>
        <v>0</v>
      </c>
      <c r="E73" s="97">
        <f>IF(E38=0,0,E38/TrRoad_act!E43*100)</f>
        <v>0</v>
      </c>
      <c r="F73" s="97">
        <f>IF(F38=0,0,F38/TrRoad_act!F43*100)</f>
        <v>0</v>
      </c>
      <c r="G73" s="97">
        <f>IF(G38=0,0,G38/TrRoad_act!G43*100)</f>
        <v>0</v>
      </c>
      <c r="H73" s="97">
        <f>IF(H38=0,0,H38/TrRoad_act!H43*100)</f>
        <v>0</v>
      </c>
      <c r="I73" s="97">
        <f>IF(I38=0,0,I38/TrRoad_act!I43*100)</f>
        <v>0</v>
      </c>
      <c r="J73" s="97">
        <f>IF(J38=0,0,J38/TrRoad_act!J43*100)</f>
        <v>0</v>
      </c>
      <c r="K73" s="97">
        <f>IF(K38=0,0,K38/TrRoad_act!K43*100)</f>
        <v>0</v>
      </c>
      <c r="L73" s="97">
        <f>IF(L38=0,0,L38/TrRoad_act!L43*100)</f>
        <v>0</v>
      </c>
      <c r="M73" s="97">
        <f>IF(M38=0,0,M38/TrRoad_act!M43*100)</f>
        <v>0</v>
      </c>
      <c r="N73" s="97">
        <f>IF(N38=0,0,N38/TrRoad_act!N43*100)</f>
        <v>0</v>
      </c>
      <c r="O73" s="97">
        <f>IF(O38=0,0,O38/TrRoad_act!O43*100)</f>
        <v>0</v>
      </c>
      <c r="P73" s="97">
        <f>IF(P38=0,0,P38/TrRoad_act!P43*100)</f>
        <v>46.343931960671284</v>
      </c>
      <c r="Q73" s="97">
        <f>IF(Q38=0,0,Q38/TrRoad_act!Q43*100)</f>
        <v>46.782904261731197</v>
      </c>
      <c r="R73" s="97">
        <f>IF(R38=0,0,R38/TrRoad_act!R43*100)</f>
        <v>46.790537663202905</v>
      </c>
      <c r="S73" s="97">
        <f>IF(S38=0,0,S38/TrRoad_act!S43*100)</f>
        <v>46.790537663202898</v>
      </c>
      <c r="T73" s="97">
        <f>IF(T38=0,0,T38/TrRoad_act!T43*100)</f>
        <v>46.794254253149084</v>
      </c>
      <c r="U73" s="97">
        <f>IF(U38=0,0,U38/TrRoad_act!U43*100)</f>
        <v>46.830495953543618</v>
      </c>
      <c r="V73" s="97">
        <f>IF(V38=0,0,V38/TrRoad_act!V43*100)</f>
        <v>46.804408586199891</v>
      </c>
      <c r="W73" s="97">
        <f>IF(W38=0,0,W38/TrRoad_act!W43*100)</f>
        <v>46.607946205743275</v>
      </c>
      <c r="X73" s="97">
        <f>IF(X38=0,0,X38/TrRoad_act!X43*100)</f>
        <v>46.491307508707159</v>
      </c>
      <c r="Y73" s="97">
        <f>IF(Y38=0,0,Y38/TrRoad_act!Y43*100)</f>
        <v>46.322035953112831</v>
      </c>
      <c r="DA73" s="175" t="s">
        <v>685</v>
      </c>
    </row>
    <row r="74" spans="1:105" ht="11.45" customHeight="1" x14ac:dyDescent="0.25">
      <c r="A74" s="111" t="s">
        <v>113</v>
      </c>
      <c r="B74" s="97">
        <f>IF(B39=0,0,B39/TrRoad_act!B44*100)</f>
        <v>101.22715345160162</v>
      </c>
      <c r="C74" s="97">
        <f>IF(C39=0,0,C39/TrRoad_act!C44*100)</f>
        <v>147.31732837253369</v>
      </c>
      <c r="D74" s="97">
        <f>IF(D39=0,0,D39/TrRoad_act!D44*100)</f>
        <v>2883.8974275898058</v>
      </c>
      <c r="E74" s="97">
        <f>IF(E39=0,0,E39/TrRoad_act!E44*100)</f>
        <v>147.54656543699747</v>
      </c>
      <c r="F74" s="97">
        <f>IF(F39=0,0,F39/TrRoad_act!F44*100)</f>
        <v>128.57781358926286</v>
      </c>
      <c r="G74" s="97">
        <f>IF(G39=0,0,G39/TrRoad_act!G44*100)</f>
        <v>125.05712176401096</v>
      </c>
      <c r="H74" s="97">
        <f>IF(H39=0,0,H39/TrRoad_act!H44*100)</f>
        <v>126.31642689790579</v>
      </c>
      <c r="I74" s="97">
        <f>IF(I39=0,0,I39/TrRoad_act!I44*100)</f>
        <v>150.81159607494308</v>
      </c>
      <c r="J74" s="97">
        <f>IF(J39=0,0,J39/TrRoad_act!J44*100)</f>
        <v>168.47709744924339</v>
      </c>
      <c r="K74" s="97">
        <f>IF(K39=0,0,K39/TrRoad_act!K44*100)</f>
        <v>202.11921043601694</v>
      </c>
      <c r="L74" s="97">
        <f>IF(L39=0,0,L39/TrRoad_act!L44*100)</f>
        <v>264.79140102051269</v>
      </c>
      <c r="M74" s="97">
        <f>IF(M39=0,0,M39/TrRoad_act!M44*100)</f>
        <v>288.62743511024746</v>
      </c>
      <c r="N74" s="97">
        <f>IF(N39=0,0,N39/TrRoad_act!N44*100)</f>
        <v>297.99075347405699</v>
      </c>
      <c r="O74" s="97">
        <f>IF(O39=0,0,O39/TrRoad_act!O44*100)</f>
        <v>334.27857896395057</v>
      </c>
      <c r="P74" s="97">
        <f>IF(P39=0,0,P39/TrRoad_act!P44*100)</f>
        <v>405.50783409992607</v>
      </c>
      <c r="Q74" s="97">
        <f>IF(Q39=0,0,Q39/TrRoad_act!Q44*100)</f>
        <v>97.042661793412805</v>
      </c>
      <c r="R74" s="97">
        <f>IF(R39=0,0,R39/TrRoad_act!R44*100)</f>
        <v>102.66955089134215</v>
      </c>
      <c r="S74" s="97">
        <f>IF(S39=0,0,S39/TrRoad_act!S44*100)</f>
        <v>81.437194262262992</v>
      </c>
      <c r="T74" s="97">
        <f>IF(T39=0,0,T39/TrRoad_act!T44*100)</f>
        <v>65.559893207345183</v>
      </c>
      <c r="U74" s="97">
        <f>IF(U39=0,0,U39/TrRoad_act!U44*100)</f>
        <v>65.492334088774811</v>
      </c>
      <c r="V74" s="97">
        <f>IF(V39=0,0,V39/TrRoad_act!V44*100)</f>
        <v>93.173847882207468</v>
      </c>
      <c r="W74" s="97">
        <f>IF(W39=0,0,W39/TrRoad_act!W44*100)</f>
        <v>90.80094057031846</v>
      </c>
      <c r="X74" s="97">
        <f>IF(X39=0,0,X39/TrRoad_act!X44*100)</f>
        <v>89.831916718051062</v>
      </c>
      <c r="Y74" s="97">
        <f>IF(Y39=0,0,Y39/TrRoad_act!Y44*100)</f>
        <v>90.543307982731207</v>
      </c>
      <c r="DA74" s="175" t="s">
        <v>686</v>
      </c>
    </row>
    <row r="75" spans="1:105" ht="11.45" customHeight="1" x14ac:dyDescent="0.25">
      <c r="A75" s="111" t="s">
        <v>115</v>
      </c>
      <c r="B75" s="97">
        <f>IF(B41=0,0,B41/TrRoad_act!B45*100)</f>
        <v>0</v>
      </c>
      <c r="C75" s="97">
        <f>IF(C41=0,0,C41/TrRoad_act!C45*100)</f>
        <v>0</v>
      </c>
      <c r="D75" s="97">
        <f>IF(D41=0,0,D41/TrRoad_act!D45*100)</f>
        <v>0</v>
      </c>
      <c r="E75" s="97">
        <f>IF(E41=0,0,E41/TrRoad_act!E45*100)</f>
        <v>0</v>
      </c>
      <c r="F75" s="97">
        <f>IF(F41=0,0,F41/TrRoad_act!F45*100)</f>
        <v>0</v>
      </c>
      <c r="G75" s="97">
        <f>IF(G41=0,0,G41/TrRoad_act!G45*100)</f>
        <v>0</v>
      </c>
      <c r="H75" s="97">
        <f>IF(H41=0,0,H41/TrRoad_act!H45*100)</f>
        <v>0</v>
      </c>
      <c r="I75" s="97">
        <f>IF(I41=0,0,I41/TrRoad_act!I45*100)</f>
        <v>0</v>
      </c>
      <c r="J75" s="97">
        <f>IF(J41=0,0,J41/TrRoad_act!J45*100)</f>
        <v>0</v>
      </c>
      <c r="K75" s="97">
        <f>IF(K41=0,0,K41/TrRoad_act!K45*100)</f>
        <v>0</v>
      </c>
      <c r="L75" s="97">
        <f>IF(L41=0,0,L41/TrRoad_act!L45*100)</f>
        <v>0</v>
      </c>
      <c r="M75" s="97">
        <f>IF(M41=0,0,M41/TrRoad_act!M45*100)</f>
        <v>0</v>
      </c>
      <c r="N75" s="97">
        <f>IF(N41=0,0,N41/TrRoad_act!N45*100)</f>
        <v>0</v>
      </c>
      <c r="O75" s="97">
        <f>IF(O41=0,0,O41/TrRoad_act!O45*100)</f>
        <v>28.908124841892725</v>
      </c>
      <c r="P75" s="97">
        <f>IF(P41=0,0,P41/TrRoad_act!P45*100)</f>
        <v>28.696433123475661</v>
      </c>
      <c r="Q75" s="97">
        <f>IF(Q41=0,0,Q41/TrRoad_act!Q45*100)</f>
        <v>28.336557743811809</v>
      </c>
      <c r="R75" s="97">
        <f>IF(R41=0,0,R41/TrRoad_act!R45*100)</f>
        <v>28.271783817144936</v>
      </c>
      <c r="S75" s="97">
        <f>IF(S41=0,0,S41/TrRoad_act!S45*100)</f>
        <v>28.174188088563628</v>
      </c>
      <c r="T75" s="97">
        <f>IF(T41=0,0,T41/TrRoad_act!T45*100)</f>
        <v>28.01112002828296</v>
      </c>
      <c r="U75" s="97">
        <f>IF(U41=0,0,U41/TrRoad_act!U45*100)</f>
        <v>27.534136837850927</v>
      </c>
      <c r="V75" s="97">
        <f>IF(V41=0,0,V41/TrRoad_act!V45*100)</f>
        <v>27.275552698772685</v>
      </c>
      <c r="W75" s="97">
        <f>IF(W41=0,0,W41/TrRoad_act!W45*100)</f>
        <v>26.590080885645001</v>
      </c>
      <c r="X75" s="97">
        <f>IF(X41=0,0,X41/TrRoad_act!X45*100)</f>
        <v>26.013669588306815</v>
      </c>
      <c r="Y75" s="97">
        <f>IF(Y41=0,0,Y41/TrRoad_act!Y45*100)</f>
        <v>24.914873978741813</v>
      </c>
      <c r="DA75" s="175" t="s">
        <v>687</v>
      </c>
    </row>
    <row r="76" spans="1:105" ht="11.45" customHeight="1" x14ac:dyDescent="0.25">
      <c r="A76" s="27" t="s">
        <v>34</v>
      </c>
      <c r="B76" s="32">
        <f>IF(B42=0,0,B42/TrRoad_act!B46*100)</f>
        <v>26.796765937374307</v>
      </c>
      <c r="C76" s="32">
        <f>IF(C42=0,0,C42/TrRoad_act!C46*100)</f>
        <v>24.836961855604898</v>
      </c>
      <c r="D76" s="32">
        <f>IF(D42=0,0,D42/TrRoad_act!D46*100)</f>
        <v>25.196010828624953</v>
      </c>
      <c r="E76" s="32">
        <f>IF(E42=0,0,E42/TrRoad_act!E46*100)</f>
        <v>24.619952107166384</v>
      </c>
      <c r="F76" s="32">
        <f>IF(F42=0,0,F42/TrRoad_act!F46*100)</f>
        <v>23.955755750701428</v>
      </c>
      <c r="G76" s="32">
        <f>IF(G42=0,0,G42/TrRoad_act!G46*100)</f>
        <v>24.463241953691998</v>
      </c>
      <c r="H76" s="32">
        <f>IF(H42=0,0,H42/TrRoad_act!H46*100)</f>
        <v>23.579066226955455</v>
      </c>
      <c r="I76" s="32">
        <f>IF(I42=0,0,I42/TrRoad_act!I46*100)</f>
        <v>21.954260529383664</v>
      </c>
      <c r="J76" s="32">
        <f>IF(J42=0,0,J42/TrRoad_act!J46*100)</f>
        <v>21.873349882833701</v>
      </c>
      <c r="K76" s="32">
        <f>IF(K42=0,0,K42/TrRoad_act!K46*100)</f>
        <v>21.318798699111298</v>
      </c>
      <c r="L76" s="32">
        <f>IF(L42=0,0,L42/TrRoad_act!L46*100)</f>
        <v>20.983525656535022</v>
      </c>
      <c r="M76" s="32">
        <f>IF(M42=0,0,M42/TrRoad_act!M46*100)</f>
        <v>20.143650522842652</v>
      </c>
      <c r="N76" s="32">
        <f>IF(N42=0,0,N42/TrRoad_act!N46*100)</f>
        <v>18.792437588726798</v>
      </c>
      <c r="O76" s="32">
        <f>IF(O42=0,0,O42/TrRoad_act!O46*100)</f>
        <v>18.52293471061844</v>
      </c>
      <c r="P76" s="32">
        <f>IF(P42=0,0,P42/TrRoad_act!P46*100)</f>
        <v>18.891873151301134</v>
      </c>
      <c r="Q76" s="32">
        <f>IF(Q42=0,0,Q42/TrRoad_act!Q46*100)</f>
        <v>18.950627791371378</v>
      </c>
      <c r="R76" s="32">
        <f>IF(R42=0,0,R42/TrRoad_act!R46*100)</f>
        <v>20.901311406446489</v>
      </c>
      <c r="S76" s="32">
        <f>IF(S42=0,0,S42/TrRoad_act!S46*100)</f>
        <v>20.398866909438983</v>
      </c>
      <c r="T76" s="32">
        <f>IF(T42=0,0,T42/TrRoad_act!T46*100)</f>
        <v>20.619448532615422</v>
      </c>
      <c r="U76" s="32">
        <f>IF(U42=0,0,U42/TrRoad_act!U46*100)</f>
        <v>19.434292358991399</v>
      </c>
      <c r="V76" s="32">
        <f>IF(V42=0,0,V42/TrRoad_act!V46*100)</f>
        <v>21.28080684307934</v>
      </c>
      <c r="W76" s="32">
        <f>IF(W42=0,0,W42/TrRoad_act!W46*100)</f>
        <v>18.585594944074622</v>
      </c>
      <c r="X76" s="32">
        <f>IF(X42=0,0,X42/TrRoad_act!X46*100)</f>
        <v>18.247529567483397</v>
      </c>
      <c r="Y76" s="32">
        <f>IF(Y42=0,0,Y42/TrRoad_act!Y46*100)</f>
        <v>17.556127428834085</v>
      </c>
      <c r="DA76" s="173" t="s">
        <v>688</v>
      </c>
    </row>
    <row r="77" spans="1:105" ht="11.45" customHeight="1" x14ac:dyDescent="0.25">
      <c r="A77" s="136" t="s">
        <v>153</v>
      </c>
      <c r="B77" s="141">
        <f>IF(B43=0,0,B43/TrRoad_act!B47*100)</f>
        <v>12.715944154274203</v>
      </c>
      <c r="C77" s="141">
        <f>IF(C43=0,0,C43/TrRoad_act!C47*100)</f>
        <v>12.218215825800664</v>
      </c>
      <c r="D77" s="141">
        <f>IF(D43=0,0,D43/TrRoad_act!D47*100)</f>
        <v>11.906211521934686</v>
      </c>
      <c r="E77" s="141">
        <f>IF(E43=0,0,E43/TrRoad_act!E47*100)</f>
        <v>11.40417949622122</v>
      </c>
      <c r="F77" s="141">
        <f>IF(F43=0,0,F43/TrRoad_act!F47*100)</f>
        <v>10.830739714292971</v>
      </c>
      <c r="G77" s="141">
        <f>IF(G43=0,0,G43/TrRoad_act!G47*100)</f>
        <v>10.460563783166094</v>
      </c>
      <c r="H77" s="141">
        <f>IF(H43=0,0,H43/TrRoad_act!H47*100)</f>
        <v>10.135652180042689</v>
      </c>
      <c r="I77" s="141">
        <f>IF(I43=0,0,I43/TrRoad_act!I47*100)</f>
        <v>9.6281793138032139</v>
      </c>
      <c r="J77" s="141">
        <f>IF(J43=0,0,J43/TrRoad_act!J47*100)</f>
        <v>9.3427889350588149</v>
      </c>
      <c r="K77" s="141">
        <f>IF(K43=0,0,K43/TrRoad_act!K47*100)</f>
        <v>8.8569073585091971</v>
      </c>
      <c r="L77" s="141">
        <f>IF(L43=0,0,L43/TrRoad_act!L47*100)</f>
        <v>8.6568778208005615</v>
      </c>
      <c r="M77" s="141">
        <f>IF(M43=0,0,M43/TrRoad_act!M47*100)</f>
        <v>8.6002406445072381</v>
      </c>
      <c r="N77" s="141">
        <f>IF(N43=0,0,N43/TrRoad_act!N47*100)</f>
        <v>8.6015401832748939</v>
      </c>
      <c r="O77" s="141">
        <f>IF(O43=0,0,O43/TrRoad_act!O47*100)</f>
        <v>8.5507187528601527</v>
      </c>
      <c r="P77" s="141">
        <f>IF(P43=0,0,P43/TrRoad_act!P47*100)</f>
        <v>8.4984282177975778</v>
      </c>
      <c r="Q77" s="141">
        <f>IF(Q43=0,0,Q43/TrRoad_act!Q47*100)</f>
        <v>8.4407112851218926</v>
      </c>
      <c r="R77" s="141">
        <f>IF(R43=0,0,R43/TrRoad_act!R47*100)</f>
        <v>8.398068980445986</v>
      </c>
      <c r="S77" s="141">
        <f>IF(S43=0,0,S43/TrRoad_act!S47*100)</f>
        <v>8.3393718581179854</v>
      </c>
      <c r="T77" s="141">
        <f>IF(T43=0,0,T43/TrRoad_act!T47*100)</f>
        <v>8.2776580079452842</v>
      </c>
      <c r="U77" s="141">
        <f>IF(U43=0,0,U43/TrRoad_act!U47*100)</f>
        <v>8.2550725487437369</v>
      </c>
      <c r="V77" s="141">
        <f>IF(V43=0,0,V43/TrRoad_act!V47*100)</f>
        <v>8.2581623572280662</v>
      </c>
      <c r="W77" s="141">
        <f>IF(W43=0,0,W43/TrRoad_act!W47*100)</f>
        <v>8.2517067790441914</v>
      </c>
      <c r="X77" s="141">
        <f>IF(X43=0,0,X43/TrRoad_act!X47*100)</f>
        <v>8.2370590890244149</v>
      </c>
      <c r="Y77" s="141">
        <f>IF(Y43=0,0,Y43/TrRoad_act!Y47*100)</f>
        <v>8.2070200272631606</v>
      </c>
      <c r="DA77" s="174" t="s">
        <v>689</v>
      </c>
    </row>
    <row r="78" spans="1:105" ht="11.45" customHeight="1" x14ac:dyDescent="0.25">
      <c r="A78" s="111" t="s">
        <v>110</v>
      </c>
      <c r="B78" s="96">
        <f>IF(B44=0,0,B44/TrRoad_act!B48*100)</f>
        <v>12.664749194457345</v>
      </c>
      <c r="C78" s="96">
        <f>IF(C44=0,0,C44/TrRoad_act!C48*100)</f>
        <v>12.654397016547323</v>
      </c>
      <c r="D78" s="96">
        <f>IF(D44=0,0,D44/TrRoad_act!D48*100)</f>
        <v>12.651534517455548</v>
      </c>
      <c r="E78" s="96">
        <f>IF(E44=0,0,E44/TrRoad_act!E48*100)</f>
        <v>12.649578055720353</v>
      </c>
      <c r="F78" s="96">
        <f>IF(F44=0,0,F44/TrRoad_act!F48*100)</f>
        <v>12.647515282920466</v>
      </c>
      <c r="G78" s="96">
        <f>IF(G44=0,0,G44/TrRoad_act!G48*100)</f>
        <v>12.64461335834784</v>
      </c>
      <c r="H78" s="96">
        <f>IF(H44=0,0,H44/TrRoad_act!H48*100)</f>
        <v>12.641401946267813</v>
      </c>
      <c r="I78" s="96">
        <f>IF(I44=0,0,I44/TrRoad_act!I48*100)</f>
        <v>12.639915929236562</v>
      </c>
      <c r="J78" s="96">
        <f>IF(J44=0,0,J44/TrRoad_act!J48*100)</f>
        <v>12.635931882811157</v>
      </c>
      <c r="K78" s="96">
        <f>IF(K44=0,0,K44/TrRoad_act!K48*100)</f>
        <v>12.632686123289188</v>
      </c>
      <c r="L78" s="96">
        <f>IF(L44=0,0,L44/TrRoad_act!L48*100)</f>
        <v>12.633794878841497</v>
      </c>
      <c r="M78" s="96">
        <f>IF(M44=0,0,M44/TrRoad_act!M48*100)</f>
        <v>12.479726697598819</v>
      </c>
      <c r="N78" s="96">
        <f>IF(N44=0,0,N44/TrRoad_act!N48*100)</f>
        <v>11.592140251719588</v>
      </c>
      <c r="O78" s="96">
        <f>IF(O44=0,0,O44/TrRoad_act!O48*100)</f>
        <v>10.861890130437125</v>
      </c>
      <c r="P78" s="96">
        <f>IF(P44=0,0,P44/TrRoad_act!P48*100)</f>
        <v>10.320147491466013</v>
      </c>
      <c r="Q78" s="96">
        <f>IF(Q44=0,0,Q44/TrRoad_act!Q48*100)</f>
        <v>10.103650042574403</v>
      </c>
      <c r="R78" s="96">
        <f>IF(R44=0,0,R44/TrRoad_act!R48*100)</f>
        <v>9.5922675390792307</v>
      </c>
      <c r="S78" s="96">
        <f>IF(S44=0,0,S44/TrRoad_act!S48*100)</f>
        <v>8.9402281404122839</v>
      </c>
      <c r="T78" s="96">
        <f>IF(T44=0,0,T44/TrRoad_act!T48*100)</f>
        <v>8.5257110596585317</v>
      </c>
      <c r="U78" s="96">
        <f>IF(U44=0,0,U44/TrRoad_act!U48*100)</f>
        <v>8.303608069041351</v>
      </c>
      <c r="V78" s="96">
        <f>IF(V44=0,0,V44/TrRoad_act!V48*100)</f>
        <v>8.1910061899717856</v>
      </c>
      <c r="W78" s="96">
        <f>IF(W44=0,0,W44/TrRoad_act!W48*100)</f>
        <v>8.1702825616688184</v>
      </c>
      <c r="X78" s="96">
        <f>IF(X44=0,0,X44/TrRoad_act!X48*100)</f>
        <v>8.120048739613372</v>
      </c>
      <c r="Y78" s="96">
        <f>IF(Y44=0,0,Y44/TrRoad_act!Y48*100)</f>
        <v>7.9382464513801958</v>
      </c>
      <c r="DA78" s="171" t="s">
        <v>690</v>
      </c>
    </row>
    <row r="79" spans="1:105" ht="11.45" customHeight="1" x14ac:dyDescent="0.25">
      <c r="A79" s="111" t="s">
        <v>111</v>
      </c>
      <c r="B79" s="96">
        <f>IF(B46=0,0,B46/TrRoad_act!B49*100)</f>
        <v>12.720564958130467</v>
      </c>
      <c r="C79" s="96">
        <f>IF(C46=0,0,C46/TrRoad_act!C49*100)</f>
        <v>12.183778299628761</v>
      </c>
      <c r="D79" s="96">
        <f>IF(D46=0,0,D46/TrRoad_act!D49*100)</f>
        <v>11.860844098816784</v>
      </c>
      <c r="E79" s="96">
        <f>IF(E46=0,0,E46/TrRoad_act!E49*100)</f>
        <v>11.343305317800544</v>
      </c>
      <c r="F79" s="96">
        <f>IF(F46=0,0,F46/TrRoad_act!F49*100)</f>
        <v>10.760567965139531</v>
      </c>
      <c r="G79" s="96">
        <f>IF(G46=0,0,G46/TrRoad_act!G49*100)</f>
        <v>10.393603377337639</v>
      </c>
      <c r="H79" s="96">
        <f>IF(H46=0,0,H46/TrRoad_act!H49*100)</f>
        <v>10.073500957615318</v>
      </c>
      <c r="I79" s="96">
        <f>IF(I46=0,0,I46/TrRoad_act!I49*100)</f>
        <v>9.5710696953081964</v>
      </c>
      <c r="J79" s="96">
        <f>IF(J46=0,0,J46/TrRoad_act!J49*100)</f>
        <v>9.2883768821795254</v>
      </c>
      <c r="K79" s="96">
        <f>IF(K46=0,0,K46/TrRoad_act!K49*100)</f>
        <v>8.7952849908691544</v>
      </c>
      <c r="L79" s="96">
        <f>IF(L46=0,0,L46/TrRoad_act!L49*100)</f>
        <v>8.5960425347963874</v>
      </c>
      <c r="M79" s="96">
        <f>IF(M46=0,0,M46/TrRoad_act!M49*100)</f>
        <v>8.5391248569322453</v>
      </c>
      <c r="N79" s="96">
        <f>IF(N46=0,0,N46/TrRoad_act!N49*100)</f>
        <v>8.5487543455000896</v>
      </c>
      <c r="O79" s="96">
        <f>IF(O46=0,0,O46/TrRoad_act!O49*100)</f>
        <v>8.5079932596975674</v>
      </c>
      <c r="P79" s="96">
        <f>IF(P46=0,0,P46/TrRoad_act!P49*100)</f>
        <v>8.4767638628430433</v>
      </c>
      <c r="Q79" s="96">
        <f>IF(Q46=0,0,Q46/TrRoad_act!Q49*100)</f>
        <v>8.4213045926383572</v>
      </c>
      <c r="R79" s="96">
        <f>IF(R46=0,0,R46/TrRoad_act!R49*100)</f>
        <v>8.3855440983477756</v>
      </c>
      <c r="S79" s="96">
        <f>IF(S46=0,0,S46/TrRoad_act!S49*100)</f>
        <v>8.3352085850021851</v>
      </c>
      <c r="T79" s="96">
        <f>IF(T46=0,0,T46/TrRoad_act!T49*100)</f>
        <v>8.2828901206599852</v>
      </c>
      <c r="U79" s="96">
        <f>IF(U46=0,0,U46/TrRoad_act!U49*100)</f>
        <v>8.2688348393005402</v>
      </c>
      <c r="V79" s="96">
        <f>IF(V46=0,0,V46/TrRoad_act!V49*100)</f>
        <v>8.2764371884706804</v>
      </c>
      <c r="W79" s="96">
        <f>IF(W46=0,0,W46/TrRoad_act!W49*100)</f>
        <v>8.2725435209722864</v>
      </c>
      <c r="X79" s="96">
        <f>IF(X46=0,0,X46/TrRoad_act!X49*100)</f>
        <v>8.2619359906235168</v>
      </c>
      <c r="Y79" s="96">
        <f>IF(Y46=0,0,Y46/TrRoad_act!Y49*100)</f>
        <v>8.2460871632835229</v>
      </c>
      <c r="DA79" s="171" t="s">
        <v>691</v>
      </c>
    </row>
    <row r="80" spans="1:105" ht="11.45" customHeight="1" x14ac:dyDescent="0.25">
      <c r="A80" s="111" t="s">
        <v>112</v>
      </c>
      <c r="B80" s="96">
        <f>IF(B48=0,0,B48/TrRoad_act!B50*100)</f>
        <v>0</v>
      </c>
      <c r="C80" s="96">
        <f>IF(C48=0,0,C48/TrRoad_act!C50*100)</f>
        <v>0</v>
      </c>
      <c r="D80" s="96">
        <f>IF(D48=0,0,D48/TrRoad_act!D50*100)</f>
        <v>0</v>
      </c>
      <c r="E80" s="96">
        <f>IF(E48=0,0,E48/TrRoad_act!E50*100)</f>
        <v>0</v>
      </c>
      <c r="F80" s="96">
        <f>IF(F48=0,0,F48/TrRoad_act!F50*100)</f>
        <v>0</v>
      </c>
      <c r="G80" s="96">
        <f>IF(G48=0,0,G48/TrRoad_act!G50*100)</f>
        <v>0</v>
      </c>
      <c r="H80" s="96">
        <f>IF(H48=0,0,H48/TrRoad_act!H50*100)</f>
        <v>0</v>
      </c>
      <c r="I80" s="96">
        <f>IF(I48=0,0,I48/TrRoad_act!I50*100)</f>
        <v>0</v>
      </c>
      <c r="J80" s="96">
        <f>IF(J48=0,0,J48/TrRoad_act!J50*100)</f>
        <v>0</v>
      </c>
      <c r="K80" s="96">
        <f>IF(K48=0,0,K48/TrRoad_act!K50*100)</f>
        <v>0</v>
      </c>
      <c r="L80" s="96">
        <f>IF(L48=0,0,L48/TrRoad_act!L50*100)</f>
        <v>0</v>
      </c>
      <c r="M80" s="96">
        <f>IF(M48=0,0,M48/TrRoad_act!M50*100)</f>
        <v>0</v>
      </c>
      <c r="N80" s="96">
        <f>IF(N48=0,0,N48/TrRoad_act!N50*100)</f>
        <v>0</v>
      </c>
      <c r="O80" s="96">
        <f>IF(O48=0,0,O48/TrRoad_act!O50*100)</f>
        <v>12.674250872603979</v>
      </c>
      <c r="P80" s="96">
        <f>IF(P48=0,0,P48/TrRoad_act!P50*100)</f>
        <v>8.6727953591290223</v>
      </c>
      <c r="Q80" s="96">
        <f>IF(Q48=0,0,Q48/TrRoad_act!Q50*100)</f>
        <v>9.5132213563051025</v>
      </c>
      <c r="R80" s="96">
        <f>IF(R48=0,0,R48/TrRoad_act!R50*100)</f>
        <v>9.2459541164232135</v>
      </c>
      <c r="S80" s="96">
        <f>IF(S48=0,0,S48/TrRoad_act!S50*100)</f>
        <v>8.270039353923206</v>
      </c>
      <c r="T80" s="96">
        <f>IF(T48=0,0,T48/TrRoad_act!T50*100)</f>
        <v>7.3648504504825745</v>
      </c>
      <c r="U80" s="96">
        <f>IF(U48=0,0,U48/TrRoad_act!U50*100)</f>
        <v>6.8456618288983337</v>
      </c>
      <c r="V80" s="96">
        <f>IF(V48=0,0,V48/TrRoad_act!V50*100)</f>
        <v>7.1480671470777954</v>
      </c>
      <c r="W80" s="96">
        <f>IF(W48=0,0,W48/TrRoad_act!W50*100)</f>
        <v>7.3882980580109932</v>
      </c>
      <c r="X80" s="96">
        <f>IF(X48=0,0,X48/TrRoad_act!X50*100)</f>
        <v>7.3654014056724932</v>
      </c>
      <c r="Y80" s="96">
        <f>IF(Y48=0,0,Y48/TrRoad_act!Y50*100)</f>
        <v>7.3128788049468669</v>
      </c>
      <c r="DA80" s="171" t="s">
        <v>692</v>
      </c>
    </row>
    <row r="81" spans="1:105" ht="11.45" customHeight="1" x14ac:dyDescent="0.25">
      <c r="A81" s="111" t="s">
        <v>113</v>
      </c>
      <c r="B81" s="96">
        <f>IF(B49=0,0,B49/TrRoad_act!B51*100)</f>
        <v>0</v>
      </c>
      <c r="C81" s="96">
        <f>IF(C49=0,0,C49/TrRoad_act!C51*100)</f>
        <v>0</v>
      </c>
      <c r="D81" s="96">
        <f>IF(D49=0,0,D49/TrRoad_act!D51*100)</f>
        <v>0</v>
      </c>
      <c r="E81" s="96">
        <f>IF(E49=0,0,E49/TrRoad_act!E51*100)</f>
        <v>0</v>
      </c>
      <c r="F81" s="96">
        <f>IF(F49=0,0,F49/TrRoad_act!F51*100)</f>
        <v>0</v>
      </c>
      <c r="G81" s="96">
        <f>IF(G49=0,0,G49/TrRoad_act!G51*100)</f>
        <v>0</v>
      </c>
      <c r="H81" s="96">
        <f>IF(H49=0,0,H49/TrRoad_act!H51*100)</f>
        <v>0</v>
      </c>
      <c r="I81" s="96">
        <f>IF(I49=0,0,I49/TrRoad_act!I51*100)</f>
        <v>0</v>
      </c>
      <c r="J81" s="96">
        <f>IF(J49=0,0,J49/TrRoad_act!J51*100)</f>
        <v>0</v>
      </c>
      <c r="K81" s="96">
        <f>IF(K49=0,0,K49/TrRoad_act!K51*100)</f>
        <v>0</v>
      </c>
      <c r="L81" s="96">
        <f>IF(L49=0,0,L49/TrRoad_act!L51*100)</f>
        <v>0</v>
      </c>
      <c r="M81" s="96">
        <f>IF(M49=0,0,M49/TrRoad_act!M51*100)</f>
        <v>0</v>
      </c>
      <c r="N81" s="96">
        <f>IF(N49=0,0,N49/TrRoad_act!N51*100)</f>
        <v>14.617788988443085</v>
      </c>
      <c r="O81" s="96">
        <f>IF(O49=0,0,O49/TrRoad_act!O51*100)</f>
        <v>15.028903119654979</v>
      </c>
      <c r="P81" s="96">
        <f>IF(P49=0,0,P49/TrRoad_act!P51*100)</f>
        <v>12.080022657074066</v>
      </c>
      <c r="Q81" s="96">
        <f>IF(Q49=0,0,Q49/TrRoad_act!Q51*100)</f>
        <v>12.450390109467648</v>
      </c>
      <c r="R81" s="96">
        <f>IF(R49=0,0,R49/TrRoad_act!R51*100)</f>
        <v>11.14559803289206</v>
      </c>
      <c r="S81" s="96">
        <f>IF(S49=0,0,S49/TrRoad_act!S51*100)</f>
        <v>10.463568436590624</v>
      </c>
      <c r="T81" s="96">
        <f>IF(T49=0,0,T49/TrRoad_act!T51*100)</f>
        <v>8.869246825871361</v>
      </c>
      <c r="U81" s="96">
        <f>IF(U49=0,0,U49/TrRoad_act!U51*100)</f>
        <v>8.7057405556425707</v>
      </c>
      <c r="V81" s="96">
        <f>IF(V49=0,0,V49/TrRoad_act!V51*100)</f>
        <v>9.2039670730161554</v>
      </c>
      <c r="W81" s="96">
        <f>IF(W49=0,0,W49/TrRoad_act!W51*100)</f>
        <v>9.5696732694405195</v>
      </c>
      <c r="X81" s="96">
        <f>IF(X49=0,0,X49/TrRoad_act!X51*100)</f>
        <v>9.5874590256154413</v>
      </c>
      <c r="Y81" s="96">
        <f>IF(Y49=0,0,Y49/TrRoad_act!Y51*100)</f>
        <v>9.6370753608505417</v>
      </c>
      <c r="DA81" s="171" t="s">
        <v>693</v>
      </c>
    </row>
    <row r="82" spans="1:105" ht="11.45" customHeight="1" x14ac:dyDescent="0.25">
      <c r="A82" s="111" t="s">
        <v>115</v>
      </c>
      <c r="B82" s="96">
        <f>IF(B51=0,0,B51/TrRoad_act!B52*100)</f>
        <v>0</v>
      </c>
      <c r="C82" s="96">
        <f>IF(C51=0,0,C51/TrRoad_act!C52*100)</f>
        <v>0</v>
      </c>
      <c r="D82" s="96">
        <f>IF(D51=0,0,D51/TrRoad_act!D52*100)</f>
        <v>0</v>
      </c>
      <c r="E82" s="96">
        <f>IF(E51=0,0,E51/TrRoad_act!E52*100)</f>
        <v>0</v>
      </c>
      <c r="F82" s="96">
        <f>IF(F51=0,0,F51/TrRoad_act!F52*100)</f>
        <v>0</v>
      </c>
      <c r="G82" s="96">
        <f>IF(G51=0,0,G51/TrRoad_act!G52*100)</f>
        <v>0</v>
      </c>
      <c r="H82" s="96">
        <f>IF(H51=0,0,H51/TrRoad_act!H52*100)</f>
        <v>0</v>
      </c>
      <c r="I82" s="96">
        <f>IF(I51=0,0,I51/TrRoad_act!I52*100)</f>
        <v>0</v>
      </c>
      <c r="J82" s="96">
        <f>IF(J51=0,0,J51/TrRoad_act!J52*100)</f>
        <v>0</v>
      </c>
      <c r="K82" s="96">
        <f>IF(K51=0,0,K51/TrRoad_act!K52*100)</f>
        <v>0</v>
      </c>
      <c r="L82" s="96">
        <f>IF(L51=0,0,L51/TrRoad_act!L52*100)</f>
        <v>0</v>
      </c>
      <c r="M82" s="96">
        <f>IF(M51=0,0,M51/TrRoad_act!M52*100)</f>
        <v>1.6514689086655809</v>
      </c>
      <c r="N82" s="96">
        <f>IF(N51=0,0,N51/TrRoad_act!N52*100)</f>
        <v>1.6472914875411706</v>
      </c>
      <c r="O82" s="96">
        <f>IF(O51=0,0,O51/TrRoad_act!O52*100)</f>
        <v>1.8418855476943303</v>
      </c>
      <c r="P82" s="96">
        <f>IF(P51=0,0,P51/TrRoad_act!P52*100)</f>
        <v>1.8852358004561147</v>
      </c>
      <c r="Q82" s="96">
        <f>IF(Q51=0,0,Q51/TrRoad_act!Q52*100)</f>
        <v>1.8900310181637963</v>
      </c>
      <c r="R82" s="96">
        <f>IF(R51=0,0,R51/TrRoad_act!R52*100)</f>
        <v>1.8937346231132395</v>
      </c>
      <c r="S82" s="96">
        <f>IF(S51=0,0,S51/TrRoad_act!S52*100)</f>
        <v>1.8995612091344773</v>
      </c>
      <c r="T82" s="96">
        <f>IF(T51=0,0,T51/TrRoad_act!T52*100)</f>
        <v>1.992297106867301</v>
      </c>
      <c r="U82" s="96">
        <f>IF(U51=0,0,U51/TrRoad_act!U52*100)</f>
        <v>2.0702711152867823</v>
      </c>
      <c r="V82" s="96">
        <f>IF(V51=0,0,V51/TrRoad_act!V52*100)</f>
        <v>2.1792758788359725</v>
      </c>
      <c r="W82" s="96">
        <f>IF(W51=0,0,W51/TrRoad_act!W52*100)</f>
        <v>2.3042661680438488</v>
      </c>
      <c r="X82" s="96">
        <f>IF(X51=0,0,X51/TrRoad_act!X52*100)</f>
        <v>2.3825374122534</v>
      </c>
      <c r="Y82" s="96">
        <f>IF(Y51=0,0,Y51/TrRoad_act!Y52*100)</f>
        <v>2.4651819553984158</v>
      </c>
      <c r="DA82" s="171" t="s">
        <v>694</v>
      </c>
    </row>
    <row r="83" spans="1:105" ht="11.45" customHeight="1" x14ac:dyDescent="0.25">
      <c r="A83" s="109" t="s">
        <v>154</v>
      </c>
      <c r="B83" s="130">
        <f>IF(B52=0,0,B52/TrRoad_act!B53*100)</f>
        <v>51.235192479820533</v>
      </c>
      <c r="C83" s="130">
        <f>IF(C52=0,0,C52/TrRoad_act!C53*100)</f>
        <v>49.905305460727924</v>
      </c>
      <c r="D83" s="130">
        <f>IF(D52=0,0,D52/TrRoad_act!D53*100)</f>
        <v>46.865247007990831</v>
      </c>
      <c r="E83" s="130">
        <f>IF(E52=0,0,E52/TrRoad_act!E53*100)</f>
        <v>46.998193276582704</v>
      </c>
      <c r="F83" s="130">
        <f>IF(F52=0,0,F52/TrRoad_act!F53*100)</f>
        <v>44.910003281568187</v>
      </c>
      <c r="G83" s="130">
        <f>IF(G52=0,0,G52/TrRoad_act!G53*100)</f>
        <v>44.275502860433228</v>
      </c>
      <c r="H83" s="130">
        <f>IF(H52=0,0,H52/TrRoad_act!H53*100)</f>
        <v>43.105475829139642</v>
      </c>
      <c r="I83" s="130">
        <f>IF(I52=0,0,I52/TrRoad_act!I53*100)</f>
        <v>41.568632256605284</v>
      </c>
      <c r="J83" s="130">
        <f>IF(J52=0,0,J52/TrRoad_act!J53*100)</f>
        <v>42.039535908069475</v>
      </c>
      <c r="K83" s="130">
        <f>IF(K52=0,0,K52/TrRoad_act!K53*100)</f>
        <v>41.382018992120209</v>
      </c>
      <c r="L83" s="130">
        <f>IF(L52=0,0,L52/TrRoad_act!L53*100)</f>
        <v>42.040194790682214</v>
      </c>
      <c r="M83" s="130">
        <f>IF(M52=0,0,M52/TrRoad_act!M53*100)</f>
        <v>40.135104376783495</v>
      </c>
      <c r="N83" s="130">
        <f>IF(N52=0,0,N52/TrRoad_act!N53*100)</f>
        <v>36.060425809153188</v>
      </c>
      <c r="O83" s="130">
        <f>IF(O52=0,0,O52/TrRoad_act!O53*100)</f>
        <v>36.07797787005174</v>
      </c>
      <c r="P83" s="130">
        <f>IF(P52=0,0,P52/TrRoad_act!P53*100)</f>
        <v>36.489867242906072</v>
      </c>
      <c r="Q83" s="130">
        <f>IF(Q52=0,0,Q52/TrRoad_act!Q53*100)</f>
        <v>36.432626659636</v>
      </c>
      <c r="R83" s="130">
        <f>IF(R52=0,0,R52/TrRoad_act!R53*100)</f>
        <v>40.128998681326472</v>
      </c>
      <c r="S83" s="130">
        <f>IF(S52=0,0,S52/TrRoad_act!S53*100)</f>
        <v>39.41743022435675</v>
      </c>
      <c r="T83" s="130">
        <f>IF(T52=0,0,T52/TrRoad_act!T53*100)</f>
        <v>40.09556000411412</v>
      </c>
      <c r="U83" s="130">
        <f>IF(U52=0,0,U52/TrRoad_act!U53*100)</f>
        <v>36.402633932053767</v>
      </c>
      <c r="V83" s="130">
        <f>IF(V52=0,0,V52/TrRoad_act!V53*100)</f>
        <v>34.633757891089921</v>
      </c>
      <c r="W83" s="130">
        <f>IF(W52=0,0,W52/TrRoad_act!W53*100)</f>
        <v>32.586142723190363</v>
      </c>
      <c r="X83" s="130">
        <f>IF(X52=0,0,X52/TrRoad_act!X53*100)</f>
        <v>32.928843724654591</v>
      </c>
      <c r="Y83" s="130">
        <f>IF(Y52=0,0,Y52/TrRoad_act!Y53*100)</f>
        <v>31.197661938906236</v>
      </c>
      <c r="DA83" s="176" t="s">
        <v>695</v>
      </c>
    </row>
    <row r="84" spans="1:105" ht="11.45" customHeight="1" x14ac:dyDescent="0.25">
      <c r="A84" s="128" t="s">
        <v>27</v>
      </c>
      <c r="B84" s="97">
        <f>IF(B53=0,0,B53/TrRoad_act!B54*100)</f>
        <v>50.450394173216687</v>
      </c>
      <c r="C84" s="97">
        <f>IF(C53=0,0,C53/TrRoad_act!C54*100)</f>
        <v>49.205882760113113</v>
      </c>
      <c r="D84" s="97">
        <f>IF(D53=0,0,D53/TrRoad_act!D54*100)</f>
        <v>46.288731086622938</v>
      </c>
      <c r="E84" s="97">
        <f>IF(E53=0,0,E53/TrRoad_act!E54*100)</f>
        <v>46.45727043602588</v>
      </c>
      <c r="F84" s="97">
        <f>IF(F53=0,0,F53/TrRoad_act!F54*100)</f>
        <v>44.455032489674707</v>
      </c>
      <c r="G84" s="97">
        <f>IF(G53=0,0,G53/TrRoad_act!G54*100)</f>
        <v>43.855293327675717</v>
      </c>
      <c r="H84" s="97">
        <f>IF(H53=0,0,H53/TrRoad_act!H54*100)</f>
        <v>42.715067555234704</v>
      </c>
      <c r="I84" s="97">
        <f>IF(I53=0,0,I53/TrRoad_act!I54*100)</f>
        <v>41.213456983613753</v>
      </c>
      <c r="J84" s="97">
        <f>IF(J53=0,0,J53/TrRoad_act!J54*100)</f>
        <v>41.670560228422602</v>
      </c>
      <c r="K84" s="97">
        <f>IF(K53=0,0,K53/TrRoad_act!K54*100)</f>
        <v>41.001004344483299</v>
      </c>
      <c r="L84" s="97">
        <f>IF(L53=0,0,L53/TrRoad_act!L54*100)</f>
        <v>41.653875439308948</v>
      </c>
      <c r="M84" s="97">
        <f>IF(M53=0,0,M53/TrRoad_act!M54*100)</f>
        <v>39.769213168222457</v>
      </c>
      <c r="N84" s="97">
        <f>IF(N53=0,0,N53/TrRoad_act!N54*100)</f>
        <v>35.727845190182769</v>
      </c>
      <c r="O84" s="97">
        <f>IF(O53=0,0,O53/TrRoad_act!O54*100)</f>
        <v>35.630818422853963</v>
      </c>
      <c r="P84" s="97">
        <f>IF(P53=0,0,P53/TrRoad_act!P54*100)</f>
        <v>36.081973538211571</v>
      </c>
      <c r="Q84" s="97">
        <f>IF(Q53=0,0,Q53/TrRoad_act!Q54*100)</f>
        <v>36.029065840626643</v>
      </c>
      <c r="R84" s="97">
        <f>IF(R53=0,0,R53/TrRoad_act!R54*100)</f>
        <v>39.615260512892107</v>
      </c>
      <c r="S84" s="97">
        <f>IF(S53=0,0,S53/TrRoad_act!S54*100)</f>
        <v>38.806919613419552</v>
      </c>
      <c r="T84" s="97">
        <f>IF(T53=0,0,T53/TrRoad_act!T54*100)</f>
        <v>39.335038233271924</v>
      </c>
      <c r="U84" s="97">
        <f>IF(U53=0,0,U53/TrRoad_act!U54*100)</f>
        <v>35.608516239862389</v>
      </c>
      <c r="V84" s="97">
        <f>IF(V53=0,0,V53/TrRoad_act!V54*100)</f>
        <v>33.831905320292975</v>
      </c>
      <c r="W84" s="97">
        <f>IF(W53=0,0,W53/TrRoad_act!W54*100)</f>
        <v>31.763390960272293</v>
      </c>
      <c r="X84" s="97">
        <f>IF(X53=0,0,X53/TrRoad_act!X54*100)</f>
        <v>31.97960308413904</v>
      </c>
      <c r="Y84" s="97">
        <f>IF(Y53=0,0,Y53/TrRoad_act!Y54*100)</f>
        <v>30.298451560447653</v>
      </c>
      <c r="DA84" s="175" t="s">
        <v>696</v>
      </c>
    </row>
    <row r="85" spans="1:105" ht="11.45" customHeight="1" x14ac:dyDescent="0.25">
      <c r="A85" s="138" t="s">
        <v>116</v>
      </c>
      <c r="B85" s="98">
        <f>IF(B55=0,0,B55/TrRoad_act!B55*100)</f>
        <v>54.827216581668893</v>
      </c>
      <c r="C85" s="98">
        <f>IF(C55=0,0,C55/TrRoad_act!C55*100)</f>
        <v>53.143448285176611</v>
      </c>
      <c r="D85" s="98">
        <f>IF(D55=0,0,D55/TrRoad_act!D55*100)</f>
        <v>49.751949621687643</v>
      </c>
      <c r="E85" s="98">
        <f>IF(E55=0,0,E55/TrRoad_act!E55*100)</f>
        <v>49.814979263346189</v>
      </c>
      <c r="F85" s="98">
        <f>IF(F55=0,0,F55/TrRoad_act!F55*100)</f>
        <v>47.141785560922941</v>
      </c>
      <c r="G85" s="98">
        <f>IF(G55=0,0,G55/TrRoad_act!G55*100)</f>
        <v>46.395833476792077</v>
      </c>
      <c r="H85" s="98">
        <f>IF(H55=0,0,H55/TrRoad_act!H55*100)</f>
        <v>45.126097564075572</v>
      </c>
      <c r="I85" s="98">
        <f>IF(I55=0,0,I55/TrRoad_act!I55*100)</f>
        <v>43.503490630212802</v>
      </c>
      <c r="J85" s="98">
        <f>IF(J55=0,0,J55/TrRoad_act!J55*100)</f>
        <v>44.044540398092927</v>
      </c>
      <c r="K85" s="98">
        <f>IF(K55=0,0,K55/TrRoad_act!K55*100)</f>
        <v>43.350086095900906</v>
      </c>
      <c r="L85" s="98">
        <f>IF(L55=0,0,L55/TrRoad_act!L55*100)</f>
        <v>43.996800744553703</v>
      </c>
      <c r="M85" s="98">
        <f>IF(M55=0,0,M55/TrRoad_act!M55*100)</f>
        <v>41.955367299054821</v>
      </c>
      <c r="N85" s="98">
        <f>IF(N55=0,0,N55/TrRoad_act!N55*100)</f>
        <v>37.656431131304899</v>
      </c>
      <c r="O85" s="98">
        <f>IF(O55=0,0,O55/TrRoad_act!O55*100)</f>
        <v>37.961353513736071</v>
      </c>
      <c r="P85" s="98">
        <f>IF(P55=0,0,P55/TrRoad_act!P55*100)</f>
        <v>38.258226737087504</v>
      </c>
      <c r="Q85" s="98">
        <f>IF(Q55=0,0,Q55/TrRoad_act!Q55*100)</f>
        <v>38.187921389639882</v>
      </c>
      <c r="R85" s="98">
        <f>IF(R55=0,0,R55/TrRoad_act!R55*100)</f>
        <v>42.403737072868822</v>
      </c>
      <c r="S85" s="98">
        <f>IF(S55=0,0,S55/TrRoad_act!S55*100)</f>
        <v>42.189576491844441</v>
      </c>
      <c r="T85" s="98">
        <f>IF(T55=0,0,T55/TrRoad_act!T55*100)</f>
        <v>43.512192427407811</v>
      </c>
      <c r="U85" s="98">
        <f>IF(U55=0,0,U55/TrRoad_act!U55*100)</f>
        <v>39.988120975313457</v>
      </c>
      <c r="V85" s="98">
        <f>IF(V55=0,0,V55/TrRoad_act!V55*100)</f>
        <v>38.373024800421867</v>
      </c>
      <c r="W85" s="98">
        <f>IF(W55=0,0,W55/TrRoad_act!W55*100)</f>
        <v>36.436288843204231</v>
      </c>
      <c r="X85" s="98">
        <f>IF(X55=0,0,X55/TrRoad_act!X55*100)</f>
        <v>37.193672053624951</v>
      </c>
      <c r="Y85" s="98">
        <f>IF(Y55=0,0,Y55/TrRoad_act!Y55*100)</f>
        <v>35.467921095155575</v>
      </c>
      <c r="DA85" s="178" t="s">
        <v>697</v>
      </c>
    </row>
    <row r="86" spans="1:105" x14ac:dyDescent="0.25">
      <c r="A86" s="106"/>
      <c r="B86" s="106"/>
      <c r="C86" s="106"/>
      <c r="D86" s="106"/>
      <c r="E86" s="106"/>
      <c r="F86" s="106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X86" s="106"/>
      <c r="Y86" s="106"/>
      <c r="DA86" s="171"/>
    </row>
    <row r="87" spans="1:105" ht="11.45" customHeight="1" x14ac:dyDescent="0.25">
      <c r="A87" s="53" t="s">
        <v>74</v>
      </c>
      <c r="B87" s="62"/>
      <c r="C87" s="62"/>
      <c r="D87" s="62"/>
      <c r="E87" s="62"/>
      <c r="F87" s="62"/>
      <c r="G87" s="62"/>
      <c r="H87" s="62"/>
      <c r="I87" s="62"/>
      <c r="J87" s="62"/>
      <c r="K87" s="62"/>
      <c r="L87" s="62"/>
      <c r="M87" s="62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DA87" s="172"/>
    </row>
    <row r="88" spans="1:105" ht="11.45" customHeight="1" x14ac:dyDescent="0.25">
      <c r="A88" s="27" t="s">
        <v>155</v>
      </c>
      <c r="B88" s="29">
        <f>IF(TrRoad_act!B4=0,0,B18/TrRoad_act!B4*1000)</f>
        <v>47.379351336065966</v>
      </c>
      <c r="C88" s="29">
        <f>IF(TrRoad_act!C4=0,0,C18/TrRoad_act!C4*1000)</f>
        <v>47.599283374676737</v>
      </c>
      <c r="D88" s="29">
        <f>IF(TrRoad_act!D4=0,0,D18/TrRoad_act!D4*1000)</f>
        <v>48.882008470055261</v>
      </c>
      <c r="E88" s="29">
        <f>IF(TrRoad_act!E4=0,0,E18/TrRoad_act!E4*1000)</f>
        <v>49.972808818370787</v>
      </c>
      <c r="F88" s="29">
        <f>IF(TrRoad_act!F4=0,0,F18/TrRoad_act!F4*1000)</f>
        <v>49.691555642168346</v>
      </c>
      <c r="G88" s="29">
        <f>IF(TrRoad_act!G4=0,0,G18/TrRoad_act!G4*1000)</f>
        <v>44.759192417261673</v>
      </c>
      <c r="H88" s="29">
        <f>IF(TrRoad_act!H4=0,0,H18/TrRoad_act!H4*1000)</f>
        <v>46.652005994884149</v>
      </c>
      <c r="I88" s="29">
        <f>IF(TrRoad_act!I4=0,0,I18/TrRoad_act!I4*1000)</f>
        <v>45.496488610521169</v>
      </c>
      <c r="J88" s="29">
        <f>IF(TrRoad_act!J4=0,0,J18/TrRoad_act!J4*1000)</f>
        <v>44.13618980136782</v>
      </c>
      <c r="K88" s="29">
        <f>IF(TrRoad_act!K4=0,0,K18/TrRoad_act!K4*1000)</f>
        <v>43.519721455039075</v>
      </c>
      <c r="L88" s="29">
        <f>IF(TrRoad_act!L4=0,0,L18/TrRoad_act!L4*1000)</f>
        <v>44.367435268799809</v>
      </c>
      <c r="M88" s="29">
        <f>IF(TrRoad_act!M4=0,0,M18/TrRoad_act!M4*1000)</f>
        <v>42.845550332433262</v>
      </c>
      <c r="N88" s="29">
        <f>IF(TrRoad_act!N4=0,0,N18/TrRoad_act!N4*1000)</f>
        <v>41.454446499454136</v>
      </c>
      <c r="O88" s="29">
        <f>IF(TrRoad_act!O4=0,0,O18/TrRoad_act!O4*1000)</f>
        <v>41.419246729202094</v>
      </c>
      <c r="P88" s="29">
        <f>IF(TrRoad_act!P4=0,0,P18/TrRoad_act!P4*1000)</f>
        <v>45.499988693493279</v>
      </c>
      <c r="Q88" s="29">
        <f>IF(TrRoad_act!Q4=0,0,Q18/TrRoad_act!Q4*1000)</f>
        <v>43.825267832269716</v>
      </c>
      <c r="R88" s="29">
        <f>IF(TrRoad_act!R4=0,0,R18/TrRoad_act!R4*1000)</f>
        <v>42.219853940586461</v>
      </c>
      <c r="S88" s="29">
        <f>IF(TrRoad_act!S4=0,0,S18/TrRoad_act!S4*1000)</f>
        <v>46.070563125624453</v>
      </c>
      <c r="T88" s="29">
        <f>IF(TrRoad_act!T4=0,0,T18/TrRoad_act!T4*1000)</f>
        <v>45.707047931023517</v>
      </c>
      <c r="U88" s="29">
        <f>IF(TrRoad_act!U4=0,0,U18/TrRoad_act!U4*1000)</f>
        <v>46.53356442812813</v>
      </c>
      <c r="V88" s="29">
        <f>IF(TrRoad_act!V4=0,0,V18/TrRoad_act!V4*1000)</f>
        <v>50.38509744098873</v>
      </c>
      <c r="W88" s="29">
        <f>IF(TrRoad_act!W4=0,0,W18/TrRoad_act!W4*1000)</f>
        <v>47.007455736572851</v>
      </c>
      <c r="X88" s="29">
        <f>IF(TrRoad_act!X4=0,0,X18/TrRoad_act!X4*1000)</f>
        <v>44.436826401365181</v>
      </c>
      <c r="Y88" s="29">
        <f>IF(TrRoad_act!Y4=0,0,Y18/TrRoad_act!Y4*1000)</f>
        <v>43.409325668994889</v>
      </c>
      <c r="DA88" s="173" t="s">
        <v>416</v>
      </c>
    </row>
    <row r="89" spans="1:105" ht="11.45" customHeight="1" x14ac:dyDescent="0.25">
      <c r="A89" s="136" t="s">
        <v>173</v>
      </c>
      <c r="B89" s="152">
        <f>IF(TrRoad_act!B5=0,0,B19/TrRoad_act!B5*1000)</f>
        <v>35.375825462480627</v>
      </c>
      <c r="C89" s="152">
        <f>IF(TrRoad_act!C5=0,0,C19/TrRoad_act!C5*1000)</f>
        <v>35.173199268659417</v>
      </c>
      <c r="D89" s="152">
        <f>IF(TrRoad_act!D5=0,0,D19/TrRoad_act!D5*1000)</f>
        <v>34.6238656322803</v>
      </c>
      <c r="E89" s="152">
        <f>IF(TrRoad_act!E5=0,0,E19/TrRoad_act!E5*1000)</f>
        <v>34.136346456163956</v>
      </c>
      <c r="F89" s="152">
        <f>IF(TrRoad_act!F5=0,0,F19/TrRoad_act!F5*1000)</f>
        <v>34.317238453260437</v>
      </c>
      <c r="G89" s="152">
        <f>IF(TrRoad_act!G5=0,0,G19/TrRoad_act!G5*1000)</f>
        <v>33.808021607358199</v>
      </c>
      <c r="H89" s="152">
        <f>IF(TrRoad_act!H5=0,0,H19/TrRoad_act!H5*1000)</f>
        <v>33.863633573874928</v>
      </c>
      <c r="I89" s="152">
        <f>IF(TrRoad_act!I5=0,0,I19/TrRoad_act!I5*1000)</f>
        <v>33.312195453991436</v>
      </c>
      <c r="J89" s="152">
        <f>IF(TrRoad_act!J5=0,0,J19/TrRoad_act!J5*1000)</f>
        <v>33.341266805942212</v>
      </c>
      <c r="K89" s="152">
        <f>IF(TrRoad_act!K5=0,0,K19/TrRoad_act!K5*1000)</f>
        <v>33.017887266932391</v>
      </c>
      <c r="L89" s="152">
        <f>IF(TrRoad_act!L5=0,0,L19/TrRoad_act!L5*1000)</f>
        <v>32.997443457250853</v>
      </c>
      <c r="M89" s="152">
        <f>IF(TrRoad_act!M5=0,0,M19/TrRoad_act!M5*1000)</f>
        <v>32.478919303016603</v>
      </c>
      <c r="N89" s="152">
        <f>IF(TrRoad_act!N5=0,0,N19/TrRoad_act!N5*1000)</f>
        <v>32.402178785014286</v>
      </c>
      <c r="O89" s="152">
        <f>IF(TrRoad_act!O5=0,0,O19/TrRoad_act!O5*1000)</f>
        <v>32.382571251594463</v>
      </c>
      <c r="P89" s="152">
        <f>IF(TrRoad_act!P5=0,0,P19/TrRoad_act!P5*1000)</f>
        <v>32.420140900996287</v>
      </c>
      <c r="Q89" s="152">
        <f>IF(TrRoad_act!Q5=0,0,Q19/TrRoad_act!Q5*1000)</f>
        <v>31.927332300107725</v>
      </c>
      <c r="R89" s="152">
        <f>IF(TrRoad_act!R5=0,0,R19/TrRoad_act!R5*1000)</f>
        <v>32.242789528930771</v>
      </c>
      <c r="S89" s="152">
        <f>IF(TrRoad_act!S5=0,0,S19/TrRoad_act!S5*1000)</f>
        <v>31.747459703581804</v>
      </c>
      <c r="T89" s="152">
        <f>IF(TrRoad_act!T5=0,0,T19/TrRoad_act!T5*1000)</f>
        <v>31.578203746861274</v>
      </c>
      <c r="U89" s="152">
        <f>IF(TrRoad_act!U5=0,0,U19/TrRoad_act!U5*1000)</f>
        <v>31.367756145652702</v>
      </c>
      <c r="V89" s="152">
        <f>IF(TrRoad_act!V5=0,0,V19/TrRoad_act!V5*1000)</f>
        <v>29.721594518448949</v>
      </c>
      <c r="W89" s="152">
        <f>IF(TrRoad_act!W5=0,0,W19/TrRoad_act!W5*1000)</f>
        <v>30.763436139186318</v>
      </c>
      <c r="X89" s="152">
        <f>IF(TrRoad_act!X5=0,0,X19/TrRoad_act!X5*1000)</f>
        <v>29.426549904628381</v>
      </c>
      <c r="Y89" s="152">
        <f>IF(TrRoad_act!Y5=0,0,Y19/TrRoad_act!Y5*1000)</f>
        <v>29.251132423073777</v>
      </c>
      <c r="DA89" s="174" t="s">
        <v>417</v>
      </c>
    </row>
    <row r="90" spans="1:105" ht="11.45" customHeight="1" x14ac:dyDescent="0.25">
      <c r="A90" s="109" t="s">
        <v>20</v>
      </c>
      <c r="B90" s="116">
        <f>IF(TrRoad_act!B6=0,0,B21/TrRoad_act!B6*1000)</f>
        <v>51.763526126086553</v>
      </c>
      <c r="C90" s="116">
        <f>IF(TrRoad_act!C6=0,0,C21/TrRoad_act!C6*1000)</f>
        <v>52.227730626611418</v>
      </c>
      <c r="D90" s="116">
        <f>IF(TrRoad_act!D6=0,0,D21/TrRoad_act!D6*1000)</f>
        <v>53.450471615170912</v>
      </c>
      <c r="E90" s="116">
        <f>IF(TrRoad_act!E6=0,0,E21/TrRoad_act!E6*1000)</f>
        <v>54.633303535299731</v>
      </c>
      <c r="F90" s="116">
        <f>IF(TrRoad_act!F6=0,0,F21/TrRoad_act!F6*1000)</f>
        <v>54.702674673602289</v>
      </c>
      <c r="G90" s="116">
        <f>IF(TrRoad_act!G6=0,0,G21/TrRoad_act!G6*1000)</f>
        <v>48.22290059828623</v>
      </c>
      <c r="H90" s="116">
        <f>IF(TrRoad_act!H6=0,0,H21/TrRoad_act!H6*1000)</f>
        <v>49.870023383984027</v>
      </c>
      <c r="I90" s="116">
        <f>IF(TrRoad_act!I6=0,0,I21/TrRoad_act!I6*1000)</f>
        <v>49.519471831555741</v>
      </c>
      <c r="J90" s="116">
        <f>IF(TrRoad_act!J6=0,0,J21/TrRoad_act!J6*1000)</f>
        <v>48.109348189070708</v>
      </c>
      <c r="K90" s="116">
        <f>IF(TrRoad_act!K6=0,0,K21/TrRoad_act!K6*1000)</f>
        <v>46.988653740545615</v>
      </c>
      <c r="L90" s="116">
        <f>IF(TrRoad_act!L6=0,0,L21/TrRoad_act!L6*1000)</f>
        <v>47.480349732915691</v>
      </c>
      <c r="M90" s="116">
        <f>IF(TrRoad_act!M6=0,0,M21/TrRoad_act!M6*1000)</f>
        <v>46.259618850158418</v>
      </c>
      <c r="N90" s="116">
        <f>IF(TrRoad_act!N6=0,0,N21/TrRoad_act!N6*1000)</f>
        <v>44.645067439695751</v>
      </c>
      <c r="O90" s="116">
        <f>IF(TrRoad_act!O6=0,0,O21/TrRoad_act!O6*1000)</f>
        <v>44.745626347888042</v>
      </c>
      <c r="P90" s="116">
        <f>IF(TrRoad_act!P6=0,0,P21/TrRoad_act!P6*1000)</f>
        <v>48.054314816509454</v>
      </c>
      <c r="Q90" s="116">
        <f>IF(TrRoad_act!Q6=0,0,Q21/TrRoad_act!Q6*1000)</f>
        <v>46.902944006979098</v>
      </c>
      <c r="R90" s="116">
        <f>IF(TrRoad_act!R6=0,0,R21/TrRoad_act!R6*1000)</f>
        <v>44.990084153398151</v>
      </c>
      <c r="S90" s="116">
        <f>IF(TrRoad_act!S6=0,0,S21/TrRoad_act!S6*1000)</f>
        <v>48.533920508140667</v>
      </c>
      <c r="T90" s="116">
        <f>IF(TrRoad_act!T6=0,0,T21/TrRoad_act!T6*1000)</f>
        <v>48.237043909666596</v>
      </c>
      <c r="U90" s="116">
        <f>IF(TrRoad_act!U6=0,0,U21/TrRoad_act!U6*1000)</f>
        <v>49.286160477048348</v>
      </c>
      <c r="V90" s="116">
        <f>IF(TrRoad_act!V6=0,0,V21/TrRoad_act!V6*1000)</f>
        <v>52.868848689819352</v>
      </c>
      <c r="W90" s="116">
        <f>IF(TrRoad_act!W6=0,0,W21/TrRoad_act!W6*1000)</f>
        <v>49.72286544153426</v>
      </c>
      <c r="X90" s="116">
        <f>IF(TrRoad_act!X6=0,0,X21/TrRoad_act!X6*1000)</f>
        <v>47.381226701433491</v>
      </c>
      <c r="Y90" s="116">
        <f>IF(TrRoad_act!Y6=0,0,Y21/TrRoad_act!Y6*1000)</f>
        <v>46.412421388184157</v>
      </c>
      <c r="DA90" s="176" t="s">
        <v>418</v>
      </c>
    </row>
    <row r="91" spans="1:105" ht="11.45" customHeight="1" x14ac:dyDescent="0.25">
      <c r="A91" s="111" t="s">
        <v>110</v>
      </c>
      <c r="B91" s="87">
        <f>IF(TrRoad_act!B7=0,0,B22/TrRoad_act!B7*1000)</f>
        <v>55.555682892312483</v>
      </c>
      <c r="C91" s="87">
        <f>IF(TrRoad_act!C7=0,0,C22/TrRoad_act!C7*1000)</f>
        <v>57.633065438402475</v>
      </c>
      <c r="D91" s="87">
        <f>IF(TrRoad_act!D7=0,0,D22/TrRoad_act!D7*1000)</f>
        <v>58.444961391475545</v>
      </c>
      <c r="E91" s="87">
        <f>IF(TrRoad_act!E7=0,0,E22/TrRoad_act!E7*1000)</f>
        <v>60.46875255253903</v>
      </c>
      <c r="F91" s="87">
        <f>IF(TrRoad_act!F7=0,0,F22/TrRoad_act!F7*1000)</f>
        <v>61.107428317977444</v>
      </c>
      <c r="G91" s="87">
        <f>IF(TrRoad_act!G7=0,0,G22/TrRoad_act!G7*1000)</f>
        <v>53.751993596458846</v>
      </c>
      <c r="H91" s="87">
        <f>IF(TrRoad_act!H7=0,0,H22/TrRoad_act!H7*1000)</f>
        <v>55.707585368031978</v>
      </c>
      <c r="I91" s="87">
        <f>IF(TrRoad_act!I7=0,0,I22/TrRoad_act!I7*1000)</f>
        <v>55.239378310855585</v>
      </c>
      <c r="J91" s="87">
        <f>IF(TrRoad_act!J7=0,0,J22/TrRoad_act!J7*1000)</f>
        <v>52.845336896650288</v>
      </c>
      <c r="K91" s="87">
        <f>IF(TrRoad_act!K7=0,0,K22/TrRoad_act!K7*1000)</f>
        <v>51.594534609094758</v>
      </c>
      <c r="L91" s="87">
        <f>IF(TrRoad_act!L7=0,0,L22/TrRoad_act!L7*1000)</f>
        <v>51.757898832424111</v>
      </c>
      <c r="M91" s="87">
        <f>IF(TrRoad_act!M7=0,0,M22/TrRoad_act!M7*1000)</f>
        <v>50.236981894907451</v>
      </c>
      <c r="N91" s="87">
        <f>IF(TrRoad_act!N7=0,0,N22/TrRoad_act!N7*1000)</f>
        <v>47.899395902176437</v>
      </c>
      <c r="O91" s="87">
        <f>IF(TrRoad_act!O7=0,0,O22/TrRoad_act!O7*1000)</f>
        <v>48.775829080573985</v>
      </c>
      <c r="P91" s="87">
        <f>IF(TrRoad_act!P7=0,0,P22/TrRoad_act!P7*1000)</f>
        <v>52.670626132531403</v>
      </c>
      <c r="Q91" s="87">
        <f>IF(TrRoad_act!Q7=0,0,Q22/TrRoad_act!Q7*1000)</f>
        <v>51.478575564173063</v>
      </c>
      <c r="R91" s="87">
        <f>IF(TrRoad_act!R7=0,0,R22/TrRoad_act!R7*1000)</f>
        <v>50.495895667524273</v>
      </c>
      <c r="S91" s="87">
        <f>IF(TrRoad_act!S7=0,0,S22/TrRoad_act!S7*1000)</f>
        <v>57.931827408417085</v>
      </c>
      <c r="T91" s="87">
        <f>IF(TrRoad_act!T7=0,0,T22/TrRoad_act!T7*1000)</f>
        <v>58.458733114065836</v>
      </c>
      <c r="U91" s="87">
        <f>IF(TrRoad_act!U7=0,0,U22/TrRoad_act!U7*1000)</f>
        <v>59.754682383378039</v>
      </c>
      <c r="V91" s="87">
        <f>IF(TrRoad_act!V7=0,0,V22/TrRoad_act!V7*1000)</f>
        <v>71.038273861981381</v>
      </c>
      <c r="W91" s="87">
        <f>IF(TrRoad_act!W7=0,0,W22/TrRoad_act!W7*1000)</f>
        <v>66.814005832203463</v>
      </c>
      <c r="X91" s="87">
        <f>IF(TrRoad_act!X7=0,0,X22/TrRoad_act!X7*1000)</f>
        <v>60.86204252992578</v>
      </c>
      <c r="Y91" s="87">
        <f>IF(TrRoad_act!Y7=0,0,Y22/TrRoad_act!Y7*1000)</f>
        <v>58.898073368663603</v>
      </c>
      <c r="DA91" s="171" t="s">
        <v>698</v>
      </c>
    </row>
    <row r="92" spans="1:105" ht="11.45" customHeight="1" x14ac:dyDescent="0.25">
      <c r="A92" s="111" t="s">
        <v>111</v>
      </c>
      <c r="B92" s="87">
        <f>IF(TrRoad_act!B8=0,0,B24/TrRoad_act!B8*1000)</f>
        <v>47.610594474756851</v>
      </c>
      <c r="C92" s="87">
        <f>IF(TrRoad_act!C8=0,0,C24/TrRoad_act!C8*1000)</f>
        <v>47.135485122705852</v>
      </c>
      <c r="D92" s="87">
        <f>IF(TrRoad_act!D8=0,0,D24/TrRoad_act!D8*1000)</f>
        <v>49.245289388023579</v>
      </c>
      <c r="E92" s="87">
        <f>IF(TrRoad_act!E8=0,0,E24/TrRoad_act!E8*1000)</f>
        <v>50.400311315333219</v>
      </c>
      <c r="F92" s="87">
        <f>IF(TrRoad_act!F8=0,0,F24/TrRoad_act!F8*1000)</f>
        <v>50.628806730149137</v>
      </c>
      <c r="G92" s="87">
        <f>IF(TrRoad_act!G8=0,0,G24/TrRoad_act!G8*1000)</f>
        <v>45.204671250843809</v>
      </c>
      <c r="H92" s="87">
        <f>IF(TrRoad_act!H8=0,0,H24/TrRoad_act!H8*1000)</f>
        <v>47.063445683189094</v>
      </c>
      <c r="I92" s="87">
        <f>IF(TrRoad_act!I8=0,0,I24/TrRoad_act!I8*1000)</f>
        <v>47.024660783176053</v>
      </c>
      <c r="J92" s="87">
        <f>IF(TrRoad_act!J8=0,0,J24/TrRoad_act!J8*1000)</f>
        <v>46.238957143850683</v>
      </c>
      <c r="K92" s="87">
        <f>IF(TrRoad_act!K8=0,0,K24/TrRoad_act!K8*1000)</f>
        <v>45.279573219265536</v>
      </c>
      <c r="L92" s="87">
        <f>IF(TrRoad_act!L8=0,0,L24/TrRoad_act!L8*1000)</f>
        <v>45.967127305354751</v>
      </c>
      <c r="M92" s="87">
        <f>IF(TrRoad_act!M8=0,0,M24/TrRoad_act!M8*1000)</f>
        <v>44.900343253447218</v>
      </c>
      <c r="N92" s="87">
        <f>IF(TrRoad_act!N8=0,0,N24/TrRoad_act!N8*1000)</f>
        <v>43.558754103332575</v>
      </c>
      <c r="O92" s="87">
        <f>IF(TrRoad_act!O8=0,0,O24/TrRoad_act!O8*1000)</f>
        <v>43.453633351660208</v>
      </c>
      <c r="P92" s="87">
        <f>IF(TrRoad_act!P8=0,0,P24/TrRoad_act!P8*1000)</f>
        <v>46.639641889733639</v>
      </c>
      <c r="Q92" s="87">
        <f>IF(TrRoad_act!Q8=0,0,Q24/TrRoad_act!Q8*1000)</f>
        <v>45.525256282766819</v>
      </c>
      <c r="R92" s="87">
        <f>IF(TrRoad_act!R8=0,0,R24/TrRoad_act!R8*1000)</f>
        <v>43.339185772868717</v>
      </c>
      <c r="S92" s="87">
        <f>IF(TrRoad_act!S8=0,0,S24/TrRoad_act!S8*1000)</f>
        <v>45.990092262166442</v>
      </c>
      <c r="T92" s="87">
        <f>IF(TrRoad_act!T8=0,0,T24/TrRoad_act!T8*1000)</f>
        <v>45.437880041919925</v>
      </c>
      <c r="U92" s="87">
        <f>IF(TrRoad_act!U8=0,0,U24/TrRoad_act!U8*1000)</f>
        <v>46.321407231513746</v>
      </c>
      <c r="V92" s="87">
        <f>IF(TrRoad_act!V8=0,0,V24/TrRoad_act!V8*1000)</f>
        <v>48.57285846842364</v>
      </c>
      <c r="W92" s="87">
        <f>IF(TrRoad_act!W8=0,0,W24/TrRoad_act!W8*1000)</f>
        <v>45.362478285404976</v>
      </c>
      <c r="X92" s="87">
        <f>IF(TrRoad_act!X8=0,0,X24/TrRoad_act!X8*1000)</f>
        <v>43.469440445538197</v>
      </c>
      <c r="Y92" s="87">
        <f>IF(TrRoad_act!Y8=0,0,Y24/TrRoad_act!Y8*1000)</f>
        <v>42.707447499160146</v>
      </c>
      <c r="DA92" s="171" t="s">
        <v>699</v>
      </c>
    </row>
    <row r="93" spans="1:105" ht="11.45" customHeight="1" x14ac:dyDescent="0.25">
      <c r="A93" s="111" t="s">
        <v>112</v>
      </c>
      <c r="B93" s="87">
        <f>IF(TrRoad_act!B9=0,0,B26/TrRoad_act!B9*1000)</f>
        <v>130.56824450966693</v>
      </c>
      <c r="C93" s="87">
        <f>IF(TrRoad_act!C9=0,0,C26/TrRoad_act!C9*1000)</f>
        <v>131.70570986528321</v>
      </c>
      <c r="D93" s="87">
        <f>IF(TrRoad_act!D9=0,0,D26/TrRoad_act!D9*1000)</f>
        <v>133.7962380082829</v>
      </c>
      <c r="E93" s="87">
        <f>IF(TrRoad_act!E9=0,0,E26/TrRoad_act!E9*1000)</f>
        <v>144.80806625883952</v>
      </c>
      <c r="F93" s="87">
        <f>IF(TrRoad_act!F9=0,0,F26/TrRoad_act!F9*1000)</f>
        <v>163.3070769547584</v>
      </c>
      <c r="G93" s="87">
        <f>IF(TrRoad_act!G9=0,0,G26/TrRoad_act!G9*1000)</f>
        <v>132.62535017180247</v>
      </c>
      <c r="H93" s="87">
        <f>IF(TrRoad_act!H9=0,0,H26/TrRoad_act!H9*1000)</f>
        <v>142.81278355879834</v>
      </c>
      <c r="I93" s="87">
        <f>IF(TrRoad_act!I9=0,0,I26/TrRoad_act!I9*1000)</f>
        <v>177.47026270341092</v>
      </c>
      <c r="J93" s="87">
        <f>IF(TrRoad_act!J9=0,0,J26/TrRoad_act!J9*1000)</f>
        <v>85.033348969459425</v>
      </c>
      <c r="K93" s="87">
        <f>IF(TrRoad_act!K9=0,0,K26/TrRoad_act!K9*1000)</f>
        <v>79.077471673923483</v>
      </c>
      <c r="L93" s="87">
        <f>IF(TrRoad_act!L9=0,0,L26/TrRoad_act!L9*1000)</f>
        <v>83.909103777032996</v>
      </c>
      <c r="M93" s="87">
        <f>IF(TrRoad_act!M9=0,0,M26/TrRoad_act!M9*1000)</f>
        <v>85.218270778955997</v>
      </c>
      <c r="N93" s="87">
        <f>IF(TrRoad_act!N9=0,0,N26/TrRoad_act!N9*1000)</f>
        <v>75.085797006687017</v>
      </c>
      <c r="O93" s="87">
        <f>IF(TrRoad_act!O9=0,0,O26/TrRoad_act!O9*1000)</f>
        <v>85.65612474188714</v>
      </c>
      <c r="P93" s="87">
        <f>IF(TrRoad_act!P9=0,0,P26/TrRoad_act!P9*1000)</f>
        <v>90.962053437492898</v>
      </c>
      <c r="Q93" s="87">
        <f>IF(TrRoad_act!Q9=0,0,Q26/TrRoad_act!Q9*1000)</f>
        <v>97.389005624542392</v>
      </c>
      <c r="R93" s="87">
        <f>IF(TrRoad_act!R9=0,0,R26/TrRoad_act!R9*1000)</f>
        <v>92.246227654724478</v>
      </c>
      <c r="S93" s="87">
        <f>IF(TrRoad_act!S9=0,0,S26/TrRoad_act!S9*1000)</f>
        <v>93.038374328270976</v>
      </c>
      <c r="T93" s="87">
        <f>IF(TrRoad_act!T9=0,0,T26/TrRoad_act!T9*1000)</f>
        <v>70.978414684024912</v>
      </c>
      <c r="U93" s="87">
        <f>IF(TrRoad_act!U9=0,0,U26/TrRoad_act!U9*1000)</f>
        <v>69.386490352581717</v>
      </c>
      <c r="V93" s="87">
        <f>IF(TrRoad_act!V9=0,0,V26/TrRoad_act!V9*1000)</f>
        <v>77.398501861578964</v>
      </c>
      <c r="W93" s="87">
        <f>IF(TrRoad_act!W9=0,0,W26/TrRoad_act!W9*1000)</f>
        <v>65.991197336680145</v>
      </c>
      <c r="X93" s="87">
        <f>IF(TrRoad_act!X9=0,0,X26/TrRoad_act!X9*1000)</f>
        <v>62.375578266830665</v>
      </c>
      <c r="Y93" s="87">
        <f>IF(TrRoad_act!Y9=0,0,Y26/TrRoad_act!Y9*1000)</f>
        <v>42.172766662935494</v>
      </c>
      <c r="DA93" s="171" t="s">
        <v>700</v>
      </c>
    </row>
    <row r="94" spans="1:105" ht="11.45" customHeight="1" x14ac:dyDescent="0.25">
      <c r="A94" s="111" t="s">
        <v>113</v>
      </c>
      <c r="B94" s="87">
        <f>IF(TrRoad_act!B10=0,0,B27/TrRoad_act!B10*1000)</f>
        <v>0</v>
      </c>
      <c r="C94" s="87">
        <f>IF(TrRoad_act!C10=0,0,C27/TrRoad_act!C10*1000)</f>
        <v>0</v>
      </c>
      <c r="D94" s="87">
        <f>IF(TrRoad_act!D10=0,0,D27/TrRoad_act!D10*1000)</f>
        <v>0</v>
      </c>
      <c r="E94" s="87">
        <f>IF(TrRoad_act!E10=0,0,E27/TrRoad_act!E10*1000)</f>
        <v>0</v>
      </c>
      <c r="F94" s="87">
        <f>IF(TrRoad_act!F10=0,0,F27/TrRoad_act!F10*1000)</f>
        <v>54.210093813273247</v>
      </c>
      <c r="G94" s="87">
        <f>IF(TrRoad_act!G10=0,0,G27/TrRoad_act!G10*1000)</f>
        <v>48.480439092145119</v>
      </c>
      <c r="H94" s="87">
        <f>IF(TrRoad_act!H10=0,0,H27/TrRoad_act!H10*1000)</f>
        <v>50.39544303813291</v>
      </c>
      <c r="I94" s="87">
        <f>IF(TrRoad_act!I10=0,0,I27/TrRoad_act!I10*1000)</f>
        <v>50.850791608940682</v>
      </c>
      <c r="J94" s="87">
        <f>IF(TrRoad_act!J10=0,0,J27/TrRoad_act!J10*1000)</f>
        <v>51.127621524092973</v>
      </c>
      <c r="K94" s="87">
        <f>IF(TrRoad_act!K10=0,0,K27/TrRoad_act!K10*1000)</f>
        <v>51.14929046977548</v>
      </c>
      <c r="L94" s="87">
        <f>IF(TrRoad_act!L10=0,0,L27/TrRoad_act!L10*1000)</f>
        <v>51.501231255050975</v>
      </c>
      <c r="M94" s="87">
        <f>IF(TrRoad_act!M10=0,0,M27/TrRoad_act!M10*1000)</f>
        <v>51.012002620080658</v>
      </c>
      <c r="N94" s="87">
        <f>IF(TrRoad_act!N10=0,0,N27/TrRoad_act!N10*1000)</f>
        <v>46.168066594836773</v>
      </c>
      <c r="O94" s="87">
        <f>IF(TrRoad_act!O10=0,0,O27/TrRoad_act!O10*1000)</f>
        <v>45.472933449768846</v>
      </c>
      <c r="P94" s="87">
        <f>IF(TrRoad_act!P10=0,0,P27/TrRoad_act!P10*1000)</f>
        <v>48.867828517211137</v>
      </c>
      <c r="Q94" s="87">
        <f>IF(TrRoad_act!Q10=0,0,Q27/TrRoad_act!Q10*1000)</f>
        <v>48.602753072095929</v>
      </c>
      <c r="R94" s="87">
        <f>IF(TrRoad_act!R10=0,0,R27/TrRoad_act!R10*1000)</f>
        <v>44.162211872566587</v>
      </c>
      <c r="S94" s="87">
        <f>IF(TrRoad_act!S10=0,0,S27/TrRoad_act!S10*1000)</f>
        <v>48.14412212867596</v>
      </c>
      <c r="T94" s="87">
        <f>IF(TrRoad_act!T10=0,0,T27/TrRoad_act!T10*1000)</f>
        <v>47.468725102499562</v>
      </c>
      <c r="U94" s="87">
        <f>IF(TrRoad_act!U10=0,0,U27/TrRoad_act!U10*1000)</f>
        <v>45.91721373640555</v>
      </c>
      <c r="V94" s="87">
        <f>IF(TrRoad_act!V10=0,0,V27/TrRoad_act!V10*1000)</f>
        <v>48.132010975232063</v>
      </c>
      <c r="W94" s="87">
        <f>IF(TrRoad_act!W10=0,0,W27/TrRoad_act!W10*1000)</f>
        <v>46.464164637456506</v>
      </c>
      <c r="X94" s="87">
        <f>IF(TrRoad_act!X10=0,0,X27/TrRoad_act!X10*1000)</f>
        <v>44.213507815448317</v>
      </c>
      <c r="Y94" s="87">
        <f>IF(TrRoad_act!Y10=0,0,Y27/TrRoad_act!Y10*1000)</f>
        <v>44.364994429092171</v>
      </c>
      <c r="DA94" s="171" t="s">
        <v>701</v>
      </c>
    </row>
    <row r="95" spans="1:105" ht="11.45" customHeight="1" x14ac:dyDescent="0.25">
      <c r="A95" s="111" t="s">
        <v>114</v>
      </c>
      <c r="B95" s="87">
        <f>IF(TrRoad_act!B11=0,0,B29/TrRoad_act!B11*1000)</f>
        <v>0</v>
      </c>
      <c r="C95" s="87">
        <f>IF(TrRoad_act!C11=0,0,C29/TrRoad_act!C11*1000)</f>
        <v>0</v>
      </c>
      <c r="D95" s="87">
        <f>IF(TrRoad_act!D11=0,0,D29/TrRoad_act!D11*1000)</f>
        <v>0</v>
      </c>
      <c r="E95" s="87">
        <f>IF(TrRoad_act!E11=0,0,E29/TrRoad_act!E11*1000)</f>
        <v>0</v>
      </c>
      <c r="F95" s="87">
        <f>IF(TrRoad_act!F11=0,0,F29/TrRoad_act!F11*1000)</f>
        <v>0</v>
      </c>
      <c r="G95" s="87">
        <f>IF(TrRoad_act!G11=0,0,G29/TrRoad_act!G11*1000)</f>
        <v>0</v>
      </c>
      <c r="H95" s="87">
        <f>IF(TrRoad_act!H11=0,0,H29/TrRoad_act!H11*1000)</f>
        <v>0</v>
      </c>
      <c r="I95" s="87">
        <f>IF(TrRoad_act!I11=0,0,I29/TrRoad_act!I11*1000)</f>
        <v>0</v>
      </c>
      <c r="J95" s="87">
        <f>IF(TrRoad_act!J11=0,0,J29/TrRoad_act!J11*1000)</f>
        <v>0</v>
      </c>
      <c r="K95" s="87">
        <f>IF(TrRoad_act!K11=0,0,K29/TrRoad_act!K11*1000)</f>
        <v>0</v>
      </c>
      <c r="L95" s="87">
        <f>IF(TrRoad_act!L11=0,0,L29/TrRoad_act!L11*1000)</f>
        <v>0</v>
      </c>
      <c r="M95" s="87">
        <f>IF(TrRoad_act!M11=0,0,M29/TrRoad_act!M11*1000)</f>
        <v>22.671052013834753</v>
      </c>
      <c r="N95" s="87">
        <f>IF(TrRoad_act!N11=0,0,N29/TrRoad_act!N11*1000)</f>
        <v>18.233924947989479</v>
      </c>
      <c r="O95" s="87">
        <f>IF(TrRoad_act!O11=0,0,O29/TrRoad_act!O11*1000)</f>
        <v>22.278953500989086</v>
      </c>
      <c r="P95" s="87">
        <f>IF(TrRoad_act!P11=0,0,P29/TrRoad_act!P11*1000)</f>
        <v>22.771096978290338</v>
      </c>
      <c r="Q95" s="87">
        <f>IF(TrRoad_act!Q11=0,0,Q29/TrRoad_act!Q11*1000)</f>
        <v>21.824278756782267</v>
      </c>
      <c r="R95" s="87">
        <f>IF(TrRoad_act!R11=0,0,R29/TrRoad_act!R11*1000)</f>
        <v>21.948859364916395</v>
      </c>
      <c r="S95" s="87">
        <f>IF(TrRoad_act!S11=0,0,S29/TrRoad_act!S11*1000)</f>
        <v>26.547406768425798</v>
      </c>
      <c r="T95" s="87">
        <f>IF(TrRoad_act!T11=0,0,T29/TrRoad_act!T11*1000)</f>
        <v>26.639544032547324</v>
      </c>
      <c r="U95" s="87">
        <f>IF(TrRoad_act!U11=0,0,U29/TrRoad_act!U11*1000)</f>
        <v>29.167493429539562</v>
      </c>
      <c r="V95" s="87">
        <f>IF(TrRoad_act!V11=0,0,V29/TrRoad_act!V11*1000)</f>
        <v>35.705235857195646</v>
      </c>
      <c r="W95" s="87">
        <f>IF(TrRoad_act!W11=0,0,W29/TrRoad_act!W11*1000)</f>
        <v>31.18213472611319</v>
      </c>
      <c r="X95" s="87">
        <f>IF(TrRoad_act!X11=0,0,X29/TrRoad_act!X11*1000)</f>
        <v>28.224781387565105</v>
      </c>
      <c r="Y95" s="87">
        <f>IF(TrRoad_act!Y11=0,0,Y29/TrRoad_act!Y11*1000)</f>
        <v>27.137849472618331</v>
      </c>
      <c r="DA95" s="171" t="s">
        <v>702</v>
      </c>
    </row>
    <row r="96" spans="1:105" ht="11.45" customHeight="1" x14ac:dyDescent="0.25">
      <c r="A96" s="111" t="s">
        <v>115</v>
      </c>
      <c r="B96" s="87">
        <f>IF(TrRoad_act!B12=0,0,B32/TrRoad_act!B12*1000)</f>
        <v>0</v>
      </c>
      <c r="C96" s="87">
        <f>IF(TrRoad_act!C12=0,0,C32/TrRoad_act!C12*1000)</f>
        <v>0</v>
      </c>
      <c r="D96" s="87">
        <f>IF(TrRoad_act!D12=0,0,D32/TrRoad_act!D12*1000)</f>
        <v>0</v>
      </c>
      <c r="E96" s="87">
        <f>IF(TrRoad_act!E12=0,0,E32/TrRoad_act!E12*1000)</f>
        <v>0</v>
      </c>
      <c r="F96" s="87">
        <f>IF(TrRoad_act!F12=0,0,F32/TrRoad_act!F12*1000)</f>
        <v>0</v>
      </c>
      <c r="G96" s="87">
        <f>IF(TrRoad_act!G12=0,0,G32/TrRoad_act!G12*1000)</f>
        <v>0</v>
      </c>
      <c r="H96" s="87">
        <f>IF(TrRoad_act!H12=0,0,H32/TrRoad_act!H12*1000)</f>
        <v>0</v>
      </c>
      <c r="I96" s="87">
        <f>IF(TrRoad_act!I12=0,0,I32/TrRoad_act!I12*1000)</f>
        <v>0</v>
      </c>
      <c r="J96" s="87">
        <f>IF(TrRoad_act!J12=0,0,J32/TrRoad_act!J12*1000)</f>
        <v>0</v>
      </c>
      <c r="K96" s="87">
        <f>IF(TrRoad_act!K12=0,0,K32/TrRoad_act!K12*1000)</f>
        <v>8.5334959149681353</v>
      </c>
      <c r="L96" s="87">
        <f>IF(TrRoad_act!L12=0,0,L32/TrRoad_act!L12*1000)</f>
        <v>8.5930450773680231</v>
      </c>
      <c r="M96" s="87">
        <f>IF(TrRoad_act!M12=0,0,M32/TrRoad_act!M12*1000)</f>
        <v>8.5730994296698881</v>
      </c>
      <c r="N96" s="87">
        <f>IF(TrRoad_act!N12=0,0,N32/TrRoad_act!N12*1000)</f>
        <v>8.5890210430273601</v>
      </c>
      <c r="O96" s="87">
        <f>IF(TrRoad_act!O12=0,0,O32/TrRoad_act!O12*1000)</f>
        <v>8.8267031254780974</v>
      </c>
      <c r="P96" s="87">
        <f>IF(TrRoad_act!P12=0,0,P32/TrRoad_act!P12*1000)</f>
        <v>9.6388813458703098</v>
      </c>
      <c r="Q96" s="87">
        <f>IF(TrRoad_act!Q12=0,0,Q32/TrRoad_act!Q12*1000)</f>
        <v>9.7738000705812382</v>
      </c>
      <c r="R96" s="87">
        <f>IF(TrRoad_act!R12=0,0,R32/TrRoad_act!R12*1000)</f>
        <v>8.8786211102793331</v>
      </c>
      <c r="S96" s="87">
        <f>IF(TrRoad_act!S12=0,0,S32/TrRoad_act!S12*1000)</f>
        <v>9.9727290752895694</v>
      </c>
      <c r="T96" s="87">
        <f>IF(TrRoad_act!T12=0,0,T32/TrRoad_act!T12*1000)</f>
        <v>10.342943701494132</v>
      </c>
      <c r="U96" s="87">
        <f>IF(TrRoad_act!U12=0,0,U32/TrRoad_act!U12*1000)</f>
        <v>11.823147305857686</v>
      </c>
      <c r="V96" s="87">
        <f>IF(TrRoad_act!V12=0,0,V32/TrRoad_act!V12*1000)</f>
        <v>13.422218550003983</v>
      </c>
      <c r="W96" s="87">
        <f>IF(TrRoad_act!W12=0,0,W32/TrRoad_act!W12*1000)</f>
        <v>13.191119149399205</v>
      </c>
      <c r="X96" s="87">
        <f>IF(TrRoad_act!X12=0,0,X32/TrRoad_act!X12*1000)</f>
        <v>12.661948365421095</v>
      </c>
      <c r="Y96" s="87">
        <f>IF(TrRoad_act!Y12=0,0,Y32/TrRoad_act!Y12*1000)</f>
        <v>12.74867159167859</v>
      </c>
      <c r="DA96" s="171" t="s">
        <v>703</v>
      </c>
    </row>
    <row r="97" spans="1:105" ht="11.45" customHeight="1" x14ac:dyDescent="0.25">
      <c r="A97" s="109" t="s">
        <v>21</v>
      </c>
      <c r="B97" s="116">
        <f>IF(TrRoad_act!B13=0,0,B33/TrRoad_act!B13*1000)</f>
        <v>23.533019162205591</v>
      </c>
      <c r="C97" s="116">
        <f>IF(TrRoad_act!C13=0,0,C33/TrRoad_act!C13*1000)</f>
        <v>22.754614275543357</v>
      </c>
      <c r="D97" s="116">
        <f>IF(TrRoad_act!D13=0,0,D33/TrRoad_act!D13*1000)</f>
        <v>23.125129942540713</v>
      </c>
      <c r="E97" s="116">
        <f>IF(TrRoad_act!E13=0,0,E33/TrRoad_act!E13*1000)</f>
        <v>23.341804710150996</v>
      </c>
      <c r="F97" s="116">
        <f>IF(TrRoad_act!F13=0,0,F33/TrRoad_act!F13*1000)</f>
        <v>22.050174343680158</v>
      </c>
      <c r="G97" s="116">
        <f>IF(TrRoad_act!G13=0,0,G33/TrRoad_act!G13*1000)</f>
        <v>21.934008698244995</v>
      </c>
      <c r="H97" s="116">
        <f>IF(TrRoad_act!H13=0,0,H33/TrRoad_act!H13*1000)</f>
        <v>24.574588439394969</v>
      </c>
      <c r="I97" s="116">
        <f>IF(TrRoad_act!I13=0,0,I33/TrRoad_act!I13*1000)</f>
        <v>21.150059887177054</v>
      </c>
      <c r="J97" s="116">
        <f>IF(TrRoad_act!J13=0,0,J33/TrRoad_act!J13*1000)</f>
        <v>20.425156019199765</v>
      </c>
      <c r="K97" s="116">
        <f>IF(TrRoad_act!K13=0,0,K33/TrRoad_act!K13*1000)</f>
        <v>21.551323749617215</v>
      </c>
      <c r="L97" s="116">
        <f>IF(TrRoad_act!L13=0,0,L33/TrRoad_act!L13*1000)</f>
        <v>23.84737917568286</v>
      </c>
      <c r="M97" s="116">
        <f>IF(TrRoad_act!M13=0,0,M33/TrRoad_act!M13*1000)</f>
        <v>21.689009551117501</v>
      </c>
      <c r="N97" s="116">
        <f>IF(TrRoad_act!N13=0,0,N33/TrRoad_act!N13*1000)</f>
        <v>21.761000928810756</v>
      </c>
      <c r="O97" s="116">
        <f>IF(TrRoad_act!O13=0,0,O33/TrRoad_act!O13*1000)</f>
        <v>20.80866878655613</v>
      </c>
      <c r="P97" s="116">
        <f>IF(TrRoad_act!P13=0,0,P33/TrRoad_act!P13*1000)</f>
        <v>28.066557218696957</v>
      </c>
      <c r="Q97" s="116">
        <f>IF(TrRoad_act!Q13=0,0,Q33/TrRoad_act!Q13*1000)</f>
        <v>23.959050165366818</v>
      </c>
      <c r="R97" s="116">
        <f>IF(TrRoad_act!R13=0,0,R33/TrRoad_act!R13*1000)</f>
        <v>23.681910241187708</v>
      </c>
      <c r="S97" s="116">
        <f>IF(TrRoad_act!S13=0,0,S33/TrRoad_act!S13*1000)</f>
        <v>24.095988331636299</v>
      </c>
      <c r="T97" s="116">
        <f>IF(TrRoad_act!T13=0,0,T33/TrRoad_act!T13*1000)</f>
        <v>22.935548684325919</v>
      </c>
      <c r="U97" s="116">
        <f>IF(TrRoad_act!U13=0,0,U33/TrRoad_act!U13*1000)</f>
        <v>22.870078427423469</v>
      </c>
      <c r="V97" s="116">
        <f>IF(TrRoad_act!V13=0,0,V33/TrRoad_act!V13*1000)</f>
        <v>29.014321611446672</v>
      </c>
      <c r="W97" s="116">
        <f>IF(TrRoad_act!W13=0,0,W33/TrRoad_act!W13*1000)</f>
        <v>23.439728282850737</v>
      </c>
      <c r="X97" s="116">
        <f>IF(TrRoad_act!X13=0,0,X33/TrRoad_act!X13*1000)</f>
        <v>20.843436293378513</v>
      </c>
      <c r="Y97" s="116">
        <f>IF(TrRoad_act!Y13=0,0,Y33/TrRoad_act!Y13*1000)</f>
        <v>21.077004065315311</v>
      </c>
      <c r="DA97" s="176" t="s">
        <v>419</v>
      </c>
    </row>
    <row r="98" spans="1:105" ht="11.45" customHeight="1" x14ac:dyDescent="0.25">
      <c r="A98" s="111" t="s">
        <v>110</v>
      </c>
      <c r="B98" s="101">
        <f>IF(TrRoad_act!B14=0,0,B34/TrRoad_act!B14*1000)</f>
        <v>19.054708302566524</v>
      </c>
      <c r="C98" s="101">
        <f>IF(TrRoad_act!C14=0,0,C34/TrRoad_act!C14*1000)</f>
        <v>18.58802494977007</v>
      </c>
      <c r="D98" s="101">
        <f>IF(TrRoad_act!D14=0,0,D34/TrRoad_act!D14*1000)</f>
        <v>18.659702019104632</v>
      </c>
      <c r="E98" s="101">
        <f>IF(TrRoad_act!E14=0,0,E34/TrRoad_act!E14*1000)</f>
        <v>18.872678587444696</v>
      </c>
      <c r="F98" s="101">
        <f>IF(TrRoad_act!F14=0,0,F34/TrRoad_act!F14*1000)</f>
        <v>17.842148571497191</v>
      </c>
      <c r="G98" s="101">
        <f>IF(TrRoad_act!G14=0,0,G34/TrRoad_act!G14*1000)</f>
        <v>17.84163927670561</v>
      </c>
      <c r="H98" s="101">
        <f>IF(TrRoad_act!H14=0,0,H34/TrRoad_act!H14*1000)</f>
        <v>19.928051131070987</v>
      </c>
      <c r="I98" s="101">
        <f>IF(TrRoad_act!I14=0,0,I34/TrRoad_act!I14*1000)</f>
        <v>16.818129626594065</v>
      </c>
      <c r="J98" s="101">
        <f>IF(TrRoad_act!J14=0,0,J34/TrRoad_act!J14*1000)</f>
        <v>16.187713520742946</v>
      </c>
      <c r="K98" s="101">
        <f>IF(TrRoad_act!K14=0,0,K34/TrRoad_act!K14*1000)</f>
        <v>16.917261547490551</v>
      </c>
      <c r="L98" s="101">
        <f>IF(TrRoad_act!L14=0,0,L34/TrRoad_act!L14*1000)</f>
        <v>18.371539716539228</v>
      </c>
      <c r="M98" s="101">
        <f>IF(TrRoad_act!M14=0,0,M34/TrRoad_act!M14*1000)</f>
        <v>16.440170243634345</v>
      </c>
      <c r="N98" s="101">
        <f>IF(TrRoad_act!N14=0,0,N34/TrRoad_act!N14*1000)</f>
        <v>16.395338324746309</v>
      </c>
      <c r="O98" s="101">
        <f>IF(TrRoad_act!O14=0,0,O34/TrRoad_act!O14*1000)</f>
        <v>15.382603607575357</v>
      </c>
      <c r="P98" s="101">
        <f>IF(TrRoad_act!P14=0,0,P34/TrRoad_act!P14*1000)</f>
        <v>20.212390073991997</v>
      </c>
      <c r="Q98" s="101">
        <f>IF(TrRoad_act!Q14=0,0,Q34/TrRoad_act!Q14*1000)</f>
        <v>17.544664819747727</v>
      </c>
      <c r="R98" s="101">
        <f>IF(TrRoad_act!R14=0,0,R34/TrRoad_act!R14*1000)</f>
        <v>16.855322181570614</v>
      </c>
      <c r="S98" s="101">
        <f>IF(TrRoad_act!S14=0,0,S34/TrRoad_act!S14*1000)</f>
        <v>16.706308757867234</v>
      </c>
      <c r="T98" s="101">
        <f>IF(TrRoad_act!T14=0,0,T34/TrRoad_act!T14*1000)</f>
        <v>16.289211626416456</v>
      </c>
      <c r="U98" s="101">
        <f>IF(TrRoad_act!U14=0,0,U34/TrRoad_act!U14*1000)</f>
        <v>16.142279075208048</v>
      </c>
      <c r="V98" s="101">
        <f>IF(TrRoad_act!V14=0,0,V34/TrRoad_act!V14*1000)</f>
        <v>18.610513567840123</v>
      </c>
      <c r="W98" s="101">
        <f>IF(TrRoad_act!W14=0,0,W34/TrRoad_act!W14*1000)</f>
        <v>14.810469374923226</v>
      </c>
      <c r="X98" s="101">
        <f>IF(TrRoad_act!X14=0,0,X34/TrRoad_act!X14*1000)</f>
        <v>12.931593574533041</v>
      </c>
      <c r="Y98" s="101">
        <f>IF(TrRoad_act!Y14=0,0,Y34/TrRoad_act!Y14*1000)</f>
        <v>12.886307532814898</v>
      </c>
      <c r="DA98" s="175" t="s">
        <v>704</v>
      </c>
    </row>
    <row r="99" spans="1:105" ht="11.45" customHeight="1" x14ac:dyDescent="0.25">
      <c r="A99" s="111" t="s">
        <v>111</v>
      </c>
      <c r="B99" s="101">
        <f>IF(TrRoad_act!B15=0,0,B36/TrRoad_act!B15*1000)</f>
        <v>23.496210315760791</v>
      </c>
      <c r="C99" s="101">
        <f>IF(TrRoad_act!C15=0,0,C36/TrRoad_act!C15*1000)</f>
        <v>22.65628891188133</v>
      </c>
      <c r="D99" s="101">
        <f>IF(TrRoad_act!D15=0,0,D36/TrRoad_act!D15*1000)</f>
        <v>22.885070613924217</v>
      </c>
      <c r="E99" s="101">
        <f>IF(TrRoad_act!E15=0,0,E36/TrRoad_act!E15*1000)</f>
        <v>23.16096526115432</v>
      </c>
      <c r="F99" s="101">
        <f>IF(TrRoad_act!F15=0,0,F36/TrRoad_act!F15*1000)</f>
        <v>21.87583462860173</v>
      </c>
      <c r="G99" s="101">
        <f>IF(TrRoad_act!G15=0,0,G36/TrRoad_act!G15*1000)</f>
        <v>21.738908981689331</v>
      </c>
      <c r="H99" s="101">
        <f>IF(TrRoad_act!H15=0,0,H36/TrRoad_act!H15*1000)</f>
        <v>24.334480080556325</v>
      </c>
      <c r="I99" s="101">
        <f>IF(TrRoad_act!I15=0,0,I36/TrRoad_act!I15*1000)</f>
        <v>20.790980177380895</v>
      </c>
      <c r="J99" s="101">
        <f>IF(TrRoad_act!J15=0,0,J36/TrRoad_act!J15*1000)</f>
        <v>20.038099031340131</v>
      </c>
      <c r="K99" s="101">
        <f>IF(TrRoad_act!K15=0,0,K36/TrRoad_act!K15*1000)</f>
        <v>21.008938913140287</v>
      </c>
      <c r="L99" s="101">
        <f>IF(TrRoad_act!L15=0,0,L36/TrRoad_act!L15*1000)</f>
        <v>22.978577499698652</v>
      </c>
      <c r="M99" s="101">
        <f>IF(TrRoad_act!M15=0,0,M36/TrRoad_act!M15*1000)</f>
        <v>20.807564730876098</v>
      </c>
      <c r="N99" s="101">
        <f>IF(TrRoad_act!N15=0,0,N36/TrRoad_act!N15*1000)</f>
        <v>20.822172940508409</v>
      </c>
      <c r="O99" s="101">
        <f>IF(TrRoad_act!O15=0,0,O36/TrRoad_act!O15*1000)</f>
        <v>19.774692207411125</v>
      </c>
      <c r="P99" s="101">
        <f>IF(TrRoad_act!P15=0,0,P36/TrRoad_act!P15*1000)</f>
        <v>26.483452862742205</v>
      </c>
      <c r="Q99" s="101">
        <f>IF(TrRoad_act!Q15=0,0,Q36/TrRoad_act!Q15*1000)</f>
        <v>23.254495636431269</v>
      </c>
      <c r="R99" s="101">
        <f>IF(TrRoad_act!R15=0,0,R36/TrRoad_act!R15*1000)</f>
        <v>22.743190283689508</v>
      </c>
      <c r="S99" s="101">
        <f>IF(TrRoad_act!S15=0,0,S36/TrRoad_act!S15*1000)</f>
        <v>22.903088092617597</v>
      </c>
      <c r="T99" s="101">
        <f>IF(TrRoad_act!T15=0,0,T36/TrRoad_act!T15*1000)</f>
        <v>22.42374347438243</v>
      </c>
      <c r="U99" s="101">
        <f>IF(TrRoad_act!U15=0,0,U36/TrRoad_act!U15*1000)</f>
        <v>22.241749513836687</v>
      </c>
      <c r="V99" s="101">
        <f>IF(TrRoad_act!V15=0,0,V36/TrRoad_act!V15*1000)</f>
        <v>25.693956037150816</v>
      </c>
      <c r="W99" s="101">
        <f>IF(TrRoad_act!W15=0,0,W36/TrRoad_act!W15*1000)</f>
        <v>20.852643945072817</v>
      </c>
      <c r="X99" s="101">
        <f>IF(TrRoad_act!X15=0,0,X36/TrRoad_act!X15*1000)</f>
        <v>18.616047780018707</v>
      </c>
      <c r="Y99" s="101">
        <f>IF(TrRoad_act!Y15=0,0,Y36/TrRoad_act!Y15*1000)</f>
        <v>18.818196212860869</v>
      </c>
      <c r="DA99" s="175" t="s">
        <v>705</v>
      </c>
    </row>
    <row r="100" spans="1:105" ht="11.45" customHeight="1" x14ac:dyDescent="0.25">
      <c r="A100" s="111" t="s">
        <v>112</v>
      </c>
      <c r="B100" s="101">
        <f>IF(TrRoad_act!B16=0,0,B38/TrRoad_act!B16*1000)</f>
        <v>0</v>
      </c>
      <c r="C100" s="101">
        <f>IF(TrRoad_act!C16=0,0,C38/TrRoad_act!C16*1000)</f>
        <v>0</v>
      </c>
      <c r="D100" s="101">
        <f>IF(TrRoad_act!D16=0,0,D38/TrRoad_act!D16*1000)</f>
        <v>0</v>
      </c>
      <c r="E100" s="101">
        <f>IF(TrRoad_act!E16=0,0,E38/TrRoad_act!E16*1000)</f>
        <v>0</v>
      </c>
      <c r="F100" s="101">
        <f>IF(TrRoad_act!F16=0,0,F38/TrRoad_act!F16*1000)</f>
        <v>0</v>
      </c>
      <c r="G100" s="101">
        <f>IF(TrRoad_act!G16=0,0,G38/TrRoad_act!G16*1000)</f>
        <v>0</v>
      </c>
      <c r="H100" s="101">
        <f>IF(TrRoad_act!H16=0,0,H38/TrRoad_act!H16*1000)</f>
        <v>0</v>
      </c>
      <c r="I100" s="101">
        <f>IF(TrRoad_act!I16=0,0,I38/TrRoad_act!I16*1000)</f>
        <v>0</v>
      </c>
      <c r="J100" s="101">
        <f>IF(TrRoad_act!J16=0,0,J38/TrRoad_act!J16*1000)</f>
        <v>0</v>
      </c>
      <c r="K100" s="101">
        <f>IF(TrRoad_act!K16=0,0,K38/TrRoad_act!K16*1000)</f>
        <v>0</v>
      </c>
      <c r="L100" s="101">
        <f>IF(TrRoad_act!L16=0,0,L38/TrRoad_act!L16*1000)</f>
        <v>0</v>
      </c>
      <c r="M100" s="101">
        <f>IF(TrRoad_act!M16=0,0,M38/TrRoad_act!M16*1000)</f>
        <v>0</v>
      </c>
      <c r="N100" s="101">
        <f>IF(TrRoad_act!N16=0,0,N38/TrRoad_act!N16*1000)</f>
        <v>0</v>
      </c>
      <c r="O100" s="101">
        <f>IF(TrRoad_act!O16=0,0,O38/TrRoad_act!O16*1000)</f>
        <v>0</v>
      </c>
      <c r="P100" s="101">
        <f>IF(TrRoad_act!P16=0,0,P38/TrRoad_act!P16*1000)</f>
        <v>23.003537479559522</v>
      </c>
      <c r="Q100" s="101">
        <f>IF(TrRoad_act!Q16=0,0,Q38/TrRoad_act!Q16*1000)</f>
        <v>20.324659207624478</v>
      </c>
      <c r="R100" s="101">
        <f>IF(TrRoad_act!R16=0,0,R38/TrRoad_act!R16*1000)</f>
        <v>19.793394919915812</v>
      </c>
      <c r="S100" s="101">
        <f>IF(TrRoad_act!S16=0,0,S38/TrRoad_act!S16*1000)</f>
        <v>19.719148086096855</v>
      </c>
      <c r="T100" s="101">
        <f>IF(TrRoad_act!T16=0,0,T38/TrRoad_act!T16*1000)</f>
        <v>19.308173250872589</v>
      </c>
      <c r="U100" s="101">
        <f>IF(TrRoad_act!U16=0,0,U38/TrRoad_act!U16*1000)</f>
        <v>19.204078513548474</v>
      </c>
      <c r="V100" s="101">
        <f>IF(TrRoad_act!V16=0,0,V38/TrRoad_act!V16*1000)</f>
        <v>22.236889552253928</v>
      </c>
      <c r="W100" s="101">
        <f>IF(TrRoad_act!W16=0,0,W38/TrRoad_act!W16*1000)</f>
        <v>18.094390931609631</v>
      </c>
      <c r="X100" s="101">
        <f>IF(TrRoad_act!X16=0,0,X38/TrRoad_act!X16*1000)</f>
        <v>16.24465537289576</v>
      </c>
      <c r="Y100" s="101">
        <f>IF(TrRoad_act!Y16=0,0,Y38/TrRoad_act!Y16*1000)</f>
        <v>16.579543810826841</v>
      </c>
      <c r="DA100" s="175" t="s">
        <v>706</v>
      </c>
    </row>
    <row r="101" spans="1:105" ht="11.45" customHeight="1" x14ac:dyDescent="0.25">
      <c r="A101" s="111" t="s">
        <v>113</v>
      </c>
      <c r="B101" s="101">
        <f>IF(TrRoad_act!B17=0,0,B39/TrRoad_act!B17*1000)</f>
        <v>39.366252775395061</v>
      </c>
      <c r="C101" s="101">
        <f>IF(TrRoad_act!C17=0,0,C39/TrRoad_act!C17*1000)</f>
        <v>57.109592915839116</v>
      </c>
      <c r="D101" s="101">
        <f>IF(TrRoad_act!D17=0,0,D39/TrRoad_act!D17*1000)</f>
        <v>1146.9203608748207</v>
      </c>
      <c r="E101" s="101">
        <f>IF(TrRoad_act!E17=0,0,E39/TrRoad_act!E17*1000)</f>
        <v>60.029149387215682</v>
      </c>
      <c r="F101" s="101">
        <f>IF(TrRoad_act!F17=0,0,F39/TrRoad_act!F17*1000)</f>
        <v>50.082790475979209</v>
      </c>
      <c r="G101" s="101">
        <f>IF(TrRoad_act!G17=0,0,G39/TrRoad_act!G17*1000)</f>
        <v>48.963890977643985</v>
      </c>
      <c r="H101" s="101">
        <f>IF(TrRoad_act!H17=0,0,H39/TrRoad_act!H17*1000)</f>
        <v>55.9591369618188</v>
      </c>
      <c r="I101" s="101">
        <f>IF(TrRoad_act!I17=0,0,I39/TrRoad_act!I17*1000)</f>
        <v>57.540717216470291</v>
      </c>
      <c r="J101" s="101">
        <f>IF(TrRoad_act!J17=0,0,J39/TrRoad_act!J17*1000)</f>
        <v>62.370001931755858</v>
      </c>
      <c r="K101" s="101">
        <f>IF(TrRoad_act!K17=0,0,K39/TrRoad_act!K17*1000)</f>
        <v>78.882023456913245</v>
      </c>
      <c r="L101" s="101">
        <f>IF(TrRoad_act!L17=0,0,L39/TrRoad_act!L17*1000)</f>
        <v>113.61131099707627</v>
      </c>
      <c r="M101" s="101">
        <f>IF(TrRoad_act!M17=0,0,M39/TrRoad_act!M17*1000)</f>
        <v>112.44520429895069</v>
      </c>
      <c r="N101" s="101">
        <f>IF(TrRoad_act!N17=0,0,N39/TrRoad_act!N17*1000)</f>
        <v>116.37093218646456</v>
      </c>
      <c r="O101" s="101">
        <f>IF(TrRoad_act!O17=0,0,O39/TrRoad_act!O17*1000)</f>
        <v>124.2603008310948</v>
      </c>
      <c r="P101" s="101">
        <f>IF(TrRoad_act!P17=0,0,P39/TrRoad_act!P17*1000)</f>
        <v>201.28017337606886</v>
      </c>
      <c r="Q101" s="101">
        <f>IF(TrRoad_act!Q17=0,0,Q39/TrRoad_act!Q17*1000)</f>
        <v>42.159824420419355</v>
      </c>
      <c r="R101" s="101">
        <f>IF(TrRoad_act!R17=0,0,R39/TrRoad_act!R17*1000)</f>
        <v>43.431408753417251</v>
      </c>
      <c r="S101" s="101">
        <f>IF(TrRoad_act!S17=0,0,S39/TrRoad_act!S17*1000)</f>
        <v>34.320445405710608</v>
      </c>
      <c r="T101" s="101">
        <f>IF(TrRoad_act!T17=0,0,T39/TrRoad_act!T17*1000)</f>
        <v>27.05122234683202</v>
      </c>
      <c r="U101" s="101">
        <f>IF(TrRoad_act!U17=0,0,U39/TrRoad_act!U17*1000)</f>
        <v>26.856856846531176</v>
      </c>
      <c r="V101" s="101">
        <f>IF(TrRoad_act!V17=0,0,V39/TrRoad_act!V17*1000)</f>
        <v>44.267124125697151</v>
      </c>
      <c r="W101" s="101">
        <f>IF(TrRoad_act!W17=0,0,W39/TrRoad_act!W17*1000)</f>
        <v>35.251236095761243</v>
      </c>
      <c r="X101" s="101">
        <f>IF(TrRoad_act!X17=0,0,X39/TrRoad_act!X17*1000)</f>
        <v>31.388416604504158</v>
      </c>
      <c r="Y101" s="101">
        <f>IF(TrRoad_act!Y17=0,0,Y39/TrRoad_act!Y17*1000)</f>
        <v>32.407183980349245</v>
      </c>
      <c r="DA101" s="175" t="s">
        <v>707</v>
      </c>
    </row>
    <row r="102" spans="1:105" ht="11.45" customHeight="1" x14ac:dyDescent="0.25">
      <c r="A102" s="111" t="s">
        <v>115</v>
      </c>
      <c r="B102" s="101">
        <f>IF(TrRoad_act!B18=0,0,B41/TrRoad_act!B18*1000)</f>
        <v>0</v>
      </c>
      <c r="C102" s="101">
        <f>IF(TrRoad_act!C18=0,0,C41/TrRoad_act!C18*1000)</f>
        <v>0</v>
      </c>
      <c r="D102" s="101">
        <f>IF(TrRoad_act!D18=0,0,D41/TrRoad_act!D18*1000)</f>
        <v>0</v>
      </c>
      <c r="E102" s="101">
        <f>IF(TrRoad_act!E18=0,0,E41/TrRoad_act!E18*1000)</f>
        <v>0</v>
      </c>
      <c r="F102" s="101">
        <f>IF(TrRoad_act!F18=0,0,F41/TrRoad_act!F18*1000)</f>
        <v>0</v>
      </c>
      <c r="G102" s="101">
        <f>IF(TrRoad_act!G18=0,0,G41/TrRoad_act!G18*1000)</f>
        <v>0</v>
      </c>
      <c r="H102" s="101">
        <f>IF(TrRoad_act!H18=0,0,H41/TrRoad_act!H18*1000)</f>
        <v>0</v>
      </c>
      <c r="I102" s="101">
        <f>IF(TrRoad_act!I18=0,0,I41/TrRoad_act!I18*1000)</f>
        <v>0</v>
      </c>
      <c r="J102" s="101">
        <f>IF(TrRoad_act!J18=0,0,J41/TrRoad_act!J18*1000)</f>
        <v>0</v>
      </c>
      <c r="K102" s="101">
        <f>IF(TrRoad_act!K18=0,0,K41/TrRoad_act!K18*1000)</f>
        <v>0</v>
      </c>
      <c r="L102" s="101">
        <f>IF(TrRoad_act!L18=0,0,L41/TrRoad_act!L18*1000)</f>
        <v>0</v>
      </c>
      <c r="M102" s="101">
        <f>IF(TrRoad_act!M18=0,0,M41/TrRoad_act!M18*1000)</f>
        <v>0</v>
      </c>
      <c r="N102" s="101">
        <f>IF(TrRoad_act!N18=0,0,N41/TrRoad_act!N18*1000)</f>
        <v>0</v>
      </c>
      <c r="O102" s="101">
        <f>IF(TrRoad_act!O18=0,0,O41/TrRoad_act!O18*1000)</f>
        <v>10.745924254104892</v>
      </c>
      <c r="P102" s="101">
        <f>IF(TrRoad_act!P18=0,0,P41/TrRoad_act!P18*1000)</f>
        <v>14.243924651143992</v>
      </c>
      <c r="Q102" s="101">
        <f>IF(TrRoad_act!Q18=0,0,Q41/TrRoad_act!Q18*1000)</f>
        <v>12.310712392673398</v>
      </c>
      <c r="R102" s="101">
        <f>IF(TrRoad_act!R18=0,0,R41/TrRoad_act!R18*1000)</f>
        <v>11.959567257191665</v>
      </c>
      <c r="S102" s="101">
        <f>IF(TrRoad_act!S18=0,0,S41/TrRoad_act!S18*1000)</f>
        <v>11.873575617423295</v>
      </c>
      <c r="T102" s="101">
        <f>IF(TrRoad_act!T18=0,0,T41/TrRoad_act!T18*1000)</f>
        <v>11.557905283225614</v>
      </c>
      <c r="U102" s="101">
        <f>IF(TrRoad_act!U18=0,0,U41/TrRoad_act!U18*1000)</f>
        <v>11.291098137449154</v>
      </c>
      <c r="V102" s="101">
        <f>IF(TrRoad_act!V18=0,0,V41/TrRoad_act!V18*1000)</f>
        <v>12.958682123335727</v>
      </c>
      <c r="W102" s="101">
        <f>IF(TrRoad_act!W18=0,0,W41/TrRoad_act!W18*1000)</f>
        <v>10.322946141503527</v>
      </c>
      <c r="X102" s="101">
        <f>IF(TrRoad_act!X18=0,0,X41/TrRoad_act!X18*1000)</f>
        <v>9.089507697052392</v>
      </c>
      <c r="Y102" s="101">
        <f>IF(TrRoad_act!Y18=0,0,Y41/TrRoad_act!Y18*1000)</f>
        <v>8.9175105578238494</v>
      </c>
      <c r="DA102" s="175" t="s">
        <v>708</v>
      </c>
    </row>
    <row r="103" spans="1:105" ht="11.45" customHeight="1" x14ac:dyDescent="0.25">
      <c r="A103" s="27" t="s">
        <v>156</v>
      </c>
      <c r="B103" s="29">
        <f>IF(TrRoad_act!B19=0,0,B42/TrRoad_act!B19*1000)</f>
        <v>62.482245516427859</v>
      </c>
      <c r="C103" s="29">
        <f>IF(TrRoad_act!C19=0,0,C42/TrRoad_act!C19*1000)</f>
        <v>63.699535299948153</v>
      </c>
      <c r="D103" s="29">
        <f>IF(TrRoad_act!D19=0,0,D42/TrRoad_act!D19*1000)</f>
        <v>57.710995110218427</v>
      </c>
      <c r="E103" s="29">
        <f>IF(TrRoad_act!E19=0,0,E42/TrRoad_act!E19*1000)</f>
        <v>57.604838991584863</v>
      </c>
      <c r="F103" s="29">
        <f>IF(TrRoad_act!F19=0,0,F42/TrRoad_act!F19*1000)</f>
        <v>54.019082878005541</v>
      </c>
      <c r="G103" s="29">
        <f>IF(TrRoad_act!G19=0,0,G42/TrRoad_act!G19*1000)</f>
        <v>51.292976576019797</v>
      </c>
      <c r="H103" s="29">
        <f>IF(TrRoad_act!H19=0,0,H42/TrRoad_act!H19*1000)</f>
        <v>50.077484451389992</v>
      </c>
      <c r="I103" s="29">
        <f>IF(TrRoad_act!I19=0,0,I42/TrRoad_act!I19*1000)</f>
        <v>48.600292146189012</v>
      </c>
      <c r="J103" s="29">
        <f>IF(TrRoad_act!J19=0,0,J42/TrRoad_act!J19*1000)</f>
        <v>48.644799626088606</v>
      </c>
      <c r="K103" s="29">
        <f>IF(TrRoad_act!K19=0,0,K42/TrRoad_act!K19*1000)</f>
        <v>48.096284274571303</v>
      </c>
      <c r="L103" s="29">
        <f>IF(TrRoad_act!L19=0,0,L42/TrRoad_act!L19*1000)</f>
        <v>47.81457349916095</v>
      </c>
      <c r="M103" s="29">
        <f>IF(TrRoad_act!M19=0,0,M42/TrRoad_act!M19*1000)</f>
        <v>46.095209355438556</v>
      </c>
      <c r="N103" s="29">
        <f>IF(TrRoad_act!N19=0,0,N42/TrRoad_act!N19*1000)</f>
        <v>42.473083046371755</v>
      </c>
      <c r="O103" s="29">
        <f>IF(TrRoad_act!O19=0,0,O42/TrRoad_act!O19*1000)</f>
        <v>42.244557852664741</v>
      </c>
      <c r="P103" s="29">
        <f>IF(TrRoad_act!P19=0,0,P42/TrRoad_act!P19*1000)</f>
        <v>42.529751373568594</v>
      </c>
      <c r="Q103" s="29">
        <f>IF(TrRoad_act!Q19=0,0,Q42/TrRoad_act!Q19*1000)</f>
        <v>41.974448410088129</v>
      </c>
      <c r="R103" s="29">
        <f>IF(TrRoad_act!R19=0,0,R42/TrRoad_act!R19*1000)</f>
        <v>44.069044031618454</v>
      </c>
      <c r="S103" s="29">
        <f>IF(TrRoad_act!S19=0,0,S42/TrRoad_act!S19*1000)</f>
        <v>43.376839949165813</v>
      </c>
      <c r="T103" s="29">
        <f>IF(TrRoad_act!T19=0,0,T42/TrRoad_act!T19*1000)</f>
        <v>43.673489363729843</v>
      </c>
      <c r="U103" s="29">
        <f>IF(TrRoad_act!U19=0,0,U42/TrRoad_act!U19*1000)</f>
        <v>40.360864579305407</v>
      </c>
      <c r="V103" s="29">
        <f>IF(TrRoad_act!V19=0,0,V42/TrRoad_act!V19*1000)</f>
        <v>36.002165303091317</v>
      </c>
      <c r="W103" s="29">
        <f>IF(TrRoad_act!W19=0,0,W42/TrRoad_act!W19*1000)</f>
        <v>35.759296805930795</v>
      </c>
      <c r="X103" s="29">
        <f>IF(TrRoad_act!X19=0,0,X42/TrRoad_act!X19*1000)</f>
        <v>37.17629691218152</v>
      </c>
      <c r="Y103" s="29">
        <f>IF(TrRoad_act!Y19=0,0,Y42/TrRoad_act!Y19*1000)</f>
        <v>35.867459199217706</v>
      </c>
      <c r="DA103" s="173" t="s">
        <v>425</v>
      </c>
    </row>
    <row r="104" spans="1:105" ht="11.45" customHeight="1" x14ac:dyDescent="0.25">
      <c r="A104" s="136" t="s">
        <v>153</v>
      </c>
      <c r="B104" s="152">
        <f>IF(TrRoad_act!B20=0,0,B43/TrRoad_act!B20*1000)</f>
        <v>347.90373745608605</v>
      </c>
      <c r="C104" s="152">
        <f>IF(TrRoad_act!C20=0,0,C43/TrRoad_act!C20*1000)</f>
        <v>346.27298259361567</v>
      </c>
      <c r="D104" s="152">
        <f>IF(TrRoad_act!D20=0,0,D43/TrRoad_act!D20*1000)</f>
        <v>332.70320157475743</v>
      </c>
      <c r="E104" s="152">
        <f>IF(TrRoad_act!E20=0,0,E43/TrRoad_act!E20*1000)</f>
        <v>322.10002452308072</v>
      </c>
      <c r="F104" s="152">
        <f>IF(TrRoad_act!F20=0,0,F43/TrRoad_act!F20*1000)</f>
        <v>304.88424263379045</v>
      </c>
      <c r="G104" s="152">
        <f>IF(TrRoad_act!G20=0,0,G43/TrRoad_act!G20*1000)</f>
        <v>289.13081602444242</v>
      </c>
      <c r="H104" s="152">
        <f>IF(TrRoad_act!H20=0,0,H43/TrRoad_act!H20*1000)</f>
        <v>282.89189507629408</v>
      </c>
      <c r="I104" s="152">
        <f>IF(TrRoad_act!I20=0,0,I43/TrRoad_act!I20*1000)</f>
        <v>267.70785897328227</v>
      </c>
      <c r="J104" s="152">
        <f>IF(TrRoad_act!J20=0,0,J43/TrRoad_act!J20*1000)</f>
        <v>260.04926290172108</v>
      </c>
      <c r="K104" s="152">
        <f>IF(TrRoad_act!K20=0,0,K43/TrRoad_act!K20*1000)</f>
        <v>248.4179584111327</v>
      </c>
      <c r="L104" s="152">
        <f>IF(TrRoad_act!L20=0,0,L43/TrRoad_act!L20*1000)</f>
        <v>245.77405177444527</v>
      </c>
      <c r="M104" s="152">
        <f>IF(TrRoad_act!M20=0,0,M43/TrRoad_act!M20*1000)</f>
        <v>245.71669632351245</v>
      </c>
      <c r="N104" s="152">
        <f>IF(TrRoad_act!N20=0,0,N43/TrRoad_act!N20*1000)</f>
        <v>245.96316201134977</v>
      </c>
      <c r="O104" s="152">
        <f>IF(TrRoad_act!O20=0,0,O43/TrRoad_act!O20*1000)</f>
        <v>246.33910091405338</v>
      </c>
      <c r="P104" s="152">
        <f>IF(TrRoad_act!P20=0,0,P43/TrRoad_act!P20*1000)</f>
        <v>241.72076224526742</v>
      </c>
      <c r="Q104" s="152">
        <f>IF(TrRoad_act!Q20=0,0,Q43/TrRoad_act!Q20*1000)</f>
        <v>237.40686808348744</v>
      </c>
      <c r="R104" s="152">
        <f>IF(TrRoad_act!R20=0,0,R43/TrRoad_act!R20*1000)</f>
        <v>235.68988849780419</v>
      </c>
      <c r="S104" s="152">
        <f>IF(TrRoad_act!S20=0,0,S43/TrRoad_act!S20*1000)</f>
        <v>236.84826528678389</v>
      </c>
      <c r="T104" s="152">
        <f>IF(TrRoad_act!T20=0,0,T43/TrRoad_act!T20*1000)</f>
        <v>235.36373291798907</v>
      </c>
      <c r="U104" s="152">
        <f>IF(TrRoad_act!U20=0,0,U43/TrRoad_act!U20*1000)</f>
        <v>234.66391484150148</v>
      </c>
      <c r="V104" s="152">
        <f>IF(TrRoad_act!V20=0,0,V43/TrRoad_act!V20*1000)</f>
        <v>228.18539271480134</v>
      </c>
      <c r="W104" s="152">
        <f>IF(TrRoad_act!W20=0,0,W43/TrRoad_act!W20*1000)</f>
        <v>232.393689058913</v>
      </c>
      <c r="X104" s="152">
        <f>IF(TrRoad_act!X20=0,0,X43/TrRoad_act!X20*1000)</f>
        <v>235.63843968581813</v>
      </c>
      <c r="Y104" s="152">
        <f>IF(TrRoad_act!Y20=0,0,Y43/TrRoad_act!Y20*1000)</f>
        <v>233.56174558465028</v>
      </c>
      <c r="DA104" s="174" t="s">
        <v>426</v>
      </c>
    </row>
    <row r="105" spans="1:105" ht="11.45" customHeight="1" x14ac:dyDescent="0.25">
      <c r="A105" s="111" t="s">
        <v>110</v>
      </c>
      <c r="B105" s="87">
        <f>IF(TrRoad_act!B21=0,0,B44/TrRoad_act!B21*1000)</f>
        <v>388.9056297294261</v>
      </c>
      <c r="C105" s="87">
        <f>IF(TrRoad_act!C21=0,0,C44/TrRoad_act!C21*1000)</f>
        <v>399.89937115579824</v>
      </c>
      <c r="D105" s="87">
        <f>IF(TrRoad_act!D21=0,0,D44/TrRoad_act!D21*1000)</f>
        <v>399.07239919789987</v>
      </c>
      <c r="E105" s="87">
        <f>IF(TrRoad_act!E21=0,0,E44/TrRoad_act!E21*1000)</f>
        <v>402.64420735544667</v>
      </c>
      <c r="F105" s="87">
        <f>IF(TrRoad_act!F21=0,0,F44/TrRoad_act!F21*1000)</f>
        <v>400.19567863125241</v>
      </c>
      <c r="G105" s="87">
        <f>IF(TrRoad_act!G21=0,0,G44/TrRoad_act!G21*1000)</f>
        <v>390.91515424796012</v>
      </c>
      <c r="H105" s="87">
        <f>IF(TrRoad_act!H21=0,0,H44/TrRoad_act!H21*1000)</f>
        <v>392.92498147621569</v>
      </c>
      <c r="I105" s="87">
        <f>IF(TrRoad_act!I21=0,0,I44/TrRoad_act!I21*1000)</f>
        <v>390.11406590170765</v>
      </c>
      <c r="J105" s="87">
        <f>IF(TrRoad_act!J21=0,0,J44/TrRoad_act!J21*1000)</f>
        <v>386.77096351520737</v>
      </c>
      <c r="K105" s="87">
        <f>IF(TrRoad_act!K21=0,0,K44/TrRoad_act!K21*1000)</f>
        <v>385.98456303677114</v>
      </c>
      <c r="L105" s="87">
        <f>IF(TrRoad_act!L21=0,0,L44/TrRoad_act!L21*1000)</f>
        <v>387.21507884538289</v>
      </c>
      <c r="M105" s="87">
        <f>IF(TrRoad_act!M21=0,0,M44/TrRoad_act!M21*1000)</f>
        <v>381.22977574608962</v>
      </c>
      <c r="N105" s="87">
        <f>IF(TrRoad_act!N21=0,0,N44/TrRoad_act!N21*1000)</f>
        <v>356.3805596873429</v>
      </c>
      <c r="O105" s="87">
        <f>IF(TrRoad_act!O21=0,0,O44/TrRoad_act!O21*1000)</f>
        <v>339.57194867268055</v>
      </c>
      <c r="P105" s="87">
        <f>IF(TrRoad_act!P21=0,0,P44/TrRoad_act!P21*1000)</f>
        <v>321.9506287991847</v>
      </c>
      <c r="Q105" s="87">
        <f>IF(TrRoad_act!Q21=0,0,Q44/TrRoad_act!Q21*1000)</f>
        <v>314.73538169917612</v>
      </c>
      <c r="R105" s="87">
        <f>IF(TrRoad_act!R21=0,0,R44/TrRoad_act!R21*1000)</f>
        <v>300.12810781065264</v>
      </c>
      <c r="S105" s="87">
        <f>IF(TrRoad_act!S21=0,0,S44/TrRoad_act!S21*1000)</f>
        <v>283.12428863972633</v>
      </c>
      <c r="T105" s="87">
        <f>IF(TrRoad_act!T21=0,0,T44/TrRoad_act!T21*1000)</f>
        <v>269.45349298834054</v>
      </c>
      <c r="U105" s="87">
        <f>IF(TrRoad_act!U21=0,0,U44/TrRoad_act!U21*1000)</f>
        <v>264.83792492136683</v>
      </c>
      <c r="V105" s="87">
        <f>IF(TrRoad_act!V21=0,0,V44/TrRoad_act!V21*1000)</f>
        <v>251.69137085623416</v>
      </c>
      <c r="W105" s="87">
        <f>IF(TrRoad_act!W21=0,0,W44/TrRoad_act!W21*1000)</f>
        <v>261.62840474679109</v>
      </c>
      <c r="X105" s="87">
        <f>IF(TrRoad_act!X21=0,0,X44/TrRoad_act!X21*1000)</f>
        <v>261.63325230979132</v>
      </c>
      <c r="Y105" s="87">
        <f>IF(TrRoad_act!Y21=0,0,Y44/TrRoad_act!Y21*1000)</f>
        <v>251.86173717827026</v>
      </c>
      <c r="DA105" s="171" t="s">
        <v>709</v>
      </c>
    </row>
    <row r="106" spans="1:105" ht="11.45" customHeight="1" x14ac:dyDescent="0.25">
      <c r="A106" s="111" t="s">
        <v>111</v>
      </c>
      <c r="B106" s="87">
        <f>IF(TrRoad_act!B22=0,0,B46/TrRoad_act!B22*1000)</f>
        <v>344.63858033864824</v>
      </c>
      <c r="C106" s="87">
        <f>IF(TrRoad_act!C22=0,0,C46/TrRoad_act!C22*1000)</f>
        <v>342.50662727408292</v>
      </c>
      <c r="D106" s="87">
        <f>IF(TrRoad_act!D22=0,0,D46/TrRoad_act!D22*1000)</f>
        <v>329.14906024775559</v>
      </c>
      <c r="E106" s="87">
        <f>IF(TrRoad_act!E22=0,0,E46/TrRoad_act!E22*1000)</f>
        <v>318.62582411245353</v>
      </c>
      <c r="F106" s="87">
        <f>IF(TrRoad_act!F22=0,0,F46/TrRoad_act!F22*1000)</f>
        <v>301.62311142288621</v>
      </c>
      <c r="G106" s="87">
        <f>IF(TrRoad_act!G22=0,0,G46/TrRoad_act!G22*1000)</f>
        <v>286.34988344141783</v>
      </c>
      <c r="H106" s="87">
        <f>IF(TrRoad_act!H22=0,0,H46/TrRoad_act!H22*1000)</f>
        <v>280.44738499152692</v>
      </c>
      <c r="I106" s="87">
        <f>IF(TrRoad_act!I22=0,0,I46/TrRoad_act!I22*1000)</f>
        <v>265.62072767962223</v>
      </c>
      <c r="J106" s="87">
        <f>IF(TrRoad_act!J22=0,0,J46/TrRoad_act!J22*1000)</f>
        <v>258.1481056153973</v>
      </c>
      <c r="K106" s="87">
        <f>IF(TrRoad_act!K22=0,0,K46/TrRoad_act!K22*1000)</f>
        <v>246.35974474223656</v>
      </c>
      <c r="L106" s="87">
        <f>IF(TrRoad_act!L22=0,0,L46/TrRoad_act!L22*1000)</f>
        <v>243.77210999640769</v>
      </c>
      <c r="M106" s="87">
        <f>IF(TrRoad_act!M22=0,0,M46/TrRoad_act!M22*1000)</f>
        <v>243.72192115411372</v>
      </c>
      <c r="N106" s="87">
        <f>IF(TrRoad_act!N22=0,0,N46/TrRoad_act!N22*1000)</f>
        <v>244.15041241020293</v>
      </c>
      <c r="O106" s="87">
        <f>IF(TrRoad_act!O22=0,0,O46/TrRoad_act!O22*1000)</f>
        <v>244.75277026068605</v>
      </c>
      <c r="P106" s="87">
        <f>IF(TrRoad_act!P22=0,0,P46/TrRoad_act!P22*1000)</f>
        <v>240.82114041859188</v>
      </c>
      <c r="Q106" s="87">
        <f>IF(TrRoad_act!Q22=0,0,Q46/TrRoad_act!Q22*1000)</f>
        <v>236.5468213108789</v>
      </c>
      <c r="R106" s="87">
        <f>IF(TrRoad_act!R22=0,0,R46/TrRoad_act!R22*1000)</f>
        <v>235.00755038484778</v>
      </c>
      <c r="S106" s="87">
        <f>IF(TrRoad_act!S22=0,0,S46/TrRoad_act!S22*1000)</f>
        <v>236.3554719516261</v>
      </c>
      <c r="T106" s="87">
        <f>IF(TrRoad_act!T22=0,0,T46/TrRoad_act!T22*1000)</f>
        <v>235.10618341498864</v>
      </c>
      <c r="U106" s="87">
        <f>IF(TrRoad_act!U22=0,0,U46/TrRoad_act!U22*1000)</f>
        <v>234.53394373593559</v>
      </c>
      <c r="V106" s="87">
        <f>IF(TrRoad_act!V22=0,0,V46/TrRoad_act!V22*1000)</f>
        <v>228.20059870615842</v>
      </c>
      <c r="W106" s="87">
        <f>IF(TrRoad_act!W22=0,0,W46/TrRoad_act!W22*1000)</f>
        <v>232.34892659904074</v>
      </c>
      <c r="X106" s="87">
        <f>IF(TrRoad_act!X22=0,0,X46/TrRoad_act!X22*1000)</f>
        <v>235.77238328527213</v>
      </c>
      <c r="Y106" s="87">
        <f>IF(TrRoad_act!Y22=0,0,Y46/TrRoad_act!Y22*1000)</f>
        <v>234.1997607390623</v>
      </c>
      <c r="DA106" s="171" t="s">
        <v>710</v>
      </c>
    </row>
    <row r="107" spans="1:105" ht="11.45" customHeight="1" x14ac:dyDescent="0.25">
      <c r="A107" s="111" t="s">
        <v>112</v>
      </c>
      <c r="B107" s="87">
        <f>IF(TrRoad_act!B23=0,0,B48/TrRoad_act!B23*1000)</f>
        <v>0</v>
      </c>
      <c r="C107" s="87">
        <f>IF(TrRoad_act!C23=0,0,C48/TrRoad_act!C23*1000)</f>
        <v>0</v>
      </c>
      <c r="D107" s="87">
        <f>IF(TrRoad_act!D23=0,0,D48/TrRoad_act!D23*1000)</f>
        <v>0</v>
      </c>
      <c r="E107" s="87">
        <f>IF(TrRoad_act!E23=0,0,E48/TrRoad_act!E23*1000)</f>
        <v>0</v>
      </c>
      <c r="F107" s="87">
        <f>IF(TrRoad_act!F23=0,0,F48/TrRoad_act!F23*1000)</f>
        <v>0</v>
      </c>
      <c r="G107" s="87">
        <f>IF(TrRoad_act!G23=0,0,G48/TrRoad_act!G23*1000)</f>
        <v>0</v>
      </c>
      <c r="H107" s="87">
        <f>IF(TrRoad_act!H23=0,0,H48/TrRoad_act!H23*1000)</f>
        <v>0</v>
      </c>
      <c r="I107" s="87">
        <f>IF(TrRoad_act!I23=0,0,I48/TrRoad_act!I23*1000)</f>
        <v>0</v>
      </c>
      <c r="J107" s="87">
        <f>IF(TrRoad_act!J23=0,0,J48/TrRoad_act!J23*1000)</f>
        <v>0</v>
      </c>
      <c r="K107" s="87">
        <f>IF(TrRoad_act!K23=0,0,K48/TrRoad_act!K23*1000)</f>
        <v>0</v>
      </c>
      <c r="L107" s="87">
        <f>IF(TrRoad_act!L23=0,0,L48/TrRoad_act!L23*1000)</f>
        <v>0</v>
      </c>
      <c r="M107" s="87">
        <f>IF(TrRoad_act!M23=0,0,M48/TrRoad_act!M23*1000)</f>
        <v>0</v>
      </c>
      <c r="N107" s="87">
        <f>IF(TrRoad_act!N23=0,0,N48/TrRoad_act!N23*1000)</f>
        <v>0</v>
      </c>
      <c r="O107" s="87">
        <f>IF(TrRoad_act!O23=0,0,O48/TrRoad_act!O23*1000)</f>
        <v>404.44480232139216</v>
      </c>
      <c r="P107" s="87">
        <f>IF(TrRoad_act!P23=0,0,P48/TrRoad_act!P23*1000)</f>
        <v>273.34916494789474</v>
      </c>
      <c r="Q107" s="87">
        <f>IF(TrRoad_act!Q23=0,0,Q48/TrRoad_act!Q23*1000)</f>
        <v>296.34313759372185</v>
      </c>
      <c r="R107" s="87">
        <f>IF(TrRoad_act!R23=0,0,R48/TrRoad_act!R23*1000)</f>
        <v>287.37187361639303</v>
      </c>
      <c r="S107" s="87">
        <f>IF(TrRoad_act!S23=0,0,S48/TrRoad_act!S23*1000)</f>
        <v>260.19907432588184</v>
      </c>
      <c r="T107" s="87">
        <f>IF(TrRoad_act!T23=0,0,T48/TrRoad_act!T23*1000)</f>
        <v>231.92896690245507</v>
      </c>
      <c r="U107" s="87">
        <f>IF(TrRoad_act!U23=0,0,U48/TrRoad_act!U23*1000)</f>
        <v>215.44120477206087</v>
      </c>
      <c r="V107" s="87">
        <f>IF(TrRoad_act!V23=0,0,V48/TrRoad_act!V23*1000)</f>
        <v>218.37867617913741</v>
      </c>
      <c r="W107" s="87">
        <f>IF(TrRoad_act!W23=0,0,W48/TrRoad_act!W23*1000)</f>
        <v>230.1965881358513</v>
      </c>
      <c r="X107" s="87">
        <f>IF(TrRoad_act!X23=0,0,X48/TrRoad_act!X23*1000)</f>
        <v>233.28814052345925</v>
      </c>
      <c r="Y107" s="87">
        <f>IF(TrRoad_act!Y23=0,0,Y48/TrRoad_act!Y23*1000)</f>
        <v>230.43222263543095</v>
      </c>
      <c r="DA107" s="171" t="s">
        <v>711</v>
      </c>
    </row>
    <row r="108" spans="1:105" ht="11.45" customHeight="1" x14ac:dyDescent="0.25">
      <c r="A108" s="111" t="s">
        <v>113</v>
      </c>
      <c r="B108" s="87">
        <f>IF(TrRoad_act!B24=0,0,B49/TrRoad_act!B24*1000)</f>
        <v>0</v>
      </c>
      <c r="C108" s="87">
        <f>IF(TrRoad_act!C24=0,0,C49/TrRoad_act!C24*1000)</f>
        <v>0</v>
      </c>
      <c r="D108" s="87">
        <f>IF(TrRoad_act!D24=0,0,D49/TrRoad_act!D24*1000)</f>
        <v>0</v>
      </c>
      <c r="E108" s="87">
        <f>IF(TrRoad_act!E24=0,0,E49/TrRoad_act!E24*1000)</f>
        <v>0</v>
      </c>
      <c r="F108" s="87">
        <f>IF(TrRoad_act!F24=0,0,F49/TrRoad_act!F24*1000)</f>
        <v>0</v>
      </c>
      <c r="G108" s="87">
        <f>IF(TrRoad_act!G24=0,0,G49/TrRoad_act!G24*1000)</f>
        <v>0</v>
      </c>
      <c r="H108" s="87">
        <f>IF(TrRoad_act!H24=0,0,H49/TrRoad_act!H24*1000)</f>
        <v>0</v>
      </c>
      <c r="I108" s="87">
        <f>IF(TrRoad_act!I24=0,0,I49/TrRoad_act!I24*1000)</f>
        <v>0</v>
      </c>
      <c r="J108" s="87">
        <f>IF(TrRoad_act!J24=0,0,J49/TrRoad_act!J24*1000)</f>
        <v>0</v>
      </c>
      <c r="K108" s="87">
        <f>IF(TrRoad_act!K24=0,0,K49/TrRoad_act!K24*1000)</f>
        <v>0</v>
      </c>
      <c r="L108" s="87">
        <f>IF(TrRoad_act!L24=0,0,L49/TrRoad_act!L24*1000)</f>
        <v>0</v>
      </c>
      <c r="M108" s="87">
        <f>IF(TrRoad_act!M24=0,0,M49/TrRoad_act!M24*1000)</f>
        <v>0</v>
      </c>
      <c r="N108" s="87">
        <f>IF(TrRoad_act!N24=0,0,N49/TrRoad_act!N24*1000)</f>
        <v>462.83654779751316</v>
      </c>
      <c r="O108" s="87">
        <f>IF(TrRoad_act!O24=0,0,O49/TrRoad_act!O24*1000)</f>
        <v>479.58351246422689</v>
      </c>
      <c r="P108" s="87">
        <f>IF(TrRoad_act!P24=0,0,P49/TrRoad_act!P24*1000)</f>
        <v>380.73815524622955</v>
      </c>
      <c r="Q108" s="87">
        <f>IF(TrRoad_act!Q24=0,0,Q49/TrRoad_act!Q24*1000)</f>
        <v>387.83788699083806</v>
      </c>
      <c r="R108" s="87">
        <f>IF(TrRoad_act!R24=0,0,R49/TrRoad_act!R24*1000)</f>
        <v>346.4143720547064</v>
      </c>
      <c r="S108" s="87">
        <f>IF(TrRoad_act!S24=0,0,S49/TrRoad_act!S24*1000)</f>
        <v>329.21376849976195</v>
      </c>
      <c r="T108" s="87">
        <f>IF(TrRoad_act!T24=0,0,T49/TrRoad_act!T24*1000)</f>
        <v>279.3044159358916</v>
      </c>
      <c r="U108" s="87">
        <f>IF(TrRoad_act!U24=0,0,U49/TrRoad_act!U24*1000)</f>
        <v>273.98011771821058</v>
      </c>
      <c r="V108" s="87">
        <f>IF(TrRoad_act!V24=0,0,V49/TrRoad_act!V24*1000)</f>
        <v>281.18792166401613</v>
      </c>
      <c r="W108" s="87">
        <f>IF(TrRoad_act!W24=0,0,W49/TrRoad_act!W24*1000)</f>
        <v>298.16151418140134</v>
      </c>
      <c r="X108" s="87">
        <f>IF(TrRoad_act!X24=0,0,X49/TrRoad_act!X24*1000)</f>
        <v>303.66851244633114</v>
      </c>
      <c r="Y108" s="87">
        <f>IF(TrRoad_act!Y24=0,0,Y49/TrRoad_act!Y24*1000)</f>
        <v>303.66874036032556</v>
      </c>
      <c r="DA108" s="171" t="s">
        <v>712</v>
      </c>
    </row>
    <row r="109" spans="1:105" ht="11.45" customHeight="1" x14ac:dyDescent="0.25">
      <c r="A109" s="111" t="s">
        <v>115</v>
      </c>
      <c r="B109" s="87">
        <f>IF(TrRoad_act!B25=0,0,B51/TrRoad_act!B25*1000)</f>
        <v>0</v>
      </c>
      <c r="C109" s="87">
        <f>IF(TrRoad_act!C25=0,0,C51/TrRoad_act!C25*1000)</f>
        <v>0</v>
      </c>
      <c r="D109" s="87">
        <f>IF(TrRoad_act!D25=0,0,D51/TrRoad_act!D25*1000)</f>
        <v>0</v>
      </c>
      <c r="E109" s="87">
        <f>IF(TrRoad_act!E25=0,0,E51/TrRoad_act!E25*1000)</f>
        <v>0</v>
      </c>
      <c r="F109" s="87">
        <f>IF(TrRoad_act!F25=0,0,F51/TrRoad_act!F25*1000)</f>
        <v>0</v>
      </c>
      <c r="G109" s="87">
        <f>IF(TrRoad_act!G25=0,0,G51/TrRoad_act!G25*1000)</f>
        <v>0</v>
      </c>
      <c r="H109" s="87">
        <f>IF(TrRoad_act!H25=0,0,H51/TrRoad_act!H25*1000)</f>
        <v>0</v>
      </c>
      <c r="I109" s="87">
        <f>IF(TrRoad_act!I25=0,0,I51/TrRoad_act!I25*1000)</f>
        <v>0</v>
      </c>
      <c r="J109" s="87">
        <f>IF(TrRoad_act!J25=0,0,J51/TrRoad_act!J25*1000)</f>
        <v>0</v>
      </c>
      <c r="K109" s="87">
        <f>IF(TrRoad_act!K25=0,0,K51/TrRoad_act!K25*1000)</f>
        <v>0</v>
      </c>
      <c r="L109" s="87">
        <f>IF(TrRoad_act!L25=0,0,L51/TrRoad_act!L25*1000)</f>
        <v>0</v>
      </c>
      <c r="M109" s="87">
        <f>IF(TrRoad_act!M25=0,0,M51/TrRoad_act!M25*1000)</f>
        <v>46.247981925404396</v>
      </c>
      <c r="N109" s="87">
        <f>IF(TrRoad_act!N25=0,0,N51/TrRoad_act!N25*1000)</f>
        <v>46.132227149953948</v>
      </c>
      <c r="O109" s="87">
        <f>IF(TrRoad_act!O25=0,0,O51/TrRoad_act!O25*1000)</f>
        <v>51.600995958708204</v>
      </c>
      <c r="P109" s="87">
        <f>IF(TrRoad_act!P25=0,0,P51/TrRoad_act!P25*1000)</f>
        <v>52.846622003605752</v>
      </c>
      <c r="Q109" s="87">
        <f>IF(TrRoad_act!Q25=0,0,Q51/TrRoad_act!Q25*1000)</f>
        <v>53.010625901865581</v>
      </c>
      <c r="R109" s="87">
        <f>IF(TrRoad_act!R25=0,0,R51/TrRoad_act!R25*1000)</f>
        <v>53.108826256152014</v>
      </c>
      <c r="S109" s="87">
        <f>IF(TrRoad_act!S25=0,0,S51/TrRoad_act!S25*1000)</f>
        <v>53.241247923470027</v>
      </c>
      <c r="T109" s="87">
        <f>IF(TrRoad_act!T25=0,0,T51/TrRoad_act!T25*1000)</f>
        <v>55.838061065038673</v>
      </c>
      <c r="U109" s="87">
        <f>IF(TrRoad_act!U25=0,0,U51/TrRoad_act!U25*1000)</f>
        <v>58.021669706154434</v>
      </c>
      <c r="V109" s="87">
        <f>IF(TrRoad_act!V25=0,0,V51/TrRoad_act!V25*1000)</f>
        <v>60.158486892162649</v>
      </c>
      <c r="W109" s="87">
        <f>IF(TrRoad_act!W25=0,0,W51/TrRoad_act!W25*1000)</f>
        <v>64.548785994455457</v>
      </c>
      <c r="X109" s="87">
        <f>IF(TrRoad_act!X25=0,0,X51/TrRoad_act!X25*1000)</f>
        <v>66.752910919790125</v>
      </c>
      <c r="Y109" s="87">
        <f>IF(TrRoad_act!Y25=0,0,Y51/TrRoad_act!Y25*1000)</f>
        <v>69.085386848200258</v>
      </c>
      <c r="DA109" s="171" t="s">
        <v>713</v>
      </c>
    </row>
    <row r="110" spans="1:105" ht="11.45" customHeight="1" x14ac:dyDescent="0.25">
      <c r="A110" s="109" t="s">
        <v>154</v>
      </c>
      <c r="B110" s="116">
        <f>IF(TrRoad_act!B26=0,0,B52/TrRoad_act!B26*1000)</f>
        <v>46.167247123935681</v>
      </c>
      <c r="C110" s="116">
        <f>IF(TrRoad_act!C26=0,0,C52/TrRoad_act!C26*1000)</f>
        <v>45.600576579693154</v>
      </c>
      <c r="D110" s="116">
        <f>IF(TrRoad_act!D26=0,0,D52/TrRoad_act!D26*1000)</f>
        <v>42.991475908756414</v>
      </c>
      <c r="E110" s="116">
        <f>IF(TrRoad_act!E26=0,0,E52/TrRoad_act!E26*1000)</f>
        <v>43.072303673444715</v>
      </c>
      <c r="F110" s="116">
        <f>IF(TrRoad_act!F26=0,0,F52/TrRoad_act!F26*1000)</f>
        <v>41.022827847004166</v>
      </c>
      <c r="G110" s="116">
        <f>IF(TrRoad_act!G26=0,0,G52/TrRoad_act!G26*1000)</f>
        <v>40.230416971260858</v>
      </c>
      <c r="H110" s="116">
        <f>IF(TrRoad_act!H26=0,0,H52/TrRoad_act!H26*1000)</f>
        <v>39.090220668522797</v>
      </c>
      <c r="I110" s="116">
        <f>IF(TrRoad_act!I26=0,0,I52/TrRoad_act!I26*1000)</f>
        <v>37.337037103087198</v>
      </c>
      <c r="J110" s="116">
        <f>IF(TrRoad_act!J26=0,0,J52/TrRoad_act!J26*1000)</f>
        <v>37.687027004789599</v>
      </c>
      <c r="K110" s="116">
        <f>IF(TrRoad_act!K26=0,0,K52/TrRoad_act!K26*1000)</f>
        <v>37.638034748528085</v>
      </c>
      <c r="L110" s="116">
        <f>IF(TrRoad_act!L26=0,0,L52/TrRoad_act!L26*1000)</f>
        <v>37.258415046825519</v>
      </c>
      <c r="M110" s="116">
        <f>IF(TrRoad_act!M26=0,0,M52/TrRoad_act!M26*1000)</f>
        <v>35.41733196615732</v>
      </c>
      <c r="N110" s="116">
        <f>IF(TrRoad_act!N26=0,0,N52/TrRoad_act!N26*1000)</f>
        <v>31.829686924128541</v>
      </c>
      <c r="O110" s="116">
        <f>IF(TrRoad_act!O26=0,0,O52/TrRoad_act!O26*1000)</f>
        <v>31.392824870296419</v>
      </c>
      <c r="P110" s="116">
        <f>IF(TrRoad_act!P26=0,0,P52/TrRoad_act!P26*1000)</f>
        <v>32.098969820660216</v>
      </c>
      <c r="Q110" s="116">
        <f>IF(TrRoad_act!Q26=0,0,Q52/TrRoad_act!Q26*1000)</f>
        <v>31.865527010172435</v>
      </c>
      <c r="R110" s="116">
        <f>IF(TrRoad_act!R26=0,0,R52/TrRoad_act!R26*1000)</f>
        <v>34.929580883610043</v>
      </c>
      <c r="S110" s="116">
        <f>IF(TrRoad_act!S26=0,0,S52/TrRoad_act!S26*1000)</f>
        <v>34.086650574557304</v>
      </c>
      <c r="T110" s="116">
        <f>IF(TrRoad_act!T26=0,0,T52/TrRoad_act!T26*1000)</f>
        <v>34.515337068524815</v>
      </c>
      <c r="U110" s="116">
        <f>IF(TrRoad_act!U26=0,0,U52/TrRoad_act!U26*1000)</f>
        <v>31.409161993231521</v>
      </c>
      <c r="V110" s="116">
        <f>IF(TrRoad_act!V26=0,0,V52/TrRoad_act!V26*1000)</f>
        <v>29.854627921467475</v>
      </c>
      <c r="W110" s="116">
        <f>IF(TrRoad_act!W26=0,0,W52/TrRoad_act!W26*1000)</f>
        <v>27.714224045520503</v>
      </c>
      <c r="X110" s="116">
        <f>IF(TrRoad_act!X26=0,0,X52/TrRoad_act!X26*1000)</f>
        <v>28.40085346102757</v>
      </c>
      <c r="Y110" s="116">
        <f>IF(TrRoad_act!Y26=0,0,Y52/TrRoad_act!Y26*1000)</f>
        <v>27.071835658145325</v>
      </c>
      <c r="DA110" s="176" t="s">
        <v>427</v>
      </c>
    </row>
    <row r="111" spans="1:105" ht="11.45" customHeight="1" x14ac:dyDescent="0.25">
      <c r="A111" s="128" t="s">
        <v>27</v>
      </c>
      <c r="B111" s="101">
        <f>IF(TrRoad_act!B27=0,0,B53/TrRoad_act!B27*1000)</f>
        <v>48.475518079019359</v>
      </c>
      <c r="C111" s="101">
        <f>IF(TrRoad_act!C27=0,0,C53/TrRoad_act!C27*1000)</f>
        <v>48.094904704741971</v>
      </c>
      <c r="D111" s="101">
        <f>IF(TrRoad_act!D27=0,0,D53/TrRoad_act!D27*1000)</f>
        <v>45.316564083645446</v>
      </c>
      <c r="E111" s="101">
        <f>IF(TrRoad_act!E27=0,0,E53/TrRoad_act!E27*1000)</f>
        <v>45.237881625046548</v>
      </c>
      <c r="F111" s="101">
        <f>IF(TrRoad_act!F27=0,0,F53/TrRoad_act!F27*1000)</f>
        <v>43.048659650257854</v>
      </c>
      <c r="G111" s="101">
        <f>IF(TrRoad_act!G27=0,0,G53/TrRoad_act!G27*1000)</f>
        <v>42.119384285712613</v>
      </c>
      <c r="H111" s="101">
        <f>IF(TrRoad_act!H27=0,0,H53/TrRoad_act!H27*1000)</f>
        <v>40.931970135351605</v>
      </c>
      <c r="I111" s="101">
        <f>IF(TrRoad_act!I27=0,0,I53/TrRoad_act!I27*1000)</f>
        <v>38.932144862938095</v>
      </c>
      <c r="J111" s="101">
        <f>IF(TrRoad_act!J27=0,0,J53/TrRoad_act!J27*1000)</f>
        <v>39.13869976701443</v>
      </c>
      <c r="K111" s="101">
        <f>IF(TrRoad_act!K27=0,0,K53/TrRoad_act!K27*1000)</f>
        <v>39.179762856654072</v>
      </c>
      <c r="L111" s="101">
        <f>IF(TrRoad_act!L27=0,0,L53/TrRoad_act!L27*1000)</f>
        <v>38.886143890699245</v>
      </c>
      <c r="M111" s="101">
        <f>IF(TrRoad_act!M27=0,0,M53/TrRoad_act!M27*1000)</f>
        <v>36.929373413378585</v>
      </c>
      <c r="N111" s="101">
        <f>IF(TrRoad_act!N27=0,0,N53/TrRoad_act!N27*1000)</f>
        <v>33.220938171334694</v>
      </c>
      <c r="O111" s="101">
        <f>IF(TrRoad_act!O27=0,0,O53/TrRoad_act!O27*1000)</f>
        <v>32.772710378777219</v>
      </c>
      <c r="P111" s="101">
        <f>IF(TrRoad_act!P27=0,0,P53/TrRoad_act!P27*1000)</f>
        <v>33.630560477690416</v>
      </c>
      <c r="Q111" s="101">
        <f>IF(TrRoad_act!Q27=0,0,Q53/TrRoad_act!Q27*1000)</f>
        <v>33.231507433228309</v>
      </c>
      <c r="R111" s="101">
        <f>IF(TrRoad_act!R27=0,0,R53/TrRoad_act!R27*1000)</f>
        <v>36.22327350738086</v>
      </c>
      <c r="S111" s="101">
        <f>IF(TrRoad_act!S27=0,0,S53/TrRoad_act!S27*1000)</f>
        <v>35.199867796197154</v>
      </c>
      <c r="T111" s="101">
        <f>IF(TrRoad_act!T27=0,0,T53/TrRoad_act!T27*1000)</f>
        <v>35.585605590147381</v>
      </c>
      <c r="U111" s="101">
        <f>IF(TrRoad_act!U27=0,0,U53/TrRoad_act!U27*1000)</f>
        <v>32.247480953766043</v>
      </c>
      <c r="V111" s="101">
        <f>IF(TrRoad_act!V27=0,0,V53/TrRoad_act!V27*1000)</f>
        <v>30.435527781998879</v>
      </c>
      <c r="W111" s="101">
        <f>IF(TrRoad_act!W27=0,0,W53/TrRoad_act!W27*1000)</f>
        <v>28.186775970796145</v>
      </c>
      <c r="X111" s="101">
        <f>IF(TrRoad_act!X27=0,0,X53/TrRoad_act!X27*1000)</f>
        <v>28.913779502605756</v>
      </c>
      <c r="Y111" s="101">
        <f>IF(TrRoad_act!Y27=0,0,Y53/TrRoad_act!Y27*1000)</f>
        <v>27.451930967244152</v>
      </c>
      <c r="DA111" s="175" t="s">
        <v>714</v>
      </c>
    </row>
    <row r="112" spans="1:105" ht="11.45" customHeight="1" x14ac:dyDescent="0.25">
      <c r="A112" s="138" t="s">
        <v>116</v>
      </c>
      <c r="B112" s="88">
        <f>IF(TrRoad_act!B28=0,0,B55/TrRoad_act!B28*1000)</f>
        <v>38.45521068894427</v>
      </c>
      <c r="C112" s="88">
        <f>IF(TrRoad_act!C28=0,0,C55/TrRoad_act!C28*1000)</f>
        <v>37.306585089659343</v>
      </c>
      <c r="D112" s="88">
        <f>IF(TrRoad_act!D28=0,0,D55/TrRoad_act!D28*1000)</f>
        <v>34.697904132470221</v>
      </c>
      <c r="E112" s="88">
        <f>IF(TrRoad_act!E28=0,0,E55/TrRoad_act!E28*1000)</f>
        <v>34.947696317689505</v>
      </c>
      <c r="F112" s="88">
        <f>IF(TrRoad_act!F28=0,0,F55/TrRoad_act!F28*1000)</f>
        <v>33.689216729776533</v>
      </c>
      <c r="G112" s="88">
        <f>IF(TrRoad_act!G28=0,0,G55/TrRoad_act!G28*1000)</f>
        <v>33.141292603255309</v>
      </c>
      <c r="H112" s="88">
        <f>IF(TrRoad_act!H28=0,0,H55/TrRoad_act!H28*1000)</f>
        <v>32.029655066544073</v>
      </c>
      <c r="I112" s="88">
        <f>IF(TrRoad_act!I28=0,0,I55/TrRoad_act!I28*1000)</f>
        <v>30.820179163466506</v>
      </c>
      <c r="J112" s="88">
        <f>IF(TrRoad_act!J28=0,0,J55/TrRoad_act!J28*1000)</f>
        <v>31.651543203510219</v>
      </c>
      <c r="K112" s="88">
        <f>IF(TrRoad_act!K28=0,0,K55/TrRoad_act!K28*1000)</f>
        <v>31.569117802704675</v>
      </c>
      <c r="L112" s="88">
        <f>IF(TrRoad_act!L28=0,0,L55/TrRoad_act!L28*1000)</f>
        <v>31.030207407980996</v>
      </c>
      <c r="M112" s="88">
        <f>IF(TrRoad_act!M28=0,0,M55/TrRoad_act!M28*1000)</f>
        <v>29.68567373493369</v>
      </c>
      <c r="N112" s="88">
        <f>IF(TrRoad_act!N28=0,0,N55/TrRoad_act!N28*1000)</f>
        <v>26.732423574406223</v>
      </c>
      <c r="O112" s="88">
        <f>IF(TrRoad_act!O28=0,0,O55/TrRoad_act!O28*1000)</f>
        <v>26.913084744089538</v>
      </c>
      <c r="P112" s="88">
        <f>IF(TrRoad_act!P28=0,0,P55/TrRoad_act!P28*1000)</f>
        <v>27.060160009094457</v>
      </c>
      <c r="Q112" s="88">
        <f>IF(TrRoad_act!Q28=0,0,Q55/TrRoad_act!Q28*1000)</f>
        <v>27.266265275926312</v>
      </c>
      <c r="R112" s="88">
        <f>IF(TrRoad_act!R28=0,0,R55/TrRoad_act!R28*1000)</f>
        <v>30.433417013276976</v>
      </c>
      <c r="S112" s="88">
        <f>IF(TrRoad_act!S28=0,0,S55/TrRoad_act!S28*1000)</f>
        <v>30.109521647685135</v>
      </c>
      <c r="T112" s="88">
        <f>IF(TrRoad_act!T28=0,0,T55/TrRoad_act!T28*1000)</f>
        <v>30.758373567159072</v>
      </c>
      <c r="U112" s="88">
        <f>IF(TrRoad_act!U28=0,0,U55/TrRoad_act!U28*1000)</f>
        <v>28.436932081012653</v>
      </c>
      <c r="V112" s="88">
        <f>IF(TrRoad_act!V28=0,0,V55/TrRoad_act!V28*1000)</f>
        <v>27.682348307762034</v>
      </c>
      <c r="W112" s="88">
        <f>IF(TrRoad_act!W28=0,0,W55/TrRoad_act!W28*1000)</f>
        <v>25.940127103062483</v>
      </c>
      <c r="X112" s="88">
        <f>IF(TrRoad_act!X28=0,0,X55/TrRoad_act!X28*1000)</f>
        <v>26.579375584653548</v>
      </c>
      <c r="Y112" s="88">
        <f>IF(TrRoad_act!Y28=0,0,Y55/TrRoad_act!Y28*1000)</f>
        <v>25.632104201144561</v>
      </c>
      <c r="DA112" s="178" t="s">
        <v>715</v>
      </c>
    </row>
    <row r="113" spans="1:105" x14ac:dyDescent="0.25">
      <c r="A113" s="106"/>
      <c r="B113" s="106"/>
      <c r="C113" s="106"/>
      <c r="D113" s="106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X113" s="106"/>
      <c r="Y113" s="106"/>
      <c r="DA113" s="171"/>
    </row>
    <row r="114" spans="1:105" ht="11.45" customHeight="1" x14ac:dyDescent="0.25">
      <c r="A114" s="53" t="s">
        <v>96</v>
      </c>
      <c r="B114" s="62"/>
      <c r="C114" s="62"/>
      <c r="D114" s="62"/>
      <c r="E114" s="62"/>
      <c r="F114" s="62"/>
      <c r="G114" s="62"/>
      <c r="H114" s="62"/>
      <c r="I114" s="62"/>
      <c r="J114" s="62"/>
      <c r="K114" s="62"/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X114" s="62"/>
      <c r="Y114" s="62"/>
      <c r="DA114" s="172"/>
    </row>
    <row r="115" spans="1:105" ht="11.45" customHeight="1" x14ac:dyDescent="0.25">
      <c r="A115" s="27" t="s">
        <v>33</v>
      </c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DA115" s="173"/>
    </row>
    <row r="116" spans="1:105" ht="11.45" customHeight="1" x14ac:dyDescent="0.25">
      <c r="A116" s="136" t="s">
        <v>173</v>
      </c>
      <c r="B116" s="152">
        <f>IF(B19=0,0,1000000*B19/TrRoad_act!B59)</f>
        <v>116.12642535035836</v>
      </c>
      <c r="C116" s="152">
        <f>IF(C19=0,0,1000000*C19/TrRoad_act!C59)</f>
        <v>120.9475819689232</v>
      </c>
      <c r="D116" s="152">
        <f>IF(D19=0,0,1000000*D19/TrRoad_act!D59)</f>
        <v>102.17916275061837</v>
      </c>
      <c r="E116" s="152">
        <f>IF(E19=0,0,1000000*E19/TrRoad_act!E59)</f>
        <v>111.90517959165558</v>
      </c>
      <c r="F116" s="152">
        <f>IF(F19=0,0,1000000*F19/TrRoad_act!F59)</f>
        <v>102.49690652542861</v>
      </c>
      <c r="G116" s="152">
        <f>IF(G19=0,0,1000000*G19/TrRoad_act!G59)</f>
        <v>109.52762474215685</v>
      </c>
      <c r="H116" s="152">
        <f>IF(H19=0,0,1000000*H19/TrRoad_act!H59)</f>
        <v>104.06999721061699</v>
      </c>
      <c r="I116" s="152">
        <f>IF(I19=0,0,1000000*I19/TrRoad_act!I59)</f>
        <v>109.10968936399392</v>
      </c>
      <c r="J116" s="152">
        <f>IF(J19=0,0,1000000*J19/TrRoad_act!J59)</f>
        <v>105.341684732565</v>
      </c>
      <c r="K116" s="152">
        <f>IF(K19=0,0,1000000*K19/TrRoad_act!K59)</f>
        <v>107.64648001287046</v>
      </c>
      <c r="L116" s="152">
        <f>IF(L19=0,0,1000000*L19/TrRoad_act!L59)</f>
        <v>108.08213060478866</v>
      </c>
      <c r="M116" s="152">
        <f>IF(M19=0,0,1000000*M19/TrRoad_act!M59)</f>
        <v>98.475476750064672</v>
      </c>
      <c r="N116" s="152">
        <f>IF(N19=0,0,1000000*N19/TrRoad_act!N59)</f>
        <v>93.155207986587612</v>
      </c>
      <c r="O116" s="152">
        <f>IF(O19=0,0,1000000*O19/TrRoad_act!O59)</f>
        <v>92.385213301640476</v>
      </c>
      <c r="P116" s="152">
        <f>IF(P19=0,0,1000000*P19/TrRoad_act!P59)</f>
        <v>101.90800633594154</v>
      </c>
      <c r="Q116" s="152">
        <f>IF(Q19=0,0,1000000*Q19/TrRoad_act!Q59)</f>
        <v>107.88035030423507</v>
      </c>
      <c r="R116" s="152">
        <f>IF(R19=0,0,1000000*R19/TrRoad_act!R59)</f>
        <v>112.05668617150101</v>
      </c>
      <c r="S116" s="152">
        <f>IF(S19=0,0,1000000*S19/TrRoad_act!S59)</f>
        <v>99.681448884384764</v>
      </c>
      <c r="T116" s="152">
        <f>IF(T19=0,0,1000000*T19/TrRoad_act!T59)</f>
        <v>92.859003543652577</v>
      </c>
      <c r="U116" s="152">
        <f>IF(U19=0,0,1000000*U19/TrRoad_act!U59)</f>
        <v>98.000744582317139</v>
      </c>
      <c r="V116" s="152">
        <f>IF(V19=0,0,1000000*V19/TrRoad_act!V59)</f>
        <v>79.60277692022656</v>
      </c>
      <c r="W116" s="152">
        <f>IF(W19=0,0,1000000*W19/TrRoad_act!W59)</f>
        <v>86.409842643419495</v>
      </c>
      <c r="X116" s="152">
        <f>IF(X19=0,0,1000000*X19/TrRoad_act!X59)</f>
        <v>81.946713111098219</v>
      </c>
      <c r="Y116" s="152">
        <f>IF(Y19=0,0,1000000*Y19/TrRoad_act!Y59)</f>
        <v>86.166115531208618</v>
      </c>
      <c r="DA116" s="174" t="s">
        <v>716</v>
      </c>
    </row>
    <row r="117" spans="1:105" ht="11.45" customHeight="1" x14ac:dyDescent="0.25">
      <c r="A117" s="109" t="s">
        <v>20</v>
      </c>
      <c r="B117" s="116">
        <f>IF(B21=0,0,1000000*B21/TrRoad_act!B60)</f>
        <v>896.79848909716304</v>
      </c>
      <c r="C117" s="116">
        <f>IF(C21=0,0,1000000*C21/TrRoad_act!C60)</f>
        <v>886.11045039491569</v>
      </c>
      <c r="D117" s="116">
        <f>IF(D21=0,0,1000000*D21/TrRoad_act!D60)</f>
        <v>898.78281955793716</v>
      </c>
      <c r="E117" s="116">
        <f>IF(E21=0,0,1000000*E21/TrRoad_act!E60)</f>
        <v>941.13817104623126</v>
      </c>
      <c r="F117" s="116">
        <f>IF(F21=0,0,1000000*F21/TrRoad_act!F60)</f>
        <v>924.28541376655858</v>
      </c>
      <c r="G117" s="116">
        <f>IF(G21=0,0,1000000*G21/TrRoad_act!G60)</f>
        <v>934.90199630776169</v>
      </c>
      <c r="H117" s="116">
        <f>IF(H21=0,0,1000000*H21/TrRoad_act!H60)</f>
        <v>929.62953864268889</v>
      </c>
      <c r="I117" s="116">
        <f>IF(I21=0,0,1000000*I21/TrRoad_act!I60)</f>
        <v>921.85184779145652</v>
      </c>
      <c r="J117" s="116">
        <f>IF(J21=0,0,1000000*J21/TrRoad_act!J60)</f>
        <v>880.68892413522747</v>
      </c>
      <c r="K117" s="116">
        <f>IF(K21=0,0,1000000*K21/TrRoad_act!K60)</f>
        <v>876.74535367275689</v>
      </c>
      <c r="L117" s="116">
        <f>IF(L21=0,0,1000000*L21/TrRoad_act!L60)</f>
        <v>847.50423492094831</v>
      </c>
      <c r="M117" s="116">
        <f>IF(M21=0,0,1000000*M21/TrRoad_act!M60)</f>
        <v>813.41300711111921</v>
      </c>
      <c r="N117" s="116">
        <f>IF(N21=0,0,1000000*N21/TrRoad_act!N60)</f>
        <v>757.61764389843984</v>
      </c>
      <c r="O117" s="116">
        <f>IF(O21=0,0,1000000*O21/TrRoad_act!O60)</f>
        <v>756.38396999886629</v>
      </c>
      <c r="P117" s="116">
        <f>IF(P21=0,0,1000000*P21/TrRoad_act!P60)</f>
        <v>764.3339976337046</v>
      </c>
      <c r="Q117" s="116">
        <f>IF(Q21=0,0,1000000*Q21/TrRoad_act!Q60)</f>
        <v>768.07795822774619</v>
      </c>
      <c r="R117" s="116">
        <f>IF(R21=0,0,1000000*R21/TrRoad_act!R60)</f>
        <v>753.3028813509643</v>
      </c>
      <c r="S117" s="116">
        <f>IF(S21=0,0,1000000*S21/TrRoad_act!S60)</f>
        <v>725.1938583268003</v>
      </c>
      <c r="T117" s="116">
        <f>IF(T21=0,0,1000000*T21/TrRoad_act!T60)</f>
        <v>720.66871277637597</v>
      </c>
      <c r="U117" s="116">
        <f>IF(U21=0,0,1000000*U21/TrRoad_act!U60)</f>
        <v>725.8468910727463</v>
      </c>
      <c r="V117" s="116">
        <f>IF(V21=0,0,1000000*V21/TrRoad_act!V60)</f>
        <v>584.5480311694223</v>
      </c>
      <c r="W117" s="116">
        <f>IF(W21=0,0,1000000*W21/TrRoad_act!W60)</f>
        <v>668.72475692454634</v>
      </c>
      <c r="X117" s="116">
        <f>IF(X21=0,0,1000000*X21/TrRoad_act!X60)</f>
        <v>687.61381410335048</v>
      </c>
      <c r="Y117" s="116">
        <f>IF(Y21=0,0,1000000*Y21/TrRoad_act!Y60)</f>
        <v>686.61745035299145</v>
      </c>
      <c r="DA117" s="176" t="s">
        <v>717</v>
      </c>
    </row>
    <row r="118" spans="1:105" ht="11.45" customHeight="1" x14ac:dyDescent="0.25">
      <c r="A118" s="111" t="s">
        <v>110</v>
      </c>
      <c r="B118" s="87">
        <f>IF(B22=0,0,1000000*B22/TrRoad_act!B61)</f>
        <v>659.85291018584417</v>
      </c>
      <c r="C118" s="87">
        <f>IF(C22=0,0,1000000*C22/TrRoad_act!C61)</f>
        <v>651.05823817172245</v>
      </c>
      <c r="D118" s="87">
        <f>IF(D22=0,0,1000000*D22/TrRoad_act!D61)</f>
        <v>636.07525256724091</v>
      </c>
      <c r="E118" s="87">
        <f>IF(E22=0,0,1000000*E22/TrRoad_act!E61)</f>
        <v>651.21927289193695</v>
      </c>
      <c r="F118" s="87">
        <f>IF(F22=0,0,1000000*F22/TrRoad_act!F61)</f>
        <v>624.74982524147651</v>
      </c>
      <c r="G118" s="87">
        <f>IF(G22=0,0,1000000*G22/TrRoad_act!G61)</f>
        <v>611.4374884874203</v>
      </c>
      <c r="H118" s="87">
        <f>IF(H22=0,0,1000000*H22/TrRoad_act!H61)</f>
        <v>591.27022651418349</v>
      </c>
      <c r="I118" s="87">
        <f>IF(I22=0,0,1000000*I22/TrRoad_act!I61)</f>
        <v>571.40059178821593</v>
      </c>
      <c r="J118" s="87">
        <f>IF(J22=0,0,1000000*J22/TrRoad_act!J61)</f>
        <v>529.53008929984605</v>
      </c>
      <c r="K118" s="87">
        <f>IF(K22=0,0,1000000*K22/TrRoad_act!K61)</f>
        <v>519.07340396380107</v>
      </c>
      <c r="L118" s="87">
        <f>IF(L22=0,0,1000000*L22/TrRoad_act!L61)</f>
        <v>491.99144372459767</v>
      </c>
      <c r="M118" s="87">
        <f>IF(M22=0,0,1000000*M22/TrRoad_act!M61)</f>
        <v>466.17191126653518</v>
      </c>
      <c r="N118" s="87">
        <f>IF(N22=0,0,1000000*N22/TrRoad_act!N61)</f>
        <v>425.73395789878452</v>
      </c>
      <c r="O118" s="87">
        <f>IF(O22=0,0,1000000*O22/TrRoad_act!O61)</f>
        <v>427.49588765271301</v>
      </c>
      <c r="P118" s="87">
        <f>IF(P22=0,0,1000000*P22/TrRoad_act!P61)</f>
        <v>429.9974833517108</v>
      </c>
      <c r="Q118" s="87">
        <f>IF(Q22=0,0,1000000*Q22/TrRoad_act!Q61)</f>
        <v>429.95701420611834</v>
      </c>
      <c r="R118" s="87">
        <f>IF(R22=0,0,1000000*R22/TrRoad_act!R61)</f>
        <v>431.94819902119923</v>
      </c>
      <c r="S118" s="87">
        <f>IF(S22=0,0,1000000*S22/TrRoad_act!S61)</f>
        <v>434.46867256829279</v>
      </c>
      <c r="T118" s="87">
        <f>IF(T22=0,0,1000000*T22/TrRoad_act!T61)</f>
        <v>440.68111731990348</v>
      </c>
      <c r="U118" s="87">
        <f>IF(U22=0,0,1000000*U22/TrRoad_act!U61)</f>
        <v>447.29835829332603</v>
      </c>
      <c r="V118" s="87">
        <f>IF(V22=0,0,1000000*V22/TrRoad_act!V61)</f>
        <v>345.64608139541406</v>
      </c>
      <c r="W118" s="87">
        <f>IF(W22=0,0,1000000*W22/TrRoad_act!W61)</f>
        <v>420.81528397222178</v>
      </c>
      <c r="X118" s="87">
        <f>IF(X22=0,0,1000000*X22/TrRoad_act!X61)</f>
        <v>456.29815099519874</v>
      </c>
      <c r="Y118" s="87">
        <f>IF(Y22=0,0,1000000*Y22/TrRoad_act!Y61)</f>
        <v>474.90201803231582</v>
      </c>
      <c r="DA118" s="171" t="s">
        <v>718</v>
      </c>
    </row>
    <row r="119" spans="1:105" ht="11.45" customHeight="1" x14ac:dyDescent="0.25">
      <c r="A119" s="111" t="s">
        <v>111</v>
      </c>
      <c r="B119" s="87">
        <f>IF(B24=0,0,1000000*B24/TrRoad_act!B62)</f>
        <v>1524.5292956001931</v>
      </c>
      <c r="C119" s="87">
        <f>IF(C24=0,0,1000000*C24/TrRoad_act!C62)</f>
        <v>1435.5212442206373</v>
      </c>
      <c r="D119" s="87">
        <f>IF(D24=0,0,1000000*D24/TrRoad_act!D62)</f>
        <v>1444.9061541948236</v>
      </c>
      <c r="E119" s="87">
        <f>IF(E24=0,0,1000000*E24/TrRoad_act!E62)</f>
        <v>1463.3323668117705</v>
      </c>
      <c r="F119" s="87">
        <f>IF(F24=0,0,1000000*F24/TrRoad_act!F62)</f>
        <v>1395.4791495936497</v>
      </c>
      <c r="G119" s="87">
        <f>IF(G24=0,0,1000000*G24/TrRoad_act!G62)</f>
        <v>1386.290750268452</v>
      </c>
      <c r="H119" s="87">
        <f>IF(H24=0,0,1000000*H24/TrRoad_act!H62)</f>
        <v>1346.6939849498094</v>
      </c>
      <c r="I119" s="87">
        <f>IF(I24=0,0,1000000*I24/TrRoad_act!I62)</f>
        <v>1311.387679111408</v>
      </c>
      <c r="J119" s="87">
        <f>IF(J24=0,0,1000000*J24/TrRoad_act!J62)</f>
        <v>1249.1239246345106</v>
      </c>
      <c r="K119" s="87">
        <f>IF(K24=0,0,1000000*K24/TrRoad_act!K62)</f>
        <v>1228.1203469076881</v>
      </c>
      <c r="L119" s="87">
        <f>IF(L24=0,0,1000000*L24/TrRoad_act!L62)</f>
        <v>1177.9905327254471</v>
      </c>
      <c r="M119" s="87">
        <f>IF(M24=0,0,1000000*M24/TrRoad_act!M62)</f>
        <v>1123.2741040995829</v>
      </c>
      <c r="N119" s="87">
        <f>IF(N24=0,0,1000000*N24/TrRoad_act!N62)</f>
        <v>1043.7517804020142</v>
      </c>
      <c r="O119" s="87">
        <f>IF(O24=0,0,1000000*O24/TrRoad_act!O62)</f>
        <v>1026.7551756716894</v>
      </c>
      <c r="P119" s="87">
        <f>IF(P24=0,0,1000000*P24/TrRoad_act!P62)</f>
        <v>1026.5170418176087</v>
      </c>
      <c r="Q119" s="87">
        <f>IF(Q24=0,0,1000000*Q24/TrRoad_act!Q62)</f>
        <v>1025.0957673710711</v>
      </c>
      <c r="R119" s="87">
        <f>IF(R24=0,0,1000000*R24/TrRoad_act!R62)</f>
        <v>999.47022229808215</v>
      </c>
      <c r="S119" s="87">
        <f>IF(S24=0,0,1000000*S24/TrRoad_act!S62)</f>
        <v>929.86316389880528</v>
      </c>
      <c r="T119" s="87">
        <f>IF(T24=0,0,1000000*T24/TrRoad_act!T62)</f>
        <v>923.4356294462674</v>
      </c>
      <c r="U119" s="87">
        <f>IF(U24=0,0,1000000*U24/TrRoad_act!U62)</f>
        <v>934.80414733139935</v>
      </c>
      <c r="V119" s="87">
        <f>IF(V24=0,0,1000000*V24/TrRoad_act!V62)</f>
        <v>768.53282393839493</v>
      </c>
      <c r="W119" s="87">
        <f>IF(W24=0,0,1000000*W24/TrRoad_act!W62)</f>
        <v>866.78784986297273</v>
      </c>
      <c r="X119" s="87">
        <f>IF(X24=0,0,1000000*X24/TrRoad_act!X62)</f>
        <v>880.11464154771977</v>
      </c>
      <c r="Y119" s="87">
        <f>IF(Y24=0,0,1000000*Y24/TrRoad_act!Y62)</f>
        <v>871.6718809931898</v>
      </c>
      <c r="DA119" s="171" t="s">
        <v>719</v>
      </c>
    </row>
    <row r="120" spans="1:105" ht="11.45" customHeight="1" x14ac:dyDescent="0.25">
      <c r="A120" s="111" t="s">
        <v>112</v>
      </c>
      <c r="B120" s="87">
        <f>IF(B26=0,0,1000000*B26/TrRoad_act!B63)</f>
        <v>4756.4056635293455</v>
      </c>
      <c r="C120" s="87">
        <f>IF(C26=0,0,1000000*C26/TrRoad_act!C63)</f>
        <v>4569.7392446887643</v>
      </c>
      <c r="D120" s="87">
        <f>IF(D26=0,0,1000000*D26/TrRoad_act!D63)</f>
        <v>4478.4098747706876</v>
      </c>
      <c r="E120" s="87">
        <f>IF(E26=0,0,1000000*E26/TrRoad_act!E63)</f>
        <v>4803.953279665574</v>
      </c>
      <c r="F120" s="87">
        <f>IF(F26=0,0,1000000*F26/TrRoad_act!F63)</f>
        <v>5150.581388979761</v>
      </c>
      <c r="G120" s="87">
        <f>IF(G26=0,0,1000000*G26/TrRoad_act!G63)</f>
        <v>4660.2208357468608</v>
      </c>
      <c r="H120" s="87">
        <f>IF(H26=0,0,1000000*H26/TrRoad_act!H63)</f>
        <v>4688.1929673711356</v>
      </c>
      <c r="I120" s="87">
        <f>IF(I26=0,0,1000000*I26/TrRoad_act!I63)</f>
        <v>5683.5218032028288</v>
      </c>
      <c r="J120" s="87">
        <f>IF(J26=0,0,1000000*J26/TrRoad_act!J63)</f>
        <v>2639.588856752011</v>
      </c>
      <c r="K120" s="87">
        <f>IF(K26=0,0,1000000*K26/TrRoad_act!K63)</f>
        <v>2466.0079603133918</v>
      </c>
      <c r="L120" s="87">
        <f>IF(L26=0,0,1000000*L26/TrRoad_act!L63)</f>
        <v>2473.5066010312194</v>
      </c>
      <c r="M120" s="87">
        <f>IF(M26=0,0,1000000*M26/TrRoad_act!M63)</f>
        <v>2453.168397633829</v>
      </c>
      <c r="N120" s="87">
        <f>IF(N26=0,0,1000000*N26/TrRoad_act!N63)</f>
        <v>2070.8727307821196</v>
      </c>
      <c r="O120" s="87">
        <f>IF(O26=0,0,1000000*O26/TrRoad_act!O63)</f>
        <v>2330.4250726921855</v>
      </c>
      <c r="P120" s="87">
        <f>IF(P26=0,0,1000000*P26/TrRoad_act!P63)</f>
        <v>2201.2245975498354</v>
      </c>
      <c r="Q120" s="87">
        <f>IF(Q26=0,0,1000000*Q26/TrRoad_act!Q63)</f>
        <v>2296.8095249406429</v>
      </c>
      <c r="R120" s="87">
        <f>IF(R26=0,0,1000000*R26/TrRoad_act!R63)</f>
        <v>2339.3629759115147</v>
      </c>
      <c r="S120" s="87">
        <f>IF(S26=0,0,1000000*S26/TrRoad_act!S63)</f>
        <v>2168.4773255253758</v>
      </c>
      <c r="T120" s="87">
        <f>IF(T26=0,0,1000000*T26/TrRoad_act!T63)</f>
        <v>1662.4341894592867</v>
      </c>
      <c r="U120" s="87">
        <f>IF(U26=0,0,1000000*U26/TrRoad_act!U63)</f>
        <v>1613.2536703518685</v>
      </c>
      <c r="V120" s="87">
        <f>IF(V26=0,0,1000000*V26/TrRoad_act!V63)</f>
        <v>1171.1502055613016</v>
      </c>
      <c r="W120" s="87">
        <f>IF(W26=0,0,1000000*W26/TrRoad_act!W63)</f>
        <v>1356.1145473576084</v>
      </c>
      <c r="X120" s="87">
        <f>IF(X26=0,0,1000000*X26/TrRoad_act!X63)</f>
        <v>1387.2004484708059</v>
      </c>
      <c r="Y120" s="87">
        <f>IF(Y26=0,0,1000000*Y26/TrRoad_act!Y63)</f>
        <v>962.21177442199632</v>
      </c>
      <c r="DA120" s="171" t="s">
        <v>720</v>
      </c>
    </row>
    <row r="121" spans="1:105" ht="11.45" customHeight="1" x14ac:dyDescent="0.25">
      <c r="A121" s="111" t="s">
        <v>113</v>
      </c>
      <c r="B121" s="87">
        <f>IF(B27=0,0,1000000*B27/TrRoad_act!B64)</f>
        <v>0</v>
      </c>
      <c r="C121" s="87">
        <f>IF(C27=0,0,1000000*C27/TrRoad_act!C64)</f>
        <v>0</v>
      </c>
      <c r="D121" s="87">
        <f>IF(D27=0,0,1000000*D27/TrRoad_act!D64)</f>
        <v>0</v>
      </c>
      <c r="E121" s="87">
        <f>IF(E27=0,0,1000000*E27/TrRoad_act!E64)</f>
        <v>0</v>
      </c>
      <c r="F121" s="87">
        <f>IF(F27=0,0,1000000*F27/TrRoad_act!F64)</f>
        <v>880.67623103068797</v>
      </c>
      <c r="G121" s="87">
        <f>IF(G27=0,0,1000000*G27/TrRoad_act!G64)</f>
        <v>877.46815845703247</v>
      </c>
      <c r="H121" s="87">
        <f>IF(H27=0,0,1000000*H27/TrRoad_act!H64)</f>
        <v>852.1470208093458</v>
      </c>
      <c r="I121" s="87">
        <f>IF(I27=0,0,1000000*I27/TrRoad_act!I64)</f>
        <v>838.83110003833997</v>
      </c>
      <c r="J121" s="87">
        <f>IF(J27=0,0,1000000*J27/TrRoad_act!J64)</f>
        <v>817.4994321065177</v>
      </c>
      <c r="K121" s="87">
        <f>IF(K27=0,0,1000000*K27/TrRoad_act!K64)</f>
        <v>821.61087687233567</v>
      </c>
      <c r="L121" s="87">
        <f>IF(L27=0,0,1000000*L27/TrRoad_act!L64)</f>
        <v>781.99949149203997</v>
      </c>
      <c r="M121" s="87">
        <f>IF(M27=0,0,1000000*M27/TrRoad_act!M64)</f>
        <v>770.11630583340275</v>
      </c>
      <c r="N121" s="87">
        <f>IF(N27=0,0,1000000*N27/TrRoad_act!N64)</f>
        <v>702.91530316250976</v>
      </c>
      <c r="O121" s="87">
        <f>IF(O27=0,0,1000000*O27/TrRoad_act!O64)</f>
        <v>718.9054639311662</v>
      </c>
      <c r="P121" s="87">
        <f>IF(P27=0,0,1000000*P27/TrRoad_act!P64)</f>
        <v>757.79025211071348</v>
      </c>
      <c r="Q121" s="87">
        <f>IF(Q27=0,0,1000000*Q27/TrRoad_act!Q64)</f>
        <v>811.82698831972141</v>
      </c>
      <c r="R121" s="87">
        <f>IF(R27=0,0,1000000*R27/TrRoad_act!R64)</f>
        <v>793.20853719994625</v>
      </c>
      <c r="S121" s="87">
        <f>IF(S27=0,0,1000000*S27/TrRoad_act!S64)</f>
        <v>796.54354532328091</v>
      </c>
      <c r="T121" s="87">
        <f>IF(T27=0,0,1000000*T27/TrRoad_act!T64)</f>
        <v>828.68315780605542</v>
      </c>
      <c r="U121" s="87">
        <f>IF(U27=0,0,1000000*U27/TrRoad_act!U64)</f>
        <v>824.8583869496855</v>
      </c>
      <c r="V121" s="87">
        <f>IF(V27=0,0,1000000*V27/TrRoad_act!V64)</f>
        <v>562.71718452333312</v>
      </c>
      <c r="W121" s="87">
        <f>IF(W27=0,0,1000000*W27/TrRoad_act!W64)</f>
        <v>737.74220016515608</v>
      </c>
      <c r="X121" s="87">
        <f>IF(X27=0,0,1000000*X27/TrRoad_act!X64)</f>
        <v>814.72033396880931</v>
      </c>
      <c r="Y121" s="87">
        <f>IF(Y27=0,0,1000000*Y27/TrRoad_act!Y64)</f>
        <v>840.29436617748047</v>
      </c>
      <c r="DA121" s="171" t="s">
        <v>721</v>
      </c>
    </row>
    <row r="122" spans="1:105" ht="11.45" customHeight="1" x14ac:dyDescent="0.25">
      <c r="A122" s="111" t="s">
        <v>114</v>
      </c>
      <c r="B122" s="87">
        <f>IF(B29=0,0,1000000*B29/TrRoad_act!B65)</f>
        <v>0</v>
      </c>
      <c r="C122" s="87">
        <f>IF(C29=0,0,1000000*C29/TrRoad_act!C65)</f>
        <v>0</v>
      </c>
      <c r="D122" s="87">
        <f>IF(D29=0,0,1000000*D29/TrRoad_act!D65)</f>
        <v>0</v>
      </c>
      <c r="E122" s="87">
        <f>IF(E29=0,0,1000000*E29/TrRoad_act!E65)</f>
        <v>0</v>
      </c>
      <c r="F122" s="87">
        <f>IF(F29=0,0,1000000*F29/TrRoad_act!F65)</f>
        <v>0</v>
      </c>
      <c r="G122" s="87">
        <f>IF(G29=0,0,1000000*G29/TrRoad_act!G65)</f>
        <v>0</v>
      </c>
      <c r="H122" s="87">
        <f>IF(H29=0,0,1000000*H29/TrRoad_act!H65)</f>
        <v>0</v>
      </c>
      <c r="I122" s="87">
        <f>IF(I29=0,0,1000000*I29/TrRoad_act!I65)</f>
        <v>0</v>
      </c>
      <c r="J122" s="87">
        <f>IF(J29=0,0,1000000*J29/TrRoad_act!J65)</f>
        <v>0</v>
      </c>
      <c r="K122" s="87">
        <f>IF(K29=0,0,1000000*K29/TrRoad_act!K65)</f>
        <v>0</v>
      </c>
      <c r="L122" s="87">
        <f>IF(L29=0,0,1000000*L29/TrRoad_act!L65)</f>
        <v>0</v>
      </c>
      <c r="M122" s="87">
        <f>IF(M29=0,0,1000000*M29/TrRoad_act!M65)</f>
        <v>299.580084159092</v>
      </c>
      <c r="N122" s="87">
        <f>IF(N29=0,0,1000000*N29/TrRoad_act!N65)</f>
        <v>230.84602376798421</v>
      </c>
      <c r="O122" s="87">
        <f>IF(O29=0,0,1000000*O29/TrRoad_act!O65)</f>
        <v>278.2390810057363</v>
      </c>
      <c r="P122" s="87">
        <f>IF(P29=0,0,1000000*P29/TrRoad_act!P65)</f>
        <v>264.9952329897132</v>
      </c>
      <c r="Q122" s="87">
        <f>IF(Q29=0,0,1000000*Q29/TrRoad_act!Q65)</f>
        <v>259.89280439357543</v>
      </c>
      <c r="R122" s="87">
        <f>IF(R29=0,0,1000000*R29/TrRoad_act!R65)</f>
        <v>267.67694082177502</v>
      </c>
      <c r="S122" s="87">
        <f>IF(S29=0,0,1000000*S29/TrRoad_act!S65)</f>
        <v>284.02822352001721</v>
      </c>
      <c r="T122" s="87">
        <f>IF(T29=0,0,1000000*T29/TrRoad_act!T65)</f>
        <v>286.412240833731</v>
      </c>
      <c r="U122" s="87">
        <f>IF(U29=0,0,1000000*U29/TrRoad_act!U65)</f>
        <v>311.29595019916582</v>
      </c>
      <c r="V122" s="87">
        <f>IF(V29=0,0,1000000*V29/TrRoad_act!V65)</f>
        <v>248.00393509356942</v>
      </c>
      <c r="W122" s="87">
        <f>IF(W29=0,0,1000000*W29/TrRoad_act!W65)</f>
        <v>280.13897305096225</v>
      </c>
      <c r="X122" s="87">
        <f>IF(X29=0,0,1000000*X29/TrRoad_act!X65)</f>
        <v>280.26964705710384</v>
      </c>
      <c r="Y122" s="87">
        <f>IF(Y29=0,0,1000000*Y29/TrRoad_act!Y65)</f>
        <v>271.36786692577573</v>
      </c>
      <c r="DA122" s="171" t="s">
        <v>722</v>
      </c>
    </row>
    <row r="123" spans="1:105" ht="11.45" customHeight="1" x14ac:dyDescent="0.25">
      <c r="A123" s="111" t="s">
        <v>115</v>
      </c>
      <c r="B123" s="87">
        <f>IF(B32=0,0,1000000*B32/TrRoad_act!B66)</f>
        <v>0</v>
      </c>
      <c r="C123" s="87">
        <f>IF(C32=0,0,1000000*C32/TrRoad_act!C66)</f>
        <v>0</v>
      </c>
      <c r="D123" s="87">
        <f>IF(D32=0,0,1000000*D32/TrRoad_act!D66)</f>
        <v>0</v>
      </c>
      <c r="E123" s="87">
        <f>IF(E32=0,0,1000000*E32/TrRoad_act!E66)</f>
        <v>0</v>
      </c>
      <c r="F123" s="87">
        <f>IF(F32=0,0,1000000*F32/TrRoad_act!F66)</f>
        <v>0</v>
      </c>
      <c r="G123" s="87">
        <f>IF(G32=0,0,1000000*G32/TrRoad_act!G66)</f>
        <v>0</v>
      </c>
      <c r="H123" s="87">
        <f>IF(H32=0,0,1000000*H32/TrRoad_act!H66)</f>
        <v>0</v>
      </c>
      <c r="I123" s="87">
        <f>IF(I32=0,0,1000000*I32/TrRoad_act!I66)</f>
        <v>0</v>
      </c>
      <c r="J123" s="87">
        <f>IF(J32=0,0,1000000*J32/TrRoad_act!J66)</f>
        <v>0</v>
      </c>
      <c r="K123" s="87">
        <f>IF(K32=0,0,1000000*K32/TrRoad_act!K66)</f>
        <v>138.2526181544718</v>
      </c>
      <c r="L123" s="87">
        <f>IF(L32=0,0,1000000*L32/TrRoad_act!L66)</f>
        <v>139.61684195387269</v>
      </c>
      <c r="M123" s="87">
        <f>IF(M32=0,0,1000000*M32/TrRoad_act!M66)</f>
        <v>142.41699917751416</v>
      </c>
      <c r="N123" s="87">
        <f>IF(N32=0,0,1000000*N32/TrRoad_act!N66)</f>
        <v>145.8497806204897</v>
      </c>
      <c r="O123" s="87">
        <f>IF(O32=0,0,1000000*O32/TrRoad_act!O66)</f>
        <v>149.2288607740372</v>
      </c>
      <c r="P123" s="87">
        <f>IF(P32=0,0,1000000*P32/TrRoad_act!P66)</f>
        <v>151.15890800113371</v>
      </c>
      <c r="Q123" s="87">
        <f>IF(Q32=0,0,1000000*Q32/TrRoad_act!Q66)</f>
        <v>155.26158131262042</v>
      </c>
      <c r="R123" s="87">
        <f>IF(R32=0,0,1000000*R32/TrRoad_act!R66)</f>
        <v>149.19415412800834</v>
      </c>
      <c r="S123" s="87">
        <f>IF(S32=0,0,1000000*S32/TrRoad_act!S66)</f>
        <v>148.39480977181842</v>
      </c>
      <c r="T123" s="87">
        <f>IF(T32=0,0,1000000*T32/TrRoad_act!T66)</f>
        <v>154.71804637548468</v>
      </c>
      <c r="U123" s="87">
        <f>IF(U32=0,0,1000000*U32/TrRoad_act!U66)</f>
        <v>159.4104157620103</v>
      </c>
      <c r="V123" s="87">
        <f>IF(V32=0,0,1000000*V32/TrRoad_act!V66)</f>
        <v>128.65232716981603</v>
      </c>
      <c r="W123" s="87">
        <f>IF(W32=0,0,1000000*W32/TrRoad_act!W66)</f>
        <v>159.04865301044072</v>
      </c>
      <c r="X123" s="87">
        <f>IF(X32=0,0,1000000*X32/TrRoad_act!X66)</f>
        <v>163.97545822090225</v>
      </c>
      <c r="Y123" s="87">
        <f>IF(Y32=0,0,1000000*Y32/TrRoad_act!Y66)</f>
        <v>165.27242433569293</v>
      </c>
      <c r="DA123" s="171" t="s">
        <v>723</v>
      </c>
    </row>
    <row r="124" spans="1:105" ht="11.45" customHeight="1" x14ac:dyDescent="0.25">
      <c r="A124" s="109" t="s">
        <v>21</v>
      </c>
      <c r="B124" s="116">
        <f>IF(B33=0,0,1000000*B33/TrRoad_act!B67)</f>
        <v>21572.220271247315</v>
      </c>
      <c r="C124" s="116">
        <f>IF(C33=0,0,1000000*C33/TrRoad_act!C67)</f>
        <v>20914.411386315776</v>
      </c>
      <c r="D124" s="116">
        <f>IF(D33=0,0,1000000*D33/TrRoad_act!D67)</f>
        <v>20320.607591404478</v>
      </c>
      <c r="E124" s="116">
        <f>IF(E33=0,0,1000000*E33/TrRoad_act!E67)</f>
        <v>20445.11254662288</v>
      </c>
      <c r="F124" s="116">
        <f>IF(F33=0,0,1000000*F33/TrRoad_act!F67)</f>
        <v>20607.300922439365</v>
      </c>
      <c r="G124" s="116">
        <f>IF(G33=0,0,1000000*G33/TrRoad_act!G67)</f>
        <v>20024.084029286427</v>
      </c>
      <c r="H124" s="116">
        <f>IF(H33=0,0,1000000*H33/TrRoad_act!H67)</f>
        <v>20050.950413414816</v>
      </c>
      <c r="I124" s="116">
        <f>IF(I33=0,0,1000000*I33/TrRoad_act!I67)</f>
        <v>20446.762853443837</v>
      </c>
      <c r="J124" s="116">
        <f>IF(J33=0,0,1000000*J33/TrRoad_act!J67)</f>
        <v>19978.412148695457</v>
      </c>
      <c r="K124" s="116">
        <f>IF(K33=0,0,1000000*K33/TrRoad_act!K67)</f>
        <v>19618.469601669483</v>
      </c>
      <c r="L124" s="116">
        <f>IF(L33=0,0,1000000*L33/TrRoad_act!L67)</f>
        <v>19439.175190977803</v>
      </c>
      <c r="M124" s="116">
        <f>IF(M33=0,0,1000000*M33/TrRoad_act!M67)</f>
        <v>19387.869566028283</v>
      </c>
      <c r="N124" s="116">
        <f>IF(N33=0,0,1000000*N33/TrRoad_act!N67)</f>
        <v>19029.621566582948</v>
      </c>
      <c r="O124" s="116">
        <f>IF(O33=0,0,1000000*O33/TrRoad_act!O67)</f>
        <v>18704.59314754952</v>
      </c>
      <c r="P124" s="116">
        <f>IF(P33=0,0,1000000*P33/TrRoad_act!P67)</f>
        <v>18524.70688246877</v>
      </c>
      <c r="Q124" s="116">
        <f>IF(Q33=0,0,1000000*Q33/TrRoad_act!Q67)</f>
        <v>18446.464484518383</v>
      </c>
      <c r="R124" s="116">
        <f>IF(R33=0,0,1000000*R33/TrRoad_act!R67)</f>
        <v>18291.650422876686</v>
      </c>
      <c r="S124" s="116">
        <f>IF(S33=0,0,1000000*S33/TrRoad_act!S67)</f>
        <v>16160.748367769966</v>
      </c>
      <c r="T124" s="116">
        <f>IF(T33=0,0,1000000*T33/TrRoad_act!T67)</f>
        <v>15850.08568716497</v>
      </c>
      <c r="U124" s="116">
        <f>IF(U33=0,0,1000000*U33/TrRoad_act!U67)</f>
        <v>16039.107120959918</v>
      </c>
      <c r="V124" s="116">
        <f>IF(V33=0,0,1000000*V33/TrRoad_act!V67)</f>
        <v>11844.891707099318</v>
      </c>
      <c r="W124" s="116">
        <f>IF(W33=0,0,1000000*W33/TrRoad_act!W67)</f>
        <v>14754.462944691206</v>
      </c>
      <c r="X124" s="116">
        <f>IF(X33=0,0,1000000*X33/TrRoad_act!X67)</f>
        <v>16406.265538644908</v>
      </c>
      <c r="Y124" s="116">
        <f>IF(Y33=0,0,1000000*Y33/TrRoad_act!Y67)</f>
        <v>17989.545629212709</v>
      </c>
      <c r="DA124" s="176" t="s">
        <v>724</v>
      </c>
    </row>
    <row r="125" spans="1:105" ht="11.45" customHeight="1" x14ac:dyDescent="0.25">
      <c r="A125" s="111" t="s">
        <v>110</v>
      </c>
      <c r="B125" s="101">
        <f>IF(B34=0,0,1000000*B34/TrRoad_act!B68)</f>
        <v>3796.4036839064674</v>
      </c>
      <c r="C125" s="101">
        <f>IF(C34=0,0,1000000*C34/TrRoad_act!C68)</f>
        <v>3713.2273178317359</v>
      </c>
      <c r="D125" s="101">
        <f>IF(D34=0,0,1000000*D34/TrRoad_act!D68)</f>
        <v>3560.2683288539092</v>
      </c>
      <c r="E125" s="101">
        <f>IF(E34=0,0,1000000*E34/TrRoad_act!E68)</f>
        <v>3592.8398843409636</v>
      </c>
      <c r="F125" s="101">
        <f>IF(F34=0,0,1000000*F34/TrRoad_act!F68)</f>
        <v>3627.9702199833478</v>
      </c>
      <c r="G125" s="101">
        <f>IF(G34=0,0,1000000*G34/TrRoad_act!G68)</f>
        <v>3540.5160206308892</v>
      </c>
      <c r="H125" s="101">
        <f>IF(H34=0,0,1000000*H34/TrRoad_act!H68)</f>
        <v>3536.2797595030424</v>
      </c>
      <c r="I125" s="101">
        <f>IF(I34=0,0,1000000*I34/TrRoad_act!I68)</f>
        <v>3539.7676507396395</v>
      </c>
      <c r="J125" s="101">
        <f>IF(J34=0,0,1000000*J34/TrRoad_act!J68)</f>
        <v>3443.9216147470811</v>
      </c>
      <c r="K125" s="101">
        <f>IF(K34=0,0,1000000*K34/TrRoad_act!K68)</f>
        <v>3346.3472702116755</v>
      </c>
      <c r="L125" s="101">
        <f>IF(L34=0,0,1000000*L34/TrRoad_act!L68)</f>
        <v>3251.5220984132302</v>
      </c>
      <c r="M125" s="101">
        <f>IF(M34=0,0,1000000*M34/TrRoad_act!M68)</f>
        <v>3190.0945967752414</v>
      </c>
      <c r="N125" s="101">
        <f>IF(N34=0,0,1000000*N34/TrRoad_act!N68)</f>
        <v>3109.1991502542783</v>
      </c>
      <c r="O125" s="101">
        <f>IF(O34=0,0,1000000*O34/TrRoad_act!O68)</f>
        <v>2995.2761855444542</v>
      </c>
      <c r="P125" s="101">
        <f>IF(P34=0,0,1000000*P34/TrRoad_act!P68)</f>
        <v>2887.0295754492304</v>
      </c>
      <c r="Q125" s="101">
        <f>IF(Q34=0,0,1000000*Q34/TrRoad_act!Q68)</f>
        <v>2955.7770630684527</v>
      </c>
      <c r="R125" s="101">
        <f>IF(R34=0,0,1000000*R34/TrRoad_act!R68)</f>
        <v>2873.8695774159009</v>
      </c>
      <c r="S125" s="101">
        <f>IF(S34=0,0,1000000*S34/TrRoad_act!S68)</f>
        <v>2455.6546376560873</v>
      </c>
      <c r="T125" s="101">
        <f>IF(T34=0,0,1000000*T34/TrRoad_act!T68)</f>
        <v>2468.1694387499797</v>
      </c>
      <c r="U125" s="101">
        <f>IF(U34=0,0,1000000*U34/TrRoad_act!U68)</f>
        <v>2483.1720470542787</v>
      </c>
      <c r="V125" s="101">
        <f>IF(V34=0,0,1000000*V34/TrRoad_act!V68)</f>
        <v>1633.9783172938569</v>
      </c>
      <c r="W125" s="101">
        <f>IF(W34=0,0,1000000*W34/TrRoad_act!W68)</f>
        <v>2028.2654617454309</v>
      </c>
      <c r="X125" s="101">
        <f>IF(X34=0,0,1000000*X34/TrRoad_act!X68)</f>
        <v>2227.6119082025161</v>
      </c>
      <c r="Y125" s="101">
        <f>IF(Y34=0,0,1000000*Y34/TrRoad_act!Y68)</f>
        <v>2419.7032456729871</v>
      </c>
      <c r="DA125" s="175" t="s">
        <v>725</v>
      </c>
    </row>
    <row r="126" spans="1:105" ht="11.45" customHeight="1" x14ac:dyDescent="0.25">
      <c r="A126" s="111" t="s">
        <v>111</v>
      </c>
      <c r="B126" s="101">
        <f>IF(B36=0,0,1000000*B36/TrRoad_act!B69)</f>
        <v>21812.726854138331</v>
      </c>
      <c r="C126" s="101">
        <f>IF(C36=0,0,1000000*C36/TrRoad_act!C69)</f>
        <v>21089.57517450241</v>
      </c>
      <c r="D126" s="101">
        <f>IF(D36=0,0,1000000*D36/TrRoad_act!D69)</f>
        <v>20399.54105701255</v>
      </c>
      <c r="E126" s="101">
        <f>IF(E36=0,0,1000000*E36/TrRoad_act!E69)</f>
        <v>20538.915518423008</v>
      </c>
      <c r="F126" s="101">
        <f>IF(F36=0,0,1000000*F36/TrRoad_act!F69)</f>
        <v>20680.516932669314</v>
      </c>
      <c r="G126" s="101">
        <f>IF(G36=0,0,1000000*G36/TrRoad_act!G69)</f>
        <v>20038.340067472065</v>
      </c>
      <c r="H126" s="101">
        <f>IF(H36=0,0,1000000*H36/TrRoad_act!H69)</f>
        <v>20030.686722714858</v>
      </c>
      <c r="I126" s="101">
        <f>IF(I36=0,0,1000000*I36/TrRoad_act!I69)</f>
        <v>20287.440313619325</v>
      </c>
      <c r="J126" s="101">
        <f>IF(J36=0,0,1000000*J36/TrRoad_act!J69)</f>
        <v>19764.334386380568</v>
      </c>
      <c r="K126" s="101">
        <f>IF(K36=0,0,1000000*K36/TrRoad_act!K69)</f>
        <v>19264.746054288862</v>
      </c>
      <c r="L126" s="101">
        <f>IF(L36=0,0,1000000*L36/TrRoad_act!L69)</f>
        <v>18855.123269669359</v>
      </c>
      <c r="M126" s="101">
        <f>IF(M36=0,0,1000000*M36/TrRoad_act!M69)</f>
        <v>18714.858532463608</v>
      </c>
      <c r="N126" s="101">
        <f>IF(N36=0,0,1000000*N36/TrRoad_act!N69)</f>
        <v>18308.744850674084</v>
      </c>
      <c r="O126" s="101">
        <f>IF(O36=0,0,1000000*O36/TrRoad_act!O69)</f>
        <v>17860.525430809503</v>
      </c>
      <c r="P126" s="101">
        <f>IF(P36=0,0,1000000*P36/TrRoad_act!P69)</f>
        <v>17560.545886535561</v>
      </c>
      <c r="Q126" s="101">
        <f>IF(Q36=0,0,1000000*Q36/TrRoad_act!Q69)</f>
        <v>17758.010909051234</v>
      </c>
      <c r="R126" s="101">
        <f>IF(R36=0,0,1000000*R36/TrRoad_act!R69)</f>
        <v>17348.038250440259</v>
      </c>
      <c r="S126" s="101">
        <f>IF(S36=0,0,1000000*S36/TrRoad_act!S69)</f>
        <v>14417.62636044662</v>
      </c>
      <c r="T126" s="101">
        <f>IF(T36=0,0,1000000*T36/TrRoad_act!T69)</f>
        <v>14348.88191498744</v>
      </c>
      <c r="U126" s="101">
        <f>IF(U36=0,0,1000000*U36/TrRoad_act!U69)</f>
        <v>14081.888306671144</v>
      </c>
      <c r="V126" s="101">
        <f>IF(V36=0,0,1000000*V36/TrRoad_act!V69)</f>
        <v>9242.1292450683959</v>
      </c>
      <c r="W126" s="101">
        <f>IF(W36=0,0,1000000*W36/TrRoad_act!W69)</f>
        <v>11484.982683689404</v>
      </c>
      <c r="X126" s="101">
        <f>IF(X36=0,0,1000000*X36/TrRoad_act!X69)</f>
        <v>12836.859076619206</v>
      </c>
      <c r="Y126" s="101">
        <f>IF(Y36=0,0,1000000*Y36/TrRoad_act!Y69)</f>
        <v>13963.610558029579</v>
      </c>
      <c r="DA126" s="175" t="s">
        <v>726</v>
      </c>
    </row>
    <row r="127" spans="1:105" ht="11.45" customHeight="1" x14ac:dyDescent="0.25">
      <c r="A127" s="111" t="s">
        <v>112</v>
      </c>
      <c r="B127" s="101">
        <f>IF(B38=0,0,1000000*B38/TrRoad_act!B70)</f>
        <v>0</v>
      </c>
      <c r="C127" s="101">
        <f>IF(C38=0,0,1000000*C38/TrRoad_act!C70)</f>
        <v>0</v>
      </c>
      <c r="D127" s="101">
        <f>IF(D38=0,0,1000000*D38/TrRoad_act!D70)</f>
        <v>0</v>
      </c>
      <c r="E127" s="101">
        <f>IF(E38=0,0,1000000*E38/TrRoad_act!E70)</f>
        <v>0</v>
      </c>
      <c r="F127" s="101">
        <f>IF(F38=0,0,1000000*F38/TrRoad_act!F70)</f>
        <v>0</v>
      </c>
      <c r="G127" s="101">
        <f>IF(G38=0,0,1000000*G38/TrRoad_act!G70)</f>
        <v>0</v>
      </c>
      <c r="H127" s="101">
        <f>IF(H38=0,0,1000000*H38/TrRoad_act!H70)</f>
        <v>0</v>
      </c>
      <c r="I127" s="101">
        <f>IF(I38=0,0,1000000*I38/TrRoad_act!I70)</f>
        <v>0</v>
      </c>
      <c r="J127" s="101">
        <f>IF(J38=0,0,1000000*J38/TrRoad_act!J70)</f>
        <v>0</v>
      </c>
      <c r="K127" s="101">
        <f>IF(K38=0,0,1000000*K38/TrRoad_act!K70)</f>
        <v>0</v>
      </c>
      <c r="L127" s="101">
        <f>IF(L38=0,0,1000000*L38/TrRoad_act!L70)</f>
        <v>0</v>
      </c>
      <c r="M127" s="101">
        <f>IF(M38=0,0,1000000*M38/TrRoad_act!M70)</f>
        <v>0</v>
      </c>
      <c r="N127" s="101">
        <f>IF(N38=0,0,1000000*N38/TrRoad_act!N70)</f>
        <v>0</v>
      </c>
      <c r="O127" s="101">
        <f>IF(O38=0,0,1000000*O38/TrRoad_act!O70)</f>
        <v>0</v>
      </c>
      <c r="P127" s="101">
        <f>IF(P38=0,0,1000000*P38/TrRoad_act!P70)</f>
        <v>8788.4496566261241</v>
      </c>
      <c r="Q127" s="101">
        <f>IF(Q38=0,0,1000000*Q38/TrRoad_act!Q70)</f>
        <v>9157.0601636376905</v>
      </c>
      <c r="R127" s="101">
        <f>IF(R38=0,0,1000000*R38/TrRoad_act!R70)</f>
        <v>8845.8510873655559</v>
      </c>
      <c r="S127" s="101">
        <f>IF(S38=0,0,1000000*S38/TrRoad_act!S70)</f>
        <v>7605.7205413313241</v>
      </c>
      <c r="T127" s="101">
        <f>IF(T38=0,0,1000000*T38/TrRoad_act!T70)</f>
        <v>7673.6945892286885</v>
      </c>
      <c r="U127" s="101">
        <f>IF(U38=0,0,1000000*U38/TrRoad_act!U70)</f>
        <v>7745.6479396204086</v>
      </c>
      <c r="V127" s="101">
        <f>IF(V38=0,0,1000000*V38/TrRoad_act!V70)</f>
        <v>5117.4337783463925</v>
      </c>
      <c r="W127" s="101">
        <f>IF(W38=0,0,1000000*W38/TrRoad_act!W70)</f>
        <v>6494.6980524162273</v>
      </c>
      <c r="X127" s="101">
        <f>IF(X38=0,0,1000000*X38/TrRoad_act!X70)</f>
        <v>7332.8234272881391</v>
      </c>
      <c r="Y127" s="101">
        <f>IF(Y38=0,0,1000000*Y38/TrRoad_act!Y70)</f>
        <v>8155.8083149947015</v>
      </c>
      <c r="DA127" s="175" t="s">
        <v>727</v>
      </c>
    </row>
    <row r="128" spans="1:105" ht="11.45" customHeight="1" x14ac:dyDescent="0.25">
      <c r="A128" s="111" t="s">
        <v>113</v>
      </c>
      <c r="B128" s="101">
        <f>IF(B39=0,0,1000000*B39/TrRoad_act!B71)</f>
        <v>57816.437868769826</v>
      </c>
      <c r="C128" s="101">
        <f>IF(C39=0,0,1000000*C39/TrRoad_act!C71)</f>
        <v>84130.666824799118</v>
      </c>
      <c r="D128" s="101">
        <f>IF(D39=0,0,1000000*D39/TrRoad_act!D71)</f>
        <v>1639069.2175408425</v>
      </c>
      <c r="E128" s="101">
        <f>IF(E39=0,0,1000000*E39/TrRoad_act!E71)</f>
        <v>84268.491246043777</v>
      </c>
      <c r="F128" s="101">
        <f>IF(F39=0,0,1000000*F39/TrRoad_act!F71)</f>
        <v>73823.275095779551</v>
      </c>
      <c r="G128" s="101">
        <f>IF(G39=0,0,1000000*G39/TrRoad_act!G71)</f>
        <v>71463.474156564364</v>
      </c>
      <c r="H128" s="101">
        <f>IF(H39=0,0,1000000*H39/TrRoad_act!H71)</f>
        <v>72379.420924907346</v>
      </c>
      <c r="I128" s="101">
        <f>IF(I39=0,0,1000000*I39/TrRoad_act!I71)</f>
        <v>86865.062060002572</v>
      </c>
      <c r="J128" s="101">
        <f>IF(J39=0,0,1000000*J39/TrRoad_act!J71)</f>
        <v>96580.972223747216</v>
      </c>
      <c r="K128" s="101">
        <f>IF(K39=0,0,1000000*K39/TrRoad_act!K71)</f>
        <v>115304.51931352534</v>
      </c>
      <c r="L128" s="101">
        <f>IF(L39=0,0,1000000*L39/TrRoad_act!L71)</f>
        <v>150457.43445422041</v>
      </c>
      <c r="M128" s="101">
        <f>IF(M39=0,0,1000000*M39/TrRoad_act!M71)</f>
        <v>163818.10837876468</v>
      </c>
      <c r="N128" s="101">
        <f>IF(N39=0,0,1000000*N39/TrRoad_act!N71)</f>
        <v>168297.258733492</v>
      </c>
      <c r="O128" s="101">
        <f>IF(O39=0,0,1000000*O39/TrRoad_act!O71)</f>
        <v>187764.59989498064</v>
      </c>
      <c r="P128" s="101">
        <f>IF(P39=0,0,1000000*P39/TrRoad_act!P71)</f>
        <v>226644.89356391871</v>
      </c>
      <c r="Q128" s="101">
        <f>IF(Q39=0,0,1000000*Q39/TrRoad_act!Q71)</f>
        <v>54518.492738117027</v>
      </c>
      <c r="R128" s="101">
        <f>IF(R39=0,0,1000000*R39/TrRoad_act!R71)</f>
        <v>57341.602726106248</v>
      </c>
      <c r="S128" s="101">
        <f>IF(S39=0,0,1000000*S39/TrRoad_act!S71)</f>
        <v>57566.980051517348</v>
      </c>
      <c r="T128" s="101">
        <f>IF(T39=0,0,1000000*T39/TrRoad_act!T71)</f>
        <v>46753.974276807647</v>
      </c>
      <c r="U128" s="101">
        <f>IF(U39=0,0,1000000*U39/TrRoad_act!U71)</f>
        <v>47107.253125427647</v>
      </c>
      <c r="V128" s="101">
        <f>IF(V39=0,0,1000000*V39/TrRoad_act!V71)</f>
        <v>44302.457428154237</v>
      </c>
      <c r="W128" s="101">
        <f>IF(W39=0,0,1000000*W39/TrRoad_act!W71)</f>
        <v>55024.697317708298</v>
      </c>
      <c r="X128" s="101">
        <f>IF(X39=0,0,1000000*X39/TrRoad_act!X71)</f>
        <v>61616.702024073456</v>
      </c>
      <c r="Y128" s="101">
        <f>IF(Y39=0,0,1000000*Y39/TrRoad_act!Y71)</f>
        <v>69327.261297772959</v>
      </c>
      <c r="DA128" s="175" t="s">
        <v>728</v>
      </c>
    </row>
    <row r="129" spans="1:105" ht="11.45" customHeight="1" x14ac:dyDescent="0.25">
      <c r="A129" s="111" t="s">
        <v>115</v>
      </c>
      <c r="B129" s="101">
        <f>IF(B41=0,0,1000000*B41/TrRoad_act!B72)</f>
        <v>0</v>
      </c>
      <c r="C129" s="101">
        <f>IF(C41=0,0,1000000*C41/TrRoad_act!C72)</f>
        <v>0</v>
      </c>
      <c r="D129" s="101">
        <f>IF(D41=0,0,1000000*D41/TrRoad_act!D72)</f>
        <v>0</v>
      </c>
      <c r="E129" s="101">
        <f>IF(E41=0,0,1000000*E41/TrRoad_act!E72)</f>
        <v>0</v>
      </c>
      <c r="F129" s="101">
        <f>IF(F41=0,0,1000000*F41/TrRoad_act!F72)</f>
        <v>0</v>
      </c>
      <c r="G129" s="101">
        <f>IF(G41=0,0,1000000*G41/TrRoad_act!G72)</f>
        <v>0</v>
      </c>
      <c r="H129" s="101">
        <f>IF(H41=0,0,1000000*H41/TrRoad_act!H72)</f>
        <v>0</v>
      </c>
      <c r="I129" s="101">
        <f>IF(I41=0,0,1000000*I41/TrRoad_act!I72)</f>
        <v>0</v>
      </c>
      <c r="J129" s="101">
        <f>IF(J41=0,0,1000000*J41/TrRoad_act!J72)</f>
        <v>0</v>
      </c>
      <c r="K129" s="101">
        <f>IF(K41=0,0,1000000*K41/TrRoad_act!K72)</f>
        <v>0</v>
      </c>
      <c r="L129" s="101">
        <f>IF(L41=0,0,1000000*L41/TrRoad_act!L72)</f>
        <v>0</v>
      </c>
      <c r="M129" s="101">
        <f>IF(M41=0,0,1000000*M41/TrRoad_act!M72)</f>
        <v>0</v>
      </c>
      <c r="N129" s="101">
        <f>IF(N41=0,0,1000000*N41/TrRoad_act!N72)</f>
        <v>0</v>
      </c>
      <c r="O129" s="101">
        <f>IF(O41=0,0,1000000*O41/TrRoad_act!O72)</f>
        <v>14120.521718764479</v>
      </c>
      <c r="P129" s="101">
        <f>IF(P41=0,0,1000000*P41/TrRoad_act!P72)</f>
        <v>14031.05852183041</v>
      </c>
      <c r="Q129" s="101">
        <f>IF(Q41=0,0,1000000*Q41/TrRoad_act!Q72)</f>
        <v>13869.362505739444</v>
      </c>
      <c r="R129" s="101">
        <f>IF(R41=0,0,1000000*R41/TrRoad_act!R72)</f>
        <v>13821.399613782023</v>
      </c>
      <c r="S129" s="101">
        <f>IF(S41=0,0,1000000*S41/TrRoad_act!S72)</f>
        <v>13674.972062913443</v>
      </c>
      <c r="T129" s="101">
        <f>IF(T41=0,0,1000000*T41/TrRoad_act!T72)</f>
        <v>13590.115517822967</v>
      </c>
      <c r="U129" s="101">
        <f>IF(U41=0,0,1000000*U41/TrRoad_act!U72)</f>
        <v>13353.254904630498</v>
      </c>
      <c r="V129" s="101">
        <f>IF(V41=0,0,1000000*V41/TrRoad_act!V72)</f>
        <v>10861.443650300011</v>
      </c>
      <c r="W129" s="101">
        <f>IF(W41=0,0,1000000*W41/TrRoad_act!W72)</f>
        <v>12790.603782525006</v>
      </c>
      <c r="X129" s="101">
        <f>IF(X41=0,0,1000000*X41/TrRoad_act!X72)</f>
        <v>12587.368145645643</v>
      </c>
      <c r="Y129" s="101">
        <f>IF(Y41=0,0,1000000*Y41/TrRoad_act!Y72)</f>
        <v>12047.07163805096</v>
      </c>
      <c r="DA129" s="175" t="s">
        <v>729</v>
      </c>
    </row>
    <row r="130" spans="1:105" ht="11.45" customHeight="1" x14ac:dyDescent="0.25">
      <c r="A130" s="27" t="s">
        <v>34</v>
      </c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DA130" s="173"/>
    </row>
    <row r="131" spans="1:105" ht="11.45" customHeight="1" x14ac:dyDescent="0.25">
      <c r="A131" s="136" t="s">
        <v>153</v>
      </c>
      <c r="B131" s="152">
        <f>IF(B43=0,0,1000000*B43/TrRoad_act!B74)</f>
        <v>955.48088908099396</v>
      </c>
      <c r="C131" s="152">
        <f>IF(C43=0,0,1000000*C43/TrRoad_act!C74)</f>
        <v>1102.5608346231293</v>
      </c>
      <c r="D131" s="152">
        <f>IF(D43=0,0,1000000*D43/TrRoad_act!D74)</f>
        <v>1015.8412842739712</v>
      </c>
      <c r="E131" s="152">
        <f>IF(E43=0,0,1000000*E43/TrRoad_act!E74)</f>
        <v>1035.3966929178669</v>
      </c>
      <c r="F131" s="152">
        <f>IF(F43=0,0,1000000*F43/TrRoad_act!F74)</f>
        <v>974.42334884327181</v>
      </c>
      <c r="G131" s="152">
        <f>IF(G43=0,0,1000000*G43/TrRoad_act!G74)</f>
        <v>864.01663170892095</v>
      </c>
      <c r="H131" s="152">
        <f>IF(H43=0,0,1000000*H43/TrRoad_act!H74)</f>
        <v>882.88429412625078</v>
      </c>
      <c r="I131" s="152">
        <f>IF(I43=0,0,1000000*I43/TrRoad_act!I74)</f>
        <v>826.72219428440144</v>
      </c>
      <c r="J131" s="152">
        <f>IF(J43=0,0,1000000*J43/TrRoad_act!J74)</f>
        <v>807.84009221463043</v>
      </c>
      <c r="K131" s="152">
        <f>IF(K43=0,0,1000000*K43/TrRoad_act!K74)</f>
        <v>795.48751262540202</v>
      </c>
      <c r="L131" s="152">
        <f>IF(L43=0,0,1000000*L43/TrRoad_act!L74)</f>
        <v>826.59701857722996</v>
      </c>
      <c r="M131" s="152">
        <f>IF(M43=0,0,1000000*M43/TrRoad_act!M74)</f>
        <v>846.80224974880582</v>
      </c>
      <c r="N131" s="152">
        <f>IF(N43=0,0,1000000*N43/TrRoad_act!N74)</f>
        <v>849.19201909759101</v>
      </c>
      <c r="O131" s="152">
        <f>IF(O43=0,0,1000000*O43/TrRoad_act!O74)</f>
        <v>876.15295961809034</v>
      </c>
      <c r="P131" s="152">
        <f>IF(P43=0,0,1000000*P43/TrRoad_act!P74)</f>
        <v>820.92774951637398</v>
      </c>
      <c r="Q131" s="152">
        <f>IF(Q43=0,0,1000000*Q43/TrRoad_act!Q74)</f>
        <v>771.08224840986622</v>
      </c>
      <c r="R131" s="152">
        <f>IF(R43=0,0,1000000*R43/TrRoad_act!R74)</f>
        <v>759.03087998539263</v>
      </c>
      <c r="S131" s="152">
        <f>IF(S43=0,0,1000000*S43/TrRoad_act!S74)</f>
        <v>798.87407015859981</v>
      </c>
      <c r="T131" s="152">
        <f>IF(T43=0,0,1000000*T43/TrRoad_act!T74)</f>
        <v>796.38554615743499</v>
      </c>
      <c r="U131" s="152">
        <f>IF(U43=0,0,1000000*U43/TrRoad_act!U74)</f>
        <v>791.7977152254598</v>
      </c>
      <c r="V131" s="152">
        <f>IF(V43=0,0,1000000*V43/TrRoad_act!V74)</f>
        <v>520.87705398154628</v>
      </c>
      <c r="W131" s="152">
        <f>IF(W43=0,0,1000000*W43/TrRoad_act!W74)</f>
        <v>754.53727007137752</v>
      </c>
      <c r="X131" s="152">
        <f>IF(X43=0,0,1000000*X43/TrRoad_act!X74)</f>
        <v>814.5495360852558</v>
      </c>
      <c r="Y131" s="152">
        <f>IF(Y43=0,0,1000000*Y43/TrRoad_act!Y74)</f>
        <v>791.87647227925152</v>
      </c>
      <c r="DA131" s="174" t="s">
        <v>730</v>
      </c>
    </row>
    <row r="132" spans="1:105" ht="11.45" customHeight="1" x14ac:dyDescent="0.25">
      <c r="A132" s="111" t="s">
        <v>110</v>
      </c>
      <c r="B132" s="87">
        <f>IF(B44=0,0,1000000*B44/TrRoad_act!B75)</f>
        <v>780.4384739896766</v>
      </c>
      <c r="C132" s="87">
        <f>IF(C44=0,0,1000000*C44/TrRoad_act!C75)</f>
        <v>900.10190072987234</v>
      </c>
      <c r="D132" s="87">
        <f>IF(D44=0,0,1000000*D44/TrRoad_act!D75)</f>
        <v>891.63998725055581</v>
      </c>
      <c r="E132" s="87">
        <f>IF(E44=0,0,1000000*E44/TrRoad_act!E75)</f>
        <v>932.83969103209176</v>
      </c>
      <c r="F132" s="87">
        <f>IF(F44=0,0,1000000*F44/TrRoad_act!F75)</f>
        <v>905.40944010527721</v>
      </c>
      <c r="G132" s="87">
        <f>IF(G44=0,0,1000000*G44/TrRoad_act!G75)</f>
        <v>805.9242289885151</v>
      </c>
      <c r="H132" s="87">
        <f>IF(H44=0,0,1000000*H44/TrRoad_act!H75)</f>
        <v>827.69654298013984</v>
      </c>
      <c r="I132" s="87">
        <f>IF(I44=0,0,1000000*I44/TrRoad_act!I75)</f>
        <v>798.88671986860038</v>
      </c>
      <c r="J132" s="87">
        <f>IF(J44=0,0,1000000*J44/TrRoad_act!J75)</f>
        <v>766.20345071350334</v>
      </c>
      <c r="K132" s="87">
        <f>IF(K44=0,0,1000000*K44/TrRoad_act!K75)</f>
        <v>759.2254424368009</v>
      </c>
      <c r="L132" s="87">
        <f>IF(L44=0,0,1000000*L44/TrRoad_act!L75)</f>
        <v>771.13411373185113</v>
      </c>
      <c r="M132" s="87">
        <f>IF(M44=0,0,1000000*M44/TrRoad_act!M75)</f>
        <v>749.23432560008121</v>
      </c>
      <c r="N132" s="87">
        <f>IF(N44=0,0,1000000*N44/TrRoad_act!N75)</f>
        <v>718.48782931073583</v>
      </c>
      <c r="O132" s="87">
        <f>IF(O44=0,0,1000000*O44/TrRoad_act!O75)</f>
        <v>732.0509496729353</v>
      </c>
      <c r="P132" s="87">
        <f>IF(P44=0,0,1000000*P44/TrRoad_act!P75)</f>
        <v>688.18732228309943</v>
      </c>
      <c r="Q132" s="87">
        <f>IF(Q44=0,0,1000000*Q44/TrRoad_act!Q75)</f>
        <v>668.83432654515263</v>
      </c>
      <c r="R132" s="87">
        <f>IF(R44=0,0,1000000*R44/TrRoad_act!R75)</f>
        <v>649.16054179738842</v>
      </c>
      <c r="S132" s="87">
        <f>IF(S44=0,0,1000000*S44/TrRoad_act!S75)</f>
        <v>642.68051217748473</v>
      </c>
      <c r="T132" s="87">
        <f>IF(T44=0,0,1000000*T44/TrRoad_act!T75)</f>
        <v>606.7370905382046</v>
      </c>
      <c r="U132" s="87">
        <f>IF(U44=0,0,1000000*U44/TrRoad_act!U75)</f>
        <v>618.49673164949184</v>
      </c>
      <c r="V132" s="87">
        <f>IF(V44=0,0,1000000*V44/TrRoad_act!V75)</f>
        <v>412.5280673036018</v>
      </c>
      <c r="W132" s="87">
        <f>IF(W44=0,0,1000000*W44/TrRoad_act!W75)</f>
        <v>620.84052271296287</v>
      </c>
      <c r="X132" s="87">
        <f>IF(X44=0,0,1000000*X44/TrRoad_act!X75)</f>
        <v>636.40568590430712</v>
      </c>
      <c r="Y132" s="87">
        <f>IF(Y44=0,0,1000000*Y44/TrRoad_act!Y75)</f>
        <v>575.99213977126317</v>
      </c>
      <c r="DA132" s="171" t="s">
        <v>731</v>
      </c>
    </row>
    <row r="133" spans="1:105" ht="11.45" customHeight="1" x14ac:dyDescent="0.25">
      <c r="A133" s="111" t="s">
        <v>111</v>
      </c>
      <c r="B133" s="87">
        <f>IF(B46=0,0,1000000*B46/TrRoad_act!B76)</f>
        <v>975.13483783076833</v>
      </c>
      <c r="C133" s="87">
        <f>IF(C46=0,0,1000000*C46/TrRoad_act!C76)</f>
        <v>1123.2792960662064</v>
      </c>
      <c r="D133" s="87">
        <f>IF(D46=0,0,1000000*D46/TrRoad_act!D76)</f>
        <v>1025.1124706006308</v>
      </c>
      <c r="E133" s="87">
        <f>IF(E46=0,0,1000000*E46/TrRoad_act!E76)</f>
        <v>1041.6388781570665</v>
      </c>
      <c r="F133" s="87">
        <f>IF(F46=0,0,1000000*F46/TrRoad_act!F76)</f>
        <v>977.8069234275913</v>
      </c>
      <c r="G133" s="87">
        <f>IF(G46=0,0,1000000*G46/TrRoad_act!G76)</f>
        <v>866.34585663433847</v>
      </c>
      <c r="H133" s="87">
        <f>IF(H46=0,0,1000000*H46/TrRoad_act!H76)</f>
        <v>884.72042822568619</v>
      </c>
      <c r="I133" s="87">
        <f>IF(I46=0,0,1000000*I46/TrRoad_act!I76)</f>
        <v>827.44417917292867</v>
      </c>
      <c r="J133" s="87">
        <f>IF(J46=0,0,1000000*J46/TrRoad_act!J76)</f>
        <v>808.82805314207553</v>
      </c>
      <c r="K133" s="87">
        <f>IF(K46=0,0,1000000*K46/TrRoad_act!K76)</f>
        <v>796.3791316826821</v>
      </c>
      <c r="L133" s="87">
        <f>IF(L46=0,0,1000000*L46/TrRoad_act!L76)</f>
        <v>827.93581224763625</v>
      </c>
      <c r="M133" s="87">
        <f>IF(M46=0,0,1000000*M46/TrRoad_act!M76)</f>
        <v>849.35709408524349</v>
      </c>
      <c r="N133" s="87">
        <f>IF(N46=0,0,1000000*N46/TrRoad_act!N76)</f>
        <v>852.99555972997518</v>
      </c>
      <c r="O133" s="87">
        <f>IF(O46=0,0,1000000*O46/TrRoad_act!O76)</f>
        <v>880.23846227607521</v>
      </c>
      <c r="P133" s="87">
        <f>IF(P46=0,0,1000000*P46/TrRoad_act!P76)</f>
        <v>823.80327101692671</v>
      </c>
      <c r="Q133" s="87">
        <f>IF(Q46=0,0,1000000*Q46/TrRoad_act!Q76)</f>
        <v>773.28375812328477</v>
      </c>
      <c r="R133" s="87">
        <f>IF(R46=0,0,1000000*R46/TrRoad_act!R76)</f>
        <v>761.29836801971464</v>
      </c>
      <c r="S133" s="87">
        <f>IF(S46=0,0,1000000*S46/TrRoad_act!S76)</f>
        <v>802.47816880551386</v>
      </c>
      <c r="T133" s="87">
        <f>IF(T46=0,0,1000000*T46/TrRoad_act!T76)</f>
        <v>801.42607073840156</v>
      </c>
      <c r="U133" s="87">
        <f>IF(U46=0,0,1000000*U46/TrRoad_act!U76)</f>
        <v>797.11699997017968</v>
      </c>
      <c r="V133" s="87">
        <f>IF(V46=0,0,1000000*V46/TrRoad_act!V76)</f>
        <v>524.22200092076548</v>
      </c>
      <c r="W133" s="87">
        <f>IF(W46=0,0,1000000*W46/TrRoad_act!W76)</f>
        <v>759.30790157428225</v>
      </c>
      <c r="X133" s="87">
        <f>IF(X46=0,0,1000000*X46/TrRoad_act!X76)</f>
        <v>821.12291720497376</v>
      </c>
      <c r="Y133" s="87">
        <f>IF(Y46=0,0,1000000*Y46/TrRoad_act!Y76)</f>
        <v>800.22360911214082</v>
      </c>
      <c r="DA133" s="171" t="s">
        <v>732</v>
      </c>
    </row>
    <row r="134" spans="1:105" ht="11.45" customHeight="1" x14ac:dyDescent="0.25">
      <c r="A134" s="111" t="s">
        <v>112</v>
      </c>
      <c r="B134" s="87">
        <f>IF(B48=0,0,1000000*B48/TrRoad_act!B77)</f>
        <v>0</v>
      </c>
      <c r="C134" s="87">
        <f>IF(C48=0,0,1000000*C48/TrRoad_act!C77)</f>
        <v>0</v>
      </c>
      <c r="D134" s="87">
        <f>IF(D48=0,0,1000000*D48/TrRoad_act!D77)</f>
        <v>0</v>
      </c>
      <c r="E134" s="87">
        <f>IF(E48=0,0,1000000*E48/TrRoad_act!E77)</f>
        <v>0</v>
      </c>
      <c r="F134" s="87">
        <f>IF(F48=0,0,1000000*F48/TrRoad_act!F77)</f>
        <v>0</v>
      </c>
      <c r="G134" s="87">
        <f>IF(G48=0,0,1000000*G48/TrRoad_act!G77)</f>
        <v>0</v>
      </c>
      <c r="H134" s="87">
        <f>IF(H48=0,0,1000000*H48/TrRoad_act!H77)</f>
        <v>0</v>
      </c>
      <c r="I134" s="87">
        <f>IF(I48=0,0,1000000*I48/TrRoad_act!I77)</f>
        <v>0</v>
      </c>
      <c r="J134" s="87">
        <f>IF(J48=0,0,1000000*J48/TrRoad_act!J77)</f>
        <v>0</v>
      </c>
      <c r="K134" s="87">
        <f>IF(K48=0,0,1000000*K48/TrRoad_act!K77)</f>
        <v>0</v>
      </c>
      <c r="L134" s="87">
        <f>IF(L48=0,0,1000000*L48/TrRoad_act!L77)</f>
        <v>0</v>
      </c>
      <c r="M134" s="87">
        <f>IF(M48=0,0,1000000*M48/TrRoad_act!M77)</f>
        <v>0</v>
      </c>
      <c r="N134" s="87">
        <f>IF(N48=0,0,1000000*N48/TrRoad_act!N77)</f>
        <v>0</v>
      </c>
      <c r="O134" s="87">
        <f>IF(O48=0,0,1000000*O48/TrRoad_act!O77)</f>
        <v>1357.2352438638441</v>
      </c>
      <c r="P134" s="87">
        <f>IF(P48=0,0,1000000*P48/TrRoad_act!P77)</f>
        <v>872.97216149965186</v>
      </c>
      <c r="Q134" s="87">
        <f>IF(Q48=0,0,1000000*Q48/TrRoad_act!Q77)</f>
        <v>903.05041857639912</v>
      </c>
      <c r="R134" s="87">
        <f>IF(R48=0,0,1000000*R48/TrRoad_act!R77)</f>
        <v>867.88542515283052</v>
      </c>
      <c r="S134" s="87">
        <f>IF(S48=0,0,1000000*S48/TrRoad_act!S77)</f>
        <v>825.17576469108087</v>
      </c>
      <c r="T134" s="87">
        <f>IF(T48=0,0,1000000*T48/TrRoad_act!T77)</f>
        <v>738.18849176008166</v>
      </c>
      <c r="U134" s="87">
        <f>IF(U48=0,0,1000000*U48/TrRoad_act!U77)</f>
        <v>683.95906883940995</v>
      </c>
      <c r="V134" s="87">
        <f>IF(V48=0,0,1000000*V48/TrRoad_act!V77)</f>
        <v>459.89604692275748</v>
      </c>
      <c r="W134" s="87">
        <f>IF(W48=0,0,1000000*W48/TrRoad_act!W77)</f>
        <v>702.04478194094338</v>
      </c>
      <c r="X134" s="87">
        <f>IF(X48=0,0,1000000*X48/TrRoad_act!X77)</f>
        <v>759.84613560551838</v>
      </c>
      <c r="Y134" s="87">
        <f>IF(Y48=0,0,1000000*Y48/TrRoad_act!Y77)</f>
        <v>735.20859121901401</v>
      </c>
      <c r="DA134" s="171" t="s">
        <v>733</v>
      </c>
    </row>
    <row r="135" spans="1:105" ht="11.45" customHeight="1" x14ac:dyDescent="0.25">
      <c r="A135" s="111" t="s">
        <v>113</v>
      </c>
      <c r="B135" s="87">
        <f>IF(B49=0,0,1000000*B49/TrRoad_act!B78)</f>
        <v>0</v>
      </c>
      <c r="C135" s="87">
        <f>IF(C49=0,0,1000000*C49/TrRoad_act!C78)</f>
        <v>0</v>
      </c>
      <c r="D135" s="87">
        <f>IF(D49=0,0,1000000*D49/TrRoad_act!D78)</f>
        <v>0</v>
      </c>
      <c r="E135" s="87">
        <f>IF(E49=0,0,1000000*E49/TrRoad_act!E78)</f>
        <v>0</v>
      </c>
      <c r="F135" s="87">
        <f>IF(F49=0,0,1000000*F49/TrRoad_act!F78)</f>
        <v>0</v>
      </c>
      <c r="G135" s="87">
        <f>IF(G49=0,0,1000000*G49/TrRoad_act!G78)</f>
        <v>0</v>
      </c>
      <c r="H135" s="87">
        <f>IF(H49=0,0,1000000*H49/TrRoad_act!H78)</f>
        <v>0</v>
      </c>
      <c r="I135" s="87">
        <f>IF(I49=0,0,1000000*I49/TrRoad_act!I78)</f>
        <v>0</v>
      </c>
      <c r="J135" s="87">
        <f>IF(J49=0,0,1000000*J49/TrRoad_act!J78)</f>
        <v>0</v>
      </c>
      <c r="K135" s="87">
        <f>IF(K49=0,0,1000000*K49/TrRoad_act!K78)</f>
        <v>0</v>
      </c>
      <c r="L135" s="87">
        <f>IF(L49=0,0,1000000*L49/TrRoad_act!L78)</f>
        <v>0</v>
      </c>
      <c r="M135" s="87">
        <f>IF(M49=0,0,1000000*M49/TrRoad_act!M78)</f>
        <v>0</v>
      </c>
      <c r="N135" s="87">
        <f>IF(N49=0,0,1000000*N49/TrRoad_act!N78)</f>
        <v>1573.4086271885533</v>
      </c>
      <c r="O135" s="87">
        <f>IF(O49=0,0,1000000*O49/TrRoad_act!O78)</f>
        <v>1682.0625202536755</v>
      </c>
      <c r="P135" s="87">
        <f>IF(P49=0,0,1000000*P49/TrRoad_act!P78)</f>
        <v>1270.840550745063</v>
      </c>
      <c r="Q135" s="87">
        <f>IF(Q49=0,0,1000000*Q49/TrRoad_act!Q78)</f>
        <v>1235.2343927829554</v>
      </c>
      <c r="R135" s="87">
        <f>IF(R49=0,0,1000000*R49/TrRoad_act!R78)</f>
        <v>1093.4427693426321</v>
      </c>
      <c r="S135" s="87">
        <f>IF(S49=0,0,1000000*S49/TrRoad_act!S78)</f>
        <v>1091.1908785302971</v>
      </c>
      <c r="T135" s="87">
        <f>IF(T49=0,0,1000000*T49/TrRoad_act!T78)</f>
        <v>929.12062049123142</v>
      </c>
      <c r="U135" s="87">
        <f>IF(U49=0,0,1000000*U49/TrRoad_act!U78)</f>
        <v>909.08064413464672</v>
      </c>
      <c r="V135" s="87">
        <f>IF(V49=0,0,1000000*V49/TrRoad_act!V78)</f>
        <v>618.91089677740922</v>
      </c>
      <c r="W135" s="87">
        <f>IF(W49=0,0,1000000*W49/TrRoad_act!W78)</f>
        <v>950.3849236240236</v>
      </c>
      <c r="X135" s="87">
        <f>IF(X49=0,0,1000000*X49/TrRoad_act!X78)</f>
        <v>1033.7482309362588</v>
      </c>
      <c r="Y135" s="87">
        <f>IF(Y49=0,0,1000000*Y49/TrRoad_act!Y78)</f>
        <v>1012.6269282638898</v>
      </c>
      <c r="DA135" s="171" t="s">
        <v>734</v>
      </c>
    </row>
    <row r="136" spans="1:105" ht="11.45" customHeight="1" x14ac:dyDescent="0.25">
      <c r="A136" s="111" t="s">
        <v>115</v>
      </c>
      <c r="B136" s="87">
        <f>IF(B51=0,0,1000000*B51/TrRoad_act!B79)</f>
        <v>0</v>
      </c>
      <c r="C136" s="87">
        <f>IF(C51=0,0,1000000*C51/TrRoad_act!C79)</f>
        <v>0</v>
      </c>
      <c r="D136" s="87">
        <f>IF(D51=0,0,1000000*D51/TrRoad_act!D79)</f>
        <v>0</v>
      </c>
      <c r="E136" s="87">
        <f>IF(E51=0,0,1000000*E51/TrRoad_act!E79)</f>
        <v>0</v>
      </c>
      <c r="F136" s="87">
        <f>IF(F51=0,0,1000000*F51/TrRoad_act!F79)</f>
        <v>0</v>
      </c>
      <c r="G136" s="87">
        <f>IF(G51=0,0,1000000*G51/TrRoad_act!G79)</f>
        <v>0</v>
      </c>
      <c r="H136" s="87">
        <f>IF(H51=0,0,1000000*H51/TrRoad_act!H79)</f>
        <v>0</v>
      </c>
      <c r="I136" s="87">
        <f>IF(I51=0,0,1000000*I51/TrRoad_act!I79)</f>
        <v>0</v>
      </c>
      <c r="J136" s="87">
        <f>IF(J51=0,0,1000000*J51/TrRoad_act!J79)</f>
        <v>0</v>
      </c>
      <c r="K136" s="87">
        <f>IF(K51=0,0,1000000*K51/TrRoad_act!K79)</f>
        <v>0</v>
      </c>
      <c r="L136" s="87">
        <f>IF(L51=0,0,1000000*L51/TrRoad_act!L79)</f>
        <v>0</v>
      </c>
      <c r="M136" s="87">
        <f>IF(M51=0,0,1000000*M51/TrRoad_act!M79)</f>
        <v>123.92730978076149</v>
      </c>
      <c r="N136" s="87">
        <f>IF(N51=0,0,1000000*N51/TrRoad_act!N79)</f>
        <v>123.63031862449697</v>
      </c>
      <c r="O136" s="87">
        <f>IF(O51=0,0,1000000*O51/TrRoad_act!O79)</f>
        <v>138.49195820067612</v>
      </c>
      <c r="P136" s="87">
        <f>IF(P51=0,0,1000000*P51/TrRoad_act!P79)</f>
        <v>142.17005891302583</v>
      </c>
      <c r="Q136" s="87">
        <f>IF(Q51=0,0,1000000*Q51/TrRoad_act!Q79)</f>
        <v>142.93007774799031</v>
      </c>
      <c r="R136" s="87">
        <f>IF(R51=0,0,1000000*R51/TrRoad_act!R79)</f>
        <v>143.13364635257111</v>
      </c>
      <c r="S136" s="87">
        <f>IF(S51=0,0,1000000*S51/TrRoad_act!S79)</f>
        <v>143.15702319073378</v>
      </c>
      <c r="T136" s="87">
        <f>IF(T51=0,0,1000000*T51/TrRoad_act!T79)</f>
        <v>150.11356046039981</v>
      </c>
      <c r="U136" s="87">
        <f>IF(U51=0,0,1000000*U51/TrRoad_act!U79)</f>
        <v>155.96491663061028</v>
      </c>
      <c r="V136" s="87">
        <f>IF(V51=0,0,1000000*V51/TrRoad_act!V79)</f>
        <v>119.88939011200863</v>
      </c>
      <c r="W136" s="87">
        <f>IF(W51=0,0,1000000*W51/TrRoad_act!W79)</f>
        <v>173.17871626172791</v>
      </c>
      <c r="X136" s="87">
        <f>IF(X51=0,0,1000000*X51/TrRoad_act!X79)</f>
        <v>179.21601864420441</v>
      </c>
      <c r="Y136" s="87">
        <f>IF(Y51=0,0,1000000*Y51/TrRoad_act!Y79)</f>
        <v>185.66059796856118</v>
      </c>
      <c r="DA136" s="171" t="s">
        <v>735</v>
      </c>
    </row>
    <row r="137" spans="1:105" ht="11.45" customHeight="1" x14ac:dyDescent="0.25">
      <c r="A137" s="109" t="s">
        <v>154</v>
      </c>
      <c r="B137" s="116">
        <f>IF(B52=0,0,1000000*B52/TrRoad_act!B80)</f>
        <v>10459.316244488184</v>
      </c>
      <c r="C137" s="116">
        <f>IF(C52=0,0,1000000*C52/TrRoad_act!C80)</f>
        <v>10578.253784285631</v>
      </c>
      <c r="D137" s="116">
        <f>IF(D52=0,0,1000000*D52/TrRoad_act!D80)</f>
        <v>10855.274141681868</v>
      </c>
      <c r="E137" s="116">
        <f>IF(E52=0,0,1000000*E52/TrRoad_act!E80)</f>
        <v>11020.675939411623</v>
      </c>
      <c r="F137" s="116">
        <f>IF(F52=0,0,1000000*F52/TrRoad_act!F80)</f>
        <v>11605.848913354599</v>
      </c>
      <c r="G137" s="116">
        <f>IF(G52=0,0,1000000*G52/TrRoad_act!G80)</f>
        <v>11830.379573228809</v>
      </c>
      <c r="H137" s="116">
        <f>IF(H52=0,0,1000000*H52/TrRoad_act!H80)</f>
        <v>11697.356573543688</v>
      </c>
      <c r="I137" s="116">
        <f>IF(I52=0,0,1000000*I52/TrRoad_act!I80)</f>
        <v>11659.941721079247</v>
      </c>
      <c r="J137" s="116">
        <f>IF(J52=0,0,1000000*J52/TrRoad_act!J80)</f>
        <v>10790.963890377652</v>
      </c>
      <c r="K137" s="116">
        <f>IF(K52=0,0,1000000*K52/TrRoad_act!K80)</f>
        <v>9595.8717613588869</v>
      </c>
      <c r="L137" s="116">
        <f>IF(L52=0,0,1000000*L52/TrRoad_act!L80)</f>
        <v>9513.4345624237285</v>
      </c>
      <c r="M137" s="116">
        <f>IF(M52=0,0,1000000*M52/TrRoad_act!M80)</f>
        <v>9036.3117418131242</v>
      </c>
      <c r="N137" s="116">
        <f>IF(N52=0,0,1000000*N52/TrRoad_act!N80)</f>
        <v>7963.9221463817557</v>
      </c>
      <c r="O137" s="116">
        <f>IF(O52=0,0,1000000*O52/TrRoad_act!O80)</f>
        <v>10395.497693546033</v>
      </c>
      <c r="P137" s="116">
        <f>IF(P52=0,0,1000000*P52/TrRoad_act!P80)</f>
        <v>10667.788413760703</v>
      </c>
      <c r="Q137" s="116">
        <f>IF(Q52=0,0,1000000*Q52/TrRoad_act!Q80)</f>
        <v>11125.378547855313</v>
      </c>
      <c r="R137" s="116">
        <f>IF(R52=0,0,1000000*R52/TrRoad_act!R80)</f>
        <v>12188.482045728771</v>
      </c>
      <c r="S137" s="116">
        <f>IF(S52=0,0,1000000*S52/TrRoad_act!S80)</f>
        <v>12382.971619753258</v>
      </c>
      <c r="T137" s="116">
        <f>IF(T52=0,0,1000000*T52/TrRoad_act!T80)</f>
        <v>12599.622382475398</v>
      </c>
      <c r="U137" s="116">
        <f>IF(U52=0,0,1000000*U52/TrRoad_act!U80)</f>
        <v>11752.894385342339</v>
      </c>
      <c r="V137" s="116">
        <f>IF(V52=0,0,1000000*V52/TrRoad_act!V80)</f>
        <v>10777.727918670971</v>
      </c>
      <c r="W137" s="116">
        <f>IF(W52=0,0,1000000*W52/TrRoad_act!W80)</f>
        <v>11112.602094761547</v>
      </c>
      <c r="X137" s="116">
        <f>IF(X52=0,0,1000000*X52/TrRoad_act!X80)</f>
        <v>11069.052819094812</v>
      </c>
      <c r="Y137" s="116">
        <f>IF(Y52=0,0,1000000*Y52/TrRoad_act!Y80)</f>
        <v>10179.962847574276</v>
      </c>
      <c r="DA137" s="176" t="s">
        <v>736</v>
      </c>
    </row>
    <row r="138" spans="1:105" ht="11.45" customHeight="1" x14ac:dyDescent="0.25">
      <c r="A138" s="128" t="s">
        <v>27</v>
      </c>
      <c r="B138" s="101">
        <f>IF(B53=0,0,1000000*B53/TrRoad_act!B81)</f>
        <v>8832.7733119172808</v>
      </c>
      <c r="C138" s="101">
        <f>IF(C53=0,0,1000000*C53/TrRoad_act!C81)</f>
        <v>8974.8898658424623</v>
      </c>
      <c r="D138" s="101">
        <f>IF(D53=0,0,1000000*D53/TrRoad_act!D81)</f>
        <v>9361.5733682866867</v>
      </c>
      <c r="E138" s="101">
        <f>IF(E53=0,0,1000000*E53/TrRoad_act!E81)</f>
        <v>9563.8952461918889</v>
      </c>
      <c r="F138" s="101">
        <f>IF(F53=0,0,1000000*F53/TrRoad_act!F81)</f>
        <v>10060.841556909039</v>
      </c>
      <c r="G138" s="101">
        <f>IF(G53=0,0,1000000*G53/TrRoad_act!G81)</f>
        <v>10316.295056037688</v>
      </c>
      <c r="H138" s="101">
        <f>IF(H53=0,0,1000000*H53/TrRoad_act!H81)</f>
        <v>10244.038196715828</v>
      </c>
      <c r="I138" s="101">
        <f>IF(I53=0,0,1000000*I53/TrRoad_act!I81)</f>
        <v>10294.231160110772</v>
      </c>
      <c r="J138" s="101">
        <f>IF(J53=0,0,1000000*J53/TrRoad_act!J81)</f>
        <v>9478.6730498379166</v>
      </c>
      <c r="K138" s="101">
        <f>IF(K53=0,0,1000000*K53/TrRoad_act!K81)</f>
        <v>8334.2063622586429</v>
      </c>
      <c r="L138" s="101">
        <f>IF(L53=0,0,1000000*L53/TrRoad_act!L81)</f>
        <v>8233.1929301550281</v>
      </c>
      <c r="M138" s="101">
        <f>IF(M53=0,0,1000000*M53/TrRoad_act!M81)</f>
        <v>7801.1835766979402</v>
      </c>
      <c r="N138" s="101">
        <f>IF(N53=0,0,1000000*N53/TrRoad_act!N81)</f>
        <v>6836.0741990467322</v>
      </c>
      <c r="O138" s="101">
        <f>IF(O53=0,0,1000000*O53/TrRoad_act!O81)</f>
        <v>8873.9742353641905</v>
      </c>
      <c r="P138" s="101">
        <f>IF(P53=0,0,1000000*P53/TrRoad_act!P81)</f>
        <v>9162.0662925433644</v>
      </c>
      <c r="Q138" s="101">
        <f>IF(Q53=0,0,1000000*Q53/TrRoad_act!Q81)</f>
        <v>9589.4880852739934</v>
      </c>
      <c r="R138" s="101">
        <f>IF(R53=0,0,1000000*R53/TrRoad_act!R81)</f>
        <v>10507.37282660579</v>
      </c>
      <c r="S138" s="101">
        <f>IF(S53=0,0,1000000*S53/TrRoad_act!S81)</f>
        <v>10704.94139966028</v>
      </c>
      <c r="T138" s="101">
        <f>IF(T53=0,0,1000000*T53/TrRoad_act!T81)</f>
        <v>10839.787396020798</v>
      </c>
      <c r="U138" s="101">
        <f>IF(U53=0,0,1000000*U53/TrRoad_act!U81)</f>
        <v>10108.105039598493</v>
      </c>
      <c r="V138" s="101">
        <f>IF(V53=0,0,1000000*V53/TrRoad_act!V81)</f>
        <v>9268.3339939444722</v>
      </c>
      <c r="W138" s="101">
        <f>IF(W53=0,0,1000000*W53/TrRoad_act!W81)</f>
        <v>9603.2001110741003</v>
      </c>
      <c r="X138" s="101">
        <f>IF(X53=0,0,1000000*X53/TrRoad_act!X81)</f>
        <v>9475.0629063674078</v>
      </c>
      <c r="Y138" s="101">
        <f>IF(Y53=0,0,1000000*Y53/TrRoad_act!Y81)</f>
        <v>8751.189038169663</v>
      </c>
      <c r="DA138" s="175" t="s">
        <v>737</v>
      </c>
    </row>
    <row r="139" spans="1:105" ht="11.45" customHeight="1" x14ac:dyDescent="0.25">
      <c r="A139" s="138" t="s">
        <v>116</v>
      </c>
      <c r="B139" s="88">
        <f>IF(B55=0,0,1000000*B55/TrRoad_act!B82)</f>
        <v>46602.798742962746</v>
      </c>
      <c r="C139" s="88">
        <f>IF(C55=0,0,1000000*C55/TrRoad_act!C82)</f>
        <v>45171.413551436606</v>
      </c>
      <c r="D139" s="88">
        <f>IF(D55=0,0,1000000*D55/TrRoad_act!D82)</f>
        <v>42289.6277890848</v>
      </c>
      <c r="E139" s="88">
        <f>IF(E55=0,0,1000000*E55/TrRoad_act!E82)</f>
        <v>42342.800412089469</v>
      </c>
      <c r="F139" s="88">
        <f>IF(F55=0,0,1000000*F55/TrRoad_act!F82)</f>
        <v>40070.126852798378</v>
      </c>
      <c r="G139" s="88">
        <f>IF(G55=0,0,1000000*G55/TrRoad_act!G82)</f>
        <v>39436.515391114612</v>
      </c>
      <c r="H139" s="88">
        <f>IF(H55=0,0,1000000*H55/TrRoad_act!H82)</f>
        <v>38356.838714981466</v>
      </c>
      <c r="I139" s="88">
        <f>IF(I55=0,0,1000000*I55/TrRoad_act!I82)</f>
        <v>36977.846969250655</v>
      </c>
      <c r="J139" s="88">
        <f>IF(J55=0,0,1000000*J55/TrRoad_act!J82)</f>
        <v>37438.244518936219</v>
      </c>
      <c r="K139" s="88">
        <f>IF(K55=0,0,1000000*K55/TrRoad_act!K82)</f>
        <v>36847.084573696709</v>
      </c>
      <c r="L139" s="88">
        <f>IF(L55=0,0,1000000*L55/TrRoad_act!L82)</f>
        <v>37397.8419872534</v>
      </c>
      <c r="M139" s="88">
        <f>IF(M55=0,0,1000000*M55/TrRoad_act!M82)</f>
        <v>35661.515997627364</v>
      </c>
      <c r="N139" s="88">
        <f>IF(N55=0,0,1000000*N55/TrRoad_act!N82)</f>
        <v>32007.835945561743</v>
      </c>
      <c r="O139" s="88">
        <f>IF(O55=0,0,1000000*O55/TrRoad_act!O82)</f>
        <v>32266.861131777463</v>
      </c>
      <c r="P139" s="88">
        <f>IF(P55=0,0,1000000*P55/TrRoad_act!P82)</f>
        <v>32519.316505591567</v>
      </c>
      <c r="Q139" s="88">
        <f>IF(Q55=0,0,1000000*Q55/TrRoad_act!Q82)</f>
        <v>32459.488317817377</v>
      </c>
      <c r="R139" s="88">
        <f>IF(R55=0,0,1000000*R55/TrRoad_act!R82)</f>
        <v>36043.013328435103</v>
      </c>
      <c r="S139" s="88">
        <f>IF(S55=0,0,1000000*S55/TrRoad_act!S82)</f>
        <v>35861.498830683864</v>
      </c>
      <c r="T139" s="88">
        <f>IF(T55=0,0,1000000*T55/TrRoad_act!T82)</f>
        <v>36985.418379623479</v>
      </c>
      <c r="U139" s="88">
        <f>IF(U55=0,0,1000000*U55/TrRoad_act!U82)</f>
        <v>33989.942189808098</v>
      </c>
      <c r="V139" s="88">
        <f>IF(V55=0,0,1000000*V55/TrRoad_act!V82)</f>
        <v>32616.869034941774</v>
      </c>
      <c r="W139" s="88">
        <f>IF(W55=0,0,1000000*W55/TrRoad_act!W82)</f>
        <v>30971.1365972202</v>
      </c>
      <c r="X139" s="88">
        <f>IF(X55=0,0,1000000*X55/TrRoad_act!X82)</f>
        <v>31614.963232792554</v>
      </c>
      <c r="Y139" s="88">
        <f>IF(Y55=0,0,1000000*Y55/TrRoad_act!Y82)</f>
        <v>30147.614383272095</v>
      </c>
      <c r="DA139" s="178" t="s">
        <v>738</v>
      </c>
    </row>
    <row r="140" spans="1:105" x14ac:dyDescent="0.25">
      <c r="A140" s="106"/>
      <c r="B140" s="106"/>
      <c r="C140" s="106"/>
      <c r="D140" s="106"/>
      <c r="E140" s="106"/>
      <c r="F140" s="106"/>
      <c r="G140" s="106"/>
      <c r="H140" s="106"/>
      <c r="I140" s="106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  <c r="T140" s="106"/>
      <c r="U140" s="106"/>
      <c r="V140" s="106"/>
      <c r="W140" s="106"/>
      <c r="X140" s="106"/>
      <c r="Y140" s="106"/>
      <c r="DA140" s="171"/>
    </row>
    <row r="141" spans="1:105" ht="11.45" customHeight="1" x14ac:dyDescent="0.25">
      <c r="A141" s="53" t="s">
        <v>40</v>
      </c>
      <c r="B141" s="76">
        <f t="shared" ref="B141:K141" si="38">IF(B17=0,0,B17/B$17)</f>
        <v>1</v>
      </c>
      <c r="C141" s="76">
        <f t="shared" si="38"/>
        <v>1</v>
      </c>
      <c r="D141" s="76">
        <f t="shared" si="38"/>
        <v>1</v>
      </c>
      <c r="E141" s="76">
        <f t="shared" si="38"/>
        <v>1</v>
      </c>
      <c r="F141" s="76">
        <f t="shared" si="38"/>
        <v>1</v>
      </c>
      <c r="G141" s="76">
        <f t="shared" si="38"/>
        <v>1</v>
      </c>
      <c r="H141" s="76">
        <f t="shared" si="38"/>
        <v>1</v>
      </c>
      <c r="I141" s="76">
        <f t="shared" si="38"/>
        <v>1</v>
      </c>
      <c r="J141" s="76">
        <f t="shared" si="38"/>
        <v>1</v>
      </c>
      <c r="K141" s="76">
        <f t="shared" si="38"/>
        <v>1</v>
      </c>
      <c r="L141" s="76">
        <f t="shared" ref="L141" si="39">IF(L17=0,0,L17/L$17)</f>
        <v>1</v>
      </c>
      <c r="M141" s="76">
        <f t="shared" ref="M141:V141" si="40">IF(M17=0,0,M17/M$17)</f>
        <v>1</v>
      </c>
      <c r="N141" s="76">
        <f t="shared" si="40"/>
        <v>1</v>
      </c>
      <c r="O141" s="76">
        <f t="shared" si="40"/>
        <v>1</v>
      </c>
      <c r="P141" s="76">
        <f t="shared" si="40"/>
        <v>1</v>
      </c>
      <c r="Q141" s="76">
        <f t="shared" si="40"/>
        <v>1</v>
      </c>
      <c r="R141" s="76">
        <f t="shared" si="40"/>
        <v>1</v>
      </c>
      <c r="S141" s="76">
        <f t="shared" si="40"/>
        <v>1</v>
      </c>
      <c r="T141" s="76">
        <f t="shared" si="40"/>
        <v>1</v>
      </c>
      <c r="U141" s="76">
        <f t="shared" si="40"/>
        <v>1</v>
      </c>
      <c r="V141" s="76">
        <f t="shared" si="40"/>
        <v>1</v>
      </c>
      <c r="W141" s="76">
        <f t="shared" ref="W141:Y141" si="41">IF(W17=0,0,W17/W$17)</f>
        <v>1</v>
      </c>
      <c r="X141" s="76">
        <f t="shared" si="41"/>
        <v>1</v>
      </c>
      <c r="Y141" s="76">
        <f t="shared" si="41"/>
        <v>1</v>
      </c>
      <c r="DA141" s="183"/>
    </row>
    <row r="142" spans="1:105" ht="11.45" customHeight="1" x14ac:dyDescent="0.25">
      <c r="A142" s="27" t="s">
        <v>33</v>
      </c>
      <c r="B142" s="46">
        <f t="shared" ref="B142:K142" si="42">IF(B18=0,0,B18/B$17)</f>
        <v>0.65238114092453992</v>
      </c>
      <c r="C142" s="46">
        <f t="shared" si="42"/>
        <v>0.63727161114829634</v>
      </c>
      <c r="D142" s="46">
        <f t="shared" si="42"/>
        <v>0.64550868365462732</v>
      </c>
      <c r="E142" s="46">
        <f t="shared" si="42"/>
        <v>0.64249562148100414</v>
      </c>
      <c r="F142" s="46">
        <f t="shared" si="42"/>
        <v>0.63595494626905913</v>
      </c>
      <c r="G142" s="46">
        <f t="shared" si="42"/>
        <v>0.64497813698705597</v>
      </c>
      <c r="H142" s="46">
        <f t="shared" si="42"/>
        <v>0.64791124430116054</v>
      </c>
      <c r="I142" s="46">
        <f t="shared" si="42"/>
        <v>0.64291001646527912</v>
      </c>
      <c r="J142" s="46">
        <f t="shared" si="42"/>
        <v>0.65662571866671171</v>
      </c>
      <c r="K142" s="46">
        <f t="shared" si="42"/>
        <v>0.68695529990911264</v>
      </c>
      <c r="L142" s="46">
        <f t="shared" ref="L142" si="43">IF(L18=0,0,L18/L$17)</f>
        <v>0.68847086430885596</v>
      </c>
      <c r="M142" s="46">
        <f t="shared" ref="M142:V142" si="44">IF(M18=0,0,M18/M$17)</f>
        <v>0.69415737176712156</v>
      </c>
      <c r="N142" s="46">
        <f t="shared" si="44"/>
        <v>0.70925504711540288</v>
      </c>
      <c r="O142" s="46">
        <f t="shared" si="44"/>
        <v>0.71166486386084804</v>
      </c>
      <c r="P142" s="46">
        <f t="shared" si="44"/>
        <v>0.71164349740691168</v>
      </c>
      <c r="Q142" s="46">
        <f t="shared" si="44"/>
        <v>0.70559841318391792</v>
      </c>
      <c r="R142" s="46">
        <f t="shared" si="44"/>
        <v>0.68713447652376314</v>
      </c>
      <c r="S142" s="46">
        <f t="shared" si="44"/>
        <v>0.68039243699063501</v>
      </c>
      <c r="T142" s="46">
        <f t="shared" si="44"/>
        <v>0.67637094152119204</v>
      </c>
      <c r="U142" s="46">
        <f t="shared" si="44"/>
        <v>0.69068278437244746</v>
      </c>
      <c r="V142" s="46">
        <f t="shared" si="44"/>
        <v>0.67779607221059313</v>
      </c>
      <c r="W142" s="46">
        <f t="shared" ref="W142:Y142" si="45">IF(W18=0,0,W18/W$17)</f>
        <v>0.68579734572625539</v>
      </c>
      <c r="X142" s="46">
        <f t="shared" si="45"/>
        <v>0.68835330682104223</v>
      </c>
      <c r="Y142" s="46">
        <f t="shared" si="45"/>
        <v>0.70102854557668315</v>
      </c>
      <c r="DA142" s="211"/>
    </row>
    <row r="143" spans="1:105" ht="11.45" customHeight="1" x14ac:dyDescent="0.25">
      <c r="A143" s="153" t="s">
        <v>173</v>
      </c>
      <c r="B143" s="154">
        <f t="shared" ref="B143:K143" si="46">IF(B19=0,0,B19/B$17)</f>
        <v>1.4260692796809849E-2</v>
      </c>
      <c r="C143" s="154">
        <f t="shared" si="46"/>
        <v>1.4361249905039463E-2</v>
      </c>
      <c r="D143" s="154">
        <f t="shared" si="46"/>
        <v>1.279555515471853E-2</v>
      </c>
      <c r="E143" s="154">
        <f t="shared" si="46"/>
        <v>1.3733600266176803E-2</v>
      </c>
      <c r="F143" s="154">
        <f t="shared" si="46"/>
        <v>1.2793996795930048E-2</v>
      </c>
      <c r="G143" s="154">
        <f t="shared" si="46"/>
        <v>1.4155074435554596E-2</v>
      </c>
      <c r="H143" s="154">
        <f t="shared" si="46"/>
        <v>1.3969996137739435E-2</v>
      </c>
      <c r="I143" s="154">
        <f t="shared" si="46"/>
        <v>1.5238273685210694E-2</v>
      </c>
      <c r="J143" s="154">
        <f t="shared" si="46"/>
        <v>1.5977173884844313E-2</v>
      </c>
      <c r="K143" s="154">
        <f t="shared" si="46"/>
        <v>1.7430791913730082E-2</v>
      </c>
      <c r="L143" s="154">
        <f t="shared" ref="L143" si="47">IF(L19=0,0,L19/L$17)</f>
        <v>1.8119021932055803E-2</v>
      </c>
      <c r="M143" s="154">
        <f t="shared" ref="M143:V143" si="48">IF(M19=0,0,M19/M$17)</f>
        <v>1.7335369951794112E-2</v>
      </c>
      <c r="N143" s="154">
        <f t="shared" si="48"/>
        <v>1.7925779162768149E-2</v>
      </c>
      <c r="O143" s="154">
        <f t="shared" si="48"/>
        <v>1.8015415306230218E-2</v>
      </c>
      <c r="P143" s="154">
        <f t="shared" si="48"/>
        <v>1.9775035594186627E-2</v>
      </c>
      <c r="Q143" s="154">
        <f t="shared" si="48"/>
        <v>2.0624562197831636E-2</v>
      </c>
      <c r="R143" s="154">
        <f t="shared" si="48"/>
        <v>2.0607540737509436E-2</v>
      </c>
      <c r="S143" s="154">
        <f t="shared" si="48"/>
        <v>1.872278322257644E-2</v>
      </c>
      <c r="T143" s="154">
        <f t="shared" si="48"/>
        <v>1.7349191481510907E-2</v>
      </c>
      <c r="U143" s="154">
        <f t="shared" si="48"/>
        <v>1.8561751871654795E-2</v>
      </c>
      <c r="V143" s="154">
        <f t="shared" si="48"/>
        <v>1.8665005597982225E-2</v>
      </c>
      <c r="W143" s="154">
        <f t="shared" ref="W143:Y143" si="49">IF(W19=0,0,W19/W$17)</f>
        <v>1.8035141961017357E-2</v>
      </c>
      <c r="X143" s="154">
        <f t="shared" si="49"/>
        <v>1.6803000571484893E-2</v>
      </c>
      <c r="Y143" s="154">
        <f t="shared" si="49"/>
        <v>1.8179225541358878E-2</v>
      </c>
      <c r="DA143" s="212"/>
    </row>
    <row r="144" spans="1:105" ht="11.45" customHeight="1" x14ac:dyDescent="0.25">
      <c r="A144" s="155" t="s">
        <v>20</v>
      </c>
      <c r="B144" s="156">
        <f t="shared" ref="B144:K144" si="50">IF(B21=0,0,B21/B$17)</f>
        <v>0.59330525488020514</v>
      </c>
      <c r="C144" s="156">
        <f t="shared" si="50"/>
        <v>0.58044512308618046</v>
      </c>
      <c r="D144" s="156">
        <f t="shared" si="50"/>
        <v>0.59201408185097359</v>
      </c>
      <c r="E144" s="156">
        <f t="shared" si="50"/>
        <v>0.59021648490982048</v>
      </c>
      <c r="F144" s="156">
        <f t="shared" si="50"/>
        <v>0.58498462793162942</v>
      </c>
      <c r="G144" s="156">
        <f t="shared" si="50"/>
        <v>0.59421489336747169</v>
      </c>
      <c r="H144" s="156">
        <f t="shared" si="50"/>
        <v>0.59693751410632578</v>
      </c>
      <c r="I144" s="156">
        <f t="shared" si="50"/>
        <v>0.59081689086274614</v>
      </c>
      <c r="J144" s="156">
        <f t="shared" si="50"/>
        <v>0.60225916696583093</v>
      </c>
      <c r="K144" s="156">
        <f t="shared" si="50"/>
        <v>0.62938148421277618</v>
      </c>
      <c r="L144" s="156">
        <f t="shared" ref="L144" si="51">IF(L21=0,0,L21/L$17)</f>
        <v>0.62963377749215255</v>
      </c>
      <c r="M144" s="156">
        <f t="shared" ref="M144:V144" si="52">IF(M21=0,0,M21/M$17)</f>
        <v>0.63448904739765888</v>
      </c>
      <c r="N144" s="156">
        <f t="shared" si="52"/>
        <v>0.64585983378248968</v>
      </c>
      <c r="O144" s="156">
        <f t="shared" si="52"/>
        <v>0.64994407489772021</v>
      </c>
      <c r="P144" s="156">
        <f t="shared" si="52"/>
        <v>0.64916045824962743</v>
      </c>
      <c r="Q144" s="156">
        <f t="shared" si="52"/>
        <v>0.64333208157734378</v>
      </c>
      <c r="R144" s="156">
        <f t="shared" si="52"/>
        <v>0.62547330632684783</v>
      </c>
      <c r="S144" s="156">
        <f t="shared" si="52"/>
        <v>0.63555978555887271</v>
      </c>
      <c r="T144" s="156">
        <f t="shared" si="52"/>
        <v>0.63338047084300586</v>
      </c>
      <c r="U144" s="156">
        <f t="shared" si="52"/>
        <v>0.64592930494061374</v>
      </c>
      <c r="V144" s="156">
        <f t="shared" si="52"/>
        <v>0.63617233047049804</v>
      </c>
      <c r="W144" s="156">
        <f t="shared" ref="W144:Y144" si="53">IF(W21=0,0,W21/W$17)</f>
        <v>0.64234506579990591</v>
      </c>
      <c r="X144" s="156">
        <f t="shared" si="53"/>
        <v>0.64377914040120132</v>
      </c>
      <c r="Y144" s="156">
        <f t="shared" si="53"/>
        <v>0.65137597398937286</v>
      </c>
      <c r="DA144" s="213"/>
    </row>
    <row r="145" spans="1:105" ht="11.45" customHeight="1" x14ac:dyDescent="0.25">
      <c r="A145" s="157" t="s">
        <v>110</v>
      </c>
      <c r="B145" s="103">
        <f t="shared" ref="B145:K145" si="54">IF(B22=0,0,B22/B$17)</f>
        <v>0.31858458162806191</v>
      </c>
      <c r="C145" s="103">
        <f t="shared" si="54"/>
        <v>0.30035903549514176</v>
      </c>
      <c r="D145" s="103">
        <f t="shared" si="54"/>
        <v>0.28441430265665457</v>
      </c>
      <c r="E145" s="103">
        <f t="shared" si="54"/>
        <v>0.26410459501184186</v>
      </c>
      <c r="F145" s="103">
        <f t="shared" si="54"/>
        <v>0.24329215455399791</v>
      </c>
      <c r="G145" s="103">
        <f t="shared" si="54"/>
        <v>0.22722996101211265</v>
      </c>
      <c r="H145" s="103">
        <f t="shared" si="54"/>
        <v>0.21032862677924222</v>
      </c>
      <c r="I145" s="103">
        <f t="shared" si="54"/>
        <v>0.19350320650699912</v>
      </c>
      <c r="J145" s="103">
        <f t="shared" si="54"/>
        <v>0.1855214146905482</v>
      </c>
      <c r="K145" s="103">
        <f t="shared" si="54"/>
        <v>0.18481211227561656</v>
      </c>
      <c r="L145" s="103">
        <f t="shared" ref="L145" si="55">IF(L22=0,0,L22/L$17)</f>
        <v>0.17629599394587861</v>
      </c>
      <c r="M145" s="103">
        <f t="shared" ref="M145:V145" si="56">IF(M22=0,0,M22/M$17)</f>
        <v>0.17172083193582141</v>
      </c>
      <c r="N145" s="103">
        <f t="shared" si="56"/>
        <v>0.16829407303180291</v>
      </c>
      <c r="O145" s="103">
        <f t="shared" si="56"/>
        <v>0.16612150847401566</v>
      </c>
      <c r="P145" s="103">
        <f t="shared" si="56"/>
        <v>0.16092998065239142</v>
      </c>
      <c r="Q145" s="103">
        <f t="shared" si="56"/>
        <v>0.15603248028377201</v>
      </c>
      <c r="R145" s="103">
        <f t="shared" si="56"/>
        <v>0.15610206173074428</v>
      </c>
      <c r="S145" s="103">
        <f t="shared" si="56"/>
        <v>0.15787188945266406</v>
      </c>
      <c r="T145" s="103">
        <f t="shared" si="56"/>
        <v>0.162921987741658</v>
      </c>
      <c r="U145" s="103">
        <f t="shared" si="56"/>
        <v>0.17071691489226334</v>
      </c>
      <c r="V145" s="103">
        <f t="shared" si="56"/>
        <v>0.16260056250025934</v>
      </c>
      <c r="W145" s="103">
        <f t="shared" ref="W145:Y145" si="57">IF(W22=0,0,W22/W$17)</f>
        <v>0.17694711494041299</v>
      </c>
      <c r="X145" s="103">
        <f t="shared" si="57"/>
        <v>0.1895901324936852</v>
      </c>
      <c r="Y145" s="103">
        <f t="shared" si="57"/>
        <v>0.2009416398339961</v>
      </c>
      <c r="DA145" s="191"/>
    </row>
    <row r="146" spans="1:105" ht="11.45" customHeight="1" x14ac:dyDescent="0.25">
      <c r="A146" s="157" t="s">
        <v>111</v>
      </c>
      <c r="B146" s="103">
        <f t="shared" ref="B146:K146" si="58">IF(B24=0,0,B24/B$17)</f>
        <v>0.27151137583234974</v>
      </c>
      <c r="C146" s="103">
        <f t="shared" si="58"/>
        <v>0.27715057347564692</v>
      </c>
      <c r="D146" s="103">
        <f t="shared" si="58"/>
        <v>0.30473967823608095</v>
      </c>
      <c r="E146" s="103">
        <f t="shared" si="58"/>
        <v>0.32342015463478352</v>
      </c>
      <c r="F146" s="103">
        <f t="shared" si="58"/>
        <v>0.33897342983017242</v>
      </c>
      <c r="G146" s="103">
        <f t="shared" si="58"/>
        <v>0.36528777401738877</v>
      </c>
      <c r="H146" s="103">
        <f t="shared" si="58"/>
        <v>0.38503727486214306</v>
      </c>
      <c r="I146" s="103">
        <f t="shared" si="58"/>
        <v>0.39583411882432096</v>
      </c>
      <c r="J146" s="103">
        <f t="shared" si="58"/>
        <v>0.41612747434813202</v>
      </c>
      <c r="K146" s="103">
        <f t="shared" si="58"/>
        <v>0.44380935041013431</v>
      </c>
      <c r="L146" s="103">
        <f t="shared" ref="L146" si="59">IF(L24=0,0,L24/L$17)</f>
        <v>0.45244632811044994</v>
      </c>
      <c r="M146" s="103">
        <f t="shared" ref="M146:V146" si="60">IF(M24=0,0,M24/M$17)</f>
        <v>0.46176037952318916</v>
      </c>
      <c r="N146" s="103">
        <f t="shared" si="60"/>
        <v>0.47614281737100789</v>
      </c>
      <c r="O146" s="103">
        <f t="shared" si="60"/>
        <v>0.48210116897473493</v>
      </c>
      <c r="P146" s="103">
        <f t="shared" si="60"/>
        <v>0.48635769803672912</v>
      </c>
      <c r="Q146" s="103">
        <f t="shared" si="60"/>
        <v>0.48515295813846243</v>
      </c>
      <c r="R146" s="103">
        <f t="shared" si="60"/>
        <v>0.46713113424567865</v>
      </c>
      <c r="S146" s="103">
        <f t="shared" si="60"/>
        <v>0.47527246324303085</v>
      </c>
      <c r="T146" s="103">
        <f t="shared" si="60"/>
        <v>0.46749825933330574</v>
      </c>
      <c r="U146" s="103">
        <f t="shared" si="60"/>
        <v>0.4713136020741539</v>
      </c>
      <c r="V146" s="103">
        <f t="shared" si="60"/>
        <v>0.46962687857772895</v>
      </c>
      <c r="W146" s="103">
        <f t="shared" ref="W146:Y146" si="61">IF(W24=0,0,W24/W$17)</f>
        <v>0.46063992936248382</v>
      </c>
      <c r="X146" s="103">
        <f t="shared" si="61"/>
        <v>0.44798424679169863</v>
      </c>
      <c r="Y146" s="103">
        <f t="shared" si="61"/>
        <v>0.44317034437967762</v>
      </c>
      <c r="DA146" s="191"/>
    </row>
    <row r="147" spans="1:105" ht="11.45" customHeight="1" x14ac:dyDescent="0.25">
      <c r="A147" s="157" t="s">
        <v>112</v>
      </c>
      <c r="B147" s="103">
        <f t="shared" ref="B147:K147" si="62">IF(B26=0,0,B26/B$17)</f>
        <v>3.2092974197934884E-3</v>
      </c>
      <c r="C147" s="103">
        <f t="shared" si="62"/>
        <v>2.9355141153916959E-3</v>
      </c>
      <c r="D147" s="103">
        <f t="shared" si="62"/>
        <v>2.8601009582381268E-3</v>
      </c>
      <c r="E147" s="103">
        <f t="shared" si="62"/>
        <v>2.691735263195166E-3</v>
      </c>
      <c r="F147" s="103">
        <f t="shared" si="62"/>
        <v>2.6709833527560037E-3</v>
      </c>
      <c r="G147" s="103">
        <f t="shared" si="62"/>
        <v>1.5956431485365005E-3</v>
      </c>
      <c r="H147" s="103">
        <f t="shared" si="62"/>
        <v>1.412756750189302E-3</v>
      </c>
      <c r="I147" s="103">
        <f t="shared" si="62"/>
        <v>1.3309819477627547E-3</v>
      </c>
      <c r="J147" s="103">
        <f t="shared" si="62"/>
        <v>4.5353270220880974E-4</v>
      </c>
      <c r="K147" s="103">
        <f t="shared" si="62"/>
        <v>5.9024487202677682E-4</v>
      </c>
      <c r="L147" s="103">
        <f t="shared" ref="L147" si="63">IF(L26=0,0,L26/L$17)</f>
        <v>7.200196450109738E-4</v>
      </c>
      <c r="M147" s="103">
        <f t="shared" ref="M147:V147" si="64">IF(M26=0,0,M26/M$17)</f>
        <v>8.3072074633789965E-4</v>
      </c>
      <c r="N147" s="103">
        <f t="shared" si="64"/>
        <v>1.1255099853046673E-3</v>
      </c>
      <c r="O147" s="103">
        <f t="shared" si="64"/>
        <v>1.3662343056823373E-3</v>
      </c>
      <c r="P147" s="103">
        <f t="shared" si="64"/>
        <v>1.5150090925183711E-3</v>
      </c>
      <c r="Q147" s="103">
        <f t="shared" si="64"/>
        <v>1.7655637621884286E-3</v>
      </c>
      <c r="R147" s="103">
        <f t="shared" si="64"/>
        <v>1.8626783841931883E-3</v>
      </c>
      <c r="S147" s="103">
        <f t="shared" si="64"/>
        <v>1.9700314225771067E-3</v>
      </c>
      <c r="T147" s="103">
        <f t="shared" si="64"/>
        <v>2.3148192161388131E-3</v>
      </c>
      <c r="U147" s="103">
        <f t="shared" si="64"/>
        <v>3.1113509148095468E-3</v>
      </c>
      <c r="V147" s="103">
        <f t="shared" si="64"/>
        <v>2.8805207269422674E-3</v>
      </c>
      <c r="W147" s="103">
        <f t="shared" ref="W147:Y147" si="65">IF(W26=0,0,W26/W$17)</f>
        <v>3.0112854952455978E-3</v>
      </c>
      <c r="X147" s="103">
        <f t="shared" si="65"/>
        <v>3.786349157630953E-3</v>
      </c>
      <c r="Y147" s="103">
        <f t="shared" si="65"/>
        <v>3.9775755201242411E-3</v>
      </c>
      <c r="DA147" s="191"/>
    </row>
    <row r="148" spans="1:105" ht="11.45" customHeight="1" x14ac:dyDescent="0.25">
      <c r="A148" s="157" t="s">
        <v>113</v>
      </c>
      <c r="B148" s="103">
        <f t="shared" ref="B148:K148" si="66">IF(B27=0,0,B27/B$17)</f>
        <v>0</v>
      </c>
      <c r="C148" s="103">
        <f t="shared" si="66"/>
        <v>0</v>
      </c>
      <c r="D148" s="103">
        <f t="shared" si="66"/>
        <v>0</v>
      </c>
      <c r="E148" s="103">
        <f t="shared" si="66"/>
        <v>0</v>
      </c>
      <c r="F148" s="103">
        <f t="shared" si="66"/>
        <v>4.8060194703021932E-5</v>
      </c>
      <c r="G148" s="103">
        <f t="shared" si="66"/>
        <v>1.0151518943383591E-4</v>
      </c>
      <c r="H148" s="103">
        <f t="shared" si="66"/>
        <v>1.5885571475112144E-4</v>
      </c>
      <c r="I148" s="103">
        <f t="shared" si="66"/>
        <v>1.4858358366330661E-4</v>
      </c>
      <c r="J148" s="103">
        <f t="shared" si="66"/>
        <v>1.5674522494178557E-4</v>
      </c>
      <c r="K148" s="103">
        <f t="shared" si="66"/>
        <v>1.6977214052482935E-4</v>
      </c>
      <c r="L148" s="103">
        <f t="shared" ref="L148" si="67">IF(L27=0,0,L27/L$17)</f>
        <v>1.7107986209620603E-4</v>
      </c>
      <c r="M148" s="103">
        <f t="shared" ref="M148:V148" si="68">IF(M27=0,0,M27/M$17)</f>
        <v>1.7419879595260599E-4</v>
      </c>
      <c r="N148" s="103">
        <f t="shared" si="68"/>
        <v>2.9075210355931702E-4</v>
      </c>
      <c r="O148" s="103">
        <f t="shared" si="68"/>
        <v>3.4133444646191387E-4</v>
      </c>
      <c r="P148" s="103">
        <f t="shared" si="68"/>
        <v>3.3501390326249431E-4</v>
      </c>
      <c r="Q148" s="103">
        <f t="shared" si="68"/>
        <v>3.4169802758239289E-4</v>
      </c>
      <c r="R148" s="103">
        <f t="shared" si="68"/>
        <v>3.1190292059785529E-4</v>
      </c>
      <c r="S148" s="103">
        <f t="shared" si="68"/>
        <v>3.2552875983412482E-4</v>
      </c>
      <c r="T148" s="103">
        <f t="shared" si="68"/>
        <v>4.3492891216554037E-4</v>
      </c>
      <c r="U148" s="103">
        <f t="shared" si="68"/>
        <v>4.2883337825715281E-4</v>
      </c>
      <c r="V148" s="103">
        <f t="shared" si="68"/>
        <v>3.7126808631534296E-4</v>
      </c>
      <c r="W148" s="103">
        <f t="shared" ref="W148:Y148" si="69">IF(W27=0,0,W27/W$17)</f>
        <v>4.3891996743241333E-4</v>
      </c>
      <c r="X148" s="103">
        <f t="shared" si="69"/>
        <v>4.8484071928407333E-4</v>
      </c>
      <c r="Y148" s="103">
        <f t="shared" si="69"/>
        <v>5.0176072846760261E-4</v>
      </c>
      <c r="DA148" s="191"/>
    </row>
    <row r="149" spans="1:105" ht="11.45" customHeight="1" x14ac:dyDescent="0.25">
      <c r="A149" s="157" t="s">
        <v>114</v>
      </c>
      <c r="B149" s="103">
        <f t="shared" ref="B149:K149" si="70">IF(B29=0,0,B29/B$17)</f>
        <v>0</v>
      </c>
      <c r="C149" s="103">
        <f t="shared" si="70"/>
        <v>0</v>
      </c>
      <c r="D149" s="103">
        <f t="shared" si="70"/>
        <v>0</v>
      </c>
      <c r="E149" s="103">
        <f t="shared" si="70"/>
        <v>0</v>
      </c>
      <c r="F149" s="103">
        <f t="shared" si="70"/>
        <v>0</v>
      </c>
      <c r="G149" s="103">
        <f t="shared" si="70"/>
        <v>0</v>
      </c>
      <c r="H149" s="103">
        <f t="shared" si="70"/>
        <v>0</v>
      </c>
      <c r="I149" s="103">
        <f t="shared" si="70"/>
        <v>0</v>
      </c>
      <c r="J149" s="103">
        <f t="shared" si="70"/>
        <v>0</v>
      </c>
      <c r="K149" s="103">
        <f t="shared" si="70"/>
        <v>0</v>
      </c>
      <c r="L149" s="103">
        <f t="shared" ref="L149" si="71">IF(L29=0,0,L29/L$17)</f>
        <v>0</v>
      </c>
      <c r="M149" s="103">
        <f t="shared" ref="M149:V149" si="72">IF(M29=0,0,M29/M$17)</f>
        <v>8.3918794666515356E-8</v>
      </c>
      <c r="N149" s="103">
        <f t="shared" si="72"/>
        <v>9.6415335476193176E-7</v>
      </c>
      <c r="O149" s="103">
        <f t="shared" si="72"/>
        <v>2.0624787694527138E-6</v>
      </c>
      <c r="P149" s="103">
        <f t="shared" si="72"/>
        <v>6.2524969359958993E-6</v>
      </c>
      <c r="Q149" s="103">
        <f t="shared" si="72"/>
        <v>1.3320634753547817E-5</v>
      </c>
      <c r="R149" s="103">
        <f t="shared" si="72"/>
        <v>3.0418462455371892E-5</v>
      </c>
      <c r="S149" s="103">
        <f t="shared" si="72"/>
        <v>6.6405351583746951E-5</v>
      </c>
      <c r="T149" s="103">
        <f t="shared" si="72"/>
        <v>1.2230850815248399E-4</v>
      </c>
      <c r="U149" s="103">
        <f t="shared" si="72"/>
        <v>2.1146050563972167E-4</v>
      </c>
      <c r="V149" s="103">
        <f t="shared" si="72"/>
        <v>4.5078139214348319E-4</v>
      </c>
      <c r="W149" s="103">
        <f t="shared" ref="W149:Y149" si="73">IF(W29=0,0,W29/W$17)</f>
        <v>8.8518865167914898E-4</v>
      </c>
      <c r="X149" s="103">
        <f t="shared" si="73"/>
        <v>1.3310745438640805E-3</v>
      </c>
      <c r="Y149" s="103">
        <f t="shared" si="73"/>
        <v>1.8779684253018639E-3</v>
      </c>
      <c r="DA149" s="191"/>
    </row>
    <row r="150" spans="1:105" ht="11.45" customHeight="1" x14ac:dyDescent="0.25">
      <c r="A150" s="157" t="s">
        <v>115</v>
      </c>
      <c r="B150" s="103">
        <f t="shared" ref="B150:K150" si="74">IF(B32=0,0,B32/B$17)</f>
        <v>0</v>
      </c>
      <c r="C150" s="103">
        <f t="shared" si="74"/>
        <v>0</v>
      </c>
      <c r="D150" s="103">
        <f t="shared" si="74"/>
        <v>0</v>
      </c>
      <c r="E150" s="103">
        <f t="shared" si="74"/>
        <v>0</v>
      </c>
      <c r="F150" s="103">
        <f t="shared" si="74"/>
        <v>0</v>
      </c>
      <c r="G150" s="103">
        <f t="shared" si="74"/>
        <v>0</v>
      </c>
      <c r="H150" s="103">
        <f t="shared" si="74"/>
        <v>0</v>
      </c>
      <c r="I150" s="103">
        <f t="shared" si="74"/>
        <v>0</v>
      </c>
      <c r="J150" s="103">
        <f t="shared" si="74"/>
        <v>0</v>
      </c>
      <c r="K150" s="103">
        <f t="shared" si="74"/>
        <v>4.5144738149325676E-9</v>
      </c>
      <c r="L150" s="103">
        <f t="shared" ref="L150" si="75">IF(L32=0,0,L32/L$17)</f>
        <v>3.5592871688752947E-7</v>
      </c>
      <c r="M150" s="103">
        <f t="shared" ref="M150:V150" si="76">IF(M32=0,0,M32/M$17)</f>
        <v>2.832477562928754E-6</v>
      </c>
      <c r="N150" s="103">
        <f t="shared" si="76"/>
        <v>5.7171374600204294E-6</v>
      </c>
      <c r="O150" s="103">
        <f t="shared" si="76"/>
        <v>1.1766218055947565E-5</v>
      </c>
      <c r="P150" s="103">
        <f t="shared" si="76"/>
        <v>1.6504067789992078E-5</v>
      </c>
      <c r="Q150" s="103">
        <f t="shared" si="76"/>
        <v>2.6060730584846954E-5</v>
      </c>
      <c r="R150" s="103">
        <f t="shared" si="76"/>
        <v>3.5110583178448459E-5</v>
      </c>
      <c r="S150" s="103">
        <f t="shared" si="76"/>
        <v>5.3467329182992186E-5</v>
      </c>
      <c r="T150" s="103">
        <f t="shared" si="76"/>
        <v>8.8167131585354888E-5</v>
      </c>
      <c r="U150" s="103">
        <f t="shared" si="76"/>
        <v>1.4714317549005648E-4</v>
      </c>
      <c r="V150" s="103">
        <f t="shared" si="76"/>
        <v>2.4231918710862247E-4</v>
      </c>
      <c r="W150" s="103">
        <f t="shared" ref="W150:Y150" si="77">IF(W32=0,0,W32/W$17)</f>
        <v>4.2262738265192655E-4</v>
      </c>
      <c r="X150" s="103">
        <f t="shared" si="77"/>
        <v>6.0249669503857585E-4</v>
      </c>
      <c r="Y150" s="103">
        <f t="shared" si="77"/>
        <v>9.0668510180555602E-4</v>
      </c>
      <c r="DA150" s="191"/>
    </row>
    <row r="151" spans="1:105" ht="11.45" customHeight="1" x14ac:dyDescent="0.25">
      <c r="A151" s="155" t="s">
        <v>21</v>
      </c>
      <c r="B151" s="156">
        <f t="shared" ref="B151:K151" si="78">IF(B33=0,0,B33/B$17)</f>
        <v>4.4815193247524941E-2</v>
      </c>
      <c r="C151" s="156">
        <f t="shared" si="78"/>
        <v>4.2465238157076451E-2</v>
      </c>
      <c r="D151" s="156">
        <f t="shared" si="78"/>
        <v>4.0699046648935075E-2</v>
      </c>
      <c r="E151" s="156">
        <f t="shared" si="78"/>
        <v>3.8545536305006831E-2</v>
      </c>
      <c r="F151" s="156">
        <f t="shared" si="78"/>
        <v>3.817632154149958E-2</v>
      </c>
      <c r="G151" s="156">
        <f t="shared" si="78"/>
        <v>3.6608169184029753E-2</v>
      </c>
      <c r="H151" s="156">
        <f t="shared" si="78"/>
        <v>3.7003734057095311E-2</v>
      </c>
      <c r="I151" s="156">
        <f t="shared" si="78"/>
        <v>3.6854851917322379E-2</v>
      </c>
      <c r="J151" s="156">
        <f t="shared" si="78"/>
        <v>3.8389377816036629E-2</v>
      </c>
      <c r="K151" s="156">
        <f t="shared" si="78"/>
        <v>4.0143023782606362E-2</v>
      </c>
      <c r="L151" s="156">
        <f t="shared" ref="L151" si="79">IF(L33=0,0,L33/L$17)</f>
        <v>4.071806488464752E-2</v>
      </c>
      <c r="M151" s="156">
        <f t="shared" ref="M151:V151" si="80">IF(M33=0,0,M33/M$17)</f>
        <v>4.2332954417668683E-2</v>
      </c>
      <c r="N151" s="156">
        <f t="shared" si="80"/>
        <v>4.546943417014495E-2</v>
      </c>
      <c r="O151" s="156">
        <f t="shared" si="80"/>
        <v>4.370537365689757E-2</v>
      </c>
      <c r="P151" s="156">
        <f t="shared" si="80"/>
        <v>4.2708003563097729E-2</v>
      </c>
      <c r="Q151" s="156">
        <f t="shared" si="80"/>
        <v>4.1641769408742459E-2</v>
      </c>
      <c r="R151" s="156">
        <f t="shared" si="80"/>
        <v>4.1053629459405945E-2</v>
      </c>
      <c r="S151" s="156">
        <f t="shared" si="80"/>
        <v>2.6109868209185816E-2</v>
      </c>
      <c r="T151" s="156">
        <f t="shared" si="80"/>
        <v>2.5641279196675231E-2</v>
      </c>
      <c r="U151" s="156">
        <f t="shared" si="80"/>
        <v>2.619172756017905E-2</v>
      </c>
      <c r="V151" s="156">
        <f t="shared" si="80"/>
        <v>2.2958736142112825E-2</v>
      </c>
      <c r="W151" s="156">
        <f t="shared" ref="W151:Y151" si="81">IF(W33=0,0,W33/W$17)</f>
        <v>2.5417137965331987E-2</v>
      </c>
      <c r="X151" s="156">
        <f t="shared" si="81"/>
        <v>2.7771165848355983E-2</v>
      </c>
      <c r="Y151" s="156">
        <f t="shared" si="81"/>
        <v>3.1473346045951332E-2</v>
      </c>
      <c r="DA151" s="213"/>
    </row>
    <row r="152" spans="1:105" ht="11.45" customHeight="1" x14ac:dyDescent="0.25">
      <c r="A152" s="157" t="s">
        <v>110</v>
      </c>
      <c r="B152" s="103">
        <f t="shared" ref="B152:K152" si="82">IF(B34=0,0,B34/B$17)</f>
        <v>1.3861781582377489E-4</v>
      </c>
      <c r="C152" s="103">
        <f t="shared" si="82"/>
        <v>1.3239794148936523E-4</v>
      </c>
      <c r="D152" s="103">
        <f t="shared" si="82"/>
        <v>1.2969177320377618E-4</v>
      </c>
      <c r="E152" s="103">
        <f t="shared" si="82"/>
        <v>1.2273848632084362E-4</v>
      </c>
      <c r="F152" s="103">
        <f t="shared" si="82"/>
        <v>1.1820369150801508E-4</v>
      </c>
      <c r="G152" s="103">
        <f t="shared" si="82"/>
        <v>1.022347934670682E-4</v>
      </c>
      <c r="H152" s="103">
        <f t="shared" si="82"/>
        <v>9.7072025595289446E-5</v>
      </c>
      <c r="I152" s="103">
        <f t="shared" si="82"/>
        <v>1.0425757935827407E-4</v>
      </c>
      <c r="J152" s="103">
        <f t="shared" si="82"/>
        <v>9.8905719508281056E-5</v>
      </c>
      <c r="K152" s="103">
        <f t="shared" si="82"/>
        <v>9.441011455696496E-5</v>
      </c>
      <c r="L152" s="103">
        <f t="shared" ref="L152" si="83">IF(L34=0,0,L34/L$17)</f>
        <v>8.9108758487903495E-5</v>
      </c>
      <c r="M152" s="103">
        <f t="shared" ref="M152:V152" si="84">IF(M34=0,0,M34/M$17)</f>
        <v>8.7462449375951527E-5</v>
      </c>
      <c r="N152" s="103">
        <f t="shared" si="84"/>
        <v>8.8518607728239106E-5</v>
      </c>
      <c r="O152" s="103">
        <f t="shared" si="84"/>
        <v>8.2968450209151381E-5</v>
      </c>
      <c r="P152" s="103">
        <f t="shared" si="84"/>
        <v>7.591010839084095E-5</v>
      </c>
      <c r="Q152" s="103">
        <f t="shared" si="84"/>
        <v>7.1872200028862349E-5</v>
      </c>
      <c r="R152" s="103">
        <f t="shared" si="84"/>
        <v>6.7590442740190723E-5</v>
      </c>
      <c r="S152" s="103">
        <f t="shared" si="84"/>
        <v>5.4159745608597901E-5</v>
      </c>
      <c r="T152" s="103">
        <f t="shared" si="84"/>
        <v>4.9892413826234926E-5</v>
      </c>
      <c r="U152" s="103">
        <f t="shared" si="84"/>
        <v>4.6271003356279764E-5</v>
      </c>
      <c r="V152" s="103">
        <f t="shared" si="84"/>
        <v>3.4084326727675223E-5</v>
      </c>
      <c r="W152" s="103">
        <f t="shared" ref="W152:Y152" si="85">IF(W34=0,0,W34/W$17)</f>
        <v>3.6454922506502923E-5</v>
      </c>
      <c r="X152" s="103">
        <f t="shared" si="85"/>
        <v>3.7000089205273747E-5</v>
      </c>
      <c r="Y152" s="103">
        <f t="shared" si="85"/>
        <v>3.8232564007356277E-5</v>
      </c>
      <c r="DA152" s="191"/>
    </row>
    <row r="153" spans="1:105" ht="11.45" customHeight="1" x14ac:dyDescent="0.25">
      <c r="A153" s="157" t="s">
        <v>111</v>
      </c>
      <c r="B153" s="103">
        <f t="shared" ref="B153:K153" si="86">IF(B36=0,0,B36/B$17)</f>
        <v>4.442254897442828E-2</v>
      </c>
      <c r="C153" s="103">
        <f t="shared" si="86"/>
        <v>4.1980643686429744E-2</v>
      </c>
      <c r="D153" s="103">
        <f t="shared" si="86"/>
        <v>4.0108295112485676E-2</v>
      </c>
      <c r="E153" s="103">
        <f t="shared" si="86"/>
        <v>3.7891157157565865E-2</v>
      </c>
      <c r="F153" s="103">
        <f t="shared" si="86"/>
        <v>3.7474736581808908E-2</v>
      </c>
      <c r="G153" s="103">
        <f t="shared" si="86"/>
        <v>3.5880138565629854E-2</v>
      </c>
      <c r="H153" s="103">
        <f t="shared" si="86"/>
        <v>3.6228929321208095E-2</v>
      </c>
      <c r="I153" s="103">
        <f t="shared" si="86"/>
        <v>3.5732328701936461E-2</v>
      </c>
      <c r="J153" s="103">
        <f t="shared" si="86"/>
        <v>3.7183973971271968E-2</v>
      </c>
      <c r="K153" s="103">
        <f t="shared" si="86"/>
        <v>3.8640454634175578E-2</v>
      </c>
      <c r="L153" s="103">
        <f t="shared" ref="L153" si="87">IF(L36=0,0,L36/L$17)</f>
        <v>3.8741413010326527E-2</v>
      </c>
      <c r="M153" s="103">
        <f t="shared" ref="M153:V153" si="88">IF(M36=0,0,M36/M$17)</f>
        <v>4.0105919254839702E-2</v>
      </c>
      <c r="N153" s="103">
        <f t="shared" si="88"/>
        <v>4.2962641430741438E-2</v>
      </c>
      <c r="O153" s="103">
        <f t="shared" si="88"/>
        <v>4.0944330460423027E-2</v>
      </c>
      <c r="P153" s="103">
        <f t="shared" si="88"/>
        <v>3.9751953710398247E-2</v>
      </c>
      <c r="Q153" s="103">
        <f t="shared" si="88"/>
        <v>3.8562019476752155E-2</v>
      </c>
      <c r="R153" s="103">
        <f t="shared" si="88"/>
        <v>3.7295576999946914E-2</v>
      </c>
      <c r="S153" s="103">
        <f t="shared" si="88"/>
        <v>2.18112377932577E-2</v>
      </c>
      <c r="T153" s="103">
        <f t="shared" si="88"/>
        <v>2.1601485104357724E-2</v>
      </c>
      <c r="U153" s="103">
        <f t="shared" si="88"/>
        <v>2.1091875441617114E-2</v>
      </c>
      <c r="V153" s="103">
        <f t="shared" si="88"/>
        <v>1.618261905746415E-2</v>
      </c>
      <c r="W153" s="103">
        <f t="shared" ref="W153:Y153" si="89">IF(W36=0,0,W36/W$17)</f>
        <v>1.7731968364050756E-2</v>
      </c>
      <c r="X153" s="103">
        <f t="shared" si="89"/>
        <v>1.9420824526267373E-2</v>
      </c>
      <c r="Y153" s="103">
        <f t="shared" si="89"/>
        <v>2.1557158504451279E-2</v>
      </c>
      <c r="DA153" s="191"/>
    </row>
    <row r="154" spans="1:105" ht="11.45" customHeight="1" x14ac:dyDescent="0.25">
      <c r="A154" s="157" t="s">
        <v>112</v>
      </c>
      <c r="B154" s="103">
        <f t="shared" ref="B154:K154" si="90">IF(B38=0,0,B38/B$17)</f>
        <v>0</v>
      </c>
      <c r="C154" s="103">
        <f t="shared" si="90"/>
        <v>0</v>
      </c>
      <c r="D154" s="103">
        <f t="shared" si="90"/>
        <v>0</v>
      </c>
      <c r="E154" s="103">
        <f t="shared" si="90"/>
        <v>0</v>
      </c>
      <c r="F154" s="103">
        <f t="shared" si="90"/>
        <v>0</v>
      </c>
      <c r="G154" s="103">
        <f t="shared" si="90"/>
        <v>0</v>
      </c>
      <c r="H154" s="103">
        <f t="shared" si="90"/>
        <v>0</v>
      </c>
      <c r="I154" s="103">
        <f t="shared" si="90"/>
        <v>0</v>
      </c>
      <c r="J154" s="103">
        <f t="shared" si="90"/>
        <v>0</v>
      </c>
      <c r="K154" s="103">
        <f t="shared" si="90"/>
        <v>0</v>
      </c>
      <c r="L154" s="103">
        <f t="shared" ref="L154" si="91">IF(L38=0,0,L38/L$17)</f>
        <v>0</v>
      </c>
      <c r="M154" s="103">
        <f t="shared" ref="M154:V154" si="92">IF(M38=0,0,M38/M$17)</f>
        <v>0</v>
      </c>
      <c r="N154" s="103">
        <f t="shared" si="92"/>
        <v>0</v>
      </c>
      <c r="O154" s="103">
        <f t="shared" si="92"/>
        <v>0</v>
      </c>
      <c r="P154" s="103">
        <f t="shared" si="92"/>
        <v>1.3553025784593176E-6</v>
      </c>
      <c r="Q154" s="103">
        <f t="shared" si="92"/>
        <v>3.5337665849483098E-5</v>
      </c>
      <c r="R154" s="103">
        <f t="shared" si="92"/>
        <v>3.4032097730403118E-5</v>
      </c>
      <c r="S154" s="103">
        <f t="shared" si="92"/>
        <v>2.8632809056787524E-5</v>
      </c>
      <c r="T154" s="103">
        <f t="shared" si="92"/>
        <v>2.6119637591494994E-5</v>
      </c>
      <c r="U154" s="103">
        <f t="shared" si="92"/>
        <v>3.3615001849385482E-5</v>
      </c>
      <c r="V154" s="103">
        <f t="shared" si="92"/>
        <v>3.4227887745879408E-5</v>
      </c>
      <c r="W154" s="103">
        <f t="shared" ref="W154:Y154" si="93">IF(W38=0,0,W38/W$17)</f>
        <v>8.0194012972004206E-5</v>
      </c>
      <c r="X154" s="103">
        <f t="shared" si="93"/>
        <v>1.1405510755998141E-4</v>
      </c>
      <c r="Y154" s="103">
        <f t="shared" si="93"/>
        <v>1.649831445181326E-4</v>
      </c>
      <c r="DA154" s="191"/>
    </row>
    <row r="155" spans="1:105" ht="11.45" customHeight="1" x14ac:dyDescent="0.25">
      <c r="A155" s="157" t="s">
        <v>113</v>
      </c>
      <c r="B155" s="103">
        <f t="shared" ref="B155:K155" si="94">IF(B39=0,0,B39/B$17)</f>
        <v>2.5402645727288278E-4</v>
      </c>
      <c r="C155" s="103">
        <f t="shared" si="94"/>
        <v>3.5219652915733838E-4</v>
      </c>
      <c r="D155" s="103">
        <f t="shared" si="94"/>
        <v>4.6105976324561964E-4</v>
      </c>
      <c r="E155" s="103">
        <f t="shared" si="94"/>
        <v>5.3164066112012707E-4</v>
      </c>
      <c r="F155" s="103">
        <f t="shared" si="94"/>
        <v>5.8338126818266857E-4</v>
      </c>
      <c r="G155" s="103">
        <f t="shared" si="94"/>
        <v>6.2579582493282741E-4</v>
      </c>
      <c r="H155" s="103">
        <f t="shared" si="94"/>
        <v>6.7773271029192132E-4</v>
      </c>
      <c r="I155" s="103">
        <f t="shared" si="94"/>
        <v>1.0182656360276457E-3</v>
      </c>
      <c r="J155" s="103">
        <f t="shared" si="94"/>
        <v>1.1064981252563795E-3</v>
      </c>
      <c r="K155" s="103">
        <f t="shared" si="94"/>
        <v>1.408159033873818E-3</v>
      </c>
      <c r="L155" s="103">
        <f t="shared" ref="L155" si="95">IF(L39=0,0,L39/L$17)</f>
        <v>1.8875431158330944E-3</v>
      </c>
      <c r="M155" s="103">
        <f t="shared" ref="M155:V155" si="96">IF(M39=0,0,M39/M$17)</f>
        <v>2.1395727134530338E-3</v>
      </c>
      <c r="N155" s="103">
        <f t="shared" si="96"/>
        <v>2.4182741316752681E-3</v>
      </c>
      <c r="O155" s="103">
        <f t="shared" si="96"/>
        <v>2.6444701769532306E-3</v>
      </c>
      <c r="P155" s="103">
        <f t="shared" si="96"/>
        <v>2.8398362825382394E-3</v>
      </c>
      <c r="Q155" s="103">
        <f t="shared" si="96"/>
        <v>2.9127816734876738E-3</v>
      </c>
      <c r="R155" s="103">
        <f t="shared" si="96"/>
        <v>3.5942261157005271E-3</v>
      </c>
      <c r="S155" s="103">
        <f t="shared" si="96"/>
        <v>4.1483292808125625E-3</v>
      </c>
      <c r="T155" s="103">
        <f t="shared" si="96"/>
        <v>3.8892029996502389E-3</v>
      </c>
      <c r="U155" s="103">
        <f t="shared" si="96"/>
        <v>4.9146420846137113E-3</v>
      </c>
      <c r="V155" s="103">
        <f t="shared" si="96"/>
        <v>6.587483903550774E-3</v>
      </c>
      <c r="W155" s="103">
        <f t="shared" ref="W155:Y155" si="97">IF(W39=0,0,W39/W$17)</f>
        <v>7.3872243190870957E-3</v>
      </c>
      <c r="X155" s="103">
        <f t="shared" si="97"/>
        <v>7.968508394228288E-3</v>
      </c>
      <c r="Y155" s="103">
        <f t="shared" si="97"/>
        <v>9.2814834506121727E-3</v>
      </c>
      <c r="DA155" s="191"/>
    </row>
    <row r="156" spans="1:105" ht="11.45" customHeight="1" x14ac:dyDescent="0.25">
      <c r="A156" s="157" t="s">
        <v>115</v>
      </c>
      <c r="B156" s="103">
        <f t="shared" ref="B156:K156" si="98">IF(B41=0,0,B41/B$17)</f>
        <v>0</v>
      </c>
      <c r="C156" s="103">
        <f t="shared" si="98"/>
        <v>0</v>
      </c>
      <c r="D156" s="103">
        <f t="shared" si="98"/>
        <v>0</v>
      </c>
      <c r="E156" s="103">
        <f t="shared" si="98"/>
        <v>0</v>
      </c>
      <c r="F156" s="103">
        <f t="shared" si="98"/>
        <v>0</v>
      </c>
      <c r="G156" s="103">
        <f t="shared" si="98"/>
        <v>0</v>
      </c>
      <c r="H156" s="103">
        <f t="shared" si="98"/>
        <v>0</v>
      </c>
      <c r="I156" s="103">
        <f t="shared" si="98"/>
        <v>0</v>
      </c>
      <c r="J156" s="103">
        <f t="shared" si="98"/>
        <v>0</v>
      </c>
      <c r="K156" s="103">
        <f t="shared" si="98"/>
        <v>0</v>
      </c>
      <c r="L156" s="103">
        <f t="shared" ref="L156" si="99">IF(L41=0,0,L41/L$17)</f>
        <v>0</v>
      </c>
      <c r="M156" s="103">
        <f t="shared" ref="M156:V156" si="100">IF(M41=0,0,M41/M$17)</f>
        <v>0</v>
      </c>
      <c r="N156" s="103">
        <f t="shared" si="100"/>
        <v>0</v>
      </c>
      <c r="O156" s="103">
        <f t="shared" si="100"/>
        <v>3.3604569312154425E-5</v>
      </c>
      <c r="P156" s="103">
        <f t="shared" si="100"/>
        <v>3.8948159191949255E-5</v>
      </c>
      <c r="Q156" s="103">
        <f t="shared" si="100"/>
        <v>5.9758392624284917E-5</v>
      </c>
      <c r="R156" s="103">
        <f t="shared" si="100"/>
        <v>6.2203803287901529E-5</v>
      </c>
      <c r="S156" s="103">
        <f t="shared" si="100"/>
        <v>6.7508580450163593E-5</v>
      </c>
      <c r="T156" s="103">
        <f t="shared" si="100"/>
        <v>7.4579041249536032E-5</v>
      </c>
      <c r="U156" s="103">
        <f t="shared" si="100"/>
        <v>1.0532402874255998E-4</v>
      </c>
      <c r="V156" s="103">
        <f t="shared" si="100"/>
        <v>1.2032096662434728E-4</v>
      </c>
      <c r="W156" s="103">
        <f t="shared" ref="W156:Y156" si="101">IF(W41=0,0,W41/W$17)</f>
        <v>1.8129634671562589E-4</v>
      </c>
      <c r="X156" s="103">
        <f t="shared" si="101"/>
        <v>2.3077773109506528E-4</v>
      </c>
      <c r="Y156" s="103">
        <f t="shared" si="101"/>
        <v>4.314883823623943E-4</v>
      </c>
      <c r="DA156" s="191"/>
    </row>
    <row r="157" spans="1:105" ht="11.45" customHeight="1" x14ac:dyDescent="0.25">
      <c r="A157" s="27" t="s">
        <v>34</v>
      </c>
      <c r="B157" s="46">
        <f t="shared" ref="B157:K157" si="102">IF(B42=0,0,B42/B$17)</f>
        <v>0.34761885907545997</v>
      </c>
      <c r="C157" s="46">
        <f t="shared" si="102"/>
        <v>0.36272838885170355</v>
      </c>
      <c r="D157" s="46">
        <f t="shared" si="102"/>
        <v>0.35449131634537279</v>
      </c>
      <c r="E157" s="46">
        <f t="shared" si="102"/>
        <v>0.35750437851899597</v>
      </c>
      <c r="F157" s="46">
        <f t="shared" si="102"/>
        <v>0.36404505373094098</v>
      </c>
      <c r="G157" s="46">
        <f t="shared" si="102"/>
        <v>0.35502186301294403</v>
      </c>
      <c r="H157" s="46">
        <f t="shared" si="102"/>
        <v>0.35208875569883957</v>
      </c>
      <c r="I157" s="46">
        <f t="shared" si="102"/>
        <v>0.35708998353472077</v>
      </c>
      <c r="J157" s="46">
        <f t="shared" si="102"/>
        <v>0.34337428133328818</v>
      </c>
      <c r="K157" s="46">
        <f t="shared" si="102"/>
        <v>0.31304470009088742</v>
      </c>
      <c r="L157" s="46">
        <f t="shared" ref="L157" si="103">IF(L42=0,0,L42/L$17)</f>
        <v>0.3115291356911441</v>
      </c>
      <c r="M157" s="46">
        <f t="shared" ref="M157:V157" si="104">IF(M42=0,0,M42/M$17)</f>
        <v>0.30584262823287844</v>
      </c>
      <c r="N157" s="46">
        <f t="shared" si="104"/>
        <v>0.29074495288459717</v>
      </c>
      <c r="O157" s="46">
        <f t="shared" si="104"/>
        <v>0.28833513613915196</v>
      </c>
      <c r="P157" s="46">
        <f t="shared" si="104"/>
        <v>0.28835650259308826</v>
      </c>
      <c r="Q157" s="46">
        <f t="shared" si="104"/>
        <v>0.29440158681608208</v>
      </c>
      <c r="R157" s="46">
        <f t="shared" si="104"/>
        <v>0.31286552347623686</v>
      </c>
      <c r="S157" s="46">
        <f t="shared" si="104"/>
        <v>0.31960756300936505</v>
      </c>
      <c r="T157" s="46">
        <f t="shared" si="104"/>
        <v>0.32362905847880802</v>
      </c>
      <c r="U157" s="46">
        <f t="shared" si="104"/>
        <v>0.30931721562755254</v>
      </c>
      <c r="V157" s="46">
        <f t="shared" si="104"/>
        <v>0.32220392778940693</v>
      </c>
      <c r="W157" s="46">
        <f t="shared" ref="W157:Y157" si="105">IF(W42=0,0,W42/W$17)</f>
        <v>0.31420265427374472</v>
      </c>
      <c r="X157" s="46">
        <f t="shared" si="105"/>
        <v>0.31164669317895777</v>
      </c>
      <c r="Y157" s="46">
        <f t="shared" si="105"/>
        <v>0.29897145442331685</v>
      </c>
      <c r="DA157" s="211"/>
    </row>
    <row r="158" spans="1:105" ht="11.45" customHeight="1" x14ac:dyDescent="0.25">
      <c r="A158" s="153" t="s">
        <v>153</v>
      </c>
      <c r="B158" s="154">
        <f t="shared" ref="B158:K158" si="106">IF(B43=0,0,B43/B$17)</f>
        <v>0.10465620824103966</v>
      </c>
      <c r="C158" s="154">
        <f t="shared" si="106"/>
        <v>0.11869267210387836</v>
      </c>
      <c r="D158" s="154">
        <f t="shared" si="106"/>
        <v>0.10383208374830481</v>
      </c>
      <c r="E158" s="154">
        <f t="shared" si="106"/>
        <v>0.10411353473127336</v>
      </c>
      <c r="F158" s="154">
        <f t="shared" si="106"/>
        <v>0.10120110295011987</v>
      </c>
      <c r="G158" s="154">
        <f t="shared" si="106"/>
        <v>8.8945014265098335E-2</v>
      </c>
      <c r="H158" s="154">
        <f t="shared" si="106"/>
        <v>8.9636114582714727E-2</v>
      </c>
      <c r="I158" s="154">
        <f t="shared" si="106"/>
        <v>9.6169278044810125E-2</v>
      </c>
      <c r="J158" s="154">
        <f t="shared" si="106"/>
        <v>9.0458258789611973E-2</v>
      </c>
      <c r="K158" s="154">
        <f t="shared" si="106"/>
        <v>8.0224602628431854E-2</v>
      </c>
      <c r="L158" s="154">
        <f t="shared" ref="L158" si="107">IF(L43=0,0,L43/L$17)</f>
        <v>8.1066548924612278E-2</v>
      </c>
      <c r="M158" s="154">
        <f t="shared" ref="M158:V158" si="108">IF(M43=0,0,M43/M$17)</f>
        <v>8.2779702744413319E-2</v>
      </c>
      <c r="N158" s="154">
        <f t="shared" si="108"/>
        <v>8.3688180540713294E-2</v>
      </c>
      <c r="O158" s="154">
        <f t="shared" si="108"/>
        <v>8.488468176714252E-2</v>
      </c>
      <c r="P158" s="154">
        <f t="shared" si="108"/>
        <v>8.1551373655140522E-2</v>
      </c>
      <c r="Q158" s="154">
        <f t="shared" si="108"/>
        <v>8.1894372867058168E-2</v>
      </c>
      <c r="R158" s="154">
        <f t="shared" si="108"/>
        <v>7.6174193206066915E-2</v>
      </c>
      <c r="S158" s="154">
        <f t="shared" si="108"/>
        <v>7.995915054346453E-2</v>
      </c>
      <c r="T158" s="154">
        <f t="shared" si="108"/>
        <v>7.9525911425947796E-2</v>
      </c>
      <c r="U158" s="154">
        <f t="shared" si="108"/>
        <v>7.9205415731607984E-2</v>
      </c>
      <c r="V158" s="154">
        <f t="shared" si="108"/>
        <v>6.3299625409833998E-2</v>
      </c>
      <c r="W158" s="154">
        <f t="shared" ref="W158:Y158" si="109">IF(W43=0,0,W43/W$17)</f>
        <v>8.026032475945119E-2</v>
      </c>
      <c r="X158" s="154">
        <f t="shared" si="109"/>
        <v>8.3645596017022456E-2</v>
      </c>
      <c r="Y158" s="154">
        <f t="shared" si="109"/>
        <v>8.2927509318052497E-2</v>
      </c>
      <c r="DA158" s="212"/>
    </row>
    <row r="159" spans="1:105" ht="11.45" customHeight="1" x14ac:dyDescent="0.25">
      <c r="A159" s="157" t="s">
        <v>110</v>
      </c>
      <c r="B159" s="103">
        <f t="shared" ref="B159:K159" si="110">IF(B44=0,0,B44/B$17)</f>
        <v>8.6292617097072418E-3</v>
      </c>
      <c r="C159" s="103">
        <f t="shared" si="110"/>
        <v>8.9953967154220941E-3</v>
      </c>
      <c r="D159" s="103">
        <f t="shared" si="110"/>
        <v>6.3305117085053529E-3</v>
      </c>
      <c r="E159" s="103">
        <f t="shared" si="110"/>
        <v>5.3816870065559854E-3</v>
      </c>
      <c r="F159" s="103">
        <f t="shared" si="110"/>
        <v>4.394757001734596E-3</v>
      </c>
      <c r="G159" s="103">
        <f t="shared" si="110"/>
        <v>3.1982523513469515E-3</v>
      </c>
      <c r="H159" s="103">
        <f t="shared" si="110"/>
        <v>2.7058141609557717E-3</v>
      </c>
      <c r="I159" s="103">
        <f t="shared" si="110"/>
        <v>2.349473234045679E-3</v>
      </c>
      <c r="J159" s="103">
        <f t="shared" si="110"/>
        <v>1.9885950425447148E-3</v>
      </c>
      <c r="K159" s="103">
        <f t="shared" si="110"/>
        <v>1.8374788945799017E-3</v>
      </c>
      <c r="L159" s="103">
        <f t="shared" ref="L159" si="111">IF(L44=0,0,L44/L$17)</f>
        <v>1.7825022824913648E-3</v>
      </c>
      <c r="M159" s="103">
        <f t="shared" ref="M159:V159" si="112">IF(M44=0,0,M44/M$17)</f>
        <v>1.864359836230488E-3</v>
      </c>
      <c r="N159" s="103">
        <f t="shared" si="112"/>
        <v>1.9714706228779011E-3</v>
      </c>
      <c r="O159" s="103">
        <f t="shared" si="112"/>
        <v>1.9543932338489662E-3</v>
      </c>
      <c r="P159" s="103">
        <f t="shared" si="112"/>
        <v>1.2906246382280429E-3</v>
      </c>
      <c r="Q159" s="103">
        <f t="shared" si="112"/>
        <v>1.2832194566637397E-3</v>
      </c>
      <c r="R159" s="103">
        <f t="shared" si="112"/>
        <v>1.1188925158980107E-3</v>
      </c>
      <c r="S159" s="103">
        <f t="shared" si="112"/>
        <v>1.2221704580494728E-3</v>
      </c>
      <c r="T159" s="103">
        <f t="shared" si="112"/>
        <v>1.2365309947563847E-3</v>
      </c>
      <c r="U159" s="103">
        <f t="shared" si="112"/>
        <v>1.2943320930538073E-3</v>
      </c>
      <c r="V159" s="103">
        <f t="shared" si="112"/>
        <v>9.7604568341923183E-4</v>
      </c>
      <c r="W159" s="103">
        <f t="shared" ref="W159:Y159" si="113">IF(W44=0,0,W44/W$17)</f>
        <v>1.3203715531180861E-3</v>
      </c>
      <c r="X159" s="103">
        <f t="shared" si="113"/>
        <v>1.3031777308767211E-3</v>
      </c>
      <c r="Y159" s="103">
        <f t="shared" si="113"/>
        <v>1.0559170429094984E-3</v>
      </c>
      <c r="DA159" s="191"/>
    </row>
    <row r="160" spans="1:105" ht="11.45" customHeight="1" x14ac:dyDescent="0.25">
      <c r="A160" s="157" t="s">
        <v>111</v>
      </c>
      <c r="B160" s="103">
        <f t="shared" ref="B160:K160" si="114">IF(B46=0,0,B46/B$17)</f>
        <v>9.6026946531332424E-2</v>
      </c>
      <c r="C160" s="103">
        <f t="shared" si="114"/>
        <v>0.10969727538845626</v>
      </c>
      <c r="D160" s="103">
        <f t="shared" si="114"/>
        <v>9.7501572039799464E-2</v>
      </c>
      <c r="E160" s="103">
        <f t="shared" si="114"/>
        <v>9.8731847724717367E-2</v>
      </c>
      <c r="F160" s="103">
        <f t="shared" si="114"/>
        <v>9.6806345948385275E-2</v>
      </c>
      <c r="G160" s="103">
        <f t="shared" si="114"/>
        <v>8.5746761913751385E-2</v>
      </c>
      <c r="H160" s="103">
        <f t="shared" si="114"/>
        <v>8.6930300421758963E-2</v>
      </c>
      <c r="I160" s="103">
        <f t="shared" si="114"/>
        <v>9.3819804810764448E-2</v>
      </c>
      <c r="J160" s="103">
        <f t="shared" si="114"/>
        <v>8.8469663747067259E-2</v>
      </c>
      <c r="K160" s="103">
        <f t="shared" si="114"/>
        <v>7.8387123733851954E-2</v>
      </c>
      <c r="L160" s="103">
        <f t="shared" ref="L160" si="115">IF(L46=0,0,L46/L$17)</f>
        <v>7.9284046642120909E-2</v>
      </c>
      <c r="M160" s="103">
        <f t="shared" ref="M160:V160" si="116">IF(M46=0,0,M46/M$17)</f>
        <v>8.091523876410571E-2</v>
      </c>
      <c r="N160" s="103">
        <f t="shared" si="116"/>
        <v>8.1714758659069159E-2</v>
      </c>
      <c r="O160" s="103">
        <f t="shared" si="116"/>
        <v>8.2923064542119992E-2</v>
      </c>
      <c r="P160" s="103">
        <f t="shared" si="116"/>
        <v>8.0236998249456501E-2</v>
      </c>
      <c r="Q160" s="103">
        <f t="shared" si="116"/>
        <v>8.0556555593442922E-2</v>
      </c>
      <c r="R160" s="103">
        <f t="shared" si="116"/>
        <v>7.4984773972710556E-2</v>
      </c>
      <c r="S160" s="103">
        <f t="shared" si="116"/>
        <v>7.8632346897009223E-2</v>
      </c>
      <c r="T160" s="103">
        <f t="shared" si="116"/>
        <v>7.8107483591746948E-2</v>
      </c>
      <c r="U160" s="103">
        <f t="shared" si="116"/>
        <v>7.7560280134052015E-2</v>
      </c>
      <c r="V160" s="103">
        <f t="shared" si="116"/>
        <v>6.1949488161219056E-2</v>
      </c>
      <c r="W160" s="103">
        <f t="shared" ref="W160:Y160" si="117">IF(W46=0,0,W46/W$17)</f>
        <v>7.8334966044396756E-2</v>
      </c>
      <c r="X160" s="103">
        <f t="shared" si="117"/>
        <v>8.167667913607965E-2</v>
      </c>
      <c r="Y160" s="103">
        <f t="shared" si="117"/>
        <v>8.1144629766965293E-2</v>
      </c>
      <c r="DA160" s="191"/>
    </row>
    <row r="161" spans="1:105" ht="11.45" customHeight="1" x14ac:dyDescent="0.25">
      <c r="A161" s="157" t="s">
        <v>112</v>
      </c>
      <c r="B161" s="103">
        <f t="shared" ref="B161:K161" si="118">IF(B48=0,0,B48/B$17)</f>
        <v>0</v>
      </c>
      <c r="C161" s="103">
        <f t="shared" si="118"/>
        <v>0</v>
      </c>
      <c r="D161" s="103">
        <f t="shared" si="118"/>
        <v>0</v>
      </c>
      <c r="E161" s="103">
        <f t="shared" si="118"/>
        <v>0</v>
      </c>
      <c r="F161" s="103">
        <f t="shared" si="118"/>
        <v>0</v>
      </c>
      <c r="G161" s="103">
        <f t="shared" si="118"/>
        <v>0</v>
      </c>
      <c r="H161" s="103">
        <f t="shared" si="118"/>
        <v>0</v>
      </c>
      <c r="I161" s="103">
        <f t="shared" si="118"/>
        <v>0</v>
      </c>
      <c r="J161" s="103">
        <f t="shared" si="118"/>
        <v>0</v>
      </c>
      <c r="K161" s="103">
        <f t="shared" si="118"/>
        <v>0</v>
      </c>
      <c r="L161" s="103">
        <f t="shared" ref="L161" si="119">IF(L48=0,0,L48/L$17)</f>
        <v>0</v>
      </c>
      <c r="M161" s="103">
        <f t="shared" ref="M161:V161" si="120">IF(M48=0,0,M48/M$17)</f>
        <v>0</v>
      </c>
      <c r="N161" s="103">
        <f t="shared" si="120"/>
        <v>0</v>
      </c>
      <c r="O161" s="103">
        <f t="shared" si="120"/>
        <v>1.059016873472072E-7</v>
      </c>
      <c r="P161" s="103">
        <f t="shared" si="120"/>
        <v>8.077475329303225E-6</v>
      </c>
      <c r="Q161" s="103">
        <f t="shared" si="120"/>
        <v>1.9184020269526978E-5</v>
      </c>
      <c r="R161" s="103">
        <f t="shared" si="120"/>
        <v>3.0460154339171302E-5</v>
      </c>
      <c r="S161" s="103">
        <f t="shared" si="120"/>
        <v>4.762308852149956E-5</v>
      </c>
      <c r="T161" s="103">
        <f t="shared" si="120"/>
        <v>9.1865118423831819E-5</v>
      </c>
      <c r="U161" s="103">
        <f t="shared" si="120"/>
        <v>2.0146640908704435E-4</v>
      </c>
      <c r="V161" s="103">
        <f t="shared" si="120"/>
        <v>2.0220911478655761E-4</v>
      </c>
      <c r="W161" s="103">
        <f t="shared" ref="W161:Y161" si="121">IF(W48=0,0,W48/W$17)</f>
        <v>3.4148550013567001E-4</v>
      </c>
      <c r="X161" s="103">
        <f t="shared" si="121"/>
        <v>3.7290358760723615E-4</v>
      </c>
      <c r="Y161" s="103">
        <f t="shared" si="121"/>
        <v>3.8314194941679332E-4</v>
      </c>
      <c r="DA161" s="191"/>
    </row>
    <row r="162" spans="1:105" ht="11.45" customHeight="1" x14ac:dyDescent="0.25">
      <c r="A162" s="157" t="s">
        <v>113</v>
      </c>
      <c r="B162" s="103">
        <f t="shared" ref="B162:K162" si="122">IF(B49=0,0,B49/B$17)</f>
        <v>0</v>
      </c>
      <c r="C162" s="103">
        <f t="shared" si="122"/>
        <v>0</v>
      </c>
      <c r="D162" s="103">
        <f t="shared" si="122"/>
        <v>0</v>
      </c>
      <c r="E162" s="103">
        <f t="shared" si="122"/>
        <v>0</v>
      </c>
      <c r="F162" s="103">
        <f t="shared" si="122"/>
        <v>0</v>
      </c>
      <c r="G162" s="103">
        <f t="shared" si="122"/>
        <v>0</v>
      </c>
      <c r="H162" s="103">
        <f t="shared" si="122"/>
        <v>0</v>
      </c>
      <c r="I162" s="103">
        <f t="shared" si="122"/>
        <v>0</v>
      </c>
      <c r="J162" s="103">
        <f t="shared" si="122"/>
        <v>0</v>
      </c>
      <c r="K162" s="103">
        <f t="shared" si="122"/>
        <v>0</v>
      </c>
      <c r="L162" s="103">
        <f t="shared" ref="L162" si="123">IF(L49=0,0,L49/L$17)</f>
        <v>0</v>
      </c>
      <c r="M162" s="103">
        <f t="shared" ref="M162:V162" si="124">IF(M49=0,0,M49/M$17)</f>
        <v>0</v>
      </c>
      <c r="N162" s="103">
        <f t="shared" si="124"/>
        <v>9.043363891529798E-7</v>
      </c>
      <c r="O162" s="103">
        <f t="shared" si="124"/>
        <v>6.4967339790384897E-6</v>
      </c>
      <c r="P162" s="103">
        <f t="shared" si="124"/>
        <v>8.4272041519045803E-6</v>
      </c>
      <c r="Q162" s="103">
        <f t="shared" si="124"/>
        <v>2.5083794219185068E-5</v>
      </c>
      <c r="R162" s="103">
        <f t="shared" si="124"/>
        <v>2.9209027779207741E-5</v>
      </c>
      <c r="S162" s="103">
        <f t="shared" si="124"/>
        <v>4.1970767541120565E-5</v>
      </c>
      <c r="T162" s="103">
        <f t="shared" si="124"/>
        <v>6.5219125763566255E-5</v>
      </c>
      <c r="U162" s="103">
        <f t="shared" si="124"/>
        <v>1.1547771041141526E-4</v>
      </c>
      <c r="V162" s="103">
        <f t="shared" si="124"/>
        <v>1.3210426056444108E-4</v>
      </c>
      <c r="W162" s="103">
        <f t="shared" ref="W162:Y162" si="125">IF(W49=0,0,W49/W$17)</f>
        <v>1.970991329386567E-4</v>
      </c>
      <c r="X162" s="103">
        <f t="shared" si="125"/>
        <v>2.0651657566700106E-4</v>
      </c>
      <c r="Y162" s="103">
        <f t="shared" si="125"/>
        <v>2.0139947726944218E-4</v>
      </c>
      <c r="DA162" s="191"/>
    </row>
    <row r="163" spans="1:105" ht="11.45" customHeight="1" x14ac:dyDescent="0.25">
      <c r="A163" s="157" t="s">
        <v>115</v>
      </c>
      <c r="B163" s="103">
        <f t="shared" ref="B163:K163" si="126">IF(B51=0,0,B51/B$17)</f>
        <v>0</v>
      </c>
      <c r="C163" s="103">
        <f t="shared" si="126"/>
        <v>0</v>
      </c>
      <c r="D163" s="103">
        <f t="shared" si="126"/>
        <v>0</v>
      </c>
      <c r="E163" s="103">
        <f t="shared" si="126"/>
        <v>0</v>
      </c>
      <c r="F163" s="103">
        <f t="shared" si="126"/>
        <v>0</v>
      </c>
      <c r="G163" s="103">
        <f t="shared" si="126"/>
        <v>0</v>
      </c>
      <c r="H163" s="103">
        <f t="shared" si="126"/>
        <v>0</v>
      </c>
      <c r="I163" s="103">
        <f t="shared" si="126"/>
        <v>0</v>
      </c>
      <c r="J163" s="103">
        <f t="shared" si="126"/>
        <v>0</v>
      </c>
      <c r="K163" s="103">
        <f t="shared" si="126"/>
        <v>0</v>
      </c>
      <c r="L163" s="103">
        <f t="shared" ref="L163" si="127">IF(L51=0,0,L51/L$17)</f>
        <v>0</v>
      </c>
      <c r="M163" s="103">
        <f t="shared" ref="M163:V163" si="128">IF(M51=0,0,M51/M$17)</f>
        <v>1.0414407712305602E-7</v>
      </c>
      <c r="N163" s="103">
        <f t="shared" si="128"/>
        <v>1.0469223770865509E-6</v>
      </c>
      <c r="O163" s="103">
        <f t="shared" si="128"/>
        <v>6.2135550717334186E-7</v>
      </c>
      <c r="P163" s="103">
        <f t="shared" si="128"/>
        <v>7.2460879747767578E-6</v>
      </c>
      <c r="Q163" s="103">
        <f t="shared" si="128"/>
        <v>1.0330002462793998E-5</v>
      </c>
      <c r="R163" s="103">
        <f t="shared" si="128"/>
        <v>1.085753533995723E-5</v>
      </c>
      <c r="S163" s="103">
        <f t="shared" si="128"/>
        <v>1.5039332343208076E-5</v>
      </c>
      <c r="T163" s="103">
        <f t="shared" si="128"/>
        <v>2.4812595257061255E-5</v>
      </c>
      <c r="U163" s="103">
        <f t="shared" si="128"/>
        <v>3.3859385003708502E-5</v>
      </c>
      <c r="V163" s="103">
        <f t="shared" si="128"/>
        <v>3.9778189844708202E-5</v>
      </c>
      <c r="W163" s="103">
        <f t="shared" ref="W163:Y163" si="129">IF(W51=0,0,W51/W$17)</f>
        <v>6.640252886202605E-5</v>
      </c>
      <c r="X163" s="103">
        <f t="shared" si="129"/>
        <v>8.6318986791823028E-5</v>
      </c>
      <c r="Y163" s="103">
        <f t="shared" si="129"/>
        <v>1.4242108149145909E-4</v>
      </c>
      <c r="DA163" s="191"/>
    </row>
    <row r="164" spans="1:105" ht="11.45" customHeight="1" x14ac:dyDescent="0.25">
      <c r="A164" s="155" t="s">
        <v>154</v>
      </c>
      <c r="B164" s="156">
        <f t="shared" ref="B164:K164" si="130">IF(B52=0,0,B52/B$17)</f>
        <v>0.24296265083442029</v>
      </c>
      <c r="C164" s="156">
        <f t="shared" si="130"/>
        <v>0.24403571674782518</v>
      </c>
      <c r="D164" s="156">
        <f t="shared" si="130"/>
        <v>0.25065923259706796</v>
      </c>
      <c r="E164" s="156">
        <f t="shared" si="130"/>
        <v>0.25339084378772259</v>
      </c>
      <c r="F164" s="156">
        <f t="shared" si="130"/>
        <v>0.26284395078082112</v>
      </c>
      <c r="G164" s="156">
        <f t="shared" si="130"/>
        <v>0.26607684874784565</v>
      </c>
      <c r="H164" s="156">
        <f t="shared" si="130"/>
        <v>0.26245264111612487</v>
      </c>
      <c r="I164" s="156">
        <f t="shared" si="130"/>
        <v>0.26092070548991064</v>
      </c>
      <c r="J164" s="156">
        <f t="shared" si="130"/>
        <v>0.25291602254367618</v>
      </c>
      <c r="K164" s="156">
        <f t="shared" si="130"/>
        <v>0.23282009746245558</v>
      </c>
      <c r="L164" s="156">
        <f t="shared" ref="L164" si="131">IF(L52=0,0,L52/L$17)</f>
        <v>0.23046258676653181</v>
      </c>
      <c r="M164" s="156">
        <f t="shared" ref="M164:V164" si="132">IF(M52=0,0,M52/M$17)</f>
        <v>0.22306292548846515</v>
      </c>
      <c r="N164" s="156">
        <f t="shared" si="132"/>
        <v>0.20705677234388387</v>
      </c>
      <c r="O164" s="156">
        <f t="shared" si="132"/>
        <v>0.20345045437200945</v>
      </c>
      <c r="P164" s="156">
        <f t="shared" si="132"/>
        <v>0.20680512893794778</v>
      </c>
      <c r="Q164" s="156">
        <f t="shared" si="132"/>
        <v>0.21250721394902392</v>
      </c>
      <c r="R164" s="156">
        <f t="shared" si="132"/>
        <v>0.23669133027016998</v>
      </c>
      <c r="S164" s="156">
        <f t="shared" si="132"/>
        <v>0.23964841246590049</v>
      </c>
      <c r="T164" s="156">
        <f t="shared" si="132"/>
        <v>0.24410314705286018</v>
      </c>
      <c r="U164" s="156">
        <f t="shared" si="132"/>
        <v>0.2301117998959446</v>
      </c>
      <c r="V164" s="156">
        <f t="shared" si="132"/>
        <v>0.25890430237957296</v>
      </c>
      <c r="W164" s="156">
        <f t="shared" ref="W164:Y164" si="133">IF(W52=0,0,W52/W$17)</f>
        <v>0.23394232951429356</v>
      </c>
      <c r="X164" s="156">
        <f t="shared" si="133"/>
        <v>0.22800109716193534</v>
      </c>
      <c r="Y164" s="156">
        <f t="shared" si="133"/>
        <v>0.21604394510526437</v>
      </c>
      <c r="DA164" s="213"/>
    </row>
    <row r="165" spans="1:105" ht="11.45" customHeight="1" x14ac:dyDescent="0.25">
      <c r="A165" s="162" t="s">
        <v>27</v>
      </c>
      <c r="B165" s="104">
        <f t="shared" ref="B165:K165" si="134">IF(B53=0,0,B53/B$17)</f>
        <v>0.19634327273364152</v>
      </c>
      <c r="C165" s="104">
        <f t="shared" si="134"/>
        <v>0.19787544719922376</v>
      </c>
      <c r="D165" s="104">
        <f t="shared" si="134"/>
        <v>0.20636223331110332</v>
      </c>
      <c r="E165" s="104">
        <f t="shared" si="134"/>
        <v>0.2101233244746317</v>
      </c>
      <c r="F165" s="104">
        <f t="shared" si="134"/>
        <v>0.21612246013708045</v>
      </c>
      <c r="G165" s="104">
        <f t="shared" si="134"/>
        <v>0.21995970465172604</v>
      </c>
      <c r="H165" s="104">
        <f t="shared" si="134"/>
        <v>0.2179626130969092</v>
      </c>
      <c r="I165" s="104">
        <f t="shared" si="134"/>
        <v>0.21856930522874576</v>
      </c>
      <c r="J165" s="104">
        <f t="shared" si="134"/>
        <v>0.21173177199658244</v>
      </c>
      <c r="K165" s="104">
        <f t="shared" si="134"/>
        <v>0.19326137150033976</v>
      </c>
      <c r="L165" s="104">
        <f t="shared" ref="L165" si="135">IF(L53=0,0,L53/L$17)</f>
        <v>0.19069357214871774</v>
      </c>
      <c r="M165" s="104">
        <f t="shared" ref="M165:V165" si="136">IF(M53=0,0,M53/M$17)</f>
        <v>0.18403623526243171</v>
      </c>
      <c r="N165" s="104">
        <f t="shared" si="136"/>
        <v>0.16976992304456909</v>
      </c>
      <c r="O165" s="104">
        <f t="shared" si="136"/>
        <v>0.16237665010527472</v>
      </c>
      <c r="P165" s="104">
        <f t="shared" si="136"/>
        <v>0.16616534045882089</v>
      </c>
      <c r="Q165" s="104">
        <f t="shared" si="136"/>
        <v>0.17086875723040598</v>
      </c>
      <c r="R165" s="104">
        <f t="shared" si="136"/>
        <v>0.19061233560358187</v>
      </c>
      <c r="S165" s="104">
        <f t="shared" si="136"/>
        <v>0.19335420174078735</v>
      </c>
      <c r="T165" s="104">
        <f t="shared" si="136"/>
        <v>0.19587293124399766</v>
      </c>
      <c r="U165" s="104">
        <f t="shared" si="136"/>
        <v>0.18427787661801848</v>
      </c>
      <c r="V165" s="104">
        <f t="shared" si="136"/>
        <v>0.20825222258263942</v>
      </c>
      <c r="W165" s="104">
        <f t="shared" ref="W165:Y165" si="137">IF(W53=0,0,W53/W$17)</f>
        <v>0.18788566080915134</v>
      </c>
      <c r="X165" s="104">
        <f t="shared" si="137"/>
        <v>0.18111662127229169</v>
      </c>
      <c r="Y165" s="104">
        <f t="shared" si="137"/>
        <v>0.17332002289571388</v>
      </c>
      <c r="DA165" s="195"/>
    </row>
    <row r="166" spans="1:105" ht="11.45" customHeight="1" x14ac:dyDescent="0.25">
      <c r="A166" s="158" t="s">
        <v>116</v>
      </c>
      <c r="B166" s="105">
        <f t="shared" ref="B166:K166" si="138">IF(B55=0,0,B55/B$17)</f>
        <v>4.6619378100778777E-2</v>
      </c>
      <c r="C166" s="105">
        <f t="shared" si="138"/>
        <v>4.6160269548601439E-2</v>
      </c>
      <c r="D166" s="105">
        <f t="shared" si="138"/>
        <v>4.4296999285964631E-2</v>
      </c>
      <c r="E166" s="105">
        <f t="shared" si="138"/>
        <v>4.3267519313090898E-2</v>
      </c>
      <c r="F166" s="105">
        <f t="shared" si="138"/>
        <v>4.6721490643740642E-2</v>
      </c>
      <c r="G166" s="105">
        <f t="shared" si="138"/>
        <v>4.6117144096119632E-2</v>
      </c>
      <c r="H166" s="105">
        <f t="shared" si="138"/>
        <v>4.4490028019215658E-2</v>
      </c>
      <c r="I166" s="105">
        <f t="shared" si="138"/>
        <v>4.2351400261164893E-2</v>
      </c>
      <c r="J166" s="105">
        <f t="shared" si="138"/>
        <v>4.1184250547093758E-2</v>
      </c>
      <c r="K166" s="105">
        <f t="shared" si="138"/>
        <v>3.9558725962115814E-2</v>
      </c>
      <c r="L166" s="105">
        <f t="shared" ref="L166" si="139">IF(L55=0,0,L55/L$17)</f>
        <v>3.9769014617814083E-2</v>
      </c>
      <c r="M166" s="105">
        <f t="shared" ref="M166:V166" si="140">IF(M55=0,0,M55/M$17)</f>
        <v>3.9026690226033424E-2</v>
      </c>
      <c r="N166" s="105">
        <f t="shared" si="140"/>
        <v>3.7286849299314744E-2</v>
      </c>
      <c r="O166" s="105">
        <f t="shared" si="140"/>
        <v>4.1073804266734723E-2</v>
      </c>
      <c r="P166" s="105">
        <f t="shared" si="140"/>
        <v>4.0639788479126901E-2</v>
      </c>
      <c r="Q166" s="105">
        <f t="shared" si="140"/>
        <v>4.1638456718617926E-2</v>
      </c>
      <c r="R166" s="105">
        <f t="shared" si="140"/>
        <v>4.6078994666588095E-2</v>
      </c>
      <c r="S166" s="105">
        <f t="shared" si="140"/>
        <v>4.6294210725113152E-2</v>
      </c>
      <c r="T166" s="105">
        <f t="shared" si="140"/>
        <v>4.8230215808862505E-2</v>
      </c>
      <c r="U166" s="105">
        <f t="shared" si="140"/>
        <v>4.5833923277926118E-2</v>
      </c>
      <c r="V166" s="105">
        <f t="shared" si="140"/>
        <v>5.0652079796933529E-2</v>
      </c>
      <c r="W166" s="105">
        <f t="shared" ref="W166:Y166" si="141">IF(W55=0,0,W55/W$17)</f>
        <v>4.6056668705142224E-2</v>
      </c>
      <c r="X166" s="105">
        <f t="shared" si="141"/>
        <v>4.6884475889643625E-2</v>
      </c>
      <c r="Y166" s="105">
        <f t="shared" si="141"/>
        <v>4.2723922209550486E-2</v>
      </c>
      <c r="DA166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pageSetUpPr fitToPage="1"/>
  </sheetPr>
  <dimension ref="A1:DA160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739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DA2" s="171"/>
    </row>
    <row r="3" spans="1:105" ht="11.45" customHeight="1" x14ac:dyDescent="0.25">
      <c r="A3" s="53" t="s">
        <v>44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X3" s="132"/>
      <c r="Y3" s="132"/>
      <c r="DA3" s="172"/>
    </row>
    <row r="4" spans="1:105" ht="11.45" customHeight="1" x14ac:dyDescent="0.25">
      <c r="A4" s="133" t="s">
        <v>45</v>
      </c>
      <c r="B4" s="146">
        <f t="shared" ref="B4:K4" si="0">B5+B9+B10+B15</f>
        <v>79832.886974639972</v>
      </c>
      <c r="C4" s="146">
        <f t="shared" si="0"/>
        <v>83898.636450479971</v>
      </c>
      <c r="D4" s="146">
        <f t="shared" si="0"/>
        <v>86028.992519759995</v>
      </c>
      <c r="E4" s="146">
        <f t="shared" si="0"/>
        <v>90125.517361680002</v>
      </c>
      <c r="F4" s="146">
        <f t="shared" si="0"/>
        <v>93587.165782559983</v>
      </c>
      <c r="G4" s="146">
        <f t="shared" si="0"/>
        <v>96450.004223640019</v>
      </c>
      <c r="H4" s="146">
        <f t="shared" si="0"/>
        <v>99666.604821960005</v>
      </c>
      <c r="I4" s="146">
        <f t="shared" si="0"/>
        <v>102656.95473239999</v>
      </c>
      <c r="J4" s="146">
        <f t="shared" si="0"/>
        <v>97176.075003359991</v>
      </c>
      <c r="K4" s="146">
        <f t="shared" si="0"/>
        <v>90370.376389800018</v>
      </c>
      <c r="L4" s="146">
        <f t="shared" ref="L4" si="1">L5+L9+L10+L15</f>
        <v>86795.351423640022</v>
      </c>
      <c r="M4" s="146">
        <f t="shared" ref="M4:V4" si="2">M5+M9+M10+M15</f>
        <v>82085.52217428002</v>
      </c>
      <c r="N4" s="146">
        <f t="shared" si="2"/>
        <v>73274.916092760002</v>
      </c>
      <c r="O4" s="146">
        <f t="shared" si="2"/>
        <v>75699.323454599988</v>
      </c>
      <c r="P4" s="146">
        <f t="shared" si="2"/>
        <v>76439.965863600009</v>
      </c>
      <c r="Q4" s="146">
        <f t="shared" si="2"/>
        <v>78734.870484480009</v>
      </c>
      <c r="R4" s="146">
        <f t="shared" si="2"/>
        <v>80927.144364960011</v>
      </c>
      <c r="S4" s="146">
        <f t="shared" si="2"/>
        <v>82239.729051713293</v>
      </c>
      <c r="T4" s="146">
        <f t="shared" si="2"/>
        <v>82939.717098485489</v>
      </c>
      <c r="U4" s="146">
        <f t="shared" si="2"/>
        <v>83732.113032010209</v>
      </c>
      <c r="V4" s="146">
        <f t="shared" si="2"/>
        <v>68802.201367983493</v>
      </c>
      <c r="W4" s="146">
        <f t="shared" ref="W4:Y4" si="3">W5+W9+W10+W15</f>
        <v>79221.568977550065</v>
      </c>
      <c r="X4" s="146">
        <f t="shared" si="3"/>
        <v>82359.652612808495</v>
      </c>
      <c r="Y4" s="146">
        <f t="shared" si="3"/>
        <v>79967.319983414869</v>
      </c>
      <c r="DA4" s="206" t="s">
        <v>740</v>
      </c>
    </row>
    <row r="5" spans="1:105" ht="11.45" customHeight="1" x14ac:dyDescent="0.25">
      <c r="A5" s="92" t="s">
        <v>46</v>
      </c>
      <c r="B5" s="101">
        <f t="shared" ref="B5:K5" si="4">SUM(B6:B8)</f>
        <v>79817.134296599979</v>
      </c>
      <c r="C5" s="101">
        <f t="shared" si="4"/>
        <v>83875.714192439977</v>
      </c>
      <c r="D5" s="101">
        <f t="shared" si="4"/>
        <v>85998.193821719993</v>
      </c>
      <c r="E5" s="101">
        <f t="shared" si="4"/>
        <v>90088.306635600005</v>
      </c>
      <c r="F5" s="101">
        <f t="shared" si="4"/>
        <v>93541.371756479988</v>
      </c>
      <c r="G5" s="101">
        <f t="shared" si="4"/>
        <v>96395.576407560016</v>
      </c>
      <c r="H5" s="101">
        <f t="shared" si="4"/>
        <v>99602.18018784</v>
      </c>
      <c r="I5" s="101">
        <f t="shared" si="4"/>
        <v>102563.90247023999</v>
      </c>
      <c r="J5" s="101">
        <f t="shared" si="4"/>
        <v>97079.99192747999</v>
      </c>
      <c r="K5" s="101">
        <f t="shared" si="4"/>
        <v>90256.875475680019</v>
      </c>
      <c r="L5" s="101">
        <f t="shared" ref="L5" si="5">SUM(L6:L8)</f>
        <v>86651.202877560019</v>
      </c>
      <c r="M5" s="101">
        <f t="shared" ref="M5:V5" si="6">SUM(M6:M8)</f>
        <v>81930.315914280014</v>
      </c>
      <c r="N5" s="101">
        <f t="shared" si="6"/>
        <v>73108.802175119999</v>
      </c>
      <c r="O5" s="101">
        <f t="shared" si="6"/>
        <v>75519.174124799989</v>
      </c>
      <c r="P5" s="101">
        <f t="shared" si="6"/>
        <v>76246.031148120004</v>
      </c>
      <c r="Q5" s="101">
        <f t="shared" si="6"/>
        <v>78529.273588800002</v>
      </c>
      <c r="R5" s="101">
        <f t="shared" si="6"/>
        <v>80672.470785360012</v>
      </c>
      <c r="S5" s="101">
        <f t="shared" si="6"/>
        <v>81941.157732599997</v>
      </c>
      <c r="T5" s="101">
        <f t="shared" si="6"/>
        <v>82642.968283320006</v>
      </c>
      <c r="U5" s="101">
        <f t="shared" si="6"/>
        <v>83359.945928519999</v>
      </c>
      <c r="V5" s="101">
        <f t="shared" si="6"/>
        <v>68403.90556223999</v>
      </c>
      <c r="W5" s="101">
        <f t="shared" ref="W5:Y5" si="7">SUM(W6:W8)</f>
        <v>78705.851679360014</v>
      </c>
      <c r="X5" s="101">
        <f t="shared" si="7"/>
        <v>81781.881103080013</v>
      </c>
      <c r="Y5" s="101">
        <f t="shared" si="7"/>
        <v>79305.838417440013</v>
      </c>
      <c r="DA5" s="175"/>
    </row>
    <row r="6" spans="1:105" ht="11.45" customHeight="1" x14ac:dyDescent="0.25">
      <c r="A6" s="128" t="s">
        <v>52</v>
      </c>
      <c r="B6" s="101">
        <v>223.84732572000001</v>
      </c>
      <c r="C6" s="101">
        <v>214.89336</v>
      </c>
      <c r="D6" s="101">
        <v>214.89336</v>
      </c>
      <c r="E6" s="101">
        <v>211.90870476000003</v>
      </c>
      <c r="F6" s="101">
        <v>217.87801524000002</v>
      </c>
      <c r="G6" s="101">
        <v>134.30835000000002</v>
      </c>
      <c r="H6" s="101">
        <v>122.36972904</v>
      </c>
      <c r="I6" s="101">
        <v>119.38530096000001</v>
      </c>
      <c r="J6" s="101">
        <v>38.800290960000019</v>
      </c>
      <c r="K6" s="101">
        <v>47.754029520000003</v>
      </c>
      <c r="L6" s="101">
        <v>56.707995239999995</v>
      </c>
      <c r="M6" s="101">
        <v>62.677305719999993</v>
      </c>
      <c r="N6" s="101">
        <v>77.600354760000002</v>
      </c>
      <c r="O6" s="101">
        <v>92.52363096000002</v>
      </c>
      <c r="P6" s="101">
        <v>104.46202476000001</v>
      </c>
      <c r="Q6" s="101">
        <v>128.33903952000003</v>
      </c>
      <c r="R6" s="101">
        <v>140.27766048000001</v>
      </c>
      <c r="S6" s="101">
        <v>152.21605428000001</v>
      </c>
      <c r="T6" s="101">
        <v>185.04703476</v>
      </c>
      <c r="U6" s="101">
        <v>256.67807904</v>
      </c>
      <c r="V6" s="101">
        <v>196.98565572000004</v>
      </c>
      <c r="W6" s="101">
        <v>248.26452696000001</v>
      </c>
      <c r="X6" s="101">
        <v>320.81488776000003</v>
      </c>
      <c r="Y6" s="101">
        <v>337.49002187999992</v>
      </c>
      <c r="DA6" s="175" t="s">
        <v>741</v>
      </c>
    </row>
    <row r="7" spans="1:105" ht="11.45" customHeight="1" x14ac:dyDescent="0.25">
      <c r="A7" s="128" t="s">
        <v>53</v>
      </c>
      <c r="B7" s="101">
        <v>26168.594870879999</v>
      </c>
      <c r="C7" s="101">
        <v>26036.585273159999</v>
      </c>
      <c r="D7" s="101">
        <v>24848.499143159999</v>
      </c>
      <c r="E7" s="101">
        <v>24209.941112279997</v>
      </c>
      <c r="F7" s="101">
        <v>23129.30477088</v>
      </c>
      <c r="G7" s="101">
        <v>22288.12731684</v>
      </c>
      <c r="H7" s="101">
        <v>21268.890747720001</v>
      </c>
      <c r="I7" s="101">
        <v>20473.763310000002</v>
      </c>
      <c r="J7" s="101">
        <v>18858.94862544</v>
      </c>
      <c r="K7" s="101">
        <v>17698.49240544</v>
      </c>
      <c r="L7" s="101">
        <v>16304.717000879999</v>
      </c>
      <c r="M7" s="101">
        <v>15168.820589999999</v>
      </c>
      <c r="N7" s="101">
        <v>13676.80545</v>
      </c>
      <c r="O7" s="101">
        <v>13357.526434560001</v>
      </c>
      <c r="P7" s="101">
        <v>13157.977112279999</v>
      </c>
      <c r="Q7" s="101">
        <v>13234.726890000004</v>
      </c>
      <c r="R7" s="101">
        <v>13833.375106320002</v>
      </c>
      <c r="S7" s="101">
        <v>14134.234015439999</v>
      </c>
      <c r="T7" s="101">
        <v>14726.742029999998</v>
      </c>
      <c r="U7" s="101">
        <v>15690.718779119999</v>
      </c>
      <c r="V7" s="101">
        <v>12421.179595440004</v>
      </c>
      <c r="W7" s="101">
        <v>15309.83690604</v>
      </c>
      <c r="X7" s="101">
        <v>16894.453407479999</v>
      </c>
      <c r="Y7" s="101">
        <v>17670.111385679997</v>
      </c>
      <c r="DA7" s="175" t="s">
        <v>742</v>
      </c>
    </row>
    <row r="8" spans="1:105" ht="11.45" customHeight="1" x14ac:dyDescent="0.25">
      <c r="A8" s="128" t="s">
        <v>54</v>
      </c>
      <c r="B8" s="101">
        <v>53424.692099999986</v>
      </c>
      <c r="C8" s="101">
        <v>57624.235559279987</v>
      </c>
      <c r="D8" s="101">
        <v>60934.801318559992</v>
      </c>
      <c r="E8" s="101">
        <v>65666.456818560007</v>
      </c>
      <c r="F8" s="101">
        <v>70194.188970359988</v>
      </c>
      <c r="G8" s="101">
        <v>73973.140740720017</v>
      </c>
      <c r="H8" s="101">
        <v>78210.919711080001</v>
      </c>
      <c r="I8" s="101">
        <v>81970.753859279997</v>
      </c>
      <c r="J8" s="101">
        <v>78182.243011079991</v>
      </c>
      <c r="K8" s="101">
        <v>72510.629040720014</v>
      </c>
      <c r="L8" s="101">
        <v>70289.777881440023</v>
      </c>
      <c r="M8" s="101">
        <v>66698.818018560021</v>
      </c>
      <c r="N8" s="101">
        <v>59354.396370360002</v>
      </c>
      <c r="O8" s="101">
        <v>62069.124059279995</v>
      </c>
      <c r="P8" s="101">
        <v>62983.592011080007</v>
      </c>
      <c r="Q8" s="101">
        <v>65166.20765928</v>
      </c>
      <c r="R8" s="101">
        <v>66698.818018560007</v>
      </c>
      <c r="S8" s="101">
        <v>67654.707662879999</v>
      </c>
      <c r="T8" s="101">
        <v>67731.179218560006</v>
      </c>
      <c r="U8" s="101">
        <v>67412.549070359993</v>
      </c>
      <c r="V8" s="101">
        <v>55785.740311079986</v>
      </c>
      <c r="W8" s="101">
        <v>63147.750246360018</v>
      </c>
      <c r="X8" s="101">
        <v>64566.612807840014</v>
      </c>
      <c r="Y8" s="101">
        <v>61298.237009880009</v>
      </c>
      <c r="DA8" s="175" t="s">
        <v>743</v>
      </c>
    </row>
    <row r="9" spans="1:105" ht="11.45" customHeight="1" x14ac:dyDescent="0.25">
      <c r="A9" s="92" t="s">
        <v>55</v>
      </c>
      <c r="B9" s="101">
        <v>15.752678040000001</v>
      </c>
      <c r="C9" s="101">
        <v>22.922258039999999</v>
      </c>
      <c r="D9" s="101">
        <v>30.798698040000001</v>
      </c>
      <c r="E9" s="101">
        <v>37.210726079999993</v>
      </c>
      <c r="F9" s="101">
        <v>45.794026080000002</v>
      </c>
      <c r="G9" s="101">
        <v>54.427816079999992</v>
      </c>
      <c r="H9" s="101">
        <v>64.424634120000022</v>
      </c>
      <c r="I9" s="101">
        <v>93.052262159999998</v>
      </c>
      <c r="J9" s="101">
        <v>96.083075879999996</v>
      </c>
      <c r="K9" s="101">
        <v>113.50091411999999</v>
      </c>
      <c r="L9" s="101">
        <v>144.14854608000002</v>
      </c>
      <c r="M9" s="101">
        <v>155.20625999999999</v>
      </c>
      <c r="N9" s="101">
        <v>166.11391764000001</v>
      </c>
      <c r="O9" s="101">
        <v>180.1493298</v>
      </c>
      <c r="P9" s="101">
        <v>193.93471547999999</v>
      </c>
      <c r="Q9" s="101">
        <v>205.59689568000002</v>
      </c>
      <c r="R9" s="101">
        <v>254.67357959999998</v>
      </c>
      <c r="S9" s="101">
        <v>298.57131911329674</v>
      </c>
      <c r="T9" s="101">
        <v>296.7488151654801</v>
      </c>
      <c r="U9" s="101">
        <v>372.16710349020434</v>
      </c>
      <c r="V9" s="101">
        <v>398.2958057435057</v>
      </c>
      <c r="W9" s="101">
        <v>515.7172981900535</v>
      </c>
      <c r="X9" s="101">
        <v>577.77150972848244</v>
      </c>
      <c r="Y9" s="101">
        <v>661.48156597485172</v>
      </c>
      <c r="DA9" s="175" t="s">
        <v>744</v>
      </c>
    </row>
    <row r="10" spans="1:105" ht="11.45" customHeight="1" x14ac:dyDescent="0.25">
      <c r="A10" s="92" t="s">
        <v>56</v>
      </c>
      <c r="B10" s="101">
        <f t="shared" ref="B10:K10" si="8">SUM(B11:B14)</f>
        <v>0</v>
      </c>
      <c r="C10" s="101">
        <f t="shared" si="8"/>
        <v>0</v>
      </c>
      <c r="D10" s="101">
        <f t="shared" si="8"/>
        <v>0</v>
      </c>
      <c r="E10" s="101">
        <f t="shared" si="8"/>
        <v>0</v>
      </c>
      <c r="F10" s="101">
        <f t="shared" si="8"/>
        <v>0</v>
      </c>
      <c r="G10" s="101">
        <f t="shared" si="8"/>
        <v>0</v>
      </c>
      <c r="H10" s="101">
        <f t="shared" si="8"/>
        <v>0</v>
      </c>
      <c r="I10" s="101">
        <f t="shared" si="8"/>
        <v>0</v>
      </c>
      <c r="J10" s="101">
        <f t="shared" si="8"/>
        <v>0</v>
      </c>
      <c r="K10" s="101">
        <f t="shared" si="8"/>
        <v>0</v>
      </c>
      <c r="L10" s="101">
        <f t="shared" ref="L10" si="9">SUM(L11:L14)</f>
        <v>0</v>
      </c>
      <c r="M10" s="101">
        <f t="shared" ref="M10:V10" si="10">SUM(M11:M14)</f>
        <v>0</v>
      </c>
      <c r="N10" s="101">
        <f t="shared" si="10"/>
        <v>0</v>
      </c>
      <c r="O10" s="101">
        <f t="shared" si="10"/>
        <v>0</v>
      </c>
      <c r="P10" s="101">
        <f t="shared" si="10"/>
        <v>0</v>
      </c>
      <c r="Q10" s="101">
        <f t="shared" si="10"/>
        <v>0</v>
      </c>
      <c r="R10" s="101">
        <f t="shared" si="10"/>
        <v>0</v>
      </c>
      <c r="S10" s="101">
        <f t="shared" si="10"/>
        <v>0</v>
      </c>
      <c r="T10" s="101">
        <f t="shared" si="10"/>
        <v>0</v>
      </c>
      <c r="U10" s="101">
        <f t="shared" si="10"/>
        <v>0</v>
      </c>
      <c r="V10" s="101">
        <f t="shared" si="10"/>
        <v>0</v>
      </c>
      <c r="W10" s="101">
        <f t="shared" ref="W10:Y10" si="11">SUM(W11:W14)</f>
        <v>0</v>
      </c>
      <c r="X10" s="101">
        <f t="shared" si="11"/>
        <v>0</v>
      </c>
      <c r="Y10" s="101">
        <f t="shared" si="11"/>
        <v>0</v>
      </c>
      <c r="DA10" s="175"/>
    </row>
    <row r="11" spans="1:105" ht="11.45" customHeight="1" x14ac:dyDescent="0.25">
      <c r="A11" s="128" t="s">
        <v>57</v>
      </c>
      <c r="B11" s="101">
        <v>0</v>
      </c>
      <c r="C11" s="101">
        <v>0</v>
      </c>
      <c r="D11" s="101">
        <v>0</v>
      </c>
      <c r="E11" s="101">
        <v>0</v>
      </c>
      <c r="F11" s="101">
        <v>0</v>
      </c>
      <c r="G11" s="101">
        <v>0</v>
      </c>
      <c r="H11" s="101">
        <v>0</v>
      </c>
      <c r="I11" s="101">
        <v>0</v>
      </c>
      <c r="J11" s="101">
        <v>0</v>
      </c>
      <c r="K11" s="101">
        <v>0</v>
      </c>
      <c r="L11" s="101">
        <v>0</v>
      </c>
      <c r="M11" s="101">
        <v>0</v>
      </c>
      <c r="N11" s="101">
        <v>0</v>
      </c>
      <c r="O11" s="101">
        <v>0</v>
      </c>
      <c r="P11" s="101">
        <v>0</v>
      </c>
      <c r="Q11" s="101">
        <v>0</v>
      </c>
      <c r="R11" s="101">
        <v>0</v>
      </c>
      <c r="S11" s="101">
        <v>0</v>
      </c>
      <c r="T11" s="101">
        <v>0</v>
      </c>
      <c r="U11" s="101">
        <v>0</v>
      </c>
      <c r="V11" s="101">
        <v>0</v>
      </c>
      <c r="W11" s="101">
        <v>0</v>
      </c>
      <c r="X11" s="101">
        <v>0</v>
      </c>
      <c r="Y11" s="101">
        <v>0</v>
      </c>
      <c r="DA11" s="175" t="s">
        <v>745</v>
      </c>
    </row>
    <row r="12" spans="1:105" ht="11.45" customHeight="1" x14ac:dyDescent="0.25">
      <c r="A12" s="128" t="s">
        <v>58</v>
      </c>
      <c r="B12" s="101">
        <v>0</v>
      </c>
      <c r="C12" s="101">
        <v>0</v>
      </c>
      <c r="D12" s="101">
        <v>0</v>
      </c>
      <c r="E12" s="101">
        <v>0</v>
      </c>
      <c r="F12" s="101">
        <v>0</v>
      </c>
      <c r="G12" s="101">
        <v>0</v>
      </c>
      <c r="H12" s="101">
        <v>0</v>
      </c>
      <c r="I12" s="101">
        <v>0</v>
      </c>
      <c r="J12" s="101">
        <v>0</v>
      </c>
      <c r="K12" s="101">
        <v>0</v>
      </c>
      <c r="L12" s="101">
        <v>0</v>
      </c>
      <c r="M12" s="101">
        <v>0</v>
      </c>
      <c r="N12" s="101">
        <v>0</v>
      </c>
      <c r="O12" s="101">
        <v>0</v>
      </c>
      <c r="P12" s="101">
        <v>0</v>
      </c>
      <c r="Q12" s="101">
        <v>0</v>
      </c>
      <c r="R12" s="101">
        <v>0</v>
      </c>
      <c r="S12" s="101">
        <v>0</v>
      </c>
      <c r="T12" s="101">
        <v>0</v>
      </c>
      <c r="U12" s="101">
        <v>0</v>
      </c>
      <c r="V12" s="101">
        <v>0</v>
      </c>
      <c r="W12" s="101">
        <v>0</v>
      </c>
      <c r="X12" s="101">
        <v>0</v>
      </c>
      <c r="Y12" s="101">
        <v>0</v>
      </c>
      <c r="DA12" s="175" t="s">
        <v>746</v>
      </c>
    </row>
    <row r="13" spans="1:105" ht="11.45" customHeight="1" x14ac:dyDescent="0.25">
      <c r="A13" s="128" t="s">
        <v>59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75" t="s">
        <v>747</v>
      </c>
    </row>
    <row r="14" spans="1:105" ht="11.45" customHeight="1" x14ac:dyDescent="0.25">
      <c r="A14" s="128" t="s">
        <v>60</v>
      </c>
      <c r="B14" s="101">
        <v>0</v>
      </c>
      <c r="C14" s="101">
        <v>0</v>
      </c>
      <c r="D14" s="101">
        <v>0</v>
      </c>
      <c r="E14" s="101">
        <v>0</v>
      </c>
      <c r="F14" s="101">
        <v>0</v>
      </c>
      <c r="G14" s="101">
        <v>0</v>
      </c>
      <c r="H14" s="101">
        <v>0</v>
      </c>
      <c r="I14" s="101">
        <v>0</v>
      </c>
      <c r="J14" s="101">
        <v>0</v>
      </c>
      <c r="K14" s="101">
        <v>0</v>
      </c>
      <c r="L14" s="101">
        <v>0</v>
      </c>
      <c r="M14" s="101">
        <v>0</v>
      </c>
      <c r="N14" s="101">
        <v>0</v>
      </c>
      <c r="O14" s="101">
        <v>0</v>
      </c>
      <c r="P14" s="101">
        <v>0</v>
      </c>
      <c r="Q14" s="101">
        <v>0</v>
      </c>
      <c r="R14" s="101">
        <v>0</v>
      </c>
      <c r="S14" s="101">
        <v>0</v>
      </c>
      <c r="T14" s="101">
        <v>0</v>
      </c>
      <c r="U14" s="101">
        <v>0</v>
      </c>
      <c r="V14" s="101">
        <v>0</v>
      </c>
      <c r="W14" s="101">
        <v>0</v>
      </c>
      <c r="X14" s="101">
        <v>0</v>
      </c>
      <c r="Y14" s="101">
        <v>0</v>
      </c>
      <c r="DA14" s="175" t="s">
        <v>748</v>
      </c>
    </row>
    <row r="15" spans="1:105" ht="11.45" customHeight="1" x14ac:dyDescent="0.25">
      <c r="A15" s="85" t="s">
        <v>91</v>
      </c>
      <c r="B15" s="88">
        <v>0</v>
      </c>
      <c r="C15" s="88">
        <v>0</v>
      </c>
      <c r="D15" s="88">
        <v>0</v>
      </c>
      <c r="E15" s="88">
        <v>0</v>
      </c>
      <c r="F15" s="88">
        <v>0</v>
      </c>
      <c r="G15" s="88">
        <v>0</v>
      </c>
      <c r="H15" s="88">
        <v>0</v>
      </c>
      <c r="I15" s="88">
        <v>0</v>
      </c>
      <c r="J15" s="88">
        <v>0</v>
      </c>
      <c r="K15" s="88">
        <v>0</v>
      </c>
      <c r="L15" s="88">
        <v>0</v>
      </c>
      <c r="M15" s="88">
        <v>0</v>
      </c>
      <c r="N15" s="88">
        <v>0</v>
      </c>
      <c r="O15" s="88">
        <v>0</v>
      </c>
      <c r="P15" s="88">
        <v>0</v>
      </c>
      <c r="Q15" s="88">
        <v>0</v>
      </c>
      <c r="R15" s="88">
        <v>0</v>
      </c>
      <c r="S15" s="88">
        <v>0</v>
      </c>
      <c r="T15" s="88">
        <v>0</v>
      </c>
      <c r="U15" s="88">
        <v>0</v>
      </c>
      <c r="V15" s="88">
        <v>0</v>
      </c>
      <c r="W15" s="88">
        <v>0</v>
      </c>
      <c r="X15" s="88">
        <v>0</v>
      </c>
      <c r="Y15" s="88">
        <v>0</v>
      </c>
      <c r="DA15" s="178" t="s">
        <v>749</v>
      </c>
    </row>
    <row r="16" spans="1:105" ht="11.45" customHeight="1" x14ac:dyDescent="0.25">
      <c r="A16" s="33"/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DA16" s="208"/>
    </row>
    <row r="17" spans="1:105" ht="11.45" customHeight="1" x14ac:dyDescent="0.25">
      <c r="A17" s="53" t="s">
        <v>47</v>
      </c>
      <c r="B17" s="79">
        <f t="shared" ref="B17:K17" si="12">SUM(B18,B33)</f>
        <v>79832.886974639987</v>
      </c>
      <c r="C17" s="79">
        <f t="shared" si="12"/>
        <v>83898.636450479986</v>
      </c>
      <c r="D17" s="79">
        <f t="shared" si="12"/>
        <v>86028.99251976001</v>
      </c>
      <c r="E17" s="79">
        <f t="shared" si="12"/>
        <v>90125.517361680002</v>
      </c>
      <c r="F17" s="79">
        <f t="shared" si="12"/>
        <v>93587.165782559983</v>
      </c>
      <c r="G17" s="79">
        <f t="shared" si="12"/>
        <v>96450.004223640019</v>
      </c>
      <c r="H17" s="79">
        <f t="shared" si="12"/>
        <v>99666.604821960005</v>
      </c>
      <c r="I17" s="79">
        <f t="shared" si="12"/>
        <v>102656.9547324</v>
      </c>
      <c r="J17" s="79">
        <f t="shared" si="12"/>
        <v>97176.075003360005</v>
      </c>
      <c r="K17" s="79">
        <f t="shared" si="12"/>
        <v>90370.376389800018</v>
      </c>
      <c r="L17" s="79">
        <f t="shared" ref="L17" si="13">SUM(L18,L33)</f>
        <v>86795.351423640037</v>
      </c>
      <c r="M17" s="79">
        <f t="shared" ref="M17:V17" si="14">SUM(M18,M33)</f>
        <v>82085.52217428002</v>
      </c>
      <c r="N17" s="79">
        <f t="shared" si="14"/>
        <v>73274.916092760002</v>
      </c>
      <c r="O17" s="79">
        <f t="shared" si="14"/>
        <v>75699.323454599988</v>
      </c>
      <c r="P17" s="79">
        <f t="shared" si="14"/>
        <v>76439.965863600009</v>
      </c>
      <c r="Q17" s="79">
        <f t="shared" si="14"/>
        <v>78734.870484480023</v>
      </c>
      <c r="R17" s="79">
        <f t="shared" si="14"/>
        <v>80927.144364959997</v>
      </c>
      <c r="S17" s="79">
        <f t="shared" si="14"/>
        <v>82239.729051713308</v>
      </c>
      <c r="T17" s="79">
        <f t="shared" si="14"/>
        <v>82939.717098485489</v>
      </c>
      <c r="U17" s="79">
        <f t="shared" si="14"/>
        <v>83732.113032010209</v>
      </c>
      <c r="V17" s="79">
        <f t="shared" si="14"/>
        <v>68802.201367983507</v>
      </c>
      <c r="W17" s="79">
        <f t="shared" ref="W17:Y17" si="15">SUM(W18,W33)</f>
        <v>79221.56897755008</v>
      </c>
      <c r="X17" s="79">
        <f t="shared" si="15"/>
        <v>82359.652612808481</v>
      </c>
      <c r="Y17" s="79">
        <f t="shared" si="15"/>
        <v>79967.319983414855</v>
      </c>
      <c r="DA17" s="172" t="s">
        <v>750</v>
      </c>
    </row>
    <row r="18" spans="1:105" ht="11.45" customHeight="1" x14ac:dyDescent="0.25">
      <c r="A18" s="27" t="s">
        <v>33</v>
      </c>
      <c r="B18" s="32">
        <f t="shared" ref="B18:K18" si="16">SUM(B19,B20,B27)</f>
        <v>51519.142503333554</v>
      </c>
      <c r="C18" s="32">
        <f t="shared" si="16"/>
        <v>52881.65928196843</v>
      </c>
      <c r="D18" s="32">
        <f t="shared" si="16"/>
        <v>54897.938086105882</v>
      </c>
      <c r="E18" s="32">
        <f t="shared" si="16"/>
        <v>57255.328945407819</v>
      </c>
      <c r="F18" s="32">
        <f t="shared" si="16"/>
        <v>58900.938092219869</v>
      </c>
      <c r="G18" s="32">
        <f t="shared" si="16"/>
        <v>61595.876317225921</v>
      </c>
      <c r="H18" s="32">
        <f t="shared" si="16"/>
        <v>63955.346191891826</v>
      </c>
      <c r="I18" s="32">
        <f t="shared" si="16"/>
        <v>65448.280967555882</v>
      </c>
      <c r="J18" s="32">
        <f t="shared" si="16"/>
        <v>63406.366357980274</v>
      </c>
      <c r="K18" s="32">
        <f t="shared" si="16"/>
        <v>61778.37388409744</v>
      </c>
      <c r="L18" s="32">
        <f t="shared" ref="L18" si="17">SUM(L19,L20,L27)</f>
        <v>59464.007969267652</v>
      </c>
      <c r="M18" s="32">
        <f t="shared" ref="M18:V18" si="18">SUM(M19,M20,M27)</f>
        <v>56777.542354783734</v>
      </c>
      <c r="N18" s="32">
        <f t="shared" si="18"/>
        <v>51915.724017778703</v>
      </c>
      <c r="O18" s="32">
        <f t="shared" si="18"/>
        <v>53598.565360960143</v>
      </c>
      <c r="P18" s="32">
        <f t="shared" si="18"/>
        <v>54112.456872225514</v>
      </c>
      <c r="Q18" s="32">
        <f t="shared" si="18"/>
        <v>55254.626676420354</v>
      </c>
      <c r="R18" s="32">
        <f t="shared" si="18"/>
        <v>55363.235419128752</v>
      </c>
      <c r="S18" s="32">
        <f t="shared" si="18"/>
        <v>55727.032333728857</v>
      </c>
      <c r="T18" s="32">
        <f t="shared" si="18"/>
        <v>55928.733750521722</v>
      </c>
      <c r="U18" s="32">
        <f t="shared" si="18"/>
        <v>57678.634115659719</v>
      </c>
      <c r="V18" s="32">
        <f t="shared" si="18"/>
        <v>46526.575358537564</v>
      </c>
      <c r="W18" s="32">
        <f t="shared" ref="W18:Y18" si="19">SUM(W19,W20,W27)</f>
        <v>54140.482275895534</v>
      </c>
      <c r="X18" s="32">
        <f t="shared" si="19"/>
        <v>56481.618600714268</v>
      </c>
      <c r="Y18" s="32">
        <f t="shared" si="19"/>
        <v>55931.418336072042</v>
      </c>
      <c r="DA18" s="173" t="s">
        <v>403</v>
      </c>
    </row>
    <row r="19" spans="1:105" ht="11.45" customHeight="1" x14ac:dyDescent="0.25">
      <c r="A19" s="136" t="s">
        <v>173</v>
      </c>
      <c r="B19" s="141">
        <v>1092.411952122822</v>
      </c>
      <c r="C19" s="141">
        <v>1154.6089997377817</v>
      </c>
      <c r="D19" s="141">
        <v>1047.0256433722498</v>
      </c>
      <c r="E19" s="141">
        <v>1173.4544305375682</v>
      </c>
      <c r="F19" s="141">
        <v>1135.5228680967537</v>
      </c>
      <c r="G19" s="141">
        <v>1289.3697095615676</v>
      </c>
      <c r="H19" s="141">
        <v>1308.341467093441</v>
      </c>
      <c r="I19" s="141">
        <v>1477.2342952213646</v>
      </c>
      <c r="J19" s="141">
        <v>1480.025980432152</v>
      </c>
      <c r="K19" s="141">
        <v>1510.954087295474</v>
      </c>
      <c r="L19" s="141">
        <v>1505.0720957008884</v>
      </c>
      <c r="M19" s="141">
        <v>1376.6805528735506</v>
      </c>
      <c r="N19" s="141">
        <v>1302.1393659859079</v>
      </c>
      <c r="O19" s="141">
        <v>1292.549967147615</v>
      </c>
      <c r="P19" s="141">
        <v>1429.0738970728457</v>
      </c>
      <c r="Q19" s="141">
        <v>1533.3119201118484</v>
      </c>
      <c r="R19" s="141">
        <v>1602.2874054254487</v>
      </c>
      <c r="S19" s="141">
        <v>1487.4276415511815</v>
      </c>
      <c r="T19" s="141">
        <v>1406.6450707680606</v>
      </c>
      <c r="U19" s="141">
        <v>1526.828840237426</v>
      </c>
      <c r="V19" s="141">
        <v>1269.9340591137768</v>
      </c>
      <c r="W19" s="141">
        <v>1402.6268320133643</v>
      </c>
      <c r="X19" s="141">
        <v>1361.7515536526644</v>
      </c>
      <c r="Y19" s="141">
        <v>1452.2458095921363</v>
      </c>
      <c r="DA19" s="174" t="s">
        <v>404</v>
      </c>
    </row>
    <row r="20" spans="1:105" ht="11.45" customHeight="1" x14ac:dyDescent="0.25">
      <c r="A20" s="109" t="s">
        <v>20</v>
      </c>
      <c r="B20" s="130">
        <f t="shared" ref="B20:K20" si="20">SUM(B21:B26)</f>
        <v>46776.636987103877</v>
      </c>
      <c r="C20" s="130">
        <f t="shared" si="20"/>
        <v>48098.252205189376</v>
      </c>
      <c r="D20" s="130">
        <f t="shared" si="20"/>
        <v>50282.863557725301</v>
      </c>
      <c r="E20" s="130">
        <f t="shared" si="20"/>
        <v>52546.568658521857</v>
      </c>
      <c r="F20" s="130">
        <f t="shared" si="20"/>
        <v>54139.032864832967</v>
      </c>
      <c r="G20" s="130">
        <f t="shared" si="20"/>
        <v>56725.533917120927</v>
      </c>
      <c r="H20" s="130">
        <f t="shared" si="20"/>
        <v>58908.954525884808</v>
      </c>
      <c r="I20" s="130">
        <f t="shared" si="20"/>
        <v>60154.720569129917</v>
      </c>
      <c r="J20" s="130">
        <f t="shared" si="20"/>
        <v>58174.860929815201</v>
      </c>
      <c r="K20" s="130">
        <f t="shared" si="20"/>
        <v>56627.651568640773</v>
      </c>
      <c r="L20" s="130">
        <f t="shared" ref="L20" si="21">SUM(L21:L26)</f>
        <v>54419.429129316377</v>
      </c>
      <c r="M20" s="130">
        <f t="shared" ref="M20:V20" si="22">SUM(M21:M26)</f>
        <v>51930.874148948365</v>
      </c>
      <c r="N20" s="130">
        <f t="shared" si="22"/>
        <v>47302.470784057317</v>
      </c>
      <c r="O20" s="130">
        <f t="shared" si="22"/>
        <v>49001.097632574252</v>
      </c>
      <c r="P20" s="130">
        <f t="shared" si="22"/>
        <v>49425.760480043951</v>
      </c>
      <c r="Q20" s="130">
        <f t="shared" si="22"/>
        <v>50454.228673364996</v>
      </c>
      <c r="R20" s="130">
        <f t="shared" si="22"/>
        <v>50472.507140065078</v>
      </c>
      <c r="S20" s="130">
        <f t="shared" si="22"/>
        <v>52149.11537769578</v>
      </c>
      <c r="T20" s="130">
        <f t="shared" si="22"/>
        <v>52449.749634399312</v>
      </c>
      <c r="U20" s="130">
        <f t="shared" si="22"/>
        <v>54033.213366395546</v>
      </c>
      <c r="V20" s="130">
        <f t="shared" si="22"/>
        <v>43763.010025394782</v>
      </c>
      <c r="W20" s="130">
        <f t="shared" ref="W20:Y20" si="23">SUM(W21:W26)</f>
        <v>50838.164602213474</v>
      </c>
      <c r="X20" s="130">
        <f t="shared" si="23"/>
        <v>52963.01426981642</v>
      </c>
      <c r="Y20" s="130">
        <f t="shared" si="23"/>
        <v>52114.585445554418</v>
      </c>
      <c r="DA20" s="176" t="s">
        <v>405</v>
      </c>
    </row>
    <row r="21" spans="1:105" ht="11.45" customHeight="1" x14ac:dyDescent="0.25">
      <c r="A21" s="111" t="s">
        <v>110</v>
      </c>
      <c r="B21" s="96">
        <v>24404.536980867986</v>
      </c>
      <c r="C21" s="96">
        <v>24148.124141587214</v>
      </c>
      <c r="D21" s="96">
        <v>23272.852535322771</v>
      </c>
      <c r="E21" s="96">
        <v>22566.166273619881</v>
      </c>
      <c r="F21" s="96">
        <v>21593.237010382698</v>
      </c>
      <c r="G21" s="96">
        <v>20698.119968762632</v>
      </c>
      <c r="H21" s="96">
        <v>19698.048690844611</v>
      </c>
      <c r="I21" s="96">
        <v>18758.658545742521</v>
      </c>
      <c r="J21" s="96">
        <v>17185.549562616783</v>
      </c>
      <c r="K21" s="96">
        <v>16020.07629983787</v>
      </c>
      <c r="L21" s="96">
        <v>14644.177928962255</v>
      </c>
      <c r="M21" s="96">
        <v>13637.132089289282</v>
      </c>
      <c r="N21" s="96">
        <v>12224.982555401368</v>
      </c>
      <c r="O21" s="96">
        <v>11918.701105177688</v>
      </c>
      <c r="P21" s="96">
        <v>11629.856922956911</v>
      </c>
      <c r="Q21" s="96">
        <v>11600.074690015859</v>
      </c>
      <c r="R21" s="96">
        <v>12137.322481030127</v>
      </c>
      <c r="S21" s="96">
        <v>12542.099612233345</v>
      </c>
      <c r="T21" s="96">
        <v>13209.457698404476</v>
      </c>
      <c r="U21" s="96">
        <v>14042.613594674032</v>
      </c>
      <c r="V21" s="96">
        <v>11063.055473846762</v>
      </c>
      <c r="W21" s="96">
        <v>13761.509158022494</v>
      </c>
      <c r="X21" s="96">
        <v>15364.794899704943</v>
      </c>
      <c r="Y21" s="96">
        <v>16052.204960964476</v>
      </c>
      <c r="DA21" s="171" t="s">
        <v>751</v>
      </c>
    </row>
    <row r="22" spans="1:105" ht="11.45" customHeight="1" x14ac:dyDescent="0.25">
      <c r="A22" s="111" t="s">
        <v>111</v>
      </c>
      <c r="B22" s="96">
        <v>22148.252680515889</v>
      </c>
      <c r="C22" s="96">
        <v>23735.234703602157</v>
      </c>
      <c r="D22" s="96">
        <v>26795.117662402525</v>
      </c>
      <c r="E22" s="96">
        <v>29768.493680141979</v>
      </c>
      <c r="F22" s="96">
        <v>32324.43236994827</v>
      </c>
      <c r="G22" s="96">
        <v>35885.508779458687</v>
      </c>
      <c r="H22" s="96">
        <v>39076.302824981292</v>
      </c>
      <c r="I22" s="96">
        <v>41264.827686282544</v>
      </c>
      <c r="J22" s="96">
        <v>40938.588936818844</v>
      </c>
      <c r="K22" s="96">
        <v>40547.609494275064</v>
      </c>
      <c r="L22" s="96">
        <v>39706.563880269729</v>
      </c>
      <c r="M22" s="96">
        <v>38219.374749031318</v>
      </c>
      <c r="N22" s="96">
        <v>34982.020614265348</v>
      </c>
      <c r="O22" s="96">
        <v>36969.22927168465</v>
      </c>
      <c r="P22" s="96">
        <v>37671.386348968044</v>
      </c>
      <c r="Q22" s="96">
        <v>38707.640871636868</v>
      </c>
      <c r="R22" s="96">
        <v>38177.903473113132</v>
      </c>
      <c r="S22" s="96">
        <v>39435.640284323272</v>
      </c>
      <c r="T22" s="96">
        <v>39028.477090605527</v>
      </c>
      <c r="U22" s="96">
        <v>39711.714230322621</v>
      </c>
      <c r="V22" s="96">
        <v>32477.594400855774</v>
      </c>
      <c r="W22" s="96">
        <v>36790.495026015269</v>
      </c>
      <c r="X22" s="96">
        <v>37222.318695297625</v>
      </c>
      <c r="Y22" s="96">
        <v>35654.269018093204</v>
      </c>
      <c r="DA22" s="171" t="s">
        <v>752</v>
      </c>
    </row>
    <row r="23" spans="1:105" ht="11.45" customHeight="1" x14ac:dyDescent="0.25">
      <c r="A23" s="111" t="s">
        <v>112</v>
      </c>
      <c r="B23" s="96">
        <v>223.84732572000001</v>
      </c>
      <c r="C23" s="96">
        <v>214.89336</v>
      </c>
      <c r="D23" s="96">
        <v>214.89336</v>
      </c>
      <c r="E23" s="96">
        <v>211.90870476000003</v>
      </c>
      <c r="F23" s="96">
        <v>217.87801524000002</v>
      </c>
      <c r="G23" s="96">
        <v>134.30835000000002</v>
      </c>
      <c r="H23" s="96">
        <v>122.36972904</v>
      </c>
      <c r="I23" s="96">
        <v>119.38530096000001</v>
      </c>
      <c r="J23" s="96">
        <v>38.800290960000019</v>
      </c>
      <c r="K23" s="96">
        <v>47.754029520000003</v>
      </c>
      <c r="L23" s="96">
        <v>56.707995239999995</v>
      </c>
      <c r="M23" s="96">
        <v>62.677305719999993</v>
      </c>
      <c r="N23" s="96">
        <v>77.600354760000002</v>
      </c>
      <c r="O23" s="96">
        <v>92.516459679681034</v>
      </c>
      <c r="P23" s="96">
        <v>103.81564584685664</v>
      </c>
      <c r="Q23" s="96">
        <v>124.49457120889316</v>
      </c>
      <c r="R23" s="96">
        <v>135.58330593288514</v>
      </c>
      <c r="S23" s="96">
        <v>146.54364858671485</v>
      </c>
      <c r="T23" s="96">
        <v>176.0727279529512</v>
      </c>
      <c r="U23" s="96">
        <v>238.64686277635573</v>
      </c>
      <c r="V23" s="96">
        <v>182.04329781122834</v>
      </c>
      <c r="W23" s="96">
        <v>217.7695861156665</v>
      </c>
      <c r="X23" s="96">
        <v>284.25688526749735</v>
      </c>
      <c r="Y23" s="96">
        <v>296.61530087649146</v>
      </c>
      <c r="DA23" s="171" t="s">
        <v>753</v>
      </c>
    </row>
    <row r="24" spans="1:105" ht="11.45" customHeight="1" x14ac:dyDescent="0.25">
      <c r="A24" s="111" t="s">
        <v>113</v>
      </c>
      <c r="B24" s="96">
        <v>0</v>
      </c>
      <c r="C24" s="96">
        <v>0</v>
      </c>
      <c r="D24" s="96">
        <v>0</v>
      </c>
      <c r="E24" s="96">
        <v>0</v>
      </c>
      <c r="F24" s="96">
        <v>3.4854692619994867</v>
      </c>
      <c r="G24" s="96">
        <v>7.5968188996044876</v>
      </c>
      <c r="H24" s="96">
        <v>12.233281018901899</v>
      </c>
      <c r="I24" s="96">
        <v>11.849036144851874</v>
      </c>
      <c r="J24" s="96">
        <v>11.922139419571613</v>
      </c>
      <c r="K24" s="96">
        <v>12.211745007839642</v>
      </c>
      <c r="L24" s="96">
        <v>11.979324844387284</v>
      </c>
      <c r="M24" s="96">
        <v>11.685139827507124</v>
      </c>
      <c r="N24" s="96">
        <v>17.822586117167546</v>
      </c>
      <c r="O24" s="96">
        <v>20.549792425090757</v>
      </c>
      <c r="P24" s="96">
        <v>20.410042246435435</v>
      </c>
      <c r="Q24" s="96">
        <v>21.421159807342864</v>
      </c>
      <c r="R24" s="96">
        <v>20.184653003875766</v>
      </c>
      <c r="S24" s="96">
        <v>21.522860002302387</v>
      </c>
      <c r="T24" s="96">
        <v>29.404036783877807</v>
      </c>
      <c r="U24" s="96">
        <v>29.235948944754028</v>
      </c>
      <c r="V24" s="96">
        <v>20.85425460103496</v>
      </c>
      <c r="W24" s="96">
        <v>28.212857056902951</v>
      </c>
      <c r="X24" s="96">
        <v>32.347748153718555</v>
      </c>
      <c r="Y24" s="96">
        <v>33.241594175509107</v>
      </c>
      <c r="DA24" s="171" t="s">
        <v>754</v>
      </c>
    </row>
    <row r="25" spans="1:105" ht="11.45" customHeight="1" x14ac:dyDescent="0.25">
      <c r="A25" s="111" t="s">
        <v>114</v>
      </c>
      <c r="B25" s="96">
        <v>0</v>
      </c>
      <c r="C25" s="96">
        <v>0</v>
      </c>
      <c r="D25" s="96">
        <v>0</v>
      </c>
      <c r="E25" s="96">
        <v>0</v>
      </c>
      <c r="F25" s="96">
        <v>0</v>
      </c>
      <c r="G25" s="96">
        <v>0</v>
      </c>
      <c r="H25" s="96">
        <v>0</v>
      </c>
      <c r="I25" s="96">
        <v>0</v>
      </c>
      <c r="J25" s="96">
        <v>0</v>
      </c>
      <c r="K25" s="96">
        <v>0</v>
      </c>
      <c r="L25" s="96">
        <v>0</v>
      </c>
      <c r="M25" s="96">
        <v>4.8650802573282368E-3</v>
      </c>
      <c r="N25" s="96">
        <v>4.4673513435708925E-2</v>
      </c>
      <c r="O25" s="96">
        <v>0.10100360714845925</v>
      </c>
      <c r="P25" s="96">
        <v>0.29152002570161689</v>
      </c>
      <c r="Q25" s="96">
        <v>0.59738069602408506</v>
      </c>
      <c r="R25" s="96">
        <v>1.5132269850618385</v>
      </c>
      <c r="S25" s="96">
        <v>3.3089725501380642</v>
      </c>
      <c r="T25" s="96">
        <v>6.3380806524768536</v>
      </c>
      <c r="U25" s="96">
        <v>11.002729677781154</v>
      </c>
      <c r="V25" s="96">
        <v>19.462598279982199</v>
      </c>
      <c r="W25" s="96">
        <v>40.17797500313516</v>
      </c>
      <c r="X25" s="96">
        <v>59.296041392640909</v>
      </c>
      <c r="Y25" s="96">
        <v>78.254571444740705</v>
      </c>
      <c r="DA25" s="171" t="s">
        <v>755</v>
      </c>
    </row>
    <row r="26" spans="1:105" ht="11.45" customHeight="1" x14ac:dyDescent="0.25">
      <c r="A26" s="111" t="s">
        <v>115</v>
      </c>
      <c r="B26" s="96">
        <v>0</v>
      </c>
      <c r="C26" s="96">
        <v>0</v>
      </c>
      <c r="D26" s="96">
        <v>0</v>
      </c>
      <c r="E26" s="96">
        <v>0</v>
      </c>
      <c r="F26" s="96">
        <v>0</v>
      </c>
      <c r="G26" s="96">
        <v>0</v>
      </c>
      <c r="H26" s="96">
        <v>0</v>
      </c>
      <c r="I26" s="96">
        <v>0</v>
      </c>
      <c r="J26" s="96">
        <v>0</v>
      </c>
      <c r="K26" s="96">
        <v>0</v>
      </c>
      <c r="L26" s="96">
        <v>0</v>
      </c>
      <c r="M26" s="96">
        <v>0</v>
      </c>
      <c r="N26" s="96">
        <v>0</v>
      </c>
      <c r="O26" s="96">
        <v>0</v>
      </c>
      <c r="P26" s="96">
        <v>0</v>
      </c>
      <c r="Q26" s="96">
        <v>0</v>
      </c>
      <c r="R26" s="96">
        <v>0</v>
      </c>
      <c r="S26" s="96">
        <v>0</v>
      </c>
      <c r="T26" s="96">
        <v>0</v>
      </c>
      <c r="U26" s="96">
        <v>0</v>
      </c>
      <c r="V26" s="96">
        <v>0</v>
      </c>
      <c r="W26" s="96">
        <v>0</v>
      </c>
      <c r="X26" s="96">
        <v>0</v>
      </c>
      <c r="Y26" s="96">
        <v>0</v>
      </c>
      <c r="DA26" s="171" t="s">
        <v>756</v>
      </c>
    </row>
    <row r="27" spans="1:105" ht="11.45" customHeight="1" x14ac:dyDescent="0.25">
      <c r="A27" s="109" t="s">
        <v>21</v>
      </c>
      <c r="B27" s="130">
        <f t="shared" ref="B27:K27" si="24">SUM(B28:B32)</f>
        <v>3650.0935641068568</v>
      </c>
      <c r="C27" s="130">
        <f t="shared" si="24"/>
        <v>3628.7980770412737</v>
      </c>
      <c r="D27" s="130">
        <f t="shared" si="24"/>
        <v>3568.0488850083289</v>
      </c>
      <c r="E27" s="130">
        <f t="shared" si="24"/>
        <v>3535.305856348391</v>
      </c>
      <c r="F27" s="130">
        <f t="shared" si="24"/>
        <v>3626.3823592901481</v>
      </c>
      <c r="G27" s="130">
        <f t="shared" si="24"/>
        <v>3580.9726905434313</v>
      </c>
      <c r="H27" s="130">
        <f t="shared" si="24"/>
        <v>3738.0501989135728</v>
      </c>
      <c r="I27" s="130">
        <f t="shared" si="24"/>
        <v>3816.3261032045993</v>
      </c>
      <c r="J27" s="130">
        <f t="shared" si="24"/>
        <v>3751.4794477329174</v>
      </c>
      <c r="K27" s="130">
        <f t="shared" si="24"/>
        <v>3639.7682281611956</v>
      </c>
      <c r="L27" s="130">
        <f t="shared" ref="L27" si="25">SUM(L28:L32)</f>
        <v>3539.5067442503864</v>
      </c>
      <c r="M27" s="130">
        <f t="shared" ref="M27:V27" si="26">SUM(M28:M32)</f>
        <v>3469.9876529618177</v>
      </c>
      <c r="N27" s="130">
        <f t="shared" si="26"/>
        <v>3311.1138677354743</v>
      </c>
      <c r="O27" s="130">
        <f t="shared" si="26"/>
        <v>3304.9177612382769</v>
      </c>
      <c r="P27" s="130">
        <f t="shared" si="26"/>
        <v>3257.6224951087161</v>
      </c>
      <c r="Q27" s="130">
        <f t="shared" si="26"/>
        <v>3267.0860829435123</v>
      </c>
      <c r="R27" s="130">
        <f t="shared" si="26"/>
        <v>3288.4408736382256</v>
      </c>
      <c r="S27" s="130">
        <f t="shared" si="26"/>
        <v>2090.4893144818916</v>
      </c>
      <c r="T27" s="130">
        <f t="shared" si="26"/>
        <v>2072.339045354347</v>
      </c>
      <c r="U27" s="130">
        <f t="shared" si="26"/>
        <v>2118.5919090267453</v>
      </c>
      <c r="V27" s="130">
        <f t="shared" si="26"/>
        <v>1493.6312740290064</v>
      </c>
      <c r="W27" s="130">
        <f t="shared" ref="W27:Y27" si="27">SUM(W28:W32)</f>
        <v>1899.6908416686927</v>
      </c>
      <c r="X27" s="130">
        <f t="shared" si="27"/>
        <v>2156.8527772451848</v>
      </c>
      <c r="Y27" s="130">
        <f t="shared" si="27"/>
        <v>2364.5870809254875</v>
      </c>
      <c r="DA27" s="176" t="s">
        <v>406</v>
      </c>
    </row>
    <row r="28" spans="1:105" ht="11.45" customHeight="1" x14ac:dyDescent="0.25">
      <c r="A28" s="111" t="s">
        <v>110</v>
      </c>
      <c r="B28" s="97">
        <v>10.618541535157849</v>
      </c>
      <c r="C28" s="97">
        <v>10.644467285311631</v>
      </c>
      <c r="D28" s="97">
        <v>10.612326752286091</v>
      </c>
      <c r="E28" s="97">
        <v>10.487273386380831</v>
      </c>
      <c r="F28" s="97">
        <v>10.491091794200182</v>
      </c>
      <c r="G28" s="97">
        <v>9.3124516271436981</v>
      </c>
      <c r="H28" s="97">
        <v>9.0911518606635919</v>
      </c>
      <c r="I28" s="97">
        <v>10.106976350889449</v>
      </c>
      <c r="J28" s="97">
        <v>9.1620104744837043</v>
      </c>
      <c r="K28" s="97">
        <v>8.1837560323071994</v>
      </c>
      <c r="L28" s="97">
        <v>7.4018954436729016</v>
      </c>
      <c r="M28" s="97">
        <v>6.9457908021223593</v>
      </c>
      <c r="N28" s="97">
        <v>6.4300448364669709</v>
      </c>
      <c r="O28" s="97">
        <v>5.952728025927903</v>
      </c>
      <c r="P28" s="97">
        <v>5.4857627895856726</v>
      </c>
      <c r="Q28" s="97">
        <v>5.3432649853049456</v>
      </c>
      <c r="R28" s="97">
        <v>5.2553245682835552</v>
      </c>
      <c r="S28" s="97">
        <v>4.3027097905224299</v>
      </c>
      <c r="T28" s="97">
        <v>4.0451981899090592</v>
      </c>
      <c r="U28" s="97">
        <v>3.8061010016503554</v>
      </c>
      <c r="V28" s="97">
        <v>2.319037471819247</v>
      </c>
      <c r="W28" s="97">
        <v>2.8351677284887034</v>
      </c>
      <c r="X28" s="97">
        <v>2.9985673538613797</v>
      </c>
      <c r="Y28" s="97">
        <v>3.0542049628752226</v>
      </c>
      <c r="DA28" s="175" t="s">
        <v>757</v>
      </c>
    </row>
    <row r="29" spans="1:105" ht="11.45" customHeight="1" x14ac:dyDescent="0.25">
      <c r="A29" s="111" t="s">
        <v>111</v>
      </c>
      <c r="B29" s="97">
        <v>3623.722344531699</v>
      </c>
      <c r="C29" s="97">
        <v>3595.2313517159619</v>
      </c>
      <c r="D29" s="97">
        <v>3526.6378602160426</v>
      </c>
      <c r="E29" s="97">
        <v>3487.6078568820103</v>
      </c>
      <c r="F29" s="97">
        <v>3573.5827106779475</v>
      </c>
      <c r="G29" s="97">
        <v>3524.8292417358921</v>
      </c>
      <c r="H29" s="97">
        <v>3676.767693951811</v>
      </c>
      <c r="I29" s="97">
        <v>3725.0159008385617</v>
      </c>
      <c r="J29" s="97">
        <v>3658.1565007980053</v>
      </c>
      <c r="K29" s="97">
        <v>3530.2953030167282</v>
      </c>
      <c r="L29" s="97">
        <v>3399.9356275711007</v>
      </c>
      <c r="M29" s="97">
        <v>3319.5207419872027</v>
      </c>
      <c r="N29" s="97">
        <v>3156.447925586202</v>
      </c>
      <c r="O29" s="97">
        <v>3139.7566269878234</v>
      </c>
      <c r="P29" s="97">
        <v>3079.0325976039467</v>
      </c>
      <c r="Q29" s="97">
        <v>3076.6478409582082</v>
      </c>
      <c r="R29" s="97">
        <v>3048.1096940311759</v>
      </c>
      <c r="S29" s="97">
        <v>1809.7832176128297</v>
      </c>
      <c r="T29" s="97">
        <v>1803.3715627535801</v>
      </c>
      <c r="U29" s="97">
        <v>1777.1490710918968</v>
      </c>
      <c r="V29" s="97">
        <v>1119.1278908131978</v>
      </c>
      <c r="W29" s="97">
        <v>1416.2208968769451</v>
      </c>
      <c r="X29" s="97">
        <v>1613.6462945276321</v>
      </c>
      <c r="Y29" s="97">
        <v>1734.3324938838741</v>
      </c>
      <c r="DA29" s="175" t="s">
        <v>758</v>
      </c>
    </row>
    <row r="30" spans="1:105" ht="11.45" customHeight="1" x14ac:dyDescent="0.25">
      <c r="A30" s="111" t="s">
        <v>112</v>
      </c>
      <c r="B30" s="97">
        <v>0</v>
      </c>
      <c r="C30" s="97">
        <v>0</v>
      </c>
      <c r="D30" s="97">
        <v>0</v>
      </c>
      <c r="E30" s="97">
        <v>0</v>
      </c>
      <c r="F30" s="97">
        <v>0</v>
      </c>
      <c r="G30" s="97">
        <v>0</v>
      </c>
      <c r="H30" s="97">
        <v>0</v>
      </c>
      <c r="I30" s="97">
        <v>0</v>
      </c>
      <c r="J30" s="97">
        <v>0</v>
      </c>
      <c r="K30" s="97">
        <v>0</v>
      </c>
      <c r="L30" s="97">
        <v>0</v>
      </c>
      <c r="M30" s="97">
        <v>0</v>
      </c>
      <c r="N30" s="97">
        <v>0</v>
      </c>
      <c r="O30" s="97">
        <v>0</v>
      </c>
      <c r="P30" s="97">
        <v>9.2871794100442343E-2</v>
      </c>
      <c r="Q30" s="97">
        <v>2.4917522955962372</v>
      </c>
      <c r="R30" s="97">
        <v>2.477177143019087</v>
      </c>
      <c r="S30" s="97">
        <v>2.1298930871769626</v>
      </c>
      <c r="T30" s="97">
        <v>1.9867451470133246</v>
      </c>
      <c r="U30" s="97">
        <v>2.5783381409641781</v>
      </c>
      <c r="V30" s="97">
        <v>2.1631358191915213</v>
      </c>
      <c r="W30" s="97">
        <v>5.7994557611494129</v>
      </c>
      <c r="X30" s="97">
        <v>8.5625884655959403</v>
      </c>
      <c r="Y30" s="97">
        <v>12.303103939373356</v>
      </c>
      <c r="DA30" s="175" t="s">
        <v>759</v>
      </c>
    </row>
    <row r="31" spans="1:105" ht="11.45" customHeight="1" x14ac:dyDescent="0.25">
      <c r="A31" s="111" t="s">
        <v>113</v>
      </c>
      <c r="B31" s="97">
        <v>15.752678040000001</v>
      </c>
      <c r="C31" s="97">
        <v>22.922258039999999</v>
      </c>
      <c r="D31" s="97">
        <v>30.798698040000001</v>
      </c>
      <c r="E31" s="97">
        <v>37.210726079999993</v>
      </c>
      <c r="F31" s="97">
        <v>42.308556818000518</v>
      </c>
      <c r="G31" s="97">
        <v>46.830997180395507</v>
      </c>
      <c r="H31" s="97">
        <v>52.191353101098116</v>
      </c>
      <c r="I31" s="97">
        <v>81.203226015148132</v>
      </c>
      <c r="J31" s="97">
        <v>84.160936460428402</v>
      </c>
      <c r="K31" s="97">
        <v>101.28916911216035</v>
      </c>
      <c r="L31" s="97">
        <v>132.16922123561275</v>
      </c>
      <c r="M31" s="97">
        <v>143.52112017249286</v>
      </c>
      <c r="N31" s="97">
        <v>148.23589731280524</v>
      </c>
      <c r="O31" s="97">
        <v>159.20840622452542</v>
      </c>
      <c r="P31" s="97">
        <v>173.01126292108287</v>
      </c>
      <c r="Q31" s="97">
        <v>182.60322470440317</v>
      </c>
      <c r="R31" s="97">
        <v>232.59867789574724</v>
      </c>
      <c r="S31" s="97">
        <v>274.2734939913625</v>
      </c>
      <c r="T31" s="97">
        <v>262.93553926384425</v>
      </c>
      <c r="U31" s="97">
        <v>335.05839879223385</v>
      </c>
      <c r="V31" s="97">
        <v>370.0212099247978</v>
      </c>
      <c r="W31" s="97">
        <v>474.83532130210966</v>
      </c>
      <c r="X31" s="97">
        <v>531.6453268980955</v>
      </c>
      <c r="Y31" s="97">
        <v>614.89727813936497</v>
      </c>
      <c r="DA31" s="175" t="s">
        <v>760</v>
      </c>
    </row>
    <row r="32" spans="1:105" ht="11.45" customHeight="1" x14ac:dyDescent="0.25">
      <c r="A32" s="111" t="s">
        <v>115</v>
      </c>
      <c r="B32" s="97">
        <v>0</v>
      </c>
      <c r="C32" s="97">
        <v>0</v>
      </c>
      <c r="D32" s="97">
        <v>0</v>
      </c>
      <c r="E32" s="97">
        <v>0</v>
      </c>
      <c r="F32" s="97">
        <v>0</v>
      </c>
      <c r="G32" s="97">
        <v>0</v>
      </c>
      <c r="H32" s="97">
        <v>0</v>
      </c>
      <c r="I32" s="97">
        <v>0</v>
      </c>
      <c r="J32" s="97">
        <v>0</v>
      </c>
      <c r="K32" s="97">
        <v>0</v>
      </c>
      <c r="L32" s="97">
        <v>0</v>
      </c>
      <c r="M32" s="97">
        <v>0</v>
      </c>
      <c r="N32" s="97">
        <v>0</v>
      </c>
      <c r="O32" s="97">
        <v>0</v>
      </c>
      <c r="P32" s="97">
        <v>0</v>
      </c>
      <c r="Q32" s="97">
        <v>0</v>
      </c>
      <c r="R32" s="97">
        <v>0</v>
      </c>
      <c r="S32" s="97">
        <v>0</v>
      </c>
      <c r="T32" s="97">
        <v>0</v>
      </c>
      <c r="U32" s="97">
        <v>0</v>
      </c>
      <c r="V32" s="97">
        <v>0</v>
      </c>
      <c r="W32" s="97">
        <v>0</v>
      </c>
      <c r="X32" s="97">
        <v>0</v>
      </c>
      <c r="Y32" s="97">
        <v>0</v>
      </c>
      <c r="DA32" s="175" t="s">
        <v>761</v>
      </c>
    </row>
    <row r="33" spans="1:105" ht="11.45" customHeight="1" x14ac:dyDescent="0.25">
      <c r="A33" s="27" t="s">
        <v>34</v>
      </c>
      <c r="B33" s="32">
        <f t="shared" ref="B33:K33" si="28">B34+B40</f>
        <v>28313.744471306436</v>
      </c>
      <c r="C33" s="32">
        <f t="shared" si="28"/>
        <v>31016.977168511556</v>
      </c>
      <c r="D33" s="32">
        <f t="shared" si="28"/>
        <v>31131.054433654121</v>
      </c>
      <c r="E33" s="32">
        <f t="shared" si="28"/>
        <v>32870.188416272184</v>
      </c>
      <c r="F33" s="32">
        <f t="shared" si="28"/>
        <v>34686.227690340114</v>
      </c>
      <c r="G33" s="32">
        <f t="shared" si="28"/>
        <v>34854.127906414098</v>
      </c>
      <c r="H33" s="32">
        <f t="shared" si="28"/>
        <v>35711.25863006818</v>
      </c>
      <c r="I33" s="32">
        <f t="shared" si="28"/>
        <v>37208.673764844119</v>
      </c>
      <c r="J33" s="32">
        <f t="shared" si="28"/>
        <v>33769.708645379731</v>
      </c>
      <c r="K33" s="32">
        <f t="shared" si="28"/>
        <v>28592.00250570257</v>
      </c>
      <c r="L33" s="32">
        <f t="shared" ref="L33" si="29">L34+L40</f>
        <v>27331.343454372378</v>
      </c>
      <c r="M33" s="32">
        <f t="shared" ref="M33:V33" si="30">M34+M40</f>
        <v>25307.97981949629</v>
      </c>
      <c r="N33" s="32">
        <f t="shared" si="30"/>
        <v>21359.192074981296</v>
      </c>
      <c r="O33" s="32">
        <f t="shared" si="30"/>
        <v>22100.758093639844</v>
      </c>
      <c r="P33" s="32">
        <f t="shared" si="30"/>
        <v>22327.5089913745</v>
      </c>
      <c r="Q33" s="32">
        <f t="shared" si="30"/>
        <v>23480.243808059666</v>
      </c>
      <c r="R33" s="32">
        <f t="shared" si="30"/>
        <v>25563.908945831245</v>
      </c>
      <c r="S33" s="32">
        <f t="shared" si="30"/>
        <v>26512.696717984447</v>
      </c>
      <c r="T33" s="32">
        <f t="shared" si="30"/>
        <v>27010.983347963771</v>
      </c>
      <c r="U33" s="32">
        <f t="shared" si="30"/>
        <v>26053.47891635049</v>
      </c>
      <c r="V33" s="32">
        <f t="shared" si="30"/>
        <v>22275.626009445936</v>
      </c>
      <c r="W33" s="32">
        <f t="shared" ref="W33:Y33" si="31">W34+W40</f>
        <v>25081.086701654549</v>
      </c>
      <c r="X33" s="32">
        <f t="shared" si="31"/>
        <v>25878.034012094209</v>
      </c>
      <c r="Y33" s="32">
        <f t="shared" si="31"/>
        <v>24035.901647342816</v>
      </c>
      <c r="DA33" s="173" t="s">
        <v>411</v>
      </c>
    </row>
    <row r="34" spans="1:105" ht="11.45" customHeight="1" x14ac:dyDescent="0.25">
      <c r="A34" s="136" t="s">
        <v>153</v>
      </c>
      <c r="B34" s="141">
        <f t="shared" ref="B34:K34" si="32">SUM(B35:B39)</f>
        <v>8494.3237707482876</v>
      </c>
      <c r="C34" s="141">
        <f t="shared" si="32"/>
        <v>10117.705915225235</v>
      </c>
      <c r="D34" s="141">
        <f t="shared" si="32"/>
        <v>9091.116380681744</v>
      </c>
      <c r="E34" s="141">
        <f t="shared" si="32"/>
        <v>9547.3879543821931</v>
      </c>
      <c r="F34" s="141">
        <f t="shared" si="32"/>
        <v>9621.4858457614737</v>
      </c>
      <c r="G34" s="141">
        <f t="shared" si="32"/>
        <v>8715.0020694322338</v>
      </c>
      <c r="H34" s="141">
        <f t="shared" si="32"/>
        <v>9075.7104610195474</v>
      </c>
      <c r="I34" s="141">
        <f t="shared" si="32"/>
        <v>10008.269757722694</v>
      </c>
      <c r="J34" s="141">
        <f t="shared" si="32"/>
        <v>8887.8497903006373</v>
      </c>
      <c r="K34" s="141">
        <f t="shared" si="32"/>
        <v>7320.9355811262558</v>
      </c>
      <c r="L34" s="141">
        <f t="shared" ref="L34" si="33">SUM(L35:L39)</f>
        <v>7106.010956539365</v>
      </c>
      <c r="M34" s="141">
        <f t="shared" ref="M34:V34" si="34">SUM(M35:M39)</f>
        <v>6845.3184047987006</v>
      </c>
      <c r="N34" s="141">
        <f t="shared" si="34"/>
        <v>6146.8145819210986</v>
      </c>
      <c r="O34" s="141">
        <f t="shared" si="34"/>
        <v>6499.4549291967787</v>
      </c>
      <c r="P34" s="141">
        <f t="shared" si="34"/>
        <v>6309.1835025051041</v>
      </c>
      <c r="Q34" s="141">
        <f t="shared" si="34"/>
        <v>6525.4818465272756</v>
      </c>
      <c r="R34" s="141">
        <f t="shared" si="34"/>
        <v>6219.4934326816146</v>
      </c>
      <c r="S34" s="141">
        <f t="shared" si="34"/>
        <v>6627.9162612598375</v>
      </c>
      <c r="T34" s="141">
        <f t="shared" si="34"/>
        <v>6632.3532840067828</v>
      </c>
      <c r="U34" s="141">
        <f t="shared" si="34"/>
        <v>6664.8298337059559</v>
      </c>
      <c r="V34" s="141">
        <f t="shared" si="34"/>
        <v>4370.7970806039402</v>
      </c>
      <c r="W34" s="141">
        <f t="shared" ref="W34:Y34" si="35">SUM(W35:W39)</f>
        <v>6396.5273273038483</v>
      </c>
      <c r="X34" s="141">
        <f t="shared" si="35"/>
        <v>6933.7752301884439</v>
      </c>
      <c r="Y34" s="141">
        <f t="shared" si="35"/>
        <v>6654.5740467893966</v>
      </c>
      <c r="DA34" s="174" t="s">
        <v>412</v>
      </c>
    </row>
    <row r="35" spans="1:105" ht="11.45" customHeight="1" x14ac:dyDescent="0.25">
      <c r="A35" s="111" t="s">
        <v>110</v>
      </c>
      <c r="B35" s="96">
        <v>661.02739635403861</v>
      </c>
      <c r="C35" s="96">
        <v>723.20766454968896</v>
      </c>
      <c r="D35" s="96">
        <v>518.00863771269337</v>
      </c>
      <c r="E35" s="96">
        <v>459.83313473617051</v>
      </c>
      <c r="F35" s="96">
        <v>390.05380060634826</v>
      </c>
      <c r="G35" s="96">
        <v>291.32518688865878</v>
      </c>
      <c r="H35" s="96">
        <v>253.4094379212857</v>
      </c>
      <c r="I35" s="96">
        <v>227.76349268522412</v>
      </c>
      <c r="J35" s="96">
        <v>184.21107191657993</v>
      </c>
      <c r="K35" s="96">
        <v>159.2782622743473</v>
      </c>
      <c r="L35" s="96">
        <v>148.06508077318179</v>
      </c>
      <c r="M35" s="96">
        <v>148.05729195478744</v>
      </c>
      <c r="N35" s="96">
        <v>143.20881026281984</v>
      </c>
      <c r="O35" s="96">
        <v>140.221630601621</v>
      </c>
      <c r="P35" s="96">
        <v>93.269009434955876</v>
      </c>
      <c r="Q35" s="96">
        <v>95.399634190965898</v>
      </c>
      <c r="R35" s="96">
        <v>86.996668311079944</v>
      </c>
      <c r="S35" s="96">
        <v>97.095079314810064</v>
      </c>
      <c r="T35" s="96">
        <v>100.2559819850762</v>
      </c>
      <c r="U35" s="96">
        <v>106.46751352911188</v>
      </c>
      <c r="V35" s="96">
        <v>66.408426727665315</v>
      </c>
      <c r="W35" s="96">
        <v>102.68777327251581</v>
      </c>
      <c r="X35" s="96">
        <v>105.61234537588935</v>
      </c>
      <c r="Y35" s="96">
        <v>84.351838715766064</v>
      </c>
      <c r="DA35" s="171" t="s">
        <v>762</v>
      </c>
    </row>
    <row r="36" spans="1:105" ht="11.45" customHeight="1" x14ac:dyDescent="0.25">
      <c r="A36" s="111" t="s">
        <v>111</v>
      </c>
      <c r="B36" s="96">
        <v>7833.2963743942482</v>
      </c>
      <c r="C36" s="96">
        <v>9394.4982506755459</v>
      </c>
      <c r="D36" s="96">
        <v>8573.1077429690504</v>
      </c>
      <c r="E36" s="96">
        <v>9087.5548196460222</v>
      </c>
      <c r="F36" s="96">
        <v>9231.4320451551248</v>
      </c>
      <c r="G36" s="96">
        <v>8423.6768825435756</v>
      </c>
      <c r="H36" s="96">
        <v>8822.3010230982618</v>
      </c>
      <c r="I36" s="96">
        <v>9780.5062650374693</v>
      </c>
      <c r="J36" s="96">
        <v>8703.6387183840579</v>
      </c>
      <c r="K36" s="96">
        <v>7161.6573188519087</v>
      </c>
      <c r="L36" s="96">
        <v>6957.9458757661832</v>
      </c>
      <c r="M36" s="96">
        <v>6697.261112843913</v>
      </c>
      <c r="N36" s="96">
        <v>6003.5503374482514</v>
      </c>
      <c r="O36" s="96">
        <v>6358.8349961644553</v>
      </c>
      <c r="P36" s="96">
        <v>6214.8475756386242</v>
      </c>
      <c r="Q36" s="96">
        <v>6427.1569851525446</v>
      </c>
      <c r="R36" s="96">
        <v>6128.3893382660617</v>
      </c>
      <c r="S36" s="96">
        <v>6524.5037042192871</v>
      </c>
      <c r="T36" s="96">
        <v>6520.7005012439131</v>
      </c>
      <c r="U36" s="96">
        <v>6535.0366863009476</v>
      </c>
      <c r="V36" s="96">
        <v>4284.1890905690216</v>
      </c>
      <c r="W36" s="96">
        <v>6256.4749491171069</v>
      </c>
      <c r="X36" s="96">
        <v>6786.3890361089798</v>
      </c>
      <c r="Y36" s="96">
        <v>6528.3078973495167</v>
      </c>
      <c r="DA36" s="171" t="s">
        <v>763</v>
      </c>
    </row>
    <row r="37" spans="1:105" ht="11.45" customHeight="1" x14ac:dyDescent="0.25">
      <c r="A37" s="111" t="s">
        <v>112</v>
      </c>
      <c r="B37" s="96">
        <v>0</v>
      </c>
      <c r="C37" s="96">
        <v>0</v>
      </c>
      <c r="D37" s="96">
        <v>0</v>
      </c>
      <c r="E37" s="96">
        <v>0</v>
      </c>
      <c r="F37" s="96">
        <v>0</v>
      </c>
      <c r="G37" s="96">
        <v>0</v>
      </c>
      <c r="H37" s="96">
        <v>0</v>
      </c>
      <c r="I37" s="96">
        <v>0</v>
      </c>
      <c r="J37" s="96">
        <v>0</v>
      </c>
      <c r="K37" s="96">
        <v>0</v>
      </c>
      <c r="L37" s="96">
        <v>0</v>
      </c>
      <c r="M37" s="96">
        <v>0</v>
      </c>
      <c r="N37" s="96">
        <v>0</v>
      </c>
      <c r="O37" s="96">
        <v>7.1712803189895391E-3</v>
      </c>
      <c r="P37" s="96">
        <v>0.5535071190429155</v>
      </c>
      <c r="Q37" s="96">
        <v>1.3527160155106228</v>
      </c>
      <c r="R37" s="96">
        <v>2.2171774040957728</v>
      </c>
      <c r="S37" s="96">
        <v>3.5425126061081871</v>
      </c>
      <c r="T37" s="96">
        <v>6.9875616600354933</v>
      </c>
      <c r="U37" s="96">
        <v>15.452878122680055</v>
      </c>
      <c r="V37" s="96">
        <v>12.779222089580173</v>
      </c>
      <c r="W37" s="96">
        <v>24.695485083184074</v>
      </c>
      <c r="X37" s="96">
        <v>27.995414026906783</v>
      </c>
      <c r="Y37" s="96">
        <v>28.571617064135058</v>
      </c>
      <c r="DA37" s="171" t="s">
        <v>764</v>
      </c>
    </row>
    <row r="38" spans="1:105" ht="11.45" customHeight="1" x14ac:dyDescent="0.25">
      <c r="A38" s="111" t="s">
        <v>113</v>
      </c>
      <c r="B38" s="96">
        <v>0</v>
      </c>
      <c r="C38" s="96">
        <v>0</v>
      </c>
      <c r="D38" s="96">
        <v>0</v>
      </c>
      <c r="E38" s="96">
        <v>0</v>
      </c>
      <c r="F38" s="96">
        <v>0</v>
      </c>
      <c r="G38" s="96">
        <v>0</v>
      </c>
      <c r="H38" s="96">
        <v>0</v>
      </c>
      <c r="I38" s="96">
        <v>0</v>
      </c>
      <c r="J38" s="96">
        <v>0</v>
      </c>
      <c r="K38" s="96">
        <v>0</v>
      </c>
      <c r="L38" s="96">
        <v>0</v>
      </c>
      <c r="M38" s="96">
        <v>0</v>
      </c>
      <c r="N38" s="96">
        <v>5.5434210027234192E-2</v>
      </c>
      <c r="O38" s="96">
        <v>0.39113115038382612</v>
      </c>
      <c r="P38" s="96">
        <v>0.51341031248169211</v>
      </c>
      <c r="Q38" s="96">
        <v>1.5725111682539719</v>
      </c>
      <c r="R38" s="96">
        <v>1.8902487003769666</v>
      </c>
      <c r="S38" s="96">
        <v>2.7749651196318661</v>
      </c>
      <c r="T38" s="96">
        <v>4.4092391177580481</v>
      </c>
      <c r="U38" s="96">
        <v>7.8727557532164072</v>
      </c>
      <c r="V38" s="96">
        <v>7.420341217673001</v>
      </c>
      <c r="W38" s="96">
        <v>12.669119831040947</v>
      </c>
      <c r="X38" s="96">
        <v>13.778434676668374</v>
      </c>
      <c r="Y38" s="96">
        <v>13.342693659977689</v>
      </c>
      <c r="DA38" s="171" t="s">
        <v>765</v>
      </c>
    </row>
    <row r="39" spans="1:105" ht="11.45" customHeight="1" x14ac:dyDescent="0.25">
      <c r="A39" s="111" t="s">
        <v>115</v>
      </c>
      <c r="B39" s="96">
        <v>0</v>
      </c>
      <c r="C39" s="96">
        <v>0</v>
      </c>
      <c r="D39" s="96">
        <v>0</v>
      </c>
      <c r="E39" s="96">
        <v>0</v>
      </c>
      <c r="F39" s="96">
        <v>0</v>
      </c>
      <c r="G39" s="96">
        <v>0</v>
      </c>
      <c r="H39" s="96">
        <v>0</v>
      </c>
      <c r="I39" s="96">
        <v>0</v>
      </c>
      <c r="J39" s="96">
        <v>0</v>
      </c>
      <c r="K39" s="96">
        <v>0</v>
      </c>
      <c r="L39" s="96">
        <v>0</v>
      </c>
      <c r="M39" s="96">
        <v>0</v>
      </c>
      <c r="N39" s="96">
        <v>0</v>
      </c>
      <c r="O39" s="96">
        <v>0</v>
      </c>
      <c r="P39" s="96">
        <v>0</v>
      </c>
      <c r="Q39" s="96">
        <v>0</v>
      </c>
      <c r="R39" s="96">
        <v>0</v>
      </c>
      <c r="S39" s="96">
        <v>0</v>
      </c>
      <c r="T39" s="96">
        <v>0</v>
      </c>
      <c r="U39" s="96">
        <v>0</v>
      </c>
      <c r="V39" s="96">
        <v>0</v>
      </c>
      <c r="W39" s="96">
        <v>0</v>
      </c>
      <c r="X39" s="96">
        <v>0</v>
      </c>
      <c r="Y39" s="96">
        <v>0</v>
      </c>
      <c r="DA39" s="171" t="s">
        <v>766</v>
      </c>
    </row>
    <row r="40" spans="1:105" ht="11.45" customHeight="1" x14ac:dyDescent="0.25">
      <c r="A40" s="109" t="s">
        <v>154</v>
      </c>
      <c r="B40" s="130">
        <f t="shared" ref="B40:K40" si="36">SUM(B41:B42)</f>
        <v>19819.420700558148</v>
      </c>
      <c r="C40" s="130">
        <f t="shared" si="36"/>
        <v>20899.271253286322</v>
      </c>
      <c r="D40" s="130">
        <f t="shared" si="36"/>
        <v>22039.938052972379</v>
      </c>
      <c r="E40" s="130">
        <f t="shared" si="36"/>
        <v>23322.800461889994</v>
      </c>
      <c r="F40" s="130">
        <f t="shared" si="36"/>
        <v>25064.741844578642</v>
      </c>
      <c r="G40" s="130">
        <f t="shared" si="36"/>
        <v>26139.125836981861</v>
      </c>
      <c r="H40" s="130">
        <f t="shared" si="36"/>
        <v>26635.548169048634</v>
      </c>
      <c r="I40" s="130">
        <f t="shared" si="36"/>
        <v>27200.404007121426</v>
      </c>
      <c r="J40" s="130">
        <f t="shared" si="36"/>
        <v>24881.858855079092</v>
      </c>
      <c r="K40" s="130">
        <f t="shared" si="36"/>
        <v>21271.066924576317</v>
      </c>
      <c r="L40" s="130">
        <f t="shared" ref="L40" si="37">SUM(L41:L42)</f>
        <v>20225.332497833013</v>
      </c>
      <c r="M40" s="130">
        <f t="shared" ref="M40:V40" si="38">SUM(M41:M42)</f>
        <v>18462.661414697588</v>
      </c>
      <c r="N40" s="130">
        <f t="shared" si="38"/>
        <v>15212.377493060198</v>
      </c>
      <c r="O40" s="130">
        <f t="shared" si="38"/>
        <v>15601.303164443067</v>
      </c>
      <c r="P40" s="130">
        <f t="shared" si="38"/>
        <v>16018.325488869395</v>
      </c>
      <c r="Q40" s="130">
        <f t="shared" si="38"/>
        <v>16954.761961532389</v>
      </c>
      <c r="R40" s="130">
        <f t="shared" si="38"/>
        <v>19344.41551314963</v>
      </c>
      <c r="S40" s="130">
        <f t="shared" si="38"/>
        <v>19884.780456724609</v>
      </c>
      <c r="T40" s="130">
        <f t="shared" si="38"/>
        <v>20378.630063956989</v>
      </c>
      <c r="U40" s="130">
        <f t="shared" si="38"/>
        <v>19388.649082644533</v>
      </c>
      <c r="V40" s="130">
        <f t="shared" si="38"/>
        <v>17904.828928841995</v>
      </c>
      <c r="W40" s="130">
        <f t="shared" ref="W40:Y40" si="39">SUM(W41:W42)</f>
        <v>18684.559374350702</v>
      </c>
      <c r="X40" s="130">
        <f t="shared" si="39"/>
        <v>18944.258781905766</v>
      </c>
      <c r="Y40" s="130">
        <f t="shared" si="39"/>
        <v>17381.327600553421</v>
      </c>
      <c r="DA40" s="176" t="s">
        <v>413</v>
      </c>
    </row>
    <row r="41" spans="1:105" ht="11.45" customHeight="1" x14ac:dyDescent="0.25">
      <c r="A41" s="128" t="s">
        <v>27</v>
      </c>
      <c r="B41" s="97">
        <v>16016.494348690965</v>
      </c>
      <c r="C41" s="97">
        <v>16946.095844057494</v>
      </c>
      <c r="D41" s="97">
        <v>18144.99626255918</v>
      </c>
      <c r="E41" s="97">
        <v>19340.337227087486</v>
      </c>
      <c r="F41" s="97">
        <v>20609.390682414083</v>
      </c>
      <c r="G41" s="97">
        <v>21608.623320721672</v>
      </c>
      <c r="H41" s="97">
        <v>22120.385817057595</v>
      </c>
      <c r="I41" s="97">
        <v>22785.364598087108</v>
      </c>
      <c r="J41" s="97">
        <v>20830.155452270606</v>
      </c>
      <c r="K41" s="97">
        <v>17656.875896558071</v>
      </c>
      <c r="L41" s="97">
        <v>16735.214839076962</v>
      </c>
      <c r="M41" s="97">
        <v>15232.467216348823</v>
      </c>
      <c r="N41" s="97">
        <v>12472.92772453985</v>
      </c>
      <c r="O41" s="97">
        <v>12451.618026308104</v>
      </c>
      <c r="P41" s="97">
        <v>12870.524643694094</v>
      </c>
      <c r="Q41" s="97">
        <v>13632.662400813084</v>
      </c>
      <c r="R41" s="97">
        <v>15578.450708941402</v>
      </c>
      <c r="S41" s="97">
        <v>16043.527317535943</v>
      </c>
      <c r="T41" s="97">
        <v>16352.193953894135</v>
      </c>
      <c r="U41" s="97">
        <v>15526.796474832119</v>
      </c>
      <c r="V41" s="97">
        <v>14401.925287153797</v>
      </c>
      <c r="W41" s="97">
        <v>15006.094845111023</v>
      </c>
      <c r="X41" s="97">
        <v>15048.700141340971</v>
      </c>
      <c r="Y41" s="97">
        <v>13944.070944538662</v>
      </c>
      <c r="DA41" s="175" t="s">
        <v>767</v>
      </c>
    </row>
    <row r="42" spans="1:105" ht="11.45" customHeight="1" x14ac:dyDescent="0.25">
      <c r="A42" s="138" t="s">
        <v>116</v>
      </c>
      <c r="B42" s="98">
        <v>3802.9263518671828</v>
      </c>
      <c r="C42" s="98">
        <v>3953.1754092288274</v>
      </c>
      <c r="D42" s="98">
        <v>3894.9417904131974</v>
      </c>
      <c r="E42" s="98">
        <v>3982.4632348025079</v>
      </c>
      <c r="F42" s="98">
        <v>4455.3511621645594</v>
      </c>
      <c r="G42" s="98">
        <v>4530.5025162601878</v>
      </c>
      <c r="H42" s="98">
        <v>4515.1623519910381</v>
      </c>
      <c r="I42" s="98">
        <v>4415.0394090343198</v>
      </c>
      <c r="J42" s="98">
        <v>4051.7034028084863</v>
      </c>
      <c r="K42" s="98">
        <v>3614.1910280182447</v>
      </c>
      <c r="L42" s="98">
        <v>3490.1176587560508</v>
      </c>
      <c r="M42" s="98">
        <v>3230.1941983487636</v>
      </c>
      <c r="N42" s="98">
        <v>2739.4497685203482</v>
      </c>
      <c r="O42" s="98">
        <v>3149.6851381349634</v>
      </c>
      <c r="P42" s="98">
        <v>3147.8008451753008</v>
      </c>
      <c r="Q42" s="98">
        <v>3322.0995607193058</v>
      </c>
      <c r="R42" s="98">
        <v>3765.9648042082295</v>
      </c>
      <c r="S42" s="98">
        <v>3841.2531391886673</v>
      </c>
      <c r="T42" s="98">
        <v>4026.4361100628539</v>
      </c>
      <c r="U42" s="98">
        <v>3861.8526078124141</v>
      </c>
      <c r="V42" s="98">
        <v>3502.9036416881986</v>
      </c>
      <c r="W42" s="98">
        <v>3678.4645292396795</v>
      </c>
      <c r="X42" s="98">
        <v>3895.5586405647946</v>
      </c>
      <c r="Y42" s="98">
        <v>3437.2566560147584</v>
      </c>
      <c r="DA42" s="178" t="s">
        <v>768</v>
      </c>
    </row>
    <row r="43" spans="1:105" x14ac:dyDescent="0.25">
      <c r="A43" s="106"/>
      <c r="B43" s="106"/>
      <c r="C43" s="106"/>
      <c r="D43" s="106"/>
      <c r="E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X43" s="106"/>
      <c r="Y43" s="106"/>
      <c r="DA43" s="171"/>
    </row>
    <row r="44" spans="1:105" ht="11.45" customHeight="1" x14ac:dyDescent="0.25">
      <c r="A44" s="68" t="s">
        <v>36</v>
      </c>
      <c r="B44" s="69"/>
      <c r="C44" s="69"/>
      <c r="D44" s="69"/>
      <c r="E44" s="69"/>
      <c r="F44" s="69"/>
      <c r="G44" s="69"/>
      <c r="H44" s="69"/>
      <c r="I44" s="69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X44" s="69"/>
      <c r="Y44" s="69"/>
      <c r="DA44" s="179"/>
    </row>
    <row r="45" spans="1:105" x14ac:dyDescent="0.25">
      <c r="A45" s="106"/>
      <c r="B45" s="106"/>
      <c r="C45" s="106"/>
      <c r="D45" s="106"/>
      <c r="E45" s="106"/>
      <c r="F45" s="106"/>
      <c r="G45" s="106"/>
      <c r="H45" s="106"/>
      <c r="I45" s="106"/>
      <c r="J45" s="106"/>
      <c r="K45" s="106"/>
      <c r="L45" s="106"/>
      <c r="M45" s="106"/>
      <c r="N45" s="106"/>
      <c r="O45" s="106"/>
      <c r="P45" s="106"/>
      <c r="Q45" s="106"/>
      <c r="R45" s="106"/>
      <c r="S45" s="106"/>
      <c r="T45" s="106"/>
      <c r="U45" s="106"/>
      <c r="V45" s="106"/>
      <c r="W45" s="106"/>
      <c r="X45" s="106"/>
      <c r="Y45" s="106"/>
      <c r="DA45" s="171"/>
    </row>
    <row r="46" spans="1:105" ht="11.45" customHeight="1" x14ac:dyDescent="0.25">
      <c r="A46" s="53" t="s">
        <v>48</v>
      </c>
      <c r="B46" s="132"/>
      <c r="C46" s="132"/>
      <c r="D46" s="132"/>
      <c r="E46" s="132"/>
      <c r="F46" s="132"/>
      <c r="G46" s="132"/>
      <c r="H46" s="132"/>
      <c r="I46" s="132"/>
      <c r="J46" s="132"/>
      <c r="K46" s="132"/>
      <c r="L46" s="132"/>
      <c r="M46" s="132"/>
      <c r="N46" s="132"/>
      <c r="O46" s="132"/>
      <c r="P46" s="132"/>
      <c r="Q46" s="132"/>
      <c r="R46" s="132"/>
      <c r="S46" s="132"/>
      <c r="T46" s="132"/>
      <c r="U46" s="132"/>
      <c r="V46" s="132"/>
      <c r="W46" s="132"/>
      <c r="X46" s="132"/>
      <c r="Y46" s="132"/>
      <c r="DA46" s="172"/>
    </row>
    <row r="47" spans="1:105" ht="11.45" customHeight="1" x14ac:dyDescent="0.25">
      <c r="A47" s="133" t="s">
        <v>45</v>
      </c>
      <c r="B47" s="145">
        <f>IF(B4=0,0,B4/TrRoad_ene!B4)</f>
        <v>3.0237888845646546</v>
      </c>
      <c r="C47" s="145">
        <f>IF(C4=0,0,C4/TrRoad_ene!C4)</f>
        <v>3.0278032717461718</v>
      </c>
      <c r="D47" s="145">
        <f>IF(D4=0,0,D4/TrRoad_ene!D4)</f>
        <v>3.0249261668559888</v>
      </c>
      <c r="E47" s="145">
        <f>IF(E4=0,0,E4/TrRoad_ene!E4)</f>
        <v>3.0244255104148778</v>
      </c>
      <c r="F47" s="145">
        <f>IF(F4=0,0,F4/TrRoad_ene!F4)</f>
        <v>3.0309979368604343</v>
      </c>
      <c r="G47" s="145">
        <f>IF(G4=0,0,G4/TrRoad_ene!G4)</f>
        <v>3.0272381213959889</v>
      </c>
      <c r="H47" s="145">
        <f>IF(H4=0,0,H4/TrRoad_ene!H4)</f>
        <v>3.0398673408980512</v>
      </c>
      <c r="I47" s="145">
        <f>IF(I4=0,0,I4/TrRoad_ene!I4)</f>
        <v>3.0235785680609806</v>
      </c>
      <c r="J47" s="145">
        <f>IF(J4=0,0,J4/TrRoad_ene!J4)</f>
        <v>3.0008518396186283</v>
      </c>
      <c r="K47" s="145">
        <f>IF(K4=0,0,K4/TrRoad_ene!K4)</f>
        <v>2.95093650524228</v>
      </c>
      <c r="L47" s="145">
        <f>IF(L4=0,0,L4/TrRoad_ene!L4)</f>
        <v>2.9114416615319838</v>
      </c>
      <c r="M47" s="145">
        <f>IF(M4=0,0,M4/TrRoad_ene!M4)</f>
        <v>2.8742389951308271</v>
      </c>
      <c r="N47" s="145">
        <f>IF(N4=0,0,N4/TrRoad_ene!N4)</f>
        <v>2.8077119484305086</v>
      </c>
      <c r="O47" s="145">
        <f>IF(O4=0,0,O4/TrRoad_ene!O4)</f>
        <v>2.9533148807946739</v>
      </c>
      <c r="P47" s="145">
        <f>IF(P4=0,0,P4/TrRoad_ene!P4)</f>
        <v>2.9470295353563802</v>
      </c>
      <c r="Q47" s="145">
        <f>IF(Q4=0,0,Q4/TrRoad_ene!Q4)</f>
        <v>2.9499298256587969</v>
      </c>
      <c r="R47" s="145">
        <f>IF(R4=0,0,R4/TrRoad_ene!R4)</f>
        <v>2.9372265573887897</v>
      </c>
      <c r="S47" s="145">
        <f>IF(S4=0,0,S4/TrRoad_ene!S4)</f>
        <v>2.9207837160366177</v>
      </c>
      <c r="T47" s="145">
        <f>IF(T4=0,0,T4/TrRoad_ene!T4)</f>
        <v>2.8807071490466187</v>
      </c>
      <c r="U47" s="145">
        <f>IF(U4=0,0,U4/TrRoad_ene!U4)</f>
        <v>2.8840108648139067</v>
      </c>
      <c r="V47" s="145">
        <f>IF(V4=0,0,V4/TrRoad_ene!V4)</f>
        <v>2.8761413033048706</v>
      </c>
      <c r="W47" s="145">
        <f>IF(W4=0,0,W4/TrRoad_ene!W4)</f>
        <v>2.8940745928970903</v>
      </c>
      <c r="X47" s="145">
        <f>IF(X4=0,0,X4/TrRoad_ene!X4)</f>
        <v>2.8982493542886001</v>
      </c>
      <c r="Y47" s="145">
        <f>IF(Y4=0,0,Y4/TrRoad_ene!Y4)</f>
        <v>2.8330158213415864</v>
      </c>
      <c r="DA47" s="206"/>
    </row>
    <row r="48" spans="1:105" ht="11.45" customHeight="1" x14ac:dyDescent="0.25">
      <c r="A48" s="92" t="s">
        <v>126</v>
      </c>
      <c r="B48" s="97">
        <f>IF(B7=0,0,(B7+B12)/(TrRoad_ene!B7+TrRoad_ene!B12))</f>
        <v>2.9014524000000002</v>
      </c>
      <c r="C48" s="97">
        <f>IF(C7=0,0,(C7+C12)/(TrRoad_ene!C7+TrRoad_ene!C12))</f>
        <v>2.9014524000000002</v>
      </c>
      <c r="D48" s="97">
        <f>IF(D7=0,0,(D7+D12)/(TrRoad_ene!D7+TrRoad_ene!D12))</f>
        <v>2.8771872496757309</v>
      </c>
      <c r="E48" s="97">
        <f>IF(E7=0,0,(E7+E12)/(TrRoad_ene!E7+TrRoad_ene!E12))</f>
        <v>2.8673251782163476</v>
      </c>
      <c r="F48" s="97">
        <f>IF(F7=0,0,(F7+F12)/(TrRoad_ene!F7+TrRoad_ene!F12))</f>
        <v>2.8744780243061023</v>
      </c>
      <c r="G48" s="97">
        <f>IF(G7=0,0,(G7+G12)/(TrRoad_ene!G7+TrRoad_ene!G12))</f>
        <v>2.8589702660631731</v>
      </c>
      <c r="H48" s="97">
        <f>IF(H7=0,0,(H7+H12)/(TrRoad_ene!H7+TrRoad_ene!H12))</f>
        <v>2.8564707919492531</v>
      </c>
      <c r="I48" s="97">
        <f>IF(I7=0,0,(I7+I12)/(TrRoad_ene!I7+TrRoad_ene!I12))</f>
        <v>2.8552654716694699</v>
      </c>
      <c r="J48" s="97">
        <f>IF(J7=0,0,(J7+J12)/(TrRoad_ene!J7+TrRoad_ene!J12))</f>
        <v>2.8605831572722966</v>
      </c>
      <c r="K48" s="97">
        <f>IF(K7=0,0,(K7+K12)/(TrRoad_ene!K7+TrRoad_ene!K12))</f>
        <v>2.8305310499374001</v>
      </c>
      <c r="L48" s="97">
        <f>IF(L7=0,0,(L7+L12)/(TrRoad_ene!L7+TrRoad_ene!L12))</f>
        <v>2.7863404491996406</v>
      </c>
      <c r="M48" s="97">
        <f>IF(M7=0,0,(M7+M12)/(TrRoad_ene!M7+TrRoad_ene!M12))</f>
        <v>2.7807143318351084</v>
      </c>
      <c r="N48" s="97">
        <f>IF(N7=0,0,(N7+N12)/(TrRoad_ene!N7+TrRoad_ene!N12))</f>
        <v>2.7834065644464863</v>
      </c>
      <c r="O48" s="97">
        <f>IF(O7=0,0,(O7+O12)/(TrRoad_ene!O7+TrRoad_ene!O12))</f>
        <v>2.7991154941380323</v>
      </c>
      <c r="P48" s="97">
        <f>IF(P7=0,0,(P7+P12)/(TrRoad_ene!P7+TrRoad_ene!P12))</f>
        <v>2.7861302573203885</v>
      </c>
      <c r="Q48" s="97">
        <f>IF(Q7=0,0,(Q7+Q12)/(TrRoad_ene!Q7+TrRoad_ene!Q12))</f>
        <v>2.7854177637973936</v>
      </c>
      <c r="R48" s="97">
        <f>IF(R7=0,0,(R7+R12)/(TrRoad_ene!R7+TrRoad_ene!R12))</f>
        <v>2.8220030727725987</v>
      </c>
      <c r="S48" s="97">
        <f>IF(S7=0,0,(S7+S12)/(TrRoad_ene!S7+TrRoad_ene!S12))</f>
        <v>2.821520219310949</v>
      </c>
      <c r="T48" s="97">
        <f>IF(T7=0,0,(T7+T12)/(TrRoad_ene!T7+TrRoad_ene!T12))</f>
        <v>2.816059645125403</v>
      </c>
      <c r="U48" s="97">
        <f>IF(U7=0,0,(U7+U12)/(TrRoad_ene!U7+TrRoad_ene!U12))</f>
        <v>2.8331934754915808</v>
      </c>
      <c r="V48" s="97">
        <f>IF(V7=0,0,(V7+V12)/(TrRoad_ene!V7+TrRoad_ene!V12))</f>
        <v>2.8442052344374611</v>
      </c>
      <c r="W48" s="97">
        <f>IF(W7=0,0,(W7+W12)/(TrRoad_ene!W7+TrRoad_ene!W12))</f>
        <v>2.8411152988596742</v>
      </c>
      <c r="X48" s="97">
        <f>IF(X7=0,0,(X7+X12)/(TrRoad_ene!X7+TrRoad_ene!X12))</f>
        <v>2.8518867728953778</v>
      </c>
      <c r="Y48" s="97">
        <f>IF(Y7=0,0,(Y7+Y12)/(TrRoad_ene!Y7+TrRoad_ene!Y12))</f>
        <v>2.8300962948861814</v>
      </c>
      <c r="DA48" s="175"/>
    </row>
    <row r="49" spans="1:105" ht="11.45" customHeight="1" x14ac:dyDescent="0.25">
      <c r="A49" s="92" t="s">
        <v>95</v>
      </c>
      <c r="B49" s="97">
        <f>IF(B8=0,0,(B8+B13+B14)/(TrRoad_ene!B8+TrRoad_ene!B13+TrRoad_ene!B14))</f>
        <v>3.0897338475298226</v>
      </c>
      <c r="C49" s="97">
        <f>IF(C8=0,0,(C8+C13+C14)/(TrRoad_ene!C8+TrRoad_ene!C13+TrRoad_ene!C14))</f>
        <v>3.0906547970458362</v>
      </c>
      <c r="D49" s="97">
        <f>IF(D8=0,0,(D8+D13+D14)/(TrRoad_ene!D8+TrRoad_ene!D13+TrRoad_ene!D14))</f>
        <v>3.0916947295280814</v>
      </c>
      <c r="E49" s="97">
        <f>IF(E8=0,0,(E8+E13+E14)/(TrRoad_ene!E8+TrRoad_ene!E13+TrRoad_ene!E14))</f>
        <v>3.0887652368621232</v>
      </c>
      <c r="F49" s="97">
        <f>IF(F8=0,0,(F8+F13+F14)/(TrRoad_ene!F8+TrRoad_ene!F13+TrRoad_ene!F14))</f>
        <v>3.0884074762035589</v>
      </c>
      <c r="G49" s="97">
        <f>IF(G8=0,0,(G8+G13+G14)/(TrRoad_ene!G8+TrRoad_ene!G13+TrRoad_ene!G14))</f>
        <v>3.0833888944641488</v>
      </c>
      <c r="H49" s="97">
        <f>IF(H8=0,0,(H8+H13+H14)/(TrRoad_ene!H8+TrRoad_ene!H13+TrRoad_ene!H14))</f>
        <v>3.0953920227283169</v>
      </c>
      <c r="I49" s="97">
        <f>IF(I8=0,0,(I8+I13+I14)/(TrRoad_ene!I8+TrRoad_ene!I13+TrRoad_ene!I14))</f>
        <v>3.0704334719919659</v>
      </c>
      <c r="J49" s="97">
        <f>IF(J8=0,0,(J8+J13+J14)/(TrRoad_ene!J8+TrRoad_ene!J13+TrRoad_ene!J14))</f>
        <v>3.038027346574605</v>
      </c>
      <c r="K49" s="97">
        <f>IF(K8=0,0,(K8+K13+K14)/(TrRoad_ene!K8+TrRoad_ene!K13+TrRoad_ene!K14))</f>
        <v>2.9833388327266435</v>
      </c>
      <c r="L49" s="97">
        <f>IF(L8=0,0,(L8+L13+L14)/(TrRoad_ene!L8+TrRoad_ene!L13+TrRoad_ene!L14))</f>
        <v>2.9437902610620452</v>
      </c>
      <c r="M49" s="97">
        <f>IF(M8=0,0,(M8+M13+M14)/(TrRoad_ene!M8+TrRoad_ene!M13+TrRoad_ene!M14))</f>
        <v>2.8981657754520471</v>
      </c>
      <c r="N49" s="97">
        <f>IF(N8=0,0,(N8+N13+N14)/(TrRoad_ene!N8+TrRoad_ene!N13+TrRoad_ene!N14))</f>
        <v>2.8151716114933314</v>
      </c>
      <c r="O49" s="97">
        <f>IF(O8=0,0,(O8+O13+O14)/(TrRoad_ene!O8+TrRoad_ene!O13+TrRoad_ene!O14))</f>
        <v>2.9917132685922221</v>
      </c>
      <c r="P49" s="97">
        <f>IF(P8=0,0,(P8+P13+P14)/(TrRoad_ene!P8+TrRoad_ene!P13+TrRoad_ene!P14))</f>
        <v>2.9862063369671574</v>
      </c>
      <c r="Q49" s="97">
        <f>IF(Q8=0,0,(Q8+Q13+Q14)/(TrRoad_ene!Q8+TrRoad_ene!Q13+TrRoad_ene!Q14))</f>
        <v>2.9892524008898462</v>
      </c>
      <c r="R49" s="97">
        <f>IF(R8=0,0,(R8+R13+R14)/(TrRoad_ene!R8+TrRoad_ene!R13+TrRoad_ene!R14))</f>
        <v>2.9663097004477499</v>
      </c>
      <c r="S49" s="97">
        <f>IF(S8=0,0,(S8+S13+S14)/(TrRoad_ene!S8+TrRoad_ene!S13+TrRoad_ene!S14))</f>
        <v>2.9468903178093457</v>
      </c>
      <c r="T49" s="97">
        <f>IF(T8=0,0,(T8+T13+T14)/(TrRoad_ene!T8+TrRoad_ene!T13+TrRoad_ene!T14))</f>
        <v>2.8996005121593731</v>
      </c>
      <c r="U49" s="97">
        <f>IF(U8=0,0,(U8+U13+U14)/(TrRoad_ene!U8+TrRoad_ene!U13+TrRoad_ene!U14))</f>
        <v>2.9021075435097092</v>
      </c>
      <c r="V49" s="97">
        <f>IF(V8=0,0,(V8+V13+V14)/(TrRoad_ene!V8+TrRoad_ene!V13+TrRoad_ene!V14))</f>
        <v>2.8909381041122559</v>
      </c>
      <c r="W49" s="97">
        <f>IF(W8=0,0,(W8+W13+W14)/(TrRoad_ene!W8+TrRoad_ene!W13+TrRoad_ene!W14))</f>
        <v>2.9176979600742072</v>
      </c>
      <c r="X49" s="97">
        <f>IF(X8=0,0,(X8+X13+X14)/(TrRoad_ene!X8+TrRoad_ene!X13+TrRoad_ene!X14))</f>
        <v>2.9238960084568588</v>
      </c>
      <c r="Y49" s="97">
        <f>IF(Y8=0,0,(Y8+Y13+Y14)/(TrRoad_ene!Y8+TrRoad_ene!Y13+TrRoad_ene!Y14))</f>
        <v>2.8502129207293039</v>
      </c>
      <c r="DA49" s="175"/>
    </row>
    <row r="50" spans="1:105" ht="11.45" customHeight="1" x14ac:dyDescent="0.25">
      <c r="A50" s="92" t="s">
        <v>127</v>
      </c>
      <c r="B50" s="97">
        <f>IF(B6=0,0,B6/TrRoad_ene!B6)</f>
        <v>2.6418708000000004</v>
      </c>
      <c r="C50" s="97">
        <f>IF(C6=0,0,C6/TrRoad_ene!C6)</f>
        <v>2.6418708000000004</v>
      </c>
      <c r="D50" s="97">
        <f>IF(D6=0,0,D6/TrRoad_ene!D6)</f>
        <v>2.6418708000000004</v>
      </c>
      <c r="E50" s="97">
        <f>IF(E6=0,0,E6/TrRoad_ene!E6)</f>
        <v>2.6418708000000004</v>
      </c>
      <c r="F50" s="97">
        <f>IF(F6=0,0,F6/TrRoad_ene!F6)</f>
        <v>2.6418708000000004</v>
      </c>
      <c r="G50" s="97">
        <f>IF(G6=0,0,G6/TrRoad_ene!G6)</f>
        <v>2.6418708000000004</v>
      </c>
      <c r="H50" s="97">
        <f>IF(H6=0,0,H6/TrRoad_ene!H6)</f>
        <v>2.6418708000000004</v>
      </c>
      <c r="I50" s="97">
        <f>IF(I6=0,0,I6/TrRoad_ene!I6)</f>
        <v>2.6418708000000004</v>
      </c>
      <c r="J50" s="97">
        <f>IF(J6=0,0,J6/TrRoad_ene!J6)</f>
        <v>2.6418708000000004</v>
      </c>
      <c r="K50" s="97">
        <f>IF(K6=0,0,K6/TrRoad_ene!K6)</f>
        <v>2.6418708000000004</v>
      </c>
      <c r="L50" s="97">
        <f>IF(L6=0,0,L6/TrRoad_ene!L6)</f>
        <v>2.6418708000000004</v>
      </c>
      <c r="M50" s="97">
        <f>IF(M6=0,0,M6/TrRoad_ene!M6)</f>
        <v>2.6418708000000004</v>
      </c>
      <c r="N50" s="97">
        <f>IF(N6=0,0,N6/TrRoad_ene!N6)</f>
        <v>2.6418708000000004</v>
      </c>
      <c r="O50" s="97">
        <f>IF(O6=0,0,O6/TrRoad_ene!O6)</f>
        <v>2.6418708000000004</v>
      </c>
      <c r="P50" s="97">
        <f>IF(P6=0,0,P6/TrRoad_ene!P6)</f>
        <v>2.6418708000000004</v>
      </c>
      <c r="Q50" s="97">
        <f>IF(Q6=0,0,Q6/TrRoad_ene!Q6)</f>
        <v>2.6418708000000004</v>
      </c>
      <c r="R50" s="97">
        <f>IF(R6=0,0,R6/TrRoad_ene!R6)</f>
        <v>2.6418708000000004</v>
      </c>
      <c r="S50" s="97">
        <f>IF(S6=0,0,S6/TrRoad_ene!S6)</f>
        <v>2.6418708000000004</v>
      </c>
      <c r="T50" s="97">
        <f>IF(T6=0,0,T6/TrRoad_ene!T6)</f>
        <v>2.6418708000000004</v>
      </c>
      <c r="U50" s="97">
        <f>IF(U6=0,0,U6/TrRoad_ene!U6)</f>
        <v>2.6418708</v>
      </c>
      <c r="V50" s="97">
        <f>IF(V6=0,0,V6/TrRoad_ene!V6)</f>
        <v>2.6418708000000004</v>
      </c>
      <c r="W50" s="97">
        <f>IF(W6=0,0,W6/TrRoad_ene!W6)</f>
        <v>2.6418708000000004</v>
      </c>
      <c r="X50" s="97">
        <f>IF(X6=0,0,X6/TrRoad_ene!X6)</f>
        <v>2.6418708000000004</v>
      </c>
      <c r="Y50" s="97">
        <f>IF(Y6=0,0,Y6/TrRoad_ene!Y6)</f>
        <v>2.6418708000000004</v>
      </c>
      <c r="DA50" s="175"/>
    </row>
    <row r="51" spans="1:105" ht="11.45" customHeight="1" x14ac:dyDescent="0.25">
      <c r="A51" s="92" t="s">
        <v>128</v>
      </c>
      <c r="B51" s="97">
        <f>IF(B9=0,0,(B9+B11)/(TrRoad_ene!B9+TrRoad_ene!B11))</f>
        <v>2.3487948000000003</v>
      </c>
      <c r="C51" s="97">
        <f>IF(C9=0,0,(C9+C11)/(TrRoad_ene!C9+TrRoad_ene!C11))</f>
        <v>2.3487948000000003</v>
      </c>
      <c r="D51" s="97">
        <f>IF(D9=0,0,(D9+D11)/(TrRoad_ene!D9+TrRoad_ene!D11))</f>
        <v>2.3487948000000003</v>
      </c>
      <c r="E51" s="97">
        <f>IF(E9=0,0,(E9+E11)/(TrRoad_ene!E9+TrRoad_ene!E11))</f>
        <v>2.3487948000000003</v>
      </c>
      <c r="F51" s="97">
        <f>IF(F9=0,0,(F9+F11)/(TrRoad_ene!F9+TrRoad_ene!F11))</f>
        <v>2.3487948000000003</v>
      </c>
      <c r="G51" s="97">
        <f>IF(G9=0,0,(G9+G11)/(TrRoad_ene!G9+TrRoad_ene!G11))</f>
        <v>2.3487948000000003</v>
      </c>
      <c r="H51" s="97">
        <f>IF(H9=0,0,(H9+H11)/(TrRoad_ene!H9+TrRoad_ene!H11))</f>
        <v>2.3487948000000003</v>
      </c>
      <c r="I51" s="97">
        <f>IF(I9=0,0,(I9+I11)/(TrRoad_ene!I9+TrRoad_ene!I11))</f>
        <v>2.3487948000000003</v>
      </c>
      <c r="J51" s="97">
        <f>IF(J9=0,0,(J9+J11)/(TrRoad_ene!J9+TrRoad_ene!J11))</f>
        <v>2.3487948000000003</v>
      </c>
      <c r="K51" s="97">
        <f>IF(K9=0,0,(K9+K11)/(TrRoad_ene!K9+TrRoad_ene!K11))</f>
        <v>2.3487948000000003</v>
      </c>
      <c r="L51" s="97">
        <f>IF(L9=0,0,(L9+L11)/(TrRoad_ene!L9+TrRoad_ene!L11))</f>
        <v>2.3487948000000003</v>
      </c>
      <c r="M51" s="97">
        <f>IF(M9=0,0,(M9+M11)/(TrRoad_ene!M9+TrRoad_ene!M11))</f>
        <v>2.3487948000000003</v>
      </c>
      <c r="N51" s="97">
        <f>IF(N9=0,0,(N9+N11)/(TrRoad_ene!N9+TrRoad_ene!N11))</f>
        <v>2.3487948000000003</v>
      </c>
      <c r="O51" s="97">
        <f>IF(O9=0,0,(O9+O11)/(TrRoad_ene!O9+TrRoad_ene!O11))</f>
        <v>2.3487948000000003</v>
      </c>
      <c r="P51" s="97">
        <f>IF(P9=0,0,(P9+P11)/(TrRoad_ene!P9+TrRoad_ene!P11))</f>
        <v>2.3487948000000003</v>
      </c>
      <c r="Q51" s="97">
        <f>IF(Q9=0,0,(Q9+Q11)/(TrRoad_ene!Q9+TrRoad_ene!Q11))</f>
        <v>2.3487948000000003</v>
      </c>
      <c r="R51" s="97">
        <f>IF(R9=0,0,(R9+R11)/(TrRoad_ene!R9+TrRoad_ene!R11))</f>
        <v>2.3487948000000003</v>
      </c>
      <c r="S51" s="97">
        <f>IF(S9=0,0,(S9+S11)/(TrRoad_ene!S9+TrRoad_ene!S11))</f>
        <v>2.3481635642742948</v>
      </c>
      <c r="T51" s="97">
        <f>IF(T9=0,0,(T9+T11)/(TrRoad_ene!T9+TrRoad_ene!T11))</f>
        <v>2.3481467735155865</v>
      </c>
      <c r="U51" s="97">
        <f>IF(U9=0,0,(U9+U11)/(TrRoad_ene!U9+TrRoad_ene!U11))</f>
        <v>2.3481911914233424</v>
      </c>
      <c r="V51" s="97">
        <f>IF(V9=0,0,(V9+V11)/(TrRoad_ene!V9+TrRoad_ene!V11))</f>
        <v>2.3480910695397079</v>
      </c>
      <c r="W51" s="97">
        <f>IF(W9=0,0,(W9+W11)/(TrRoad_ene!W9+TrRoad_ene!W11))</f>
        <v>2.3481617609671424</v>
      </c>
      <c r="X51" s="97">
        <f>IF(X9=0,0,(X9+X11)/(TrRoad_ene!X9+TrRoad_ene!X11))</f>
        <v>2.347827623390025</v>
      </c>
      <c r="Y51" s="97">
        <f>IF(Y9=0,0,(Y9+Y11)/(TrRoad_ene!Y9+TrRoad_ene!Y11))</f>
        <v>2.347046178716353</v>
      </c>
      <c r="DA51" s="175"/>
    </row>
    <row r="52" spans="1:105" ht="11.45" customHeight="1" x14ac:dyDescent="0.25">
      <c r="A52" s="85" t="s">
        <v>91</v>
      </c>
      <c r="B52" s="98">
        <f>IF(B15=0,0,B15/TrRoad_ene!B15)</f>
        <v>0</v>
      </c>
      <c r="C52" s="98">
        <f>IF(C15=0,0,C15/TrRoad_ene!C15)</f>
        <v>0</v>
      </c>
      <c r="D52" s="98">
        <f>IF(D15=0,0,D15/TrRoad_ene!D15)</f>
        <v>0</v>
      </c>
      <c r="E52" s="98">
        <f>IF(E15=0,0,E15/TrRoad_ene!E15)</f>
        <v>0</v>
      </c>
      <c r="F52" s="98">
        <f>IF(F15=0,0,F15/TrRoad_ene!F15)</f>
        <v>0</v>
      </c>
      <c r="G52" s="98">
        <f>IF(G15=0,0,G15/TrRoad_ene!G15)</f>
        <v>0</v>
      </c>
      <c r="H52" s="98">
        <f>IF(H15=0,0,H15/TrRoad_ene!H15)</f>
        <v>0</v>
      </c>
      <c r="I52" s="98">
        <f>IF(I15=0,0,I15/TrRoad_ene!I15)</f>
        <v>0</v>
      </c>
      <c r="J52" s="98">
        <f>IF(J15=0,0,J15/TrRoad_ene!J15)</f>
        <v>0</v>
      </c>
      <c r="K52" s="98">
        <f>IF(K15=0,0,K15/TrRoad_ene!K15)</f>
        <v>0</v>
      </c>
      <c r="L52" s="98">
        <f>IF(L15=0,0,L15/TrRoad_ene!L15)</f>
        <v>0</v>
      </c>
      <c r="M52" s="98">
        <f>IF(M15=0,0,M15/TrRoad_ene!M15)</f>
        <v>0</v>
      </c>
      <c r="N52" s="98">
        <f>IF(N15=0,0,N15/TrRoad_ene!N15)</f>
        <v>0</v>
      </c>
      <c r="O52" s="98">
        <f>IF(O15=0,0,O15/TrRoad_ene!O15)</f>
        <v>0</v>
      </c>
      <c r="P52" s="98">
        <f>IF(P15=0,0,P15/TrRoad_ene!P15)</f>
        <v>0</v>
      </c>
      <c r="Q52" s="98">
        <f>IF(Q15=0,0,Q15/TrRoad_ene!Q15)</f>
        <v>0</v>
      </c>
      <c r="R52" s="98">
        <f>IF(R15=0,0,R15/TrRoad_ene!R15)</f>
        <v>0</v>
      </c>
      <c r="S52" s="98">
        <f>IF(S15=0,0,S15/TrRoad_ene!S15)</f>
        <v>0</v>
      </c>
      <c r="T52" s="98">
        <f>IF(T15=0,0,T15/TrRoad_ene!T15)</f>
        <v>0</v>
      </c>
      <c r="U52" s="98">
        <f>IF(U15=0,0,U15/TrRoad_ene!U15)</f>
        <v>0</v>
      </c>
      <c r="V52" s="98">
        <f>IF(V15=0,0,V15/TrRoad_ene!V15)</f>
        <v>0</v>
      </c>
      <c r="W52" s="98">
        <f>IF(W15=0,0,W15/TrRoad_ene!W15)</f>
        <v>0</v>
      </c>
      <c r="X52" s="98">
        <f>IF(X15=0,0,X15/TrRoad_ene!X15)</f>
        <v>0</v>
      </c>
      <c r="Y52" s="98">
        <f>IF(Y15=0,0,Y15/TrRoad_ene!Y15)</f>
        <v>0</v>
      </c>
      <c r="DA52" s="178"/>
    </row>
    <row r="53" spans="1:105" x14ac:dyDescent="0.25">
      <c r="A53" s="106"/>
      <c r="B53" s="106"/>
      <c r="C53" s="106"/>
      <c r="D53" s="106"/>
      <c r="E53" s="106"/>
      <c r="F53" s="106"/>
      <c r="G53" s="106"/>
      <c r="H53" s="106"/>
      <c r="I53" s="106"/>
      <c r="J53" s="106"/>
      <c r="K53" s="106"/>
      <c r="L53" s="106"/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X53" s="106"/>
      <c r="Y53" s="106"/>
      <c r="DA53" s="171"/>
    </row>
    <row r="54" spans="1:105" ht="11.45" customHeight="1" x14ac:dyDescent="0.25">
      <c r="A54" s="53" t="s">
        <v>129</v>
      </c>
      <c r="B54" s="62">
        <f>IF(TrRoad_act!B30=0,0,B17/TrRoad_act!B30*1000
)</f>
        <v>362.79239068512908</v>
      </c>
      <c r="C54" s="62">
        <f>IF(TrRoad_act!C30=0,0,C17/TrRoad_act!C30*1000
)</f>
        <v>352.29416752465437</v>
      </c>
      <c r="D54" s="62">
        <f>IF(TrRoad_act!D30=0,0,D17/TrRoad_act!D30*1000
)</f>
        <v>345.86880929087681</v>
      </c>
      <c r="E54" s="62">
        <f>IF(TrRoad_act!E30=0,0,E17/TrRoad_act!E30*1000
)</f>
        <v>343.70634967742137</v>
      </c>
      <c r="F54" s="62">
        <f>IF(TrRoad_act!F30=0,0,F17/TrRoad_act!F30*1000
)</f>
        <v>333.40130729476061</v>
      </c>
      <c r="G54" s="62">
        <f>IF(TrRoad_act!G30=0,0,G17/TrRoad_act!G30*1000
)</f>
        <v>326.46001977608836</v>
      </c>
      <c r="H54" s="62">
        <f>IF(TrRoad_act!H30=0,0,H17/TrRoad_act!H30*1000
)</f>
        <v>322.20386155055769</v>
      </c>
      <c r="I54" s="62">
        <f>IF(TrRoad_act!I30=0,0,I17/TrRoad_act!I30*1000
)</f>
        <v>313.47207984607047</v>
      </c>
      <c r="J54" s="62">
        <f>IF(TrRoad_act!J30=0,0,J17/TrRoad_act!J30*1000
)</f>
        <v>298.91714282680226</v>
      </c>
      <c r="K54" s="62">
        <f>IF(TrRoad_act!K30=0,0,K17/TrRoad_act!K30*1000
)</f>
        <v>279.37833812233072</v>
      </c>
      <c r="L54" s="62">
        <f>IF(TrRoad_act!L30=0,0,L17/TrRoad_act!L30*1000
)</f>
        <v>273.14333585385117</v>
      </c>
      <c r="M54" s="62">
        <f>IF(TrRoad_act!M30=0,0,M17/TrRoad_act!M30*1000
)</f>
        <v>263.39004519142873</v>
      </c>
      <c r="N54" s="62">
        <f>IF(TrRoad_act!N30=0,0,N17/TrRoad_act!N30*1000
)</f>
        <v>245.26755879485538</v>
      </c>
      <c r="O54" s="62">
        <f>IF(TrRoad_act!O30=0,0,O17/TrRoad_act!O30*1000
)</f>
        <v>255.34094136025087</v>
      </c>
      <c r="P54" s="62">
        <f>IF(TrRoad_act!P30=0,0,P17/TrRoad_act!P30*1000
)</f>
        <v>252.94424919132607</v>
      </c>
      <c r="Q54" s="62">
        <f>IF(TrRoad_act!Q30=0,0,Q17/TrRoad_act!Q30*1000
)</f>
        <v>249.26752066324099</v>
      </c>
      <c r="R54" s="62">
        <f>IF(TrRoad_act!R30=0,0,R17/TrRoad_act!R30*1000
)</f>
        <v>265.308536053046</v>
      </c>
      <c r="S54" s="62">
        <f>IF(TrRoad_act!S30=0,0,S17/TrRoad_act!S30*1000
)</f>
        <v>252.79827861911107</v>
      </c>
      <c r="T54" s="62">
        <f>IF(TrRoad_act!T30=0,0,T17/TrRoad_act!T30*1000
)</f>
        <v>250.60171540575971</v>
      </c>
      <c r="U54" s="62">
        <f>IF(TrRoad_act!U30=0,0,U17/TrRoad_act!U30*1000
)</f>
        <v>235.7354158626575</v>
      </c>
      <c r="V54" s="62">
        <f>IF(TrRoad_act!V30=0,0,V17/TrRoad_act!V30*1000
)</f>
        <v>237.95843952989546</v>
      </c>
      <c r="W54" s="62">
        <f>IF(TrRoad_act!W30=0,0,W17/TrRoad_act!W30*1000
)</f>
        <v>227.82477301453673</v>
      </c>
      <c r="X54" s="62">
        <f>IF(TrRoad_act!X30=0,0,X17/TrRoad_act!X30*1000
)</f>
        <v>226.55447809350406</v>
      </c>
      <c r="Y54" s="62">
        <f>IF(TrRoad_act!Y30=0,0,Y17/TrRoad_act!Y30*1000
)</f>
        <v>214.01100363870918</v>
      </c>
      <c r="DA54" s="172" t="s">
        <v>769</v>
      </c>
    </row>
    <row r="55" spans="1:105" ht="11.45" customHeight="1" x14ac:dyDescent="0.25">
      <c r="A55" s="27" t="s">
        <v>33</v>
      </c>
      <c r="B55" s="29">
        <f>IF(TrRoad_act!B31=0,0,B18/TrRoad_act!B31*1000
)</f>
        <v>277.27996734486396</v>
      </c>
      <c r="C55" s="29">
        <f>IF(TrRoad_act!C31=0,0,C18/TrRoad_act!C31*1000
)</f>
        <v>267.50938725377836</v>
      </c>
      <c r="D55" s="29">
        <f>IF(TrRoad_act!D31=0,0,D18/TrRoad_act!D31*1000
)</f>
        <v>263.0222326381035</v>
      </c>
      <c r="E55" s="29">
        <f>IF(TrRoad_act!E31=0,0,E18/TrRoad_act!E31*1000
)</f>
        <v>261.50504313588414</v>
      </c>
      <c r="F55" s="29">
        <f>IF(TrRoad_act!F31=0,0,F18/TrRoad_act!F31*1000
)</f>
        <v>251.94778593887656</v>
      </c>
      <c r="G55" s="29">
        <f>IF(TrRoad_act!G31=0,0,G18/TrRoad_act!G31*1000
)</f>
        <v>247.1702454917052</v>
      </c>
      <c r="H55" s="29">
        <f>IF(TrRoad_act!H31=0,0,H18/TrRoad_act!H31*1000
)</f>
        <v>245.63242762166985</v>
      </c>
      <c r="I55" s="29">
        <f>IF(TrRoad_act!I31=0,0,I18/TrRoad_act!I31*1000
)</f>
        <v>240.38906734315822</v>
      </c>
      <c r="J55" s="29">
        <f>IF(TrRoad_act!J31=0,0,J18/TrRoad_act!J31*1000
)</f>
        <v>231.19226564285424</v>
      </c>
      <c r="K55" s="29">
        <f>IF(TrRoad_act!K31=0,0,K18/TrRoad_act!K31*1000
)</f>
        <v>221.8247087764324</v>
      </c>
      <c r="L55" s="29">
        <f>IF(TrRoad_act!L31=0,0,L18/TrRoad_act!L31*1000
)</f>
        <v>217.41459111767782</v>
      </c>
      <c r="M55" s="29">
        <f>IF(TrRoad_act!M31=0,0,M18/TrRoad_act!M31*1000
)</f>
        <v>211.62858025941577</v>
      </c>
      <c r="N55" s="29">
        <f>IF(TrRoad_act!N31=0,0,N18/TrRoad_act!N31*1000
)</f>
        <v>200.92917173752977</v>
      </c>
      <c r="O55" s="29">
        <f>IF(TrRoad_act!O31=0,0,O18/TrRoad_act!O31*1000
)</f>
        <v>208.90916162881427</v>
      </c>
      <c r="P55" s="29">
        <f>IF(TrRoad_act!P31=0,0,P18/TrRoad_act!P31*1000
)</f>
        <v>206.05605591833114</v>
      </c>
      <c r="Q55" s="29">
        <f>IF(TrRoad_act!Q31=0,0,Q18/TrRoad_act!Q31*1000
)</f>
        <v>201.36462243596773</v>
      </c>
      <c r="R55" s="29">
        <f>IF(TrRoad_act!R31=0,0,R18/TrRoad_act!R31*1000
)</f>
        <v>209.87761102415476</v>
      </c>
      <c r="S55" s="29">
        <f>IF(TrRoad_act!S31=0,0,S18/TrRoad_act!S31*1000
)</f>
        <v>198.174459496716</v>
      </c>
      <c r="T55" s="29">
        <f>IF(TrRoad_act!T31=0,0,T18/TrRoad_act!T31*1000
)</f>
        <v>195.71023597812831</v>
      </c>
      <c r="U55" s="29">
        <f>IF(TrRoad_act!U31=0,0,U18/TrRoad_act!U31*1000
)</f>
        <v>186.67077324987278</v>
      </c>
      <c r="V55" s="29">
        <f>IF(TrRoad_act!V31=0,0,V18/TrRoad_act!V31*1000
)</f>
        <v>183.9602192807989</v>
      </c>
      <c r="W55" s="29">
        <f>IF(TrRoad_act!W31=0,0,W18/TrRoad_act!W31*1000
)</f>
        <v>179.59838144182368</v>
      </c>
      <c r="X55" s="29">
        <f>IF(TrRoad_act!X31=0,0,X18/TrRoad_act!X31*1000
)</f>
        <v>179.30767594242263</v>
      </c>
      <c r="Y55" s="29">
        <f>IF(TrRoad_act!Y31=0,0,Y18/TrRoad_act!Y31*1000
)</f>
        <v>171.78433477750477</v>
      </c>
      <c r="DA55" s="173" t="s">
        <v>770</v>
      </c>
    </row>
    <row r="56" spans="1:105" ht="11.45" customHeight="1" x14ac:dyDescent="0.25">
      <c r="A56" s="136" t="s">
        <v>173</v>
      </c>
      <c r="B56" s="152">
        <f>IF(TrRoad_act!B32=0,0,B19/TrRoad_act!B32*1000
)</f>
        <v>124.26430194292584</v>
      </c>
      <c r="C56" s="152">
        <f>IF(TrRoad_act!C32=0,0,C19/TrRoad_act!C32*1000
)</f>
        <v>123.53685662729148</v>
      </c>
      <c r="D56" s="152">
        <f>IF(TrRoad_act!D32=0,0,D19/TrRoad_act!D32*1000
)</f>
        <v>120.57466366735116</v>
      </c>
      <c r="E56" s="152">
        <f>IF(TrRoad_act!E32=0,0,E19/TrRoad_act!E32*1000
)</f>
        <v>119.33764105976029</v>
      </c>
      <c r="F56" s="152">
        <f>IF(TrRoad_act!F32=0,0,F19/TrRoad_act!F32*1000
)</f>
        <v>118.85235381945793</v>
      </c>
      <c r="G56" s="152">
        <f>IF(TrRoad_act!G32=0,0,G19/TrRoad_act!G32*1000
)</f>
        <v>117.4244860603431</v>
      </c>
      <c r="H56" s="152">
        <f>IF(TrRoad_act!H32=0,0,H19/TrRoad_act!H32*1000
)</f>
        <v>116.49751040940912</v>
      </c>
      <c r="I56" s="152">
        <f>IF(TrRoad_act!I32=0,0,I19/TrRoad_act!I32*1000
)</f>
        <v>115.65741203533879</v>
      </c>
      <c r="J56" s="152">
        <f>IF(TrRoad_act!J32=0,0,J19/TrRoad_act!J32*1000
)</f>
        <v>114.99813367771189</v>
      </c>
      <c r="K56" s="152">
        <f>IF(TrRoad_act!K32=0,0,K19/TrRoad_act!K32*1000
)</f>
        <v>113.11653283140363</v>
      </c>
      <c r="L56" s="152">
        <f>IF(TrRoad_act!L32=0,0,L19/TrRoad_act!L32*1000
)</f>
        <v>110.4721150690611</v>
      </c>
      <c r="M56" s="152">
        <f>IF(TrRoad_act!M32=0,0,M19/TrRoad_act!M32*1000
)</f>
        <v>109.86900072413455</v>
      </c>
      <c r="N56" s="152">
        <f>IF(TrRoad_act!N32=0,0,N19/TrRoad_act!N32*1000
)</f>
        <v>109.21056142528082</v>
      </c>
      <c r="O56" s="152">
        <f>IF(TrRoad_act!O32=0,0,O19/TrRoad_act!O32*1000
)</f>
        <v>109.38631566080238</v>
      </c>
      <c r="P56" s="152">
        <f>IF(TrRoad_act!P32=0,0,P19/TrRoad_act!P32*1000
)</f>
        <v>107.96076530530679</v>
      </c>
      <c r="Q56" s="152">
        <f>IF(TrRoad_act!Q32=0,0,Q19/TrRoad_act!Q32*1000
)</f>
        <v>105.07998435515449</v>
      </c>
      <c r="R56" s="152">
        <f>IF(TrRoad_act!R32=0,0,R19/TrRoad_act!R32*1000
)</f>
        <v>107.53475367545266</v>
      </c>
      <c r="S56" s="152">
        <f>IF(TrRoad_act!S32=0,0,S19/TrRoad_act!S32*1000
)</f>
        <v>105.80247695622758</v>
      </c>
      <c r="T56" s="152">
        <f>IF(TrRoad_act!T32=0,0,T19/TrRoad_act!T32*1000
)</f>
        <v>104.98374836957082</v>
      </c>
      <c r="U56" s="152">
        <f>IF(TrRoad_act!U32=0,0,U19/TrRoad_act!U32*1000
)</f>
        <v>105.00530566184719</v>
      </c>
      <c r="V56" s="152">
        <f>IF(TrRoad_act!V32=0,0,V19/TrRoad_act!V32*1000
)</f>
        <v>99.747442283797312</v>
      </c>
      <c r="W56" s="152">
        <f>IF(TrRoad_act!W32=0,0,W19/TrRoad_act!W32*1000
)</f>
        <v>103.19986672785167</v>
      </c>
      <c r="X56" s="152">
        <f>IF(TrRoad_act!X32=0,0,X19/TrRoad_act!X32*1000
)</f>
        <v>99.086774248347751</v>
      </c>
      <c r="Y56" s="152">
        <f>IF(TrRoad_act!Y32=0,0,Y19/TrRoad_act!Y32*1000
)</f>
        <v>97.857958451266498</v>
      </c>
      <c r="DA56" s="174" t="s">
        <v>771</v>
      </c>
    </row>
    <row r="57" spans="1:105" ht="11.45" customHeight="1" x14ac:dyDescent="0.25">
      <c r="A57" s="109" t="s">
        <v>20</v>
      </c>
      <c r="B57" s="116">
        <f>IF(TrRoad_act!B33=0,0,B20/TrRoad_act!B33*1000
)</f>
        <v>267.22860821342368</v>
      </c>
      <c r="C57" s="116">
        <f>IF(TrRoad_act!C33=0,0,C20/TrRoad_act!C33*1000
)</f>
        <v>258.15114089863209</v>
      </c>
      <c r="D57" s="116">
        <f>IF(TrRoad_act!D33=0,0,D20/TrRoad_act!D33*1000
)</f>
        <v>253.91175876629802</v>
      </c>
      <c r="E57" s="116">
        <f>IF(TrRoad_act!E33=0,0,E20/TrRoad_act!E33*1000
)</f>
        <v>253.72859930717979</v>
      </c>
      <c r="F57" s="116">
        <f>IF(TrRoad_act!F33=0,0,F20/TrRoad_act!F33*1000
)</f>
        <v>243.72337109630035</v>
      </c>
      <c r="G57" s="116">
        <f>IF(TrRoad_act!G33=0,0,G20/TrRoad_act!G33*1000
)</f>
        <v>240.22981164201235</v>
      </c>
      <c r="H57" s="116">
        <f>IF(TrRoad_act!H33=0,0,H20/TrRoad_act!H33*1000
)</f>
        <v>238.554786951572</v>
      </c>
      <c r="I57" s="116">
        <f>IF(TrRoad_act!I33=0,0,I20/TrRoad_act!I33*1000
)</f>
        <v>233.86756493793462</v>
      </c>
      <c r="J57" s="116">
        <f>IF(TrRoad_act!J33=0,0,J20/TrRoad_act!J33*1000
)</f>
        <v>224.50659844436592</v>
      </c>
      <c r="K57" s="116">
        <f>IF(TrRoad_act!K33=0,0,K20/TrRoad_act!K33*1000
)</f>
        <v>215.39094717196491</v>
      </c>
      <c r="L57" s="116">
        <f>IF(TrRoad_act!L33=0,0,L20/TrRoad_act!L33*1000
)</f>
        <v>211.18411006325235</v>
      </c>
      <c r="M57" s="116">
        <f>IF(TrRoad_act!M33=0,0,M20/TrRoad_act!M33*1000
)</f>
        <v>204.79310081628986</v>
      </c>
      <c r="N57" s="116">
        <f>IF(TrRoad_act!N33=0,0,N20/TrRoad_act!N33*1000
)</f>
        <v>193.61134206139286</v>
      </c>
      <c r="O57" s="116">
        <f>IF(TrRoad_act!O33=0,0,O20/TrRoad_act!O33*1000
)</f>
        <v>201.86818180138371</v>
      </c>
      <c r="P57" s="116">
        <f>IF(TrRoad_act!P33=0,0,P20/TrRoad_act!P33*1000
)</f>
        <v>199.77551117828517</v>
      </c>
      <c r="Q57" s="116">
        <f>IF(TrRoad_act!Q33=0,0,Q20/TrRoad_act!Q33*1000
)</f>
        <v>195.7213606088514</v>
      </c>
      <c r="R57" s="116">
        <f>IF(TrRoad_act!R33=0,0,R20/TrRoad_act!R33*1000
)</f>
        <v>204.45801358857534</v>
      </c>
      <c r="S57" s="116">
        <f>IF(TrRoad_act!S33=0,0,S20/TrRoad_act!S33*1000
)</f>
        <v>196.15892219565961</v>
      </c>
      <c r="T57" s="116">
        <f>IF(TrRoad_act!T33=0,0,T20/TrRoad_act!T33*1000
)</f>
        <v>193.51261146090278</v>
      </c>
      <c r="U57" s="116">
        <f>IF(TrRoad_act!U33=0,0,U20/TrRoad_act!U33*1000
)</f>
        <v>184.36562847265125</v>
      </c>
      <c r="V57" s="116">
        <f>IF(TrRoad_act!V33=0,0,V20/TrRoad_act!V33*1000
)</f>
        <v>182.89277321304905</v>
      </c>
      <c r="W57" s="116">
        <f>IF(TrRoad_act!W33=0,0,W20/TrRoad_act!W33*1000
)</f>
        <v>177.31864866990284</v>
      </c>
      <c r="X57" s="116">
        <f>IF(TrRoad_act!X33=0,0,X20/TrRoad_act!X33*1000
)</f>
        <v>176.5858835198365</v>
      </c>
      <c r="Y57" s="116">
        <f>IF(TrRoad_act!Y33=0,0,Y20/TrRoad_act!Y33*1000
)</f>
        <v>168.52629387137185</v>
      </c>
      <c r="DA57" s="176" t="s">
        <v>772</v>
      </c>
    </row>
    <row r="58" spans="1:105" ht="11.45" customHeight="1" x14ac:dyDescent="0.25">
      <c r="A58" s="111" t="s">
        <v>110</v>
      </c>
      <c r="B58" s="87">
        <f>IF(TrRoad_act!B34=0,0,B21/TrRoad_act!B34*1000
)</f>
        <v>272.58919593458694</v>
      </c>
      <c r="C58" s="87">
        <f>IF(TrRoad_act!C34=0,0,C21/TrRoad_act!C34*1000
)</f>
        <v>269.97850929910607</v>
      </c>
      <c r="D58" s="87">
        <f>IF(TrRoad_act!D34=0,0,D21/TrRoad_act!D34*1000
)</f>
        <v>260.92684554011879</v>
      </c>
      <c r="E58" s="87">
        <f>IF(TrRoad_act!E34=0,0,E21/TrRoad_act!E34*1000
)</f>
        <v>262.50083754387379</v>
      </c>
      <c r="F58" s="87">
        <f>IF(TrRoad_act!F34=0,0,F21/TrRoad_act!F34*1000
)</f>
        <v>253.93106040950829</v>
      </c>
      <c r="G58" s="87">
        <f>IF(TrRoad_act!G34=0,0,G21/TrRoad_act!G34*1000
)</f>
        <v>248.15591736273404</v>
      </c>
      <c r="H58" s="87">
        <f>IF(TrRoad_act!H34=0,0,H21/TrRoad_act!H34*1000
)</f>
        <v>245.31113742329481</v>
      </c>
      <c r="I58" s="87">
        <f>IF(TrRoad_act!I34=0,0,I21/TrRoad_act!I34*1000
)</f>
        <v>240.70673817541746</v>
      </c>
      <c r="J58" s="87">
        <f>IF(TrRoad_act!J34=0,0,J21/TrRoad_act!J34*1000
)</f>
        <v>229.03899477015921</v>
      </c>
      <c r="K58" s="87">
        <f>IF(TrRoad_act!K34=0,0,K21/TrRoad_act!K34*1000
)</f>
        <v>220.54122959918789</v>
      </c>
      <c r="L58" s="87">
        <f>IF(TrRoad_act!L34=0,0,L21/TrRoad_act!L34*1000
)</f>
        <v>214.04554158377729</v>
      </c>
      <c r="M58" s="87">
        <f>IF(TrRoad_act!M34=0,0,M21/TrRoad_act!M34*1000
)</f>
        <v>208.69497804599757</v>
      </c>
      <c r="N58" s="87">
        <f>IF(TrRoad_act!N34=0,0,N21/TrRoad_act!N34*1000
)</f>
        <v>199.19690028593789</v>
      </c>
      <c r="O58" s="87">
        <f>IF(TrRoad_act!O34=0,0,O21/TrRoad_act!O34*1000
)</f>
        <v>202.39251691329991</v>
      </c>
      <c r="P58" s="87">
        <f>IF(TrRoad_act!P34=0,0,P21/TrRoad_act!P34*1000
)</f>
        <v>200.79509855997338</v>
      </c>
      <c r="Q58" s="87">
        <f>IF(TrRoad_act!Q34=0,0,Q21/TrRoad_act!Q34*1000
)</f>
        <v>196.69238550518619</v>
      </c>
      <c r="R58" s="87">
        <f>IF(TrRoad_act!R34=0,0,R21/TrRoad_act!R34*1000
)</f>
        <v>213.59126037388842</v>
      </c>
      <c r="S58" s="87">
        <f>IF(TrRoad_act!S34=0,0,S21/TrRoad_act!S34*1000
)</f>
        <v>218.85274548223563</v>
      </c>
      <c r="T58" s="87">
        <f>IF(TrRoad_act!T34=0,0,T21/TrRoad_act!T34*1000
)</f>
        <v>221.72267521464826</v>
      </c>
      <c r="U58" s="87">
        <f>IF(TrRoad_act!U34=0,0,U21/TrRoad_act!U34*1000
)</f>
        <v>212.30920691607056</v>
      </c>
      <c r="V58" s="87">
        <f>IF(TrRoad_act!V34=0,0,V21/TrRoad_act!V34*1000
)</f>
        <v>234.48638519783</v>
      </c>
      <c r="W58" s="87">
        <f>IF(TrRoad_act!W34=0,0,W21/TrRoad_act!W34*1000
)</f>
        <v>226.05729057933442</v>
      </c>
      <c r="X58" s="87">
        <f>IF(TrRoad_act!X34=0,0,X21/TrRoad_act!X34*1000
)</f>
        <v>216.00784985077937</v>
      </c>
      <c r="Y58" s="87">
        <f>IF(TrRoad_act!Y34=0,0,Y21/TrRoad_act!Y34*1000
)</f>
        <v>206.60906673245148</v>
      </c>
      <c r="DA58" s="171" t="s">
        <v>773</v>
      </c>
    </row>
    <row r="59" spans="1:105" ht="11.45" customHeight="1" x14ac:dyDescent="0.25">
      <c r="A59" s="111" t="s">
        <v>111</v>
      </c>
      <c r="B59" s="87">
        <f>IF(TrRoad_act!B35=0,0,B22/TrRoad_act!B35*1000
)</f>
        <v>260.17615798957729</v>
      </c>
      <c r="C59" s="87">
        <f>IF(TrRoad_act!C35=0,0,C22/TrRoad_act!C35*1000
)</f>
        <v>245.99066695024823</v>
      </c>
      <c r="D59" s="87">
        <f>IF(TrRoad_act!D35=0,0,D22/TrRoad_act!D35*1000
)</f>
        <v>247.08306707156501</v>
      </c>
      <c r="E59" s="87">
        <f>IF(TrRoad_act!E35=0,0,E22/TrRoad_act!E35*1000
)</f>
        <v>246.50116655431009</v>
      </c>
      <c r="F59" s="87">
        <f>IF(TrRoad_act!F35=0,0,F22/TrRoad_act!F35*1000
)</f>
        <v>236.41402475566383</v>
      </c>
      <c r="G59" s="87">
        <f>IF(TrRoad_act!G35=0,0,G22/TrRoad_act!G35*1000
)</f>
        <v>235.40200794002942</v>
      </c>
      <c r="H59" s="87">
        <f>IF(TrRoad_act!H35=0,0,H22/TrRoad_act!H35*1000
)</f>
        <v>234.88249236876905</v>
      </c>
      <c r="I59" s="87">
        <f>IF(TrRoad_act!I35=0,0,I22/TrRoad_act!I35*1000
)</f>
        <v>230.46047817987917</v>
      </c>
      <c r="J59" s="87">
        <f>IF(TrRoad_act!J35=0,0,J22/TrRoad_act!J35*1000
)</f>
        <v>222.60043747294799</v>
      </c>
      <c r="K59" s="87">
        <f>IF(TrRoad_act!K35=0,0,K22/TrRoad_act!K35*1000
)</f>
        <v>213.35420075641576</v>
      </c>
      <c r="L59" s="87">
        <f>IF(TrRoad_act!L35=0,0,L22/TrRoad_act!L35*1000
)</f>
        <v>210.05243495520082</v>
      </c>
      <c r="M59" s="87">
        <f>IF(TrRoad_act!M35=0,0,M22/TrRoad_act!M35*1000
)</f>
        <v>203.32139978687337</v>
      </c>
      <c r="N59" s="87">
        <f>IF(TrRoad_act!N35=0,0,N22/TrRoad_act!N35*1000
)</f>
        <v>191.61713378029131</v>
      </c>
      <c r="O59" s="87">
        <f>IF(TrRoad_act!O35=0,0,O22/TrRoad_act!O35*1000
)</f>
        <v>201.55480652975257</v>
      </c>
      <c r="P59" s="87">
        <f>IF(TrRoad_act!P35=0,0,P22/TrRoad_act!P35*1000
)</f>
        <v>199.31333349810114</v>
      </c>
      <c r="Q59" s="87">
        <f>IF(TrRoad_act!Q35=0,0,Q22/TrRoad_act!Q35*1000
)</f>
        <v>195.23775029813939</v>
      </c>
      <c r="R59" s="87">
        <f>IF(TrRoad_act!R35=0,0,R22/TrRoad_act!R35*1000
)</f>
        <v>201.53258683043501</v>
      </c>
      <c r="S59" s="87">
        <f>IF(TrRoad_act!S35=0,0,S22/TrRoad_act!S35*1000
)</f>
        <v>189.78329397975148</v>
      </c>
      <c r="T59" s="87">
        <f>IF(TrRoad_act!T35=0,0,T22/TrRoad_act!T35*1000
)</f>
        <v>185.58941949435405</v>
      </c>
      <c r="U59" s="87">
        <f>IF(TrRoad_act!U35=0,0,U22/TrRoad_act!U35*1000
)</f>
        <v>176.31693299795674</v>
      </c>
      <c r="V59" s="87">
        <f>IF(TrRoad_act!V35=0,0,V22/TrRoad_act!V35*1000
)</f>
        <v>170.44131608066766</v>
      </c>
      <c r="W59" s="87">
        <f>IF(TrRoad_act!W35=0,0,W22/TrRoad_act!W35*1000
)</f>
        <v>164.84560662261157</v>
      </c>
      <c r="X59" s="87">
        <f>IF(TrRoad_act!X35=0,0,X22/TrRoad_act!X35*1000
)</f>
        <v>165.43021241715238</v>
      </c>
      <c r="Y59" s="87">
        <f>IF(TrRoad_act!Y35=0,0,Y22/TrRoad_act!Y35*1000
)</f>
        <v>157.79967994441307</v>
      </c>
      <c r="DA59" s="171" t="s">
        <v>774</v>
      </c>
    </row>
    <row r="60" spans="1:105" ht="11.45" customHeight="1" x14ac:dyDescent="0.25">
      <c r="A60" s="111" t="s">
        <v>112</v>
      </c>
      <c r="B60" s="87">
        <f>IF(TrRoad_act!B36=0,0,B23/TrRoad_act!B36*1000
)</f>
        <v>578.4416278271965</v>
      </c>
      <c r="C60" s="87">
        <f>IF(TrRoad_act!C36=0,0,C23/TrRoad_act!C36*1000
)</f>
        <v>557.85319616992149</v>
      </c>
      <c r="D60" s="87">
        <f>IF(TrRoad_act!D36=0,0,D23/TrRoad_act!D36*1000
)</f>
        <v>545.38171914110296</v>
      </c>
      <c r="E60" s="87">
        <f>IF(TrRoad_act!E36=0,0,E23/TrRoad_act!E36*1000
)</f>
        <v>576.84598628176582</v>
      </c>
      <c r="F60" s="87">
        <f>IF(TrRoad_act!F36=0,0,F23/TrRoad_act!F36*1000
)</f>
        <v>622.07327571438395</v>
      </c>
      <c r="G60" s="87">
        <f>IF(TrRoad_act!G36=0,0,G23/TrRoad_act!G36*1000
)</f>
        <v>565.07231682372822</v>
      </c>
      <c r="H60" s="87">
        <f>IF(TrRoad_act!H36=0,0,H23/TrRoad_act!H36*1000
)</f>
        <v>581.62296626037403</v>
      </c>
      <c r="I60" s="87">
        <f>IF(TrRoad_act!I36=0,0,I23/TrRoad_act!I36*1000
)</f>
        <v>716.23113945295665</v>
      </c>
      <c r="J60" s="87">
        <f>IF(TrRoad_act!J36=0,0,J23/TrRoad_act!J36*1000
)</f>
        <v>340.90635333918323</v>
      </c>
      <c r="K60" s="87">
        <f>IF(TrRoad_act!K36=0,0,K23/TrRoad_act!K36*1000
)</f>
        <v>316.17109635654185</v>
      </c>
      <c r="L60" s="87">
        <f>IF(TrRoad_act!L36=0,0,L23/TrRoad_act!L36*1000
)</f>
        <v>329.88466720165957</v>
      </c>
      <c r="M60" s="87">
        <f>IF(TrRoad_act!M36=0,0,M23/TrRoad_act!M36*1000
)</f>
        <v>337.34282898165634</v>
      </c>
      <c r="N60" s="87">
        <f>IF(TrRoad_act!N36=0,0,N23/TrRoad_act!N36*1000
)</f>
        <v>297.34158080247431</v>
      </c>
      <c r="O60" s="87">
        <f>IF(TrRoad_act!O36=0,0,O23/TrRoad_act!O36*1000
)</f>
        <v>336.67543957444553</v>
      </c>
      <c r="P60" s="87">
        <f>IF(TrRoad_act!P36=0,0,P23/TrRoad_act!P36*1000
)</f>
        <v>330.13237797665306</v>
      </c>
      <c r="Q60" s="87">
        <f>IF(TrRoad_act!Q36=0,0,Q23/TrRoad_act!Q36*1000
)</f>
        <v>354.42507012707296</v>
      </c>
      <c r="R60" s="87">
        <f>IF(TrRoad_act!R36=0,0,R23/TrRoad_act!R36*1000
)</f>
        <v>366.80050667477661</v>
      </c>
      <c r="S60" s="87">
        <f>IF(TrRoad_act!S36=0,0,S23/TrRoad_act!S36*1000
)</f>
        <v>330.67384908655202</v>
      </c>
      <c r="T60" s="87">
        <f>IF(TrRoad_act!T36=0,0,T23/TrRoad_act!T36*1000
)</f>
        <v>253.70141003651199</v>
      </c>
      <c r="U60" s="87">
        <f>IF(TrRoad_act!U36=0,0,U23/TrRoad_act!U36*1000
)</f>
        <v>230.85142126377534</v>
      </c>
      <c r="V60" s="87">
        <f>IF(TrRoad_act!V36=0,0,V23/TrRoad_act!V36*1000
)</f>
        <v>238.60100118471979</v>
      </c>
      <c r="W60" s="87">
        <f>IF(TrRoad_act!W36=0,0,W23/TrRoad_act!W36*1000
)</f>
        <v>208.58344211122116</v>
      </c>
      <c r="X60" s="87">
        <f>IF(TrRoad_act!X36=0,0,X23/TrRoad_act!X36*1000
)</f>
        <v>205.77401953826941</v>
      </c>
      <c r="Y60" s="87">
        <f>IF(TrRoad_act!Y36=0,0,Y23/TrRoad_act!Y36*1000
)</f>
        <v>138.44740983559944</v>
      </c>
      <c r="DA60" s="171" t="s">
        <v>775</v>
      </c>
    </row>
    <row r="61" spans="1:105" ht="11.45" customHeight="1" x14ac:dyDescent="0.25">
      <c r="A61" s="111" t="s">
        <v>113</v>
      </c>
      <c r="B61" s="87">
        <f>IF(TrRoad_act!B37=0,0,B24/TrRoad_act!B37*1000
)</f>
        <v>0</v>
      </c>
      <c r="C61" s="87">
        <f>IF(TrRoad_act!C37=0,0,C24/TrRoad_act!C37*1000
)</f>
        <v>0</v>
      </c>
      <c r="D61" s="87">
        <f>IF(TrRoad_act!D37=0,0,D24/TrRoad_act!D37*1000
)</f>
        <v>0</v>
      </c>
      <c r="E61" s="87">
        <f>IF(TrRoad_act!E37=0,0,E24/TrRoad_act!E37*1000
)</f>
        <v>0</v>
      </c>
      <c r="F61" s="87">
        <f>IF(TrRoad_act!F37=0,0,F24/TrRoad_act!F37*1000
)</f>
        <v>183.5904980018006</v>
      </c>
      <c r="G61" s="87">
        <f>IF(TrRoad_act!G37=0,0,G24/TrRoad_act!G37*1000
)</f>
        <v>183.64433443077948</v>
      </c>
      <c r="H61" s="87">
        <f>IF(TrRoad_act!H37=0,0,H24/TrRoad_act!H37*1000
)</f>
        <v>182.47326058586012</v>
      </c>
      <c r="I61" s="87">
        <f>IF(TrRoad_act!I37=0,0,I24/TrRoad_act!I37*1000
)</f>
        <v>182.45628451068535</v>
      </c>
      <c r="J61" s="87">
        <f>IF(TrRoad_act!J37=0,0,J24/TrRoad_act!J37*1000
)</f>
        <v>182.23630578710643</v>
      </c>
      <c r="K61" s="87">
        <f>IF(TrRoad_act!K37=0,0,K24/TrRoad_act!K37*1000
)</f>
        <v>181.82035677037572</v>
      </c>
      <c r="L61" s="87">
        <f>IF(TrRoad_act!L37=0,0,L24/TrRoad_act!L37*1000
)</f>
        <v>180.01312109674581</v>
      </c>
      <c r="M61" s="87">
        <f>IF(TrRoad_act!M37=0,0,M24/TrRoad_act!M37*1000
)</f>
        <v>179.53314574435871</v>
      </c>
      <c r="N61" s="87">
        <f>IF(TrRoad_act!N37=0,0,N24/TrRoad_act!N37*1000
)</f>
        <v>162.54478514404806</v>
      </c>
      <c r="O61" s="87">
        <f>IF(TrRoad_act!O37=0,0,O24/TrRoad_act!O37*1000
)</f>
        <v>158.9057041289031</v>
      </c>
      <c r="P61" s="87">
        <f>IF(TrRoad_act!P37=0,0,P24/TrRoad_act!P37*1000
)</f>
        <v>157.68283063685891</v>
      </c>
      <c r="Q61" s="87">
        <f>IF(TrRoad_act!Q37=0,0,Q24/TrRoad_act!Q37*1000
)</f>
        <v>157.25659747771377</v>
      </c>
      <c r="R61" s="87">
        <f>IF(TrRoad_act!R37=0,0,R24/TrRoad_act!R37*1000
)</f>
        <v>156.12254810903602</v>
      </c>
      <c r="S61" s="87">
        <f>IF(TrRoad_act!S37=0,0,S24/TrRoad_act!S37*1000
)</f>
        <v>152.08899134265016</v>
      </c>
      <c r="T61" s="87">
        <f>IF(TrRoad_act!T37=0,0,T24/TrRoad_act!T37*1000
)</f>
        <v>150.80572136769581</v>
      </c>
      <c r="U61" s="87">
        <f>IF(TrRoad_act!U37=0,0,U24/TrRoad_act!U37*1000
)</f>
        <v>135.78601366690026</v>
      </c>
      <c r="V61" s="87">
        <f>IF(TrRoad_act!V37=0,0,V24/TrRoad_act!V37*1000
)</f>
        <v>131.87943452315687</v>
      </c>
      <c r="W61" s="87">
        <f>IF(TrRoad_act!W37=0,0,W24/TrRoad_act!W37*1000
)</f>
        <v>130.53542636989914</v>
      </c>
      <c r="X61" s="87">
        <f>IF(TrRoad_act!X37=0,0,X24/TrRoad_act!X37*1000
)</f>
        <v>129.62404263149688</v>
      </c>
      <c r="Y61" s="87">
        <f>IF(TrRoad_act!Y37=0,0,Y24/TrRoad_act!Y37*1000
)</f>
        <v>129.39075089154167</v>
      </c>
      <c r="DA61" s="171" t="s">
        <v>776</v>
      </c>
    </row>
    <row r="62" spans="1:105" ht="11.45" customHeight="1" x14ac:dyDescent="0.25">
      <c r="A62" s="111" t="s">
        <v>114</v>
      </c>
      <c r="B62" s="87">
        <f>IF(TrRoad_act!B38=0,0,B25/TrRoad_act!B38*1000
)</f>
        <v>0</v>
      </c>
      <c r="C62" s="87">
        <f>IF(TrRoad_act!C38=0,0,C25/TrRoad_act!C38*1000
)</f>
        <v>0</v>
      </c>
      <c r="D62" s="87">
        <f>IF(TrRoad_act!D38=0,0,D25/TrRoad_act!D38*1000
)</f>
        <v>0</v>
      </c>
      <c r="E62" s="87">
        <f>IF(TrRoad_act!E38=0,0,E25/TrRoad_act!E38*1000
)</f>
        <v>0</v>
      </c>
      <c r="F62" s="87">
        <f>IF(TrRoad_act!F38=0,0,F25/TrRoad_act!F38*1000
)</f>
        <v>0</v>
      </c>
      <c r="G62" s="87">
        <f>IF(TrRoad_act!G38=0,0,G25/TrRoad_act!G38*1000
)</f>
        <v>0</v>
      </c>
      <c r="H62" s="87">
        <f>IF(TrRoad_act!H38=0,0,H25/TrRoad_act!H38*1000
)</f>
        <v>0</v>
      </c>
      <c r="I62" s="87">
        <f>IF(TrRoad_act!I38=0,0,I25/TrRoad_act!I38*1000
)</f>
        <v>0</v>
      </c>
      <c r="J62" s="87">
        <f>IF(TrRoad_act!J38=0,0,J25/TrRoad_act!J38*1000
)</f>
        <v>0</v>
      </c>
      <c r="K62" s="87">
        <f>IF(TrRoad_act!K38=0,0,K25/TrRoad_act!K38*1000
)</f>
        <v>0</v>
      </c>
      <c r="L62" s="87">
        <f>IF(TrRoad_act!L38=0,0,L25/TrRoad_act!L38*1000
)</f>
        <v>0</v>
      </c>
      <c r="M62" s="87">
        <f>IF(TrRoad_act!M38=0,0,M25/TrRoad_act!M38*1000
)</f>
        <v>68.958204886478768</v>
      </c>
      <c r="N62" s="87">
        <f>IF(TrRoad_act!N38=0,0,N25/TrRoad_act!N38*1000
)</f>
        <v>48.525235590065442</v>
      </c>
      <c r="O62" s="87">
        <f>IF(TrRoad_act!O38=0,0,O25/TrRoad_act!O38*1000
)</f>
        <v>63.328817512575505</v>
      </c>
      <c r="P62" s="87">
        <f>IF(TrRoad_act!P38=0,0,P25/TrRoad_act!P38*1000
)</f>
        <v>56.2314331621061</v>
      </c>
      <c r="Q62" s="87">
        <f>IF(TrRoad_act!Q38=0,0,Q25/TrRoad_act!Q38*1000
)</f>
        <v>50.51422095409238</v>
      </c>
      <c r="R62" s="87">
        <f>IF(TrRoad_act!R38=0,0,R25/TrRoad_act!R38*1000
)</f>
        <v>59.647430862206768</v>
      </c>
      <c r="S62" s="87">
        <f>IF(TrRoad_act!S38=0,0,S25/TrRoad_act!S38*1000
)</f>
        <v>63.205675738017455</v>
      </c>
      <c r="T62" s="87">
        <f>IF(TrRoad_act!T38=0,0,T25/TrRoad_act!T38*1000
)</f>
        <v>64.870829514588465</v>
      </c>
      <c r="U62" s="87">
        <f>IF(TrRoad_act!U38=0,0,U25/TrRoad_act!U38*1000
)</f>
        <v>65.829595048765356</v>
      </c>
      <c r="V62" s="87">
        <f>IF(TrRoad_act!V38=0,0,V25/TrRoad_act!V38*1000
)</f>
        <v>75.197389080587939</v>
      </c>
      <c r="W62" s="87">
        <f>IF(TrRoad_act!W38=0,0,W25/TrRoad_act!W38*1000
)</f>
        <v>61.859524687377601</v>
      </c>
      <c r="X62" s="87">
        <f>IF(TrRoad_act!X38=0,0,X25/TrRoad_act!X38*1000
)</f>
        <v>55.250922402938407</v>
      </c>
      <c r="Y62" s="87">
        <f>IF(TrRoad_act!Y38=0,0,Y25/TrRoad_act!Y38*1000
)</f>
        <v>49.782245982136544</v>
      </c>
      <c r="DA62" s="171" t="s">
        <v>777</v>
      </c>
    </row>
    <row r="63" spans="1:105" ht="11.45" customHeight="1" x14ac:dyDescent="0.25">
      <c r="A63" s="111" t="s">
        <v>115</v>
      </c>
      <c r="B63" s="87">
        <f>IF(TrRoad_act!B39=0,0,B26/TrRoad_act!B39*1000
)</f>
        <v>0</v>
      </c>
      <c r="C63" s="87">
        <f>IF(TrRoad_act!C39=0,0,C26/TrRoad_act!C39*1000
)</f>
        <v>0</v>
      </c>
      <c r="D63" s="87">
        <f>IF(TrRoad_act!D39=0,0,D26/TrRoad_act!D39*1000
)</f>
        <v>0</v>
      </c>
      <c r="E63" s="87">
        <f>IF(TrRoad_act!E39=0,0,E26/TrRoad_act!E39*1000
)</f>
        <v>0</v>
      </c>
      <c r="F63" s="87">
        <f>IF(TrRoad_act!F39=0,0,F26/TrRoad_act!F39*1000
)</f>
        <v>0</v>
      </c>
      <c r="G63" s="87">
        <f>IF(TrRoad_act!G39=0,0,G26/TrRoad_act!G39*1000
)</f>
        <v>0</v>
      </c>
      <c r="H63" s="87">
        <f>IF(TrRoad_act!H39=0,0,H26/TrRoad_act!H39*1000
)</f>
        <v>0</v>
      </c>
      <c r="I63" s="87">
        <f>IF(TrRoad_act!I39=0,0,I26/TrRoad_act!I39*1000
)</f>
        <v>0</v>
      </c>
      <c r="J63" s="87">
        <f>IF(TrRoad_act!J39=0,0,J26/TrRoad_act!J39*1000
)</f>
        <v>0</v>
      </c>
      <c r="K63" s="87">
        <f>IF(TrRoad_act!K39=0,0,K26/TrRoad_act!K39*1000
)</f>
        <v>0</v>
      </c>
      <c r="L63" s="87">
        <f>IF(TrRoad_act!L39=0,0,L26/TrRoad_act!L39*1000
)</f>
        <v>0</v>
      </c>
      <c r="M63" s="87">
        <f>IF(TrRoad_act!M39=0,0,M26/TrRoad_act!M39*1000
)</f>
        <v>0</v>
      </c>
      <c r="N63" s="87">
        <f>IF(TrRoad_act!N39=0,0,N26/TrRoad_act!N39*1000
)</f>
        <v>0</v>
      </c>
      <c r="O63" s="87">
        <f>IF(TrRoad_act!O39=0,0,O26/TrRoad_act!O39*1000
)</f>
        <v>0</v>
      </c>
      <c r="P63" s="87">
        <f>IF(TrRoad_act!P39=0,0,P26/TrRoad_act!P39*1000
)</f>
        <v>0</v>
      </c>
      <c r="Q63" s="87">
        <f>IF(TrRoad_act!Q39=0,0,Q26/TrRoad_act!Q39*1000
)</f>
        <v>0</v>
      </c>
      <c r="R63" s="87">
        <f>IF(TrRoad_act!R39=0,0,R26/TrRoad_act!R39*1000
)</f>
        <v>0</v>
      </c>
      <c r="S63" s="87">
        <f>IF(TrRoad_act!S39=0,0,S26/TrRoad_act!S39*1000
)</f>
        <v>0</v>
      </c>
      <c r="T63" s="87">
        <f>IF(TrRoad_act!T39=0,0,T26/TrRoad_act!T39*1000
)</f>
        <v>0</v>
      </c>
      <c r="U63" s="87">
        <f>IF(TrRoad_act!U39=0,0,U26/TrRoad_act!U39*1000
)</f>
        <v>0</v>
      </c>
      <c r="V63" s="87">
        <f>IF(TrRoad_act!V39=0,0,V26/TrRoad_act!V39*1000
)</f>
        <v>0</v>
      </c>
      <c r="W63" s="87">
        <f>IF(TrRoad_act!W39=0,0,W26/TrRoad_act!W39*1000
)</f>
        <v>0</v>
      </c>
      <c r="X63" s="87">
        <f>IF(TrRoad_act!X39=0,0,X26/TrRoad_act!X39*1000
)</f>
        <v>0</v>
      </c>
      <c r="Y63" s="87">
        <f>IF(TrRoad_act!Y39=0,0,Y26/TrRoad_act!Y39*1000
)</f>
        <v>0</v>
      </c>
      <c r="DA63" s="171" t="s">
        <v>778</v>
      </c>
    </row>
    <row r="64" spans="1:105" ht="11.45" customHeight="1" x14ac:dyDescent="0.25">
      <c r="A64" s="109" t="s">
        <v>21</v>
      </c>
      <c r="B64" s="116">
        <f>IF(TrRoad_act!B40=0,0,B27/TrRoad_act!B40*1000
)</f>
        <v>1855.3511637909351</v>
      </c>
      <c r="C64" s="116">
        <f>IF(TrRoad_act!C40=0,0,C27/TrRoad_act!C40*1000
)</f>
        <v>1799.0606056947968</v>
      </c>
      <c r="D64" s="116">
        <f>IF(TrRoad_act!D40=0,0,D27/TrRoad_act!D40*1000
)</f>
        <v>1781.0798819260549</v>
      </c>
      <c r="E64" s="116">
        <f>IF(TrRoad_act!E40=0,0,E27/TrRoad_act!E40*1000
)</f>
        <v>1754.660976320939</v>
      </c>
      <c r="F64" s="116">
        <f>IF(TrRoad_act!F40=0,0,F27/TrRoad_act!F40*1000
)</f>
        <v>1730.8563672135613</v>
      </c>
      <c r="G64" s="116">
        <f>IF(TrRoad_act!G40=0,0,G27/TrRoad_act!G40*1000
)</f>
        <v>1710.4774409684653</v>
      </c>
      <c r="H64" s="116">
        <f>IF(TrRoad_act!H40=0,0,H27/TrRoad_act!H40*1000
)</f>
        <v>1700.2726397882361</v>
      </c>
      <c r="I64" s="116">
        <f>IF(TrRoad_act!I40=0,0,I27/TrRoad_act!I40*1000
)</f>
        <v>1680.9964706045312</v>
      </c>
      <c r="J64" s="116">
        <f>IF(TrRoad_act!J40=0,0,J27/TrRoad_act!J40*1000
)</f>
        <v>1656.2847654744746</v>
      </c>
      <c r="K64" s="116">
        <f>IF(TrRoad_act!K40=0,0,K27/TrRoad_act!K40*1000
)</f>
        <v>1627.0756496026802</v>
      </c>
      <c r="L64" s="116">
        <f>IF(TrRoad_act!L40=0,0,L27/TrRoad_act!L40*1000
)</f>
        <v>1613.2665197130293</v>
      </c>
      <c r="M64" s="116">
        <f>IF(TrRoad_act!M40=0,0,M27/TrRoad_act!M40*1000
)</f>
        <v>1590.8847177273735</v>
      </c>
      <c r="N64" s="116">
        <f>IF(TrRoad_act!N40=0,0,N27/TrRoad_act!N40*1000
)</f>
        <v>1548.4067948386366</v>
      </c>
      <c r="O64" s="116">
        <f>IF(TrRoad_act!O40=0,0,O27/TrRoad_act!O40*1000
)</f>
        <v>1644.6417504003309</v>
      </c>
      <c r="P64" s="116">
        <f>IF(TrRoad_act!P40=0,0,P27/TrRoad_act!P40*1000
)</f>
        <v>1656.2283721114777</v>
      </c>
      <c r="Q64" s="116">
        <f>IF(TrRoad_act!Q40=0,0,Q27/TrRoad_act!Q40*1000
)</f>
        <v>1614.970876393234</v>
      </c>
      <c r="R64" s="116">
        <f>IF(TrRoad_act!R40=0,0,R27/TrRoad_act!R40*1000
)</f>
        <v>1621.5191684606639</v>
      </c>
      <c r="S64" s="116">
        <f>IF(TrRoad_act!S40=0,0,S27/TrRoad_act!S40*1000
)</f>
        <v>1618.0257852027028</v>
      </c>
      <c r="T64" s="116">
        <f>IF(TrRoad_act!T40=0,0,T27/TrRoad_act!T40*1000
)</f>
        <v>1553.4775452431384</v>
      </c>
      <c r="U64" s="116">
        <f>IF(TrRoad_act!U40=0,0,U27/TrRoad_act!U40*1000
)</f>
        <v>1547.5470482299088</v>
      </c>
      <c r="V64" s="116">
        <f>IF(TrRoad_act!V40=0,0,V27/TrRoad_act!V40*1000
)</f>
        <v>1654.6777500897408</v>
      </c>
      <c r="W64" s="116">
        <f>IF(TrRoad_act!W40=0,0,W27/TrRoad_act!W40*1000
)</f>
        <v>1642.5074538205258</v>
      </c>
      <c r="X64" s="116">
        <f>IF(TrRoad_act!X40=0,0,X27/TrRoad_act!X40*1000
)</f>
        <v>1624.7262827268685</v>
      </c>
      <c r="Y64" s="116">
        <f>IF(TrRoad_act!Y40=0,0,Y27/TrRoad_act!Y40*1000
)</f>
        <v>1562.3819621217467</v>
      </c>
      <c r="DA64" s="176" t="s">
        <v>779</v>
      </c>
    </row>
    <row r="65" spans="1:105" ht="11.45" customHeight="1" x14ac:dyDescent="0.25">
      <c r="A65" s="111" t="s">
        <v>110</v>
      </c>
      <c r="B65" s="101">
        <f>IF(TrRoad_act!B41=0,0,B28/TrRoad_act!B41*1000
)</f>
        <v>543.4311444488693</v>
      </c>
      <c r="C65" s="101">
        <f>IF(TrRoad_act!C41=0,0,C28/TrRoad_act!C41*1000
)</f>
        <v>531.80164299541798</v>
      </c>
      <c r="D65" s="101">
        <f>IF(TrRoad_act!D41=0,0,D28/TrRoad_act!D41*1000
)</f>
        <v>515.919802985459</v>
      </c>
      <c r="E65" s="101">
        <f>IF(TrRoad_act!E41=0,0,E28/TrRoad_act!E41*1000
)</f>
        <v>508.3325367896494</v>
      </c>
      <c r="F65" s="101">
        <f>IF(TrRoad_act!F41=0,0,F28/TrRoad_act!F41*1000
)</f>
        <v>503.30696393429065</v>
      </c>
      <c r="G65" s="101">
        <f>IF(TrRoad_act!G41=0,0,G28/TrRoad_act!G41*1000
)</f>
        <v>498.31395869572572</v>
      </c>
      <c r="H65" s="101">
        <f>IF(TrRoad_act!H41=0,0,H28/TrRoad_act!H41*1000
)</f>
        <v>491.64206709960109</v>
      </c>
      <c r="I65" s="101">
        <f>IF(TrRoad_act!I41=0,0,I28/TrRoad_act!I41*1000
)</f>
        <v>481.30719349286352</v>
      </c>
      <c r="J65" s="101">
        <f>IF(TrRoad_act!J41=0,0,J28/TrRoad_act!J41*1000
)</f>
        <v>478.58564264001524</v>
      </c>
      <c r="K65" s="101">
        <f>IF(TrRoad_act!K41=0,0,K28/TrRoad_act!K41*1000
)</f>
        <v>469.63560245532551</v>
      </c>
      <c r="L65" s="101">
        <f>IF(TrRoad_act!L41=0,0,L28/TrRoad_act!L41*1000
)</f>
        <v>456.77740303023012</v>
      </c>
      <c r="M65" s="101">
        <f>IF(TrRoad_act!M41=0,0,M28/TrRoad_act!M41*1000
)</f>
        <v>449.34784706747661</v>
      </c>
      <c r="N65" s="101">
        <f>IF(TrRoad_act!N41=0,0,N28/TrRoad_act!N41*1000
)</f>
        <v>447.58765155365842</v>
      </c>
      <c r="O65" s="101">
        <f>IF(TrRoad_act!O41=0,0,O28/TrRoad_act!O41*1000
)</f>
        <v>443.6707087987993</v>
      </c>
      <c r="P65" s="101">
        <f>IF(TrRoad_act!P41=0,0,P28/TrRoad_act!P41*1000
)</f>
        <v>434.631629022938</v>
      </c>
      <c r="Q65" s="101">
        <f>IF(TrRoad_act!Q41=0,0,Q28/TrRoad_act!Q41*1000
)</f>
        <v>431.00389658021624</v>
      </c>
      <c r="R65" s="101">
        <f>IF(TrRoad_act!R41=0,0,R28/TrRoad_act!R41*1000
)</f>
        <v>430.86859348845167</v>
      </c>
      <c r="S65" s="101">
        <f>IF(TrRoad_act!S41=0,0,S28/TrRoad_act!S41*1000
)</f>
        <v>428.12443568882787</v>
      </c>
      <c r="T65" s="101">
        <f>IF(TrRoad_act!T41=0,0,T28/TrRoad_act!T41*1000
)</f>
        <v>425.70301868012712</v>
      </c>
      <c r="U65" s="101">
        <f>IF(TrRoad_act!U41=0,0,U28/TrRoad_act!U41*1000
)</f>
        <v>427.22429113572611</v>
      </c>
      <c r="V65" s="101">
        <f>IF(TrRoad_act!V41=0,0,V28/TrRoad_act!V41*1000
)</f>
        <v>426.9171890495511</v>
      </c>
      <c r="W65" s="101">
        <f>IF(TrRoad_act!W41=0,0,W28/TrRoad_act!W41*1000
)</f>
        <v>415.3522289064145</v>
      </c>
      <c r="X65" s="101">
        <f>IF(TrRoad_act!X41=0,0,X28/TrRoad_act!X41*1000
)</f>
        <v>404.55188852412073</v>
      </c>
      <c r="Y65" s="101">
        <f>IF(TrRoad_act!Y41=0,0,Y28/TrRoad_act!Y41*1000
)</f>
        <v>390.64821052887038</v>
      </c>
      <c r="DA65" s="175" t="s">
        <v>780</v>
      </c>
    </row>
    <row r="66" spans="1:105" ht="11.45" customHeight="1" x14ac:dyDescent="0.25">
      <c r="A66" s="111" t="s">
        <v>111</v>
      </c>
      <c r="B66" s="101">
        <f>IF(TrRoad_act!B42=0,0,B29/TrRoad_act!B42*1000
)</f>
        <v>1866.7744109987805</v>
      </c>
      <c r="C66" s="101">
        <f>IF(TrRoad_act!C42=0,0,C29/TrRoad_act!C42*1000
)</f>
        <v>1806.2757203509364</v>
      </c>
      <c r="D66" s="101">
        <f>IF(TrRoad_act!D42=0,0,D29/TrRoad_act!D42*1000
)</f>
        <v>1779.079721125036</v>
      </c>
      <c r="E66" s="101">
        <f>IF(TrRoad_act!E42=0,0,E29/TrRoad_act!E42*1000
)</f>
        <v>1758.3627344801525</v>
      </c>
      <c r="F66" s="101">
        <f>IF(TrRoad_act!F42=0,0,F29/TrRoad_act!F42*1000
)</f>
        <v>1734.5097469045193</v>
      </c>
      <c r="G66" s="101">
        <f>IF(TrRoad_act!G42=0,0,G29/TrRoad_act!G42*1000
)</f>
        <v>1711.9794797758525</v>
      </c>
      <c r="H66" s="101">
        <f>IF(TrRoad_act!H42=0,0,H29/TrRoad_act!H42*1000
)</f>
        <v>1700.3039165095086</v>
      </c>
      <c r="I66" s="101">
        <f>IF(TrRoad_act!I42=0,0,I29/TrRoad_act!I42*1000
)</f>
        <v>1673.1470866325053</v>
      </c>
      <c r="J66" s="101">
        <f>IF(TrRoad_act!J42=0,0,J29/TrRoad_act!J42*1000
)</f>
        <v>1644.4221263274549</v>
      </c>
      <c r="K66" s="101">
        <f>IF(TrRoad_act!K42=0,0,K29/TrRoad_act!K42*1000
)</f>
        <v>1605.9656429785632</v>
      </c>
      <c r="L66" s="101">
        <f>IF(TrRoad_act!L42=0,0,L29/TrRoad_act!L42*1000
)</f>
        <v>1576.5665587302838</v>
      </c>
      <c r="M66" s="101">
        <f>IF(TrRoad_act!M42=0,0,M29/TrRoad_act!M42*1000
)</f>
        <v>1547.8937621846712</v>
      </c>
      <c r="N66" s="101">
        <f>IF(TrRoad_act!N42=0,0,N29/TrRoad_act!N42*1000
)</f>
        <v>1501.0294000617077</v>
      </c>
      <c r="O66" s="101">
        <f>IF(TrRoad_act!O42=0,0,O29/TrRoad_act!O42*1000
)</f>
        <v>1591.4970817923488</v>
      </c>
      <c r="P66" s="101">
        <f>IF(TrRoad_act!P42=0,0,P29/TrRoad_act!P42*1000
)</f>
        <v>1593.2820768640347</v>
      </c>
      <c r="Q66" s="101">
        <f>IF(TrRoad_act!Q42=0,0,Q29/TrRoad_act!Q42*1000
)</f>
        <v>1600.0494988464916</v>
      </c>
      <c r="R66" s="101">
        <f>IF(TrRoad_act!R42=0,0,R29/TrRoad_act!R42*1000
)</f>
        <v>1594.7977811226012</v>
      </c>
      <c r="S66" s="101">
        <f>IF(TrRoad_act!S42=0,0,S29/TrRoad_act!S42*1000
)</f>
        <v>1601.5035384989001</v>
      </c>
      <c r="T66" s="101">
        <f>IF(TrRoad_act!T42=0,0,T29/TrRoad_act!T42*1000
)</f>
        <v>1575.7874149639308</v>
      </c>
      <c r="U66" s="101">
        <f>IF(TrRoad_act!U42=0,0,U29/TrRoad_act!U42*1000
)</f>
        <v>1574.0471298463453</v>
      </c>
      <c r="V66" s="101">
        <f>IF(TrRoad_act!V42=0,0,V29/TrRoad_act!V42*1000
)</f>
        <v>1563.4445863932815</v>
      </c>
      <c r="W66" s="101">
        <f>IF(TrRoad_act!W42=0,0,W29/TrRoad_act!W42*1000
)</f>
        <v>1567.1748608554581</v>
      </c>
      <c r="X66" s="101">
        <f>IF(TrRoad_act!X42=0,0,X29/TrRoad_act!X42*1000
)</f>
        <v>1557.7962906060848</v>
      </c>
      <c r="Y66" s="101">
        <f>IF(TrRoad_act!Y42=0,0,Y29/TrRoad_act!Y42*1000
)</f>
        <v>1498.546969172821</v>
      </c>
      <c r="DA66" s="175" t="s">
        <v>781</v>
      </c>
    </row>
    <row r="67" spans="1:105" ht="11.45" customHeight="1" x14ac:dyDescent="0.25">
      <c r="A67" s="111" t="s">
        <v>112</v>
      </c>
      <c r="B67" s="101">
        <f>IF(TrRoad_act!B43=0,0,B30/TrRoad_act!B43*1000
)</f>
        <v>0</v>
      </c>
      <c r="C67" s="101">
        <f>IF(TrRoad_act!C43=0,0,C30/TrRoad_act!C43*1000
)</f>
        <v>0</v>
      </c>
      <c r="D67" s="101">
        <f>IF(TrRoad_act!D43=0,0,D30/TrRoad_act!D43*1000
)</f>
        <v>0</v>
      </c>
      <c r="E67" s="101">
        <f>IF(TrRoad_act!E43=0,0,E30/TrRoad_act!E43*1000
)</f>
        <v>0</v>
      </c>
      <c r="F67" s="101">
        <f>IF(TrRoad_act!F43=0,0,F30/TrRoad_act!F43*1000
)</f>
        <v>0</v>
      </c>
      <c r="G67" s="101">
        <f>IF(TrRoad_act!G43=0,0,G30/TrRoad_act!G43*1000
)</f>
        <v>0</v>
      </c>
      <c r="H67" s="101">
        <f>IF(TrRoad_act!H43=0,0,H30/TrRoad_act!H43*1000
)</f>
        <v>0</v>
      </c>
      <c r="I67" s="101">
        <f>IF(TrRoad_act!I43=0,0,I30/TrRoad_act!I43*1000
)</f>
        <v>0</v>
      </c>
      <c r="J67" s="101">
        <f>IF(TrRoad_act!J43=0,0,J30/TrRoad_act!J43*1000
)</f>
        <v>0</v>
      </c>
      <c r="K67" s="101">
        <f>IF(TrRoad_act!K43=0,0,K30/TrRoad_act!K43*1000
)</f>
        <v>0</v>
      </c>
      <c r="L67" s="101">
        <f>IF(TrRoad_act!L43=0,0,L30/TrRoad_act!L43*1000
)</f>
        <v>0</v>
      </c>
      <c r="M67" s="101">
        <f>IF(TrRoad_act!M43=0,0,M30/TrRoad_act!M43*1000
)</f>
        <v>0</v>
      </c>
      <c r="N67" s="101">
        <f>IF(TrRoad_act!N43=0,0,N30/TrRoad_act!N43*1000
)</f>
        <v>0</v>
      </c>
      <c r="O67" s="101">
        <f>IF(TrRoad_act!O43=0,0,O30/TrRoad_act!O43*1000
)</f>
        <v>0</v>
      </c>
      <c r="P67" s="101">
        <f>IF(TrRoad_act!P43=0,0,P30/TrRoad_act!P43*1000
)</f>
        <v>1224.3468060408422</v>
      </c>
      <c r="Q67" s="101">
        <f>IF(TrRoad_act!Q43=0,0,Q30/TrRoad_act!Q43*1000
)</f>
        <v>1235.9438870826325</v>
      </c>
      <c r="R67" s="101">
        <f>IF(TrRoad_act!R43=0,0,R30/TrRoad_act!R43*1000
)</f>
        <v>1236.1455516871599</v>
      </c>
      <c r="S67" s="101">
        <f>IF(TrRoad_act!S43=0,0,S30/TrRoad_act!S43*1000
)</f>
        <v>1236.1455516871597</v>
      </c>
      <c r="T67" s="101">
        <f>IF(TrRoad_act!T43=0,0,T30/TrRoad_act!T43*1000
)</f>
        <v>1236.2437391917038</v>
      </c>
      <c r="U67" s="101">
        <f>IF(TrRoad_act!U43=0,0,U30/TrRoad_act!U43*1000
)</f>
        <v>1237.2011980918503</v>
      </c>
      <c r="V67" s="101">
        <f>IF(TrRoad_act!V43=0,0,V30/TrRoad_act!V43*1000
)</f>
        <v>1236.5120035515079</v>
      </c>
      <c r="W67" s="101">
        <f>IF(TrRoad_act!W43=0,0,W30/TrRoad_act!W43*1000
)</f>
        <v>1231.3217212892398</v>
      </c>
      <c r="X67" s="101">
        <f>IF(TrRoad_act!X43=0,0,X30/TrRoad_act!X43*1000
)</f>
        <v>1228.2402776107422</v>
      </c>
      <c r="Y67" s="101">
        <f>IF(TrRoad_act!Y43=0,0,Y30/TrRoad_act!Y43*1000
)</f>
        <v>1223.7683418107897</v>
      </c>
      <c r="DA67" s="175" t="s">
        <v>782</v>
      </c>
    </row>
    <row r="68" spans="1:105" ht="11.45" customHeight="1" x14ac:dyDescent="0.25">
      <c r="A68" s="111" t="s">
        <v>113</v>
      </c>
      <c r="B68" s="101">
        <f>IF(TrRoad_act!B44=0,0,B31/TrRoad_act!B44*1000
)</f>
        <v>2377.6181164592394</v>
      </c>
      <c r="C68" s="101">
        <f>IF(TrRoad_act!C44=0,0,C31/TrRoad_act!C44*1000
)</f>
        <v>3460.1817483129967</v>
      </c>
      <c r="D68" s="101">
        <f>IF(TrRoad_act!D44=0,0,D31/TrRoad_act!D44*1000
)</f>
        <v>67736.832816563139</v>
      </c>
      <c r="E68" s="101">
        <f>IF(TrRoad_act!E44=0,0,E31/TrRoad_act!E44*1000
)</f>
        <v>3465.5660565627945</v>
      </c>
      <c r="F68" s="101">
        <f>IF(TrRoad_act!F44=0,0,F31/TrRoad_act!F44*1000
)</f>
        <v>3020.0289995383</v>
      </c>
      <c r="G68" s="101">
        <f>IF(TrRoad_act!G44=0,0,G31/TrRoad_act!G44*1000
)</f>
        <v>2937.3351730227582</v>
      </c>
      <c r="H68" s="101">
        <f>IF(TrRoad_act!H44=0,0,H31/TrRoad_act!H44*1000
)</f>
        <v>2966.9136665238129</v>
      </c>
      <c r="I68" s="101">
        <f>IF(TrRoad_act!I44=0,0,I31/TrRoad_act!I44*1000
)</f>
        <v>3542.2549264052673</v>
      </c>
      <c r="J68" s="101">
        <f>IF(TrRoad_act!J44=0,0,J31/TrRoad_act!J44*1000
)</f>
        <v>3957.1813040787615</v>
      </c>
      <c r="K68" s="101">
        <f>IF(TrRoad_act!K44=0,0,K31/TrRoad_act!K44*1000
)</f>
        <v>4747.3655045222231</v>
      </c>
      <c r="L68" s="101">
        <f>IF(TrRoad_act!L44=0,0,L31/TrRoad_act!L44*1000
)</f>
        <v>6219.4066580169501</v>
      </c>
      <c r="M68" s="101">
        <f>IF(TrRoad_act!M44=0,0,M31/TrRoad_act!M44*1000
)</f>
        <v>6779.2661872428662</v>
      </c>
      <c r="N68" s="101">
        <f>IF(TrRoad_act!N44=0,0,N31/TrRoad_act!N44*1000
)</f>
        <v>6999.1913220794704</v>
      </c>
      <c r="O68" s="101">
        <f>IF(TrRoad_act!O44=0,0,O31/TrRoad_act!O44*1000
)</f>
        <v>7851.5178802191667</v>
      </c>
      <c r="P68" s="101">
        <f>IF(TrRoad_act!P44=0,0,P31/TrRoad_act!P44*1000
)</f>
        <v>9524.5469209316925</v>
      </c>
      <c r="Q68" s="101">
        <f>IF(TrRoad_act!Q44=0,0,Q31/TrRoad_act!Q44*1000
)</f>
        <v>2279.332993985267</v>
      </c>
      <c r="R68" s="101">
        <f>IF(TrRoad_act!R44=0,0,R31/TrRoad_act!R44*1000
)</f>
        <v>2411.4970725191984</v>
      </c>
      <c r="S68" s="101">
        <f>IF(TrRoad_act!S44=0,0,S31/TrRoad_act!S44*1000
)</f>
        <v>1912.2785234337366</v>
      </c>
      <c r="T68" s="101">
        <f>IF(TrRoad_act!T44=0,0,T31/TrRoad_act!T44*1000
)</f>
        <v>1539.4425170685399</v>
      </c>
      <c r="U68" s="101">
        <f>IF(TrRoad_act!U44=0,0,U31/TrRoad_act!U44*1000
)</f>
        <v>1537.885220130157</v>
      </c>
      <c r="V68" s="101">
        <f>IF(TrRoad_act!V44=0,0,V31/TrRoad_act!V44*1000
)</f>
        <v>2187.8068012686258</v>
      </c>
      <c r="W68" s="101">
        <f>IF(TrRoad_act!W44=0,0,W31/TrRoad_act!W44*1000
)</f>
        <v>2132.1529650707184</v>
      </c>
      <c r="X68" s="101">
        <f>IF(TrRoad_act!X44=0,0,X31/TrRoad_act!X44*1000
)</f>
        <v>2109.0985553271248</v>
      </c>
      <c r="Y68" s="101">
        <f>IF(TrRoad_act!Y44=0,0,Y31/TrRoad_act!Y44*1000
)</f>
        <v>2125.0932500920717</v>
      </c>
      <c r="DA68" s="175" t="s">
        <v>783</v>
      </c>
    </row>
    <row r="69" spans="1:105" ht="11.45" customHeight="1" x14ac:dyDescent="0.25">
      <c r="A69" s="111" t="s">
        <v>115</v>
      </c>
      <c r="B69" s="101">
        <f>IF(TrRoad_act!B45=0,0,B32/TrRoad_act!B45*1000
)</f>
        <v>0</v>
      </c>
      <c r="C69" s="101">
        <f>IF(TrRoad_act!C45=0,0,C32/TrRoad_act!C45*1000
)</f>
        <v>0</v>
      </c>
      <c r="D69" s="101">
        <f>IF(TrRoad_act!D45=0,0,D32/TrRoad_act!D45*1000
)</f>
        <v>0</v>
      </c>
      <c r="E69" s="101">
        <f>IF(TrRoad_act!E45=0,0,E32/TrRoad_act!E45*1000
)</f>
        <v>0</v>
      </c>
      <c r="F69" s="101">
        <f>IF(TrRoad_act!F45=0,0,F32/TrRoad_act!F45*1000
)</f>
        <v>0</v>
      </c>
      <c r="G69" s="101">
        <f>IF(TrRoad_act!G45=0,0,G32/TrRoad_act!G45*1000
)</f>
        <v>0</v>
      </c>
      <c r="H69" s="101">
        <f>IF(TrRoad_act!H45=0,0,H32/TrRoad_act!H45*1000
)</f>
        <v>0</v>
      </c>
      <c r="I69" s="101">
        <f>IF(TrRoad_act!I45=0,0,I32/TrRoad_act!I45*1000
)</f>
        <v>0</v>
      </c>
      <c r="J69" s="101">
        <f>IF(TrRoad_act!J45=0,0,J32/TrRoad_act!J45*1000
)</f>
        <v>0</v>
      </c>
      <c r="K69" s="101">
        <f>IF(TrRoad_act!K45=0,0,K32/TrRoad_act!K45*1000
)</f>
        <v>0</v>
      </c>
      <c r="L69" s="101">
        <f>IF(TrRoad_act!L45=0,0,L32/TrRoad_act!L45*1000
)</f>
        <v>0</v>
      </c>
      <c r="M69" s="101">
        <f>IF(TrRoad_act!M45=0,0,M32/TrRoad_act!M45*1000
)</f>
        <v>0</v>
      </c>
      <c r="N69" s="101">
        <f>IF(TrRoad_act!N45=0,0,N32/TrRoad_act!N45*1000
)</f>
        <v>0</v>
      </c>
      <c r="O69" s="101">
        <f>IF(TrRoad_act!O45=0,0,O32/TrRoad_act!O45*1000
)</f>
        <v>0</v>
      </c>
      <c r="P69" s="101">
        <f>IF(TrRoad_act!P45=0,0,P32/TrRoad_act!P45*1000
)</f>
        <v>0</v>
      </c>
      <c r="Q69" s="101">
        <f>IF(TrRoad_act!Q45=0,0,Q32/TrRoad_act!Q45*1000
)</f>
        <v>0</v>
      </c>
      <c r="R69" s="101">
        <f>IF(TrRoad_act!R45=0,0,R32/TrRoad_act!R45*1000
)</f>
        <v>0</v>
      </c>
      <c r="S69" s="101">
        <f>IF(TrRoad_act!S45=0,0,S32/TrRoad_act!S45*1000
)</f>
        <v>0</v>
      </c>
      <c r="T69" s="101">
        <f>IF(TrRoad_act!T45=0,0,T32/TrRoad_act!T45*1000
)</f>
        <v>0</v>
      </c>
      <c r="U69" s="101">
        <f>IF(TrRoad_act!U45=0,0,U32/TrRoad_act!U45*1000
)</f>
        <v>0</v>
      </c>
      <c r="V69" s="101">
        <f>IF(TrRoad_act!V45=0,0,V32/TrRoad_act!V45*1000
)</f>
        <v>0</v>
      </c>
      <c r="W69" s="101">
        <f>IF(TrRoad_act!W45=0,0,W32/TrRoad_act!W45*1000
)</f>
        <v>0</v>
      </c>
      <c r="X69" s="101">
        <f>IF(TrRoad_act!X45=0,0,X32/TrRoad_act!X45*1000
)</f>
        <v>0</v>
      </c>
      <c r="Y69" s="101">
        <f>IF(TrRoad_act!Y45=0,0,Y32/TrRoad_act!Y45*1000
)</f>
        <v>0</v>
      </c>
      <c r="DA69" s="175" t="s">
        <v>784</v>
      </c>
    </row>
    <row r="70" spans="1:105" ht="11.45" customHeight="1" x14ac:dyDescent="0.25">
      <c r="A70" s="27" t="s">
        <v>34</v>
      </c>
      <c r="B70" s="29">
        <f>IF(TrRoad_act!B46=0,0,B33/TrRoad_act!B46*1000
)</f>
        <v>826.69629771506368</v>
      </c>
      <c r="C70" s="29">
        <f>IF(TrRoad_act!C46=0,0,C33/TrRoad_act!C46*1000
)</f>
        <v>766.45938290937499</v>
      </c>
      <c r="D70" s="29">
        <f>IF(TrRoad_act!D46=0,0,D33/TrRoad_act!D46*1000
)</f>
        <v>778.01856077771583</v>
      </c>
      <c r="E70" s="29">
        <f>IF(TrRoad_act!E46=0,0,E33/TrRoad_act!E46*1000
)</f>
        <v>759.63182952233888</v>
      </c>
      <c r="F70" s="29">
        <f>IF(TrRoad_act!F46=0,0,F33/TrRoad_act!F46*1000
)</f>
        <v>739.23267997620462</v>
      </c>
      <c r="G70" s="29">
        <f>IF(TrRoad_act!G46=0,0,G33/TrRoad_act!G46*1000
)</f>
        <v>753.80231246637379</v>
      </c>
      <c r="H70" s="29">
        <f>IF(TrRoad_act!H46=0,0,H33/TrRoad_act!H46*1000
)</f>
        <v>729.43159557883314</v>
      </c>
      <c r="I70" s="29">
        <f>IF(TrRoad_act!I46=0,0,I33/TrRoad_act!I46*1000
)</f>
        <v>673.78015786779144</v>
      </c>
      <c r="J70" s="29">
        <f>IF(TrRoad_act!J46=0,0,J33/TrRoad_act!J46*1000
)</f>
        <v>664.29357208539682</v>
      </c>
      <c r="K70" s="29">
        <f>IF(TrRoad_act!K46=0,0,K33/TrRoad_act!K46*1000
)</f>
        <v>635.82078427111128</v>
      </c>
      <c r="L70" s="29">
        <f>IF(TrRoad_act!L46=0,0,L33/TrRoad_act!L46*1000
)</f>
        <v>617.5219454348894</v>
      </c>
      <c r="M70" s="29">
        <f>IF(TrRoad_act!M46=0,0,M33/TrRoad_act!M46*1000
)</f>
        <v>583.65196566914437</v>
      </c>
      <c r="N70" s="29">
        <f>IF(TrRoad_act!N46=0,0,N33/TrRoad_act!N46*1000
)</f>
        <v>528.99671329214186</v>
      </c>
      <c r="O70" s="29">
        <f>IF(TrRoad_act!O46=0,0,O33/TrRoad_act!O46*1000
)</f>
        <v>553.90738355973258</v>
      </c>
      <c r="P70" s="29">
        <f>IF(TrRoad_act!P46=0,0,P33/TrRoad_act!P46*1000
)</f>
        <v>563.96161862138365</v>
      </c>
      <c r="Q70" s="29">
        <f>IF(TrRoad_act!Q46=0,0,Q33/TrRoad_act!Q46*1000
)</f>
        <v>566.27921950581367</v>
      </c>
      <c r="R70" s="29">
        <f>IF(TrRoad_act!R46=0,0,R33/TrRoad_act!R46*1000
)</f>
        <v>619.84959230818856</v>
      </c>
      <c r="S70" s="29">
        <f>IF(TrRoad_act!S46=0,0,S33/TrRoad_act!S46*1000
)</f>
        <v>600.98084298279957</v>
      </c>
      <c r="T70" s="29">
        <f>IF(TrRoad_act!T46=0,0,T33/TrRoad_act!T46*1000
)</f>
        <v>597.73197979824874</v>
      </c>
      <c r="U70" s="29">
        <f>IF(TrRoad_act!U46=0,0,U33/TrRoad_act!U46*1000
)</f>
        <v>563.81315340661786</v>
      </c>
      <c r="V70" s="29">
        <f>IF(TrRoad_act!V46=0,0,V33/TrRoad_act!V46*1000
)</f>
        <v>615.0282466182565</v>
      </c>
      <c r="W70" s="29">
        <f>IF(TrRoad_act!W46=0,0,W33/TrRoad_act!W46*1000
)</f>
        <v>541.97499385484116</v>
      </c>
      <c r="X70" s="29">
        <f>IF(TrRoad_act!X46=0,0,X33/TrRoad_act!X46*1000
)</f>
        <v>533.20482900901027</v>
      </c>
      <c r="Y70" s="29">
        <f>IF(TrRoad_act!Y46=0,0,Y33/TrRoad_act!Y46*1000
)</f>
        <v>500.02978796539378</v>
      </c>
      <c r="DA70" s="173" t="s">
        <v>785</v>
      </c>
    </row>
    <row r="71" spans="1:105" ht="11.45" customHeight="1" x14ac:dyDescent="0.25">
      <c r="A71" s="136" t="s">
        <v>153</v>
      </c>
      <c r="B71" s="152">
        <f>IF(TrRoad_act!B47=0,0,B34/TrRoad_act!B47*1000
)</f>
        <v>390.91475040159094</v>
      </c>
      <c r="C71" s="152">
        <f>IF(TrRoad_act!C47=0,0,C34/TrRoad_act!C47*1000
)</f>
        <v>375.87088668860059</v>
      </c>
      <c r="D71" s="152">
        <f>IF(TrRoad_act!D47=0,0,D34/TrRoad_act!D47*1000
)</f>
        <v>366.54658981428639</v>
      </c>
      <c r="E71" s="152">
        <f>IF(TrRoad_act!E47=0,0,E34/TrRoad_act!E47*1000
)</f>
        <v>350.94296829322667</v>
      </c>
      <c r="F71" s="152">
        <f>IF(TrRoad_act!F47=0,0,F34/TrRoad_act!F47*1000
)</f>
        <v>333.49118895287177</v>
      </c>
      <c r="G71" s="152">
        <f>IF(TrRoad_act!G47=0,0,G34/TrRoad_act!G47*1000
)</f>
        <v>321.69574019229373</v>
      </c>
      <c r="H71" s="152">
        <f>IF(TrRoad_act!H47=0,0,H34/TrRoad_act!H47*1000
)</f>
        <v>313.00716228751577</v>
      </c>
      <c r="I71" s="152">
        <f>IF(TrRoad_act!I47=0,0,I34/TrRoad_act!I47*1000
)</f>
        <v>295.12071748060481</v>
      </c>
      <c r="J71" s="152">
        <f>IF(TrRoad_act!J47=0,0,J34/TrRoad_act!J47*1000
)</f>
        <v>283.47203404367593</v>
      </c>
      <c r="K71" s="152">
        <f>IF(TrRoad_act!K47=0,0,K34/TrRoad_act!K47*1000
)</f>
        <v>263.92157040442044</v>
      </c>
      <c r="L71" s="152">
        <f>IF(TrRoad_act!L47=0,0,L34/TrRoad_act!L47*1000
)</f>
        <v>254.54062268080014</v>
      </c>
      <c r="M71" s="152">
        <f>IF(TrRoad_act!M47=0,0,M34/TrRoad_act!M47*1000
)</f>
        <v>249.02142082606841</v>
      </c>
      <c r="N71" s="152">
        <f>IF(TrRoad_act!N47=0,0,N34/TrRoad_act!N47*1000
)</f>
        <v>242.08028935978149</v>
      </c>
      <c r="O71" s="152">
        <f>IF(TrRoad_act!O47=0,0,O34/TrRoad_act!O47*1000
)</f>
        <v>255.42769789661145</v>
      </c>
      <c r="P71" s="152">
        <f>IF(TrRoad_act!P47=0,0,P34/TrRoad_act!P47*1000
)</f>
        <v>253.48046361382342</v>
      </c>
      <c r="Q71" s="152">
        <f>IF(TrRoad_act!Q47=0,0,Q34/TrRoad_act!Q47*1000
)</f>
        <v>251.98932155163607</v>
      </c>
      <c r="R71" s="152">
        <f>IF(TrRoad_act!R47=0,0,R34/TrRoad_act!R47*1000
)</f>
        <v>248.86843591788818</v>
      </c>
      <c r="S71" s="152">
        <f>IF(TrRoad_act!S47=0,0,S34/TrRoad_act!S47*1000
)</f>
        <v>245.50475536054842</v>
      </c>
      <c r="T71" s="152">
        <f>IF(TrRoad_act!T47=0,0,T34/TrRoad_act!T47*1000
)</f>
        <v>239.77452357219599</v>
      </c>
      <c r="U71" s="152">
        <f>IF(TrRoad_act!U47=0,0,U34/TrRoad_act!U47*1000
)</f>
        <v>239.25439434838552</v>
      </c>
      <c r="V71" s="152">
        <f>IF(TrRoad_act!V47=0,0,V34/TrRoad_act!V47*1000
)</f>
        <v>238.36956624527841</v>
      </c>
      <c r="W71" s="152">
        <f>IF(TrRoad_act!W47=0,0,W34/TrRoad_act!W47*1000
)</f>
        <v>240.2444785847004</v>
      </c>
      <c r="X71" s="152">
        <f>IF(TrRoad_act!X47=0,0,X34/TrRoad_act!X47*1000
)</f>
        <v>240.2813714962094</v>
      </c>
      <c r="Y71" s="152">
        <f>IF(TrRoad_act!Y47=0,0,Y34/TrRoad_act!Y47*1000
)</f>
        <v>233.31550019383991</v>
      </c>
      <c r="DA71" s="174" t="s">
        <v>786</v>
      </c>
    </row>
    <row r="72" spans="1:105" ht="11.45" customHeight="1" x14ac:dyDescent="0.25">
      <c r="A72" s="111" t="s">
        <v>110</v>
      </c>
      <c r="B72" s="87">
        <f>IF(TrRoad_act!B48=0,0,B35/TrRoad_act!B48*1000
)</f>
        <v>367.46166945656336</v>
      </c>
      <c r="C72" s="87">
        <f>IF(TrRoad_act!C48=0,0,C35/TrRoad_act!C48*1000
)</f>
        <v>367.1613059421407</v>
      </c>
      <c r="D72" s="87">
        <f>IF(TrRoad_act!D48=0,0,D35/TrRoad_act!D48*1000
)</f>
        <v>364.00833802455514</v>
      </c>
      <c r="E72" s="87">
        <f>IF(TrRoad_act!E48=0,0,E35/TrRoad_act!E48*1000
)</f>
        <v>362.70453652979973</v>
      </c>
      <c r="F72" s="87">
        <f>IF(TrRoad_act!F48=0,0,F35/TrRoad_act!F48*1000
)</f>
        <v>363.55004742830454</v>
      </c>
      <c r="G72" s="87">
        <f>IF(TrRoad_act!G48=0,0,G35/TrRoad_act!G48*1000
)</f>
        <v>361.50573617381673</v>
      </c>
      <c r="H72" s="87">
        <f>IF(TrRoad_act!H48=0,0,H35/TrRoad_act!H48*1000
)</f>
        <v>361.09795428804449</v>
      </c>
      <c r="I72" s="87">
        <f>IF(TrRoad_act!I48=0,0,I35/TrRoad_act!I48*1000
)</f>
        <v>360.9031551755408</v>
      </c>
      <c r="J72" s="87">
        <f>IF(TrRoad_act!J48=0,0,J35/TrRoad_act!J48*1000
)</f>
        <v>361.46133920409619</v>
      </c>
      <c r="K72" s="87">
        <f>IF(TrRoad_act!K48=0,0,K35/TrRoad_act!K48*1000
)</f>
        <v>357.57210316083376</v>
      </c>
      <c r="L72" s="87">
        <f>IF(TrRoad_act!L48=0,0,L35/TrRoad_act!L48*1000
)</f>
        <v>352.02053697807338</v>
      </c>
      <c r="M72" s="87">
        <f>IF(TrRoad_act!M48=0,0,M35/TrRoad_act!M48*1000
)</f>
        <v>347.02554885398268</v>
      </c>
      <c r="N72" s="87">
        <f>IF(TrRoad_act!N48=0,0,N35/TrRoad_act!N48*1000
)</f>
        <v>322.65639272620643</v>
      </c>
      <c r="O72" s="87">
        <f>IF(TrRoad_act!O48=0,0,O35/TrRoad_act!O48*1000
)</f>
        <v>304.03684959731532</v>
      </c>
      <c r="P72" s="87">
        <f>IF(TrRoad_act!P48=0,0,P35/TrRoad_act!P48*1000
)</f>
        <v>287.53275185982568</v>
      </c>
      <c r="Q72" s="87">
        <f>IF(TrRoad_act!Q48=0,0,Q35/TrRoad_act!Q48*1000
)</f>
        <v>281.42886307779031</v>
      </c>
      <c r="R72" s="87">
        <f>IF(TrRoad_act!R48=0,0,R35/TrRoad_act!R48*1000
)</f>
        <v>270.69408470138438</v>
      </c>
      <c r="S72" s="87">
        <f>IF(TrRoad_act!S48=0,0,S35/TrRoad_act!S48*1000
)</f>
        <v>252.25034463425982</v>
      </c>
      <c r="T72" s="87">
        <f>IF(TrRoad_act!T48=0,0,T35/TrRoad_act!T48*1000
)</f>
        <v>240.08910861103732</v>
      </c>
      <c r="U72" s="87">
        <f>IF(TrRoad_act!U48=0,0,U35/TrRoad_act!U48*1000
)</f>
        <v>235.25728204247204</v>
      </c>
      <c r="V72" s="87">
        <f>IF(TrRoad_act!V48=0,0,V35/TrRoad_act!V48*1000
)</f>
        <v>232.96902680827407</v>
      </c>
      <c r="W72" s="87">
        <f>IF(TrRoad_act!W48=0,0,W35/TrRoad_act!W48*1000
)</f>
        <v>232.12714781963692</v>
      </c>
      <c r="X72" s="87">
        <f>IF(TrRoad_act!X48=0,0,X35/TrRoad_act!X48*1000
)</f>
        <v>231.57459595769166</v>
      </c>
      <c r="Y72" s="87">
        <f>IF(TrRoad_act!Y48=0,0,Y35/TrRoad_act!Y48*1000
)</f>
        <v>224.66001869944472</v>
      </c>
      <c r="DA72" s="171" t="s">
        <v>787</v>
      </c>
    </row>
    <row r="73" spans="1:105" ht="11.45" customHeight="1" x14ac:dyDescent="0.25">
      <c r="A73" s="111" t="s">
        <v>111</v>
      </c>
      <c r="B73" s="87">
        <f>IF(TrRoad_act!B49=0,0,B36/TrRoad_act!B49*1000
)</f>
        <v>393.03160110837484</v>
      </c>
      <c r="C73" s="87">
        <f>IF(TrRoad_act!C49=0,0,C36/TrRoad_act!C49*1000
)</f>
        <v>376.55852847890588</v>
      </c>
      <c r="D73" s="87">
        <f>IF(TrRoad_act!D49=0,0,D36/TrRoad_act!D49*1000
)</f>
        <v>366.70109188066101</v>
      </c>
      <c r="E73" s="87">
        <f>IF(TrRoad_act!E49=0,0,E36/TrRoad_act!E49*1000
)</f>
        <v>350.36807136735575</v>
      </c>
      <c r="F73" s="87">
        <f>IF(TrRoad_act!F49=0,0,F36/TrRoad_act!F49*1000
)</f>
        <v>332.33018551733443</v>
      </c>
      <c r="G73" s="87">
        <f>IF(TrRoad_act!G49=0,0,G36/TrRoad_act!G49*1000
)</f>
        <v>320.47521227147945</v>
      </c>
      <c r="H73" s="87">
        <f>IF(TrRoad_act!H49=0,0,H36/TrRoad_act!H49*1000
)</f>
        <v>311.81434505148508</v>
      </c>
      <c r="I73" s="87">
        <f>IF(TrRoad_act!I49=0,0,I36/TrRoad_act!I49*1000
)</f>
        <v>293.87332755242221</v>
      </c>
      <c r="J73" s="87">
        <f>IF(TrRoad_act!J49=0,0,J36/TrRoad_act!J49*1000
)</f>
        <v>282.1834297335277</v>
      </c>
      <c r="K73" s="87">
        <f>IF(TrRoad_act!K49=0,0,K36/TrRoad_act!K49*1000
)</f>
        <v>262.39315258157751</v>
      </c>
      <c r="L73" s="87">
        <f>IF(TrRoad_act!L49=0,0,L36/TrRoad_act!L49*1000
)</f>
        <v>253.04946297608706</v>
      </c>
      <c r="M73" s="87">
        <f>IF(TrRoad_act!M49=0,0,M36/TrRoad_act!M49*1000
)</f>
        <v>247.47799412672893</v>
      </c>
      <c r="N73" s="87">
        <f>IF(TrRoad_act!N49=0,0,N36/TrRoad_act!N49*1000
)</f>
        <v>240.66210547082107</v>
      </c>
      <c r="O73" s="87">
        <f>IF(TrRoad_act!O49=0,0,O36/TrRoad_act!O49*1000
)</f>
        <v>254.53476324130409</v>
      </c>
      <c r="P73" s="87">
        <f>IF(TrRoad_act!P49=0,0,P36/TrRoad_act!P49*1000
)</f>
        <v>253.13365964196095</v>
      </c>
      <c r="Q73" s="87">
        <f>IF(TrRoad_act!Q49=0,0,Q36/TrRoad_act!Q49*1000
)</f>
        <v>251.73404972168899</v>
      </c>
      <c r="R73" s="87">
        <f>IF(TrRoad_act!R49=0,0,R36/TrRoad_act!R49*1000
)</f>
        <v>248.74120802461383</v>
      </c>
      <c r="S73" s="87">
        <f>IF(TrRoad_act!S49=0,0,S36/TrRoad_act!S49*1000
)</f>
        <v>245.62945476064283</v>
      </c>
      <c r="T73" s="87">
        <f>IF(TrRoad_act!T49=0,0,T36/TrRoad_act!T49*1000
)</f>
        <v>240.17072436025506</v>
      </c>
      <c r="U73" s="87">
        <f>IF(TrRoad_act!U49=0,0,U36/TrRoad_act!U49*1000
)</f>
        <v>239.9704796316999</v>
      </c>
      <c r="V73" s="87">
        <f>IF(TrRoad_act!V49=0,0,V36/TrRoad_act!V49*1000
)</f>
        <v>239.266676344416</v>
      </c>
      <c r="W73" s="87">
        <f>IF(TrRoad_act!W49=0,0,W36/TrRoad_act!W49*1000
)</f>
        <v>241.36783355765942</v>
      </c>
      <c r="X73" s="87">
        <f>IF(TrRoad_act!X49=0,0,X36/TrRoad_act!X49*1000
)</f>
        <v>241.5704166511016</v>
      </c>
      <c r="Y73" s="87">
        <f>IF(TrRoad_act!Y49=0,0,Y36/TrRoad_act!Y49*1000
)</f>
        <v>235.03104178250751</v>
      </c>
      <c r="DA73" s="171" t="s">
        <v>788</v>
      </c>
    </row>
    <row r="74" spans="1:105" ht="11.45" customHeight="1" x14ac:dyDescent="0.25">
      <c r="A74" s="111" t="s">
        <v>112</v>
      </c>
      <c r="B74" s="87">
        <f>IF(TrRoad_act!B50=0,0,B37/TrRoad_act!B50*1000
)</f>
        <v>0</v>
      </c>
      <c r="C74" s="87">
        <f>IF(TrRoad_act!C50=0,0,C37/TrRoad_act!C50*1000
)</f>
        <v>0</v>
      </c>
      <c r="D74" s="87">
        <f>IF(TrRoad_act!D50=0,0,D37/TrRoad_act!D50*1000
)</f>
        <v>0</v>
      </c>
      <c r="E74" s="87">
        <f>IF(TrRoad_act!E50=0,0,E37/TrRoad_act!E50*1000
)</f>
        <v>0</v>
      </c>
      <c r="F74" s="87">
        <f>IF(TrRoad_act!F50=0,0,F37/TrRoad_act!F50*1000
)</f>
        <v>0</v>
      </c>
      <c r="G74" s="87">
        <f>IF(TrRoad_act!G50=0,0,G37/TrRoad_act!G50*1000
)</f>
        <v>0</v>
      </c>
      <c r="H74" s="87">
        <f>IF(TrRoad_act!H50=0,0,H37/TrRoad_act!H50*1000
)</f>
        <v>0</v>
      </c>
      <c r="I74" s="87">
        <f>IF(TrRoad_act!I50=0,0,I37/TrRoad_act!I50*1000
)</f>
        <v>0</v>
      </c>
      <c r="J74" s="87">
        <f>IF(TrRoad_act!J50=0,0,J37/TrRoad_act!J50*1000
)</f>
        <v>0</v>
      </c>
      <c r="K74" s="87">
        <f>IF(TrRoad_act!K50=0,0,K37/TrRoad_act!K50*1000
)</f>
        <v>0</v>
      </c>
      <c r="L74" s="87">
        <f>IF(TrRoad_act!L50=0,0,L37/TrRoad_act!L50*1000
)</f>
        <v>0</v>
      </c>
      <c r="M74" s="87">
        <f>IF(TrRoad_act!M50=0,0,M37/TrRoad_act!M50*1000
)</f>
        <v>0</v>
      </c>
      <c r="N74" s="87">
        <f>IF(TrRoad_act!N50=0,0,N37/TrRoad_act!N50*1000
)</f>
        <v>0</v>
      </c>
      <c r="O74" s="87">
        <f>IF(TrRoad_act!O50=0,0,O37/TrRoad_act!O50*1000
)</f>
        <v>334.83733292206978</v>
      </c>
      <c r="P74" s="87">
        <f>IF(TrRoad_act!P50=0,0,P37/TrRoad_act!P50*1000
)</f>
        <v>229.12404813658478</v>
      </c>
      <c r="Q74" s="87">
        <f>IF(TrRoad_act!Q50=0,0,Q37/TrRoad_act!Q50*1000
)</f>
        <v>251.32701715158845</v>
      </c>
      <c r="R74" s="87">
        <f>IF(TrRoad_act!R50=0,0,R37/TrRoad_act!R50*1000
)</f>
        <v>244.26616198318291</v>
      </c>
      <c r="S74" s="87">
        <f>IF(TrRoad_act!S50=0,0,S37/TrRoad_act!S50*1000
)</f>
        <v>218.48375483980587</v>
      </c>
      <c r="T74" s="87">
        <f>IF(TrRoad_act!T50=0,0,T37/TrRoad_act!T50*1000
)</f>
        <v>194.56983351496763</v>
      </c>
      <c r="U74" s="87">
        <f>IF(TrRoad_act!U50=0,0,U37/TrRoad_act!U50*1000
)</f>
        <v>180.85354092441099</v>
      </c>
      <c r="V74" s="87">
        <f>IF(TrRoad_act!V50=0,0,V37/TrRoad_act!V50*1000
)</f>
        <v>188.84269872304134</v>
      </c>
      <c r="W74" s="87">
        <f>IF(TrRoad_act!W50=0,0,W37/TrRoad_act!W50*1000
)</f>
        <v>195.18928901155948</v>
      </c>
      <c r="X74" s="87">
        <f>IF(TrRoad_act!X50=0,0,X37/TrRoad_act!X50*1000
)</f>
        <v>194.58438903925119</v>
      </c>
      <c r="Y74" s="87">
        <f>IF(TrRoad_act!Y50=0,0,Y37/TrRoad_act!Y50*1000
)</f>
        <v>193.19680978728027</v>
      </c>
      <c r="DA74" s="171" t="s">
        <v>789</v>
      </c>
    </row>
    <row r="75" spans="1:105" ht="11.45" customHeight="1" x14ac:dyDescent="0.25">
      <c r="A75" s="111" t="s">
        <v>113</v>
      </c>
      <c r="B75" s="87">
        <f>IF(TrRoad_act!B51=0,0,B38/TrRoad_act!B51*1000
)</f>
        <v>0</v>
      </c>
      <c r="C75" s="87">
        <f>IF(TrRoad_act!C51=0,0,C38/TrRoad_act!C51*1000
)</f>
        <v>0</v>
      </c>
      <c r="D75" s="87">
        <f>IF(TrRoad_act!D51=0,0,D38/TrRoad_act!D51*1000
)</f>
        <v>0</v>
      </c>
      <c r="E75" s="87">
        <f>IF(TrRoad_act!E51=0,0,E38/TrRoad_act!E51*1000
)</f>
        <v>0</v>
      </c>
      <c r="F75" s="87">
        <f>IF(TrRoad_act!F51=0,0,F38/TrRoad_act!F51*1000
)</f>
        <v>0</v>
      </c>
      <c r="G75" s="87">
        <f>IF(TrRoad_act!G51=0,0,G38/TrRoad_act!G51*1000
)</f>
        <v>0</v>
      </c>
      <c r="H75" s="87">
        <f>IF(TrRoad_act!H51=0,0,H38/TrRoad_act!H51*1000
)</f>
        <v>0</v>
      </c>
      <c r="I75" s="87">
        <f>IF(TrRoad_act!I51=0,0,I38/TrRoad_act!I51*1000
)</f>
        <v>0</v>
      </c>
      <c r="J75" s="87">
        <f>IF(TrRoad_act!J51=0,0,J38/TrRoad_act!J51*1000
)</f>
        <v>0</v>
      </c>
      <c r="K75" s="87">
        <f>IF(TrRoad_act!K51=0,0,K38/TrRoad_act!K51*1000
)</f>
        <v>0</v>
      </c>
      <c r="L75" s="87">
        <f>IF(TrRoad_act!L51=0,0,L38/TrRoad_act!L51*1000
)</f>
        <v>0</v>
      </c>
      <c r="M75" s="87">
        <f>IF(TrRoad_act!M51=0,0,M38/TrRoad_act!M51*1000
)</f>
        <v>0</v>
      </c>
      <c r="N75" s="87">
        <f>IF(TrRoad_act!N51=0,0,N38/TrRoad_act!N51*1000
)</f>
        <v>343.34186763552378</v>
      </c>
      <c r="O75" s="87">
        <f>IF(TrRoad_act!O51=0,0,O38/TrRoad_act!O51*1000
)</f>
        <v>352.99809497149397</v>
      </c>
      <c r="P75" s="87">
        <f>IF(TrRoad_act!P51=0,0,P38/TrRoad_act!P51*1000
)</f>
        <v>283.73494400817748</v>
      </c>
      <c r="Q75" s="87">
        <f>IF(TrRoad_act!Q51=0,0,Q38/TrRoad_act!Q51*1000
)</f>
        <v>292.4341154708905</v>
      </c>
      <c r="R75" s="87">
        <f>IF(TrRoad_act!R51=0,0,R38/TrRoad_act!R51*1000
)</f>
        <v>261.787227025471</v>
      </c>
      <c r="S75" s="87">
        <f>IF(TrRoad_act!S51=0,0,S38/TrRoad_act!S51*1000
)</f>
        <v>245.70170155092654</v>
      </c>
      <c r="T75" s="87">
        <f>IF(TrRoad_act!T51=0,0,T38/TrRoad_act!T51*1000
)</f>
        <v>208.26293317683195</v>
      </c>
      <c r="U75" s="87">
        <f>IF(TrRoad_act!U51=0,0,U38/TrRoad_act!U51*1000
)</f>
        <v>204.4274328757684</v>
      </c>
      <c r="V75" s="87">
        <f>IF(TrRoad_act!V51=0,0,V38/TrRoad_act!V51*1000
)</f>
        <v>216.11752888486762</v>
      </c>
      <c r="W75" s="87">
        <f>IF(TrRoad_act!W51=0,0,W38/TrRoad_act!W51*1000
)</f>
        <v>224.7114083624964</v>
      </c>
      <c r="X75" s="87">
        <f>IF(TrRoad_act!X51=0,0,X38/TrRoad_act!X51*1000
)</f>
        <v>225.09701138459943</v>
      </c>
      <c r="Y75" s="87">
        <f>IF(TrRoad_act!Y51=0,0,Y38/TrRoad_act!Y51*1000
)</f>
        <v>226.18660899685784</v>
      </c>
      <c r="DA75" s="171" t="s">
        <v>790</v>
      </c>
    </row>
    <row r="76" spans="1:105" ht="11.45" customHeight="1" x14ac:dyDescent="0.25">
      <c r="A76" s="111" t="s">
        <v>115</v>
      </c>
      <c r="B76" s="87">
        <f>IF(TrRoad_act!B52=0,0,B39/TrRoad_act!B52*1000
)</f>
        <v>0</v>
      </c>
      <c r="C76" s="87">
        <f>IF(TrRoad_act!C52=0,0,C39/TrRoad_act!C52*1000
)</f>
        <v>0</v>
      </c>
      <c r="D76" s="87">
        <f>IF(TrRoad_act!D52=0,0,D39/TrRoad_act!D52*1000
)</f>
        <v>0</v>
      </c>
      <c r="E76" s="87">
        <f>IF(TrRoad_act!E52=0,0,E39/TrRoad_act!E52*1000
)</f>
        <v>0</v>
      </c>
      <c r="F76" s="87">
        <f>IF(TrRoad_act!F52=0,0,F39/TrRoad_act!F52*1000
)</f>
        <v>0</v>
      </c>
      <c r="G76" s="87">
        <f>IF(TrRoad_act!G52=0,0,G39/TrRoad_act!G52*1000
)</f>
        <v>0</v>
      </c>
      <c r="H76" s="87">
        <f>IF(TrRoad_act!H52=0,0,H39/TrRoad_act!H52*1000
)</f>
        <v>0</v>
      </c>
      <c r="I76" s="87">
        <f>IF(TrRoad_act!I52=0,0,I39/TrRoad_act!I52*1000
)</f>
        <v>0</v>
      </c>
      <c r="J76" s="87">
        <f>IF(TrRoad_act!J52=0,0,J39/TrRoad_act!J52*1000
)</f>
        <v>0</v>
      </c>
      <c r="K76" s="87">
        <f>IF(TrRoad_act!K52=0,0,K39/TrRoad_act!K52*1000
)</f>
        <v>0</v>
      </c>
      <c r="L76" s="87">
        <f>IF(TrRoad_act!L52=0,0,L39/TrRoad_act!L52*1000
)</f>
        <v>0</v>
      </c>
      <c r="M76" s="87">
        <f>IF(TrRoad_act!M52=0,0,M39/TrRoad_act!M52*1000
)</f>
        <v>0</v>
      </c>
      <c r="N76" s="87">
        <f>IF(TrRoad_act!N52=0,0,N39/TrRoad_act!N52*1000
)</f>
        <v>0</v>
      </c>
      <c r="O76" s="87">
        <f>IF(TrRoad_act!O52=0,0,O39/TrRoad_act!O52*1000
)</f>
        <v>0</v>
      </c>
      <c r="P76" s="87">
        <f>IF(TrRoad_act!P52=0,0,P39/TrRoad_act!P52*1000
)</f>
        <v>0</v>
      </c>
      <c r="Q76" s="87">
        <f>IF(TrRoad_act!Q52=0,0,Q39/TrRoad_act!Q52*1000
)</f>
        <v>0</v>
      </c>
      <c r="R76" s="87">
        <f>IF(TrRoad_act!R52=0,0,R39/TrRoad_act!R52*1000
)</f>
        <v>0</v>
      </c>
      <c r="S76" s="87">
        <f>IF(TrRoad_act!S52=0,0,S39/TrRoad_act!S52*1000
)</f>
        <v>0</v>
      </c>
      <c r="T76" s="87">
        <f>IF(TrRoad_act!T52=0,0,T39/TrRoad_act!T52*1000
)</f>
        <v>0</v>
      </c>
      <c r="U76" s="87">
        <f>IF(TrRoad_act!U52=0,0,U39/TrRoad_act!U52*1000
)</f>
        <v>0</v>
      </c>
      <c r="V76" s="87">
        <f>IF(TrRoad_act!V52=0,0,V39/TrRoad_act!V52*1000
)</f>
        <v>0</v>
      </c>
      <c r="W76" s="87">
        <f>IF(TrRoad_act!W52=0,0,W39/TrRoad_act!W52*1000
)</f>
        <v>0</v>
      </c>
      <c r="X76" s="87">
        <f>IF(TrRoad_act!X52=0,0,X39/TrRoad_act!X52*1000
)</f>
        <v>0</v>
      </c>
      <c r="Y76" s="87">
        <f>IF(TrRoad_act!Y52=0,0,Y39/TrRoad_act!Y52*1000
)</f>
        <v>0</v>
      </c>
      <c r="DA76" s="171" t="s">
        <v>791</v>
      </c>
    </row>
    <row r="77" spans="1:105" ht="11.45" customHeight="1" x14ac:dyDescent="0.25">
      <c r="A77" s="109" t="s">
        <v>154</v>
      </c>
      <c r="B77" s="116">
        <f>IF(TrRoad_act!B53=0,0,B40/TrRoad_act!B53*1000
)</f>
        <v>1583.0310838960693</v>
      </c>
      <c r="C77" s="116">
        <f>IF(TrRoad_act!C53=0,0,C40/TrRoad_act!C53*1000
)</f>
        <v>1542.4007172023651</v>
      </c>
      <c r="D77" s="116">
        <f>IF(TrRoad_act!D53=0,0,D40/TrRoad_act!D53*1000
)</f>
        <v>1448.9303717263697</v>
      </c>
      <c r="E77" s="116">
        <f>IF(TrRoad_act!E53=0,0,E40/TrRoad_act!E53*1000
)</f>
        <v>1451.6638558803584</v>
      </c>
      <c r="F77" s="116">
        <f>IF(TrRoad_act!F53=0,0,F40/TrRoad_act!F53*1000
)</f>
        <v>1387.0038989112154</v>
      </c>
      <c r="G77" s="116">
        <f>IF(TrRoad_act!G53=0,0,G40/TrRoad_act!G53*1000
)</f>
        <v>1365.1859381667548</v>
      </c>
      <c r="H77" s="116">
        <f>IF(TrRoad_act!H53=0,0,H40/TrRoad_act!H53*1000
)</f>
        <v>1334.2834601742711</v>
      </c>
      <c r="I77" s="116">
        <f>IF(TrRoad_act!I53=0,0,I40/TrRoad_act!I53*1000
)</f>
        <v>1276.3371986560578</v>
      </c>
      <c r="J77" s="116">
        <f>IF(TrRoad_act!J53=0,0,J40/TrRoad_act!J53*1000
)</f>
        <v>1277.1725972602014</v>
      </c>
      <c r="K77" s="116">
        <f>IF(TrRoad_act!K53=0,0,K40/TrRoad_act!K53*1000
)</f>
        <v>1234.5658423582365</v>
      </c>
      <c r="L77" s="116">
        <f>IF(TrRoad_act!L53=0,0,L40/TrRoad_act!L53*1000
)</f>
        <v>1237.5751599796163</v>
      </c>
      <c r="M77" s="116">
        <f>IF(TrRoad_act!M53=0,0,M40/TrRoad_act!M53*1000
)</f>
        <v>1163.181858989896</v>
      </c>
      <c r="N77" s="116">
        <f>IF(TrRoad_act!N53=0,0,N40/TrRoad_act!N53*1000
)</f>
        <v>1015.162870362895</v>
      </c>
      <c r="O77" s="116">
        <f>IF(TrRoad_act!O53=0,0,O40/TrRoad_act!O53*1000
)</f>
        <v>1079.3496509781032</v>
      </c>
      <c r="P77" s="116">
        <f>IF(TrRoad_act!P53=0,0,P40/TrRoad_act!P53*1000
)</f>
        <v>1089.6627279585641</v>
      </c>
      <c r="Q77" s="116">
        <f>IF(TrRoad_act!Q53=0,0,Q40/TrRoad_act!Q53*1000
)</f>
        <v>1089.0631671304034</v>
      </c>
      <c r="R77" s="116">
        <f>IF(TrRoad_act!R53=0,0,R40/TrRoad_act!R53*1000
)</f>
        <v>1190.3503805767364</v>
      </c>
      <c r="S77" s="116">
        <f>IF(TrRoad_act!S53=0,0,S40/TrRoad_act!S53*1000
)</f>
        <v>1161.5884348108236</v>
      </c>
      <c r="T77" s="116">
        <f>IF(TrRoad_act!T53=0,0,T40/TrRoad_act!T53*1000
)</f>
        <v>1162.6110632324614</v>
      </c>
      <c r="U77" s="116">
        <f>IF(TrRoad_act!U53=0,0,U40/TrRoad_act!U53*1000
)</f>
        <v>1056.4435853783575</v>
      </c>
      <c r="V77" s="116">
        <f>IF(TrRoad_act!V53=0,0,V40/TrRoad_act!V53*1000
)</f>
        <v>1001.2405037595038</v>
      </c>
      <c r="W77" s="116">
        <f>IF(TrRoad_act!W53=0,0,W40/TrRoad_act!W53*1000
)</f>
        <v>950.7652215013951</v>
      </c>
      <c r="X77" s="116">
        <f>IF(TrRoad_act!X53=0,0,X40/TrRoad_act!X53*1000
)</f>
        <v>962.80514729617244</v>
      </c>
      <c r="Y77" s="116">
        <f>IF(TrRoad_act!Y53=0,0,Y40/TrRoad_act!Y53*1000
)</f>
        <v>889.19979154815383</v>
      </c>
      <c r="DA77" s="176" t="s">
        <v>792</v>
      </c>
    </row>
    <row r="78" spans="1:105" ht="11.45" customHeight="1" x14ac:dyDescent="0.25">
      <c r="A78" s="128" t="s">
        <v>27</v>
      </c>
      <c r="B78" s="101">
        <f>IF(TrRoad_act!B54=0,0,B41/TrRoad_act!B54*1000
)</f>
        <v>1558.7829049820891</v>
      </c>
      <c r="C78" s="101">
        <f>IF(TrRoad_act!C54=0,0,C41/TrRoad_act!C54*1000
)</f>
        <v>1520.783975954186</v>
      </c>
      <c r="D78" s="101">
        <f>IF(TrRoad_act!D54=0,0,D41/TrRoad_act!D54*1000
)</f>
        <v>1431.1062593705481</v>
      </c>
      <c r="E78" s="101">
        <f>IF(TrRoad_act!E54=0,0,E41/TrRoad_act!E54*1000
)</f>
        <v>1434.9560192229919</v>
      </c>
      <c r="F78" s="101">
        <f>IF(TrRoad_act!F54=0,0,F41/TrRoad_act!F54*1000
)</f>
        <v>1372.952546959835</v>
      </c>
      <c r="G78" s="101">
        <f>IF(TrRoad_act!G54=0,0,G41/TrRoad_act!G54*1000
)</f>
        <v>1352.2292441002296</v>
      </c>
      <c r="H78" s="101">
        <f>IF(TrRoad_act!H54=0,0,H41/TrRoad_act!H54*1000
)</f>
        <v>1322.1987936077462</v>
      </c>
      <c r="I78" s="101">
        <f>IF(TrRoad_act!I54=0,0,I41/TrRoad_act!I54*1000
)</f>
        <v>1265.4317781898872</v>
      </c>
      <c r="J78" s="101">
        <f>IF(TrRoad_act!J54=0,0,J41/TrRoad_act!J54*1000
)</f>
        <v>1265.96301521032</v>
      </c>
      <c r="K78" s="101">
        <f>IF(TrRoad_act!K54=0,0,K41/TrRoad_act!K54*1000
)</f>
        <v>1223.1988844169084</v>
      </c>
      <c r="L78" s="101">
        <f>IF(TrRoad_act!L54=0,0,L41/TrRoad_act!L54*1000
)</f>
        <v>1226.2027285372922</v>
      </c>
      <c r="M78" s="101">
        <f>IF(TrRoad_act!M54=0,0,M41/TrRoad_act!M54*1000
)</f>
        <v>1152.577725207992</v>
      </c>
      <c r="N78" s="101">
        <f>IF(TrRoad_act!N54=0,0,N41/TrRoad_act!N54*1000
)</f>
        <v>1005.8001551923111</v>
      </c>
      <c r="O78" s="101">
        <f>IF(TrRoad_act!O54=0,0,O41/TrRoad_act!O54*1000
)</f>
        <v>1065.9719224645239</v>
      </c>
      <c r="P78" s="101">
        <f>IF(TrRoad_act!P54=0,0,P41/TrRoad_act!P54*1000
)</f>
        <v>1077.482180300887</v>
      </c>
      <c r="Q78" s="101">
        <f>IF(TrRoad_act!Q54=0,0,Q41/TrRoad_act!Q54*1000
)</f>
        <v>1076.9997156591155</v>
      </c>
      <c r="R78" s="101">
        <f>IF(TrRoad_act!R54=0,0,R41/TrRoad_act!R54*1000
)</f>
        <v>1175.1113154515654</v>
      </c>
      <c r="S78" s="101">
        <f>IF(TrRoad_act!S54=0,0,S41/TrRoad_act!S54*1000
)</f>
        <v>1143.5973567279168</v>
      </c>
      <c r="T78" s="101">
        <f>IF(TrRoad_act!T54=0,0,T41/TrRoad_act!T54*1000
)</f>
        <v>1140.558970070038</v>
      </c>
      <c r="U78" s="101">
        <f>IF(TrRoad_act!U54=0,0,U41/TrRoad_act!U54*1000
)</f>
        <v>1033.3974359289264</v>
      </c>
      <c r="V78" s="101">
        <f>IF(TrRoad_act!V54=0,0,V41/TrRoad_act!V54*1000
)</f>
        <v>978.05944225153121</v>
      </c>
      <c r="W78" s="101">
        <f>IF(TrRoad_act!W54=0,0,W41/TrRoad_act!W54*1000
)</f>
        <v>926.75981009825978</v>
      </c>
      <c r="X78" s="101">
        <f>IF(TrRoad_act!X54=0,0,X41/TrRoad_act!X54*1000
)</f>
        <v>935.05033809748795</v>
      </c>
      <c r="Y78" s="101">
        <f>IF(TrRoad_act!Y54=0,0,Y41/TrRoad_act!Y54*1000
)</f>
        <v>863.57038115678836</v>
      </c>
      <c r="DA78" s="175" t="s">
        <v>793</v>
      </c>
    </row>
    <row r="79" spans="1:105" ht="11.45" customHeight="1" x14ac:dyDescent="0.25">
      <c r="A79" s="138" t="s">
        <v>116</v>
      </c>
      <c r="B79" s="88">
        <f>IF(TrRoad_act!B55=0,0,B42/TrRoad_act!B55*1000
)</f>
        <v>1694.0150683823069</v>
      </c>
      <c r="C79" s="88">
        <f>IF(TrRoad_act!C55=0,0,C42/TrRoad_act!C55*1000
)</f>
        <v>1642.4805337413841</v>
      </c>
      <c r="D79" s="88">
        <f>IF(TrRoad_act!D55=0,0,D42/TrRoad_act!D55*1000
)</f>
        <v>1538.1784042911831</v>
      </c>
      <c r="E79" s="88">
        <f>IF(TrRoad_act!E55=0,0,E42/TrRoad_act!E55*1000
)</f>
        <v>1538.6677622363125</v>
      </c>
      <c r="F79" s="88">
        <f>IF(TrRoad_act!F55=0,0,F42/TrRoad_act!F55*1000
)</f>
        <v>1455.9304296793939</v>
      </c>
      <c r="G79" s="88">
        <f>IF(TrRoad_act!G55=0,0,G42/TrRoad_act!G55*1000
)</f>
        <v>1430.563976917487</v>
      </c>
      <c r="H79" s="88">
        <f>IF(TrRoad_act!H55=0,0,H42/TrRoad_act!H55*1000
)</f>
        <v>1396.8296241669925</v>
      </c>
      <c r="I79" s="88">
        <f>IF(TrRoad_act!I55=0,0,I42/TrRoad_act!I55*1000
)</f>
        <v>1335.7457377949422</v>
      </c>
      <c r="J79" s="88">
        <f>IF(TrRoad_act!J55=0,0,J42/TrRoad_act!J55*1000
)</f>
        <v>1338.0851819671627</v>
      </c>
      <c r="K79" s="88">
        <f>IF(TrRoad_act!K55=0,0,K42/TrRoad_act!K55*1000
)</f>
        <v>1293.2799525194453</v>
      </c>
      <c r="L79" s="88">
        <f>IF(TrRoad_act!L55=0,0,L42/TrRoad_act!L55*1000
)</f>
        <v>1295.1735354970453</v>
      </c>
      <c r="M79" s="88">
        <f>IF(TrRoad_act!M55=0,0,M42/TrRoad_act!M55*1000
)</f>
        <v>1215.9360960264066</v>
      </c>
      <c r="N79" s="88">
        <f>IF(TrRoad_act!N55=0,0,N42/TrRoad_act!N55*1000
)</f>
        <v>1060.0931591100325</v>
      </c>
      <c r="O79" s="88">
        <f>IF(TrRoad_act!O55=0,0,O42/TrRoad_act!O55*1000
)</f>
        <v>1135.6948500076419</v>
      </c>
      <c r="P79" s="88">
        <f>IF(TrRoad_act!P55=0,0,P42/TrRoad_act!P55*1000
)</f>
        <v>1142.4695912341701</v>
      </c>
      <c r="Q79" s="88">
        <f>IF(TrRoad_act!Q55=0,0,Q42/TrRoad_act!Q55*1000
)</f>
        <v>1141.5333569897373</v>
      </c>
      <c r="R79" s="88">
        <f>IF(TrRoad_act!R55=0,0,R42/TrRoad_act!R55*1000
)</f>
        <v>1257.8261661448669</v>
      </c>
      <c r="S79" s="88">
        <f>IF(TrRoad_act!S55=0,0,S42/TrRoad_act!S55*1000
)</f>
        <v>1243.2805447629316</v>
      </c>
      <c r="T79" s="88">
        <f>IF(TrRoad_act!T55=0,0,T42/TrRoad_act!T55*1000
)</f>
        <v>1261.6797544768888</v>
      </c>
      <c r="U79" s="88">
        <f>IF(TrRoad_act!U55=0,0,U42/TrRoad_act!U55*1000
)</f>
        <v>1160.49827533236</v>
      </c>
      <c r="V79" s="88">
        <f>IF(TrRoad_act!V55=0,0,V42/TrRoad_act!V55*1000
)</f>
        <v>1109.3403956558418</v>
      </c>
      <c r="W79" s="88">
        <f>IF(TrRoad_act!W55=0,0,W42/TrRoad_act!W55*1000
)</f>
        <v>1063.1008563049159</v>
      </c>
      <c r="X79" s="88">
        <f>IF(TrRoad_act!X55=0,0,X42/TrRoad_act!X55*1000
)</f>
        <v>1087.5042925744744</v>
      </c>
      <c r="Y79" s="88">
        <f>IF(TrRoad_act!Y55=0,0,Y42/TrRoad_act!Y55*1000
)</f>
        <v>1010.9112697681985</v>
      </c>
      <c r="DA79" s="178" t="s">
        <v>794</v>
      </c>
    </row>
    <row r="80" spans="1:105" x14ac:dyDescent="0.25">
      <c r="A80" s="106"/>
      <c r="B80" s="106"/>
      <c r="C80" s="106"/>
      <c r="D80" s="106"/>
      <c r="E80" s="106"/>
      <c r="F80" s="106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X80" s="106"/>
      <c r="Y80" s="106"/>
      <c r="DA80" s="171"/>
    </row>
    <row r="81" spans="1:105" ht="11.45" customHeight="1" x14ac:dyDescent="0.25">
      <c r="A81" s="53" t="s">
        <v>71</v>
      </c>
      <c r="B81" s="62"/>
      <c r="C81" s="62"/>
      <c r="D81" s="62"/>
      <c r="E81" s="62"/>
      <c r="F81" s="62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2"/>
      <c r="X81" s="62"/>
      <c r="Y81" s="62"/>
      <c r="DA81" s="172"/>
    </row>
    <row r="82" spans="1:105" ht="11.45" customHeight="1" x14ac:dyDescent="0.25">
      <c r="A82" s="27" t="s">
        <v>157</v>
      </c>
      <c r="B82" s="29">
        <f>IF(TrRoad_act!B4=0,0,B18/TrRoad_act!B4*1000)</f>
        <v>141.71831171257921</v>
      </c>
      <c r="C82" s="29">
        <f>IF(TrRoad_act!C4=0,0,C18/TrRoad_act!C4*1000)</f>
        <v>142.54555102388088</v>
      </c>
      <c r="D82" s="29">
        <f>IF(TrRoad_act!D4=0,0,D18/TrRoad_act!D4*1000)</f>
        <v>146.17494122376934</v>
      </c>
      <c r="E82" s="29">
        <f>IF(TrRoad_act!E4=0,0,E18/TrRoad_act!E4*1000)</f>
        <v>149.44267201329987</v>
      </c>
      <c r="F82" s="29">
        <f>IF(TrRoad_act!F4=0,0,F18/TrRoad_act!F4*1000)</f>
        <v>149.05542964943518</v>
      </c>
      <c r="G82" s="29">
        <f>IF(TrRoad_act!G4=0,0,G18/TrRoad_act!G4*1000)</f>
        <v>134.16314168390394</v>
      </c>
      <c r="H82" s="29">
        <f>IF(TrRoad_act!H4=0,0,H18/TrRoad_act!H4*1000)</f>
        <v>140.45481343745431</v>
      </c>
      <c r="I82" s="29">
        <f>IF(TrRoad_act!I4=0,0,I18/TrRoad_act!I4*1000)</f>
        <v>136.4139588420083</v>
      </c>
      <c r="J82" s="29">
        <f>IF(TrRoad_act!J4=0,0,J18/TrRoad_act!J4*1000)</f>
        <v>131.6118564419574</v>
      </c>
      <c r="K82" s="29">
        <f>IF(TrRoad_act!K4=0,0,K18/TrRoad_act!K4*1000)</f>
        <v>127.79912345615588</v>
      </c>
      <c r="L82" s="29">
        <f>IF(TrRoad_act!L4=0,0,L18/TrRoad_act!L4*1000)</f>
        <v>128.54185496424824</v>
      </c>
      <c r="M82" s="29">
        <f>IF(TrRoad_act!M4=0,0,M18/TrRoad_act!M4*1000)</f>
        <v>122.71020660814334</v>
      </c>
      <c r="N82" s="29">
        <f>IF(TrRoad_act!N4=0,0,N18/TrRoad_act!N4*1000)</f>
        <v>116.26923668507786</v>
      </c>
      <c r="O82" s="29">
        <f>IF(TrRoad_act!O4=0,0,O18/TrRoad_act!O4*1000)</f>
        <v>121.70196566547746</v>
      </c>
      <c r="P82" s="29">
        <f>IF(TrRoad_act!P4=0,0,P18/TrRoad_act!P4*1000)</f>
        <v>133.38594194011949</v>
      </c>
      <c r="Q82" s="29">
        <f>IF(TrRoad_act!Q4=0,0,Q18/TrRoad_act!Q4*1000)</f>
        <v>128.58200689767256</v>
      </c>
      <c r="R82" s="29">
        <f>IF(TrRoad_act!R4=0,0,R18/TrRoad_act!R4*1000)</f>
        <v>123.46381137062728</v>
      </c>
      <c r="S82" s="29">
        <f>IF(TrRoad_act!S4=0,0,S18/TrRoad_act!S4*1000)</f>
        <v>134.01323378217165</v>
      </c>
      <c r="T82" s="29">
        <f>IF(TrRoad_act!T4=0,0,T18/TrRoad_act!T4*1000)</f>
        <v>131.27129786127784</v>
      </c>
      <c r="U82" s="29">
        <f>IF(TrRoad_act!U4=0,0,U18/TrRoad_act!U4*1000)</f>
        <v>133.84664748031054</v>
      </c>
      <c r="V82" s="29">
        <f>IF(TrRoad_act!V4=0,0,V18/TrRoad_act!V4*1000)</f>
        <v>144.58126721075854</v>
      </c>
      <c r="W82" s="29">
        <f>IF(TrRoad_act!W4=0,0,W18/TrRoad_act!W4*1000)</f>
        <v>135.5686736825096</v>
      </c>
      <c r="X82" s="29">
        <f>IF(TrRoad_act!X4=0,0,X18/TrRoad_act!X4*1000)</f>
        <v>128.30985295184232</v>
      </c>
      <c r="Y82" s="29">
        <f>IF(TrRoad_act!Y4=0,0,Y18/TrRoad_act!Y4*1000)</f>
        <v>122.6986057865753</v>
      </c>
      <c r="DA82" s="173" t="s">
        <v>436</v>
      </c>
    </row>
    <row r="83" spans="1:105" ht="11.45" customHeight="1" x14ac:dyDescent="0.25">
      <c r="A83" s="136" t="s">
        <v>173</v>
      </c>
      <c r="B83" s="152">
        <f>IF(TrRoad_act!B5=0,0,B19/TrRoad_act!B5*1000)</f>
        <v>102.64127369009553</v>
      </c>
      <c r="C83" s="152">
        <f>IF(TrRoad_act!C5=0,0,C19/TrRoad_act!C5*1000)</f>
        <v>102.05336343373011</v>
      </c>
      <c r="D83" s="152">
        <f>IF(TrRoad_act!D5=0,0,D19/TrRoad_act!D5*1000)</f>
        <v>99.619344731682631</v>
      </c>
      <c r="E83" s="152">
        <f>IF(TrRoad_act!E5=0,0,E19/TrRoad_act!E5*1000)</f>
        <v>97.880005686075307</v>
      </c>
      <c r="F83" s="152">
        <f>IF(TrRoad_act!F5=0,0,F19/TrRoad_act!F5*1000)</f>
        <v>98.644147788769473</v>
      </c>
      <c r="G83" s="152">
        <f>IF(TrRoad_act!G5=0,0,G19/TrRoad_act!G5*1000)</f>
        <v>96.656128529858378</v>
      </c>
      <c r="H83" s="152">
        <f>IF(TrRoad_act!H5=0,0,H19/TrRoad_act!H5*1000)</f>
        <v>96.730480213045809</v>
      </c>
      <c r="I83" s="152">
        <f>IF(TrRoad_act!I5=0,0,I19/TrRoad_act!I5*1000)</f>
        <v>95.115161465286434</v>
      </c>
      <c r="J83" s="152">
        <f>IF(TrRoad_act!J5=0,0,J19/TrRoad_act!J5*1000)</f>
        <v>95.375466267200181</v>
      </c>
      <c r="K83" s="152">
        <f>IF(TrRoad_act!K5=0,0,K19/TrRoad_act!K5*1000)</f>
        <v>93.458155112384873</v>
      </c>
      <c r="L83" s="152">
        <f>IF(TrRoad_act!L5=0,0,L19/TrRoad_act!L5*1000)</f>
        <v>91.942111425116067</v>
      </c>
      <c r="M83" s="152">
        <f>IF(TrRoad_act!M5=0,0,M19/TrRoad_act!M5*1000)</f>
        <v>90.314596388414216</v>
      </c>
      <c r="N83" s="152">
        <f>IF(TrRoad_act!N5=0,0,N19/TrRoad_act!N5*1000)</f>
        <v>90.188437132577448</v>
      </c>
      <c r="O83" s="152">
        <f>IF(TrRoad_act!O5=0,0,O19/TrRoad_act!O5*1000)</f>
        <v>90.642556930366879</v>
      </c>
      <c r="P83" s="152">
        <f>IF(TrRoad_act!P5=0,0,P19/TrRoad_act!P5*1000)</f>
        <v>90.326735510856054</v>
      </c>
      <c r="Q83" s="152">
        <f>IF(TrRoad_act!Q5=0,0,Q19/TrRoad_act!Q5*1000)</f>
        <v>88.930958539382345</v>
      </c>
      <c r="R83" s="152">
        <f>IF(TrRoad_act!R5=0,0,R19/TrRoad_act!R5*1000)</f>
        <v>90.989251125402802</v>
      </c>
      <c r="S83" s="152">
        <f>IF(TrRoad_act!S5=0,0,S19/TrRoad_act!S5*1000)</f>
        <v>89.576099465415652</v>
      </c>
      <c r="T83" s="152">
        <f>IF(TrRoad_act!T5=0,0,T19/TrRoad_act!T5*1000)</f>
        <v>88.926105237083846</v>
      </c>
      <c r="U83" s="152">
        <f>IF(TrRoad_act!U5=0,0,U19/TrRoad_act!U5*1000)</f>
        <v>88.870922052674189</v>
      </c>
      <c r="V83" s="152">
        <f>IF(TrRoad_act!V5=0,0,V19/TrRoad_act!V5*1000)</f>
        <v>84.534314705200259</v>
      </c>
      <c r="W83" s="152">
        <f>IF(TrRoad_act!W5=0,0,W19/TrRoad_act!W5*1000)</f>
        <v>87.402469060534855</v>
      </c>
      <c r="X83" s="152">
        <f>IF(TrRoad_act!X5=0,0,X19/TrRoad_act!X5*1000)</f>
        <v>83.921188444955433</v>
      </c>
      <c r="Y83" s="152">
        <f>IF(TrRoad_act!Y5=0,0,Y19/TrRoad_act!Y5*1000)</f>
        <v>82.783521491766152</v>
      </c>
      <c r="DA83" s="174" t="s">
        <v>437</v>
      </c>
    </row>
    <row r="84" spans="1:105" ht="11.45" customHeight="1" x14ac:dyDescent="0.25">
      <c r="A84" s="109" t="s">
        <v>20</v>
      </c>
      <c r="B84" s="116">
        <f>IF(TrRoad_act!B6=0,0,B20/TrRoad_act!B6*1000)</f>
        <v>154.57678996171285</v>
      </c>
      <c r="C84" s="116">
        <f>IF(TrRoad_act!C6=0,0,C20/TrRoad_act!C6*1000)</f>
        <v>156.18597588994945</v>
      </c>
      <c r="D84" s="116">
        <f>IF(TrRoad_act!D6=0,0,D20/TrRoad_act!D6*1000)</f>
        <v>159.628138278493</v>
      </c>
      <c r="E84" s="116">
        <f>IF(TrRoad_act!E6=0,0,E20/TrRoad_act!E6*1000)</f>
        <v>163.22459884981069</v>
      </c>
      <c r="F84" s="116">
        <f>IF(TrRoad_act!F6=0,0,F20/TrRoad_act!F6*1000)</f>
        <v>163.96227911285848</v>
      </c>
      <c r="G84" s="116">
        <f>IF(TrRoad_act!G6=0,0,G20/TrRoad_act!G6*1000)</f>
        <v>144.48831347522878</v>
      </c>
      <c r="H84" s="116">
        <f>IF(TrRoad_act!H6=0,0,H20/TrRoad_act!H6*1000)</f>
        <v>150.10563008251955</v>
      </c>
      <c r="I84" s="116">
        <f>IF(TrRoad_act!I6=0,0,I20/TrRoad_act!I6*1000)</f>
        <v>148.49974096451817</v>
      </c>
      <c r="J84" s="116">
        <f>IF(TrRoad_act!J6=0,0,J20/TrRoad_act!J6*1000)</f>
        <v>143.50485939281378</v>
      </c>
      <c r="K84" s="116">
        <f>IF(TrRoad_act!K6=0,0,K20/TrRoad_act!K6*1000)</f>
        <v>138.05157479580478</v>
      </c>
      <c r="L84" s="116">
        <f>IF(TrRoad_act!L6=0,0,L20/TrRoad_act!L6*1000)</f>
        <v>137.65484413438801</v>
      </c>
      <c r="M84" s="116">
        <f>IF(TrRoad_act!M6=0,0,M20/TrRoad_act!M6*1000)</f>
        <v>132.57445961167383</v>
      </c>
      <c r="N84" s="116">
        <f>IF(TrRoad_act!N6=0,0,N20/TrRoad_act!N6*1000)</f>
        <v>125.28995503585627</v>
      </c>
      <c r="O84" s="116">
        <f>IF(TrRoad_act!O6=0,0,O20/TrRoad_act!O6*1000)</f>
        <v>131.61281154502623</v>
      </c>
      <c r="P84" s="116">
        <f>IF(TrRoad_act!P6=0,0,P20/TrRoad_act!P6*1000)</f>
        <v>141.05799135812697</v>
      </c>
      <c r="Q84" s="116">
        <f>IF(TrRoad_act!Q6=0,0,Q20/TrRoad_act!Q6*1000)</f>
        <v>137.81834577956636</v>
      </c>
      <c r="R84" s="116">
        <f>IF(TrRoad_act!R6=0,0,R20/TrRoad_act!R6*1000)</f>
        <v>131.76684100066058</v>
      </c>
      <c r="S84" s="116">
        <f>IF(TrRoad_act!S6=0,0,S20/TrRoad_act!S6*1000)</f>
        <v>141.43393945738791</v>
      </c>
      <c r="T84" s="116">
        <f>IF(TrRoad_act!T6=0,0,T20/TrRoad_act!T6*1000)</f>
        <v>138.73818123800663</v>
      </c>
      <c r="U84" s="116">
        <f>IF(TrRoad_act!U6=0,0,U20/TrRoad_act!U6*1000)</f>
        <v>142.00565371730943</v>
      </c>
      <c r="V84" s="116">
        <f>IF(TrRoad_act!V6=0,0,V20/TrRoad_act!V6*1000)</f>
        <v>152.03379875198681</v>
      </c>
      <c r="W84" s="116">
        <f>IF(TrRoad_act!W6=0,0,W20/TrRoad_act!W6*1000)</f>
        <v>143.76193184303725</v>
      </c>
      <c r="X84" s="116">
        <f>IF(TrRoad_act!X6=0,0,X20/TrRoad_act!X6*1000)</f>
        <v>137.17132554982567</v>
      </c>
      <c r="Y84" s="116">
        <f>IF(TrRoad_act!Y6=0,0,Y20/TrRoad_act!Y6*1000)</f>
        <v>131.55223686353429</v>
      </c>
      <c r="DA84" s="176" t="s">
        <v>438</v>
      </c>
    </row>
    <row r="85" spans="1:105" ht="11.45" customHeight="1" x14ac:dyDescent="0.25">
      <c r="A85" s="111" t="s">
        <v>110</v>
      </c>
      <c r="B85" s="87">
        <f>IF(TrRoad_act!B7=0,0,B21/TrRoad_act!B7*1000)</f>
        <v>161.19216946153904</v>
      </c>
      <c r="C85" s="87">
        <f>IF(TrRoad_act!C7=0,0,C21/TrRoad_act!C7*1000)</f>
        <v>167.2195960356099</v>
      </c>
      <c r="D85" s="87">
        <f>IF(TrRoad_act!D7=0,0,D21/TrRoad_act!D7*1000)</f>
        <v>168.15709772334381</v>
      </c>
      <c r="E85" s="87">
        <f>IF(TrRoad_act!E7=0,0,E21/TrRoad_act!E7*1000)</f>
        <v>173.38357668922924</v>
      </c>
      <c r="F85" s="87">
        <f>IF(TrRoad_act!F7=0,0,F21/TrRoad_act!F7*1000)</f>
        <v>175.65195982188655</v>
      </c>
      <c r="G85" s="87">
        <f>IF(TrRoad_act!G7=0,0,G21/TrRoad_act!G7*1000)</f>
        <v>153.67535143389392</v>
      </c>
      <c r="H85" s="87">
        <f>IF(TrRoad_act!H7=0,0,H21/TrRoad_act!H7*1000)</f>
        <v>159.12709049380288</v>
      </c>
      <c r="I85" s="87">
        <f>IF(TrRoad_act!I7=0,0,I21/TrRoad_act!I7*1000)</f>
        <v>157.72308956747332</v>
      </c>
      <c r="J85" s="87">
        <f>IF(TrRoad_act!J7=0,0,J21/TrRoad_act!J7*1000)</f>
        <v>151.16848066693808</v>
      </c>
      <c r="K85" s="87">
        <f>IF(TrRoad_act!K7=0,0,K21/TrRoad_act!K7*1000)</f>
        <v>146.03993221811254</v>
      </c>
      <c r="L85" s="87">
        <f>IF(TrRoad_act!L7=0,0,L21/TrRoad_act!L7*1000)</f>
        <v>144.21512708236617</v>
      </c>
      <c r="M85" s="87">
        <f>IF(TrRoad_act!M7=0,0,M21/TrRoad_act!M7*1000)</f>
        <v>139.69469554331005</v>
      </c>
      <c r="N85" s="87">
        <f>IF(TrRoad_act!N7=0,0,N21/TrRoad_act!N7*1000)</f>
        <v>133.32349298713899</v>
      </c>
      <c r="O85" s="87">
        <f>IF(TrRoad_act!O7=0,0,O21/TrRoad_act!O7*1000)</f>
        <v>136.52917891886304</v>
      </c>
      <c r="P85" s="87">
        <f>IF(TrRoad_act!P7=0,0,P21/TrRoad_act!P7*1000)</f>
        <v>146.74722513985571</v>
      </c>
      <c r="Q85" s="87">
        <f>IF(TrRoad_act!Q7=0,0,Q21/TrRoad_act!Q7*1000)</f>
        <v>143.38933883143409</v>
      </c>
      <c r="R85" s="87">
        <f>IF(TrRoad_act!R7=0,0,R21/TrRoad_act!R7*1000)</f>
        <v>142.49957273615803</v>
      </c>
      <c r="S85" s="87">
        <f>IF(TrRoad_act!S7=0,0,S21/TrRoad_act!S7*1000)</f>
        <v>163.45582237448102</v>
      </c>
      <c r="T85" s="87">
        <f>IF(TrRoad_act!T7=0,0,T21/TrRoad_act!T7*1000)</f>
        <v>164.62327922767687</v>
      </c>
      <c r="U85" s="87">
        <f>IF(TrRoad_act!U7=0,0,U21/TrRoad_act!U7*1000)</f>
        <v>169.29657625865838</v>
      </c>
      <c r="V85" s="87">
        <f>IF(TrRoad_act!V7=0,0,V21/TrRoad_act!V7*1000)</f>
        <v>202.04743036364937</v>
      </c>
      <c r="W85" s="87">
        <f>IF(TrRoad_act!W7=0,0,W21/TrRoad_act!W7*1000)</f>
        <v>189.82629414797282</v>
      </c>
      <c r="X85" s="87">
        <f>IF(TrRoad_act!X7=0,0,X21/TrRoad_act!X7*1000)</f>
        <v>173.57165406249132</v>
      </c>
      <c r="Y85" s="87">
        <f>IF(TrRoad_act!Y7=0,0,Y21/TrRoad_act!Y7*1000)</f>
        <v>166.68721921658937</v>
      </c>
      <c r="DA85" s="171" t="s">
        <v>795</v>
      </c>
    </row>
    <row r="86" spans="1:105" ht="11.45" customHeight="1" x14ac:dyDescent="0.25">
      <c r="A86" s="111" t="s">
        <v>111</v>
      </c>
      <c r="B86" s="87">
        <f>IF(TrRoad_act!B8=0,0,B22/TrRoad_act!B8*1000)</f>
        <v>147.10406524967257</v>
      </c>
      <c r="C86" s="87">
        <f>IF(TrRoad_act!C8=0,0,C22/TrRoad_act!C8*1000)</f>
        <v>145.67951320557347</v>
      </c>
      <c r="D86" s="87">
        <f>IF(TrRoad_act!D8=0,0,D22/TrRoad_act!D8*1000)</f>
        <v>152.25140165503765</v>
      </c>
      <c r="E86" s="87">
        <f>IF(TrRoad_act!E8=0,0,E22/TrRoad_act!E8*1000)</f>
        <v>155.67472951782997</v>
      </c>
      <c r="F86" s="87">
        <f>IF(TrRoad_act!F8=0,0,F22/TrRoad_act!F8*1000)</f>
        <v>156.36238521665763</v>
      </c>
      <c r="G86" s="87">
        <f>IF(TrRoad_act!G8=0,0,G22/TrRoad_act!G8*1000)</f>
        <v>139.38358131275456</v>
      </c>
      <c r="H86" s="87">
        <f>IF(TrRoad_act!H8=0,0,H22/TrRoad_act!H8*1000)</f>
        <v>145.67981432985096</v>
      </c>
      <c r="I86" s="87">
        <f>IF(TrRoad_act!I8=0,0,I22/TrRoad_act!I8*1000)</f>
        <v>144.38609247773167</v>
      </c>
      <c r="J86" s="87">
        <f>IF(TrRoad_act!J8=0,0,J22/TrRoad_act!J8*1000)</f>
        <v>140.47521628010958</v>
      </c>
      <c r="K86" s="87">
        <f>IF(TrRoad_act!K8=0,0,K22/TrRoad_act!K8*1000)</f>
        <v>135.08430911432427</v>
      </c>
      <c r="L86" s="87">
        <f>IF(TrRoad_act!L8=0,0,L22/TrRoad_act!L8*1000)</f>
        <v>135.31758169050252</v>
      </c>
      <c r="M86" s="87">
        <f>IF(TrRoad_act!M8=0,0,M22/TrRoad_act!M8*1000)</f>
        <v>130.12863812318997</v>
      </c>
      <c r="N86" s="87">
        <f>IF(TrRoad_act!N8=0,0,N22/TrRoad_act!N8*1000)</f>
        <v>122.62536798372052</v>
      </c>
      <c r="O86" s="87">
        <f>IF(TrRoad_act!O8=0,0,O22/TrRoad_act!O8*1000)</f>
        <v>130.00081146670337</v>
      </c>
      <c r="P86" s="87">
        <f>IF(TrRoad_act!P8=0,0,P22/TrRoad_act!P8*1000)</f>
        <v>139.27559416500148</v>
      </c>
      <c r="Q86" s="87">
        <f>IF(TrRoad_act!Q8=0,0,Q22/TrRoad_act!Q8*1000)</f>
        <v>136.08648164438628</v>
      </c>
      <c r="R86" s="87">
        <f>IF(TrRoad_act!R8=0,0,R22/TrRoad_act!R8*1000)</f>
        <v>128.55744716756757</v>
      </c>
      <c r="S86" s="87">
        <f>IF(TrRoad_act!S8=0,0,S22/TrRoad_act!S8*1000)</f>
        <v>135.52775760253681</v>
      </c>
      <c r="T86" s="87">
        <f>IF(TrRoad_act!T8=0,0,T22/TrRoad_act!T8*1000)</f>
        <v>131.75170024098716</v>
      </c>
      <c r="U86" s="87">
        <f>IF(TrRoad_act!U8=0,0,U22/TrRoad_act!U8*1000)</f>
        <v>134.42970535256123</v>
      </c>
      <c r="V86" s="87">
        <f>IF(TrRoad_act!V8=0,0,V22/TrRoad_act!V8*1000)</f>
        <v>140.42112737201757</v>
      </c>
      <c r="W86" s="87">
        <f>IF(TrRoad_act!W8=0,0,W22/TrRoad_act!W8*1000)</f>
        <v>132.35401035723663</v>
      </c>
      <c r="X86" s="87">
        <f>IF(TrRoad_act!X8=0,0,X22/TrRoad_act!X8*1000)</f>
        <v>127.10012340856225</v>
      </c>
      <c r="Y86" s="87">
        <f>IF(TrRoad_act!Y8=0,0,Y22/TrRoad_act!Y8*1000)</f>
        <v>121.72531867347467</v>
      </c>
      <c r="DA86" s="171" t="s">
        <v>796</v>
      </c>
    </row>
    <row r="87" spans="1:105" ht="11.45" customHeight="1" x14ac:dyDescent="0.25">
      <c r="A87" s="111" t="s">
        <v>112</v>
      </c>
      <c r="B87" s="87">
        <f>IF(TrRoad_act!B9=0,0,B23/TrRoad_act!B9*1000)</f>
        <v>344.94443257734935</v>
      </c>
      <c r="C87" s="87">
        <f>IF(TrRoad_act!C9=0,0,C23/TrRoad_act!C9*1000)</f>
        <v>347.94946908636371</v>
      </c>
      <c r="D87" s="87">
        <f>IF(TrRoad_act!D9=0,0,D23/TrRoad_act!D9*1000)</f>
        <v>353.47237434393276</v>
      </c>
      <c r="E87" s="87">
        <f>IF(TrRoad_act!E9=0,0,E23/TrRoad_act!E9*1000)</f>
        <v>382.56420185369342</v>
      </c>
      <c r="F87" s="87">
        <f>IF(TrRoad_act!F9=0,0,F23/TrRoad_act!F9*1000)</f>
        <v>431.43619804012923</v>
      </c>
      <c r="G87" s="87">
        <f>IF(TrRoad_act!G9=0,0,G23/TrRoad_act!G9*1000)</f>
        <v>350.37903995865992</v>
      </c>
      <c r="H87" s="87">
        <f>IF(TrRoad_act!H9=0,0,H23/TrRoad_act!H9*1000)</f>
        <v>377.29292275070947</v>
      </c>
      <c r="I87" s="87">
        <f>IF(TrRoad_act!I9=0,0,I23/TrRoad_act!I9*1000)</f>
        <v>468.85350490447047</v>
      </c>
      <c r="J87" s="87">
        <f>IF(TrRoad_act!J9=0,0,J23/TrRoad_act!J9*1000)</f>
        <v>224.647121668625</v>
      </c>
      <c r="K87" s="87">
        <f>IF(TrRoad_act!K9=0,0,K23/TrRoad_act!K9*1000)</f>
        <v>208.91246335316561</v>
      </c>
      <c r="L87" s="87">
        <f>IF(TrRoad_act!L9=0,0,L23/TrRoad_act!L9*1000)</f>
        <v>221.6770111227132</v>
      </c>
      <c r="M87" s="87">
        <f>IF(TrRoad_act!M9=0,0,M23/TrRoad_act!M9*1000)</f>
        <v>225.13566119741714</v>
      </c>
      <c r="N87" s="87">
        <f>IF(TrRoad_act!N9=0,0,N23/TrRoad_act!N9*1000)</f>
        <v>198.3669746066939</v>
      </c>
      <c r="O87" s="87">
        <f>IF(TrRoad_act!O9=0,0,O23/TrRoad_act!O9*1000)</f>
        <v>226.29241479674917</v>
      </c>
      <c r="P87" s="87">
        <f>IF(TrRoad_act!P9=0,0,P23/TrRoad_act!P9*1000)</f>
        <v>240.30999288455214</v>
      </c>
      <c r="Q87" s="87">
        <f>IF(TrRoad_act!Q9=0,0,Q23/TrRoad_act!Q9*1000)</f>
        <v>257.28917020051432</v>
      </c>
      <c r="R87" s="87">
        <f>IF(TrRoad_act!R9=0,0,R23/TrRoad_act!R9*1000)</f>
        <v>243.70261525116914</v>
      </c>
      <c r="S87" s="87">
        <f>IF(TrRoad_act!S9=0,0,S23/TrRoad_act!S9*1000)</f>
        <v>245.79536441732878</v>
      </c>
      <c r="T87" s="87">
        <f>IF(TrRoad_act!T9=0,0,T23/TrRoad_act!T9*1000)</f>
        <v>187.51580118401665</v>
      </c>
      <c r="U87" s="87">
        <f>IF(TrRoad_act!U9=0,0,U23/TrRoad_act!U9*1000)</f>
        <v>183.31014277696735</v>
      </c>
      <c r="V87" s="87">
        <f>IF(TrRoad_act!V9=0,0,V23/TrRoad_act!V9*1000)</f>
        <v>204.47684203185116</v>
      </c>
      <c r="W87" s="87">
        <f>IF(TrRoad_act!W9=0,0,W23/TrRoad_act!W9*1000)</f>
        <v>174.34021730081309</v>
      </c>
      <c r="X87" s="87">
        <f>IF(TrRoad_act!X9=0,0,X23/TrRoad_act!X9*1000)</f>
        <v>164.78821885625459</v>
      </c>
      <c r="Y87" s="87">
        <f>IF(TrRoad_act!Y9=0,0,Y23/TrRoad_act!Y9*1000)</f>
        <v>111.41500080202273</v>
      </c>
      <c r="DA87" s="171" t="s">
        <v>797</v>
      </c>
    </row>
    <row r="88" spans="1:105" ht="11.45" customHeight="1" x14ac:dyDescent="0.25">
      <c r="A88" s="111" t="s">
        <v>113</v>
      </c>
      <c r="B88" s="87">
        <f>IF(TrRoad_act!B10=0,0,B24/TrRoad_act!B10*1000)</f>
        <v>0</v>
      </c>
      <c r="C88" s="87">
        <f>IF(TrRoad_act!C10=0,0,C24/TrRoad_act!C10*1000)</f>
        <v>0</v>
      </c>
      <c r="D88" s="87">
        <f>IF(TrRoad_act!D10=0,0,D24/TrRoad_act!D10*1000)</f>
        <v>0</v>
      </c>
      <c r="E88" s="87">
        <f>IF(TrRoad_act!E10=0,0,E24/TrRoad_act!E10*1000)</f>
        <v>0</v>
      </c>
      <c r="F88" s="87">
        <f>IF(TrRoad_act!F10=0,0,F24/TrRoad_act!F10*1000)</f>
        <v>127.32838645612837</v>
      </c>
      <c r="G88" s="87">
        <f>IF(TrRoad_act!G10=0,0,G24/TrRoad_act!G10*1000)</f>
        <v>113.87060324134718</v>
      </c>
      <c r="H88" s="87">
        <f>IF(TrRoad_act!H10=0,0,H24/TrRoad_act!H10*1000)</f>
        <v>118.36855455166278</v>
      </c>
      <c r="I88" s="87">
        <f>IF(TrRoad_act!I10=0,0,I24/TrRoad_act!I10*1000)</f>
        <v>119.43807490696352</v>
      </c>
      <c r="J88" s="87">
        <f>IF(TrRoad_act!J10=0,0,J24/TrRoad_act!J10*1000)</f>
        <v>120.08829157215769</v>
      </c>
      <c r="K88" s="87">
        <f>IF(TrRoad_act!K10=0,0,K24/TrRoad_act!K10*1000)</f>
        <v>120.13918747909824</v>
      </c>
      <c r="L88" s="87">
        <f>IF(TrRoad_act!L10=0,0,L24/TrRoad_act!L10*1000)</f>
        <v>120.96582416546121</v>
      </c>
      <c r="M88" s="87">
        <f>IF(TrRoad_act!M10=0,0,M24/TrRoad_act!M10*1000)</f>
        <v>119.81672649163184</v>
      </c>
      <c r="N88" s="87">
        <f>IF(TrRoad_act!N10=0,0,N24/TrRoad_act!N10*1000)</f>
        <v>108.43931474400632</v>
      </c>
      <c r="O88" s="87">
        <f>IF(TrRoad_act!O10=0,0,O24/TrRoad_act!O10*1000)</f>
        <v>106.80658962756314</v>
      </c>
      <c r="P88" s="87">
        <f>IF(TrRoad_act!P10=0,0,P24/TrRoad_act!P10*1000)</f>
        <v>114.78050150851723</v>
      </c>
      <c r="Q88" s="87">
        <f>IF(TrRoad_act!Q10=0,0,Q24/TrRoad_act!Q10*1000)</f>
        <v>114.15789368142296</v>
      </c>
      <c r="R88" s="87">
        <f>IF(TrRoad_act!R10=0,0,R24/TrRoad_act!R10*1000)</f>
        <v>103.72797360278268</v>
      </c>
      <c r="S88" s="87">
        <f>IF(TrRoad_act!S10=0,0,S24/TrRoad_act!S10*1000)</f>
        <v>113.05027341652871</v>
      </c>
      <c r="T88" s="87">
        <f>IF(TrRoad_act!T10=0,0,T24/TrRoad_act!T10*1000)</f>
        <v>111.46353369233267</v>
      </c>
      <c r="U88" s="87">
        <f>IF(TrRoad_act!U10=0,0,U24/TrRoad_act!U10*1000)</f>
        <v>107.82239683053042</v>
      </c>
      <c r="V88" s="87">
        <f>IF(TrRoad_act!V10=0,0,V24/TrRoad_act!V10*1000)</f>
        <v>113.01834512992961</v>
      </c>
      <c r="W88" s="87">
        <f>IF(TrRoad_act!W10=0,0,W24/TrRoad_act!W10*1000)</f>
        <v>109.1053746569571</v>
      </c>
      <c r="X88" s="87">
        <f>IF(TrRoad_act!X10=0,0,X24/TrRoad_act!X10*1000)</f>
        <v>103.8056949760803</v>
      </c>
      <c r="Y88" s="87">
        <f>IF(TrRoad_act!Y10=0,0,Y24/TrRoad_act!Y10*1000)</f>
        <v>104.12669064357307</v>
      </c>
      <c r="DA88" s="171" t="s">
        <v>798</v>
      </c>
    </row>
    <row r="89" spans="1:105" ht="11.45" customHeight="1" x14ac:dyDescent="0.25">
      <c r="A89" s="111" t="s">
        <v>114</v>
      </c>
      <c r="B89" s="87">
        <f>IF(TrRoad_act!B11=0,0,B25/TrRoad_act!B11*1000)</f>
        <v>0</v>
      </c>
      <c r="C89" s="87">
        <f>IF(TrRoad_act!C11=0,0,C25/TrRoad_act!C11*1000)</f>
        <v>0</v>
      </c>
      <c r="D89" s="87">
        <f>IF(TrRoad_act!D11=0,0,D25/TrRoad_act!D11*1000)</f>
        <v>0</v>
      </c>
      <c r="E89" s="87">
        <f>IF(TrRoad_act!E11=0,0,E25/TrRoad_act!E11*1000)</f>
        <v>0</v>
      </c>
      <c r="F89" s="87">
        <f>IF(TrRoad_act!F11=0,0,F25/TrRoad_act!F11*1000)</f>
        <v>0</v>
      </c>
      <c r="G89" s="87">
        <f>IF(TrRoad_act!G11=0,0,G25/TrRoad_act!G11*1000)</f>
        <v>0</v>
      </c>
      <c r="H89" s="87">
        <f>IF(TrRoad_act!H11=0,0,H25/TrRoad_act!H11*1000)</f>
        <v>0</v>
      </c>
      <c r="I89" s="87">
        <f>IF(TrRoad_act!I11=0,0,I25/TrRoad_act!I11*1000)</f>
        <v>0</v>
      </c>
      <c r="J89" s="87">
        <f>IF(TrRoad_act!J11=0,0,J25/TrRoad_act!J11*1000)</f>
        <v>0</v>
      </c>
      <c r="K89" s="87">
        <f>IF(TrRoad_act!K11=0,0,K25/TrRoad_act!K11*1000)</f>
        <v>0</v>
      </c>
      <c r="L89" s="87">
        <f>IF(TrRoad_act!L11=0,0,L25/TrRoad_act!L11*1000)</f>
        <v>0</v>
      </c>
      <c r="M89" s="87">
        <f>IF(TrRoad_act!M11=0,0,M25/TrRoad_act!M11*1000)</f>
        <v>46.021286709931992</v>
      </c>
      <c r="N89" s="87">
        <f>IF(TrRoad_act!N11=0,0,N25/TrRoad_act!N11*1000)</f>
        <v>32.372882898180407</v>
      </c>
      <c r="O89" s="87">
        <f>IF(TrRoad_act!O11=0,0,O25/TrRoad_act!O11*1000)</f>
        <v>42.565715691222977</v>
      </c>
      <c r="P89" s="87">
        <f>IF(TrRoad_act!P11=0,0,P25/TrRoad_act!P11*1000)</f>
        <v>40.931990330344156</v>
      </c>
      <c r="Q89" s="87">
        <f>IF(TrRoad_act!Q11=0,0,Q25/TrRoad_act!Q11*1000)</f>
        <v>36.66998496450632</v>
      </c>
      <c r="R89" s="87">
        <f>IF(TrRoad_act!R11=0,0,R25/TrRoad_act!R11*1000)</f>
        <v>39.629811381426549</v>
      </c>
      <c r="S89" s="87">
        <f>IF(TrRoad_act!S11=0,0,S25/TrRoad_act!S11*1000)</f>
        <v>46.981828602972307</v>
      </c>
      <c r="T89" s="87">
        <f>IF(TrRoad_act!T11=0,0,T25/TrRoad_act!T11*1000)</f>
        <v>47.94733134573103</v>
      </c>
      <c r="U89" s="87">
        <f>IF(TrRoad_act!U11=0,0,U25/TrRoad_act!U11*1000)</f>
        <v>52.272723300892594</v>
      </c>
      <c r="V89" s="87">
        <f>IF(TrRoad_act!V11=0,0,V25/TrRoad_act!V11*1000)</f>
        <v>64.442833734528904</v>
      </c>
      <c r="W89" s="87">
        <f>IF(TrRoad_act!W11=0,0,W25/TrRoad_act!W11*1000)</f>
        <v>51.704022462012297</v>
      </c>
      <c r="X89" s="87">
        <f>IF(TrRoad_act!X11=0,0,X25/TrRoad_act!X11*1000)</f>
        <v>44.246115779704063</v>
      </c>
      <c r="Y89" s="87">
        <f>IF(TrRoad_act!Y11=0,0,Y25/TrRoad_act!Y11*1000)</f>
        <v>40.06206387401874</v>
      </c>
      <c r="DA89" s="171" t="s">
        <v>799</v>
      </c>
    </row>
    <row r="90" spans="1:105" ht="11.45" customHeight="1" x14ac:dyDescent="0.25">
      <c r="A90" s="111" t="s">
        <v>115</v>
      </c>
      <c r="B90" s="87">
        <f>IF(TrRoad_act!B12=0,0,B26/TrRoad_act!B12*1000)</f>
        <v>0</v>
      </c>
      <c r="C90" s="87">
        <f>IF(TrRoad_act!C12=0,0,C26/TrRoad_act!C12*1000)</f>
        <v>0</v>
      </c>
      <c r="D90" s="87">
        <f>IF(TrRoad_act!D12=0,0,D26/TrRoad_act!D12*1000)</f>
        <v>0</v>
      </c>
      <c r="E90" s="87">
        <f>IF(TrRoad_act!E12=0,0,E26/TrRoad_act!E12*1000)</f>
        <v>0</v>
      </c>
      <c r="F90" s="87">
        <f>IF(TrRoad_act!F12=0,0,F26/TrRoad_act!F12*1000)</f>
        <v>0</v>
      </c>
      <c r="G90" s="87">
        <f>IF(TrRoad_act!G12=0,0,G26/TrRoad_act!G12*1000)</f>
        <v>0</v>
      </c>
      <c r="H90" s="87">
        <f>IF(TrRoad_act!H12=0,0,H26/TrRoad_act!H12*1000)</f>
        <v>0</v>
      </c>
      <c r="I90" s="87">
        <f>IF(TrRoad_act!I12=0,0,I26/TrRoad_act!I12*1000)</f>
        <v>0</v>
      </c>
      <c r="J90" s="87">
        <f>IF(TrRoad_act!J12=0,0,J26/TrRoad_act!J12*1000)</f>
        <v>0</v>
      </c>
      <c r="K90" s="87">
        <f>IF(TrRoad_act!K12=0,0,K26/TrRoad_act!K12*1000)</f>
        <v>0</v>
      </c>
      <c r="L90" s="87">
        <f>IF(TrRoad_act!L12=0,0,L26/TrRoad_act!L12*1000)</f>
        <v>0</v>
      </c>
      <c r="M90" s="87">
        <f>IF(TrRoad_act!M12=0,0,M26/TrRoad_act!M12*1000)</f>
        <v>0</v>
      </c>
      <c r="N90" s="87">
        <f>IF(TrRoad_act!N12=0,0,N26/TrRoad_act!N12*1000)</f>
        <v>0</v>
      </c>
      <c r="O90" s="87">
        <f>IF(TrRoad_act!O12=0,0,O26/TrRoad_act!O12*1000)</f>
        <v>0</v>
      </c>
      <c r="P90" s="87">
        <f>IF(TrRoad_act!P12=0,0,P26/TrRoad_act!P12*1000)</f>
        <v>0</v>
      </c>
      <c r="Q90" s="87">
        <f>IF(TrRoad_act!Q12=0,0,Q26/TrRoad_act!Q12*1000)</f>
        <v>0</v>
      </c>
      <c r="R90" s="87">
        <f>IF(TrRoad_act!R12=0,0,R26/TrRoad_act!R12*1000)</f>
        <v>0</v>
      </c>
      <c r="S90" s="87">
        <f>IF(TrRoad_act!S12=0,0,S26/TrRoad_act!S12*1000)</f>
        <v>0</v>
      </c>
      <c r="T90" s="87">
        <f>IF(TrRoad_act!T12=0,0,T26/TrRoad_act!T12*1000)</f>
        <v>0</v>
      </c>
      <c r="U90" s="87">
        <f>IF(TrRoad_act!U12=0,0,U26/TrRoad_act!U12*1000)</f>
        <v>0</v>
      </c>
      <c r="V90" s="87">
        <f>IF(TrRoad_act!V12=0,0,V26/TrRoad_act!V12*1000)</f>
        <v>0</v>
      </c>
      <c r="W90" s="87">
        <f>IF(TrRoad_act!W12=0,0,W26/TrRoad_act!W12*1000)</f>
        <v>0</v>
      </c>
      <c r="X90" s="87">
        <f>IF(TrRoad_act!X12=0,0,X26/TrRoad_act!X12*1000)</f>
        <v>0</v>
      </c>
      <c r="Y90" s="87">
        <f>IF(TrRoad_act!Y12=0,0,Y26/TrRoad_act!Y12*1000)</f>
        <v>0</v>
      </c>
      <c r="DA90" s="171" t="s">
        <v>800</v>
      </c>
    </row>
    <row r="91" spans="1:105" ht="11.45" customHeight="1" x14ac:dyDescent="0.25">
      <c r="A91" s="109" t="s">
        <v>21</v>
      </c>
      <c r="B91" s="116">
        <f>IF(TrRoad_act!B13=0,0,B27/TrRoad_act!B13*1000)</f>
        <v>72.59822515030146</v>
      </c>
      <c r="C91" s="116">
        <f>IF(TrRoad_act!C13=0,0,C27/TrRoad_act!C13*1000)</f>
        <v>70.173230140804336</v>
      </c>
      <c r="D91" s="116">
        <f>IF(TrRoad_act!D13=0,0,D27/TrRoad_act!D13*1000)</f>
        <v>71.285415160096875</v>
      </c>
      <c r="E91" s="116">
        <f>IF(TrRoad_act!E13=0,0,E27/TrRoad_act!E13*1000)</f>
        <v>71.842668136893479</v>
      </c>
      <c r="F91" s="116">
        <f>IF(TrRoad_act!F13=0,0,F27/TrRoad_act!F13*1000)</f>
        <v>67.836102347453107</v>
      </c>
      <c r="G91" s="116">
        <f>IF(TrRoad_act!G13=0,0,G27/TrRoad_act!G13*1000)</f>
        <v>67.341896542489678</v>
      </c>
      <c r="H91" s="116">
        <f>IF(TrRoad_act!H13=0,0,H27/TrRoad_act!H13*1000)</f>
        <v>75.716546798873239</v>
      </c>
      <c r="I91" s="116">
        <f>IF(TrRoad_act!I13=0,0,I27/TrRoad_act!I13*1000)</f>
        <v>64.505283761888322</v>
      </c>
      <c r="J91" s="116">
        <f>IF(TrRoad_act!J13=0,0,J27/TrRoad_act!J13*1000)</f>
        <v>61.637083460385725</v>
      </c>
      <c r="K91" s="116">
        <f>IF(TrRoad_act!K13=0,0,K27/TrRoad_act!K13*1000)</f>
        <v>63.807447507339994</v>
      </c>
      <c r="L91" s="116">
        <f>IF(TrRoad_act!L13=0,0,L27/TrRoad_act!L13*1000)</f>
        <v>69.535710664618009</v>
      </c>
      <c r="M91" s="116">
        <f>IF(TrRoad_act!M13=0,0,M27/TrRoad_act!M13*1000)</f>
        <v>62.250863854217954</v>
      </c>
      <c r="N91" s="116">
        <f>IF(TrRoad_act!N13=0,0,N27/TrRoad_act!N13*1000)</f>
        <v>60.719845000742225</v>
      </c>
      <c r="O91" s="116">
        <f>IF(TrRoad_act!O13=0,0,O27/TrRoad_act!O13*1000)</f>
        <v>61.388620277105971</v>
      </c>
      <c r="P91" s="116">
        <f>IF(TrRoad_act!P13=0,0,P27/TrRoad_act!P13*1000)</f>
        <v>82.536230842147418</v>
      </c>
      <c r="Q91" s="116">
        <f>IF(TrRoad_act!Q13=0,0,Q27/TrRoad_act!Q13*1000)</f>
        <v>70.428034295706141</v>
      </c>
      <c r="R91" s="116">
        <f>IF(TrRoad_act!R13=0,0,R27/TrRoad_act!R13*1000)</f>
        <v>68.849127434169233</v>
      </c>
      <c r="S91" s="116">
        <f>IF(TrRoad_act!S13=0,0,S27/TrRoad_act!S13*1000)</f>
        <v>68.518168288492021</v>
      </c>
      <c r="T91" s="116">
        <f>IF(TrRoad_act!T13=0,0,T27/TrRoad_act!T13*1000)</f>
        <v>64.38234886772544</v>
      </c>
      <c r="U91" s="116">
        <f>IF(TrRoad_act!U13=0,0,U27/TrRoad_act!U13*1000)</f>
        <v>63.717049895541194</v>
      </c>
      <c r="V91" s="116">
        <f>IF(TrRoad_act!V13=0,0,V27/TrRoad_act!V13*1000)</f>
        <v>78.907035449786378</v>
      </c>
      <c r="W91" s="116">
        <f>IF(TrRoad_act!W13=0,0,W27/TrRoad_act!W13*1000)</f>
        <v>63.999287190266898</v>
      </c>
      <c r="X91" s="116">
        <f>IF(TrRoad_act!X13=0,0,X27/TrRoad_act!X13*1000)</f>
        <v>56.966160721704739</v>
      </c>
      <c r="Y91" s="116">
        <f>IF(TrRoad_act!Y13=0,0,Y27/TrRoad_act!Y13*1000)</f>
        <v>56.099337625752959</v>
      </c>
      <c r="DA91" s="176" t="s">
        <v>439</v>
      </c>
    </row>
    <row r="92" spans="1:105" ht="11.45" customHeight="1" x14ac:dyDescent="0.25">
      <c r="A92" s="111" t="s">
        <v>110</v>
      </c>
      <c r="B92" s="101">
        <f>IF(TrRoad_act!B14=0,0,B28/TrRoad_act!B14*1000)</f>
        <v>55.286329135781578</v>
      </c>
      <c r="C92" s="101">
        <f>IF(TrRoad_act!C14=0,0,C28/TrRoad_act!C14*1000)</f>
        <v>53.932269601770244</v>
      </c>
      <c r="D92" s="101">
        <f>IF(TrRoad_act!D14=0,0,D28/TrRoad_act!D14*1000)</f>
        <v>53.687456732116338</v>
      </c>
      <c r="E92" s="101">
        <f>IF(TrRoad_act!E14=0,0,E28/TrRoad_act!E14*1000)</f>
        <v>54.114106494164723</v>
      </c>
      <c r="F92" s="101">
        <f>IF(TrRoad_act!F14=0,0,F28/TrRoad_act!F14*1000)</f>
        <v>51.286863975173198</v>
      </c>
      <c r="G92" s="101">
        <f>IF(TrRoad_act!G14=0,0,G28/TrRoad_act!G14*1000)</f>
        <v>51.008716189926197</v>
      </c>
      <c r="H92" s="101">
        <f>IF(TrRoad_act!H14=0,0,H28/TrRoad_act!H14*1000)</f>
        <v>56.923895996375549</v>
      </c>
      <c r="I92" s="101">
        <f>IF(TrRoad_act!I14=0,0,I28/TrRoad_act!I14*1000)</f>
        <v>48.020224820875399</v>
      </c>
      <c r="J92" s="101">
        <f>IF(TrRoad_act!J14=0,0,J28/TrRoad_act!J14*1000)</f>
        <v>46.306300652186295</v>
      </c>
      <c r="K92" s="101">
        <f>IF(TrRoad_act!K14=0,0,K28/TrRoad_act!K14*1000)</f>
        <v>47.884834090084048</v>
      </c>
      <c r="L92" s="101">
        <f>IF(TrRoad_act!L14=0,0,L28/TrRoad_act!L14*1000)</f>
        <v>51.189364226270961</v>
      </c>
      <c r="M92" s="101">
        <f>IF(TrRoad_act!M14=0,0,M28/TrRoad_act!M14*1000)</f>
        <v>45.715417014283119</v>
      </c>
      <c r="N92" s="101">
        <f>IF(TrRoad_act!N14=0,0,N28/TrRoad_act!N14*1000)</f>
        <v>45.634892319419926</v>
      </c>
      <c r="O92" s="101">
        <f>IF(TrRoad_act!O14=0,0,O28/TrRoad_act!O14*1000)</f>
        <v>43.057684098147774</v>
      </c>
      <c r="P92" s="101">
        <f>IF(TrRoad_act!P14=0,0,P28/TrRoad_act!P14*1000)</f>
        <v>56.314351557911387</v>
      </c>
      <c r="Q92" s="101">
        <f>IF(TrRoad_act!Q14=0,0,Q28/TrRoad_act!Q14*1000)</f>
        <v>48.869221048796504</v>
      </c>
      <c r="R92" s="101">
        <f>IF(TrRoad_act!R14=0,0,R28/TrRoad_act!R14*1000)</f>
        <v>47.565770988964424</v>
      </c>
      <c r="S92" s="101">
        <f>IF(TrRoad_act!S14=0,0,S28/TrRoad_act!S14*1000)</f>
        <v>47.137187950373992</v>
      </c>
      <c r="T92" s="101">
        <f>IF(TrRoad_act!T14=0,0,T28/TrRoad_act!T14*1000)</f>
        <v>45.871391512058928</v>
      </c>
      <c r="U92" s="101">
        <f>IF(TrRoad_act!U14=0,0,U28/TrRoad_act!U14*1000)</f>
        <v>45.734199755443719</v>
      </c>
      <c r="V92" s="101">
        <f>IF(TrRoad_act!V14=0,0,V28/TrRoad_act!V14*1000)</f>
        <v>52.932120105220285</v>
      </c>
      <c r="W92" s="101">
        <f>IF(TrRoad_act!W14=0,0,W28/TrRoad_act!W14*1000)</f>
        <v>42.078251124387059</v>
      </c>
      <c r="X92" s="101">
        <f>IF(TrRoad_act!X14=0,0,X28/TrRoad_act!X14*1000)</f>
        <v>36.879440667669648</v>
      </c>
      <c r="Y92" s="101">
        <f>IF(TrRoad_act!Y14=0,0,Y28/TrRoad_act!Y14*1000)</f>
        <v>36.469491203383335</v>
      </c>
      <c r="DA92" s="175" t="s">
        <v>801</v>
      </c>
    </row>
    <row r="93" spans="1:105" ht="11.45" customHeight="1" x14ac:dyDescent="0.25">
      <c r="A93" s="111" t="s">
        <v>111</v>
      </c>
      <c r="B93" s="101">
        <f>IF(TrRoad_act!B15=0,0,B29/TrRoad_act!B15*1000)</f>
        <v>72.597036301285499</v>
      </c>
      <c r="C93" s="101">
        <f>IF(TrRoad_act!C15=0,0,C29/TrRoad_act!C15*1000)</f>
        <v>70.022768008762426</v>
      </c>
      <c r="D93" s="101">
        <f>IF(TrRoad_act!D15=0,0,D29/TrRoad_act!D15*1000)</f>
        <v>70.753652201947489</v>
      </c>
      <c r="E93" s="101">
        <f>IF(TrRoad_act!E15=0,0,E29/TrRoad_act!E15*1000)</f>
        <v>71.538784350824727</v>
      </c>
      <c r="F93" s="101">
        <f>IF(TrRoad_act!F15=0,0,F29/TrRoad_act!F15*1000)</f>
        <v>67.561491215166299</v>
      </c>
      <c r="G93" s="101">
        <f>IF(TrRoad_act!G15=0,0,G29/TrRoad_act!G15*1000)</f>
        <v>67.029510531907803</v>
      </c>
      <c r="H93" s="101">
        <f>IF(TrRoad_act!H15=0,0,H29/TrRoad_act!H15*1000)</f>
        <v>75.324755518595154</v>
      </c>
      <c r="I93" s="101">
        <f>IF(TrRoad_act!I15=0,0,I29/TrRoad_act!I15*1000)</f>
        <v>63.837321452151762</v>
      </c>
      <c r="J93" s="101">
        <f>IF(TrRoad_act!J15=0,0,J29/TrRoad_act!J15*1000)</f>
        <v>60.876292830581434</v>
      </c>
      <c r="K93" s="101">
        <f>IF(TrRoad_act!K15=0,0,K29/TrRoad_act!K15*1000)</f>
        <v>62.676783293953292</v>
      </c>
      <c r="L93" s="101">
        <f>IF(TrRoad_act!L15=0,0,L29/TrRoad_act!L15*1000)</f>
        <v>67.64411265667232</v>
      </c>
      <c r="M93" s="101">
        <f>IF(TrRoad_act!M15=0,0,M29/TrRoad_act!M15*1000)</f>
        <v>60.303771973528207</v>
      </c>
      <c r="N93" s="101">
        <f>IF(TrRoad_act!N15=0,0,N29/TrRoad_act!N15*1000)</f>
        <v>58.617990151723909</v>
      </c>
      <c r="O93" s="101">
        <f>IF(TrRoad_act!O15=0,0,O29/TrRoad_act!O15*1000)</f>
        <v>59.160209059239079</v>
      </c>
      <c r="P93" s="101">
        <f>IF(TrRoad_act!P15=0,0,P29/TrRoad_act!P15*1000)</f>
        <v>79.085054763491783</v>
      </c>
      <c r="Q93" s="101">
        <f>IF(TrRoad_act!Q15=0,0,Q29/TrRoad_act!Q15*1000)</f>
        <v>69.513556912684621</v>
      </c>
      <c r="R93" s="101">
        <f>IF(TrRoad_act!R15=0,0,R29/TrRoad_act!R15*1000)</f>
        <v>67.463345957637202</v>
      </c>
      <c r="S93" s="101">
        <f>IF(TrRoad_act!S15=0,0,S29/TrRoad_act!S15*1000)</f>
        <v>67.492888548069317</v>
      </c>
      <c r="T93" s="101">
        <f>IF(TrRoad_act!T15=0,0,T29/TrRoad_act!T15*1000)</f>
        <v>65.019898062849691</v>
      </c>
      <c r="U93" s="101">
        <f>IF(TrRoad_act!U15=0,0,U29/TrRoad_act!U15*1000)</f>
        <v>64.54794904495887</v>
      </c>
      <c r="V93" s="101">
        <f>IF(TrRoad_act!V15=0,0,V29/TrRoad_act!V15*1000)</f>
        <v>74.279636553184432</v>
      </c>
      <c r="W93" s="101">
        <f>IF(TrRoad_act!W15=0,0,W29/TrRoad_act!W15*1000)</f>
        <v>60.841716700692722</v>
      </c>
      <c r="X93" s="101">
        <f>IF(TrRoad_act!X15=0,0,X29/TrRoad_act!X15*1000)</f>
        <v>54.431387797238855</v>
      </c>
      <c r="Y93" s="101">
        <f>IF(TrRoad_act!Y15=0,0,Y29/TrRoad_act!Y15*1000)</f>
        <v>53.63586599071531</v>
      </c>
      <c r="DA93" s="175" t="s">
        <v>802</v>
      </c>
    </row>
    <row r="94" spans="1:105" ht="11.45" customHeight="1" x14ac:dyDescent="0.25">
      <c r="A94" s="111" t="s">
        <v>112</v>
      </c>
      <c r="B94" s="101">
        <f>IF(TrRoad_act!B16=0,0,B30/TrRoad_act!B16*1000)</f>
        <v>0</v>
      </c>
      <c r="C94" s="101">
        <f>IF(TrRoad_act!C16=0,0,C30/TrRoad_act!C16*1000)</f>
        <v>0</v>
      </c>
      <c r="D94" s="101">
        <f>IF(TrRoad_act!D16=0,0,D30/TrRoad_act!D16*1000)</f>
        <v>0</v>
      </c>
      <c r="E94" s="101">
        <f>IF(TrRoad_act!E16=0,0,E30/TrRoad_act!E16*1000)</f>
        <v>0</v>
      </c>
      <c r="F94" s="101">
        <f>IF(TrRoad_act!F16=0,0,F30/TrRoad_act!F16*1000)</f>
        <v>0</v>
      </c>
      <c r="G94" s="101">
        <f>IF(TrRoad_act!G16=0,0,G30/TrRoad_act!G16*1000)</f>
        <v>0</v>
      </c>
      <c r="H94" s="101">
        <f>IF(TrRoad_act!H16=0,0,H30/TrRoad_act!H16*1000)</f>
        <v>0</v>
      </c>
      <c r="I94" s="101">
        <f>IF(TrRoad_act!I16=0,0,I30/TrRoad_act!I16*1000)</f>
        <v>0</v>
      </c>
      <c r="J94" s="101">
        <f>IF(TrRoad_act!J16=0,0,J30/TrRoad_act!J16*1000)</f>
        <v>0</v>
      </c>
      <c r="K94" s="101">
        <f>IF(TrRoad_act!K16=0,0,K30/TrRoad_act!K16*1000)</f>
        <v>0</v>
      </c>
      <c r="L94" s="101">
        <f>IF(TrRoad_act!L16=0,0,L30/TrRoad_act!L16*1000)</f>
        <v>0</v>
      </c>
      <c r="M94" s="101">
        <f>IF(TrRoad_act!M16=0,0,M30/TrRoad_act!M16*1000)</f>
        <v>0</v>
      </c>
      <c r="N94" s="101">
        <f>IF(TrRoad_act!N16=0,0,N30/TrRoad_act!N16*1000)</f>
        <v>0</v>
      </c>
      <c r="O94" s="101">
        <f>IF(TrRoad_act!O16=0,0,O30/TrRoad_act!O16*1000)</f>
        <v>0</v>
      </c>
      <c r="P94" s="101">
        <f>IF(TrRoad_act!P16=0,0,P30/TrRoad_act!P16*1000)</f>
        <v>60.772373963953903</v>
      </c>
      <c r="Q94" s="101">
        <f>IF(TrRoad_act!Q16=0,0,Q30/TrRoad_act!Q16*1000)</f>
        <v>53.695123680574262</v>
      </c>
      <c r="R94" s="101">
        <f>IF(TrRoad_act!R16=0,0,R30/TrRoad_act!R16*1000)</f>
        <v>52.291592071793929</v>
      </c>
      <c r="S94" s="101">
        <f>IF(TrRoad_act!S16=0,0,S30/TrRoad_act!S16*1000)</f>
        <v>52.095441529535172</v>
      </c>
      <c r="T94" s="101">
        <f>IF(TrRoad_act!T16=0,0,T30/TrRoad_act!T16*1000)</f>
        <v>51.009699112821366</v>
      </c>
      <c r="U94" s="101">
        <f>IF(TrRoad_act!U16=0,0,U30/TrRoad_act!U16*1000)</f>
        <v>50.734694265851118</v>
      </c>
      <c r="V94" s="101">
        <f>IF(TrRoad_act!V16=0,0,V30/TrRoad_act!V16*1000)</f>
        <v>58.746989190924729</v>
      </c>
      <c r="W94" s="101">
        <f>IF(TrRoad_act!W16=0,0,W30/TrRoad_act!W16*1000)</f>
        <v>47.803043046004291</v>
      </c>
      <c r="X94" s="101">
        <f>IF(TrRoad_act!X16=0,0,X30/TrRoad_act!X16*1000)</f>
        <v>42.91628068571643</v>
      </c>
      <c r="Y94" s="101">
        <f>IF(TrRoad_act!Y16=0,0,Y30/TrRoad_act!Y16*1000)</f>
        <v>43.801012671144164</v>
      </c>
      <c r="DA94" s="175" t="s">
        <v>803</v>
      </c>
    </row>
    <row r="95" spans="1:105" ht="11.45" customHeight="1" x14ac:dyDescent="0.25">
      <c r="A95" s="111" t="s">
        <v>113</v>
      </c>
      <c r="B95" s="101">
        <f>IF(TrRoad_act!B17=0,0,B31/TrRoad_act!B17*1000)</f>
        <v>92.463249814333494</v>
      </c>
      <c r="C95" s="101">
        <f>IF(TrRoad_act!C17=0,0,C31/TrRoad_act!C17*1000)</f>
        <v>134.13871487083975</v>
      </c>
      <c r="D95" s="101">
        <f>IF(TrRoad_act!D17=0,0,D31/TrRoad_act!D17*1000)</f>
        <v>2693.8805796369024</v>
      </c>
      <c r="E95" s="101">
        <f>IF(TrRoad_act!E17=0,0,E31/TrRoad_act!E17*1000)</f>
        <v>140.99615392911539</v>
      </c>
      <c r="F95" s="101">
        <f>IF(TrRoad_act!F17=0,0,F31/TrRoad_act!F17*1000)</f>
        <v>117.63419783946951</v>
      </c>
      <c r="G95" s="101">
        <f>IF(TrRoad_act!G17=0,0,G31/TrRoad_act!G17*1000)</f>
        <v>115.00613251605712</v>
      </c>
      <c r="H95" s="101">
        <f>IF(TrRoad_act!H17=0,0,H31/TrRoad_act!H17*1000)</f>
        <v>131.43652990840781</v>
      </c>
      <c r="I95" s="101">
        <f>IF(TrRoad_act!I17=0,0,I31/TrRoad_act!I17*1000)</f>
        <v>135.15133738631593</v>
      </c>
      <c r="J95" s="101">
        <f>IF(TrRoad_act!J17=0,0,J31/TrRoad_act!J17*1000)</f>
        <v>146.49433621329817</v>
      </c>
      <c r="K95" s="101">
        <f>IF(TrRoad_act!K17=0,0,K31/TrRoad_act!K17*1000)</f>
        <v>185.27768650907586</v>
      </c>
      <c r="L95" s="101">
        <f>IF(TrRoad_act!L17=0,0,L31/TrRoad_act!L17*1000)</f>
        <v>266.84965649111564</v>
      </c>
      <c r="M95" s="101">
        <f>IF(TrRoad_act!M17=0,0,M31/TrRoad_act!M17*1000)</f>
        <v>264.11071114231305</v>
      </c>
      <c r="N95" s="101">
        <f>IF(TrRoad_act!N17=0,0,N31/TrRoad_act!N17*1000)</f>
        <v>273.33144039072062</v>
      </c>
      <c r="O95" s="101">
        <f>IF(TrRoad_act!O17=0,0,O31/TrRoad_act!O17*1000)</f>
        <v>291.86194843851115</v>
      </c>
      <c r="P95" s="101">
        <f>IF(TrRoad_act!P17=0,0,P31/TrRoad_act!P17*1000)</f>
        <v>472.76582456880908</v>
      </c>
      <c r="Q95" s="101">
        <f>IF(TrRoad_act!Q17=0,0,Q31/TrRoad_act!Q17*1000)</f>
        <v>99.024776367594001</v>
      </c>
      <c r="R95" s="101">
        <f>IF(TrRoad_act!R17=0,0,R31/TrRoad_act!R17*1000)</f>
        <v>102.01146703670094</v>
      </c>
      <c r="S95" s="101">
        <f>IF(TrRoad_act!S17=0,0,S31/TrRoad_act!S17*1000)</f>
        <v>80.590019411354788</v>
      </c>
      <c r="T95" s="101">
        <f>IF(TrRoad_act!T17=0,0,T31/TrRoad_act!T17*1000)</f>
        <v>63.520240473366336</v>
      </c>
      <c r="U95" s="101">
        <f>IF(TrRoad_act!U17=0,0,U31/TrRoad_act!U17*1000)</f>
        <v>63.065034676342194</v>
      </c>
      <c r="V95" s="101">
        <f>IF(TrRoad_act!V17=0,0,V31/TrRoad_act!V17*1000)</f>
        <v>103.94323883375523</v>
      </c>
      <c r="W95" s="101">
        <f>IF(TrRoad_act!W17=0,0,W31/TrRoad_act!W17*1000)</f>
        <v>82.775604626891223</v>
      </c>
      <c r="X95" s="101">
        <f>IF(TrRoad_act!X17=0,0,X31/TrRoad_act!X17*1000)</f>
        <v>73.694591558528984</v>
      </c>
      <c r="Y95" s="101">
        <f>IF(TrRoad_act!Y17=0,0,Y31/TrRoad_act!Y17*1000)</f>
        <v>76.061157324036515</v>
      </c>
      <c r="DA95" s="175" t="s">
        <v>804</v>
      </c>
    </row>
    <row r="96" spans="1:105" ht="11.45" customHeight="1" x14ac:dyDescent="0.25">
      <c r="A96" s="111" t="s">
        <v>115</v>
      </c>
      <c r="B96" s="101">
        <f>IF(TrRoad_act!B18=0,0,B32/TrRoad_act!B18*1000)</f>
        <v>0</v>
      </c>
      <c r="C96" s="101">
        <f>IF(TrRoad_act!C18=0,0,C32/TrRoad_act!C18*1000)</f>
        <v>0</v>
      </c>
      <c r="D96" s="101">
        <f>IF(TrRoad_act!D18=0,0,D32/TrRoad_act!D18*1000)</f>
        <v>0</v>
      </c>
      <c r="E96" s="101">
        <f>IF(TrRoad_act!E18=0,0,E32/TrRoad_act!E18*1000)</f>
        <v>0</v>
      </c>
      <c r="F96" s="101">
        <f>IF(TrRoad_act!F18=0,0,F32/TrRoad_act!F18*1000)</f>
        <v>0</v>
      </c>
      <c r="G96" s="101">
        <f>IF(TrRoad_act!G18=0,0,G32/TrRoad_act!G18*1000)</f>
        <v>0</v>
      </c>
      <c r="H96" s="101">
        <f>IF(TrRoad_act!H18=0,0,H32/TrRoad_act!H18*1000)</f>
        <v>0</v>
      </c>
      <c r="I96" s="101">
        <f>IF(TrRoad_act!I18=0,0,I32/TrRoad_act!I18*1000)</f>
        <v>0</v>
      </c>
      <c r="J96" s="101">
        <f>IF(TrRoad_act!J18=0,0,J32/TrRoad_act!J18*1000)</f>
        <v>0</v>
      </c>
      <c r="K96" s="101">
        <f>IF(TrRoad_act!K18=0,0,K32/TrRoad_act!K18*1000)</f>
        <v>0</v>
      </c>
      <c r="L96" s="101">
        <f>IF(TrRoad_act!L18=0,0,L32/TrRoad_act!L18*1000)</f>
        <v>0</v>
      </c>
      <c r="M96" s="101">
        <f>IF(TrRoad_act!M18=0,0,M32/TrRoad_act!M18*1000)</f>
        <v>0</v>
      </c>
      <c r="N96" s="101">
        <f>IF(TrRoad_act!N18=0,0,N32/TrRoad_act!N18*1000)</f>
        <v>0</v>
      </c>
      <c r="O96" s="101">
        <f>IF(TrRoad_act!O18=0,0,O32/TrRoad_act!O18*1000)</f>
        <v>0</v>
      </c>
      <c r="P96" s="101">
        <f>IF(TrRoad_act!P18=0,0,P32/TrRoad_act!P18*1000)</f>
        <v>0</v>
      </c>
      <c r="Q96" s="101">
        <f>IF(TrRoad_act!Q18=0,0,Q32/TrRoad_act!Q18*1000)</f>
        <v>0</v>
      </c>
      <c r="R96" s="101">
        <f>IF(TrRoad_act!R18=0,0,R32/TrRoad_act!R18*1000)</f>
        <v>0</v>
      </c>
      <c r="S96" s="101">
        <f>IF(TrRoad_act!S18=0,0,S32/TrRoad_act!S18*1000)</f>
        <v>0</v>
      </c>
      <c r="T96" s="101">
        <f>IF(TrRoad_act!T18=0,0,T32/TrRoad_act!T18*1000)</f>
        <v>0</v>
      </c>
      <c r="U96" s="101">
        <f>IF(TrRoad_act!U18=0,0,U32/TrRoad_act!U18*1000)</f>
        <v>0</v>
      </c>
      <c r="V96" s="101">
        <f>IF(TrRoad_act!V18=0,0,V32/TrRoad_act!V18*1000)</f>
        <v>0</v>
      </c>
      <c r="W96" s="101">
        <f>IF(TrRoad_act!W18=0,0,W32/TrRoad_act!W18*1000)</f>
        <v>0</v>
      </c>
      <c r="X96" s="101">
        <f>IF(TrRoad_act!X18=0,0,X32/TrRoad_act!X18*1000)</f>
        <v>0</v>
      </c>
      <c r="Y96" s="101">
        <f>IF(TrRoad_act!Y18=0,0,Y32/TrRoad_act!Y18*1000)</f>
        <v>0</v>
      </c>
      <c r="DA96" s="175" t="s">
        <v>805</v>
      </c>
    </row>
    <row r="97" spans="1:105" ht="11.45" customHeight="1" x14ac:dyDescent="0.25">
      <c r="A97" s="27" t="s">
        <v>158</v>
      </c>
      <c r="B97" s="29">
        <f>IF(TrRoad_act!B19=0,0,B33/TrRoad_act!B19*1000)</f>
        <v>192.76147413487419</v>
      </c>
      <c r="C97" s="29">
        <f>IF(TrRoad_act!C19=0,0,C33/TrRoad_act!C19*1000)</f>
        <v>196.57439102840354</v>
      </c>
      <c r="D97" s="29">
        <f>IF(TrRoad_act!D19=0,0,D33/TrRoad_act!D19*1000)</f>
        <v>178.20370717451513</v>
      </c>
      <c r="E97" s="29">
        <f>IF(TrRoad_act!E19=0,0,E33/TrRoad_act!E19*1000)</f>
        <v>177.73580160531728</v>
      </c>
      <c r="F97" s="29">
        <f>IF(TrRoad_act!F19=0,0,F33/TrRoad_act!F19*1000)</f>
        <v>166.69343193063534</v>
      </c>
      <c r="G97" s="29">
        <f>IF(TrRoad_act!G19=0,0,G33/TrRoad_act!G19*1000)</f>
        <v>158.05249537031199</v>
      </c>
      <c r="H97" s="29">
        <f>IF(TrRoad_act!H19=0,0,H33/TrRoad_act!H19*1000)</f>
        <v>154.91749772598243</v>
      </c>
      <c r="I97" s="29">
        <f>IF(TrRoad_act!I19=0,0,I33/TrRoad_act!I19*1000)</f>
        <v>149.15516043390653</v>
      </c>
      <c r="J97" s="29">
        <f>IF(TrRoad_act!J19=0,0,J33/TrRoad_act!J19*1000)</f>
        <v>147.73424226324511</v>
      </c>
      <c r="K97" s="29">
        <f>IF(TrRoad_act!K19=0,0,K33/TrRoad_act!K19*1000)</f>
        <v>143.44437329510052</v>
      </c>
      <c r="L97" s="29">
        <f>IF(TrRoad_act!L19=0,0,L33/TrRoad_act!L19*1000)</f>
        <v>140.71299995358859</v>
      </c>
      <c r="M97" s="29">
        <f>IF(TrRoad_act!M19=0,0,M33/TrRoad_act!M19*1000)</f>
        <v>133.55851024978884</v>
      </c>
      <c r="N97" s="29">
        <f>IF(TrRoad_act!N19=0,0,N33/TrRoad_act!N19*1000)</f>
        <v>119.55937716346611</v>
      </c>
      <c r="O97" s="29">
        <f>IF(TrRoad_act!O19=0,0,O33/TrRoad_act!O19*1000)</f>
        <v>126.32756566589454</v>
      </c>
      <c r="P97" s="29">
        <f>IF(TrRoad_act!P19=0,0,P33/TrRoad_act!P19*1000)</f>
        <v>126.9601337681586</v>
      </c>
      <c r="Q97" s="29">
        <f>IF(TrRoad_act!Q19=0,0,Q33/TrRoad_act!Q19*1000)</f>
        <v>125.42728476612471</v>
      </c>
      <c r="R97" s="29">
        <f>IF(TrRoad_act!R19=0,0,R33/TrRoad_act!R19*1000)</f>
        <v>130.69122049435285</v>
      </c>
      <c r="S97" s="29">
        <f>IF(TrRoad_act!S19=0,0,S33/TrRoad_act!S19*1000)</f>
        <v>127.79459738774577</v>
      </c>
      <c r="T97" s="29">
        <f>IF(TrRoad_act!T19=0,0,T33/TrRoad_act!T19*1000)</f>
        <v>126.60397401408468</v>
      </c>
      <c r="U97" s="29">
        <f>IF(TrRoad_act!U19=0,0,U33/TrRoad_act!U19*1000)</f>
        <v>117.09192139505632</v>
      </c>
      <c r="V97" s="29">
        <f>IF(TrRoad_act!V19=0,0,V33/TrRoad_act!V19*1000)</f>
        <v>104.04844498657587</v>
      </c>
      <c r="W97" s="29">
        <f>IF(TrRoad_act!W19=0,0,W33/TrRoad_act!W19*1000)</f>
        <v>104.27777386177587</v>
      </c>
      <c r="X97" s="29">
        <f>IF(TrRoad_act!X19=0,0,X33/TrRoad_act!X19*1000)</f>
        <v>108.63158744278046</v>
      </c>
      <c r="Y97" s="29">
        <f>IF(TrRoad_act!Y19=0,0,Y33/TrRoad_act!Y19*1000)</f>
        <v>102.15691410843961</v>
      </c>
      <c r="DA97" s="173" t="s">
        <v>445</v>
      </c>
    </row>
    <row r="98" spans="1:105" ht="11.45" customHeight="1" x14ac:dyDescent="0.25">
      <c r="A98" s="136" t="s">
        <v>153</v>
      </c>
      <c r="B98" s="152">
        <f>IF(TrRoad_act!B20=0,0,B34/TrRoad_act!B20*1000)</f>
        <v>1069.528939742258</v>
      </c>
      <c r="C98" s="152">
        <f>IF(TrRoad_act!C20=0,0,C34/TrRoad_act!C20*1000)</f>
        <v>1065.2449986104223</v>
      </c>
      <c r="D98" s="152">
        <f>IF(TrRoad_act!D20=0,0,D34/TrRoad_act!D20*1000)</f>
        <v>1024.2655586359526</v>
      </c>
      <c r="E98" s="152">
        <f>IF(TrRoad_act!E20=0,0,E34/TrRoad_act!E20*1000)</f>
        <v>991.20448543366479</v>
      </c>
      <c r="F98" s="152">
        <f>IF(TrRoad_act!F20=0,0,F34/TrRoad_act!F20*1000)</f>
        <v>938.77437045929446</v>
      </c>
      <c r="G98" s="152">
        <f>IF(TrRoad_act!G20=0,0,G34/TrRoad_act!G20*1000)</f>
        <v>889.16958781004598</v>
      </c>
      <c r="H98" s="152">
        <f>IF(TrRoad_act!H20=0,0,H34/TrRoad_act!H20*1000)</f>
        <v>873.62103334918834</v>
      </c>
      <c r="I98" s="152">
        <f>IF(TrRoad_act!I20=0,0,I34/TrRoad_act!I20*1000)</f>
        <v>820.57191542046098</v>
      </c>
      <c r="J98" s="152">
        <f>IF(TrRoad_act!J20=0,0,J34/TrRoad_act!J20*1000)</f>
        <v>789.0223574428361</v>
      </c>
      <c r="K98" s="152">
        <f>IF(TrRoad_act!K20=0,0,K34/TrRoad_act!K20*1000)</f>
        <v>740.24549480623386</v>
      </c>
      <c r="L98" s="152">
        <f>IF(TrRoad_act!L20=0,0,L34/TrRoad_act!L20*1000)</f>
        <v>722.65638342652744</v>
      </c>
      <c r="M98" s="152">
        <f>IF(TrRoad_act!M20=0,0,M34/TrRoad_act!M20*1000)</f>
        <v>711.47684545604397</v>
      </c>
      <c r="N98" s="152">
        <f>IF(TrRoad_act!N20=0,0,N34/TrRoad_act!N20*1000)</f>
        <v>692.2345552408317</v>
      </c>
      <c r="O98" s="152">
        <f>IF(TrRoad_act!O20=0,0,O34/TrRoad_act!O20*1000)</f>
        <v>735.86596948181477</v>
      </c>
      <c r="P98" s="152">
        <f>IF(TrRoad_act!P20=0,0,P34/TrRoad_act!P20*1000)</f>
        <v>720.97438854282723</v>
      </c>
      <c r="Q98" s="152">
        <f>IF(TrRoad_act!Q20=0,0,Q34/TrRoad_act!Q20*1000)</f>
        <v>708.75538327565062</v>
      </c>
      <c r="R98" s="152">
        <f>IF(TrRoad_act!R20=0,0,R34/TrRoad_act!R20*1000)</f>
        <v>698.44358326519773</v>
      </c>
      <c r="S98" s="152">
        <f>IF(TrRoad_act!S20=0,0,S34/TrRoad_act!S20*1000)</f>
        <v>697.26325215008171</v>
      </c>
      <c r="T98" s="152">
        <f>IF(TrRoad_act!T20=0,0,T34/TrRoad_act!T20*1000)</f>
        <v>681.76562588616491</v>
      </c>
      <c r="U98" s="152">
        <f>IF(TrRoad_act!U20=0,0,U34/TrRoad_act!U20*1000)</f>
        <v>680.11967780184614</v>
      </c>
      <c r="V98" s="152">
        <f>IF(TrRoad_act!V20=0,0,V34/TrRoad_act!V20*1000)</f>
        <v>658.65080791646096</v>
      </c>
      <c r="W98" s="152">
        <f>IF(TrRoad_act!W20=0,0,W34/TrRoad_act!W20*1000)</f>
        <v>676.6030610312182</v>
      </c>
      <c r="X98" s="152">
        <f>IF(TrRoad_act!X20=0,0,X34/TrRoad_act!X20*1000)</f>
        <v>687.37551658915106</v>
      </c>
      <c r="Y98" s="152">
        <f>IF(TrRoad_act!Y20=0,0,Y34/TrRoad_act!Y20*1000)</f>
        <v>663.98735858088708</v>
      </c>
      <c r="DA98" s="174" t="s">
        <v>446</v>
      </c>
    </row>
    <row r="99" spans="1:105" ht="11.45" customHeight="1" x14ac:dyDescent="0.25">
      <c r="A99" s="111" t="s">
        <v>110</v>
      </c>
      <c r="B99" s="87">
        <f>IF(TrRoad_act!B21=0,0,B35/TrRoad_act!B21*1000)</f>
        <v>1128.3911727519549</v>
      </c>
      <c r="C99" s="87">
        <f>IF(TrRoad_act!C21=0,0,C35/TrRoad_act!C21*1000)</f>
        <v>1160.2889901984813</v>
      </c>
      <c r="D99" s="87">
        <f>IF(TrRoad_act!D21=0,0,D35/TrRoad_act!D21*1000)</f>
        <v>1148.2060186697013</v>
      </c>
      <c r="E99" s="87">
        <f>IF(TrRoad_act!E21=0,0,E35/TrRoad_act!E21*1000)</f>
        <v>1154.5118736132365</v>
      </c>
      <c r="F99" s="87">
        <f>IF(TrRoad_act!F21=0,0,F35/TrRoad_act!F21*1000)</f>
        <v>1150.3536836478022</v>
      </c>
      <c r="G99" s="87">
        <f>IF(TrRoad_act!G21=0,0,G35/TrRoad_act!G21*1000)</f>
        <v>1117.6148025484167</v>
      </c>
      <c r="H99" s="87">
        <f>IF(TrRoad_act!H21=0,0,H35/TrRoad_act!H21*1000)</f>
        <v>1122.3787330140115</v>
      </c>
      <c r="I99" s="87">
        <f>IF(TrRoad_act!I21=0,0,I35/TrRoad_act!I21*1000)</f>
        <v>1113.8792223817341</v>
      </c>
      <c r="J99" s="87">
        <f>IF(TrRoad_act!J21=0,0,J35/TrRoad_act!J21*1000)</f>
        <v>1106.39050395358</v>
      </c>
      <c r="K99" s="87">
        <f>IF(TrRoad_act!K21=0,0,K35/TrRoad_act!K21*1000)</f>
        <v>1092.5412904721006</v>
      </c>
      <c r="L99" s="87">
        <f>IF(TrRoad_act!L21=0,0,L35/TrRoad_act!L21*1000)</f>
        <v>1078.9130367269181</v>
      </c>
      <c r="M99" s="87">
        <f>IF(TrRoad_act!M21=0,0,M35/TrRoad_act!M21*1000)</f>
        <v>1060.091101139436</v>
      </c>
      <c r="N99" s="87">
        <f>IF(TrRoad_act!N21=0,0,N35/TrRoad_act!N21*1000)</f>
        <v>991.95198927486308</v>
      </c>
      <c r="O99" s="87">
        <f>IF(TrRoad_act!O21=0,0,O35/TrRoad_act!O21*1000)</f>
        <v>950.50110290434475</v>
      </c>
      <c r="P99" s="87">
        <f>IF(TrRoad_act!P21=0,0,P35/TrRoad_act!P21*1000)</f>
        <v>896.9963882607334</v>
      </c>
      <c r="Q99" s="87">
        <f>IF(TrRoad_act!Q21=0,0,Q35/TrRoad_act!Q21*1000)</f>
        <v>876.66952308043813</v>
      </c>
      <c r="R99" s="87">
        <f>IF(TrRoad_act!R21=0,0,R35/TrRoad_act!R21*1000)</f>
        <v>846.9624424670875</v>
      </c>
      <c r="S99" s="87">
        <f>IF(TrRoad_act!S21=0,0,S35/TrRoad_act!S21*1000)</f>
        <v>798.840904975017</v>
      </c>
      <c r="T99" s="87">
        <f>IF(TrRoad_act!T21=0,0,T35/TrRoad_act!T21*1000)</f>
        <v>758.79710784254678</v>
      </c>
      <c r="U99" s="87">
        <f>IF(TrRoad_act!U21=0,0,U35/TrRoad_act!U21*1000)</f>
        <v>750.33708094994574</v>
      </c>
      <c r="V99" s="87">
        <f>IF(TrRoad_act!V21=0,0,V35/TrRoad_act!V21*1000)</f>
        <v>715.86191445204156</v>
      </c>
      <c r="W99" s="87">
        <f>IF(TrRoad_act!W21=0,0,W35/TrRoad_act!W21*1000)</f>
        <v>743.31646334235927</v>
      </c>
      <c r="X99" s="87">
        <f>IF(TrRoad_act!X21=0,0,X35/TrRoad_act!X21*1000)</f>
        <v>746.14841161189304</v>
      </c>
      <c r="Y99" s="87">
        <f>IF(TrRoad_act!Y21=0,0,Y35/TrRoad_act!Y21*1000)</f>
        <v>712.79296921181992</v>
      </c>
      <c r="DA99" s="171" t="s">
        <v>806</v>
      </c>
    </row>
    <row r="100" spans="1:105" ht="11.45" customHeight="1" x14ac:dyDescent="0.25">
      <c r="A100" s="111" t="s">
        <v>111</v>
      </c>
      <c r="B100" s="87">
        <f>IF(TrRoad_act!B22=0,0,B36/TrRoad_act!B22*1000)</f>
        <v>1064.8414868369473</v>
      </c>
      <c r="C100" s="87">
        <f>IF(TrRoad_act!C22=0,0,C36/TrRoad_act!C22*1000)</f>
        <v>1058.5697506046345</v>
      </c>
      <c r="D100" s="87">
        <f>IF(TrRoad_act!D22=0,0,D36/TrRoad_act!D22*1000)</f>
        <v>1017.6284147971069</v>
      </c>
      <c r="E100" s="87">
        <f>IF(TrRoad_act!E22=0,0,E36/TrRoad_act!E22*1000)</f>
        <v>984.16036908509182</v>
      </c>
      <c r="F100" s="87">
        <f>IF(TrRoad_act!F22=0,0,F36/TrRoad_act!F22*1000)</f>
        <v>931.53507231422088</v>
      </c>
      <c r="G100" s="87">
        <f>IF(TrRoad_act!G22=0,0,G36/TrRoad_act!G22*1000)</f>
        <v>882.9280505343711</v>
      </c>
      <c r="H100" s="87">
        <f>IF(TrRoad_act!H22=0,0,H36/TrRoad_act!H22*1000)</f>
        <v>868.0945982977895</v>
      </c>
      <c r="I100" s="87">
        <f>IF(TrRoad_act!I22=0,0,I36/TrRoad_act!I22*1000)</f>
        <v>815.57077312237493</v>
      </c>
      <c r="J100" s="87">
        <f>IF(TrRoad_act!J22=0,0,J36/TrRoad_act!J22*1000)</f>
        <v>784.26100432600651</v>
      </c>
      <c r="K100" s="87">
        <f>IF(TrRoad_act!K22=0,0,K36/TrRoad_act!K22*1000)</f>
        <v>734.97459331013783</v>
      </c>
      <c r="L100" s="87">
        <f>IF(TrRoad_act!L22=0,0,L36/TrRoad_act!L22*1000)</f>
        <v>717.61396332597064</v>
      </c>
      <c r="M100" s="87">
        <f>IF(TrRoad_act!M22=0,0,M36/TrRoad_act!M22*1000)</f>
        <v>706.34653061627478</v>
      </c>
      <c r="N100" s="87">
        <f>IF(TrRoad_act!N22=0,0,N36/TrRoad_act!N22*1000)</f>
        <v>687.32530995159243</v>
      </c>
      <c r="O100" s="87">
        <f>IF(TrRoad_act!O22=0,0,O36/TrRoad_act!O22*1000)</f>
        <v>732.2301103135984</v>
      </c>
      <c r="P100" s="87">
        <f>IF(TrRoad_act!P22=0,0,P36/TrRoad_act!P22*1000)</f>
        <v>719.14161559365675</v>
      </c>
      <c r="Q100" s="87">
        <f>IF(TrRoad_act!Q22=0,0,Q36/TrRoad_act!Q22*1000)</f>
        <v>707.09815352640624</v>
      </c>
      <c r="R100" s="87">
        <f>IF(TrRoad_act!R22=0,0,R36/TrRoad_act!R22*1000)</f>
        <v>697.10517638503723</v>
      </c>
      <c r="S100" s="87">
        <f>IF(TrRoad_act!S22=0,0,S36/TrRoad_act!S22*1000)</f>
        <v>696.51365185550537</v>
      </c>
      <c r="T100" s="87">
        <f>IF(TrRoad_act!T22=0,0,T36/TrRoad_act!T22*1000)</f>
        <v>681.71400984193667</v>
      </c>
      <c r="U100" s="87">
        <f>IF(TrRoad_act!U22=0,0,U36/TrRoad_act!U22*1000)</f>
        <v>680.6427273251403</v>
      </c>
      <c r="V100" s="87">
        <f>IF(TrRoad_act!V22=0,0,V36/TrRoad_act!V22*1000)</f>
        <v>659.71380618086323</v>
      </c>
      <c r="W100" s="87">
        <f>IF(TrRoad_act!W22=0,0,W36/TrRoad_act!W22*1000)</f>
        <v>677.92398916345292</v>
      </c>
      <c r="X100" s="87">
        <f>IF(TrRoad_act!X22=0,0,X36/TrRoad_act!X22*1000)</f>
        <v>689.37393039216761</v>
      </c>
      <c r="Y100" s="87">
        <f>IF(TrRoad_act!Y22=0,0,Y36/TrRoad_act!Y22*1000)</f>
        <v>667.51918409018708</v>
      </c>
      <c r="DA100" s="171" t="s">
        <v>807</v>
      </c>
    </row>
    <row r="101" spans="1:105" ht="11.45" customHeight="1" x14ac:dyDescent="0.25">
      <c r="A101" s="111" t="s">
        <v>112</v>
      </c>
      <c r="B101" s="87">
        <f>IF(TrRoad_act!B23=0,0,B37/TrRoad_act!B23*1000)</f>
        <v>0</v>
      </c>
      <c r="C101" s="87">
        <f>IF(TrRoad_act!C23=0,0,C37/TrRoad_act!C23*1000)</f>
        <v>0</v>
      </c>
      <c r="D101" s="87">
        <f>IF(TrRoad_act!D23=0,0,D37/TrRoad_act!D23*1000)</f>
        <v>0</v>
      </c>
      <c r="E101" s="87">
        <f>IF(TrRoad_act!E23=0,0,E37/TrRoad_act!E23*1000)</f>
        <v>0</v>
      </c>
      <c r="F101" s="87">
        <f>IF(TrRoad_act!F23=0,0,F37/TrRoad_act!F23*1000)</f>
        <v>0</v>
      </c>
      <c r="G101" s="87">
        <f>IF(TrRoad_act!G23=0,0,G37/TrRoad_act!G23*1000)</f>
        <v>0</v>
      </c>
      <c r="H101" s="87">
        <f>IF(TrRoad_act!H23=0,0,H37/TrRoad_act!H23*1000)</f>
        <v>0</v>
      </c>
      <c r="I101" s="87">
        <f>IF(TrRoad_act!I23=0,0,I37/TrRoad_act!I23*1000)</f>
        <v>0</v>
      </c>
      <c r="J101" s="87">
        <f>IF(TrRoad_act!J23=0,0,J37/TrRoad_act!J23*1000)</f>
        <v>0</v>
      </c>
      <c r="K101" s="87">
        <f>IF(TrRoad_act!K23=0,0,K37/TrRoad_act!K23*1000)</f>
        <v>0</v>
      </c>
      <c r="L101" s="87">
        <f>IF(TrRoad_act!L23=0,0,L37/TrRoad_act!L23*1000)</f>
        <v>0</v>
      </c>
      <c r="M101" s="87">
        <f>IF(TrRoad_act!M23=0,0,M37/TrRoad_act!M23*1000)</f>
        <v>0</v>
      </c>
      <c r="N101" s="87">
        <f>IF(TrRoad_act!N23=0,0,N37/TrRoad_act!N23*1000)</f>
        <v>0</v>
      </c>
      <c r="O101" s="87">
        <f>IF(TrRoad_act!O23=0,0,O37/TrRoad_act!O23*1000)</f>
        <v>1068.4909134646582</v>
      </c>
      <c r="P101" s="87">
        <f>IF(TrRoad_act!P23=0,0,P37/TrRoad_act!P23*1000)</f>
        <v>722.15317708022667</v>
      </c>
      <c r="Q101" s="87">
        <f>IF(TrRoad_act!Q23=0,0,Q37/TrRoad_act!Q23*1000)</f>
        <v>782.90028198923608</v>
      </c>
      <c r="R101" s="87">
        <f>IF(TrRoad_act!R23=0,0,R37/TrRoad_act!R23*1000)</f>
        <v>759.19936164843932</v>
      </c>
      <c r="S101" s="87">
        <f>IF(TrRoad_act!S23=0,0,S37/TrRoad_act!S23*1000)</f>
        <v>687.41233664857702</v>
      </c>
      <c r="T101" s="87">
        <f>IF(TrRoad_act!T23=0,0,T37/TrRoad_act!T23*1000)</f>
        <v>612.7263653337626</v>
      </c>
      <c r="U101" s="87">
        <f>IF(TrRoad_act!U23=0,0,U37/TrRoad_act!U23*1000)</f>
        <v>569.1678280041283</v>
      </c>
      <c r="V101" s="87">
        <f>IF(TrRoad_act!V23=0,0,V37/TrRoad_act!V23*1000)</f>
        <v>576.92824794031867</v>
      </c>
      <c r="W101" s="87">
        <f>IF(TrRoad_act!W23=0,0,W37/TrRoad_act!W23*1000)</f>
        <v>608.14964445573207</v>
      </c>
      <c r="X101" s="87">
        <f>IF(TrRoad_act!X23=0,0,X37/TrRoad_act!X23*1000)</f>
        <v>616.31712643522371</v>
      </c>
      <c r="Y101" s="87">
        <f>IF(TrRoad_act!Y23=0,0,Y37/TrRoad_act!Y23*1000)</f>
        <v>608.7721603596442</v>
      </c>
      <c r="DA101" s="171" t="s">
        <v>808</v>
      </c>
    </row>
    <row r="102" spans="1:105" ht="11.45" customHeight="1" x14ac:dyDescent="0.25">
      <c r="A102" s="111" t="s">
        <v>113</v>
      </c>
      <c r="B102" s="87">
        <f>IF(TrRoad_act!B24=0,0,B38/TrRoad_act!B24*1000)</f>
        <v>0</v>
      </c>
      <c r="C102" s="87">
        <f>IF(TrRoad_act!C24=0,0,C38/TrRoad_act!C24*1000)</f>
        <v>0</v>
      </c>
      <c r="D102" s="87">
        <f>IF(TrRoad_act!D24=0,0,D38/TrRoad_act!D24*1000)</f>
        <v>0</v>
      </c>
      <c r="E102" s="87">
        <f>IF(TrRoad_act!E24=0,0,E38/TrRoad_act!E24*1000)</f>
        <v>0</v>
      </c>
      <c r="F102" s="87">
        <f>IF(TrRoad_act!F24=0,0,F38/TrRoad_act!F24*1000)</f>
        <v>0</v>
      </c>
      <c r="G102" s="87">
        <f>IF(TrRoad_act!G24=0,0,G38/TrRoad_act!G24*1000)</f>
        <v>0</v>
      </c>
      <c r="H102" s="87">
        <f>IF(TrRoad_act!H24=0,0,H38/TrRoad_act!H24*1000)</f>
        <v>0</v>
      </c>
      <c r="I102" s="87">
        <f>IF(TrRoad_act!I24=0,0,I38/TrRoad_act!I24*1000)</f>
        <v>0</v>
      </c>
      <c r="J102" s="87">
        <f>IF(TrRoad_act!J24=0,0,J38/TrRoad_act!J24*1000)</f>
        <v>0</v>
      </c>
      <c r="K102" s="87">
        <f>IF(TrRoad_act!K24=0,0,K38/TrRoad_act!K24*1000)</f>
        <v>0</v>
      </c>
      <c r="L102" s="87">
        <f>IF(TrRoad_act!L24=0,0,L38/TrRoad_act!L24*1000)</f>
        <v>0</v>
      </c>
      <c r="M102" s="87">
        <f>IF(TrRoad_act!M24=0,0,M38/TrRoad_act!M24*1000)</f>
        <v>0</v>
      </c>
      <c r="N102" s="87">
        <f>IF(TrRoad_act!N24=0,0,N38/TrRoad_act!N24*1000)</f>
        <v>1087.1080767167505</v>
      </c>
      <c r="O102" s="87">
        <f>IF(TrRoad_act!O24=0,0,O38/TrRoad_act!O24*1000)</f>
        <v>1126.4432602417114</v>
      </c>
      <c r="P102" s="87">
        <f>IF(TrRoad_act!P24=0,0,P38/TrRoad_act!P24*1000)</f>
        <v>894.27579920393669</v>
      </c>
      <c r="Q102" s="87">
        <f>IF(TrRoad_act!Q24=0,0,Q38/TrRoad_act!Q24*1000)</f>
        <v>910.95161220706825</v>
      </c>
      <c r="R102" s="87">
        <f>IF(TrRoad_act!R24=0,0,R38/TrRoad_act!R24*1000)</f>
        <v>813.65627572735991</v>
      </c>
      <c r="S102" s="87">
        <f>IF(TrRoad_act!S24=0,0,S38/TrRoad_act!S24*1000)</f>
        <v>773.04777604857372</v>
      </c>
      <c r="T102" s="87">
        <f>IF(TrRoad_act!T24=0,0,T38/TrRoad_act!T24*1000)</f>
        <v>655.84776310851919</v>
      </c>
      <c r="U102" s="87">
        <f>IF(TrRoad_act!U24=0,0,U38/TrRoad_act!U24*1000)</f>
        <v>643.35769905103245</v>
      </c>
      <c r="V102" s="87">
        <f>IF(TrRoad_act!V24=0,0,V38/TrRoad_act!V24*1000)</f>
        <v>660.25484772170728</v>
      </c>
      <c r="W102" s="87">
        <f>IF(TrRoad_act!W24=0,0,W38/TrRoad_act!W24*1000)</f>
        <v>700.13146619282895</v>
      </c>
      <c r="X102" s="87">
        <f>IF(TrRoad_act!X24=0,0,X38/TrRoad_act!X24*1000)</f>
        <v>712.96132187525382</v>
      </c>
      <c r="Y102" s="87">
        <f>IF(TrRoad_act!Y24=0,0,Y38/TrRoad_act!Y24*1000)</f>
        <v>712.72455665831046</v>
      </c>
      <c r="DA102" s="171" t="s">
        <v>809</v>
      </c>
    </row>
    <row r="103" spans="1:105" ht="11.45" customHeight="1" x14ac:dyDescent="0.25">
      <c r="A103" s="111" t="s">
        <v>115</v>
      </c>
      <c r="B103" s="87">
        <f>IF(TrRoad_act!B25=0,0,B39/TrRoad_act!B25*1000)</f>
        <v>0</v>
      </c>
      <c r="C103" s="87">
        <f>IF(TrRoad_act!C25=0,0,C39/TrRoad_act!C25*1000)</f>
        <v>0</v>
      </c>
      <c r="D103" s="87">
        <f>IF(TrRoad_act!D25=0,0,D39/TrRoad_act!D25*1000)</f>
        <v>0</v>
      </c>
      <c r="E103" s="87">
        <f>IF(TrRoad_act!E25=0,0,E39/TrRoad_act!E25*1000)</f>
        <v>0</v>
      </c>
      <c r="F103" s="87">
        <f>IF(TrRoad_act!F25=0,0,F39/TrRoad_act!F25*1000)</f>
        <v>0</v>
      </c>
      <c r="G103" s="87">
        <f>IF(TrRoad_act!G25=0,0,G39/TrRoad_act!G25*1000)</f>
        <v>0</v>
      </c>
      <c r="H103" s="87">
        <f>IF(TrRoad_act!H25=0,0,H39/TrRoad_act!H25*1000)</f>
        <v>0</v>
      </c>
      <c r="I103" s="87">
        <f>IF(TrRoad_act!I25=0,0,I39/TrRoad_act!I25*1000)</f>
        <v>0</v>
      </c>
      <c r="J103" s="87">
        <f>IF(TrRoad_act!J25=0,0,J39/TrRoad_act!J25*1000)</f>
        <v>0</v>
      </c>
      <c r="K103" s="87">
        <f>IF(TrRoad_act!K25=0,0,K39/TrRoad_act!K25*1000)</f>
        <v>0</v>
      </c>
      <c r="L103" s="87">
        <f>IF(TrRoad_act!L25=0,0,L39/TrRoad_act!L25*1000)</f>
        <v>0</v>
      </c>
      <c r="M103" s="87">
        <f>IF(TrRoad_act!M25=0,0,M39/TrRoad_act!M25*1000)</f>
        <v>0</v>
      </c>
      <c r="N103" s="87">
        <f>IF(TrRoad_act!N25=0,0,N39/TrRoad_act!N25*1000)</f>
        <v>0</v>
      </c>
      <c r="O103" s="87">
        <f>IF(TrRoad_act!O25=0,0,O39/TrRoad_act!O25*1000)</f>
        <v>0</v>
      </c>
      <c r="P103" s="87">
        <f>IF(TrRoad_act!P25=0,0,P39/TrRoad_act!P25*1000)</f>
        <v>0</v>
      </c>
      <c r="Q103" s="87">
        <f>IF(TrRoad_act!Q25=0,0,Q39/TrRoad_act!Q25*1000)</f>
        <v>0</v>
      </c>
      <c r="R103" s="87">
        <f>IF(TrRoad_act!R25=0,0,R39/TrRoad_act!R25*1000)</f>
        <v>0</v>
      </c>
      <c r="S103" s="87">
        <f>IF(TrRoad_act!S25=0,0,S39/TrRoad_act!S25*1000)</f>
        <v>0</v>
      </c>
      <c r="T103" s="87">
        <f>IF(TrRoad_act!T25=0,0,T39/TrRoad_act!T25*1000)</f>
        <v>0</v>
      </c>
      <c r="U103" s="87">
        <f>IF(TrRoad_act!U25=0,0,U39/TrRoad_act!U25*1000)</f>
        <v>0</v>
      </c>
      <c r="V103" s="87">
        <f>IF(TrRoad_act!V25=0,0,V39/TrRoad_act!V25*1000)</f>
        <v>0</v>
      </c>
      <c r="W103" s="87">
        <f>IF(TrRoad_act!W25=0,0,W39/TrRoad_act!W25*1000)</f>
        <v>0</v>
      </c>
      <c r="X103" s="87">
        <f>IF(TrRoad_act!X25=0,0,X39/TrRoad_act!X25*1000)</f>
        <v>0</v>
      </c>
      <c r="Y103" s="87">
        <f>IF(TrRoad_act!Y25=0,0,Y39/TrRoad_act!Y25*1000)</f>
        <v>0</v>
      </c>
      <c r="DA103" s="171" t="s">
        <v>810</v>
      </c>
    </row>
    <row r="104" spans="1:105" ht="11.45" customHeight="1" x14ac:dyDescent="0.25">
      <c r="A104" s="109" t="s">
        <v>154</v>
      </c>
      <c r="B104" s="116">
        <f>IF(TrRoad_act!B26=0,0,B40/TrRoad_act!B26*1000)</f>
        <v>142.64450608609795</v>
      </c>
      <c r="C104" s="116">
        <f>IF(TrRoad_act!C26=0,0,C40/TrRoad_act!C26*1000)</f>
        <v>140.93564075408466</v>
      </c>
      <c r="D104" s="116">
        <f>IF(TrRoad_act!D26=0,0,D40/TrRoad_act!D26*1000)</f>
        <v>132.91651948173572</v>
      </c>
      <c r="E104" s="116">
        <f>IF(TrRoad_act!E26=0,0,E40/TrRoad_act!E26*1000)</f>
        <v>133.04023425810476</v>
      </c>
      <c r="F104" s="116">
        <f>IF(TrRoad_act!F26=0,0,F40/TrRoad_act!F26*1000)</f>
        <v>126.69520821769922</v>
      </c>
      <c r="G104" s="116">
        <f>IF(TrRoad_act!G26=0,0,G40/TrRoad_act!G26*1000)</f>
        <v>124.04602090884777</v>
      </c>
      <c r="H104" s="116">
        <f>IF(TrRoad_act!H26=0,0,H40/TrRoad_act!H26*1000)</f>
        <v>120.99955722403502</v>
      </c>
      <c r="I104" s="116">
        <f>IF(TrRoad_act!I26=0,0,I40/TrRoad_act!I26*1000)</f>
        <v>114.64088846632487</v>
      </c>
      <c r="J104" s="116">
        <f>IF(TrRoad_act!J26=0,0,J40/TrRoad_act!J26*1000)</f>
        <v>114.49421865164642</v>
      </c>
      <c r="K104" s="116">
        <f>IF(TrRoad_act!K26=0,0,K40/TrRoad_act!K26*1000)</f>
        <v>112.28701065279863</v>
      </c>
      <c r="L104" s="116">
        <f>IF(TrRoad_act!L26=0,0,L40/TrRoad_act!L26*1000)</f>
        <v>109.68095935745255</v>
      </c>
      <c r="M104" s="116">
        <f>IF(TrRoad_act!M26=0,0,M40/TrRoad_act!M26*1000)</f>
        <v>102.64529936214089</v>
      </c>
      <c r="N104" s="116">
        <f>IF(TrRoad_act!N26=0,0,N40/TrRoad_act!N26*1000)</f>
        <v>89.606031031527152</v>
      </c>
      <c r="O104" s="116">
        <f>IF(TrRoad_act!O26=0,0,O40/TrRoad_act!O26*1000)</f>
        <v>93.918330703057705</v>
      </c>
      <c r="P104" s="116">
        <f>IF(TrRoad_act!P26=0,0,P40/TrRoad_act!P26*1000)</f>
        <v>95.854147088573114</v>
      </c>
      <c r="Q104" s="116">
        <f>IF(TrRoad_act!Q26=0,0,Q40/TrRoad_act!Q26*1000)</f>
        <v>95.254103120778197</v>
      </c>
      <c r="R104" s="116">
        <f>IF(TrRoad_act!R26=0,0,R40/TrRoad_act!R26*1000)</f>
        <v>103.61195460762673</v>
      </c>
      <c r="S104" s="116">
        <f>IF(TrRoad_act!S26=0,0,S40/TrRoad_act!S26*1000)</f>
        <v>100.44962054471328</v>
      </c>
      <c r="T104" s="116">
        <f>IF(TrRoad_act!T26=0,0,T40/TrRoad_act!T26*1000)</f>
        <v>100.08068904124795</v>
      </c>
      <c r="U104" s="116">
        <f>IF(TrRoad_act!U26=0,0,U40/TrRoad_act!U26*1000)</f>
        <v>91.152765955875665</v>
      </c>
      <c r="V104" s="116">
        <f>IF(TrRoad_act!V26=0,0,V40/TrRoad_act!V26*1000)</f>
        <v>86.307881442264005</v>
      </c>
      <c r="W104" s="116">
        <f>IF(TrRoad_act!W26=0,0,W40/TrRoad_act!W26*1000)</f>
        <v>80.861734962654722</v>
      </c>
      <c r="X104" s="116">
        <f>IF(TrRoad_act!X26=0,0,X40/TrRoad_act!X26*1000)</f>
        <v>83.04114207146668</v>
      </c>
      <c r="Y104" s="116">
        <f>IF(TrRoad_act!Y26=0,0,Y40/TrRoad_act!Y26*1000)</f>
        <v>77.160495780706114</v>
      </c>
      <c r="DA104" s="176" t="s">
        <v>447</v>
      </c>
    </row>
    <row r="105" spans="1:105" ht="11.45" customHeight="1" x14ac:dyDescent="0.25">
      <c r="A105" s="128" t="s">
        <v>27</v>
      </c>
      <c r="B105" s="101">
        <f>IF(TrRoad_act!B27=0,0,B41/TrRoad_act!B27*1000)</f>
        <v>149.77644898528993</v>
      </c>
      <c r="C105" s="101">
        <f>IF(TrRoad_act!C27=0,0,C41/TrRoad_act!C27*1000)</f>
        <v>148.64474793917313</v>
      </c>
      <c r="D105" s="101">
        <f>IF(TrRoad_act!D27=0,0,D41/TrRoad_act!D27*1000)</f>
        <v>140.10498233772819</v>
      </c>
      <c r="E105" s="101">
        <f>IF(TrRoad_act!E27=0,0,E41/TrRoad_act!E27*1000)</f>
        <v>139.72919615272761</v>
      </c>
      <c r="F105" s="101">
        <f>IF(TrRoad_act!F27=0,0,F41/TrRoad_act!F27*1000)</f>
        <v>132.95180230439885</v>
      </c>
      <c r="G105" s="101">
        <f>IF(TrRoad_act!G27=0,0,G41/TrRoad_act!G27*1000)</f>
        <v>129.87044174823407</v>
      </c>
      <c r="H105" s="101">
        <f>IF(TrRoad_act!H27=0,0,H41/TrRoad_act!H27*1000)</f>
        <v>126.70049383152104</v>
      </c>
      <c r="I105" s="101">
        <f>IF(TrRoad_act!I27=0,0,I41/TrRoad_act!I27*1000)</f>
        <v>119.53856072360519</v>
      </c>
      <c r="J105" s="101">
        <f>IF(TrRoad_act!J27=0,0,J41/TrRoad_act!J27*1000)</f>
        <v>118.90444020156296</v>
      </c>
      <c r="K105" s="101">
        <f>IF(TrRoad_act!K27=0,0,K41/TrRoad_act!K27*1000)</f>
        <v>116.88650798727706</v>
      </c>
      <c r="L105" s="101">
        <f>IF(TrRoad_act!L27=0,0,L41/TrRoad_act!L27*1000)</f>
        <v>114.47265167569779</v>
      </c>
      <c r="M105" s="101">
        <f>IF(TrRoad_act!M27=0,0,M41/TrRoad_act!M27*1000)</f>
        <v>107.02744613554256</v>
      </c>
      <c r="N105" s="101">
        <f>IF(TrRoad_act!N27=0,0,N41/TrRoad_act!N27*1000)</f>
        <v>93.522642047116619</v>
      </c>
      <c r="O105" s="101">
        <f>IF(TrRoad_act!O27=0,0,O41/TrRoad_act!O27*1000)</f>
        <v>98.04655248791785</v>
      </c>
      <c r="P105" s="101">
        <f>IF(TrRoad_act!P27=0,0,P41/TrRoad_act!P27*1000)</f>
        <v>100.42779281423638</v>
      </c>
      <c r="Q105" s="101">
        <f>IF(TrRoad_act!Q27=0,0,Q41/TrRoad_act!Q27*1000)</f>
        <v>99.337363379966519</v>
      </c>
      <c r="R105" s="101">
        <f>IF(TrRoad_act!R27=0,0,R41/TrRoad_act!R27*1000)</f>
        <v>107.44944758691581</v>
      </c>
      <c r="S105" s="101">
        <f>IF(TrRoad_act!S27=0,0,S41/TrRoad_act!S27*1000)</f>
        <v>103.73014959678238</v>
      </c>
      <c r="T105" s="101">
        <f>IF(TrRoad_act!T27=0,0,T41/TrRoad_act!T27*1000)</f>
        <v>103.1840401946928</v>
      </c>
      <c r="U105" s="101">
        <f>IF(TrRoad_act!U27=0,0,U41/TrRoad_act!U27*1000)</f>
        <v>93.585657735110118</v>
      </c>
      <c r="V105" s="101">
        <f>IF(TrRoad_act!V27=0,0,V41/TrRoad_act!V27*1000)</f>
        <v>87.987226983747732</v>
      </c>
      <c r="W105" s="101">
        <f>IF(TrRoad_act!W27=0,0,W41/TrRoad_act!W27*1000)</f>
        <v>82.240498751060599</v>
      </c>
      <c r="X105" s="101">
        <f>IF(TrRoad_act!X27=0,0,X41/TrRoad_act!X27*1000)</f>
        <v>84.540884477070705</v>
      </c>
      <c r="Y105" s="101">
        <f>IF(TrRoad_act!Y27=0,0,Y41/TrRoad_act!Y27*1000)</f>
        <v>78.243848341808189</v>
      </c>
      <c r="DA105" s="175" t="s">
        <v>811</v>
      </c>
    </row>
    <row r="106" spans="1:105" ht="11.45" customHeight="1" x14ac:dyDescent="0.25">
      <c r="A106" s="138" t="s">
        <v>116</v>
      </c>
      <c r="B106" s="88">
        <f>IF(TrRoad_act!B28=0,0,B42/TrRoad_act!B28*1000)</f>
        <v>118.81636607952171</v>
      </c>
      <c r="C106" s="88">
        <f>IF(TrRoad_act!C28=0,0,C42/TrRoad_act!C28*1000)</f>
        <v>115.30177616875432</v>
      </c>
      <c r="D106" s="88">
        <f>IF(TrRoad_act!D28=0,0,D42/TrRoad_act!D28*1000)</f>
        <v>107.27532733202882</v>
      </c>
      <c r="E106" s="88">
        <f>IF(TrRoad_act!E28=0,0,E42/TrRoad_act!E28*1000)</f>
        <v>107.9452294944938</v>
      </c>
      <c r="F106" s="88">
        <f>IF(TrRoad_act!F28=0,0,F42/TrRoad_act!F28*1000)</f>
        <v>104.04602881568387</v>
      </c>
      <c r="G106" s="88">
        <f>IF(TrRoad_act!G28=0,0,G42/TrRoad_act!G28*1000)</f>
        <v>102.18749356106427</v>
      </c>
      <c r="H106" s="88">
        <f>IF(TrRoad_act!H28=0,0,H42/TrRoad_act!H28*1000)</f>
        <v>99.14433878372013</v>
      </c>
      <c r="I106" s="88">
        <f>IF(TrRoad_act!I28=0,0,I42/TrRoad_act!I28*1000)</f>
        <v>94.631309716296911</v>
      </c>
      <c r="J106" s="88">
        <f>IF(TrRoad_act!J28=0,0,J42/TrRoad_act!J28*1000)</f>
        <v>96.158253813551639</v>
      </c>
      <c r="K106" s="88">
        <f>IF(TrRoad_act!K28=0,0,K42/TrRoad_act!K28*1000)</f>
        <v>94.181375055730854</v>
      </c>
      <c r="L106" s="88">
        <f>IF(TrRoad_act!L28=0,0,L42/TrRoad_act!L28*1000)</f>
        <v>91.346422366349785</v>
      </c>
      <c r="M106" s="88">
        <f>IF(TrRoad_act!M28=0,0,M42/TrRoad_act!M28*1000)</f>
        <v>86.034003639820554</v>
      </c>
      <c r="N106" s="88">
        <f>IF(TrRoad_act!N28=0,0,N42/TrRoad_act!N28*1000)</f>
        <v>75.256359953083475</v>
      </c>
      <c r="O106" s="88">
        <f>IF(TrRoad_act!O28=0,0,O42/TrRoad_act!O28*1000)</f>
        <v>80.516232727639576</v>
      </c>
      <c r="P106" s="88">
        <f>IF(TrRoad_act!P28=0,0,P42/TrRoad_act!P28*1000)</f>
        <v>80.807221298503123</v>
      </c>
      <c r="Q106" s="88">
        <f>IF(TrRoad_act!Q28=0,0,Q42/TrRoad_act!Q28*1000)</f>
        <v>81.505748939362164</v>
      </c>
      <c r="R106" s="88">
        <f>IF(TrRoad_act!R28=0,0,R42/TrRoad_act!R28*1000)</f>
        <v>90.274940104255094</v>
      </c>
      <c r="S106" s="88">
        <f>IF(TrRoad_act!S28=0,0,S42/TrRoad_act!S28*1000)</f>
        <v>88.729457817434223</v>
      </c>
      <c r="T106" s="88">
        <f>IF(TrRoad_act!T28=0,0,T42/TrRoad_act!T28*1000)</f>
        <v>89.186995748523756</v>
      </c>
      <c r="U106" s="88">
        <f>IF(TrRoad_act!U28=0,0,U42/TrRoad_act!U28*1000)</f>
        <v>82.527035106580058</v>
      </c>
      <c r="V106" s="88">
        <f>IF(TrRoad_act!V28=0,0,V42/TrRoad_act!V28*1000)</f>
        <v>80.027955534216687</v>
      </c>
      <c r="W106" s="88">
        <f>IF(TrRoad_act!W28=0,0,W42/TrRoad_act!W28*1000)</f>
        <v>75.685455932671076</v>
      </c>
      <c r="X106" s="88">
        <f>IF(TrRoad_act!X28=0,0,X42/TrRoad_act!X28*1000)</f>
        <v>77.715330179244205</v>
      </c>
      <c r="Y106" s="88">
        <f>IF(TrRoad_act!Y28=0,0,Y42/TrRoad_act!Y28*1000)</f>
        <v>73.056954579582097</v>
      </c>
      <c r="DA106" s="178" t="s">
        <v>812</v>
      </c>
    </row>
    <row r="107" spans="1:105" x14ac:dyDescent="0.25">
      <c r="A107" s="106"/>
      <c r="B107" s="106"/>
      <c r="C107" s="106"/>
      <c r="D107" s="106"/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X107" s="106"/>
      <c r="Y107" s="106"/>
      <c r="DA107" s="171"/>
    </row>
    <row r="108" spans="1:105" ht="11.45" customHeight="1" x14ac:dyDescent="0.25">
      <c r="A108" s="53" t="s">
        <v>130</v>
      </c>
      <c r="B108" s="62"/>
      <c r="C108" s="62"/>
      <c r="D108" s="62"/>
      <c r="E108" s="62"/>
      <c r="F108" s="62"/>
      <c r="G108" s="62"/>
      <c r="H108" s="62"/>
      <c r="I108" s="62"/>
      <c r="J108" s="62"/>
      <c r="K108" s="62"/>
      <c r="L108" s="62"/>
      <c r="M108" s="62"/>
      <c r="N108" s="62"/>
      <c r="O108" s="62"/>
      <c r="P108" s="62"/>
      <c r="Q108" s="62"/>
      <c r="R108" s="62"/>
      <c r="S108" s="62"/>
      <c r="T108" s="62"/>
      <c r="U108" s="62"/>
      <c r="V108" s="62"/>
      <c r="W108" s="62"/>
      <c r="X108" s="62"/>
      <c r="Y108" s="62"/>
      <c r="DA108" s="172"/>
    </row>
    <row r="109" spans="1:105" ht="11.45" customHeight="1" x14ac:dyDescent="0.25">
      <c r="A109" s="27" t="s">
        <v>33</v>
      </c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DA109" s="173"/>
    </row>
    <row r="110" spans="1:105" ht="11.45" customHeight="1" x14ac:dyDescent="0.25">
      <c r="A110" s="136" t="s">
        <v>173</v>
      </c>
      <c r="B110" s="152">
        <f>IF(B19=0,0,1000000*B19/TrRoad_act!B59)</f>
        <v>336.93529553621818</v>
      </c>
      <c r="C110" s="152">
        <f>IF(C19=0,0,1000000*C19/TrRoad_act!C59)</f>
        <v>350.92365197792896</v>
      </c>
      <c r="D110" s="152">
        <f>IF(D19=0,0,1000000*D19/TrRoad_act!D59)</f>
        <v>293.98858424862055</v>
      </c>
      <c r="E110" s="152">
        <f>IF(E19=0,0,1000000*E19/TrRoad_act!E59)</f>
        <v>320.86853901597635</v>
      </c>
      <c r="F110" s="152">
        <f>IF(F19=0,0,1000000*F19/TrRoad_act!F59)</f>
        <v>294.62510536670123</v>
      </c>
      <c r="G110" s="152">
        <f>IF(G19=0,0,1000000*G19/TrRoad_act!G59)</f>
        <v>313.13622245035151</v>
      </c>
      <c r="H110" s="152">
        <f>IF(H19=0,0,1000000*H19/TrRoad_act!H59)</f>
        <v>297.27290735036763</v>
      </c>
      <c r="I110" s="152">
        <f>IF(I19=0,0,1000000*I19/TrRoad_act!I59)</f>
        <v>311.53712866559351</v>
      </c>
      <c r="J110" s="152">
        <f>IF(J19=0,0,1000000*J19/TrRoad_act!J59)</f>
        <v>301.33864910466366</v>
      </c>
      <c r="K110" s="152">
        <f>IF(K19=0,0,1000000*K19/TrRoad_act!K59)</f>
        <v>304.69670409289563</v>
      </c>
      <c r="L110" s="152">
        <f>IF(L19=0,0,1000000*L19/TrRoad_act!L59)</f>
        <v>301.15361233980116</v>
      </c>
      <c r="M110" s="152">
        <f>IF(M19=0,0,1000000*M19/TrRoad_act!M59)</f>
        <v>273.83216953319987</v>
      </c>
      <c r="N110" s="152">
        <f>IF(N19=0,0,1000000*N19/TrRoad_act!N59)</f>
        <v>259.2888174222457</v>
      </c>
      <c r="O110" s="152">
        <f>IF(O19=0,0,1000000*O19/TrRoad_act!O59)</f>
        <v>258.59688198186888</v>
      </c>
      <c r="P110" s="152">
        <f>IF(P19=0,0,1000000*P19/TrRoad_act!P59)</f>
        <v>283.92897991576461</v>
      </c>
      <c r="Q110" s="152">
        <f>IF(Q19=0,0,1000000*Q19/TrRoad_act!Q59)</f>
        <v>300.49184410210182</v>
      </c>
      <c r="R110" s="152">
        <f>IF(R19=0,0,1000000*R19/TrRoad_act!R59)</f>
        <v>316.22431270069069</v>
      </c>
      <c r="S110" s="152">
        <f>IF(S19=0,0,1000000*S19/TrRoad_act!S59)</f>
        <v>281.25322351750248</v>
      </c>
      <c r="T110" s="152">
        <f>IF(T19=0,0,1000000*T19/TrRoad_act!T59)</f>
        <v>261.49649256583689</v>
      </c>
      <c r="U110" s="152">
        <f>IF(U19=0,0,1000000*U19/TrRoad_act!U59)</f>
        <v>277.65507014393785</v>
      </c>
      <c r="V110" s="152">
        <f>IF(V19=0,0,1000000*V19/TrRoad_act!V59)</f>
        <v>226.40663479226592</v>
      </c>
      <c r="W110" s="152">
        <f>IF(W19=0,0,1000000*W19/TrRoad_act!W59)</f>
        <v>245.50032590627623</v>
      </c>
      <c r="X110" s="152">
        <f>IF(X19=0,0,1000000*X19/TrRoad_act!X59)</f>
        <v>233.70274720379328</v>
      </c>
      <c r="Y110" s="152">
        <f>IF(Y19=0,0,1000000*Y19/TrRoad_act!Y59)</f>
        <v>243.85840430960818</v>
      </c>
      <c r="DA110" s="174" t="s">
        <v>813</v>
      </c>
    </row>
    <row r="111" spans="1:105" ht="11.45" customHeight="1" x14ac:dyDescent="0.25">
      <c r="A111" s="109" t="s">
        <v>20</v>
      </c>
      <c r="B111" s="116">
        <f>IF(B20=0,0,1000000*B20/TrRoad_act!B60)</f>
        <v>2678.0291464203988</v>
      </c>
      <c r="C111" s="116">
        <f>IF(C20=0,0,1000000*C20/TrRoad_act!C60)</f>
        <v>2649.8954440631028</v>
      </c>
      <c r="D111" s="116">
        <f>IF(D20=0,0,1000000*D20/TrRoad_act!D60)</f>
        <v>2684.1863854014468</v>
      </c>
      <c r="E111" s="116">
        <f>IF(E20=0,0,1000000*E20/TrRoad_act!E60)</f>
        <v>2811.7812852376851</v>
      </c>
      <c r="F111" s="116">
        <f>IF(F20=0,0,1000000*F20/TrRoad_act!F60)</f>
        <v>2770.3936580100794</v>
      </c>
      <c r="G111" s="116">
        <f>IF(G20=0,0,1000000*G20/TrRoad_act!G60)</f>
        <v>2801.2087832794878</v>
      </c>
      <c r="H111" s="116">
        <f>IF(H20=0,0,1000000*H20/TrRoad_act!H60)</f>
        <v>2798.1263727680052</v>
      </c>
      <c r="I111" s="116">
        <f>IF(I20=0,0,1000000*I20/TrRoad_act!I60)</f>
        <v>2764.4632614489851</v>
      </c>
      <c r="J111" s="116">
        <f>IF(J20=0,0,1000000*J20/TrRoad_act!J60)</f>
        <v>2626.9975583569744</v>
      </c>
      <c r="K111" s="116">
        <f>IF(K20=0,0,1000000*K20/TrRoad_act!K60)</f>
        <v>2575.8575131295838</v>
      </c>
      <c r="L111" s="116">
        <f>IF(L20=0,0,1000000*L20/TrRoad_act!L60)</f>
        <v>2457.0809612297444</v>
      </c>
      <c r="M111" s="116">
        <f>IF(M20=0,0,1000000*M20/TrRoad_act!M60)</f>
        <v>2331.1430690374991</v>
      </c>
      <c r="N111" s="116">
        <f>IF(N20=0,0,1000000*N20/TrRoad_act!N60)</f>
        <v>2126.1448572481713</v>
      </c>
      <c r="O111" s="116">
        <f>IF(O20=0,0,1000000*O20/TrRoad_act!O60)</f>
        <v>2224.7944441577411</v>
      </c>
      <c r="P111" s="116">
        <f>IF(P20=0,0,1000000*P20/TrRoad_act!P60)</f>
        <v>2243.6157677956712</v>
      </c>
      <c r="Q111" s="116">
        <f>IF(Q20=0,0,1000000*Q20/TrRoad_act!Q60)</f>
        <v>2256.8995587343884</v>
      </c>
      <c r="R111" s="116">
        <f>IF(R20=0,0,1000000*R20/TrRoad_act!R60)</f>
        <v>2206.2715120486114</v>
      </c>
      <c r="S111" s="116">
        <f>IF(S20=0,0,1000000*S20/TrRoad_act!S60)</f>
        <v>2113.3059761009517</v>
      </c>
      <c r="T111" s="116">
        <f>IF(T20=0,0,1000000*T20/TrRoad_act!T60)</f>
        <v>2072.7693569483677</v>
      </c>
      <c r="U111" s="116">
        <f>IF(U20=0,0,1000000*U20/TrRoad_act!U60)</f>
        <v>2091.3449387777296</v>
      </c>
      <c r="V111" s="116">
        <f>IF(V20=0,0,1000000*V20/TrRoad_act!V60)</f>
        <v>1680.972064534393</v>
      </c>
      <c r="W111" s="116">
        <f>IF(W20=0,0,1000000*W20/TrRoad_act!W60)</f>
        <v>1933.4598292566106</v>
      </c>
      <c r="X111" s="116">
        <f>IF(X20=0,0,1000000*X20/TrRoad_act!X60)</f>
        <v>1990.6808015182596</v>
      </c>
      <c r="Y111" s="116">
        <f>IF(Y20=0,0,1000000*Y20/TrRoad_act!Y60)</f>
        <v>1946.1613671909881</v>
      </c>
      <c r="DA111" s="176" t="s">
        <v>814</v>
      </c>
    </row>
    <row r="112" spans="1:105" ht="11.45" customHeight="1" x14ac:dyDescent="0.25">
      <c r="A112" s="111" t="s">
        <v>110</v>
      </c>
      <c r="B112" s="87">
        <f>IF(B21=0,0,1000000*B21/TrRoad_act!B61)</f>
        <v>1914.5318099057022</v>
      </c>
      <c r="C112" s="87">
        <f>IF(C21=0,0,1000000*C21/TrRoad_act!C61)</f>
        <v>1889.0144876831159</v>
      </c>
      <c r="D112" s="87">
        <f>IF(D21=0,0,1000000*D21/TrRoad_act!D61)</f>
        <v>1830.107606520736</v>
      </c>
      <c r="E112" s="87">
        <f>IF(E21=0,0,1000000*E21/TrRoad_act!E61)</f>
        <v>1867.2574177027939</v>
      </c>
      <c r="F112" s="87">
        <f>IF(F21=0,0,1000000*F21/TrRoad_act!F61)</f>
        <v>1795.8296433457019</v>
      </c>
      <c r="G112" s="87">
        <f>IF(G21=0,0,1000000*G21/TrRoad_act!G61)</f>
        <v>1748.0815991418783</v>
      </c>
      <c r="H112" s="87">
        <f>IF(H21=0,0,1000000*H21/TrRoad_act!H61)</f>
        <v>1688.9461321869837</v>
      </c>
      <c r="I112" s="87">
        <f>IF(I21=0,0,1000000*I21/TrRoad_act!I61)</f>
        <v>1631.5003802243943</v>
      </c>
      <c r="J112" s="87">
        <f>IF(J21=0,0,1000000*J21/TrRoad_act!J61)</f>
        <v>1514.7648547200347</v>
      </c>
      <c r="K112" s="87">
        <f>IF(K21=0,0,1000000*K21/TrRoad_act!K61)</f>
        <v>1469.2533871162379</v>
      </c>
      <c r="L112" s="87">
        <f>IF(L21=0,0,1000000*L21/TrRoad_act!L61)</f>
        <v>1370.8556603099755</v>
      </c>
      <c r="M112" s="87">
        <f>IF(M21=0,0,1000000*M21/TrRoad_act!M61)</f>
        <v>1296.2909147578189</v>
      </c>
      <c r="N112" s="87">
        <f>IF(N21=0,0,1000000*N21/TrRoad_act!N61)</f>
        <v>1184.9906931232606</v>
      </c>
      <c r="O112" s="87">
        <f>IF(O21=0,0,1000000*O21/TrRoad_act!O61)</f>
        <v>1196.6103628090004</v>
      </c>
      <c r="P112" s="87">
        <f>IF(P21=0,0,1000000*P21/TrRoad_act!P61)</f>
        <v>1198.0289989378216</v>
      </c>
      <c r="Q112" s="87">
        <f>IF(Q21=0,0,1000000*Q21/TrRoad_act!Q61)</f>
        <v>1197.6099050390103</v>
      </c>
      <c r="R112" s="87">
        <f>IF(R21=0,0,1000000*R21/TrRoad_act!R61)</f>
        <v>1218.9591449164143</v>
      </c>
      <c r="S112" s="87">
        <f>IF(S21=0,0,1000000*S21/TrRoad_act!S61)</f>
        <v>1225.8621443086263</v>
      </c>
      <c r="T112" s="87">
        <f>IF(T21=0,0,1000000*T21/TrRoad_act!T61)</f>
        <v>1240.9843108533537</v>
      </c>
      <c r="U112" s="87">
        <f>IF(U21=0,0,1000000*U21/TrRoad_act!U61)</f>
        <v>1267.2827903147468</v>
      </c>
      <c r="V112" s="87">
        <f>IF(V21=0,0,1000000*V21/TrRoad_act!V61)</f>
        <v>983.08839396763369</v>
      </c>
      <c r="W112" s="87">
        <f>IF(W21=0,0,1000000*W21/TrRoad_act!W61)</f>
        <v>1195.584741287458</v>
      </c>
      <c r="X112" s="87">
        <f>IF(X21=0,0,1000000*X21/TrRoad_act!X61)</f>
        <v>1301.3106613198254</v>
      </c>
      <c r="Y112" s="87">
        <f>IF(Y21=0,0,1000000*Y21/TrRoad_act!Y61)</f>
        <v>1344.0184416672278</v>
      </c>
      <c r="DA112" s="171" t="s">
        <v>815</v>
      </c>
    </row>
    <row r="113" spans="1:105" ht="11.45" customHeight="1" x14ac:dyDescent="0.25">
      <c r="A113" s="111" t="s">
        <v>111</v>
      </c>
      <c r="B113" s="87">
        <f>IF(B22=0,0,1000000*B22/TrRoad_act!B62)</f>
        <v>4710.3897661667133</v>
      </c>
      <c r="C113" s="87">
        <f>IF(C22=0,0,1000000*C22/TrRoad_act!C62)</f>
        <v>4436.7006197117207</v>
      </c>
      <c r="D113" s="87">
        <f>IF(D22=0,0,1000000*D22/TrRoad_act!D62)</f>
        <v>4467.2087415868255</v>
      </c>
      <c r="E113" s="87">
        <f>IF(E22=0,0,1000000*E22/TrRoad_act!E62)</f>
        <v>4519.8901445833699</v>
      </c>
      <c r="F113" s="87">
        <f>IF(F22=0,0,1000000*F22/TrRoad_act!F62)</f>
        <v>4309.8082384912123</v>
      </c>
      <c r="G113" s="87">
        <f>IF(G22=0,0,1000000*G22/TrRoad_act!G62)</f>
        <v>4274.4735038761173</v>
      </c>
      <c r="H113" s="87">
        <f>IF(H22=0,0,1000000*H22/TrRoad_act!H62)</f>
        <v>4168.5458180698479</v>
      </c>
      <c r="I113" s="87">
        <f>IF(I22=0,0,1000000*I22/TrRoad_act!I62)</f>
        <v>4026.5286247015265</v>
      </c>
      <c r="J113" s="87">
        <f>IF(J22=0,0,1000000*J22/TrRoad_act!J62)</f>
        <v>3794.8726423002395</v>
      </c>
      <c r="K113" s="87">
        <f>IF(K22=0,0,1000000*K22/TrRoad_act!K62)</f>
        <v>3663.899122191423</v>
      </c>
      <c r="L113" s="87">
        <f>IF(L22=0,0,1000000*L22/TrRoad_act!L62)</f>
        <v>3467.7570578604618</v>
      </c>
      <c r="M113" s="87">
        <f>IF(M22=0,0,1000000*M22/TrRoad_act!M62)</f>
        <v>3255.4345649529714</v>
      </c>
      <c r="N113" s="87">
        <f>IF(N22=0,0,1000000*N22/TrRoad_act!N62)</f>
        <v>2938.3403816333716</v>
      </c>
      <c r="O113" s="87">
        <f>IF(O22=0,0,1000000*O22/TrRoad_act!O62)</f>
        <v>3071.7570826527312</v>
      </c>
      <c r="P113" s="87">
        <f>IF(P22=0,0,1000000*P22/TrRoad_act!P62)</f>
        <v>3065.3916952805243</v>
      </c>
      <c r="Q113" s="87">
        <f>IF(Q22=0,0,1000000*Q22/TrRoad_act!Q62)</f>
        <v>3064.269983755994</v>
      </c>
      <c r="R113" s="87">
        <f>IF(R22=0,0,1000000*R22/TrRoad_act!R62)</f>
        <v>2964.7382157114694</v>
      </c>
      <c r="S113" s="87">
        <f>IF(S22=0,0,1000000*S22/TrRoad_act!S62)</f>
        <v>2740.2047545809542</v>
      </c>
      <c r="T113" s="87">
        <f>IF(T22=0,0,1000000*T22/TrRoad_act!T62)</f>
        <v>2677.5944240886101</v>
      </c>
      <c r="U113" s="87">
        <f>IF(U22=0,0,1000000*U22/TrRoad_act!U62)</f>
        <v>2712.9021676746161</v>
      </c>
      <c r="V113" s="87">
        <f>IF(V22=0,0,1000000*V22/TrRoad_act!V62)</f>
        <v>2221.7808249845016</v>
      </c>
      <c r="W113" s="87">
        <f>IF(W22=0,0,1000000*W22/TrRoad_act!W62)</f>
        <v>2529.0251413623037</v>
      </c>
      <c r="X113" s="87">
        <f>IF(X22=0,0,1000000*X22/TrRoad_act!X62)</f>
        <v>2573.3636874058166</v>
      </c>
      <c r="Y113" s="87">
        <f>IF(Y22=0,0,1000000*Y22/TrRoad_act!Y62)</f>
        <v>2484.4504578432061</v>
      </c>
      <c r="DA113" s="171" t="s">
        <v>816</v>
      </c>
    </row>
    <row r="114" spans="1:105" ht="11.45" customHeight="1" x14ac:dyDescent="0.25">
      <c r="A114" s="111" t="s">
        <v>112</v>
      </c>
      <c r="B114" s="87">
        <f>IF(B23=0,0,1000000*B23/TrRoad_act!B63)</f>
        <v>12565.809235432807</v>
      </c>
      <c r="C114" s="87">
        <f>IF(C23=0,0,1000000*C23/TrRoad_act!C63)</f>
        <v>12072.660674157303</v>
      </c>
      <c r="D114" s="87">
        <f>IF(D23=0,0,1000000*D23/TrRoad_act!D63)</f>
        <v>11831.380278588338</v>
      </c>
      <c r="E114" s="87">
        <f>IF(E23=0,0,1000000*E23/TrRoad_act!E63)</f>
        <v>12691.423894112717</v>
      </c>
      <c r="F114" s="87">
        <f>IF(F23=0,0,1000000*F23/TrRoad_act!F63)</f>
        <v>13607.170574569076</v>
      </c>
      <c r="G114" s="87">
        <f>IF(G23=0,0,1000000*G23/TrRoad_act!G63)</f>
        <v>12311.701347511233</v>
      </c>
      <c r="H114" s="87">
        <f>IF(H23=0,0,1000000*H23/TrRoad_act!H63)</f>
        <v>12385.600105263156</v>
      </c>
      <c r="I114" s="87">
        <f>IF(I23=0,0,1000000*I23/TrRoad_act!I63)</f>
        <v>15015.130293044902</v>
      </c>
      <c r="J114" s="87">
        <f>IF(J23=0,0,1000000*J23/TrRoad_act!J63)</f>
        <v>6973.4527246585221</v>
      </c>
      <c r="K114" s="87">
        <f>IF(K23=0,0,1000000*K23/TrRoad_act!K63)</f>
        <v>6514.874422919509</v>
      </c>
      <c r="L114" s="87">
        <f>IF(L23=0,0,1000000*L23/TrRoad_act!L63)</f>
        <v>6534.6848628716289</v>
      </c>
      <c r="M114" s="87">
        <f>IF(M23=0,0,1000000*M23/TrRoad_act!M63)</f>
        <v>6480.953957191603</v>
      </c>
      <c r="N114" s="87">
        <f>IF(N23=0,0,1000000*N23/TrRoad_act!N63)</f>
        <v>5470.9781979695435</v>
      </c>
      <c r="O114" s="87">
        <f>IF(O23=0,0,1000000*O23/TrRoad_act!O63)</f>
        <v>6156.6819511333624</v>
      </c>
      <c r="P114" s="87">
        <f>IF(P23=0,0,1000000*P23/TrRoad_act!P63)</f>
        <v>5815.3509885086623</v>
      </c>
      <c r="Q114" s="87">
        <f>IF(Q23=0,0,1000000*Q23/TrRoad_act!Q63)</f>
        <v>6067.8740171025574</v>
      </c>
      <c r="R114" s="87">
        <f>IF(R23=0,0,1000000*R23/TrRoad_act!R63)</f>
        <v>6180.2947366617345</v>
      </c>
      <c r="S114" s="87">
        <f>IF(S23=0,0,1000000*S23/TrRoad_act!S63)</f>
        <v>5728.8369267675862</v>
      </c>
      <c r="T114" s="87">
        <f>IF(T23=0,0,1000000*T23/TrRoad_act!T63)</f>
        <v>4391.9363420541576</v>
      </c>
      <c r="U114" s="87">
        <f>IF(U23=0,0,1000000*U23/TrRoad_act!U63)</f>
        <v>4262.0077646954269</v>
      </c>
      <c r="V114" s="87">
        <f>IF(V23=0,0,1000000*V23/TrRoad_act!V63)</f>
        <v>3094.0275304864003</v>
      </c>
      <c r="W114" s="87">
        <f>IF(W23=0,0,1000000*W23/TrRoad_act!W63)</f>
        <v>3582.6794241192833</v>
      </c>
      <c r="X114" s="87">
        <f>IF(X23=0,0,1000000*X23/TrRoad_act!X63)</f>
        <v>3664.8043585619275</v>
      </c>
      <c r="Y114" s="87">
        <f>IF(Y23=0,0,1000000*Y23/TrRoad_act!Y63)</f>
        <v>2542.0391902616598</v>
      </c>
      <c r="DA114" s="171" t="s">
        <v>817</v>
      </c>
    </row>
    <row r="115" spans="1:105" ht="11.45" customHeight="1" x14ac:dyDescent="0.25">
      <c r="A115" s="111" t="s">
        <v>113</v>
      </c>
      <c r="B115" s="87">
        <f>IF(B24=0,0,1000000*B24/TrRoad_act!B64)</f>
        <v>0</v>
      </c>
      <c r="C115" s="87">
        <f>IF(C24=0,0,1000000*C24/TrRoad_act!C64)</f>
        <v>0</v>
      </c>
      <c r="D115" s="87">
        <f>IF(D24=0,0,1000000*D24/TrRoad_act!D64)</f>
        <v>0</v>
      </c>
      <c r="E115" s="87">
        <f>IF(E24=0,0,1000000*E24/TrRoad_act!E64)</f>
        <v>0</v>
      </c>
      <c r="F115" s="87">
        <f>IF(F24=0,0,1000000*F24/TrRoad_act!F64)</f>
        <v>2068.5277519284787</v>
      </c>
      <c r="G115" s="87">
        <f>IF(G24=0,0,1000000*G24/TrRoad_act!G64)</f>
        <v>2060.9926477494541</v>
      </c>
      <c r="H115" s="87">
        <f>IF(H24=0,0,1000000*H24/TrRoad_act!H64)</f>
        <v>2001.5184913124835</v>
      </c>
      <c r="I115" s="87">
        <f>IF(I24=0,0,1000000*I24/TrRoad_act!I64)</f>
        <v>1970.242125848333</v>
      </c>
      <c r="J115" s="87">
        <f>IF(J24=0,0,1000000*J24/TrRoad_act!J64)</f>
        <v>1920.1384151347418</v>
      </c>
      <c r="K115" s="87">
        <f>IF(K24=0,0,1000000*K24/TrRoad_act!K64)</f>
        <v>1929.7953552211825</v>
      </c>
      <c r="L115" s="87">
        <f>IF(L24=0,0,1000000*L24/TrRoad_act!L64)</f>
        <v>1836.756339219148</v>
      </c>
      <c r="M115" s="87">
        <f>IF(M24=0,0,1000000*M24/TrRoad_act!M64)</f>
        <v>1808.8451745367065</v>
      </c>
      <c r="N115" s="87">
        <f>IF(N24=0,0,1000000*N24/TrRoad_act!N64)</f>
        <v>1651.0038089085269</v>
      </c>
      <c r="O115" s="87">
        <f>IF(O24=0,0,1000000*O24/TrRoad_act!O64)</f>
        <v>1688.5614153731105</v>
      </c>
      <c r="P115" s="87">
        <f>IF(P24=0,0,1000000*P24/TrRoad_act!P64)</f>
        <v>1779.893803648333</v>
      </c>
      <c r="Q115" s="87">
        <f>IF(Q24=0,0,1000000*Q24/TrRoad_act!Q64)</f>
        <v>1906.8150086650226</v>
      </c>
      <c r="R115" s="87">
        <f>IF(R24=0,0,1000000*R24/TrRoad_act!R64)</f>
        <v>1863.0840874908406</v>
      </c>
      <c r="S115" s="87">
        <f>IF(S24=0,0,1000000*S24/TrRoad_act!S64)</f>
        <v>1870.4145304859985</v>
      </c>
      <c r="T115" s="87">
        <f>IF(T24=0,0,1000000*T24/TrRoad_act!T64)</f>
        <v>1945.8696832689964</v>
      </c>
      <c r="U115" s="87">
        <f>IF(U24=0,0,1000000*U24/TrRoad_act!U64)</f>
        <v>1936.9251984069185</v>
      </c>
      <c r="V115" s="87">
        <f>IF(V24=0,0,1000000*V24/TrRoad_act!V64)</f>
        <v>1321.3111956557661</v>
      </c>
      <c r="W115" s="87">
        <f>IF(W24=0,0,1000000*W24/TrRoad_act!W64)</f>
        <v>1732.3380238795869</v>
      </c>
      <c r="X115" s="87">
        <f>IF(X24=0,0,1000000*X24/TrRoad_act!X64)</f>
        <v>1912.8229054295168</v>
      </c>
      <c r="Y115" s="87">
        <f>IF(Y24=0,0,1000000*Y24/TrRoad_act!Y64)</f>
        <v>1972.2096811337351</v>
      </c>
      <c r="DA115" s="171" t="s">
        <v>818</v>
      </c>
    </row>
    <row r="116" spans="1:105" ht="11.45" customHeight="1" x14ac:dyDescent="0.25">
      <c r="A116" s="111" t="s">
        <v>114</v>
      </c>
      <c r="B116" s="87">
        <f>IF(B25=0,0,1000000*B25/TrRoad_act!B65)</f>
        <v>0</v>
      </c>
      <c r="C116" s="87">
        <f>IF(C25=0,0,1000000*C25/TrRoad_act!C65)</f>
        <v>0</v>
      </c>
      <c r="D116" s="87">
        <f>IF(D25=0,0,1000000*D25/TrRoad_act!D65)</f>
        <v>0</v>
      </c>
      <c r="E116" s="87">
        <f>IF(E25=0,0,1000000*E25/TrRoad_act!E65)</f>
        <v>0</v>
      </c>
      <c r="F116" s="87">
        <f>IF(F25=0,0,1000000*F25/TrRoad_act!F65)</f>
        <v>0</v>
      </c>
      <c r="G116" s="87">
        <f>IF(G25=0,0,1000000*G25/TrRoad_act!G65)</f>
        <v>0</v>
      </c>
      <c r="H116" s="87">
        <f>IF(H25=0,0,1000000*H25/TrRoad_act!H65)</f>
        <v>0</v>
      </c>
      <c r="I116" s="87">
        <f>IF(I25=0,0,1000000*I25/TrRoad_act!I65)</f>
        <v>0</v>
      </c>
      <c r="J116" s="87">
        <f>IF(J25=0,0,1000000*J25/TrRoad_act!J65)</f>
        <v>0</v>
      </c>
      <c r="K116" s="87">
        <f>IF(K25=0,0,1000000*K25/TrRoad_act!K65)</f>
        <v>0</v>
      </c>
      <c r="L116" s="87">
        <f>IF(L25=0,0,1000000*L25/TrRoad_act!L65)</f>
        <v>0</v>
      </c>
      <c r="M116" s="87">
        <f>IF(M25=0,0,1000000*M25/TrRoad_act!M65)</f>
        <v>608.13503216602965</v>
      </c>
      <c r="N116" s="87">
        <f>IF(N25=0,0,1000000*N25/TrRoad_act!N65)</f>
        <v>409.84874711659563</v>
      </c>
      <c r="O116" s="87">
        <f>IF(O25=0,0,1000000*O25/TrRoad_act!O65)</f>
        <v>531.59793236031192</v>
      </c>
      <c r="P116" s="87">
        <f>IF(P25=0,0,1000000*P25/TrRoad_act!P65)</f>
        <v>476.33991127715177</v>
      </c>
      <c r="Q116" s="87">
        <f>IF(Q25=0,0,1000000*Q25/TrRoad_act!Q65)</f>
        <v>436.68179533924348</v>
      </c>
      <c r="R116" s="87">
        <f>IF(R25=0,0,1000000*R25/TrRoad_act!R65)</f>
        <v>483.30469021457634</v>
      </c>
      <c r="S116" s="87">
        <f>IF(S25=0,0,1000000*S25/TrRoad_act!S65)</f>
        <v>502.65419263832058</v>
      </c>
      <c r="T116" s="87">
        <f>IF(T25=0,0,1000000*T25/TrRoad_act!T65)</f>
        <v>515.50066307253792</v>
      </c>
      <c r="U116" s="87">
        <f>IF(U25=0,0,1000000*U25/TrRoad_act!U65)</f>
        <v>557.89117116829698</v>
      </c>
      <c r="V116" s="87">
        <f>IF(V25=0,0,1000000*V25/TrRoad_act!V65)</f>
        <v>447.61156091125315</v>
      </c>
      <c r="W116" s="87">
        <f>IF(W25=0,0,1000000*W25/TrRoad_act!W65)</f>
        <v>464.50674023232472</v>
      </c>
      <c r="X116" s="87">
        <f>IF(X25=0,0,1000000*X25/TrRoad_act!X65)</f>
        <v>439.36011701719701</v>
      </c>
      <c r="Y116" s="87">
        <f>IF(Y25=0,0,1000000*Y25/TrRoad_act!Y65)</f>
        <v>400.60494952283801</v>
      </c>
      <c r="DA116" s="171" t="s">
        <v>819</v>
      </c>
    </row>
    <row r="117" spans="1:105" ht="11.45" customHeight="1" x14ac:dyDescent="0.25">
      <c r="A117" s="111" t="s">
        <v>115</v>
      </c>
      <c r="B117" s="87">
        <f>IF(B26=0,0,1000000*B26/TrRoad_act!B66)</f>
        <v>0</v>
      </c>
      <c r="C117" s="87">
        <f>IF(C26=0,0,1000000*C26/TrRoad_act!C66)</f>
        <v>0</v>
      </c>
      <c r="D117" s="87">
        <f>IF(D26=0,0,1000000*D26/TrRoad_act!D66)</f>
        <v>0</v>
      </c>
      <c r="E117" s="87">
        <f>IF(E26=0,0,1000000*E26/TrRoad_act!E66)</f>
        <v>0</v>
      </c>
      <c r="F117" s="87">
        <f>IF(F26=0,0,1000000*F26/TrRoad_act!F66)</f>
        <v>0</v>
      </c>
      <c r="G117" s="87">
        <f>IF(G26=0,0,1000000*G26/TrRoad_act!G66)</f>
        <v>0</v>
      </c>
      <c r="H117" s="87">
        <f>IF(H26=0,0,1000000*H26/TrRoad_act!H66)</f>
        <v>0</v>
      </c>
      <c r="I117" s="87">
        <f>IF(I26=0,0,1000000*I26/TrRoad_act!I66)</f>
        <v>0</v>
      </c>
      <c r="J117" s="87">
        <f>IF(J26=0,0,1000000*J26/TrRoad_act!J66)</f>
        <v>0</v>
      </c>
      <c r="K117" s="87">
        <f>IF(K26=0,0,1000000*K26/TrRoad_act!K66)</f>
        <v>0</v>
      </c>
      <c r="L117" s="87">
        <f>IF(L26=0,0,1000000*L26/TrRoad_act!L66)</f>
        <v>0</v>
      </c>
      <c r="M117" s="87">
        <f>IF(M26=0,0,1000000*M26/TrRoad_act!M66)</f>
        <v>0</v>
      </c>
      <c r="N117" s="87">
        <f>IF(N26=0,0,1000000*N26/TrRoad_act!N66)</f>
        <v>0</v>
      </c>
      <c r="O117" s="87">
        <f>IF(O26=0,0,1000000*O26/TrRoad_act!O66)</f>
        <v>0</v>
      </c>
      <c r="P117" s="87">
        <f>IF(P26=0,0,1000000*P26/TrRoad_act!P66)</f>
        <v>0</v>
      </c>
      <c r="Q117" s="87">
        <f>IF(Q26=0,0,1000000*Q26/TrRoad_act!Q66)</f>
        <v>0</v>
      </c>
      <c r="R117" s="87">
        <f>IF(R26=0,0,1000000*R26/TrRoad_act!R66)</f>
        <v>0</v>
      </c>
      <c r="S117" s="87">
        <f>IF(S26=0,0,1000000*S26/TrRoad_act!S66)</f>
        <v>0</v>
      </c>
      <c r="T117" s="87">
        <f>IF(T26=0,0,1000000*T26/TrRoad_act!T66)</f>
        <v>0</v>
      </c>
      <c r="U117" s="87">
        <f>IF(U26=0,0,1000000*U26/TrRoad_act!U66)</f>
        <v>0</v>
      </c>
      <c r="V117" s="87">
        <f>IF(V26=0,0,1000000*V26/TrRoad_act!V66)</f>
        <v>0</v>
      </c>
      <c r="W117" s="87">
        <f>IF(W26=0,0,1000000*W26/TrRoad_act!W66)</f>
        <v>0</v>
      </c>
      <c r="X117" s="87">
        <f>IF(X26=0,0,1000000*X26/TrRoad_act!X66)</f>
        <v>0</v>
      </c>
      <c r="Y117" s="87">
        <f>IF(Y26=0,0,1000000*Y26/TrRoad_act!Y66)</f>
        <v>0</v>
      </c>
      <c r="DA117" s="171" t="s">
        <v>820</v>
      </c>
    </row>
    <row r="118" spans="1:105" ht="11.45" customHeight="1" x14ac:dyDescent="0.25">
      <c r="A118" s="109" t="s">
        <v>21</v>
      </c>
      <c r="B118" s="116">
        <f>IF(B27=0,0,1000000*B27/TrRoad_act!B67)</f>
        <v>66549.255471609853</v>
      </c>
      <c r="C118" s="116">
        <f>IF(C27=0,0,1000000*C27/TrRoad_act!C67)</f>
        <v>64498.206196745115</v>
      </c>
      <c r="D118" s="116">
        <f>IF(D27=0,0,1000000*D27/TrRoad_act!D67)</f>
        <v>62640.207949444863</v>
      </c>
      <c r="E118" s="116">
        <f>IF(E27=0,0,1000000*E27/TrRoad_act!E67)</f>
        <v>62927.072432822322</v>
      </c>
      <c r="F118" s="116">
        <f>IF(F27=0,0,1000000*F27/TrRoad_act!F67)</f>
        <v>63397.184652193988</v>
      </c>
      <c r="G118" s="116">
        <f>IF(G27=0,0,1000000*G27/TrRoad_act!G67)</f>
        <v>61478.036851796307</v>
      </c>
      <c r="H118" s="116">
        <f>IF(H27=0,0,1000000*H27/TrRoad_act!H67)</f>
        <v>61778.805740056072</v>
      </c>
      <c r="I118" s="116">
        <f>IF(I27=0,0,1000000*I27/TrRoad_act!I67)</f>
        <v>62360.307578754197</v>
      </c>
      <c r="J118" s="116">
        <f>IF(J27=0,0,1000000*J27/TrRoad_act!J67)</f>
        <v>60288.942510774083</v>
      </c>
      <c r="K118" s="116">
        <f>IF(K27=0,0,1000000*K27/TrRoad_act!K67)</f>
        <v>58084.806475291574</v>
      </c>
      <c r="L118" s="116">
        <f>IF(L27=0,0,1000000*L27/TrRoad_act!L67)</f>
        <v>56681.988057496776</v>
      </c>
      <c r="M118" s="116">
        <f>IF(M27=0,0,1000000*M27/TrRoad_act!M67)</f>
        <v>55646.230683501999</v>
      </c>
      <c r="N118" s="116">
        <f>IF(N27=0,0,1000000*N27/TrRoad_act!N67)</f>
        <v>53098.461588496648</v>
      </c>
      <c r="O118" s="116">
        <f>IF(O27=0,0,1000000*O27/TrRoad_act!O67)</f>
        <v>55181.289007518149</v>
      </c>
      <c r="P118" s="116">
        <f>IF(P27=0,0,1000000*P27/TrRoad_act!P67)</f>
        <v>54476.203533649663</v>
      </c>
      <c r="Q118" s="116">
        <f>IF(Q27=0,0,1000000*Q27/TrRoad_act!Q67)</f>
        <v>54223.695195902415</v>
      </c>
      <c r="R118" s="116">
        <f>IF(R27=0,0,1000000*R27/TrRoad_act!R67)</f>
        <v>53178.318730201907</v>
      </c>
      <c r="S118" s="116">
        <f>IF(S27=0,0,1000000*S27/TrRoad_act!S67)</f>
        <v>45953.909882875552</v>
      </c>
      <c r="T118" s="116">
        <f>IF(T27=0,0,1000000*T27/TrRoad_act!T67)</f>
        <v>44492.754908095136</v>
      </c>
      <c r="U118" s="116">
        <f>IF(U27=0,0,1000000*U27/TrRoad_act!U67)</f>
        <v>44685.661745728743</v>
      </c>
      <c r="V118" s="116">
        <f>IF(V27=0,0,1000000*V27/TrRoad_act!V67)</f>
        <v>32213.239459723649</v>
      </c>
      <c r="W118" s="116">
        <f>IF(W27=0,0,1000000*W27/TrRoad_act!W67)</f>
        <v>40285.241362047091</v>
      </c>
      <c r="X118" s="116">
        <f>IF(X27=0,0,1000000*X27/TrRoad_act!X67)</f>
        <v>44839.149666233941</v>
      </c>
      <c r="Y118" s="116">
        <f>IF(Y27=0,0,1000000*Y27/TrRoad_act!Y67)</f>
        <v>47881.643466011003</v>
      </c>
      <c r="DA118" s="176" t="s">
        <v>821</v>
      </c>
    </row>
    <row r="119" spans="1:105" ht="11.45" customHeight="1" x14ac:dyDescent="0.25">
      <c r="A119" s="111" t="s">
        <v>110</v>
      </c>
      <c r="B119" s="101">
        <f>IF(B28=0,0,1000000*B28/TrRoad_act!B68)</f>
        <v>11015.084580039264</v>
      </c>
      <c r="C119" s="101">
        <f>IF(C28=0,0,1000000*C28/TrRoad_act!C68)</f>
        <v>10773.752313068451</v>
      </c>
      <c r="D119" s="101">
        <f>IF(D28=0,0,1000000*D28/TrRoad_act!D68)</f>
        <v>10243.558641202791</v>
      </c>
      <c r="E119" s="101">
        <f>IF(E28=0,0,1000000*E28/TrRoad_act!E68)</f>
        <v>10301.840261670757</v>
      </c>
      <c r="F119" s="101">
        <f>IF(F28=0,0,1000000*F28/TrRoad_act!F68)</f>
        <v>10428.520670179107</v>
      </c>
      <c r="G119" s="101">
        <f>IF(G28=0,0,1000000*G28/TrRoad_act!G68)</f>
        <v>10122.230029504019</v>
      </c>
      <c r="H119" s="101">
        <f>IF(H28=0,0,1000000*H28/TrRoad_act!H68)</f>
        <v>10101.279845181769</v>
      </c>
      <c r="I119" s="101">
        <f>IF(I28=0,0,1000000*I28/TrRoad_act!I68)</f>
        <v>10106.976350889448</v>
      </c>
      <c r="J119" s="101">
        <f>IF(J28=0,0,1000000*J28/TrRoad_act!J68)</f>
        <v>9851.6241661115091</v>
      </c>
      <c r="K119" s="101">
        <f>IF(K28=0,0,1000000*K28/TrRoad_act!K68)</f>
        <v>9471.9398522074061</v>
      </c>
      <c r="L119" s="101">
        <f>IF(L28=0,0,1000000*L28/TrRoad_act!L68)</f>
        <v>9059.847544275277</v>
      </c>
      <c r="M119" s="101">
        <f>IF(M28=0,0,1000000*M28/TrRoad_act!M68)</f>
        <v>8870.7417651626547</v>
      </c>
      <c r="N119" s="101">
        <f>IF(N28=0,0,1000000*N28/TrRoad_act!N68)</f>
        <v>8654.1653249891933</v>
      </c>
      <c r="O119" s="101">
        <f>IF(O28=0,0,1000000*O28/TrRoad_act!O68)</f>
        <v>8384.1239801801457</v>
      </c>
      <c r="P119" s="101">
        <f>IF(P28=0,0,1000000*P28/TrRoad_act!P68)</f>
        <v>8043.6404539379364</v>
      </c>
      <c r="Q119" s="101">
        <f>IF(Q28=0,0,1000000*Q28/TrRoad_act!Q68)</f>
        <v>8233.073937295756</v>
      </c>
      <c r="R119" s="101">
        <f>IF(R28=0,0,1000000*R28/TrRoad_act!R68)</f>
        <v>8110.0687782153627</v>
      </c>
      <c r="S119" s="101">
        <f>IF(S28=0,0,1000000*S28/TrRoad_act!S68)</f>
        <v>6928.6792117913528</v>
      </c>
      <c r="T119" s="101">
        <f>IF(T28=0,0,1000000*T28/TrRoad_act!T68)</f>
        <v>6950.5123537956342</v>
      </c>
      <c r="U119" s="101">
        <f>IF(U28=0,0,1000000*U28/TrRoad_act!U68)</f>
        <v>7035.3068422372553</v>
      </c>
      <c r="V119" s="101">
        <f>IF(V28=0,0,1000000*V28/TrRoad_act!V68)</f>
        <v>4647.3696830045028</v>
      </c>
      <c r="W119" s="101">
        <f>IF(W28=0,0,1000000*W28/TrRoad_act!W68)</f>
        <v>5762.5360335136247</v>
      </c>
      <c r="X119" s="101">
        <f>IF(X28=0,0,1000000*X28/TrRoad_act!X68)</f>
        <v>6352.8969361469917</v>
      </c>
      <c r="Y119" s="101">
        <f>IF(Y28=0,0,1000000*Y28/TrRoad_act!Y68)</f>
        <v>6847.9931903031902</v>
      </c>
      <c r="DA119" s="175" t="s">
        <v>822</v>
      </c>
    </row>
    <row r="120" spans="1:105" ht="11.45" customHeight="1" x14ac:dyDescent="0.25">
      <c r="A120" s="111" t="s">
        <v>111</v>
      </c>
      <c r="B120" s="101">
        <f>IF(B29=0,0,1000000*B29/TrRoad_act!B69)</f>
        <v>67395.520468153903</v>
      </c>
      <c r="C120" s="101">
        <f>IF(C29=0,0,1000000*C29/TrRoad_act!C69)</f>
        <v>65180.596680734649</v>
      </c>
      <c r="D120" s="101">
        <f>IF(D29=0,0,1000000*D29/TrRoad_act!D69)</f>
        <v>63069.153570757415</v>
      </c>
      <c r="E120" s="101">
        <f>IF(E29=0,0,1000000*E29/TrRoad_act!E69)</f>
        <v>63439.88825615299</v>
      </c>
      <c r="F120" s="101">
        <f>IF(F29=0,0,1000000*F29/TrRoad_act!F69)</f>
        <v>63869.863106610203</v>
      </c>
      <c r="G120" s="101">
        <f>IF(G29=0,0,1000000*G29/TrRoad_act!G69)</f>
        <v>61785.995227539352</v>
      </c>
      <c r="H120" s="101">
        <f>IF(H29=0,0,1000000*H29/TrRoad_act!H69)</f>
        <v>62002.827891261564</v>
      </c>
      <c r="I120" s="101">
        <f>IF(I29=0,0,1000000*I29/TrRoad_act!I69)</f>
        <v>62291.235799975948</v>
      </c>
      <c r="J120" s="101">
        <f>IF(J29=0,0,1000000*J29/TrRoad_act!J69)</f>
        <v>60044.588352668979</v>
      </c>
      <c r="K120" s="101">
        <f>IF(K29=0,0,1000000*K29/TrRoad_act!K69)</f>
        <v>57473.265006377347</v>
      </c>
      <c r="L120" s="101">
        <f>IF(L29=0,0,1000000*L29/TrRoad_act!L69)</f>
        <v>55505.528252377</v>
      </c>
      <c r="M120" s="101">
        <f>IF(M29=0,0,1000000*M29/TrRoad_act!M69)</f>
        <v>54238.76249121275</v>
      </c>
      <c r="N120" s="101">
        <f>IF(N29=0,0,1000000*N29/TrRoad_act!N69)</f>
        <v>51542.258745692394</v>
      </c>
      <c r="O120" s="101">
        <f>IF(O29=0,0,1000000*O29/TrRoad_act!O69)</f>
        <v>53433.570915381613</v>
      </c>
      <c r="P120" s="101">
        <f>IF(P29=0,0,1000000*P29/TrRoad_act!P69)</f>
        <v>52439.413406975043</v>
      </c>
      <c r="Q120" s="101">
        <f>IF(Q29=0,0,1000000*Q29/TrRoad_act!Q69)</f>
        <v>53083.17674490947</v>
      </c>
      <c r="R120" s="101">
        <f>IF(R29=0,0,1000000*R29/TrRoad_act!R69)</f>
        <v>51459.654146019551</v>
      </c>
      <c r="S120" s="101">
        <f>IF(S29=0,0,1000000*S29/TrRoad_act!S69)</f>
        <v>42487.163527392942</v>
      </c>
      <c r="T120" s="101">
        <f>IF(T29=0,0,1000000*T29/TrRoad_act!T69)</f>
        <v>41606.02534961194</v>
      </c>
      <c r="U120" s="101">
        <f>IF(U29=0,0,1000000*U29/TrRoad_act!U69)</f>
        <v>40867.154281651492</v>
      </c>
      <c r="V120" s="101">
        <f>IF(V29=0,0,1000000*V29/TrRoad_act!V69)</f>
        <v>26718.423597698464</v>
      </c>
      <c r="W120" s="101">
        <f>IF(W29=0,0,1000000*W29/TrRoad_act!W69)</f>
        <v>33509.71054768817</v>
      </c>
      <c r="X120" s="101">
        <f>IF(X29=0,0,1000000*X29/TrRoad_act!X69)</f>
        <v>37533.64101525009</v>
      </c>
      <c r="Y120" s="101">
        <f>IF(Y29=0,0,1000000*Y29/TrRoad_act!Y69)</f>
        <v>39799.263232528036</v>
      </c>
      <c r="DA120" s="175" t="s">
        <v>823</v>
      </c>
    </row>
    <row r="121" spans="1:105" ht="11.45" customHeight="1" x14ac:dyDescent="0.25">
      <c r="A121" s="111" t="s">
        <v>112</v>
      </c>
      <c r="B121" s="101">
        <f>IF(B30=0,0,1000000*B30/TrRoad_act!B70)</f>
        <v>0</v>
      </c>
      <c r="C121" s="101">
        <f>IF(C30=0,0,1000000*C30/TrRoad_act!C70)</f>
        <v>0</v>
      </c>
      <c r="D121" s="101">
        <f>IF(D30=0,0,1000000*D30/TrRoad_act!D70)</f>
        <v>0</v>
      </c>
      <c r="E121" s="101">
        <f>IF(E30=0,0,1000000*E30/TrRoad_act!E70)</f>
        <v>0</v>
      </c>
      <c r="F121" s="101">
        <f>IF(F30=0,0,1000000*F30/TrRoad_act!F70)</f>
        <v>0</v>
      </c>
      <c r="G121" s="101">
        <f>IF(G30=0,0,1000000*G30/TrRoad_act!G70)</f>
        <v>0</v>
      </c>
      <c r="H121" s="101">
        <f>IF(H30=0,0,1000000*H30/TrRoad_act!H70)</f>
        <v>0</v>
      </c>
      <c r="I121" s="101">
        <f>IF(I30=0,0,1000000*I30/TrRoad_act!I70)</f>
        <v>0</v>
      </c>
      <c r="J121" s="101">
        <f>IF(J30=0,0,1000000*J30/TrRoad_act!J70)</f>
        <v>0</v>
      </c>
      <c r="K121" s="101">
        <f>IF(K30=0,0,1000000*K30/TrRoad_act!K70)</f>
        <v>0</v>
      </c>
      <c r="L121" s="101">
        <f>IF(L30=0,0,1000000*L30/TrRoad_act!L70)</f>
        <v>0</v>
      </c>
      <c r="M121" s="101">
        <f>IF(M30=0,0,1000000*M30/TrRoad_act!M70)</f>
        <v>0</v>
      </c>
      <c r="N121" s="101">
        <f>IF(N30=0,0,1000000*N30/TrRoad_act!N70)</f>
        <v>0</v>
      </c>
      <c r="O121" s="101">
        <f>IF(O30=0,0,1000000*O30/TrRoad_act!O70)</f>
        <v>0</v>
      </c>
      <c r="P121" s="101">
        <f>IF(P30=0,0,1000000*P30/TrRoad_act!P70)</f>
        <v>23217.948525110587</v>
      </c>
      <c r="Q121" s="101">
        <f>IF(Q30=0,0,1000000*Q30/TrRoad_act!Q70)</f>
        <v>24191.769860157645</v>
      </c>
      <c r="R121" s="101">
        <f>IF(R30=0,0,1000000*R30/TrRoad_act!R70)</f>
        <v>23369.595688859314</v>
      </c>
      <c r="S121" s="101">
        <f>IF(S30=0,0,1000000*S30/TrRoad_act!S70)</f>
        <v>20093.331011103422</v>
      </c>
      <c r="T121" s="101">
        <f>IF(T30=0,0,1000000*T30/TrRoad_act!T70)</f>
        <v>20272.909663401271</v>
      </c>
      <c r="U121" s="101">
        <f>IF(U30=0,0,1000000*U30/TrRoad_act!U70)</f>
        <v>20463.001118763317</v>
      </c>
      <c r="V121" s="101">
        <f>IF(V30=0,0,1000000*V30/TrRoad_act!V70)</f>
        <v>13519.598869947009</v>
      </c>
      <c r="W121" s="101">
        <f>IF(W30=0,0,1000000*W30/TrRoad_act!W70)</f>
        <v>17158.153139495305</v>
      </c>
      <c r="X121" s="101">
        <f>IF(X30=0,0,1000000*X30/TrRoad_act!X70)</f>
        <v>19372.372094108461</v>
      </c>
      <c r="Y121" s="101">
        <f>IF(Y30=0,0,1000000*Y30/TrRoad_act!Y70)</f>
        <v>21546.591837781707</v>
      </c>
      <c r="DA121" s="175" t="s">
        <v>824</v>
      </c>
    </row>
    <row r="122" spans="1:105" ht="11.45" customHeight="1" x14ac:dyDescent="0.25">
      <c r="A122" s="111" t="s">
        <v>113</v>
      </c>
      <c r="B122" s="101">
        <f>IF(B31=0,0,1000000*B31/TrRoad_act!B71)</f>
        <v>135798.94862068965</v>
      </c>
      <c r="C122" s="101">
        <f>IF(C31=0,0,1000000*C31/TrRoad_act!C71)</f>
        <v>197605.67275862067</v>
      </c>
      <c r="D122" s="101">
        <f>IF(D31=0,0,1000000*D31/TrRoad_act!D71)</f>
        <v>3849837.2550000004</v>
      </c>
      <c r="E122" s="101">
        <f>IF(E31=0,0,1000000*E31/TrRoad_act!E71)</f>
        <v>197929.39404255315</v>
      </c>
      <c r="F122" s="101">
        <f>IF(F31=0,0,1000000*F31/TrRoad_act!F71)</f>
        <v>173395.72466393656</v>
      </c>
      <c r="G122" s="101">
        <f>IF(G31=0,0,1000000*G31/TrRoad_act!G71)</f>
        <v>167853.03648887278</v>
      </c>
      <c r="H122" s="101">
        <f>IF(H31=0,0,1000000*H31/TrRoad_act!H71)</f>
        <v>170004.40749543358</v>
      </c>
      <c r="I122" s="101">
        <f>IF(I31=0,0,1000000*I31/TrRoad_act!I71)</f>
        <v>204028.20606821138</v>
      </c>
      <c r="J122" s="101">
        <f>IF(J31=0,0,1000000*J31/TrRoad_act!J71)</f>
        <v>226848.88533808195</v>
      </c>
      <c r="K122" s="101">
        <f>IF(K31=0,0,1000000*K31/TrRoad_act!K71)</f>
        <v>270826.65538010793</v>
      </c>
      <c r="L122" s="101">
        <f>IF(L31=0,0,1000000*L31/TrRoad_act!L71)</f>
        <v>353393.63966741378</v>
      </c>
      <c r="M122" s="101">
        <f>IF(M31=0,0,1000000*M31/TrRoad_act!M71)</f>
        <v>384775.12110587896</v>
      </c>
      <c r="N122" s="101">
        <f>IF(N31=0,0,1000000*N31/TrRoad_act!N71)</f>
        <v>395295.72616748064</v>
      </c>
      <c r="O122" s="101">
        <f>IF(O31=0,0,1000000*O31/TrRoad_act!O71)</f>
        <v>441020.51585741114</v>
      </c>
      <c r="P122" s="101">
        <f>IF(P31=0,0,1000000*P31/TrRoad_act!P71)</f>
        <v>532342.34744948579</v>
      </c>
      <c r="Q122" s="101">
        <f>IF(Q31=0,0,1000000*Q31/TrRoad_act!Q71)</f>
        <v>128052.75224712703</v>
      </c>
      <c r="R122" s="101">
        <f>IF(R31=0,0,1000000*R31/TrRoad_act!R71)</f>
        <v>134683.65830674421</v>
      </c>
      <c r="S122" s="101">
        <f>IF(S31=0,0,1000000*S31/TrRoad_act!S71)</f>
        <v>135176.68506227821</v>
      </c>
      <c r="T122" s="101">
        <f>IF(T31=0,0,1000000*T31/TrRoad_act!T71)</f>
        <v>109785.19384711659</v>
      </c>
      <c r="U122" s="101">
        <f>IF(U31=0,0,1000000*U31/TrRoad_act!U71)</f>
        <v>110616.83684127891</v>
      </c>
      <c r="V122" s="101">
        <f>IF(V31=0,0,1000000*V31/TrRoad_act!V71)</f>
        <v>104026.20464571206</v>
      </c>
      <c r="W122" s="101">
        <f>IF(W31=0,0,1000000*W31/TrRoad_act!W71)</f>
        <v>129206.89015023391</v>
      </c>
      <c r="X122" s="101">
        <f>IF(X31=0,0,1000000*X31/TrRoad_act!X71)</f>
        <v>144665.3950743117</v>
      </c>
      <c r="Y122" s="101">
        <f>IF(Y31=0,0,1000000*Y31/TrRoad_act!Y71)</f>
        <v>162714.28370980814</v>
      </c>
      <c r="DA122" s="175" t="s">
        <v>825</v>
      </c>
    </row>
    <row r="123" spans="1:105" ht="11.45" customHeight="1" x14ac:dyDescent="0.25">
      <c r="A123" s="111" t="s">
        <v>115</v>
      </c>
      <c r="B123" s="101">
        <f>IF(B32=0,0,1000000*B32/TrRoad_act!B72)</f>
        <v>0</v>
      </c>
      <c r="C123" s="101">
        <f>IF(C32=0,0,1000000*C32/TrRoad_act!C72)</f>
        <v>0</v>
      </c>
      <c r="D123" s="101">
        <f>IF(D32=0,0,1000000*D32/TrRoad_act!D72)</f>
        <v>0</v>
      </c>
      <c r="E123" s="101">
        <f>IF(E32=0,0,1000000*E32/TrRoad_act!E72)</f>
        <v>0</v>
      </c>
      <c r="F123" s="101">
        <f>IF(F32=0,0,1000000*F32/TrRoad_act!F72)</f>
        <v>0</v>
      </c>
      <c r="G123" s="101">
        <f>IF(G32=0,0,1000000*G32/TrRoad_act!G72)</f>
        <v>0</v>
      </c>
      <c r="H123" s="101">
        <f>IF(H32=0,0,1000000*H32/TrRoad_act!H72)</f>
        <v>0</v>
      </c>
      <c r="I123" s="101">
        <f>IF(I32=0,0,1000000*I32/TrRoad_act!I72)</f>
        <v>0</v>
      </c>
      <c r="J123" s="101">
        <f>IF(J32=0,0,1000000*J32/TrRoad_act!J72)</f>
        <v>0</v>
      </c>
      <c r="K123" s="101">
        <f>IF(K32=0,0,1000000*K32/TrRoad_act!K72)</f>
        <v>0</v>
      </c>
      <c r="L123" s="101">
        <f>IF(L32=0,0,1000000*L32/TrRoad_act!L72)</f>
        <v>0</v>
      </c>
      <c r="M123" s="101">
        <f>IF(M32=0,0,1000000*M32/TrRoad_act!M72)</f>
        <v>0</v>
      </c>
      <c r="N123" s="101">
        <f>IF(N32=0,0,1000000*N32/TrRoad_act!N72)</f>
        <v>0</v>
      </c>
      <c r="O123" s="101">
        <f>IF(O32=0,0,1000000*O32/TrRoad_act!O72)</f>
        <v>0</v>
      </c>
      <c r="P123" s="101">
        <f>IF(P32=0,0,1000000*P32/TrRoad_act!P72)</f>
        <v>0</v>
      </c>
      <c r="Q123" s="101">
        <f>IF(Q32=0,0,1000000*Q32/TrRoad_act!Q72)</f>
        <v>0</v>
      </c>
      <c r="R123" s="101">
        <f>IF(R32=0,0,1000000*R32/TrRoad_act!R72)</f>
        <v>0</v>
      </c>
      <c r="S123" s="101">
        <f>IF(S32=0,0,1000000*S32/TrRoad_act!S72)</f>
        <v>0</v>
      </c>
      <c r="T123" s="101">
        <f>IF(T32=0,0,1000000*T32/TrRoad_act!T72)</f>
        <v>0</v>
      </c>
      <c r="U123" s="101">
        <f>IF(U32=0,0,1000000*U32/TrRoad_act!U72)</f>
        <v>0</v>
      </c>
      <c r="V123" s="101">
        <f>IF(V32=0,0,1000000*V32/TrRoad_act!V72)</f>
        <v>0</v>
      </c>
      <c r="W123" s="101">
        <f>IF(W32=0,0,1000000*W32/TrRoad_act!W72)</f>
        <v>0</v>
      </c>
      <c r="X123" s="101">
        <f>IF(X32=0,0,1000000*X32/TrRoad_act!X72)</f>
        <v>0</v>
      </c>
      <c r="Y123" s="101">
        <f>IF(Y32=0,0,1000000*Y32/TrRoad_act!Y72)</f>
        <v>0</v>
      </c>
      <c r="DA123" s="175" t="s">
        <v>826</v>
      </c>
    </row>
    <row r="124" spans="1:105" ht="11.45" customHeight="1" x14ac:dyDescent="0.25">
      <c r="A124" s="27" t="s">
        <v>34</v>
      </c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DA124" s="173"/>
    </row>
    <row r="125" spans="1:105" ht="11.45" customHeight="1" x14ac:dyDescent="0.25">
      <c r="A125" s="136" t="s">
        <v>153</v>
      </c>
      <c r="B125" s="152">
        <f>IF(B34=0,0,1000000*B34/TrRoad_act!B74)</f>
        <v>2937.3483300729872</v>
      </c>
      <c r="C125" s="152">
        <f>IF(C34=0,0,1000000*C34/TrRoad_act!C74)</f>
        <v>3391.8251604526886</v>
      </c>
      <c r="D125" s="152">
        <f>IF(D34=0,0,1000000*D34/TrRoad_act!D74)</f>
        <v>3127.3857167513524</v>
      </c>
      <c r="E125" s="152">
        <f>IF(E34=0,0,1000000*E34/TrRoad_act!E74)</f>
        <v>3186.2457872921759</v>
      </c>
      <c r="F125" s="152">
        <f>IF(F34=0,0,1000000*F34/TrRoad_act!F74)</f>
        <v>3000.3638691486658</v>
      </c>
      <c r="G125" s="152">
        <f>IF(G34=0,0,1000000*G34/TrRoad_act!G74)</f>
        <v>2657.1270501055787</v>
      </c>
      <c r="H125" s="152">
        <f>IF(H34=0,0,1000000*H34/TrRoad_act!H74)</f>
        <v>2726.505434715009</v>
      </c>
      <c r="I125" s="152">
        <f>IF(I34=0,0,1000000*I34/TrRoad_act!I74)</f>
        <v>2534.0496804476029</v>
      </c>
      <c r="J125" s="152">
        <f>IF(J34=0,0,1000000*J34/TrRoad_act!J74)</f>
        <v>2451.0890239935661</v>
      </c>
      <c r="K125" s="152">
        <f>IF(K34=0,0,1000000*K34/TrRoad_act!K74)</f>
        <v>2370.4246309802284</v>
      </c>
      <c r="L125" s="152">
        <f>IF(L34=0,0,1000000*L34/TrRoad_act!L74)</f>
        <v>2430.4665512223164</v>
      </c>
      <c r="M125" s="152">
        <f>IF(M34=0,0,1000000*M34/TrRoad_act!M74)</f>
        <v>2451.930220415838</v>
      </c>
      <c r="N125" s="152">
        <f>IF(N34=0,0,1000000*N34/TrRoad_act!N74)</f>
        <v>2389.9516287197484</v>
      </c>
      <c r="O125" s="152">
        <f>IF(O34=0,0,1000000*O34/TrRoad_act!O74)</f>
        <v>2617.25054874123</v>
      </c>
      <c r="P125" s="152">
        <f>IF(P34=0,0,1000000*P34/TrRoad_act!P74)</f>
        <v>2448.5603832609745</v>
      </c>
      <c r="Q125" s="152">
        <f>IF(Q34=0,0,1000000*Q34/TrRoad_act!Q74)</f>
        <v>2301.9919302275525</v>
      </c>
      <c r="R125" s="152">
        <f>IF(R34=0,0,1000000*R34/TrRoad_act!R74)</f>
        <v>2249.3126497909684</v>
      </c>
      <c r="S125" s="152">
        <f>IF(S34=0,0,1000000*S34/TrRoad_act!S74)</f>
        <v>2351.8244118980247</v>
      </c>
      <c r="T125" s="152">
        <f>IF(T34=0,0,1000000*T34/TrRoad_act!T74)</f>
        <v>2306.8477185986239</v>
      </c>
      <c r="U125" s="152">
        <f>IF(U34=0,0,1000000*U34/TrRoad_act!U74)</f>
        <v>2294.8445538680585</v>
      </c>
      <c r="V125" s="152">
        <f>IF(V34=0,0,1000000*V34/TrRoad_act!V74)</f>
        <v>1503.4971710870504</v>
      </c>
      <c r="W125" s="152">
        <f>IF(W34=0,0,1000000*W34/TrRoad_act!W74)</f>
        <v>2196.7990123131658</v>
      </c>
      <c r="X125" s="152">
        <f>IF(X34=0,0,1000000*X34/TrRoad_act!X74)</f>
        <v>2376.1038687091327</v>
      </c>
      <c r="Y125" s="152">
        <f>IF(Y34=0,0,1000000*Y34/TrRoad_act!Y74)</f>
        <v>2251.2075589899455</v>
      </c>
      <c r="DA125" s="174" t="s">
        <v>827</v>
      </c>
    </row>
    <row r="126" spans="1:105" ht="11.45" customHeight="1" x14ac:dyDescent="0.25">
      <c r="A126" s="111" t="s">
        <v>110</v>
      </c>
      <c r="B126" s="87">
        <f>IF(B35=0,0,1000000*B35/TrRoad_act!B75)</f>
        <v>2264.4050834096847</v>
      </c>
      <c r="C126" s="87">
        <f>IF(C35=0,0,1000000*C35/TrRoad_act!C75)</f>
        <v>2611.6028201172498</v>
      </c>
      <c r="D126" s="87">
        <f>IF(D35=0,0,1000000*D35/TrRoad_act!D75)</f>
        <v>2565.415202618331</v>
      </c>
      <c r="E126" s="87">
        <f>IF(E35=0,0,1000000*E35/TrRoad_act!E75)</f>
        <v>2674.7547333358766</v>
      </c>
      <c r="F126" s="87">
        <f>IF(F35=0,0,1000000*F35/TrRoad_act!F75)</f>
        <v>2602.5795385819119</v>
      </c>
      <c r="G126" s="87">
        <f>IF(G35=0,0,1000000*G35/TrRoad_act!G75)</f>
        <v>2304.1134073780522</v>
      </c>
      <c r="H126" s="87">
        <f>IF(H35=0,0,1000000*H35/TrRoad_act!H75)</f>
        <v>2364.2909996201383</v>
      </c>
      <c r="I126" s="87">
        <f>IF(I35=0,0,1000000*I35/TrRoad_act!I75)</f>
        <v>2281.033667016095</v>
      </c>
      <c r="J126" s="87">
        <f>IF(J35=0,0,1000000*J35/TrRoad_act!J75)</f>
        <v>2191.7886861549619</v>
      </c>
      <c r="K126" s="87">
        <f>IF(K35=0,0,1000000*K35/TrRoad_act!K75)</f>
        <v>2149.0111887198254</v>
      </c>
      <c r="L126" s="87">
        <f>IF(L35=0,0,1000000*L35/TrRoad_act!L75)</f>
        <v>2148.642172848773</v>
      </c>
      <c r="M126" s="87">
        <f>IF(M35=0,0,1000000*M35/TrRoad_act!M75)</f>
        <v>2083.4066270989579</v>
      </c>
      <c r="N126" s="87">
        <f>IF(N35=0,0,1000000*N35/TrRoad_act!N75)</f>
        <v>1999.8437405784084</v>
      </c>
      <c r="O126" s="87">
        <f>IF(O35=0,0,1000000*O35/TrRoad_act!O75)</f>
        <v>2049.0951557279741</v>
      </c>
      <c r="P126" s="87">
        <f>IF(P35=0,0,1000000*P35/TrRoad_act!P75)</f>
        <v>1917.3795213172411</v>
      </c>
      <c r="Q126" s="87">
        <f>IF(Q35=0,0,1000000*Q35/TrRoad_act!Q75)</f>
        <v>1862.9830141963344</v>
      </c>
      <c r="R126" s="87">
        <f>IF(R35=0,0,1000000*R35/TrRoad_act!R75)</f>
        <v>1831.9330436749553</v>
      </c>
      <c r="S126" s="87">
        <f>IF(S35=0,0,1000000*S35/TrRoad_act!S75)</f>
        <v>1813.3360596658897</v>
      </c>
      <c r="T126" s="87">
        <f>IF(T35=0,0,1000000*T35/TrRoad_act!T75)</f>
        <v>1708.6078358654363</v>
      </c>
      <c r="U126" s="87">
        <f>IF(U35=0,0,1000000*U35/TrRoad_act!U75)</f>
        <v>1752.3209047222074</v>
      </c>
      <c r="V126" s="87">
        <f>IF(V35=0,0,1000000*V35/TrRoad_act!V75)</f>
        <v>1173.3144883772736</v>
      </c>
      <c r="W126" s="87">
        <f>IF(W35=0,0,1000000*W35/TrRoad_act!W75)</f>
        <v>1763.8795072318364</v>
      </c>
      <c r="X126" s="87">
        <f>IF(X35=0,0,1000000*X35/TrRoad_act!X75)</f>
        <v>1814.9569578259038</v>
      </c>
      <c r="Y126" s="87">
        <f>IF(Y35=0,0,1000000*Y35/TrRoad_act!Y75)</f>
        <v>1630.1132206502157</v>
      </c>
      <c r="DA126" s="171" t="s">
        <v>828</v>
      </c>
    </row>
    <row r="127" spans="1:105" ht="11.45" customHeight="1" x14ac:dyDescent="0.25">
      <c r="A127" s="111" t="s">
        <v>111</v>
      </c>
      <c r="B127" s="87">
        <f>IF(B36=0,0,1000000*B36/TrRoad_act!B76)</f>
        <v>3012.9071143512297</v>
      </c>
      <c r="C127" s="87">
        <f>IF(C36=0,0,1000000*C36/TrRoad_act!C76)</f>
        <v>3471.6685448092908</v>
      </c>
      <c r="D127" s="87">
        <f>IF(D36=0,0,1000000*D36/TrRoad_act!D76)</f>
        <v>3169.3348225294803</v>
      </c>
      <c r="E127" s="87">
        <f>IF(E36=0,0,1000000*E36/TrRoad_act!E76)</f>
        <v>3217.3779562156083</v>
      </c>
      <c r="F127" s="87">
        <f>IF(F36=0,0,1000000*F36/TrRoad_act!F76)</f>
        <v>3019.8662125973738</v>
      </c>
      <c r="G127" s="87">
        <f>IF(G36=0,0,1000000*G36/TrRoad_act!G76)</f>
        <v>2671.2811931113488</v>
      </c>
      <c r="H127" s="87">
        <f>IF(H36=0,0,1000000*H36/TrRoad_act!H76)</f>
        <v>2738.5565558745684</v>
      </c>
      <c r="I127" s="87">
        <f>IF(I36=0,0,1000000*I36/TrRoad_act!I76)</f>
        <v>2540.6123039374775</v>
      </c>
      <c r="J127" s="87">
        <f>IF(J36=0,0,1000000*J36/TrRoad_act!J76)</f>
        <v>2457.2417441223233</v>
      </c>
      <c r="K127" s="87">
        <f>IF(K36=0,0,1000000*K36/TrRoad_act!K76)</f>
        <v>2375.8687891220702</v>
      </c>
      <c r="L127" s="87">
        <f>IF(L36=0,0,1000000*L36/TrRoad_act!L76)</f>
        <v>2437.269380879085</v>
      </c>
      <c r="M127" s="87">
        <f>IF(M36=0,0,1000000*M36/TrRoad_act!M76)</f>
        <v>2461.5776612152572</v>
      </c>
      <c r="N127" s="87">
        <f>IF(N36=0,0,1000000*N36/TrRoad_act!N76)</f>
        <v>2401.3288844816902</v>
      </c>
      <c r="O127" s="87">
        <f>IF(O36=0,0,1000000*O36/TrRoad_act!O76)</f>
        <v>2633.4210871165487</v>
      </c>
      <c r="P127" s="87">
        <f>IF(P36=0,0,1000000*P36/TrRoad_act!P76)</f>
        <v>2460.0465483250191</v>
      </c>
      <c r="Q127" s="87">
        <f>IF(Q36=0,0,1000000*Q36/TrRoad_act!Q76)</f>
        <v>2311.5403305391528</v>
      </c>
      <c r="R127" s="87">
        <f>IF(R36=0,0,1000000*R36/TrRoad_act!R76)</f>
        <v>2258.2467339919203</v>
      </c>
      <c r="S127" s="87">
        <f>IF(S36=0,0,1000000*S36/TrRoad_act!S76)</f>
        <v>2364.8151459063429</v>
      </c>
      <c r="T127" s="87">
        <f>IF(T36=0,0,1000000*T36/TrRoad_act!T76)</f>
        <v>2323.8154451709433</v>
      </c>
      <c r="U127" s="87">
        <f>IF(U36=0,0,1000000*U36/TrRoad_act!U76)</f>
        <v>2313.3192586732871</v>
      </c>
      <c r="V127" s="87">
        <f>IF(V36=0,0,1000000*V36/TrRoad_act!V76)</f>
        <v>1515.4933574758109</v>
      </c>
      <c r="W127" s="87">
        <f>IF(W36=0,0,1000000*W36/TrRoad_act!W76)</f>
        <v>2215.4311154915104</v>
      </c>
      <c r="X127" s="87">
        <f>IF(X36=0,0,1000000*X36/TrRoad_act!X76)</f>
        <v>2400.878020068074</v>
      </c>
      <c r="Y127" s="87">
        <f>IF(Y36=0,0,1000000*Y36/TrRoad_act!Y76)</f>
        <v>2280.8076701640603</v>
      </c>
      <c r="DA127" s="171" t="s">
        <v>829</v>
      </c>
    </row>
    <row r="128" spans="1:105" ht="11.45" customHeight="1" x14ac:dyDescent="0.25">
      <c r="A128" s="111" t="s">
        <v>112</v>
      </c>
      <c r="B128" s="87">
        <f>IF(B37=0,0,1000000*B37/TrRoad_act!B77)</f>
        <v>0</v>
      </c>
      <c r="C128" s="87">
        <f>IF(C37=0,0,1000000*C37/TrRoad_act!C77)</f>
        <v>0</v>
      </c>
      <c r="D128" s="87">
        <f>IF(D37=0,0,1000000*D37/TrRoad_act!D77)</f>
        <v>0</v>
      </c>
      <c r="E128" s="87">
        <f>IF(E37=0,0,1000000*E37/TrRoad_act!E77)</f>
        <v>0</v>
      </c>
      <c r="F128" s="87">
        <f>IF(F37=0,0,1000000*F37/TrRoad_act!F77)</f>
        <v>0</v>
      </c>
      <c r="G128" s="87">
        <f>IF(G37=0,0,1000000*G37/TrRoad_act!G77)</f>
        <v>0</v>
      </c>
      <c r="H128" s="87">
        <f>IF(H37=0,0,1000000*H37/TrRoad_act!H77)</f>
        <v>0</v>
      </c>
      <c r="I128" s="87">
        <f>IF(I37=0,0,1000000*I37/TrRoad_act!I77)</f>
        <v>0</v>
      </c>
      <c r="J128" s="87">
        <f>IF(J37=0,0,1000000*J37/TrRoad_act!J77)</f>
        <v>0</v>
      </c>
      <c r="K128" s="87">
        <f>IF(K37=0,0,1000000*K37/TrRoad_act!K77)</f>
        <v>0</v>
      </c>
      <c r="L128" s="87">
        <f>IF(L37=0,0,1000000*L37/TrRoad_act!L77)</f>
        <v>0</v>
      </c>
      <c r="M128" s="87">
        <f>IF(M37=0,0,1000000*M37/TrRoad_act!M77)</f>
        <v>0</v>
      </c>
      <c r="N128" s="87">
        <f>IF(N37=0,0,1000000*N37/TrRoad_act!N77)</f>
        <v>0</v>
      </c>
      <c r="O128" s="87">
        <f>IF(O37=0,0,1000000*O37/TrRoad_act!O77)</f>
        <v>3585.6401594947697</v>
      </c>
      <c r="P128" s="87">
        <f>IF(P37=0,0,1000000*P37/TrRoad_act!P77)</f>
        <v>2306.2796626788145</v>
      </c>
      <c r="Q128" s="87">
        <f>IF(Q37=0,0,1000000*Q37/TrRoad_act!Q77)</f>
        <v>2385.7425317647671</v>
      </c>
      <c r="R128" s="87">
        <f>IF(R37=0,0,1000000*R37/TrRoad_act!R77)</f>
        <v>2292.8411624568485</v>
      </c>
      <c r="S128" s="87">
        <f>IF(S37=0,0,1000000*S37/TrRoad_act!S77)</f>
        <v>2180.0077576050385</v>
      </c>
      <c r="T128" s="87">
        <f>IF(T37=0,0,1000000*T37/TrRoad_act!T77)</f>
        <v>1950.1986212770005</v>
      </c>
      <c r="U128" s="87">
        <f>IF(U37=0,0,1000000*U37/TrRoad_act!U77)</f>
        <v>1806.931492362027</v>
      </c>
      <c r="V128" s="87">
        <f>IF(V37=0,0,1000000*V37/TrRoad_act!V77)</f>
        <v>1214.985937400663</v>
      </c>
      <c r="W128" s="87">
        <f>IF(W37=0,0,1000000*W37/TrRoad_act!W77)</f>
        <v>1854.711609702146</v>
      </c>
      <c r="X128" s="87">
        <f>IF(X37=0,0,1000000*X37/TrRoad_act!X77)</f>
        <v>2007.4153181490597</v>
      </c>
      <c r="Y128" s="87">
        <f>IF(Y37=0,0,1000000*Y37/TrRoad_act!Y77)</f>
        <v>1942.3261090506498</v>
      </c>
      <c r="DA128" s="171" t="s">
        <v>830</v>
      </c>
    </row>
    <row r="129" spans="1:105" ht="11.45" customHeight="1" x14ac:dyDescent="0.25">
      <c r="A129" s="111" t="s">
        <v>113</v>
      </c>
      <c r="B129" s="87">
        <f>IF(B38=0,0,1000000*B38/TrRoad_act!B78)</f>
        <v>0</v>
      </c>
      <c r="C129" s="87">
        <f>IF(C38=0,0,1000000*C38/TrRoad_act!C78)</f>
        <v>0</v>
      </c>
      <c r="D129" s="87">
        <f>IF(D38=0,0,1000000*D38/TrRoad_act!D78)</f>
        <v>0</v>
      </c>
      <c r="E129" s="87">
        <f>IF(E38=0,0,1000000*E38/TrRoad_act!E78)</f>
        <v>0</v>
      </c>
      <c r="F129" s="87">
        <f>IF(F38=0,0,1000000*F38/TrRoad_act!F78)</f>
        <v>0</v>
      </c>
      <c r="G129" s="87">
        <f>IF(G38=0,0,1000000*G38/TrRoad_act!G78)</f>
        <v>0</v>
      </c>
      <c r="H129" s="87">
        <f>IF(H38=0,0,1000000*H38/TrRoad_act!H78)</f>
        <v>0</v>
      </c>
      <c r="I129" s="87">
        <f>IF(I38=0,0,1000000*I38/TrRoad_act!I78)</f>
        <v>0</v>
      </c>
      <c r="J129" s="87">
        <f>IF(J38=0,0,1000000*J38/TrRoad_act!J78)</f>
        <v>0</v>
      </c>
      <c r="K129" s="87">
        <f>IF(K38=0,0,1000000*K38/TrRoad_act!K78)</f>
        <v>0</v>
      </c>
      <c r="L129" s="87">
        <f>IF(L38=0,0,1000000*L38/TrRoad_act!L78)</f>
        <v>0</v>
      </c>
      <c r="M129" s="87">
        <f>IF(M38=0,0,1000000*M38/TrRoad_act!M78)</f>
        <v>0</v>
      </c>
      <c r="N129" s="87">
        <f>IF(N38=0,0,1000000*N38/TrRoad_act!N78)</f>
        <v>3695.6140018156129</v>
      </c>
      <c r="O129" s="87">
        <f>IF(O38=0,0,1000000*O38/TrRoad_act!O78)</f>
        <v>3950.8197008467282</v>
      </c>
      <c r="P129" s="87">
        <f>IF(P38=0,0,1000000*P38/TrRoad_act!P78)</f>
        <v>2984.9436772191402</v>
      </c>
      <c r="Q129" s="87">
        <f>IF(Q38=0,0,1000000*Q38/TrRoad_act!Q78)</f>
        <v>2901.3121185497639</v>
      </c>
      <c r="R129" s="87">
        <f>IF(R38=0,0,1000000*R38/TrRoad_act!R78)</f>
        <v>2568.2726907295742</v>
      </c>
      <c r="S129" s="87">
        <f>IF(S38=0,0,1000000*S38/TrRoad_act!S78)</f>
        <v>2562.2946626333019</v>
      </c>
      <c r="T129" s="87">
        <f>IF(T38=0,0,1000000*T38/TrRoad_act!T78)</f>
        <v>2181.7115872132845</v>
      </c>
      <c r="U129" s="87">
        <f>IF(U38=0,0,1000000*U38/TrRoad_act!U78)</f>
        <v>2134.695160850436</v>
      </c>
      <c r="V129" s="87">
        <f>IF(V38=0,0,1000000*V38/TrRoad_act!V78)</f>
        <v>1453.2591495638467</v>
      </c>
      <c r="W129" s="87">
        <f>IF(W38=0,0,1000000*W38/TrRoad_act!W78)</f>
        <v>2231.6575358536106</v>
      </c>
      <c r="X129" s="87">
        <f>IF(X38=0,0,1000000*X38/TrRoad_act!X78)</f>
        <v>2427.0626522227185</v>
      </c>
      <c r="Y129" s="87">
        <f>IF(Y38=0,0,1000000*Y38/TrRoad_act!Y78)</f>
        <v>2376.6821624470413</v>
      </c>
      <c r="DA129" s="171" t="s">
        <v>831</v>
      </c>
    </row>
    <row r="130" spans="1:105" ht="11.45" customHeight="1" x14ac:dyDescent="0.25">
      <c r="A130" s="111" t="s">
        <v>115</v>
      </c>
      <c r="B130" s="87">
        <f>IF(B39=0,0,1000000*B39/TrRoad_act!B79)</f>
        <v>0</v>
      </c>
      <c r="C130" s="87">
        <f>IF(C39=0,0,1000000*C39/TrRoad_act!C79)</f>
        <v>0</v>
      </c>
      <c r="D130" s="87">
        <f>IF(D39=0,0,1000000*D39/TrRoad_act!D79)</f>
        <v>0</v>
      </c>
      <c r="E130" s="87">
        <f>IF(E39=0,0,1000000*E39/TrRoad_act!E79)</f>
        <v>0</v>
      </c>
      <c r="F130" s="87">
        <f>IF(F39=0,0,1000000*F39/TrRoad_act!F79)</f>
        <v>0</v>
      </c>
      <c r="G130" s="87">
        <f>IF(G39=0,0,1000000*G39/TrRoad_act!G79)</f>
        <v>0</v>
      </c>
      <c r="H130" s="87">
        <f>IF(H39=0,0,1000000*H39/TrRoad_act!H79)</f>
        <v>0</v>
      </c>
      <c r="I130" s="87">
        <f>IF(I39=0,0,1000000*I39/TrRoad_act!I79)</f>
        <v>0</v>
      </c>
      <c r="J130" s="87">
        <f>IF(J39=0,0,1000000*J39/TrRoad_act!J79)</f>
        <v>0</v>
      </c>
      <c r="K130" s="87">
        <f>IF(K39=0,0,1000000*K39/TrRoad_act!K79)</f>
        <v>0</v>
      </c>
      <c r="L130" s="87">
        <f>IF(L39=0,0,1000000*L39/TrRoad_act!L79)</f>
        <v>0</v>
      </c>
      <c r="M130" s="87">
        <f>IF(M39=0,0,1000000*M39/TrRoad_act!M79)</f>
        <v>0</v>
      </c>
      <c r="N130" s="87">
        <f>IF(N39=0,0,1000000*N39/TrRoad_act!N79)</f>
        <v>0</v>
      </c>
      <c r="O130" s="87">
        <f>IF(O39=0,0,1000000*O39/TrRoad_act!O79)</f>
        <v>0</v>
      </c>
      <c r="P130" s="87">
        <f>IF(P39=0,0,1000000*P39/TrRoad_act!P79)</f>
        <v>0</v>
      </c>
      <c r="Q130" s="87">
        <f>IF(Q39=0,0,1000000*Q39/TrRoad_act!Q79)</f>
        <v>0</v>
      </c>
      <c r="R130" s="87">
        <f>IF(R39=0,0,1000000*R39/TrRoad_act!R79)</f>
        <v>0</v>
      </c>
      <c r="S130" s="87">
        <f>IF(S39=0,0,1000000*S39/TrRoad_act!S79)</f>
        <v>0</v>
      </c>
      <c r="T130" s="87">
        <f>IF(T39=0,0,1000000*T39/TrRoad_act!T79)</f>
        <v>0</v>
      </c>
      <c r="U130" s="87">
        <f>IF(U39=0,0,1000000*U39/TrRoad_act!U79)</f>
        <v>0</v>
      </c>
      <c r="V130" s="87">
        <f>IF(V39=0,0,1000000*V39/TrRoad_act!V79)</f>
        <v>0</v>
      </c>
      <c r="W130" s="87">
        <f>IF(W39=0,0,1000000*W39/TrRoad_act!W79)</f>
        <v>0</v>
      </c>
      <c r="X130" s="87">
        <f>IF(X39=0,0,1000000*X39/TrRoad_act!X79)</f>
        <v>0</v>
      </c>
      <c r="Y130" s="87">
        <f>IF(Y39=0,0,1000000*Y39/TrRoad_act!Y79)</f>
        <v>0</v>
      </c>
      <c r="DA130" s="171" t="s">
        <v>832</v>
      </c>
    </row>
    <row r="131" spans="1:105" ht="11.45" customHeight="1" x14ac:dyDescent="0.25">
      <c r="A131" s="109" t="s">
        <v>154</v>
      </c>
      <c r="B131" s="116">
        <f>IF(B40=0,0,1000000*B40/TrRoad_act!B80)</f>
        <v>32316.503422613649</v>
      </c>
      <c r="C131" s="116">
        <f>IF(C40=0,0,1000000*C40/TrRoad_act!C80)</f>
        <v>32693.730802770653</v>
      </c>
      <c r="D131" s="116">
        <f>IF(D40=0,0,1000000*D40/TrRoad_act!D80)</f>
        <v>33561.193851420307</v>
      </c>
      <c r="E131" s="116">
        <f>IF(E40=0,0,1000000*E40/TrRoad_act!E80)</f>
        <v>34040.280728377453</v>
      </c>
      <c r="F131" s="116">
        <f>IF(F40=0,0,1000000*F40/TrRoad_act!F80)</f>
        <v>35843.590551693305</v>
      </c>
      <c r="G131" s="116">
        <f>IF(G40=0,0,1000000*G40/TrRoad_act!G80)</f>
        <v>36477.660993389232</v>
      </c>
      <c r="H131" s="116">
        <f>IF(H40=0,0,1000000*H40/TrRoad_act!H80)</f>
        <v>36207.904224755766</v>
      </c>
      <c r="I131" s="116">
        <f>IF(I40=0,0,1000000*I40/TrRoad_act!I80)</f>
        <v>35801.075341877324</v>
      </c>
      <c r="J131" s="116">
        <f>IF(J40=0,0,1000000*J40/TrRoad_act!J80)</f>
        <v>32783.243394866397</v>
      </c>
      <c r="K131" s="116">
        <f>IF(K40=0,0,1000000*K40/TrRoad_act!K80)</f>
        <v>28627.736859526984</v>
      </c>
      <c r="L131" s="116">
        <f>IF(L40=0,0,1000000*L40/TrRoad_act!L80)</f>
        <v>28005.55601411403</v>
      </c>
      <c r="M131" s="116">
        <f>IF(M40=0,0,1000000*M40/TrRoad_act!M80)</f>
        <v>26188.72942643828</v>
      </c>
      <c r="N131" s="116">
        <f>IF(N40=0,0,1000000*N40/TrRoad_act!N80)</f>
        <v>22419.807542636954</v>
      </c>
      <c r="O131" s="116">
        <f>IF(O40=0,0,1000000*O40/TrRoad_act!O80)</f>
        <v>31100.34838340151</v>
      </c>
      <c r="P131" s="116">
        <f>IF(P40=0,0,1000000*P40/TrRoad_act!P80)</f>
        <v>31856.217362597043</v>
      </c>
      <c r="Q131" s="116">
        <f>IF(Q40=0,0,1000000*Q40/TrRoad_act!Q80)</f>
        <v>33256.564534984886</v>
      </c>
      <c r="R131" s="116">
        <f>IF(R40=0,0,1000000*R40/TrRoad_act!R80)</f>
        <v>36154.812525978487</v>
      </c>
      <c r="S131" s="116">
        <f>IF(S40=0,0,1000000*S40/TrRoad_act!S80)</f>
        <v>36491.259171958787</v>
      </c>
      <c r="T131" s="116">
        <f>IF(T40=0,0,1000000*T40/TrRoad_act!T80)</f>
        <v>36533.871513240367</v>
      </c>
      <c r="U131" s="116">
        <f>IF(U40=0,0,1000000*U40/TrRoad_act!U80)</f>
        <v>34108.163453774912</v>
      </c>
      <c r="V131" s="116">
        <f>IF(V40=0,0,1000000*V40/TrRoad_act!V80)</f>
        <v>31157.744315840388</v>
      </c>
      <c r="W131" s="116">
        <f>IF(W40=0,0,1000000*W40/TrRoad_act!W80)</f>
        <v>32423.216463002129</v>
      </c>
      <c r="X131" s="116">
        <f>IF(X40=0,0,1000000*X40/TrRoad_act!X80)</f>
        <v>32364.759355149461</v>
      </c>
      <c r="Y131" s="116">
        <f>IF(Y40=0,0,1000000*Y40/TrRoad_act!Y80)</f>
        <v>29015.061640700482</v>
      </c>
      <c r="DA131" s="176" t="s">
        <v>833</v>
      </c>
    </row>
    <row r="132" spans="1:105" ht="11.45" customHeight="1" x14ac:dyDescent="0.25">
      <c r="A132" s="128" t="s">
        <v>27</v>
      </c>
      <c r="B132" s="101">
        <f>IF(B41=0,0,1000000*B41/TrRoad_act!B81)</f>
        <v>27290.918669388913</v>
      </c>
      <c r="C132" s="101">
        <f>IF(C41=0,0,1000000*C41/TrRoad_act!C81)</f>
        <v>27738.286416824067</v>
      </c>
      <c r="D132" s="101">
        <f>IF(D41=0,0,1000000*D41/TrRoad_act!D81)</f>
        <v>28943.127042822409</v>
      </c>
      <c r="E132" s="101">
        <f>IF(E41=0,0,1000000*E41/TrRoad_act!E81)</f>
        <v>29540.627165428425</v>
      </c>
      <c r="F132" s="101">
        <f>IF(F41=0,0,1000000*F41/TrRoad_act!F81)</f>
        <v>31071.978281257332</v>
      </c>
      <c r="G132" s="101">
        <f>IF(G41=0,0,1000000*G41/TrRoad_act!G81)</f>
        <v>31809.149607802014</v>
      </c>
      <c r="H132" s="101">
        <f>IF(H41=0,0,1000000*H41/TrRoad_act!H81)</f>
        <v>31709.314114638346</v>
      </c>
      <c r="I132" s="101">
        <f>IF(I41=0,0,1000000*I41/TrRoad_act!I81)</f>
        <v>31607.7519224268</v>
      </c>
      <c r="J132" s="101">
        <f>IF(J41=0,0,1000000*J41/TrRoad_act!J81)</f>
        <v>28796.467934647306</v>
      </c>
      <c r="K132" s="101">
        <f>IF(K41=0,0,1000000*K41/TrRoad_act!K81)</f>
        <v>24863.761480483663</v>
      </c>
      <c r="L132" s="101">
        <f>IF(L41=0,0,1000000*L41/TrRoad_act!L81)</f>
        <v>24236.793165235256</v>
      </c>
      <c r="M132" s="101">
        <f>IF(M41=0,0,1000000*M41/TrRoad_act!M81)</f>
        <v>22609.123250004563</v>
      </c>
      <c r="N132" s="101">
        <f>IF(N41=0,0,1000000*N41/TrRoad_act!N81)</f>
        <v>19244.722019218374</v>
      </c>
      <c r="O132" s="101">
        <f>IF(O41=0,0,1000000*O41/TrRoad_act!O81)</f>
        <v>26548.386465084568</v>
      </c>
      <c r="P132" s="101">
        <f>IF(P41=0,0,1000000*P41/TrRoad_act!P81)</f>
        <v>27359.820422506189</v>
      </c>
      <c r="Q132" s="101">
        <f>IF(Q41=0,0,1000000*Q41/TrRoad_act!Q81)</f>
        <v>28665.400282209863</v>
      </c>
      <c r="R132" s="101">
        <f>IF(R41=0,0,1000000*R41/TrRoad_act!R81)</f>
        <v>31168.121941781847</v>
      </c>
      <c r="S132" s="101">
        <f>IF(S41=0,0,1000000*S41/TrRoad_act!S81)</f>
        <v>31546.28816337531</v>
      </c>
      <c r="T132" s="101">
        <f>IF(T41=0,0,1000000*T41/TrRoad_act!T81)</f>
        <v>31431.053085200623</v>
      </c>
      <c r="U132" s="101">
        <f>IF(U41=0,0,1000000*U41/TrRoad_act!U81)</f>
        <v>29334.8078860073</v>
      </c>
      <c r="V132" s="101">
        <f>IF(V41=0,0,1000000*V41/TrRoad_act!V81)</f>
        <v>26794.179904732999</v>
      </c>
      <c r="W132" s="101">
        <f>IF(W41=0,0,1000000*W41/TrRoad_act!W81)</f>
        <v>28019.237374265304</v>
      </c>
      <c r="X132" s="101">
        <f>IF(X41=0,0,1000000*X41/TrRoad_act!X81)</f>
        <v>27704.098611805304</v>
      </c>
      <c r="Y132" s="101">
        <f>IF(Y41=0,0,1000000*Y41/TrRoad_act!Y81)</f>
        <v>24942.75206833582</v>
      </c>
      <c r="DA132" s="175" t="s">
        <v>834</v>
      </c>
    </row>
    <row r="133" spans="1:105" ht="11.45" customHeight="1" x14ac:dyDescent="0.25">
      <c r="A133" s="138" t="s">
        <v>116</v>
      </c>
      <c r="B133" s="88">
        <f>IF(B42=0,0,1000000*B42/TrRoad_act!B82)</f>
        <v>143990.24466575225</v>
      </c>
      <c r="C133" s="88">
        <f>IF(C42=0,0,1000000*C42/TrRoad_act!C82)</f>
        <v>139609.24598208885</v>
      </c>
      <c r="D133" s="88">
        <f>IF(D42=0,0,1000000*D42/TrRoad_act!D82)</f>
        <v>130746.61934921777</v>
      </c>
      <c r="E133" s="88">
        <f>IF(E42=0,0,1000000*E42/TrRoad_act!E82)</f>
        <v>130786.96994425313</v>
      </c>
      <c r="F133" s="88">
        <f>IF(F42=0,0,1000000*F42/TrRoad_act!F82)</f>
        <v>123752.8793446075</v>
      </c>
      <c r="G133" s="88">
        <f>IF(G42=0,0,1000000*G42/TrRoad_act!G82)</f>
        <v>121598.11359332729</v>
      </c>
      <c r="H133" s="88">
        <f>IF(H42=0,0,1000000*H42/TrRoad_act!H82)</f>
        <v>118729.45257543029</v>
      </c>
      <c r="I133" s="88">
        <f>IF(I42=0,0,1000000*I42/TrRoad_act!I82)</f>
        <v>113538.01905658386</v>
      </c>
      <c r="J133" s="88">
        <f>IF(J42=0,0,1000000*J42/TrRoad_act!J82)</f>
        <v>113738.41065627505</v>
      </c>
      <c r="K133" s="88">
        <f>IF(K42=0,0,1000000*K42/TrRoad_act!K82)</f>
        <v>109927.33828147226</v>
      </c>
      <c r="L133" s="88">
        <f>IF(L42=0,0,1000000*L42/TrRoad_act!L82)</f>
        <v>110091.40302681379</v>
      </c>
      <c r="M133" s="88">
        <f>IF(M42=0,0,1000000*M42/TrRoad_act!M82)</f>
        <v>103352.9851650593</v>
      </c>
      <c r="N133" s="88">
        <f>IF(N42=0,0,1000000*N42/TrRoad_act!N82)</f>
        <v>90107.551099281234</v>
      </c>
      <c r="O133" s="88">
        <f>IF(O42=0,0,1000000*O42/TrRoad_act!O82)</f>
        <v>96533.196583761295</v>
      </c>
      <c r="P133" s="88">
        <f>IF(P42=0,0,1000000*P42/TrRoad_act!P82)</f>
        <v>97109.389022838208</v>
      </c>
      <c r="Q133" s="88">
        <f>IF(Q42=0,0,1000000*Q42/TrRoad_act!Q82)</f>
        <v>97029.603385691516</v>
      </c>
      <c r="R133" s="88">
        <f>IF(R42=0,0,1000000*R42/TrRoad_act!R82)</f>
        <v>106914.74006950458</v>
      </c>
      <c r="S133" s="88">
        <f>IF(S42=0,0,1000000*S42/TrRoad_act!S82)</f>
        <v>105679.90368627345</v>
      </c>
      <c r="T133" s="88">
        <f>IF(T42=0,0,1000000*T42/TrRoad_act!T82)</f>
        <v>107242.93807598492</v>
      </c>
      <c r="U133" s="88">
        <f>IF(U42=0,0,1000000*U42/TrRoad_act!U82)</f>
        <v>98642.467632501008</v>
      </c>
      <c r="V133" s="88">
        <f>IF(V42=0,0,1000000*V42/TrRoad_act!V82)</f>
        <v>94293.34952995232</v>
      </c>
      <c r="W133" s="88">
        <f>IF(W42=0,0,1000000*W42/TrRoad_act!W82)</f>
        <v>90364.422070889021</v>
      </c>
      <c r="X133" s="88">
        <f>IF(X42=0,0,1000000*X42/TrRoad_act!X82)</f>
        <v>92438.864803872493</v>
      </c>
      <c r="Y133" s="88">
        <f>IF(Y42=0,0,1000000*Y42/TrRoad_act!Y82)</f>
        <v>85927.120044366748</v>
      </c>
      <c r="DA133" s="178" t="s">
        <v>835</v>
      </c>
    </row>
    <row r="134" spans="1:105" x14ac:dyDescent="0.25">
      <c r="A134" s="106"/>
      <c r="B134" s="106"/>
      <c r="C134" s="106"/>
      <c r="D134" s="106"/>
      <c r="E134" s="106"/>
      <c r="F134" s="106"/>
      <c r="G134" s="106"/>
      <c r="H134" s="106"/>
      <c r="I134" s="106"/>
      <c r="J134" s="106"/>
      <c r="K134" s="106"/>
      <c r="L134" s="106"/>
      <c r="M134" s="106"/>
      <c r="N134" s="106"/>
      <c r="O134" s="106"/>
      <c r="P134" s="106"/>
      <c r="Q134" s="106"/>
      <c r="R134" s="106"/>
      <c r="S134" s="106"/>
      <c r="T134" s="106"/>
      <c r="U134" s="106"/>
      <c r="V134" s="106"/>
      <c r="W134" s="106"/>
      <c r="X134" s="106"/>
      <c r="Y134" s="106"/>
      <c r="DA134" s="171"/>
    </row>
    <row r="135" spans="1:105" ht="11.45" customHeight="1" x14ac:dyDescent="0.25">
      <c r="A135" s="53" t="s">
        <v>41</v>
      </c>
      <c r="B135" s="76">
        <f t="shared" ref="B135:V147" si="40">IF(B17=0,0,B17/B$17)</f>
        <v>1</v>
      </c>
      <c r="C135" s="76">
        <f t="shared" si="40"/>
        <v>1</v>
      </c>
      <c r="D135" s="76">
        <f t="shared" si="40"/>
        <v>1</v>
      </c>
      <c r="E135" s="76">
        <f t="shared" si="40"/>
        <v>1</v>
      </c>
      <c r="F135" s="76">
        <f t="shared" si="40"/>
        <v>1</v>
      </c>
      <c r="G135" s="76">
        <f t="shared" si="40"/>
        <v>1</v>
      </c>
      <c r="H135" s="76">
        <f t="shared" si="40"/>
        <v>1</v>
      </c>
      <c r="I135" s="76">
        <f t="shared" si="40"/>
        <v>1</v>
      </c>
      <c r="J135" s="76">
        <f t="shared" si="40"/>
        <v>1</v>
      </c>
      <c r="K135" s="76">
        <f t="shared" si="40"/>
        <v>1</v>
      </c>
      <c r="L135" s="76">
        <f t="shared" ref="L135:L147" si="41">IF(L17=0,0,L17/L$17)</f>
        <v>1</v>
      </c>
      <c r="M135" s="76">
        <f t="shared" si="40"/>
        <v>1</v>
      </c>
      <c r="N135" s="76">
        <f t="shared" si="40"/>
        <v>1</v>
      </c>
      <c r="O135" s="76">
        <f t="shared" si="40"/>
        <v>1</v>
      </c>
      <c r="P135" s="76">
        <f t="shared" si="40"/>
        <v>1</v>
      </c>
      <c r="Q135" s="76">
        <f t="shared" si="40"/>
        <v>1</v>
      </c>
      <c r="R135" s="76">
        <f t="shared" si="40"/>
        <v>1</v>
      </c>
      <c r="S135" s="76">
        <f t="shared" si="40"/>
        <v>1</v>
      </c>
      <c r="T135" s="76">
        <f t="shared" si="40"/>
        <v>1</v>
      </c>
      <c r="U135" s="76">
        <f t="shared" si="40"/>
        <v>1</v>
      </c>
      <c r="V135" s="76">
        <f t="shared" si="40"/>
        <v>1</v>
      </c>
      <c r="W135" s="76">
        <f t="shared" ref="W135:Y146" si="42">IF(W17=0,0,W17/W$17)</f>
        <v>1</v>
      </c>
      <c r="X135" s="76">
        <f t="shared" si="42"/>
        <v>1</v>
      </c>
      <c r="Y135" s="76">
        <f t="shared" si="42"/>
        <v>1</v>
      </c>
      <c r="DA135" s="183"/>
    </row>
    <row r="136" spans="1:105" ht="11.45" customHeight="1" x14ac:dyDescent="0.25">
      <c r="A136" s="27" t="s">
        <v>33</v>
      </c>
      <c r="B136" s="46">
        <f t="shared" si="40"/>
        <v>0.64533733472145782</v>
      </c>
      <c r="C136" s="46">
        <f t="shared" si="40"/>
        <v>0.63030415653037586</v>
      </c>
      <c r="D136" s="46">
        <f t="shared" si="40"/>
        <v>0.63813298840500043</v>
      </c>
      <c r="E136" s="46">
        <f t="shared" si="40"/>
        <v>0.63528433035938292</v>
      </c>
      <c r="F136" s="46">
        <f t="shared" si="40"/>
        <v>0.62936982437388966</v>
      </c>
      <c r="G136" s="46">
        <f t="shared" si="40"/>
        <v>0.63863010492361072</v>
      </c>
      <c r="H136" s="46">
        <f t="shared" si="40"/>
        <v>0.6416928348882639</v>
      </c>
      <c r="I136" s="46">
        <f t="shared" si="40"/>
        <v>0.63754356573466009</v>
      </c>
      <c r="J136" s="46">
        <f t="shared" si="40"/>
        <v>0.65248947702186888</v>
      </c>
      <c r="K136" s="46">
        <f t="shared" si="40"/>
        <v>0.68361310810109988</v>
      </c>
      <c r="L136" s="46">
        <f t="shared" si="41"/>
        <v>0.68510590710128427</v>
      </c>
      <c r="M136" s="46">
        <f t="shared" si="40"/>
        <v>0.69168765515356523</v>
      </c>
      <c r="N136" s="46">
        <f t="shared" si="40"/>
        <v>0.70850608620360178</v>
      </c>
      <c r="O136" s="46">
        <f t="shared" si="40"/>
        <v>0.7080455004740619</v>
      </c>
      <c r="P136" s="46">
        <f t="shared" si="40"/>
        <v>0.70790791519692908</v>
      </c>
      <c r="Q136" s="46">
        <f t="shared" si="40"/>
        <v>0.70178087976041026</v>
      </c>
      <c r="R136" s="46">
        <f t="shared" si="40"/>
        <v>0.6841120597244259</v>
      </c>
      <c r="S136" s="46">
        <f t="shared" si="40"/>
        <v>0.67761692525381556</v>
      </c>
      <c r="T136" s="46">
        <f t="shared" si="40"/>
        <v>0.67432993151049703</v>
      </c>
      <c r="U136" s="46">
        <f t="shared" si="40"/>
        <v>0.68884722989863612</v>
      </c>
      <c r="V136" s="46">
        <f t="shared" si="40"/>
        <v>0.67623672547472136</v>
      </c>
      <c r="W136" s="46">
        <f t="shared" si="42"/>
        <v>0.68340583220761431</v>
      </c>
      <c r="X136" s="46">
        <f t="shared" si="42"/>
        <v>0.68579233652486671</v>
      </c>
      <c r="Y136" s="46">
        <f t="shared" si="42"/>
        <v>0.69942844586603836</v>
      </c>
      <c r="DA136" s="211"/>
    </row>
    <row r="137" spans="1:105" ht="11.45" customHeight="1" x14ac:dyDescent="0.25">
      <c r="A137" s="153" t="s">
        <v>173</v>
      </c>
      <c r="B137" s="154">
        <f t="shared" si="40"/>
        <v>1.3683733527886091E-2</v>
      </c>
      <c r="C137" s="154">
        <f t="shared" si="40"/>
        <v>1.3761951905133449E-2</v>
      </c>
      <c r="D137" s="154">
        <f t="shared" si="40"/>
        <v>1.2170613797804947E-2</v>
      </c>
      <c r="E137" s="154">
        <f t="shared" si="40"/>
        <v>1.3020224070708117E-2</v>
      </c>
      <c r="F137" s="154">
        <f t="shared" si="40"/>
        <v>1.2133318266470667E-2</v>
      </c>
      <c r="G137" s="154">
        <f t="shared" si="40"/>
        <v>1.33682701202572E-2</v>
      </c>
      <c r="H137" s="154">
        <f t="shared" si="40"/>
        <v>1.312718005625459E-2</v>
      </c>
      <c r="I137" s="154">
        <f t="shared" si="40"/>
        <v>1.4390006980746025E-2</v>
      </c>
      <c r="J137" s="154">
        <f t="shared" si="40"/>
        <v>1.5230353565741135E-2</v>
      </c>
      <c r="K137" s="154">
        <f t="shared" si="40"/>
        <v>1.6719572803129471E-2</v>
      </c>
      <c r="L137" s="154">
        <f t="shared" si="41"/>
        <v>1.734046894233738E-2</v>
      </c>
      <c r="M137" s="154">
        <f t="shared" si="40"/>
        <v>1.6771295551372006E-2</v>
      </c>
      <c r="N137" s="154">
        <f t="shared" si="40"/>
        <v>1.7770601938834115E-2</v>
      </c>
      <c r="O137" s="154">
        <f t="shared" si="40"/>
        <v>1.7074788890587781E-2</v>
      </c>
      <c r="P137" s="154">
        <f t="shared" si="40"/>
        <v>1.8695375919226532E-2</v>
      </c>
      <c r="Q137" s="154">
        <f t="shared" si="40"/>
        <v>1.9474368988948679E-2</v>
      </c>
      <c r="R137" s="154">
        <f t="shared" si="40"/>
        <v>1.9799134369545484E-2</v>
      </c>
      <c r="S137" s="154">
        <f t="shared" si="40"/>
        <v>1.8086485190337502E-2</v>
      </c>
      <c r="T137" s="154">
        <f t="shared" si="40"/>
        <v>1.6959848911683187E-2</v>
      </c>
      <c r="U137" s="154">
        <f t="shared" si="40"/>
        <v>1.8234686608872869E-2</v>
      </c>
      <c r="V137" s="154">
        <f t="shared" si="40"/>
        <v>1.8457753296607881E-2</v>
      </c>
      <c r="W137" s="154">
        <f t="shared" si="42"/>
        <v>1.7705113015507718E-2</v>
      </c>
      <c r="X137" s="154">
        <f t="shared" si="42"/>
        <v>1.6534207108116022E-2</v>
      </c>
      <c r="Y137" s="154">
        <f t="shared" si="42"/>
        <v>1.8160491184315428E-2</v>
      </c>
      <c r="DA137" s="212"/>
    </row>
    <row r="138" spans="1:105" ht="11.45" customHeight="1" x14ac:dyDescent="0.25">
      <c r="A138" s="155" t="s">
        <v>20</v>
      </c>
      <c r="B138" s="156">
        <f t="shared" si="40"/>
        <v>0.58593192304273201</v>
      </c>
      <c r="C138" s="156">
        <f t="shared" si="40"/>
        <v>0.57329003473827256</v>
      </c>
      <c r="D138" s="156">
        <f t="shared" si="40"/>
        <v>0.58448741621815259</v>
      </c>
      <c r="E138" s="156">
        <f t="shared" si="40"/>
        <v>0.58303763680655285</v>
      </c>
      <c r="F138" s="156">
        <f t="shared" si="40"/>
        <v>0.57848779169805575</v>
      </c>
      <c r="G138" s="156">
        <f t="shared" si="40"/>
        <v>0.5881340739559805</v>
      </c>
      <c r="H138" s="156">
        <f t="shared" si="40"/>
        <v>0.59106011116880275</v>
      </c>
      <c r="I138" s="156">
        <f t="shared" si="40"/>
        <v>0.585978034570942</v>
      </c>
      <c r="J138" s="156">
        <f t="shared" si="40"/>
        <v>0.59865415358465257</v>
      </c>
      <c r="K138" s="156">
        <f t="shared" si="40"/>
        <v>0.62661741414449013</v>
      </c>
      <c r="L138" s="156">
        <f t="shared" si="41"/>
        <v>0.62698552672135865</v>
      </c>
      <c r="M138" s="156">
        <f t="shared" si="40"/>
        <v>0.63264352559871928</v>
      </c>
      <c r="N138" s="156">
        <f t="shared" si="40"/>
        <v>0.6455479351784762</v>
      </c>
      <c r="O138" s="156">
        <f t="shared" si="40"/>
        <v>0.64731222679899159</v>
      </c>
      <c r="P138" s="156">
        <f t="shared" si="40"/>
        <v>0.64659579477363471</v>
      </c>
      <c r="Q138" s="156">
        <f t="shared" si="40"/>
        <v>0.64081173135745972</v>
      </c>
      <c r="R138" s="156">
        <f t="shared" si="40"/>
        <v>0.62367834100814723</v>
      </c>
      <c r="S138" s="156">
        <f t="shared" si="40"/>
        <v>0.63411098235627461</v>
      </c>
      <c r="T138" s="156">
        <f t="shared" si="40"/>
        <v>0.63238399489738628</v>
      </c>
      <c r="U138" s="156">
        <f t="shared" si="40"/>
        <v>0.64531051958212282</v>
      </c>
      <c r="V138" s="156">
        <f t="shared" si="40"/>
        <v>0.63606990990493961</v>
      </c>
      <c r="W138" s="156">
        <f t="shared" si="42"/>
        <v>0.64172125417788761</v>
      </c>
      <c r="X138" s="156">
        <f t="shared" si="42"/>
        <v>0.6430699085000714</v>
      </c>
      <c r="Y138" s="156">
        <f t="shared" si="42"/>
        <v>0.65169853705692438</v>
      </c>
      <c r="DA138" s="213"/>
    </row>
    <row r="139" spans="1:105" ht="11.45" customHeight="1" x14ac:dyDescent="0.25">
      <c r="A139" s="157" t="s">
        <v>110</v>
      </c>
      <c r="B139" s="103">
        <f t="shared" si="40"/>
        <v>0.30569528305572141</v>
      </c>
      <c r="C139" s="103">
        <f t="shared" si="40"/>
        <v>0.28782498933508066</v>
      </c>
      <c r="D139" s="103">
        <f t="shared" si="40"/>
        <v>0.2705233648990743</v>
      </c>
      <c r="E139" s="103">
        <f t="shared" si="40"/>
        <v>0.25038598317344773</v>
      </c>
      <c r="F139" s="103">
        <f t="shared" si="40"/>
        <v>0.23072861358524663</v>
      </c>
      <c r="G139" s="103">
        <f t="shared" si="40"/>
        <v>0.21459947187528994</v>
      </c>
      <c r="H139" s="103">
        <f t="shared" si="40"/>
        <v>0.19763940716183048</v>
      </c>
      <c r="I139" s="103">
        <f t="shared" si="40"/>
        <v>0.18273149242193545</v>
      </c>
      <c r="J139" s="103">
        <f t="shared" si="40"/>
        <v>0.17684959556169116</v>
      </c>
      <c r="K139" s="103">
        <f t="shared" si="40"/>
        <v>0.17727132429699646</v>
      </c>
      <c r="L139" s="103">
        <f t="shared" si="41"/>
        <v>0.16872076313724896</v>
      </c>
      <c r="M139" s="103">
        <f t="shared" si="40"/>
        <v>0.16613321969659375</v>
      </c>
      <c r="N139" s="103">
        <f t="shared" si="40"/>
        <v>0.16683720988401471</v>
      </c>
      <c r="O139" s="103">
        <f t="shared" si="40"/>
        <v>0.15744792108116826</v>
      </c>
      <c r="P139" s="103">
        <f t="shared" si="40"/>
        <v>0.1521436697618273</v>
      </c>
      <c r="Q139" s="103">
        <f t="shared" si="40"/>
        <v>0.14733084106999872</v>
      </c>
      <c r="R139" s="103">
        <f t="shared" si="40"/>
        <v>0.14997838582186981</v>
      </c>
      <c r="S139" s="103">
        <f t="shared" si="40"/>
        <v>0.1525065775003554</v>
      </c>
      <c r="T139" s="103">
        <f t="shared" si="40"/>
        <v>0.15926576748168925</v>
      </c>
      <c r="U139" s="103">
        <f t="shared" si="40"/>
        <v>0.16770881667951743</v>
      </c>
      <c r="V139" s="103">
        <f t="shared" si="40"/>
        <v>0.16079508001025758</v>
      </c>
      <c r="W139" s="103">
        <f t="shared" si="42"/>
        <v>0.17370912158937737</v>
      </c>
      <c r="X139" s="103">
        <f t="shared" si="42"/>
        <v>0.18655730581985755</v>
      </c>
      <c r="Y139" s="103">
        <f t="shared" si="42"/>
        <v>0.20073456212229807</v>
      </c>
      <c r="DA139" s="191"/>
    </row>
    <row r="140" spans="1:105" ht="11.45" customHeight="1" x14ac:dyDescent="0.25">
      <c r="A140" s="157" t="s">
        <v>111</v>
      </c>
      <c r="B140" s="103">
        <f t="shared" si="40"/>
        <v>0.27743269121097408</v>
      </c>
      <c r="C140" s="103">
        <f t="shared" si="40"/>
        <v>0.28290370031951056</v>
      </c>
      <c r="D140" s="103">
        <f t="shared" si="40"/>
        <v>0.31146613342296148</v>
      </c>
      <c r="E140" s="103">
        <f t="shared" si="40"/>
        <v>0.33030039162692332</v>
      </c>
      <c r="F140" s="103">
        <f t="shared" si="40"/>
        <v>0.34539385929317185</v>
      </c>
      <c r="G140" s="103">
        <f t="shared" si="40"/>
        <v>0.37206331993776215</v>
      </c>
      <c r="H140" s="103">
        <f t="shared" si="40"/>
        <v>0.39207017129544508</v>
      </c>
      <c r="I140" s="103">
        <f t="shared" si="40"/>
        <v>0.40196816468839569</v>
      </c>
      <c r="J140" s="103">
        <f t="shared" si="40"/>
        <v>0.42128259384219141</v>
      </c>
      <c r="K140" s="103">
        <f t="shared" si="40"/>
        <v>0.44868253418994963</v>
      </c>
      <c r="L140" s="103">
        <f t="shared" si="41"/>
        <v>0.4574733926298159</v>
      </c>
      <c r="M140" s="103">
        <f t="shared" si="40"/>
        <v>0.46560433236796356</v>
      </c>
      <c r="N140" s="103">
        <f t="shared" si="40"/>
        <v>0.47740785632536231</v>
      </c>
      <c r="O140" s="103">
        <f t="shared" si="40"/>
        <v>0.48836934842431745</v>
      </c>
      <c r="P140" s="103">
        <f t="shared" si="40"/>
        <v>0.49282317075061388</v>
      </c>
      <c r="Q140" s="103">
        <f t="shared" si="40"/>
        <v>0.49162004882279953</v>
      </c>
      <c r="R140" s="103">
        <f t="shared" si="40"/>
        <v>0.47175646407268362</v>
      </c>
      <c r="S140" s="103">
        <f t="shared" si="40"/>
        <v>0.47952055215947609</v>
      </c>
      <c r="T140" s="103">
        <f t="shared" si="40"/>
        <v>0.47056438647194521</v>
      </c>
      <c r="U140" s="103">
        <f t="shared" si="40"/>
        <v>0.47427101493474921</v>
      </c>
      <c r="V140" s="103">
        <f t="shared" si="40"/>
        <v>0.47204295436931953</v>
      </c>
      <c r="W140" s="103">
        <f t="shared" si="42"/>
        <v>0.46439997971311336</v>
      </c>
      <c r="X140" s="103">
        <f t="shared" si="42"/>
        <v>0.45194846644495013</v>
      </c>
      <c r="Y140" s="103">
        <f t="shared" si="42"/>
        <v>0.44586049683155399</v>
      </c>
      <c r="DA140" s="191"/>
    </row>
    <row r="141" spans="1:105" ht="11.45" customHeight="1" x14ac:dyDescent="0.25">
      <c r="A141" s="157" t="s">
        <v>112</v>
      </c>
      <c r="B141" s="103">
        <f t="shared" si="40"/>
        <v>2.8039487760364748E-3</v>
      </c>
      <c r="C141" s="103">
        <f t="shared" si="40"/>
        <v>2.5613450836812807E-3</v>
      </c>
      <c r="D141" s="103">
        <f t="shared" si="40"/>
        <v>2.4979178961167204E-3</v>
      </c>
      <c r="E141" s="103">
        <f t="shared" si="40"/>
        <v>2.3512620061818409E-3</v>
      </c>
      <c r="F141" s="103">
        <f t="shared" si="40"/>
        <v>2.3280757934930614E-3</v>
      </c>
      <c r="G141" s="103">
        <f t="shared" si="40"/>
        <v>1.3925178239347436E-3</v>
      </c>
      <c r="H141" s="103">
        <f t="shared" si="40"/>
        <v>1.2277906853413523E-3</v>
      </c>
      <c r="I141" s="103">
        <f t="shared" si="40"/>
        <v>1.1629538521886458E-3</v>
      </c>
      <c r="J141" s="103">
        <f t="shared" si="40"/>
        <v>3.9927822726590307E-4</v>
      </c>
      <c r="K141" s="103">
        <f t="shared" si="40"/>
        <v>5.2842570129419016E-4</v>
      </c>
      <c r="L141" s="103">
        <f t="shared" si="41"/>
        <v>6.5335290784426401E-4</v>
      </c>
      <c r="M141" s="103">
        <f t="shared" si="40"/>
        <v>7.6356102830078322E-4</v>
      </c>
      <c r="N141" s="103">
        <f t="shared" si="40"/>
        <v>1.059030277998058E-3</v>
      </c>
      <c r="O141" s="103">
        <f t="shared" si="40"/>
        <v>1.2221570214582826E-3</v>
      </c>
      <c r="P141" s="103">
        <f t="shared" si="40"/>
        <v>1.3581330744195513E-3</v>
      </c>
      <c r="Q141" s="103">
        <f t="shared" si="40"/>
        <v>1.581187222927269E-3</v>
      </c>
      <c r="R141" s="103">
        <f t="shared" si="40"/>
        <v>1.6753748942560029E-3</v>
      </c>
      <c r="S141" s="103">
        <f t="shared" si="40"/>
        <v>1.7819082124476175E-3</v>
      </c>
      <c r="T141" s="103">
        <f t="shared" si="40"/>
        <v>2.1229000304386902E-3</v>
      </c>
      <c r="U141" s="103">
        <f t="shared" si="40"/>
        <v>2.8501234966460559E-3</v>
      </c>
      <c r="V141" s="103">
        <f t="shared" si="40"/>
        <v>2.6458935061915122E-3</v>
      </c>
      <c r="W141" s="103">
        <f t="shared" si="42"/>
        <v>2.7488673719322366E-3</v>
      </c>
      <c r="X141" s="103">
        <f t="shared" si="42"/>
        <v>3.4514094735665513E-3</v>
      </c>
      <c r="Y141" s="103">
        <f t="shared" si="42"/>
        <v>3.7092064725691592E-3</v>
      </c>
      <c r="DA141" s="191"/>
    </row>
    <row r="142" spans="1:105" ht="11.45" customHeight="1" x14ac:dyDescent="0.25">
      <c r="A142" s="157" t="s">
        <v>113</v>
      </c>
      <c r="B142" s="103">
        <f t="shared" si="40"/>
        <v>0</v>
      </c>
      <c r="C142" s="103">
        <f t="shared" si="40"/>
        <v>0</v>
      </c>
      <c r="D142" s="103">
        <f t="shared" si="40"/>
        <v>0</v>
      </c>
      <c r="E142" s="103">
        <f t="shared" si="40"/>
        <v>0</v>
      </c>
      <c r="F142" s="103">
        <f t="shared" si="40"/>
        <v>3.7243026144178906E-5</v>
      </c>
      <c r="G142" s="103">
        <f t="shared" si="40"/>
        <v>7.8764318993596247E-5</v>
      </c>
      <c r="H142" s="103">
        <f t="shared" si="40"/>
        <v>1.2274202618575087E-4</v>
      </c>
      <c r="I142" s="103">
        <f t="shared" si="40"/>
        <v>1.1542360842223727E-4</v>
      </c>
      <c r="J142" s="103">
        <f t="shared" si="40"/>
        <v>1.2268595350408407E-4</v>
      </c>
      <c r="K142" s="103">
        <f t="shared" si="40"/>
        <v>1.351299562498886E-4</v>
      </c>
      <c r="L142" s="103">
        <f t="shared" si="41"/>
        <v>1.3801804644948454E-4</v>
      </c>
      <c r="M142" s="103">
        <f t="shared" si="40"/>
        <v>1.4235323742837133E-4</v>
      </c>
      <c r="N142" s="103">
        <f t="shared" si="40"/>
        <v>2.4322902116470009E-4</v>
      </c>
      <c r="O142" s="103">
        <f t="shared" si="40"/>
        <v>2.7146599846979234E-4</v>
      </c>
      <c r="P142" s="103">
        <f t="shared" si="40"/>
        <v>2.6700747463513066E-4</v>
      </c>
      <c r="Q142" s="103">
        <f t="shared" si="40"/>
        <v>2.7206699745020013E-4</v>
      </c>
      <c r="R142" s="103">
        <f t="shared" si="40"/>
        <v>2.4941758617909863E-4</v>
      </c>
      <c r="S142" s="103">
        <f t="shared" si="40"/>
        <v>2.6170879027055839E-4</v>
      </c>
      <c r="T142" s="103">
        <f t="shared" si="40"/>
        <v>3.5452299347684578E-4</v>
      </c>
      <c r="U142" s="103">
        <f t="shared" si="40"/>
        <v>3.4916052976684497E-4</v>
      </c>
      <c r="V142" s="103">
        <f t="shared" si="40"/>
        <v>3.0310446739193001E-4</v>
      </c>
      <c r="W142" s="103">
        <f t="shared" si="42"/>
        <v>3.5612595687038148E-4</v>
      </c>
      <c r="X142" s="103">
        <f t="shared" si="42"/>
        <v>3.9276207618058685E-4</v>
      </c>
      <c r="Y142" s="103">
        <f t="shared" si="42"/>
        <v>4.1568973653741782E-4</v>
      </c>
      <c r="DA142" s="191"/>
    </row>
    <row r="143" spans="1:105" ht="11.45" customHeight="1" x14ac:dyDescent="0.25">
      <c r="A143" s="157" t="s">
        <v>114</v>
      </c>
      <c r="B143" s="103">
        <f t="shared" si="40"/>
        <v>0</v>
      </c>
      <c r="C143" s="103">
        <f t="shared" si="40"/>
        <v>0</v>
      </c>
      <c r="D143" s="103">
        <f t="shared" si="40"/>
        <v>0</v>
      </c>
      <c r="E143" s="103">
        <f t="shared" si="40"/>
        <v>0</v>
      </c>
      <c r="F143" s="103">
        <f t="shared" si="40"/>
        <v>0</v>
      </c>
      <c r="G143" s="103">
        <f t="shared" si="40"/>
        <v>0</v>
      </c>
      <c r="H143" s="103">
        <f t="shared" si="40"/>
        <v>0</v>
      </c>
      <c r="I143" s="103">
        <f t="shared" si="40"/>
        <v>0</v>
      </c>
      <c r="J143" s="103">
        <f t="shared" si="40"/>
        <v>0</v>
      </c>
      <c r="K143" s="103">
        <f t="shared" si="40"/>
        <v>0</v>
      </c>
      <c r="L143" s="103">
        <f t="shared" si="41"/>
        <v>0</v>
      </c>
      <c r="M143" s="103">
        <f t="shared" si="40"/>
        <v>5.9268432830322175E-8</v>
      </c>
      <c r="N143" s="103">
        <f t="shared" si="40"/>
        <v>6.0966993642348139E-7</v>
      </c>
      <c r="O143" s="103">
        <f t="shared" si="40"/>
        <v>1.3342735778746463E-6</v>
      </c>
      <c r="P143" s="103">
        <f t="shared" si="40"/>
        <v>3.8137121387757706E-6</v>
      </c>
      <c r="Q143" s="103">
        <f t="shared" si="40"/>
        <v>7.5872442838632585E-6</v>
      </c>
      <c r="R143" s="103">
        <f t="shared" si="40"/>
        <v>1.8698633158703652E-5</v>
      </c>
      <c r="S143" s="103">
        <f t="shared" si="40"/>
        <v>4.0235693724833936E-5</v>
      </c>
      <c r="T143" s="103">
        <f t="shared" si="40"/>
        <v>7.6417919836292635E-5</v>
      </c>
      <c r="U143" s="103">
        <f t="shared" si="40"/>
        <v>1.3140394144328934E-4</v>
      </c>
      <c r="V143" s="103">
        <f t="shared" si="40"/>
        <v>2.8287755177901832E-4</v>
      </c>
      <c r="W143" s="103">
        <f t="shared" si="42"/>
        <v>5.0715954659419653E-4</v>
      </c>
      <c r="X143" s="103">
        <f t="shared" si="42"/>
        <v>7.1996468551664651E-4</v>
      </c>
      <c r="Y143" s="103">
        <f t="shared" si="42"/>
        <v>9.7858189396581789E-4</v>
      </c>
      <c r="DA143" s="191"/>
    </row>
    <row r="144" spans="1:105" ht="11.45" customHeight="1" x14ac:dyDescent="0.25">
      <c r="A144" s="157" t="s">
        <v>115</v>
      </c>
      <c r="B144" s="103">
        <f t="shared" si="40"/>
        <v>0</v>
      </c>
      <c r="C144" s="103">
        <f t="shared" si="40"/>
        <v>0</v>
      </c>
      <c r="D144" s="103">
        <f t="shared" si="40"/>
        <v>0</v>
      </c>
      <c r="E144" s="103">
        <f t="shared" si="40"/>
        <v>0</v>
      </c>
      <c r="F144" s="103">
        <f t="shared" si="40"/>
        <v>0</v>
      </c>
      <c r="G144" s="103">
        <f t="shared" si="40"/>
        <v>0</v>
      </c>
      <c r="H144" s="103">
        <f t="shared" si="40"/>
        <v>0</v>
      </c>
      <c r="I144" s="103">
        <f t="shared" si="40"/>
        <v>0</v>
      </c>
      <c r="J144" s="103">
        <f t="shared" si="40"/>
        <v>0</v>
      </c>
      <c r="K144" s="103">
        <f t="shared" si="40"/>
        <v>0</v>
      </c>
      <c r="L144" s="103">
        <f t="shared" si="41"/>
        <v>0</v>
      </c>
      <c r="M144" s="103">
        <f t="shared" si="40"/>
        <v>0</v>
      </c>
      <c r="N144" s="103">
        <f t="shared" si="40"/>
        <v>0</v>
      </c>
      <c r="O144" s="103">
        <f t="shared" si="40"/>
        <v>0</v>
      </c>
      <c r="P144" s="103">
        <f t="shared" si="40"/>
        <v>0</v>
      </c>
      <c r="Q144" s="103">
        <f t="shared" si="40"/>
        <v>0</v>
      </c>
      <c r="R144" s="103">
        <f t="shared" si="40"/>
        <v>0</v>
      </c>
      <c r="S144" s="103">
        <f t="shared" si="40"/>
        <v>0</v>
      </c>
      <c r="T144" s="103">
        <f t="shared" si="40"/>
        <v>0</v>
      </c>
      <c r="U144" s="103">
        <f t="shared" si="40"/>
        <v>0</v>
      </c>
      <c r="V144" s="103">
        <f t="shared" si="40"/>
        <v>0</v>
      </c>
      <c r="W144" s="103">
        <f t="shared" si="42"/>
        <v>0</v>
      </c>
      <c r="X144" s="103">
        <f t="shared" si="42"/>
        <v>0</v>
      </c>
      <c r="Y144" s="103">
        <f t="shared" si="42"/>
        <v>0</v>
      </c>
      <c r="DA144" s="191"/>
    </row>
    <row r="145" spans="1:105" ht="11.45" customHeight="1" x14ac:dyDescent="0.25">
      <c r="A145" s="155" t="s">
        <v>21</v>
      </c>
      <c r="B145" s="156">
        <f t="shared" si="40"/>
        <v>4.5721678150839752E-2</v>
      </c>
      <c r="C145" s="156">
        <f t="shared" si="40"/>
        <v>4.3252169886969755E-2</v>
      </c>
      <c r="D145" s="156">
        <f t="shared" si="40"/>
        <v>4.1474958389042894E-2</v>
      </c>
      <c r="E145" s="156">
        <f t="shared" si="40"/>
        <v>3.9226469482121933E-2</v>
      </c>
      <c r="F145" s="156">
        <f t="shared" si="40"/>
        <v>3.8748714409363234E-2</v>
      </c>
      <c r="G145" s="156">
        <f t="shared" si="40"/>
        <v>3.7127760847373091E-2</v>
      </c>
      <c r="H145" s="156">
        <f t="shared" si="40"/>
        <v>3.7505543663206541E-2</v>
      </c>
      <c r="I145" s="156">
        <f t="shared" si="40"/>
        <v>3.7175524182972014E-2</v>
      </c>
      <c r="J145" s="156">
        <f t="shared" si="40"/>
        <v>3.8604969871475096E-2</v>
      </c>
      <c r="K145" s="156">
        <f t="shared" si="40"/>
        <v>4.027612115348024E-2</v>
      </c>
      <c r="L145" s="156">
        <f t="shared" si="41"/>
        <v>4.0779911437588211E-2</v>
      </c>
      <c r="M145" s="156">
        <f t="shared" si="40"/>
        <v>4.2272834003473932E-2</v>
      </c>
      <c r="N145" s="156">
        <f t="shared" si="40"/>
        <v>4.518754908629137E-2</v>
      </c>
      <c r="O145" s="156">
        <f t="shared" si="40"/>
        <v>4.3658484784482553E-2</v>
      </c>
      <c r="P145" s="156">
        <f t="shared" si="40"/>
        <v>4.2616744504067931E-2</v>
      </c>
      <c r="Q145" s="156">
        <f t="shared" si="40"/>
        <v>4.149477941400196E-2</v>
      </c>
      <c r="R145" s="156">
        <f t="shared" si="40"/>
        <v>4.0634584346733255E-2</v>
      </c>
      <c r="S145" s="156">
        <f t="shared" si="40"/>
        <v>2.5419457707203382E-2</v>
      </c>
      <c r="T145" s="156">
        <f t="shared" si="40"/>
        <v>2.4986087701427531E-2</v>
      </c>
      <c r="U145" s="156">
        <f t="shared" si="40"/>
        <v>2.5302023707640366E-2</v>
      </c>
      <c r="V145" s="156">
        <f t="shared" si="40"/>
        <v>2.1709062273173929E-2</v>
      </c>
      <c r="W145" s="156">
        <f t="shared" si="42"/>
        <v>2.3979465014218916E-2</v>
      </c>
      <c r="X145" s="156">
        <f t="shared" si="42"/>
        <v>2.6188220916679213E-2</v>
      </c>
      <c r="Y145" s="156">
        <f t="shared" si="42"/>
        <v>2.9569417624798488E-2</v>
      </c>
      <c r="DA145" s="213"/>
    </row>
    <row r="146" spans="1:105" ht="11.45" customHeight="1" x14ac:dyDescent="0.25">
      <c r="A146" s="157" t="s">
        <v>110</v>
      </c>
      <c r="B146" s="103">
        <f t="shared" si="40"/>
        <v>1.3300961467835898E-4</v>
      </c>
      <c r="C146" s="103">
        <f t="shared" si="40"/>
        <v>1.2687294735230149E-4</v>
      </c>
      <c r="D146" s="103">
        <f t="shared" si="40"/>
        <v>1.2335756169466408E-4</v>
      </c>
      <c r="E146" s="103">
        <f t="shared" si="40"/>
        <v>1.1636297569637986E-4</v>
      </c>
      <c r="F146" s="103">
        <f t="shared" si="40"/>
        <v>1.1209968489242573E-4</v>
      </c>
      <c r="G146" s="103">
        <f t="shared" si="40"/>
        <v>9.655211217565923E-5</v>
      </c>
      <c r="H146" s="103">
        <f t="shared" si="40"/>
        <v>9.1215627109036385E-5</v>
      </c>
      <c r="I146" s="103">
        <f t="shared" si="40"/>
        <v>9.8453888265395253E-5</v>
      </c>
      <c r="J146" s="103">
        <f t="shared" si="40"/>
        <v>9.4282573917159283E-5</v>
      </c>
      <c r="K146" s="103">
        <f t="shared" si="40"/>
        <v>9.0557950063278571E-5</v>
      </c>
      <c r="L146" s="103">
        <f t="shared" si="41"/>
        <v>8.5279860295108881E-5</v>
      </c>
      <c r="M146" s="103">
        <f t="shared" si="40"/>
        <v>8.4616514802395866E-5</v>
      </c>
      <c r="N146" s="103">
        <f t="shared" si="40"/>
        <v>8.7752332985643598E-5</v>
      </c>
      <c r="O146" s="103">
        <f t="shared" si="40"/>
        <v>7.8636475919074763E-5</v>
      </c>
      <c r="P146" s="103">
        <f t="shared" si="40"/>
        <v>7.1765636308295904E-5</v>
      </c>
      <c r="Q146" s="103">
        <f t="shared" si="40"/>
        <v>6.7864022032756044E-5</v>
      </c>
      <c r="R146" s="103">
        <f t="shared" si="40"/>
        <v>6.4938959721393754E-5</v>
      </c>
      <c r="S146" s="103">
        <f t="shared" si="40"/>
        <v>5.2319114376177425E-5</v>
      </c>
      <c r="T146" s="103">
        <f t="shared" si="40"/>
        <v>4.8772751239380897E-5</v>
      </c>
      <c r="U146" s="103">
        <f t="shared" si="40"/>
        <v>4.5455690341832281E-5</v>
      </c>
      <c r="V146" s="103">
        <f t="shared" si="40"/>
        <v>3.3705861523471408E-5</v>
      </c>
      <c r="W146" s="103">
        <f t="shared" si="42"/>
        <v>3.5787826031218051E-5</v>
      </c>
      <c r="X146" s="103">
        <f t="shared" si="42"/>
        <v>3.640820788740245E-5</v>
      </c>
      <c r="Y146" s="103">
        <f t="shared" si="42"/>
        <v>3.8193163951332394E-5</v>
      </c>
      <c r="DA146" s="191"/>
    </row>
    <row r="147" spans="1:105" ht="11.45" customHeight="1" x14ac:dyDescent="0.25">
      <c r="A147" s="157" t="s">
        <v>111</v>
      </c>
      <c r="B147" s="103">
        <f t="shared" si="40"/>
        <v>4.5391347875003242E-2</v>
      </c>
      <c r="C147" s="103">
        <f t="shared" si="40"/>
        <v>4.2852083225905557E-2</v>
      </c>
      <c r="D147" s="103">
        <f t="shared" si="40"/>
        <v>4.0993597122574797E-2</v>
      </c>
      <c r="E147" s="103">
        <f t="shared" si="40"/>
        <v>3.8697229807691379E-2</v>
      </c>
      <c r="F147" s="103">
        <f t="shared" si="40"/>
        <v>3.818453824086087E-2</v>
      </c>
      <c r="G147" s="103">
        <f t="shared" si="40"/>
        <v>3.6545661870193591E-2</v>
      </c>
      <c r="H147" s="103">
        <f t="shared" si="40"/>
        <v>3.6890668649943732E-2</v>
      </c>
      <c r="I147" s="103">
        <f t="shared" si="40"/>
        <v>3.6286054954081874E-2</v>
      </c>
      <c r="J147" s="103">
        <f t="shared" si="40"/>
        <v>3.7644620866520068E-2</v>
      </c>
      <c r="K147" s="103">
        <f t="shared" si="40"/>
        <v>3.9064740505110787E-2</v>
      </c>
      <c r="L147" s="103">
        <f t="shared" si="41"/>
        <v>3.9171863144793678E-2</v>
      </c>
      <c r="M147" s="103">
        <f t="shared" si="40"/>
        <v>4.0439783460710116E-2</v>
      </c>
      <c r="N147" s="103">
        <f t="shared" si="40"/>
        <v>4.307678662627739E-2</v>
      </c>
      <c r="O147" s="103">
        <f t="shared" si="40"/>
        <v>4.1476680156472802E-2</v>
      </c>
      <c r="P147" s="103">
        <f t="shared" si="40"/>
        <v>4.0280402572368923E-2</v>
      </c>
      <c r="Q147" s="103">
        <f t="shared" si="40"/>
        <v>3.9076051335661596E-2</v>
      </c>
      <c r="R147" s="103">
        <f t="shared" ref="R147:V147" si="43">IF(R29=0,0,R29/R$17)</f>
        <v>3.7664861622757971E-2</v>
      </c>
      <c r="S147" s="103">
        <f t="shared" si="43"/>
        <v>2.2006191392907153E-2</v>
      </c>
      <c r="T147" s="103">
        <f t="shared" si="43"/>
        <v>2.1743160283657519E-2</v>
      </c>
      <c r="U147" s="103">
        <f t="shared" si="43"/>
        <v>2.1224223380252028E-2</v>
      </c>
      <c r="V147" s="103">
        <f t="shared" si="43"/>
        <v>1.6265873308727793E-2</v>
      </c>
      <c r="W147" s="103">
        <f t="shared" ref="W147:Y147" si="44">IF(W29=0,0,W29/W$17)</f>
        <v>1.7876708517074128E-2</v>
      </c>
      <c r="X147" s="103">
        <f t="shared" si="44"/>
        <v>1.9592679708275988E-2</v>
      </c>
      <c r="Y147" s="103">
        <f t="shared" si="44"/>
        <v>2.1688015732471377E-2</v>
      </c>
      <c r="DA147" s="191"/>
    </row>
    <row r="148" spans="1:105" ht="11.45" customHeight="1" x14ac:dyDescent="0.25">
      <c r="A148" s="157" t="s">
        <v>112</v>
      </c>
      <c r="B148" s="103">
        <f t="shared" ref="B148:K148" si="45">IF(B30=0,0,B30/B$17)</f>
        <v>0</v>
      </c>
      <c r="C148" s="103">
        <f t="shared" si="45"/>
        <v>0</v>
      </c>
      <c r="D148" s="103">
        <f t="shared" si="45"/>
        <v>0</v>
      </c>
      <c r="E148" s="103">
        <f t="shared" si="45"/>
        <v>0</v>
      </c>
      <c r="F148" s="103">
        <f t="shared" si="45"/>
        <v>0</v>
      </c>
      <c r="G148" s="103">
        <f t="shared" si="45"/>
        <v>0</v>
      </c>
      <c r="H148" s="103">
        <f t="shared" si="45"/>
        <v>0</v>
      </c>
      <c r="I148" s="103">
        <f t="shared" si="45"/>
        <v>0</v>
      </c>
      <c r="J148" s="103">
        <f t="shared" si="45"/>
        <v>0</v>
      </c>
      <c r="K148" s="103">
        <f t="shared" si="45"/>
        <v>0</v>
      </c>
      <c r="L148" s="103">
        <f t="shared" ref="L148:L150" si="46">IF(L30=0,0,L30/L$17)</f>
        <v>0</v>
      </c>
      <c r="M148" s="103">
        <f t="shared" ref="M148:V148" si="47">IF(M30=0,0,M30/M$17)</f>
        <v>0</v>
      </c>
      <c r="N148" s="103">
        <f t="shared" si="47"/>
        <v>0</v>
      </c>
      <c r="O148" s="103">
        <f t="shared" si="47"/>
        <v>0</v>
      </c>
      <c r="P148" s="103">
        <f t="shared" si="47"/>
        <v>1.2149638353602014E-6</v>
      </c>
      <c r="Q148" s="103">
        <f t="shared" si="47"/>
        <v>3.1647379112503953E-5</v>
      </c>
      <c r="R148" s="103">
        <f t="shared" si="47"/>
        <v>3.0609966068340109E-5</v>
      </c>
      <c r="S148" s="103">
        <f t="shared" si="47"/>
        <v>2.5898590763080709E-5</v>
      </c>
      <c r="T148" s="103">
        <f t="shared" si="47"/>
        <v>2.3954086371601614E-5</v>
      </c>
      <c r="U148" s="103">
        <f t="shared" si="47"/>
        <v>3.0792703630666732E-5</v>
      </c>
      <c r="V148" s="103">
        <f t="shared" si="47"/>
        <v>3.1439921633061543E-5</v>
      </c>
      <c r="W148" s="103">
        <f t="shared" ref="W148:Y148" si="48">IF(W30=0,0,W30/W$17)</f>
        <v>7.3205515063616962E-5</v>
      </c>
      <c r="X148" s="103">
        <f t="shared" si="48"/>
        <v>1.0396581571137293E-4</v>
      </c>
      <c r="Y148" s="103">
        <f t="shared" si="48"/>
        <v>1.5385164767213667E-4</v>
      </c>
      <c r="DA148" s="191"/>
    </row>
    <row r="149" spans="1:105" ht="11.45" customHeight="1" x14ac:dyDescent="0.25">
      <c r="A149" s="157" t="s">
        <v>113</v>
      </c>
      <c r="B149" s="103">
        <f t="shared" ref="B149:K149" si="49">IF(B31=0,0,B31/B$17)</f>
        <v>1.9732066115815222E-4</v>
      </c>
      <c r="C149" s="103">
        <f t="shared" si="49"/>
        <v>2.7321371371189743E-4</v>
      </c>
      <c r="D149" s="103">
        <f t="shared" si="49"/>
        <v>3.5800370477343256E-4</v>
      </c>
      <c r="E149" s="103">
        <f t="shared" si="49"/>
        <v>4.128766987341748E-4</v>
      </c>
      <c r="F149" s="103">
        <f t="shared" si="49"/>
        <v>4.5207648360994326E-4</v>
      </c>
      <c r="G149" s="103">
        <f t="shared" si="49"/>
        <v>4.8554686500383966E-4</v>
      </c>
      <c r="H149" s="103">
        <f t="shared" si="49"/>
        <v>5.2365938615377171E-4</v>
      </c>
      <c r="I149" s="103">
        <f t="shared" si="49"/>
        <v>7.9101534062474223E-4</v>
      </c>
      <c r="J149" s="103">
        <f t="shared" si="49"/>
        <v>8.660664310378703E-4</v>
      </c>
      <c r="K149" s="103">
        <f t="shared" si="49"/>
        <v>1.1208226983061755E-3</v>
      </c>
      <c r="L149" s="103">
        <f t="shared" si="46"/>
        <v>1.5227684324994213E-3</v>
      </c>
      <c r="M149" s="103">
        <f t="shared" ref="M149:V149" si="50">IF(M31=0,0,M31/M$17)</f>
        <v>1.7484340279614197E-3</v>
      </c>
      <c r="N149" s="103">
        <f t="shared" si="50"/>
        <v>2.0230101270283384E-3</v>
      </c>
      <c r="O149" s="103">
        <f t="shared" si="50"/>
        <v>2.1031681520906759E-3</v>
      </c>
      <c r="P149" s="103">
        <f t="shared" si="50"/>
        <v>2.2633613315553454E-3</v>
      </c>
      <c r="Q149" s="103">
        <f t="shared" si="50"/>
        <v>2.319216677195111E-3</v>
      </c>
      <c r="R149" s="103">
        <f t="shared" si="50"/>
        <v>2.8741737981855479E-3</v>
      </c>
      <c r="S149" s="103">
        <f t="shared" si="50"/>
        <v>3.3350486091569698E-3</v>
      </c>
      <c r="T149" s="103">
        <f t="shared" si="50"/>
        <v>3.1702005801590269E-3</v>
      </c>
      <c r="U149" s="103">
        <f t="shared" si="50"/>
        <v>4.0015519334158367E-3</v>
      </c>
      <c r="V149" s="103">
        <f t="shared" si="50"/>
        <v>5.3780431812896013E-3</v>
      </c>
      <c r="W149" s="103">
        <f t="shared" ref="W149:Y149" si="51">IF(W31=0,0,W31/W$17)</f>
        <v>5.9937631560499534E-3</v>
      </c>
      <c r="X149" s="103">
        <f t="shared" si="51"/>
        <v>6.4551671848044516E-3</v>
      </c>
      <c r="Y149" s="103">
        <f t="shared" si="51"/>
        <v>7.6893570807036434E-3</v>
      </c>
      <c r="DA149" s="191"/>
    </row>
    <row r="150" spans="1:105" ht="11.45" customHeight="1" x14ac:dyDescent="0.25">
      <c r="A150" s="157" t="s">
        <v>115</v>
      </c>
      <c r="B150" s="103">
        <f t="shared" ref="B150:K150" si="52">IF(B32=0,0,B32/B$17)</f>
        <v>0</v>
      </c>
      <c r="C150" s="103">
        <f t="shared" si="52"/>
        <v>0</v>
      </c>
      <c r="D150" s="103">
        <f t="shared" si="52"/>
        <v>0</v>
      </c>
      <c r="E150" s="103">
        <f t="shared" si="52"/>
        <v>0</v>
      </c>
      <c r="F150" s="103">
        <f t="shared" si="52"/>
        <v>0</v>
      </c>
      <c r="G150" s="103">
        <f t="shared" si="52"/>
        <v>0</v>
      </c>
      <c r="H150" s="103">
        <f t="shared" si="52"/>
        <v>0</v>
      </c>
      <c r="I150" s="103">
        <f t="shared" si="52"/>
        <v>0</v>
      </c>
      <c r="J150" s="103">
        <f t="shared" si="52"/>
        <v>0</v>
      </c>
      <c r="K150" s="103">
        <f t="shared" si="52"/>
        <v>0</v>
      </c>
      <c r="L150" s="103">
        <f t="shared" si="46"/>
        <v>0</v>
      </c>
      <c r="M150" s="103">
        <f t="shared" ref="M150:V150" si="53">IF(M32=0,0,M32/M$17)</f>
        <v>0</v>
      </c>
      <c r="N150" s="103">
        <f t="shared" si="53"/>
        <v>0</v>
      </c>
      <c r="O150" s="103">
        <f t="shared" si="53"/>
        <v>0</v>
      </c>
      <c r="P150" s="103">
        <f t="shared" si="53"/>
        <v>0</v>
      </c>
      <c r="Q150" s="103">
        <f t="shared" si="53"/>
        <v>0</v>
      </c>
      <c r="R150" s="103">
        <f t="shared" si="53"/>
        <v>0</v>
      </c>
      <c r="S150" s="103">
        <f t="shared" si="53"/>
        <v>0</v>
      </c>
      <c r="T150" s="103">
        <f t="shared" si="53"/>
        <v>0</v>
      </c>
      <c r="U150" s="103">
        <f t="shared" si="53"/>
        <v>0</v>
      </c>
      <c r="V150" s="103">
        <f t="shared" si="53"/>
        <v>0</v>
      </c>
      <c r="W150" s="103">
        <f t="shared" ref="W150:Y150" si="54">IF(W32=0,0,W32/W$17)</f>
        <v>0</v>
      </c>
      <c r="X150" s="103">
        <f t="shared" si="54"/>
        <v>0</v>
      </c>
      <c r="Y150" s="103">
        <f t="shared" si="54"/>
        <v>0</v>
      </c>
      <c r="DA150" s="191"/>
    </row>
    <row r="151" spans="1:105" ht="11.45" customHeight="1" x14ac:dyDescent="0.25">
      <c r="A151" s="27" t="s">
        <v>34</v>
      </c>
      <c r="B151" s="46">
        <f t="shared" ref="B151:K151" si="55">IF(B33=0,0,B33/B$17)</f>
        <v>0.35466266527854223</v>
      </c>
      <c r="C151" s="46">
        <f t="shared" si="55"/>
        <v>0.3696958434696242</v>
      </c>
      <c r="D151" s="46">
        <f t="shared" si="55"/>
        <v>0.36186701159499951</v>
      </c>
      <c r="E151" s="46">
        <f t="shared" si="55"/>
        <v>0.36471566964061708</v>
      </c>
      <c r="F151" s="46">
        <f t="shared" si="55"/>
        <v>0.37063017562611039</v>
      </c>
      <c r="G151" s="46">
        <f t="shared" si="55"/>
        <v>0.36136989507638928</v>
      </c>
      <c r="H151" s="46">
        <f t="shared" si="55"/>
        <v>0.3583071651117361</v>
      </c>
      <c r="I151" s="46">
        <f t="shared" si="55"/>
        <v>0.36245643426533997</v>
      </c>
      <c r="J151" s="46">
        <f t="shared" si="55"/>
        <v>0.34751052297813112</v>
      </c>
      <c r="K151" s="46">
        <f t="shared" si="55"/>
        <v>0.31638689189890007</v>
      </c>
      <c r="L151" s="46">
        <f t="shared" ref="L151" si="56">IF(L33=0,0,L33/L$17)</f>
        <v>0.31489409289871567</v>
      </c>
      <c r="M151" s="46">
        <f t="shared" ref="M151:V151" si="57">IF(M33=0,0,M33/M$17)</f>
        <v>0.30831234484643477</v>
      </c>
      <c r="N151" s="46">
        <f t="shared" si="57"/>
        <v>0.29149391379639822</v>
      </c>
      <c r="O151" s="46">
        <f t="shared" si="57"/>
        <v>0.29195449952593805</v>
      </c>
      <c r="P151" s="46">
        <f t="shared" si="57"/>
        <v>0.29209208480307092</v>
      </c>
      <c r="Q151" s="46">
        <f t="shared" si="57"/>
        <v>0.29821912023958963</v>
      </c>
      <c r="R151" s="46">
        <f t="shared" si="57"/>
        <v>0.3158879402755741</v>
      </c>
      <c r="S151" s="46">
        <f t="shared" si="57"/>
        <v>0.32238307474618444</v>
      </c>
      <c r="T151" s="46">
        <f t="shared" si="57"/>
        <v>0.32567006848950297</v>
      </c>
      <c r="U151" s="46">
        <f t="shared" si="57"/>
        <v>0.31115277010136394</v>
      </c>
      <c r="V151" s="46">
        <f t="shared" si="57"/>
        <v>0.32376327452527848</v>
      </c>
      <c r="W151" s="46">
        <f t="shared" ref="W151:Y151" si="58">IF(W33=0,0,W33/W$17)</f>
        <v>0.31659416779238569</v>
      </c>
      <c r="X151" s="46">
        <f t="shared" si="58"/>
        <v>0.31420766347513329</v>
      </c>
      <c r="Y151" s="46">
        <f t="shared" si="58"/>
        <v>0.30057155413396169</v>
      </c>
      <c r="DA151" s="211"/>
    </row>
    <row r="152" spans="1:105" ht="11.45" customHeight="1" x14ac:dyDescent="0.25">
      <c r="A152" s="153" t="s">
        <v>153</v>
      </c>
      <c r="B152" s="154">
        <f t="shared" ref="B152:K152" si="59">IF(B34=0,0,B34/B$17)</f>
        <v>0.10640131019496547</v>
      </c>
      <c r="C152" s="154">
        <f t="shared" si="59"/>
        <v>0.12059440228444084</v>
      </c>
      <c r="D152" s="154">
        <f t="shared" si="59"/>
        <v>0.10567503017768812</v>
      </c>
      <c r="E152" s="154">
        <f t="shared" si="59"/>
        <v>0.10593434838290978</v>
      </c>
      <c r="F152" s="154">
        <f t="shared" si="59"/>
        <v>0.10280774896117692</v>
      </c>
      <c r="G152" s="154">
        <f t="shared" si="59"/>
        <v>9.0357715788426843E-2</v>
      </c>
      <c r="H152" s="154">
        <f t="shared" si="59"/>
        <v>9.1060696581688458E-2</v>
      </c>
      <c r="I152" s="154">
        <f t="shared" si="59"/>
        <v>9.7492369453308372E-2</v>
      </c>
      <c r="J152" s="154">
        <f t="shared" si="59"/>
        <v>9.1461296311806453E-2</v>
      </c>
      <c r="K152" s="154">
        <f t="shared" si="59"/>
        <v>8.1010347345997769E-2</v>
      </c>
      <c r="L152" s="154">
        <f t="shared" ref="L152" si="60">IF(L34=0,0,L34/L$17)</f>
        <v>8.187087027109996E-2</v>
      </c>
      <c r="M152" s="154">
        <f t="shared" ref="M152:V152" si="61">IF(M34=0,0,M34/M$17)</f>
        <v>8.3392518235615914E-2</v>
      </c>
      <c r="N152" s="154">
        <f t="shared" si="61"/>
        <v>8.3887023140903197E-2</v>
      </c>
      <c r="O152" s="154">
        <f t="shared" si="61"/>
        <v>8.5858824525621685E-2</v>
      </c>
      <c r="P152" s="154">
        <f t="shared" si="61"/>
        <v>8.2537759288946494E-2</v>
      </c>
      <c r="Q152" s="154">
        <f t="shared" si="61"/>
        <v>8.28791843610584E-2</v>
      </c>
      <c r="R152" s="154">
        <f t="shared" si="61"/>
        <v>7.6852995141325459E-2</v>
      </c>
      <c r="S152" s="154">
        <f t="shared" si="61"/>
        <v>8.05926325108893E-2</v>
      </c>
      <c r="T152" s="154">
        <f t="shared" si="61"/>
        <v>7.9965950162710311E-2</v>
      </c>
      <c r="U152" s="154">
        <f t="shared" si="61"/>
        <v>7.9597057716172023E-2</v>
      </c>
      <c r="V152" s="154">
        <f t="shared" si="61"/>
        <v>6.3526994684763846E-2</v>
      </c>
      <c r="W152" s="154">
        <f t="shared" ref="W152:Y152" si="62">IF(W34=0,0,W34/W$17)</f>
        <v>8.0742244944890018E-2</v>
      </c>
      <c r="X152" s="154">
        <f t="shared" si="62"/>
        <v>8.4188981014595862E-2</v>
      </c>
      <c r="Y152" s="154">
        <f t="shared" si="62"/>
        <v>8.3216169407322252E-2</v>
      </c>
      <c r="DA152" s="212"/>
    </row>
    <row r="153" spans="1:105" ht="11.45" customHeight="1" x14ac:dyDescent="0.25">
      <c r="A153" s="157" t="s">
        <v>110</v>
      </c>
      <c r="B153" s="103">
        <f t="shared" ref="B153:K153" si="63">IF(B35=0,0,B35/B$17)</f>
        <v>8.2801389427896183E-3</v>
      </c>
      <c r="C153" s="103">
        <f t="shared" si="63"/>
        <v>8.6200169054779854E-3</v>
      </c>
      <c r="D153" s="103">
        <f t="shared" si="63"/>
        <v>6.0213263289548803E-3</v>
      </c>
      <c r="E153" s="103">
        <f t="shared" si="63"/>
        <v>5.1021414156306923E-3</v>
      </c>
      <c r="F153" s="103">
        <f t="shared" si="63"/>
        <v>4.1678129404260147E-3</v>
      </c>
      <c r="G153" s="103">
        <f t="shared" si="63"/>
        <v>3.0204787364566501E-3</v>
      </c>
      <c r="H153" s="103">
        <f t="shared" si="63"/>
        <v>2.5425711889550673E-3</v>
      </c>
      <c r="I153" s="103">
        <f t="shared" si="63"/>
        <v>2.2186854585638581E-3</v>
      </c>
      <c r="J153" s="103">
        <f t="shared" si="63"/>
        <v>1.8956422340602927E-3</v>
      </c>
      <c r="K153" s="103">
        <f t="shared" si="63"/>
        <v>1.7625052438348019E-3</v>
      </c>
      <c r="L153" s="103">
        <f t="shared" ref="L153" si="64">IF(L35=0,0,L35/L$17)</f>
        <v>1.7059102629873564E-3</v>
      </c>
      <c r="M153" s="103">
        <f t="shared" ref="M153:V153" si="65">IF(M35=0,0,M35/M$17)</f>
        <v>1.8036955608376267E-3</v>
      </c>
      <c r="N153" s="103">
        <f t="shared" si="65"/>
        <v>1.954404288659018E-3</v>
      </c>
      <c r="O153" s="103">
        <f t="shared" si="65"/>
        <v>1.8523498520527427E-3</v>
      </c>
      <c r="P153" s="103">
        <f t="shared" si="65"/>
        <v>1.2201602706284004E-3</v>
      </c>
      <c r="Q153" s="103">
        <f t="shared" si="65"/>
        <v>1.211656710729851E-3</v>
      </c>
      <c r="R153" s="103">
        <f t="shared" si="65"/>
        <v>1.0749998531858235E-3</v>
      </c>
      <c r="S153" s="103">
        <f t="shared" si="65"/>
        <v>1.1806347179689216E-3</v>
      </c>
      <c r="T153" s="103">
        <f t="shared" si="65"/>
        <v>1.2087813353164538E-3</v>
      </c>
      <c r="U153" s="103">
        <f t="shared" si="65"/>
        <v>1.271525459872368E-3</v>
      </c>
      <c r="V153" s="103">
        <f t="shared" si="65"/>
        <v>9.6520787717946312E-4</v>
      </c>
      <c r="W153" s="103">
        <f t="shared" ref="W153:Y153" si="66">IF(W35=0,0,W35/W$17)</f>
        <v>1.2962097898063041E-3</v>
      </c>
      <c r="X153" s="103">
        <f t="shared" si="66"/>
        <v>1.2823311175485051E-3</v>
      </c>
      <c r="Y153" s="103">
        <f t="shared" si="66"/>
        <v>1.0548288817639575E-3</v>
      </c>
      <c r="DA153" s="191"/>
    </row>
    <row r="154" spans="1:105" ht="11.45" customHeight="1" x14ac:dyDescent="0.25">
      <c r="A154" s="157" t="s">
        <v>111</v>
      </c>
      <c r="B154" s="103">
        <f t="shared" ref="B154:K154" si="67">IF(B36=0,0,B36/B$17)</f>
        <v>9.8121171252175843E-2</v>
      </c>
      <c r="C154" s="103">
        <f t="shared" si="67"/>
        <v>0.11197438537896286</v>
      </c>
      <c r="D154" s="103">
        <f t="shared" si="67"/>
        <v>9.9653703848733233E-2</v>
      </c>
      <c r="E154" s="103">
        <f t="shared" si="67"/>
        <v>0.10083220696727908</v>
      </c>
      <c r="F154" s="103">
        <f t="shared" si="67"/>
        <v>9.8639936020750899E-2</v>
      </c>
      <c r="G154" s="103">
        <f t="shared" si="67"/>
        <v>8.7337237051970204E-2</v>
      </c>
      <c r="H154" s="103">
        <f t="shared" si="67"/>
        <v>8.8518125392733391E-2</v>
      </c>
      <c r="I154" s="103">
        <f t="shared" si="67"/>
        <v>9.5273683994744507E-2</v>
      </c>
      <c r="J154" s="103">
        <f t="shared" si="67"/>
        <v>8.9565654077746165E-2</v>
      </c>
      <c r="K154" s="103">
        <f t="shared" si="67"/>
        <v>7.9247842102162971E-2</v>
      </c>
      <c r="L154" s="103">
        <f t="shared" ref="L154" si="68">IF(L36=0,0,L36/L$17)</f>
        <v>8.0164960008112601E-2</v>
      </c>
      <c r="M154" s="103">
        <f t="shared" ref="M154:V154" si="69">IF(M36=0,0,M36/M$17)</f>
        <v>8.158882267477828E-2</v>
      </c>
      <c r="N154" s="103">
        <f t="shared" si="69"/>
        <v>8.193186232855254E-2</v>
      </c>
      <c r="O154" s="103">
        <f t="shared" si="69"/>
        <v>8.4001213035650335E-2</v>
      </c>
      <c r="P154" s="103">
        <f t="shared" si="69"/>
        <v>8.1303641431871382E-2</v>
      </c>
      <c r="Q154" s="103">
        <f t="shared" si="69"/>
        <v>8.1630374770470304E-2</v>
      </c>
      <c r="R154" s="103">
        <f t="shared" si="69"/>
        <v>7.5727240672531934E-2</v>
      </c>
      <c r="S154" s="103">
        <f t="shared" si="69"/>
        <v>7.9335179960486044E-2</v>
      </c>
      <c r="T154" s="103">
        <f t="shared" si="69"/>
        <v>7.861975817328877E-2</v>
      </c>
      <c r="U154" s="103">
        <f t="shared" si="69"/>
        <v>7.8046957728185457E-2</v>
      </c>
      <c r="V154" s="103">
        <f t="shared" si="69"/>
        <v>6.2268197897554931E-2</v>
      </c>
      <c r="W154" s="103">
        <f t="shared" ref="W154:Y154" si="70">IF(W36=0,0,W36/W$17)</f>
        <v>7.8974388286731298E-2</v>
      </c>
      <c r="X154" s="103">
        <f t="shared" si="70"/>
        <v>8.2399437355732214E-2</v>
      </c>
      <c r="Y154" s="103">
        <f t="shared" si="70"/>
        <v>8.1637197528984115E-2</v>
      </c>
      <c r="DA154" s="191"/>
    </row>
    <row r="155" spans="1:105" ht="11.45" customHeight="1" x14ac:dyDescent="0.25">
      <c r="A155" s="157" t="s">
        <v>112</v>
      </c>
      <c r="B155" s="103">
        <f t="shared" ref="B155:K155" si="71">IF(B37=0,0,B37/B$17)</f>
        <v>0</v>
      </c>
      <c r="C155" s="103">
        <f t="shared" si="71"/>
        <v>0</v>
      </c>
      <c r="D155" s="103">
        <f t="shared" si="71"/>
        <v>0</v>
      </c>
      <c r="E155" s="103">
        <f t="shared" si="71"/>
        <v>0</v>
      </c>
      <c r="F155" s="103">
        <f t="shared" si="71"/>
        <v>0</v>
      </c>
      <c r="G155" s="103">
        <f t="shared" si="71"/>
        <v>0</v>
      </c>
      <c r="H155" s="103">
        <f t="shared" si="71"/>
        <v>0</v>
      </c>
      <c r="I155" s="103">
        <f t="shared" si="71"/>
        <v>0</v>
      </c>
      <c r="J155" s="103">
        <f t="shared" si="71"/>
        <v>0</v>
      </c>
      <c r="K155" s="103">
        <f t="shared" si="71"/>
        <v>0</v>
      </c>
      <c r="L155" s="103">
        <f t="shared" ref="L155" si="72">IF(L37=0,0,L37/L$17)</f>
        <v>0</v>
      </c>
      <c r="M155" s="103">
        <f t="shared" ref="M155:V155" si="73">IF(M37=0,0,M37/M$17)</f>
        <v>0</v>
      </c>
      <c r="N155" s="103">
        <f t="shared" si="73"/>
        <v>0</v>
      </c>
      <c r="O155" s="103">
        <f t="shared" si="73"/>
        <v>9.4733743866158224E-8</v>
      </c>
      <c r="P155" s="103">
        <f t="shared" si="73"/>
        <v>7.2410696785317422E-6</v>
      </c>
      <c r="Q155" s="103">
        <f t="shared" si="73"/>
        <v>1.7180646988900123E-5</v>
      </c>
      <c r="R155" s="103">
        <f t="shared" si="73"/>
        <v>2.7397203021237099E-5</v>
      </c>
      <c r="S155" s="103">
        <f t="shared" si="73"/>
        <v>4.3075441115335065E-5</v>
      </c>
      <c r="T155" s="103">
        <f t="shared" si="73"/>
        <v>8.424867969754732E-5</v>
      </c>
      <c r="U155" s="103">
        <f t="shared" si="73"/>
        <v>1.8455139328410984E-4</v>
      </c>
      <c r="V155" s="103">
        <f t="shared" si="73"/>
        <v>1.8573856410831167E-4</v>
      </c>
      <c r="W155" s="103">
        <f t="shared" ref="W155:Y155" si="74">IF(W37=0,0,W37/W$17)</f>
        <v>3.1172678604967188E-4</v>
      </c>
      <c r="X155" s="103">
        <f t="shared" si="74"/>
        <v>3.3991661133540244E-4</v>
      </c>
      <c r="Y155" s="103">
        <f t="shared" si="74"/>
        <v>3.572911668174047E-4</v>
      </c>
      <c r="DA155" s="191"/>
    </row>
    <row r="156" spans="1:105" ht="11.45" customHeight="1" x14ac:dyDescent="0.25">
      <c r="A156" s="157" t="s">
        <v>113</v>
      </c>
      <c r="B156" s="103">
        <f t="shared" ref="B156:K156" si="75">IF(B38=0,0,B38/B$17)</f>
        <v>0</v>
      </c>
      <c r="C156" s="103">
        <f t="shared" si="75"/>
        <v>0</v>
      </c>
      <c r="D156" s="103">
        <f t="shared" si="75"/>
        <v>0</v>
      </c>
      <c r="E156" s="103">
        <f t="shared" si="75"/>
        <v>0</v>
      </c>
      <c r="F156" s="103">
        <f t="shared" si="75"/>
        <v>0</v>
      </c>
      <c r="G156" s="103">
        <f t="shared" si="75"/>
        <v>0</v>
      </c>
      <c r="H156" s="103">
        <f t="shared" si="75"/>
        <v>0</v>
      </c>
      <c r="I156" s="103">
        <f t="shared" si="75"/>
        <v>0</v>
      </c>
      <c r="J156" s="103">
        <f t="shared" si="75"/>
        <v>0</v>
      </c>
      <c r="K156" s="103">
        <f t="shared" si="75"/>
        <v>0</v>
      </c>
      <c r="L156" s="103">
        <f t="shared" ref="L156" si="76">IF(L38=0,0,L38/L$17)</f>
        <v>0</v>
      </c>
      <c r="M156" s="103">
        <f t="shared" ref="M156:V156" si="77">IF(M38=0,0,M38/M$17)</f>
        <v>0</v>
      </c>
      <c r="N156" s="103">
        <f t="shared" si="77"/>
        <v>7.5652369164174884E-7</v>
      </c>
      <c r="O156" s="103">
        <f t="shared" si="77"/>
        <v>5.1669041747566424E-6</v>
      </c>
      <c r="P156" s="103">
        <f t="shared" si="77"/>
        <v>6.7165167681762826E-6</v>
      </c>
      <c r="Q156" s="103">
        <f t="shared" si="77"/>
        <v>1.9972232869347775E-5</v>
      </c>
      <c r="R156" s="103">
        <f t="shared" si="77"/>
        <v>2.3357412586467222E-5</v>
      </c>
      <c r="S156" s="103">
        <f t="shared" si="77"/>
        <v>3.3742391319005143E-5</v>
      </c>
      <c r="T156" s="103">
        <f t="shared" si="77"/>
        <v>5.316197440753704E-5</v>
      </c>
      <c r="U156" s="103">
        <f t="shared" si="77"/>
        <v>9.4023134830082541E-5</v>
      </c>
      <c r="V156" s="103">
        <f t="shared" si="77"/>
        <v>1.078503459211407E-4</v>
      </c>
      <c r="W156" s="103">
        <f t="shared" ref="W156:Y156" si="78">IF(W38=0,0,W38/W$17)</f>
        <v>1.5992008230272667E-4</v>
      </c>
      <c r="X156" s="103">
        <f t="shared" si="78"/>
        <v>1.6729592997974309E-4</v>
      </c>
      <c r="Y156" s="103">
        <f t="shared" si="78"/>
        <v>1.6685182975676753E-4</v>
      </c>
      <c r="DA156" s="191"/>
    </row>
    <row r="157" spans="1:105" ht="11.45" customHeight="1" x14ac:dyDescent="0.25">
      <c r="A157" s="157" t="s">
        <v>115</v>
      </c>
      <c r="B157" s="103">
        <f t="shared" ref="B157:K157" si="79">IF(B39=0,0,B39/B$17)</f>
        <v>0</v>
      </c>
      <c r="C157" s="103">
        <f t="shared" si="79"/>
        <v>0</v>
      </c>
      <c r="D157" s="103">
        <f t="shared" si="79"/>
        <v>0</v>
      </c>
      <c r="E157" s="103">
        <f t="shared" si="79"/>
        <v>0</v>
      </c>
      <c r="F157" s="103">
        <f t="shared" si="79"/>
        <v>0</v>
      </c>
      <c r="G157" s="103">
        <f t="shared" si="79"/>
        <v>0</v>
      </c>
      <c r="H157" s="103">
        <f t="shared" si="79"/>
        <v>0</v>
      </c>
      <c r="I157" s="103">
        <f t="shared" si="79"/>
        <v>0</v>
      </c>
      <c r="J157" s="103">
        <f t="shared" si="79"/>
        <v>0</v>
      </c>
      <c r="K157" s="103">
        <f t="shared" si="79"/>
        <v>0</v>
      </c>
      <c r="L157" s="103">
        <f t="shared" ref="L157" si="80">IF(L39=0,0,L39/L$17)</f>
        <v>0</v>
      </c>
      <c r="M157" s="103">
        <f t="shared" ref="M157:V157" si="81">IF(M39=0,0,M39/M$17)</f>
        <v>0</v>
      </c>
      <c r="N157" s="103">
        <f t="shared" si="81"/>
        <v>0</v>
      </c>
      <c r="O157" s="103">
        <f t="shared" si="81"/>
        <v>0</v>
      </c>
      <c r="P157" s="103">
        <f t="shared" si="81"/>
        <v>0</v>
      </c>
      <c r="Q157" s="103">
        <f t="shared" si="81"/>
        <v>0</v>
      </c>
      <c r="R157" s="103">
        <f t="shared" si="81"/>
        <v>0</v>
      </c>
      <c r="S157" s="103">
        <f t="shared" si="81"/>
        <v>0</v>
      </c>
      <c r="T157" s="103">
        <f t="shared" si="81"/>
        <v>0</v>
      </c>
      <c r="U157" s="103">
        <f t="shared" si="81"/>
        <v>0</v>
      </c>
      <c r="V157" s="103">
        <f t="shared" si="81"/>
        <v>0</v>
      </c>
      <c r="W157" s="103">
        <f t="shared" ref="W157:Y157" si="82">IF(W39=0,0,W39/W$17)</f>
        <v>0</v>
      </c>
      <c r="X157" s="103">
        <f t="shared" si="82"/>
        <v>0</v>
      </c>
      <c r="Y157" s="103">
        <f t="shared" si="82"/>
        <v>0</v>
      </c>
      <c r="DA157" s="191"/>
    </row>
    <row r="158" spans="1:105" ht="11.45" customHeight="1" x14ac:dyDescent="0.25">
      <c r="A158" s="155" t="s">
        <v>154</v>
      </c>
      <c r="B158" s="156">
        <f t="shared" ref="B158:K158" si="83">IF(B40=0,0,B40/B$17)</f>
        <v>0.24826135508357677</v>
      </c>
      <c r="C158" s="156">
        <f t="shared" si="83"/>
        <v>0.24910144118518338</v>
      </c>
      <c r="D158" s="156">
        <f t="shared" si="83"/>
        <v>0.25619198141731142</v>
      </c>
      <c r="E158" s="156">
        <f t="shared" si="83"/>
        <v>0.25878132125770736</v>
      </c>
      <c r="F158" s="156">
        <f t="shared" si="83"/>
        <v>0.2678224266649335</v>
      </c>
      <c r="G158" s="156">
        <f t="shared" si="83"/>
        <v>0.2710121792879624</v>
      </c>
      <c r="H158" s="156">
        <f t="shared" si="83"/>
        <v>0.26724646853004769</v>
      </c>
      <c r="I158" s="156">
        <f t="shared" si="83"/>
        <v>0.26496406481203155</v>
      </c>
      <c r="J158" s="156">
        <f t="shared" si="83"/>
        <v>0.25604922666632468</v>
      </c>
      <c r="K158" s="156">
        <f t="shared" si="83"/>
        <v>0.23537654455290233</v>
      </c>
      <c r="L158" s="156">
        <f t="shared" ref="L158" si="84">IF(L40=0,0,L40/L$17)</f>
        <v>0.23302322262761568</v>
      </c>
      <c r="M158" s="156">
        <f t="shared" ref="M158:V158" si="85">IF(M40=0,0,M40/M$17)</f>
        <v>0.22491982661081886</v>
      </c>
      <c r="N158" s="156">
        <f t="shared" si="85"/>
        <v>0.20760689065549501</v>
      </c>
      <c r="O158" s="156">
        <f t="shared" si="85"/>
        <v>0.20609567500031639</v>
      </c>
      <c r="P158" s="156">
        <f t="shared" si="85"/>
        <v>0.20955432551412442</v>
      </c>
      <c r="Q158" s="156">
        <f t="shared" si="85"/>
        <v>0.21533993587853123</v>
      </c>
      <c r="R158" s="156">
        <f t="shared" si="85"/>
        <v>0.23903494513424861</v>
      </c>
      <c r="S158" s="156">
        <f t="shared" si="85"/>
        <v>0.24179044223529514</v>
      </c>
      <c r="T158" s="156">
        <f t="shared" si="85"/>
        <v>0.24570411832679268</v>
      </c>
      <c r="U158" s="156">
        <f t="shared" si="85"/>
        <v>0.23155571238519188</v>
      </c>
      <c r="V158" s="156">
        <f t="shared" si="85"/>
        <v>0.26023627984051462</v>
      </c>
      <c r="W158" s="156">
        <f t="shared" ref="W158:Y158" si="86">IF(W40=0,0,W40/W$17)</f>
        <v>0.2358519228474957</v>
      </c>
      <c r="X158" s="156">
        <f t="shared" si="86"/>
        <v>0.23001868246053744</v>
      </c>
      <c r="Y158" s="156">
        <f t="shared" si="86"/>
        <v>0.21735538472663948</v>
      </c>
      <c r="DA158" s="213"/>
    </row>
    <row r="159" spans="1:105" ht="11.45" customHeight="1" x14ac:dyDescent="0.25">
      <c r="A159" s="157" t="s">
        <v>27</v>
      </c>
      <c r="B159" s="103">
        <f t="shared" ref="B159:K159" si="87">IF(B41=0,0,B41/B$17)</f>
        <v>0.20062526805248598</v>
      </c>
      <c r="C159" s="103">
        <f t="shared" si="87"/>
        <v>0.20198297089202033</v>
      </c>
      <c r="D159" s="103">
        <f t="shared" si="87"/>
        <v>0.21091722373002861</v>
      </c>
      <c r="E159" s="103">
        <f t="shared" si="87"/>
        <v>0.21459335594683313</v>
      </c>
      <c r="F159" s="103">
        <f t="shared" si="87"/>
        <v>0.22021599340125175</v>
      </c>
      <c r="G159" s="103">
        <f t="shared" si="87"/>
        <v>0.22403963063202614</v>
      </c>
      <c r="H159" s="103">
        <f t="shared" si="87"/>
        <v>0.22194380812482245</v>
      </c>
      <c r="I159" s="103">
        <f t="shared" si="87"/>
        <v>0.22195636581547379</v>
      </c>
      <c r="J159" s="103">
        <f t="shared" si="87"/>
        <v>0.21435477252554574</v>
      </c>
      <c r="K159" s="103">
        <f t="shared" si="87"/>
        <v>0.1953834497755946</v>
      </c>
      <c r="L159" s="103">
        <f t="shared" ref="L159" si="88">IF(L41=0,0,L41/L$17)</f>
        <v>0.19281234034520967</v>
      </c>
      <c r="M159" s="103">
        <f t="shared" ref="M159:V159" si="89">IF(M41=0,0,M41/M$17)</f>
        <v>0.18556825628772858</v>
      </c>
      <c r="N159" s="103">
        <f t="shared" si="89"/>
        <v>0.17022097587597579</v>
      </c>
      <c r="O159" s="103">
        <f t="shared" si="89"/>
        <v>0.1644878376459448</v>
      </c>
      <c r="P159" s="103">
        <f t="shared" si="89"/>
        <v>0.16837428560159676</v>
      </c>
      <c r="Q159" s="103">
        <f t="shared" si="89"/>
        <v>0.17314643838145785</v>
      </c>
      <c r="R159" s="103">
        <f t="shared" si="89"/>
        <v>0.19249969625378988</v>
      </c>
      <c r="S159" s="103">
        <f t="shared" si="89"/>
        <v>0.19508244375960412</v>
      </c>
      <c r="T159" s="103">
        <f t="shared" si="89"/>
        <v>0.19715758054102084</v>
      </c>
      <c r="U159" s="103">
        <f t="shared" si="89"/>
        <v>0.18543418901773484</v>
      </c>
      <c r="V159" s="103">
        <f t="shared" si="89"/>
        <v>0.20932361175663786</v>
      </c>
      <c r="W159" s="103">
        <f t="shared" ref="W159:Y159" si="90">IF(W41=0,0,W41/W$17)</f>
        <v>0.1894193088925501</v>
      </c>
      <c r="X159" s="103">
        <f t="shared" si="90"/>
        <v>0.18271932510556285</v>
      </c>
      <c r="Y159" s="103">
        <f t="shared" si="90"/>
        <v>0.17437211785302606</v>
      </c>
      <c r="DA159" s="191"/>
    </row>
    <row r="160" spans="1:105" ht="11.45" customHeight="1" x14ac:dyDescent="0.25">
      <c r="A160" s="158" t="s">
        <v>116</v>
      </c>
      <c r="B160" s="105">
        <f t="shared" ref="B160:K160" si="91">IF(B42=0,0,B42/B$17)</f>
        <v>4.7636087031090762E-2</v>
      </c>
      <c r="C160" s="105">
        <f t="shared" si="91"/>
        <v>4.7118470293163045E-2</v>
      </c>
      <c r="D160" s="105">
        <f t="shared" si="91"/>
        <v>4.5274757687282778E-2</v>
      </c>
      <c r="E160" s="105">
        <f t="shared" si="91"/>
        <v>4.4187965310874218E-2</v>
      </c>
      <c r="F160" s="105">
        <f t="shared" si="91"/>
        <v>4.7606433263681719E-2</v>
      </c>
      <c r="G160" s="105">
        <f t="shared" si="91"/>
        <v>4.6972548655936253E-2</v>
      </c>
      <c r="H160" s="105">
        <f t="shared" si="91"/>
        <v>4.5302660405225237E-2</v>
      </c>
      <c r="I160" s="105">
        <f t="shared" si="91"/>
        <v>4.3007698996557805E-2</v>
      </c>
      <c r="J160" s="105">
        <f t="shared" si="91"/>
        <v>4.1694454140778915E-2</v>
      </c>
      <c r="K160" s="105">
        <f t="shared" si="91"/>
        <v>3.9993094777307725E-2</v>
      </c>
      <c r="L160" s="105">
        <f t="shared" ref="L160" si="92">IF(L42=0,0,L42/L$17)</f>
        <v>4.0210882282406012E-2</v>
      </c>
      <c r="M160" s="105">
        <f t="shared" ref="M160:V160" si="93">IF(M42=0,0,M42/M$17)</f>
        <v>3.9351570323090244E-2</v>
      </c>
      <c r="N160" s="105">
        <f t="shared" si="93"/>
        <v>3.738591477951924E-2</v>
      </c>
      <c r="O160" s="105">
        <f t="shared" si="93"/>
        <v>4.1607837354371596E-2</v>
      </c>
      <c r="P160" s="105">
        <f t="shared" si="93"/>
        <v>4.1180039912527666E-2</v>
      </c>
      <c r="Q160" s="105">
        <f t="shared" si="93"/>
        <v>4.2193497497073393E-2</v>
      </c>
      <c r="R160" s="105">
        <f t="shared" si="93"/>
        <v>4.6535248880458763E-2</v>
      </c>
      <c r="S160" s="105">
        <f t="shared" si="93"/>
        <v>4.6707998475691015E-2</v>
      </c>
      <c r="T160" s="105">
        <f t="shared" si="93"/>
        <v>4.8546537785771858E-2</v>
      </c>
      <c r="U160" s="105">
        <f t="shared" si="93"/>
        <v>4.6121523367457055E-2</v>
      </c>
      <c r="V160" s="105">
        <f t="shared" si="93"/>
        <v>5.0912668083876803E-2</v>
      </c>
      <c r="W160" s="105">
        <f t="shared" ref="W160:Y160" si="94">IF(W42=0,0,W42/W$17)</f>
        <v>4.6432613954945627E-2</v>
      </c>
      <c r="X160" s="105">
        <f t="shared" si="94"/>
        <v>4.7299357354974585E-2</v>
      </c>
      <c r="Y160" s="105">
        <f t="shared" si="94"/>
        <v>4.2983266873613396E-2</v>
      </c>
      <c r="DA160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Y5 B10:Y10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DA248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836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DA2" s="171"/>
    </row>
    <row r="3" spans="1:105" ht="11.45" customHeight="1" x14ac:dyDescent="0.25">
      <c r="A3" s="53" t="s">
        <v>109</v>
      </c>
      <c r="B3" s="54">
        <f>TrRoad_act!B57</f>
        <v>24268988</v>
      </c>
      <c r="C3" s="54">
        <f>TrRoad_act!C57</f>
        <v>25119674</v>
      </c>
      <c r="D3" s="54">
        <f>TrRoad_act!D57</f>
        <v>25915058</v>
      </c>
      <c r="E3" s="54">
        <f>TrRoad_act!E57</f>
        <v>26082891</v>
      </c>
      <c r="F3" s="54">
        <f>TrRoad_act!F57</f>
        <v>27359383</v>
      </c>
      <c r="G3" s="54">
        <f>TrRoad_act!G57</f>
        <v>28422663</v>
      </c>
      <c r="H3" s="54">
        <f>TrRoad_act!H57</f>
        <v>29578978</v>
      </c>
      <c r="I3" s="54">
        <f>TrRoad_act!I57</f>
        <v>31272239</v>
      </c>
      <c r="J3" s="54">
        <f>TrRoad_act!J57</f>
        <v>31503792</v>
      </c>
      <c r="K3" s="54">
        <f>TrRoad_act!K57</f>
        <v>30837014</v>
      </c>
      <c r="L3" s="54">
        <f>TrRoad_act!L57</f>
        <v>30854047</v>
      </c>
      <c r="M3" s="54">
        <f>TrRoad_act!M57</f>
        <v>30863612</v>
      </c>
      <c r="N3" s="54">
        <f>TrRoad_act!N57</f>
        <v>30582788</v>
      </c>
      <c r="O3" s="54">
        <f>TrRoad_act!O57</f>
        <v>30068170</v>
      </c>
      <c r="P3" s="54">
        <f>TrRoad_act!P57</f>
        <v>30202043</v>
      </c>
      <c r="Q3" s="54">
        <f>TrRoad_act!Q57</f>
        <v>30863003</v>
      </c>
      <c r="R3" s="54">
        <f>TrRoad_act!R57</f>
        <v>31305713</v>
      </c>
      <c r="S3" s="54">
        <f>TrRoad_act!S57</f>
        <v>33373740</v>
      </c>
      <c r="T3" s="54">
        <f>TrRoad_act!T57</f>
        <v>34162852</v>
      </c>
      <c r="U3" s="54">
        <f>TrRoad_act!U57</f>
        <v>34855718</v>
      </c>
      <c r="V3" s="54">
        <f>TrRoad_act!V57</f>
        <v>35171537</v>
      </c>
      <c r="W3" s="54">
        <f>TrRoad_act!W57</f>
        <v>35542398</v>
      </c>
      <c r="X3" s="54">
        <f>TrRoad_act!X57</f>
        <v>35983897</v>
      </c>
      <c r="Y3" s="54">
        <f>TrRoad_act!Y57</f>
        <v>36337856</v>
      </c>
      <c r="DA3" s="172" t="s">
        <v>500</v>
      </c>
    </row>
    <row r="4" spans="1:105" ht="11.45" customHeight="1" x14ac:dyDescent="0.25">
      <c r="A4" s="27" t="s">
        <v>33</v>
      </c>
      <c r="B4" s="28">
        <f>TrRoad_act!B58</f>
        <v>20763863</v>
      </c>
      <c r="C4" s="28">
        <f>TrRoad_act!C58</f>
        <v>21497462</v>
      </c>
      <c r="D4" s="28">
        <f>TrRoad_act!D58</f>
        <v>22351411</v>
      </c>
      <c r="E4" s="28">
        <f>TrRoad_act!E58</f>
        <v>22401300</v>
      </c>
      <c r="F4" s="28">
        <f>TrRoad_act!F58</f>
        <v>23453329</v>
      </c>
      <c r="G4" s="28">
        <f>TrRoad_act!G58</f>
        <v>24426225</v>
      </c>
      <c r="H4" s="28">
        <f>TrRoad_act!H58</f>
        <v>25514653</v>
      </c>
      <c r="I4" s="28">
        <f>TrRoad_act!I58</f>
        <v>26562958</v>
      </c>
      <c r="J4" s="28">
        <f>TrRoad_act!J58</f>
        <v>27118729</v>
      </c>
      <c r="K4" s="28">
        <f>TrRoad_act!K58</f>
        <v>27005542</v>
      </c>
      <c r="L4" s="28">
        <f>TrRoad_act!L58</f>
        <v>27208134</v>
      </c>
      <c r="M4" s="28">
        <f>TrRoad_act!M58</f>
        <v>27366819</v>
      </c>
      <c r="N4" s="28">
        <f>TrRoad_act!N58</f>
        <v>27332323</v>
      </c>
      <c r="O4" s="28">
        <f>TrRoad_act!O58</f>
        <v>27083212</v>
      </c>
      <c r="P4" s="28">
        <f>TrRoad_act!P58</f>
        <v>27122520</v>
      </c>
      <c r="Q4" s="28">
        <f>TrRoad_act!Q58</f>
        <v>27518475</v>
      </c>
      <c r="R4" s="28">
        <f>TrRoad_act!R58</f>
        <v>28005605</v>
      </c>
      <c r="S4" s="28">
        <f>TrRoad_act!S58</f>
        <v>30010619</v>
      </c>
      <c r="T4" s="28">
        <f>TrRoad_act!T58</f>
        <v>30729979</v>
      </c>
      <c r="U4" s="28">
        <f>TrRoad_act!U58</f>
        <v>31383010</v>
      </c>
      <c r="V4" s="28">
        <f>TrRoad_act!V58</f>
        <v>31689799</v>
      </c>
      <c r="W4" s="28">
        <f>TrRoad_act!W58</f>
        <v>32054378</v>
      </c>
      <c r="X4" s="28">
        <f>TrRoad_act!X58</f>
        <v>32480433</v>
      </c>
      <c r="Y4" s="28">
        <f>TrRoad_act!Y58</f>
        <v>32782809</v>
      </c>
      <c r="DA4" s="173" t="s">
        <v>501</v>
      </c>
    </row>
    <row r="5" spans="1:105" ht="11.45" customHeight="1" x14ac:dyDescent="0.25">
      <c r="A5" s="136" t="s">
        <v>173</v>
      </c>
      <c r="B5" s="137">
        <f>TrRoad_act!B59</f>
        <v>3242201</v>
      </c>
      <c r="C5" s="137">
        <f>TrRoad_act!C59</f>
        <v>3290200</v>
      </c>
      <c r="D5" s="137">
        <f>TrRoad_act!D59</f>
        <v>3561450</v>
      </c>
      <c r="E5" s="137">
        <f>TrRoad_act!E59</f>
        <v>3657119</v>
      </c>
      <c r="F5" s="137">
        <f>TrRoad_act!F59</f>
        <v>3854128</v>
      </c>
      <c r="G5" s="137">
        <f>TrRoad_act!G59</f>
        <v>4117600.0000000005</v>
      </c>
      <c r="H5" s="137">
        <f>TrRoad_act!H59</f>
        <v>4401146</v>
      </c>
      <c r="I5" s="137">
        <f>TrRoad_act!I59</f>
        <v>4741760</v>
      </c>
      <c r="J5" s="137">
        <f>TrRoad_act!J59</f>
        <v>4911504</v>
      </c>
      <c r="K5" s="137">
        <f>TrRoad_act!K59</f>
        <v>4958879</v>
      </c>
      <c r="L5" s="137">
        <f>TrRoad_act!L59</f>
        <v>4997689</v>
      </c>
      <c r="M5" s="137">
        <f>TrRoad_act!M59</f>
        <v>5027461</v>
      </c>
      <c r="N5" s="137">
        <f>TrRoad_act!N59</f>
        <v>5021965</v>
      </c>
      <c r="O5" s="137">
        <f>TrRoad_act!O59</f>
        <v>4998320</v>
      </c>
      <c r="P5" s="137">
        <f>TrRoad_act!P59</f>
        <v>5033209</v>
      </c>
      <c r="Q5" s="137">
        <f>TrRoad_act!Q59</f>
        <v>5102674</v>
      </c>
      <c r="R5" s="137">
        <f>TrRoad_act!R59</f>
        <v>5066933</v>
      </c>
      <c r="S5" s="137">
        <f>TrRoad_act!S59</f>
        <v>5288571</v>
      </c>
      <c r="T5" s="137">
        <f>TrRoad_act!T59</f>
        <v>5379212</v>
      </c>
      <c r="U5" s="137">
        <f>TrRoad_act!U59</f>
        <v>5499013</v>
      </c>
      <c r="V5" s="137">
        <f>TrRoad_act!V59</f>
        <v>5609085</v>
      </c>
      <c r="W5" s="137">
        <f>TrRoad_act!W59</f>
        <v>5713340</v>
      </c>
      <c r="X5" s="137">
        <f>TrRoad_act!X59</f>
        <v>5826853</v>
      </c>
      <c r="Y5" s="137">
        <f>TrRoad_act!Y59</f>
        <v>5955283</v>
      </c>
      <c r="DA5" s="174" t="s">
        <v>502</v>
      </c>
    </row>
    <row r="6" spans="1:105" ht="11.45" customHeight="1" x14ac:dyDescent="0.25">
      <c r="A6" s="109" t="s">
        <v>20</v>
      </c>
      <c r="B6" s="110">
        <f>TrRoad_act!B60</f>
        <v>17466814</v>
      </c>
      <c r="C6" s="110">
        <f>TrRoad_act!C60</f>
        <v>18151000</v>
      </c>
      <c r="D6" s="110">
        <f>TrRoad_act!D60</f>
        <v>18733000</v>
      </c>
      <c r="E6" s="110">
        <f>TrRoad_act!E60</f>
        <v>18688000</v>
      </c>
      <c r="F6" s="110">
        <f>TrRoad_act!F60</f>
        <v>19542000</v>
      </c>
      <c r="G6" s="110">
        <f>TrRoad_act!G60</f>
        <v>20250377</v>
      </c>
      <c r="H6" s="110">
        <f>TrRoad_act!H60</f>
        <v>21053000</v>
      </c>
      <c r="I6" s="110">
        <f>TrRoad_act!I60</f>
        <v>21760000</v>
      </c>
      <c r="J6" s="110">
        <f>TrRoad_act!J60</f>
        <v>22145000</v>
      </c>
      <c r="K6" s="110">
        <f>TrRoad_act!K60</f>
        <v>21984000</v>
      </c>
      <c r="L6" s="110">
        <f>TrRoad_act!L60</f>
        <v>22148000</v>
      </c>
      <c r="M6" s="110">
        <f>TrRoad_act!M60</f>
        <v>22277000</v>
      </c>
      <c r="N6" s="110">
        <f>TrRoad_act!N60</f>
        <v>22248000</v>
      </c>
      <c r="O6" s="110">
        <f>TrRoad_act!O60</f>
        <v>22025000</v>
      </c>
      <c r="P6" s="110">
        <f>TrRoad_act!P60</f>
        <v>22029512</v>
      </c>
      <c r="Q6" s="110">
        <f>TrRoad_act!Q60</f>
        <v>22355549</v>
      </c>
      <c r="R6" s="110">
        <f>TrRoad_act!R60</f>
        <v>22876834</v>
      </c>
      <c r="S6" s="110">
        <f>TrRoad_act!S60</f>
        <v>24676557</v>
      </c>
      <c r="T6" s="110">
        <f>TrRoad_act!T60</f>
        <v>25304190</v>
      </c>
      <c r="U6" s="110">
        <f>TrRoad_act!U60</f>
        <v>25836586</v>
      </c>
      <c r="V6" s="110">
        <f>TrRoad_act!V60</f>
        <v>26034347</v>
      </c>
      <c r="W6" s="110">
        <f>TrRoad_act!W60</f>
        <v>26293882</v>
      </c>
      <c r="X6" s="110">
        <f>TrRoad_act!X60</f>
        <v>26605478</v>
      </c>
      <c r="Y6" s="110">
        <f>TrRoad_act!Y60</f>
        <v>26778142</v>
      </c>
      <c r="DA6" s="176" t="s">
        <v>503</v>
      </c>
    </row>
    <row r="7" spans="1:105" ht="11.45" customHeight="1" x14ac:dyDescent="0.25">
      <c r="A7" s="111" t="s">
        <v>110</v>
      </c>
      <c r="B7" s="84">
        <f>TrRoad_act!B61</f>
        <v>12747000</v>
      </c>
      <c r="C7" s="84">
        <f>TrRoad_act!C61</f>
        <v>12783451</v>
      </c>
      <c r="D7" s="84">
        <f>TrRoad_act!D61</f>
        <v>12716658</v>
      </c>
      <c r="E7" s="84">
        <f>TrRoad_act!E61</f>
        <v>12085193</v>
      </c>
      <c r="F7" s="84">
        <f>TrRoad_act!F61</f>
        <v>12024101</v>
      </c>
      <c r="G7" s="84">
        <f>TrRoad_act!G61</f>
        <v>11840477</v>
      </c>
      <c r="H7" s="84">
        <f>TrRoad_act!H61</f>
        <v>11662923</v>
      </c>
      <c r="I7" s="84">
        <f>TrRoad_act!I61</f>
        <v>11497796</v>
      </c>
      <c r="J7" s="84">
        <f>TrRoad_act!J61</f>
        <v>11345358</v>
      </c>
      <c r="K7" s="84">
        <f>TrRoad_act!K61</f>
        <v>10903549</v>
      </c>
      <c r="L7" s="84">
        <f>TrRoad_act!L61</f>
        <v>10682509</v>
      </c>
      <c r="M7" s="84">
        <f>TrRoad_act!M61</f>
        <v>10520117</v>
      </c>
      <c r="N7" s="84">
        <f>TrRoad_act!N61</f>
        <v>10316522</v>
      </c>
      <c r="O7" s="84">
        <f>TrRoad_act!O61</f>
        <v>9960386</v>
      </c>
      <c r="P7" s="84">
        <f>TrRoad_act!P61</f>
        <v>9707492</v>
      </c>
      <c r="Q7" s="84">
        <f>TrRoad_act!Q61</f>
        <v>9686021</v>
      </c>
      <c r="R7" s="84">
        <f>TrRoad_act!R61</f>
        <v>9957120</v>
      </c>
      <c r="S7" s="84">
        <f>TrRoad_act!S61</f>
        <v>10231248</v>
      </c>
      <c r="T7" s="84">
        <f>TrRoad_act!T61</f>
        <v>10644339</v>
      </c>
      <c r="U7" s="84">
        <f>TrRoad_act!U61</f>
        <v>11080884</v>
      </c>
      <c r="V7" s="84">
        <f>TrRoad_act!V61</f>
        <v>11253368</v>
      </c>
      <c r="W7" s="84">
        <f>TrRoad_act!W61</f>
        <v>11510275</v>
      </c>
      <c r="X7" s="84">
        <f>TrRoad_act!X61</f>
        <v>11807169</v>
      </c>
      <c r="Y7" s="84">
        <f>TrRoad_act!Y61</f>
        <v>11943441</v>
      </c>
      <c r="DA7" s="171" t="s">
        <v>504</v>
      </c>
    </row>
    <row r="8" spans="1:105" ht="11.45" customHeight="1" x14ac:dyDescent="0.25">
      <c r="A8" s="111" t="s">
        <v>111</v>
      </c>
      <c r="B8" s="84">
        <f>TrRoad_act!B62</f>
        <v>4702000</v>
      </c>
      <c r="C8" s="84">
        <f>TrRoad_act!C62</f>
        <v>5349749</v>
      </c>
      <c r="D8" s="84">
        <f>TrRoad_act!D62</f>
        <v>5998179</v>
      </c>
      <c r="E8" s="84">
        <f>TrRoad_act!E62</f>
        <v>6586110</v>
      </c>
      <c r="F8" s="84">
        <f>TrRoad_act!F62</f>
        <v>7500202</v>
      </c>
      <c r="G8" s="84">
        <f>TrRoad_act!G62</f>
        <v>8395305</v>
      </c>
      <c r="H8" s="84">
        <f>TrRoad_act!H62</f>
        <v>9374085</v>
      </c>
      <c r="I8" s="84">
        <f>TrRoad_act!I62</f>
        <v>10248239</v>
      </c>
      <c r="J8" s="84">
        <f>TrRoad_act!J62</f>
        <v>10787869</v>
      </c>
      <c r="K8" s="84">
        <f>TrRoad_act!K62</f>
        <v>11066792</v>
      </c>
      <c r="L8" s="84">
        <f>TrRoad_act!L62</f>
        <v>11450215</v>
      </c>
      <c r="M8" s="84">
        <f>TrRoad_act!M62</f>
        <v>11740176</v>
      </c>
      <c r="N8" s="84">
        <f>TrRoad_act!N62</f>
        <v>11905367</v>
      </c>
      <c r="O8" s="84">
        <f>TrRoad_act!O62</f>
        <v>12035206</v>
      </c>
      <c r="P8" s="84">
        <f>TrRoad_act!P62</f>
        <v>12289257</v>
      </c>
      <c r="Q8" s="84">
        <f>TrRoad_act!Q62</f>
        <v>12631929</v>
      </c>
      <c r="R8" s="84">
        <f>TrRoad_act!R62</f>
        <v>12877327</v>
      </c>
      <c r="S8" s="84">
        <f>TrRoad_act!S62</f>
        <v>14391494</v>
      </c>
      <c r="T8" s="84">
        <f>TrRoad_act!T62</f>
        <v>14575948</v>
      </c>
      <c r="U8" s="84">
        <f>TrRoad_act!U62</f>
        <v>14638093</v>
      </c>
      <c r="V8" s="84">
        <f>TrRoad_act!V62</f>
        <v>14617821</v>
      </c>
      <c r="W8" s="84">
        <f>TrRoad_act!W62</f>
        <v>14547303</v>
      </c>
      <c r="X8" s="84">
        <f>TrRoad_act!X62</f>
        <v>14464461</v>
      </c>
      <c r="Y8" s="84">
        <f>TrRoad_act!Y62</f>
        <v>14350968</v>
      </c>
      <c r="DA8" s="171" t="s">
        <v>505</v>
      </c>
    </row>
    <row r="9" spans="1:105" ht="11.45" customHeight="1" x14ac:dyDescent="0.25">
      <c r="A9" s="111" t="s">
        <v>112</v>
      </c>
      <c r="B9" s="84">
        <f>TrRoad_act!B63</f>
        <v>17814</v>
      </c>
      <c r="C9" s="84">
        <f>TrRoad_act!C63</f>
        <v>17800</v>
      </c>
      <c r="D9" s="84">
        <f>TrRoad_act!D63</f>
        <v>18163</v>
      </c>
      <c r="E9" s="84">
        <f>TrRoad_act!E63</f>
        <v>16697</v>
      </c>
      <c r="F9" s="84">
        <f>TrRoad_act!F63</f>
        <v>16012</v>
      </c>
      <c r="G9" s="84">
        <f>TrRoad_act!G63</f>
        <v>10909</v>
      </c>
      <c r="H9" s="84">
        <f>TrRoad_act!H63</f>
        <v>9880</v>
      </c>
      <c r="I9" s="84">
        <f>TrRoad_act!I63</f>
        <v>7951</v>
      </c>
      <c r="J9" s="84">
        <f>TrRoad_act!J63</f>
        <v>5564</v>
      </c>
      <c r="K9" s="84">
        <f>TrRoad_act!K63</f>
        <v>7330</v>
      </c>
      <c r="L9" s="84">
        <f>TrRoad_act!L63</f>
        <v>8678</v>
      </c>
      <c r="M9" s="84">
        <f>TrRoad_act!M63</f>
        <v>9671</v>
      </c>
      <c r="N9" s="84">
        <f>TrRoad_act!N63</f>
        <v>14184</v>
      </c>
      <c r="O9" s="84">
        <f>TrRoad_act!O63</f>
        <v>15027</v>
      </c>
      <c r="P9" s="84">
        <f>TrRoad_act!P63</f>
        <v>17852</v>
      </c>
      <c r="Q9" s="84">
        <f>TrRoad_act!Q63</f>
        <v>20517</v>
      </c>
      <c r="R9" s="84">
        <f>TrRoad_act!R63</f>
        <v>21938</v>
      </c>
      <c r="S9" s="84">
        <f>TrRoad_act!S63</f>
        <v>25580</v>
      </c>
      <c r="T9" s="84">
        <f>TrRoad_act!T63</f>
        <v>40090</v>
      </c>
      <c r="U9" s="84">
        <f>TrRoad_act!U63</f>
        <v>55994</v>
      </c>
      <c r="V9" s="84">
        <f>TrRoad_act!V63</f>
        <v>58837</v>
      </c>
      <c r="W9" s="84">
        <f>TrRoad_act!W63</f>
        <v>60784</v>
      </c>
      <c r="X9" s="84">
        <f>TrRoad_act!X63</f>
        <v>77564</v>
      </c>
      <c r="Y9" s="84">
        <f>TrRoad_act!Y63</f>
        <v>116684</v>
      </c>
      <c r="DA9" s="171" t="s">
        <v>506</v>
      </c>
    </row>
    <row r="10" spans="1:105" ht="11.45" customHeight="1" x14ac:dyDescent="0.25">
      <c r="A10" s="111" t="s">
        <v>113</v>
      </c>
      <c r="B10" s="84">
        <f>TrRoad_act!B64</f>
        <v>0</v>
      </c>
      <c r="C10" s="84">
        <f>TrRoad_act!C64</f>
        <v>0</v>
      </c>
      <c r="D10" s="84">
        <f>TrRoad_act!D64</f>
        <v>0</v>
      </c>
      <c r="E10" s="84">
        <f>TrRoad_act!E64</f>
        <v>0</v>
      </c>
      <c r="F10" s="84">
        <f>TrRoad_act!F64</f>
        <v>1685</v>
      </c>
      <c r="G10" s="84">
        <f>TrRoad_act!G64</f>
        <v>3686</v>
      </c>
      <c r="H10" s="84">
        <f>TrRoad_act!H64</f>
        <v>6112</v>
      </c>
      <c r="I10" s="84">
        <f>TrRoad_act!I64</f>
        <v>6014</v>
      </c>
      <c r="J10" s="84">
        <f>TrRoad_act!J64</f>
        <v>6209</v>
      </c>
      <c r="K10" s="84">
        <f>TrRoad_act!K64</f>
        <v>6328</v>
      </c>
      <c r="L10" s="84">
        <f>TrRoad_act!L64</f>
        <v>6522</v>
      </c>
      <c r="M10" s="84">
        <f>TrRoad_act!M64</f>
        <v>6460</v>
      </c>
      <c r="N10" s="84">
        <f>TrRoad_act!N64</f>
        <v>10795</v>
      </c>
      <c r="O10" s="84">
        <f>TrRoad_act!O64</f>
        <v>12170</v>
      </c>
      <c r="P10" s="84">
        <f>TrRoad_act!P64</f>
        <v>11467</v>
      </c>
      <c r="Q10" s="84">
        <f>TrRoad_act!Q64</f>
        <v>11234</v>
      </c>
      <c r="R10" s="84">
        <f>TrRoad_act!R64</f>
        <v>10834</v>
      </c>
      <c r="S10" s="84">
        <f>TrRoad_act!S64</f>
        <v>11507</v>
      </c>
      <c r="T10" s="84">
        <f>TrRoad_act!T64</f>
        <v>15111</v>
      </c>
      <c r="U10" s="84">
        <f>TrRoad_act!U64</f>
        <v>15094</v>
      </c>
      <c r="V10" s="84">
        <f>TrRoad_act!V64</f>
        <v>15783</v>
      </c>
      <c r="W10" s="84">
        <f>TrRoad_act!W64</f>
        <v>16286</v>
      </c>
      <c r="X10" s="84">
        <f>TrRoad_act!X64</f>
        <v>16911</v>
      </c>
      <c r="Y10" s="84">
        <f>TrRoad_act!Y64</f>
        <v>16855</v>
      </c>
      <c r="DA10" s="171" t="s">
        <v>507</v>
      </c>
    </row>
    <row r="11" spans="1:105" ht="11.45" customHeight="1" x14ac:dyDescent="0.25">
      <c r="A11" s="111" t="s">
        <v>114</v>
      </c>
      <c r="B11" s="84">
        <f>TrRoad_act!B65</f>
        <v>0</v>
      </c>
      <c r="C11" s="84">
        <f>TrRoad_act!C65</f>
        <v>0</v>
      </c>
      <c r="D11" s="84">
        <f>TrRoad_act!D65</f>
        <v>0</v>
      </c>
      <c r="E11" s="84">
        <f>TrRoad_act!E65</f>
        <v>0</v>
      </c>
      <c r="F11" s="84">
        <f>TrRoad_act!F65</f>
        <v>0</v>
      </c>
      <c r="G11" s="84">
        <f>TrRoad_act!G65</f>
        <v>0</v>
      </c>
      <c r="H11" s="84">
        <f>TrRoad_act!H65</f>
        <v>0</v>
      </c>
      <c r="I11" s="84">
        <f>TrRoad_act!I65</f>
        <v>0</v>
      </c>
      <c r="J11" s="84">
        <f>TrRoad_act!J65</f>
        <v>0</v>
      </c>
      <c r="K11" s="84">
        <f>TrRoad_act!K65</f>
        <v>0</v>
      </c>
      <c r="L11" s="84">
        <f>TrRoad_act!L65</f>
        <v>0</v>
      </c>
      <c r="M11" s="84">
        <f>TrRoad_act!M65</f>
        <v>8</v>
      </c>
      <c r="N11" s="84">
        <f>TrRoad_act!N65</f>
        <v>109</v>
      </c>
      <c r="O11" s="84">
        <f>TrRoad_act!O65</f>
        <v>190</v>
      </c>
      <c r="P11" s="84">
        <f>TrRoad_act!P65</f>
        <v>612</v>
      </c>
      <c r="Q11" s="84">
        <f>TrRoad_act!Q65</f>
        <v>1368</v>
      </c>
      <c r="R11" s="84">
        <f>TrRoad_act!R65</f>
        <v>3131</v>
      </c>
      <c r="S11" s="84">
        <f>TrRoad_act!S65</f>
        <v>6583</v>
      </c>
      <c r="T11" s="84">
        <f>TrRoad_act!T65</f>
        <v>12295</v>
      </c>
      <c r="U11" s="84">
        <f>TrRoad_act!U65</f>
        <v>19722</v>
      </c>
      <c r="V11" s="84">
        <f>TrRoad_act!V65</f>
        <v>43481</v>
      </c>
      <c r="W11" s="84">
        <f>TrRoad_act!W65</f>
        <v>86496</v>
      </c>
      <c r="X11" s="84">
        <f>TrRoad_act!X65</f>
        <v>134960</v>
      </c>
      <c r="Y11" s="84">
        <f>TrRoad_act!Y65</f>
        <v>195341</v>
      </c>
      <c r="DA11" s="171" t="s">
        <v>508</v>
      </c>
    </row>
    <row r="12" spans="1:105" ht="11.45" customHeight="1" x14ac:dyDescent="0.25">
      <c r="A12" s="111" t="s">
        <v>115</v>
      </c>
      <c r="B12" s="84">
        <f>TrRoad_act!B66</f>
        <v>0</v>
      </c>
      <c r="C12" s="84">
        <f>TrRoad_act!C66</f>
        <v>0</v>
      </c>
      <c r="D12" s="84">
        <f>TrRoad_act!D66</f>
        <v>0</v>
      </c>
      <c r="E12" s="84">
        <f>TrRoad_act!E66</f>
        <v>0</v>
      </c>
      <c r="F12" s="84">
        <f>TrRoad_act!F66</f>
        <v>0</v>
      </c>
      <c r="G12" s="84">
        <f>TrRoad_act!G66</f>
        <v>0</v>
      </c>
      <c r="H12" s="84">
        <f>TrRoad_act!H66</f>
        <v>0</v>
      </c>
      <c r="I12" s="84">
        <f>TrRoad_act!I66</f>
        <v>0</v>
      </c>
      <c r="J12" s="84">
        <f>TrRoad_act!J66</f>
        <v>0</v>
      </c>
      <c r="K12" s="84">
        <f>TrRoad_act!K66</f>
        <v>1</v>
      </c>
      <c r="L12" s="84">
        <f>TrRoad_act!L66</f>
        <v>76</v>
      </c>
      <c r="M12" s="84">
        <f>TrRoad_act!M66</f>
        <v>568</v>
      </c>
      <c r="N12" s="84">
        <f>TrRoad_act!N66</f>
        <v>1023</v>
      </c>
      <c r="O12" s="84">
        <f>TrRoad_act!O66</f>
        <v>2021</v>
      </c>
      <c r="P12" s="84">
        <f>TrRoad_act!P66</f>
        <v>2832</v>
      </c>
      <c r="Q12" s="84">
        <f>TrRoad_act!Q66</f>
        <v>4480</v>
      </c>
      <c r="R12" s="84">
        <f>TrRoad_act!R66</f>
        <v>6484</v>
      </c>
      <c r="S12" s="84">
        <f>TrRoad_act!S66</f>
        <v>10145</v>
      </c>
      <c r="T12" s="84">
        <f>TrRoad_act!T66</f>
        <v>16407</v>
      </c>
      <c r="U12" s="84">
        <f>TrRoad_act!U66</f>
        <v>26799</v>
      </c>
      <c r="V12" s="84">
        <f>TrRoad_act!V66</f>
        <v>45057</v>
      </c>
      <c r="W12" s="84">
        <f>TrRoad_act!W66</f>
        <v>72738</v>
      </c>
      <c r="X12" s="84">
        <f>TrRoad_act!X66</f>
        <v>104413</v>
      </c>
      <c r="Y12" s="84">
        <f>TrRoad_act!Y66</f>
        <v>154853</v>
      </c>
      <c r="DA12" s="171" t="s">
        <v>509</v>
      </c>
    </row>
    <row r="13" spans="1:105" ht="11.45" customHeight="1" x14ac:dyDescent="0.25">
      <c r="A13" s="109" t="s">
        <v>21</v>
      </c>
      <c r="B13" s="110">
        <f>TrRoad_act!B67</f>
        <v>54848</v>
      </c>
      <c r="C13" s="110">
        <f>TrRoad_act!C67</f>
        <v>56262</v>
      </c>
      <c r="D13" s="110">
        <f>TrRoad_act!D67</f>
        <v>56961</v>
      </c>
      <c r="E13" s="110">
        <f>TrRoad_act!E67</f>
        <v>56181</v>
      </c>
      <c r="F13" s="110">
        <f>TrRoad_act!F67</f>
        <v>57201</v>
      </c>
      <c r="G13" s="110">
        <f>TrRoad_act!G67</f>
        <v>58248</v>
      </c>
      <c r="H13" s="110">
        <f>TrRoad_act!H67</f>
        <v>60507</v>
      </c>
      <c r="I13" s="110">
        <f>TrRoad_act!I67</f>
        <v>61198</v>
      </c>
      <c r="J13" s="110">
        <f>TrRoad_act!J67</f>
        <v>62225</v>
      </c>
      <c r="K13" s="110">
        <f>TrRoad_act!K67</f>
        <v>62663</v>
      </c>
      <c r="L13" s="110">
        <f>TrRoad_act!L67</f>
        <v>62445</v>
      </c>
      <c r="M13" s="110">
        <f>TrRoad_act!M67</f>
        <v>62358</v>
      </c>
      <c r="N13" s="110">
        <f>TrRoad_act!N67</f>
        <v>62358</v>
      </c>
      <c r="O13" s="110">
        <f>TrRoad_act!O67</f>
        <v>59892</v>
      </c>
      <c r="P13" s="110">
        <f>TrRoad_act!P67</f>
        <v>59799</v>
      </c>
      <c r="Q13" s="110">
        <f>TrRoad_act!Q67</f>
        <v>60252</v>
      </c>
      <c r="R13" s="110">
        <f>TrRoad_act!R67</f>
        <v>61838</v>
      </c>
      <c r="S13" s="110">
        <f>TrRoad_act!S67</f>
        <v>45491</v>
      </c>
      <c r="T13" s="110">
        <f>TrRoad_act!T67</f>
        <v>46577</v>
      </c>
      <c r="U13" s="110">
        <f>TrRoad_act!U67</f>
        <v>47411</v>
      </c>
      <c r="V13" s="110">
        <f>TrRoad_act!V67</f>
        <v>46367</v>
      </c>
      <c r="W13" s="110">
        <f>TrRoad_act!W67</f>
        <v>47156</v>
      </c>
      <c r="X13" s="110">
        <f>TrRoad_act!X67</f>
        <v>48102</v>
      </c>
      <c r="Y13" s="110">
        <f>TrRoad_act!Y67</f>
        <v>49384</v>
      </c>
      <c r="DA13" s="176" t="s">
        <v>510</v>
      </c>
    </row>
    <row r="14" spans="1:105" ht="11.45" customHeight="1" x14ac:dyDescent="0.25">
      <c r="A14" s="111" t="s">
        <v>110</v>
      </c>
      <c r="B14" s="102">
        <f>TrRoad_act!B68</f>
        <v>964</v>
      </c>
      <c r="C14" s="102">
        <f>TrRoad_act!C68</f>
        <v>988</v>
      </c>
      <c r="D14" s="102">
        <f>TrRoad_act!D68</f>
        <v>1036</v>
      </c>
      <c r="E14" s="102">
        <f>TrRoad_act!E68</f>
        <v>1018</v>
      </c>
      <c r="F14" s="102">
        <f>TrRoad_act!F68</f>
        <v>1006</v>
      </c>
      <c r="G14" s="102">
        <f>TrRoad_act!G68</f>
        <v>920</v>
      </c>
      <c r="H14" s="102">
        <f>TrRoad_act!H68</f>
        <v>900</v>
      </c>
      <c r="I14" s="102">
        <f>TrRoad_act!I68</f>
        <v>1000</v>
      </c>
      <c r="J14" s="102">
        <f>TrRoad_act!J68</f>
        <v>930</v>
      </c>
      <c r="K14" s="102">
        <f>TrRoad_act!K68</f>
        <v>864</v>
      </c>
      <c r="L14" s="102">
        <f>TrRoad_act!L68</f>
        <v>817</v>
      </c>
      <c r="M14" s="102">
        <f>TrRoad_act!M68</f>
        <v>783</v>
      </c>
      <c r="N14" s="102">
        <f>TrRoad_act!N68</f>
        <v>743</v>
      </c>
      <c r="O14" s="102">
        <f>TrRoad_act!O68</f>
        <v>710</v>
      </c>
      <c r="P14" s="102">
        <f>TrRoad_act!P68</f>
        <v>682</v>
      </c>
      <c r="Q14" s="102">
        <f>TrRoad_act!Q68</f>
        <v>649</v>
      </c>
      <c r="R14" s="102">
        <f>TrRoad_act!R68</f>
        <v>648</v>
      </c>
      <c r="S14" s="102">
        <f>TrRoad_act!S68</f>
        <v>621</v>
      </c>
      <c r="T14" s="102">
        <f>TrRoad_act!T68</f>
        <v>582</v>
      </c>
      <c r="U14" s="102">
        <f>TrRoad_act!U68</f>
        <v>541</v>
      </c>
      <c r="V14" s="102">
        <f>TrRoad_act!V68</f>
        <v>499</v>
      </c>
      <c r="W14" s="102">
        <f>TrRoad_act!W68</f>
        <v>492</v>
      </c>
      <c r="X14" s="102">
        <f>TrRoad_act!X68</f>
        <v>472</v>
      </c>
      <c r="Y14" s="102">
        <f>TrRoad_act!Y68</f>
        <v>446</v>
      </c>
      <c r="DA14" s="175" t="s">
        <v>511</v>
      </c>
    </row>
    <row r="15" spans="1:105" ht="11.45" customHeight="1" x14ac:dyDescent="0.25">
      <c r="A15" s="111" t="s">
        <v>111</v>
      </c>
      <c r="B15" s="102">
        <f>TrRoad_act!B69</f>
        <v>53768</v>
      </c>
      <c r="C15" s="102">
        <f>TrRoad_act!C69</f>
        <v>55158</v>
      </c>
      <c r="D15" s="102">
        <f>TrRoad_act!D69</f>
        <v>55917</v>
      </c>
      <c r="E15" s="102">
        <f>TrRoad_act!E69</f>
        <v>54975</v>
      </c>
      <c r="F15" s="102">
        <f>TrRoad_act!F69</f>
        <v>55951</v>
      </c>
      <c r="G15" s="102">
        <f>TrRoad_act!G69</f>
        <v>57049</v>
      </c>
      <c r="H15" s="102">
        <f>TrRoad_act!H69</f>
        <v>59300</v>
      </c>
      <c r="I15" s="102">
        <f>TrRoad_act!I69</f>
        <v>59800</v>
      </c>
      <c r="J15" s="102">
        <f>TrRoad_act!J69</f>
        <v>60924</v>
      </c>
      <c r="K15" s="102">
        <f>TrRoad_act!K69</f>
        <v>61425</v>
      </c>
      <c r="L15" s="102">
        <f>TrRoad_act!L69</f>
        <v>61254</v>
      </c>
      <c r="M15" s="102">
        <f>TrRoad_act!M69</f>
        <v>61202</v>
      </c>
      <c r="N15" s="102">
        <f>TrRoad_act!N69</f>
        <v>61240</v>
      </c>
      <c r="O15" s="102">
        <f>TrRoad_act!O69</f>
        <v>58760</v>
      </c>
      <c r="P15" s="102">
        <f>TrRoad_act!P69</f>
        <v>58716</v>
      </c>
      <c r="Q15" s="102">
        <f>TrRoad_act!Q69</f>
        <v>57959</v>
      </c>
      <c r="R15" s="102">
        <f>TrRoad_act!R69</f>
        <v>59233</v>
      </c>
      <c r="S15" s="102">
        <f>TrRoad_act!S69</f>
        <v>42596</v>
      </c>
      <c r="T15" s="102">
        <f>TrRoad_act!T69</f>
        <v>43344</v>
      </c>
      <c r="U15" s="102">
        <f>TrRoad_act!U69</f>
        <v>43486</v>
      </c>
      <c r="V15" s="102">
        <f>TrRoad_act!V69</f>
        <v>41886</v>
      </c>
      <c r="W15" s="102">
        <f>TrRoad_act!W69</f>
        <v>42263</v>
      </c>
      <c r="X15" s="102">
        <f>TrRoad_act!X69</f>
        <v>42992</v>
      </c>
      <c r="Y15" s="102">
        <f>TrRoad_act!Y69</f>
        <v>43577</v>
      </c>
      <c r="DA15" s="175" t="s">
        <v>512</v>
      </c>
    </row>
    <row r="16" spans="1:105" ht="11.45" customHeight="1" x14ac:dyDescent="0.25">
      <c r="A16" s="111" t="s">
        <v>112</v>
      </c>
      <c r="B16" s="102">
        <f>TrRoad_act!B70</f>
        <v>0</v>
      </c>
      <c r="C16" s="102">
        <f>TrRoad_act!C70</f>
        <v>0</v>
      </c>
      <c r="D16" s="102">
        <f>TrRoad_act!D70</f>
        <v>0</v>
      </c>
      <c r="E16" s="102">
        <f>TrRoad_act!E70</f>
        <v>0</v>
      </c>
      <c r="F16" s="102">
        <f>TrRoad_act!F70</f>
        <v>0</v>
      </c>
      <c r="G16" s="102">
        <f>TrRoad_act!G70</f>
        <v>0</v>
      </c>
      <c r="H16" s="102">
        <f>TrRoad_act!H70</f>
        <v>0</v>
      </c>
      <c r="I16" s="102">
        <f>TrRoad_act!I70</f>
        <v>0</v>
      </c>
      <c r="J16" s="102">
        <f>TrRoad_act!J70</f>
        <v>0</v>
      </c>
      <c r="K16" s="102">
        <f>TrRoad_act!K70</f>
        <v>0</v>
      </c>
      <c r="L16" s="102">
        <f>TrRoad_act!L70</f>
        <v>0</v>
      </c>
      <c r="M16" s="102">
        <f>TrRoad_act!M70</f>
        <v>0</v>
      </c>
      <c r="N16" s="102">
        <f>TrRoad_act!N70</f>
        <v>0</v>
      </c>
      <c r="O16" s="102">
        <f>TrRoad_act!O70</f>
        <v>0</v>
      </c>
      <c r="P16" s="102">
        <f>TrRoad_act!P70</f>
        <v>4</v>
      </c>
      <c r="Q16" s="102">
        <f>TrRoad_act!Q70</f>
        <v>103</v>
      </c>
      <c r="R16" s="102">
        <f>TrRoad_act!R70</f>
        <v>106</v>
      </c>
      <c r="S16" s="102">
        <f>TrRoad_act!S70</f>
        <v>106</v>
      </c>
      <c r="T16" s="102">
        <f>TrRoad_act!T70</f>
        <v>98</v>
      </c>
      <c r="U16" s="102">
        <f>TrRoad_act!U70</f>
        <v>126</v>
      </c>
      <c r="V16" s="102">
        <f>TrRoad_act!V70</f>
        <v>160</v>
      </c>
      <c r="W16" s="102">
        <f>TrRoad_act!W70</f>
        <v>338</v>
      </c>
      <c r="X16" s="102">
        <f>TrRoad_act!X70</f>
        <v>442</v>
      </c>
      <c r="Y16" s="102">
        <f>TrRoad_act!Y70</f>
        <v>571</v>
      </c>
      <c r="DA16" s="175" t="s">
        <v>513</v>
      </c>
    </row>
    <row r="17" spans="1:105" ht="11.45" customHeight="1" x14ac:dyDescent="0.25">
      <c r="A17" s="111" t="s">
        <v>113</v>
      </c>
      <c r="B17" s="102">
        <f>TrRoad_act!B71</f>
        <v>116</v>
      </c>
      <c r="C17" s="102">
        <f>TrRoad_act!C71</f>
        <v>116</v>
      </c>
      <c r="D17" s="102">
        <f>TrRoad_act!D71</f>
        <v>8</v>
      </c>
      <c r="E17" s="102">
        <f>TrRoad_act!E71</f>
        <v>188</v>
      </c>
      <c r="F17" s="102">
        <f>TrRoad_act!F71</f>
        <v>244</v>
      </c>
      <c r="G17" s="102">
        <f>TrRoad_act!G71</f>
        <v>279</v>
      </c>
      <c r="H17" s="102">
        <f>TrRoad_act!H71</f>
        <v>307</v>
      </c>
      <c r="I17" s="102">
        <f>TrRoad_act!I71</f>
        <v>398</v>
      </c>
      <c r="J17" s="102">
        <f>TrRoad_act!J71</f>
        <v>371</v>
      </c>
      <c r="K17" s="102">
        <f>TrRoad_act!K71</f>
        <v>374</v>
      </c>
      <c r="L17" s="102">
        <f>TrRoad_act!L71</f>
        <v>374</v>
      </c>
      <c r="M17" s="102">
        <f>TrRoad_act!M71</f>
        <v>373</v>
      </c>
      <c r="N17" s="102">
        <f>TrRoad_act!N71</f>
        <v>375</v>
      </c>
      <c r="O17" s="102">
        <f>TrRoad_act!O71</f>
        <v>361</v>
      </c>
      <c r="P17" s="102">
        <f>TrRoad_act!P71</f>
        <v>325</v>
      </c>
      <c r="Q17" s="102">
        <f>TrRoad_act!Q71</f>
        <v>1426</v>
      </c>
      <c r="R17" s="102">
        <f>TrRoad_act!R71</f>
        <v>1727</v>
      </c>
      <c r="S17" s="102">
        <f>TrRoad_act!S71</f>
        <v>2029</v>
      </c>
      <c r="T17" s="102">
        <f>TrRoad_act!T71</f>
        <v>2395</v>
      </c>
      <c r="U17" s="102">
        <f>TrRoad_act!U71</f>
        <v>3029</v>
      </c>
      <c r="V17" s="102">
        <f>TrRoad_act!V71</f>
        <v>3557</v>
      </c>
      <c r="W17" s="102">
        <f>TrRoad_act!W71</f>
        <v>3675</v>
      </c>
      <c r="X17" s="102">
        <f>TrRoad_act!X71</f>
        <v>3675</v>
      </c>
      <c r="Y17" s="102">
        <f>TrRoad_act!Y71</f>
        <v>3779</v>
      </c>
      <c r="DA17" s="175" t="s">
        <v>514</v>
      </c>
    </row>
    <row r="18" spans="1:105" ht="11.45" customHeight="1" x14ac:dyDescent="0.25">
      <c r="A18" s="111" t="s">
        <v>115</v>
      </c>
      <c r="B18" s="102">
        <f>TrRoad_act!B72</f>
        <v>0</v>
      </c>
      <c r="C18" s="102">
        <f>TrRoad_act!C72</f>
        <v>0</v>
      </c>
      <c r="D18" s="102">
        <f>TrRoad_act!D72</f>
        <v>0</v>
      </c>
      <c r="E18" s="102">
        <f>TrRoad_act!E72</f>
        <v>0</v>
      </c>
      <c r="F18" s="102">
        <f>TrRoad_act!F72</f>
        <v>0</v>
      </c>
      <c r="G18" s="102">
        <f>TrRoad_act!G72</f>
        <v>0</v>
      </c>
      <c r="H18" s="102">
        <f>TrRoad_act!H72</f>
        <v>0</v>
      </c>
      <c r="I18" s="102">
        <f>TrRoad_act!I72</f>
        <v>0</v>
      </c>
      <c r="J18" s="102">
        <f>TrRoad_act!J72</f>
        <v>0</v>
      </c>
      <c r="K18" s="102">
        <f>TrRoad_act!K72</f>
        <v>0</v>
      </c>
      <c r="L18" s="102">
        <f>TrRoad_act!L72</f>
        <v>0</v>
      </c>
      <c r="M18" s="102">
        <f>TrRoad_act!M72</f>
        <v>0</v>
      </c>
      <c r="N18" s="102">
        <f>TrRoad_act!N72</f>
        <v>0</v>
      </c>
      <c r="O18" s="102">
        <f>TrRoad_act!O72</f>
        <v>61</v>
      </c>
      <c r="P18" s="102">
        <f>TrRoad_act!P72</f>
        <v>72</v>
      </c>
      <c r="Q18" s="102">
        <f>TrRoad_act!Q72</f>
        <v>115</v>
      </c>
      <c r="R18" s="102">
        <f>TrRoad_act!R72</f>
        <v>124</v>
      </c>
      <c r="S18" s="102">
        <f>TrRoad_act!S72</f>
        <v>139</v>
      </c>
      <c r="T18" s="102">
        <f>TrRoad_act!T72</f>
        <v>158</v>
      </c>
      <c r="U18" s="102">
        <f>TrRoad_act!U72</f>
        <v>229</v>
      </c>
      <c r="V18" s="102">
        <f>TrRoad_act!V72</f>
        <v>265</v>
      </c>
      <c r="W18" s="102">
        <f>TrRoad_act!W72</f>
        <v>388</v>
      </c>
      <c r="X18" s="102">
        <f>TrRoad_act!X72</f>
        <v>521</v>
      </c>
      <c r="Y18" s="102">
        <f>TrRoad_act!Y72</f>
        <v>1011</v>
      </c>
      <c r="DA18" s="175" t="s">
        <v>515</v>
      </c>
    </row>
    <row r="19" spans="1:105" ht="11.45" customHeight="1" x14ac:dyDescent="0.25">
      <c r="A19" s="27" t="s">
        <v>34</v>
      </c>
      <c r="B19" s="28">
        <f>TrRoad_act!B73</f>
        <v>3505125</v>
      </c>
      <c r="C19" s="28">
        <f>TrRoad_act!C73</f>
        <v>3622212</v>
      </c>
      <c r="D19" s="28">
        <f>TrRoad_act!D73</f>
        <v>3563647</v>
      </c>
      <c r="E19" s="28">
        <f>TrRoad_act!E73</f>
        <v>3681591</v>
      </c>
      <c r="F19" s="28">
        <f>TrRoad_act!F73</f>
        <v>3906054</v>
      </c>
      <c r="G19" s="28">
        <f>TrRoad_act!G73</f>
        <v>3996438</v>
      </c>
      <c r="H19" s="28">
        <f>TrRoad_act!H73</f>
        <v>4064325</v>
      </c>
      <c r="I19" s="28">
        <f>TrRoad_act!I73</f>
        <v>4709281</v>
      </c>
      <c r="J19" s="28">
        <f>TrRoad_act!J73</f>
        <v>4385063</v>
      </c>
      <c r="K19" s="28">
        <f>TrRoad_act!K73</f>
        <v>3831472</v>
      </c>
      <c r="L19" s="28">
        <f>TrRoad_act!L73</f>
        <v>3645913</v>
      </c>
      <c r="M19" s="28">
        <f>TrRoad_act!M73</f>
        <v>3496793</v>
      </c>
      <c r="N19" s="28">
        <f>TrRoad_act!N73</f>
        <v>3250465</v>
      </c>
      <c r="O19" s="28">
        <f>TrRoad_act!O73</f>
        <v>2984958</v>
      </c>
      <c r="P19" s="28">
        <f>TrRoad_act!P73</f>
        <v>3079523</v>
      </c>
      <c r="Q19" s="28">
        <f>TrRoad_act!Q73</f>
        <v>3344528</v>
      </c>
      <c r="R19" s="28">
        <f>TrRoad_act!R73</f>
        <v>3300108</v>
      </c>
      <c r="S19" s="28">
        <f>TrRoad_act!S73</f>
        <v>3363121</v>
      </c>
      <c r="T19" s="28">
        <f>TrRoad_act!T73</f>
        <v>3432873</v>
      </c>
      <c r="U19" s="28">
        <f>TrRoad_act!U73</f>
        <v>3472708</v>
      </c>
      <c r="V19" s="28">
        <f>TrRoad_act!V73</f>
        <v>3481738</v>
      </c>
      <c r="W19" s="28">
        <f>TrRoad_act!W73</f>
        <v>3488020</v>
      </c>
      <c r="X19" s="28">
        <f>TrRoad_act!X73</f>
        <v>3503464</v>
      </c>
      <c r="Y19" s="28">
        <f>TrRoad_act!Y73</f>
        <v>3555047</v>
      </c>
      <c r="DA19" s="173" t="s">
        <v>516</v>
      </c>
    </row>
    <row r="20" spans="1:105" ht="11.45" customHeight="1" x14ac:dyDescent="0.25">
      <c r="A20" s="136" t="s">
        <v>153</v>
      </c>
      <c r="B20" s="137">
        <f>TrRoad_act!B74</f>
        <v>2891834</v>
      </c>
      <c r="C20" s="137">
        <f>TrRoad_act!C74</f>
        <v>2982968</v>
      </c>
      <c r="D20" s="137">
        <f>TrRoad_act!D74</f>
        <v>2906938</v>
      </c>
      <c r="E20" s="137">
        <f>TrRoad_act!E74</f>
        <v>2996438</v>
      </c>
      <c r="F20" s="137">
        <f>TrRoad_act!F74</f>
        <v>3206773</v>
      </c>
      <c r="G20" s="137">
        <f>TrRoad_act!G74</f>
        <v>3279859</v>
      </c>
      <c r="H20" s="137">
        <f>TrRoad_act!H74</f>
        <v>3328697</v>
      </c>
      <c r="I20" s="137">
        <f>TrRoad_act!I74</f>
        <v>3949516</v>
      </c>
      <c r="J20" s="137">
        <f>TrRoad_act!J74</f>
        <v>3626082</v>
      </c>
      <c r="K20" s="137">
        <f>TrRoad_act!K74</f>
        <v>3088449</v>
      </c>
      <c r="L20" s="137">
        <f>TrRoad_act!L74</f>
        <v>2923723</v>
      </c>
      <c r="M20" s="137">
        <f>TrRoad_act!M74</f>
        <v>2791808</v>
      </c>
      <c r="N20" s="137">
        <f>TrRoad_act!N74</f>
        <v>2571941</v>
      </c>
      <c r="O20" s="137">
        <f>TrRoad_act!O74</f>
        <v>2483314</v>
      </c>
      <c r="P20" s="137">
        <f>TrRoad_act!P74</f>
        <v>2576691</v>
      </c>
      <c r="Q20" s="137">
        <f>TrRoad_act!Q74</f>
        <v>2834711</v>
      </c>
      <c r="R20" s="137">
        <f>TrRoad_act!R74</f>
        <v>2765064</v>
      </c>
      <c r="S20" s="137">
        <f>TrRoad_act!S74</f>
        <v>2818202</v>
      </c>
      <c r="T20" s="137">
        <f>TrRoad_act!T74</f>
        <v>2875072</v>
      </c>
      <c r="U20" s="137">
        <f>TrRoad_act!U74</f>
        <v>2904262</v>
      </c>
      <c r="V20" s="137">
        <f>TrRoad_act!V74</f>
        <v>2907087</v>
      </c>
      <c r="W20" s="137">
        <f>TrRoad_act!W74</f>
        <v>2911749</v>
      </c>
      <c r="X20" s="137">
        <f>TrRoad_act!X74</f>
        <v>2918128</v>
      </c>
      <c r="Y20" s="137">
        <f>TrRoad_act!Y74</f>
        <v>2956002</v>
      </c>
      <c r="DA20" s="174" t="s">
        <v>517</v>
      </c>
    </row>
    <row r="21" spans="1:105" ht="11.45" customHeight="1" x14ac:dyDescent="0.25">
      <c r="A21" s="111" t="s">
        <v>110</v>
      </c>
      <c r="B21" s="84">
        <f>TrRoad_act!B75</f>
        <v>291921</v>
      </c>
      <c r="C21" s="84">
        <f>TrRoad_act!C75</f>
        <v>276921</v>
      </c>
      <c r="D21" s="84">
        <f>TrRoad_act!D75</f>
        <v>201920</v>
      </c>
      <c r="E21" s="84">
        <f>TrRoad_act!E75</f>
        <v>171916</v>
      </c>
      <c r="F21" s="84">
        <f>TrRoad_act!F75</f>
        <v>149872</v>
      </c>
      <c r="G21" s="84">
        <f>TrRoad_act!G75</f>
        <v>126437</v>
      </c>
      <c r="H21" s="84">
        <f>TrRoad_act!H75</f>
        <v>107182</v>
      </c>
      <c r="I21" s="84">
        <f>TrRoad_act!I75</f>
        <v>99851</v>
      </c>
      <c r="J21" s="84">
        <f>TrRoad_act!J75</f>
        <v>84046</v>
      </c>
      <c r="K21" s="84">
        <f>TrRoad_act!K75</f>
        <v>74117</v>
      </c>
      <c r="L21" s="84">
        <f>TrRoad_act!L75</f>
        <v>68911</v>
      </c>
      <c r="M21" s="84">
        <f>TrRoad_act!M75</f>
        <v>71065</v>
      </c>
      <c r="N21" s="84">
        <f>TrRoad_act!N75</f>
        <v>71610</v>
      </c>
      <c r="O21" s="84">
        <f>TrRoad_act!O75</f>
        <v>68431</v>
      </c>
      <c r="P21" s="84">
        <f>TrRoad_act!P75</f>
        <v>48644</v>
      </c>
      <c r="Q21" s="84">
        <f>TrRoad_act!Q75</f>
        <v>51208</v>
      </c>
      <c r="R21" s="84">
        <f>TrRoad_act!R75</f>
        <v>47489</v>
      </c>
      <c r="S21" s="84">
        <f>TrRoad_act!S75</f>
        <v>53545</v>
      </c>
      <c r="T21" s="84">
        <f>TrRoad_act!T75</f>
        <v>58677</v>
      </c>
      <c r="U21" s="84">
        <f>TrRoad_act!U75</f>
        <v>60758</v>
      </c>
      <c r="V21" s="84">
        <f>TrRoad_act!V75</f>
        <v>56599</v>
      </c>
      <c r="W21" s="84">
        <f>TrRoad_act!W75</f>
        <v>58217</v>
      </c>
      <c r="X21" s="84">
        <f>TrRoad_act!X75</f>
        <v>58190</v>
      </c>
      <c r="Y21" s="84">
        <f>TrRoad_act!Y75</f>
        <v>51746</v>
      </c>
      <c r="DA21" s="171" t="s">
        <v>518</v>
      </c>
    </row>
    <row r="22" spans="1:105" ht="11.45" customHeight="1" x14ac:dyDescent="0.25">
      <c r="A22" s="111" t="s">
        <v>111</v>
      </c>
      <c r="B22" s="84">
        <f>TrRoad_act!B76</f>
        <v>2599913</v>
      </c>
      <c r="C22" s="84">
        <f>TrRoad_act!C76</f>
        <v>2706047</v>
      </c>
      <c r="D22" s="84">
        <f>TrRoad_act!D76</f>
        <v>2705018</v>
      </c>
      <c r="E22" s="84">
        <f>TrRoad_act!E76</f>
        <v>2824522</v>
      </c>
      <c r="F22" s="84">
        <f>TrRoad_act!F76</f>
        <v>3056901</v>
      </c>
      <c r="G22" s="84">
        <f>TrRoad_act!G76</f>
        <v>3153422</v>
      </c>
      <c r="H22" s="84">
        <f>TrRoad_act!H76</f>
        <v>3221515</v>
      </c>
      <c r="I22" s="84">
        <f>TrRoad_act!I76</f>
        <v>3849665</v>
      </c>
      <c r="J22" s="84">
        <f>TrRoad_act!J76</f>
        <v>3542036</v>
      </c>
      <c r="K22" s="84">
        <f>TrRoad_act!K76</f>
        <v>3014332</v>
      </c>
      <c r="L22" s="84">
        <f>TrRoad_act!L76</f>
        <v>2854812</v>
      </c>
      <c r="M22" s="84">
        <f>TrRoad_act!M76</f>
        <v>2720719</v>
      </c>
      <c r="N22" s="84">
        <f>TrRoad_act!N76</f>
        <v>2500095</v>
      </c>
      <c r="O22" s="84">
        <f>TrRoad_act!O76</f>
        <v>2414667</v>
      </c>
      <c r="P22" s="84">
        <f>TrRoad_act!P76</f>
        <v>2526313</v>
      </c>
      <c r="Q22" s="84">
        <f>TrRoad_act!Q76</f>
        <v>2780465</v>
      </c>
      <c r="R22" s="84">
        <f>TrRoad_act!R76</f>
        <v>2713782</v>
      </c>
      <c r="S22" s="84">
        <f>TrRoad_act!S76</f>
        <v>2758991</v>
      </c>
      <c r="T22" s="84">
        <f>TrRoad_act!T76</f>
        <v>2806032</v>
      </c>
      <c r="U22" s="84">
        <f>TrRoad_act!U76</f>
        <v>2824961</v>
      </c>
      <c r="V22" s="84">
        <f>TrRoad_act!V76</f>
        <v>2826927</v>
      </c>
      <c r="W22" s="84">
        <f>TrRoad_act!W76</f>
        <v>2824044</v>
      </c>
      <c r="X22" s="84">
        <f>TrRoad_act!X76</f>
        <v>2826628</v>
      </c>
      <c r="Y22" s="84">
        <f>TrRoad_act!Y76</f>
        <v>2862279</v>
      </c>
      <c r="DA22" s="171" t="s">
        <v>519</v>
      </c>
    </row>
    <row r="23" spans="1:105" ht="11.45" customHeight="1" x14ac:dyDescent="0.25">
      <c r="A23" s="111" t="s">
        <v>112</v>
      </c>
      <c r="B23" s="84">
        <f>TrRoad_act!B77</f>
        <v>0</v>
      </c>
      <c r="C23" s="84">
        <f>TrRoad_act!C77</f>
        <v>0</v>
      </c>
      <c r="D23" s="84">
        <f>TrRoad_act!D77</f>
        <v>0</v>
      </c>
      <c r="E23" s="84">
        <f>TrRoad_act!E77</f>
        <v>0</v>
      </c>
      <c r="F23" s="84">
        <f>TrRoad_act!F77</f>
        <v>0</v>
      </c>
      <c r="G23" s="84">
        <f>TrRoad_act!G77</f>
        <v>0</v>
      </c>
      <c r="H23" s="84">
        <f>TrRoad_act!H77</f>
        <v>0</v>
      </c>
      <c r="I23" s="84">
        <f>TrRoad_act!I77</f>
        <v>0</v>
      </c>
      <c r="J23" s="84">
        <f>TrRoad_act!J77</f>
        <v>0</v>
      </c>
      <c r="K23" s="84">
        <f>TrRoad_act!K77</f>
        <v>0</v>
      </c>
      <c r="L23" s="84">
        <f>TrRoad_act!L77</f>
        <v>0</v>
      </c>
      <c r="M23" s="84">
        <f>TrRoad_act!M77</f>
        <v>0</v>
      </c>
      <c r="N23" s="84">
        <f>TrRoad_act!N77</f>
        <v>0</v>
      </c>
      <c r="O23" s="84">
        <f>TrRoad_act!O77</f>
        <v>2</v>
      </c>
      <c r="P23" s="84">
        <f>TrRoad_act!P77</f>
        <v>240</v>
      </c>
      <c r="Q23" s="84">
        <f>TrRoad_act!Q77</f>
        <v>567</v>
      </c>
      <c r="R23" s="84">
        <f>TrRoad_act!R77</f>
        <v>967</v>
      </c>
      <c r="S23" s="84">
        <f>TrRoad_act!S77</f>
        <v>1625</v>
      </c>
      <c r="T23" s="84">
        <f>TrRoad_act!T77</f>
        <v>3583</v>
      </c>
      <c r="U23" s="84">
        <f>TrRoad_act!U77</f>
        <v>8552</v>
      </c>
      <c r="V23" s="84">
        <f>TrRoad_act!V77</f>
        <v>10518</v>
      </c>
      <c r="W23" s="84">
        <f>TrRoad_act!W77</f>
        <v>13315</v>
      </c>
      <c r="X23" s="84">
        <f>TrRoad_act!X77</f>
        <v>13946</v>
      </c>
      <c r="Y23" s="84">
        <f>TrRoad_act!Y77</f>
        <v>14710</v>
      </c>
      <c r="DA23" s="171" t="s">
        <v>520</v>
      </c>
    </row>
    <row r="24" spans="1:105" ht="11.45" customHeight="1" x14ac:dyDescent="0.25">
      <c r="A24" s="111" t="s">
        <v>113</v>
      </c>
      <c r="B24" s="84">
        <f>TrRoad_act!B78</f>
        <v>0</v>
      </c>
      <c r="C24" s="84">
        <f>TrRoad_act!C78</f>
        <v>0</v>
      </c>
      <c r="D24" s="84">
        <f>TrRoad_act!D78</f>
        <v>0</v>
      </c>
      <c r="E24" s="84">
        <f>TrRoad_act!E78</f>
        <v>0</v>
      </c>
      <c r="F24" s="84">
        <f>TrRoad_act!F78</f>
        <v>0</v>
      </c>
      <c r="G24" s="84">
        <f>TrRoad_act!G78</f>
        <v>0</v>
      </c>
      <c r="H24" s="84">
        <f>TrRoad_act!H78</f>
        <v>0</v>
      </c>
      <c r="I24" s="84">
        <f>TrRoad_act!I78</f>
        <v>0</v>
      </c>
      <c r="J24" s="84">
        <f>TrRoad_act!J78</f>
        <v>0</v>
      </c>
      <c r="K24" s="84">
        <f>TrRoad_act!K78</f>
        <v>0</v>
      </c>
      <c r="L24" s="84">
        <f>TrRoad_act!L78</f>
        <v>0</v>
      </c>
      <c r="M24" s="84">
        <f>TrRoad_act!M78</f>
        <v>0</v>
      </c>
      <c r="N24" s="84">
        <f>TrRoad_act!N78</f>
        <v>15</v>
      </c>
      <c r="O24" s="84">
        <f>TrRoad_act!O78</f>
        <v>99</v>
      </c>
      <c r="P24" s="84">
        <f>TrRoad_act!P78</f>
        <v>172</v>
      </c>
      <c r="Q24" s="84">
        <f>TrRoad_act!Q78</f>
        <v>542</v>
      </c>
      <c r="R24" s="84">
        <f>TrRoad_act!R78</f>
        <v>736</v>
      </c>
      <c r="S24" s="84">
        <f>TrRoad_act!S78</f>
        <v>1083</v>
      </c>
      <c r="T24" s="84">
        <f>TrRoad_act!T78</f>
        <v>2021</v>
      </c>
      <c r="U24" s="84">
        <f>TrRoad_act!U78</f>
        <v>3688</v>
      </c>
      <c r="V24" s="84">
        <f>TrRoad_act!V78</f>
        <v>5106</v>
      </c>
      <c r="W24" s="84">
        <f>TrRoad_act!W78</f>
        <v>5677</v>
      </c>
      <c r="X24" s="84">
        <f>TrRoad_act!X78</f>
        <v>5677</v>
      </c>
      <c r="Y24" s="84">
        <f>TrRoad_act!Y78</f>
        <v>5614</v>
      </c>
      <c r="DA24" s="171" t="s">
        <v>521</v>
      </c>
    </row>
    <row r="25" spans="1:105" ht="11.45" customHeight="1" x14ac:dyDescent="0.25">
      <c r="A25" s="111" t="s">
        <v>115</v>
      </c>
      <c r="B25" s="84">
        <f>TrRoad_act!B79</f>
        <v>0</v>
      </c>
      <c r="C25" s="84">
        <f>TrRoad_act!C79</f>
        <v>0</v>
      </c>
      <c r="D25" s="84">
        <f>TrRoad_act!D79</f>
        <v>0</v>
      </c>
      <c r="E25" s="84">
        <f>TrRoad_act!E79</f>
        <v>0</v>
      </c>
      <c r="F25" s="84">
        <f>TrRoad_act!F79</f>
        <v>0</v>
      </c>
      <c r="G25" s="84">
        <f>TrRoad_act!G79</f>
        <v>0</v>
      </c>
      <c r="H25" s="84">
        <f>TrRoad_act!H79</f>
        <v>0</v>
      </c>
      <c r="I25" s="84">
        <f>TrRoad_act!I79</f>
        <v>0</v>
      </c>
      <c r="J25" s="84">
        <f>TrRoad_act!J79</f>
        <v>0</v>
      </c>
      <c r="K25" s="84">
        <f>TrRoad_act!K79</f>
        <v>0</v>
      </c>
      <c r="L25" s="84">
        <f>TrRoad_act!L79</f>
        <v>0</v>
      </c>
      <c r="M25" s="84">
        <f>TrRoad_act!M79</f>
        <v>24</v>
      </c>
      <c r="N25" s="84">
        <f>TrRoad_act!N79</f>
        <v>221</v>
      </c>
      <c r="O25" s="84">
        <f>TrRoad_act!O79</f>
        <v>115</v>
      </c>
      <c r="P25" s="84">
        <f>TrRoad_act!P79</f>
        <v>1322</v>
      </c>
      <c r="Q25" s="84">
        <f>TrRoad_act!Q79</f>
        <v>1929</v>
      </c>
      <c r="R25" s="84">
        <f>TrRoad_act!R79</f>
        <v>2090</v>
      </c>
      <c r="S25" s="84">
        <f>TrRoad_act!S79</f>
        <v>2958</v>
      </c>
      <c r="T25" s="84">
        <f>TrRoad_act!T79</f>
        <v>4759</v>
      </c>
      <c r="U25" s="84">
        <f>TrRoad_act!U79</f>
        <v>6303</v>
      </c>
      <c r="V25" s="84">
        <f>TrRoad_act!V79</f>
        <v>7937</v>
      </c>
      <c r="W25" s="84">
        <f>TrRoad_act!W79</f>
        <v>10496</v>
      </c>
      <c r="X25" s="84">
        <f>TrRoad_act!X79</f>
        <v>13687</v>
      </c>
      <c r="Y25" s="84">
        <f>TrRoad_act!Y79</f>
        <v>21653</v>
      </c>
      <c r="DA25" s="171" t="s">
        <v>522</v>
      </c>
    </row>
    <row r="26" spans="1:105" ht="11.45" customHeight="1" x14ac:dyDescent="0.25">
      <c r="A26" s="109" t="s">
        <v>154</v>
      </c>
      <c r="B26" s="110">
        <f>TrRoad_act!B80</f>
        <v>613291</v>
      </c>
      <c r="C26" s="110">
        <f>TrRoad_act!C80</f>
        <v>639244</v>
      </c>
      <c r="D26" s="110">
        <f>TrRoad_act!D80</f>
        <v>656709</v>
      </c>
      <c r="E26" s="110">
        <f>TrRoad_act!E80</f>
        <v>685153</v>
      </c>
      <c r="F26" s="110">
        <f>TrRoad_act!F80</f>
        <v>699281</v>
      </c>
      <c r="G26" s="110">
        <f>TrRoad_act!G80</f>
        <v>716579</v>
      </c>
      <c r="H26" s="110">
        <f>TrRoad_act!H80</f>
        <v>735628</v>
      </c>
      <c r="I26" s="110">
        <f>TrRoad_act!I80</f>
        <v>759765</v>
      </c>
      <c r="J26" s="110">
        <f>TrRoad_act!J80</f>
        <v>758981</v>
      </c>
      <c r="K26" s="110">
        <f>TrRoad_act!K80</f>
        <v>743023</v>
      </c>
      <c r="L26" s="110">
        <f>TrRoad_act!L80</f>
        <v>722190</v>
      </c>
      <c r="M26" s="110">
        <f>TrRoad_act!M80</f>
        <v>704985</v>
      </c>
      <c r="N26" s="110">
        <f>TrRoad_act!N80</f>
        <v>678524</v>
      </c>
      <c r="O26" s="110">
        <f>TrRoad_act!O80</f>
        <v>501644</v>
      </c>
      <c r="P26" s="110">
        <f>TrRoad_act!P80</f>
        <v>502832</v>
      </c>
      <c r="Q26" s="110">
        <f>TrRoad_act!Q80</f>
        <v>509817</v>
      </c>
      <c r="R26" s="110">
        <f>TrRoad_act!R80</f>
        <v>535044</v>
      </c>
      <c r="S26" s="110">
        <f>TrRoad_act!S80</f>
        <v>544919</v>
      </c>
      <c r="T26" s="110">
        <f>TrRoad_act!T80</f>
        <v>557801</v>
      </c>
      <c r="U26" s="110">
        <f>TrRoad_act!U80</f>
        <v>568446</v>
      </c>
      <c r="V26" s="110">
        <f>TrRoad_act!V80</f>
        <v>574651</v>
      </c>
      <c r="W26" s="110">
        <f>TrRoad_act!W80</f>
        <v>576271</v>
      </c>
      <c r="X26" s="110">
        <f>TrRoad_act!X80</f>
        <v>585336</v>
      </c>
      <c r="Y26" s="110">
        <f>TrRoad_act!Y80</f>
        <v>599045</v>
      </c>
      <c r="DA26" s="176" t="s">
        <v>837</v>
      </c>
    </row>
    <row r="27" spans="1:105" ht="11.45" customHeight="1" x14ac:dyDescent="0.25">
      <c r="A27" s="128" t="s">
        <v>27</v>
      </c>
      <c r="B27" s="102">
        <f>TrRoad_act!B81</f>
        <v>586880</v>
      </c>
      <c r="C27" s="102">
        <f>TrRoad_act!C81</f>
        <v>610928</v>
      </c>
      <c r="D27" s="102">
        <f>TrRoad_act!D81</f>
        <v>626919</v>
      </c>
      <c r="E27" s="102">
        <f>TrRoad_act!E81</f>
        <v>654703</v>
      </c>
      <c r="F27" s="102">
        <f>TrRoad_act!F81</f>
        <v>663279</v>
      </c>
      <c r="G27" s="102">
        <f>TrRoad_act!G81</f>
        <v>679321</v>
      </c>
      <c r="H27" s="102">
        <f>TrRoad_act!H81</f>
        <v>697599</v>
      </c>
      <c r="I27" s="102">
        <f>TrRoad_act!I81</f>
        <v>720879</v>
      </c>
      <c r="J27" s="102">
        <f>TrRoad_act!J81</f>
        <v>723358</v>
      </c>
      <c r="K27" s="102">
        <f>TrRoad_act!K81</f>
        <v>710145</v>
      </c>
      <c r="L27" s="102">
        <f>TrRoad_act!L81</f>
        <v>690488</v>
      </c>
      <c r="M27" s="102">
        <f>TrRoad_act!M81</f>
        <v>673731</v>
      </c>
      <c r="N27" s="102">
        <f>TrRoad_act!N81</f>
        <v>648122</v>
      </c>
      <c r="O27" s="102">
        <f>TrRoad_act!O81</f>
        <v>469016</v>
      </c>
      <c r="P27" s="102">
        <f>TrRoad_act!P81</f>
        <v>470417</v>
      </c>
      <c r="Q27" s="102">
        <f>TrRoad_act!Q81</f>
        <v>475579</v>
      </c>
      <c r="R27" s="102">
        <f>TrRoad_act!R81</f>
        <v>499820</v>
      </c>
      <c r="S27" s="102">
        <f>TrRoad_act!S81</f>
        <v>508571</v>
      </c>
      <c r="T27" s="102">
        <f>TrRoad_act!T81</f>
        <v>520256</v>
      </c>
      <c r="U27" s="102">
        <f>TrRoad_act!U81</f>
        <v>529296</v>
      </c>
      <c r="V27" s="102">
        <f>TrRoad_act!V81</f>
        <v>537502</v>
      </c>
      <c r="W27" s="102">
        <f>TrRoad_act!W81</f>
        <v>535564</v>
      </c>
      <c r="X27" s="102">
        <f>TrRoad_act!X81</f>
        <v>543194</v>
      </c>
      <c r="Y27" s="102">
        <f>TrRoad_act!Y81</f>
        <v>559043</v>
      </c>
      <c r="DA27" s="175" t="s">
        <v>524</v>
      </c>
    </row>
    <row r="28" spans="1:105" ht="11.45" customHeight="1" x14ac:dyDescent="0.25">
      <c r="A28" s="138" t="s">
        <v>116</v>
      </c>
      <c r="B28" s="86">
        <f>TrRoad_act!B82</f>
        <v>26411</v>
      </c>
      <c r="C28" s="86">
        <f>TrRoad_act!C82</f>
        <v>28316</v>
      </c>
      <c r="D28" s="86">
        <f>TrRoad_act!D82</f>
        <v>29790</v>
      </c>
      <c r="E28" s="86">
        <f>TrRoad_act!E82</f>
        <v>30450</v>
      </c>
      <c r="F28" s="86">
        <f>TrRoad_act!F82</f>
        <v>36002</v>
      </c>
      <c r="G28" s="86">
        <f>TrRoad_act!G82</f>
        <v>37258</v>
      </c>
      <c r="H28" s="86">
        <f>TrRoad_act!H82</f>
        <v>38029</v>
      </c>
      <c r="I28" s="86">
        <f>TrRoad_act!I82</f>
        <v>38886</v>
      </c>
      <c r="J28" s="86">
        <f>TrRoad_act!J82</f>
        <v>35623</v>
      </c>
      <c r="K28" s="86">
        <f>TrRoad_act!K82</f>
        <v>32878</v>
      </c>
      <c r="L28" s="86">
        <f>TrRoad_act!L82</f>
        <v>31702</v>
      </c>
      <c r="M28" s="86">
        <f>TrRoad_act!M82</f>
        <v>31254</v>
      </c>
      <c r="N28" s="86">
        <f>TrRoad_act!N82</f>
        <v>30402</v>
      </c>
      <c r="O28" s="86">
        <f>TrRoad_act!O82</f>
        <v>32628</v>
      </c>
      <c r="P28" s="86">
        <f>TrRoad_act!P82</f>
        <v>32415</v>
      </c>
      <c r="Q28" s="86">
        <f>TrRoad_act!Q82</f>
        <v>34238</v>
      </c>
      <c r="R28" s="86">
        <f>TrRoad_act!R82</f>
        <v>35224</v>
      </c>
      <c r="S28" s="86">
        <f>TrRoad_act!S82</f>
        <v>36348</v>
      </c>
      <c r="T28" s="86">
        <f>TrRoad_act!T82</f>
        <v>37545</v>
      </c>
      <c r="U28" s="86">
        <f>TrRoad_act!U82</f>
        <v>39150</v>
      </c>
      <c r="V28" s="86">
        <f>TrRoad_act!V82</f>
        <v>37149</v>
      </c>
      <c r="W28" s="86">
        <f>TrRoad_act!W82</f>
        <v>40707</v>
      </c>
      <c r="X28" s="86">
        <f>TrRoad_act!X82</f>
        <v>42142</v>
      </c>
      <c r="Y28" s="86">
        <f>TrRoad_act!Y82</f>
        <v>40002</v>
      </c>
      <c r="DA28" s="178" t="s">
        <v>525</v>
      </c>
    </row>
    <row r="29" spans="1:105" ht="11.45" customHeight="1" x14ac:dyDescent="0.25">
      <c r="A29" s="106"/>
      <c r="B29" s="106"/>
      <c r="C29" s="106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X29" s="106"/>
      <c r="Y29" s="106"/>
      <c r="DA29" s="171"/>
    </row>
    <row r="30" spans="1:105" ht="11.45" customHeight="1" x14ac:dyDescent="0.25">
      <c r="A30" s="53" t="s">
        <v>117</v>
      </c>
      <c r="B30" s="54">
        <f>TrRoad_act!B111</f>
        <v>1624712</v>
      </c>
      <c r="C30" s="54">
        <f>TrRoad_act!C111</f>
        <v>2003083</v>
      </c>
      <c r="D30" s="54">
        <f>TrRoad_act!D111</f>
        <v>2291577</v>
      </c>
      <c r="E30" s="54">
        <f>TrRoad_act!E111</f>
        <v>2050368</v>
      </c>
      <c r="F30" s="54">
        <f>TrRoad_act!F111</f>
        <v>2354519</v>
      </c>
      <c r="G30" s="54">
        <f>TrRoad_act!G111</f>
        <v>2343405</v>
      </c>
      <c r="H30" s="54">
        <f>TrRoad_act!H111</f>
        <v>2506209</v>
      </c>
      <c r="I30" s="54">
        <f>TrRoad_act!I111</f>
        <v>3136992</v>
      </c>
      <c r="J30" s="54">
        <f>TrRoad_act!J111</f>
        <v>1875089</v>
      </c>
      <c r="K30" s="54">
        <f>TrRoad_act!K111</f>
        <v>1380078</v>
      </c>
      <c r="L30" s="54">
        <f>TrRoad_act!L111</f>
        <v>1438111</v>
      </c>
      <c r="M30" s="54">
        <f>TrRoad_act!M111</f>
        <v>1329696</v>
      </c>
      <c r="N30" s="54">
        <f>TrRoad_act!N111</f>
        <v>1174559</v>
      </c>
      <c r="O30" s="54">
        <f>TrRoad_act!O111</f>
        <v>1025149</v>
      </c>
      <c r="P30" s="54">
        <f>TrRoad_act!P111</f>
        <v>1484014</v>
      </c>
      <c r="Q30" s="54">
        <f>TrRoad_act!Q111</f>
        <v>2204406</v>
      </c>
      <c r="R30" s="54">
        <f>TrRoad_act!R111</f>
        <v>1757825</v>
      </c>
      <c r="S30" s="54">
        <f>TrRoad_act!S111</f>
        <v>3183972</v>
      </c>
      <c r="T30" s="54">
        <f>TrRoad_act!T111</f>
        <v>2334810</v>
      </c>
      <c r="U30" s="54">
        <f>TrRoad_act!U111</f>
        <v>2224677</v>
      </c>
      <c r="V30" s="54">
        <f>TrRoad_act!V111</f>
        <v>1778083</v>
      </c>
      <c r="W30" s="54">
        <f>TrRoad_act!W111</f>
        <v>2029688</v>
      </c>
      <c r="X30" s="54">
        <f>TrRoad_act!X111</f>
        <v>2096757</v>
      </c>
      <c r="Y30" s="54">
        <f>TrRoad_act!Y111</f>
        <v>2380494</v>
      </c>
      <c r="DA30" s="172" t="s">
        <v>526</v>
      </c>
    </row>
    <row r="31" spans="1:105" ht="11.45" customHeight="1" x14ac:dyDescent="0.25">
      <c r="A31" s="27" t="s">
        <v>33</v>
      </c>
      <c r="B31" s="28">
        <f>TrRoad_act!B112</f>
        <v>1622071</v>
      </c>
      <c r="C31" s="28">
        <f>TrRoad_act!C112</f>
        <v>1708331</v>
      </c>
      <c r="D31" s="28">
        <f>TrRoad_act!D112</f>
        <v>2087786</v>
      </c>
      <c r="E31" s="28">
        <f>TrRoad_act!E112</f>
        <v>1698952</v>
      </c>
      <c r="F31" s="28">
        <f>TrRoad_act!F112</f>
        <v>1875520</v>
      </c>
      <c r="G31" s="28">
        <f>TrRoad_act!G112</f>
        <v>1984340</v>
      </c>
      <c r="H31" s="28">
        <f>TrRoad_act!H112</f>
        <v>2157657</v>
      </c>
      <c r="I31" s="28">
        <f>TrRoad_act!I112</f>
        <v>2207744</v>
      </c>
      <c r="J31" s="28">
        <f>TrRoad_act!J112</f>
        <v>1721629</v>
      </c>
      <c r="K31" s="28">
        <f>TrRoad_act!K112</f>
        <v>1251868</v>
      </c>
      <c r="L31" s="28">
        <f>TrRoad_act!L112</f>
        <v>1295883</v>
      </c>
      <c r="M31" s="28">
        <f>TrRoad_act!M112</f>
        <v>1196725</v>
      </c>
      <c r="N31" s="28">
        <f>TrRoad_act!N112</f>
        <v>1061546</v>
      </c>
      <c r="O31" s="28">
        <f>TrRoad_act!O112</f>
        <v>929411</v>
      </c>
      <c r="P31" s="28">
        <f>TrRoad_act!P112</f>
        <v>1134532</v>
      </c>
      <c r="Q31" s="28">
        <f>TrRoad_act!Q112</f>
        <v>1727252</v>
      </c>
      <c r="R31" s="28">
        <f>TrRoad_act!R112</f>
        <v>1586172</v>
      </c>
      <c r="S31" s="28">
        <f>TrRoad_act!S112</f>
        <v>2991758</v>
      </c>
      <c r="T31" s="28">
        <f>TrRoad_act!T112</f>
        <v>2151042</v>
      </c>
      <c r="U31" s="28">
        <f>TrRoad_act!U112</f>
        <v>2058069</v>
      </c>
      <c r="V31" s="28">
        <f>TrRoad_act!V112</f>
        <v>1656753</v>
      </c>
      <c r="W31" s="28">
        <f>TrRoad_act!W112</f>
        <v>1893724</v>
      </c>
      <c r="X31" s="28">
        <f>TrRoad_act!X112</f>
        <v>1960711</v>
      </c>
      <c r="Y31" s="28">
        <f>TrRoad_act!Y112</f>
        <v>2214520</v>
      </c>
      <c r="DA31" s="173" t="s">
        <v>527</v>
      </c>
    </row>
    <row r="32" spans="1:105" ht="11.45" customHeight="1" x14ac:dyDescent="0.25">
      <c r="A32" s="136" t="s">
        <v>173</v>
      </c>
      <c r="B32" s="137">
        <f>TrRoad_act!B113</f>
        <v>151246</v>
      </c>
      <c r="C32" s="137">
        <f>TrRoad_act!C113</f>
        <v>202927</v>
      </c>
      <c r="D32" s="137">
        <f>TrRoad_act!D113</f>
        <v>673266</v>
      </c>
      <c r="E32" s="137">
        <f>TrRoad_act!E113</f>
        <v>313091</v>
      </c>
      <c r="F32" s="137">
        <f>TrRoad_act!F113</f>
        <v>352612</v>
      </c>
      <c r="G32" s="137">
        <f>TrRoad_act!G113</f>
        <v>449798</v>
      </c>
      <c r="H32" s="137">
        <f>TrRoad_act!H113</f>
        <v>483434</v>
      </c>
      <c r="I32" s="137">
        <f>TrRoad_act!I113</f>
        <v>569283</v>
      </c>
      <c r="J32" s="137">
        <f>TrRoad_act!J113</f>
        <v>481740</v>
      </c>
      <c r="K32" s="137">
        <f>TrRoad_act!K113</f>
        <v>269280</v>
      </c>
      <c r="L32" s="137">
        <f>TrRoad_act!L113</f>
        <v>270518</v>
      </c>
      <c r="M32" s="137">
        <f>TrRoad_act!M113</f>
        <v>238846</v>
      </c>
      <c r="N32" s="137">
        <f>TrRoad_act!N113</f>
        <v>195862</v>
      </c>
      <c r="O32" s="137">
        <f>TrRoad_act!O113</f>
        <v>185356</v>
      </c>
      <c r="P32" s="137">
        <f>TrRoad_act!P113</f>
        <v>222920</v>
      </c>
      <c r="Q32" s="137">
        <f>TrRoad_act!Q113</f>
        <v>289926</v>
      </c>
      <c r="R32" s="137">
        <f>TrRoad_act!R113</f>
        <v>310008</v>
      </c>
      <c r="S32" s="137">
        <f>TrRoad_act!S113</f>
        <v>595284</v>
      </c>
      <c r="T32" s="137">
        <f>TrRoad_act!T113</f>
        <v>339940</v>
      </c>
      <c r="U32" s="137">
        <f>TrRoad_act!U113</f>
        <v>400978</v>
      </c>
      <c r="V32" s="137">
        <f>TrRoad_act!V113</f>
        <v>385114</v>
      </c>
      <c r="W32" s="137">
        <f>TrRoad_act!W113</f>
        <v>376782</v>
      </c>
      <c r="X32" s="137">
        <f>TrRoad_act!X113</f>
        <v>398426</v>
      </c>
      <c r="Y32" s="137">
        <f>TrRoad_act!Y113</f>
        <v>431666</v>
      </c>
      <c r="DA32" s="174" t="s">
        <v>528</v>
      </c>
    </row>
    <row r="33" spans="1:105" ht="11.45" customHeight="1" x14ac:dyDescent="0.25">
      <c r="A33" s="109" t="s">
        <v>20</v>
      </c>
      <c r="B33" s="110">
        <f>TrRoad_act!B114</f>
        <v>1467160</v>
      </c>
      <c r="C33" s="110">
        <f>TrRoad_act!C114</f>
        <v>1499734</v>
      </c>
      <c r="D33" s="110">
        <f>TrRoad_act!D114</f>
        <v>1409301</v>
      </c>
      <c r="E33" s="110">
        <f>TrRoad_act!E114</f>
        <v>1382109</v>
      </c>
      <c r="F33" s="110">
        <f>TrRoad_act!F114</f>
        <v>1517286</v>
      </c>
      <c r="G33" s="110">
        <f>TrRoad_act!G114</f>
        <v>1528877</v>
      </c>
      <c r="H33" s="110">
        <f>TrRoad_act!H114</f>
        <v>1667373</v>
      </c>
      <c r="I33" s="110">
        <f>TrRoad_act!I114</f>
        <v>1633239</v>
      </c>
      <c r="J33" s="110">
        <f>TrRoad_act!J114</f>
        <v>1234389</v>
      </c>
      <c r="K33" s="110">
        <f>TrRoad_act!K114</f>
        <v>977808</v>
      </c>
      <c r="L33" s="110">
        <f>TrRoad_act!L114</f>
        <v>1021352</v>
      </c>
      <c r="M33" s="110">
        <f>TrRoad_act!M114</f>
        <v>953844</v>
      </c>
      <c r="N33" s="110">
        <f>TrRoad_act!N114</f>
        <v>861642</v>
      </c>
      <c r="O33" s="110">
        <f>TrRoad_act!O114</f>
        <v>742305</v>
      </c>
      <c r="P33" s="110">
        <f>TrRoad_act!P114</f>
        <v>908047</v>
      </c>
      <c r="Q33" s="110">
        <f>TrRoad_act!Q114</f>
        <v>1433028</v>
      </c>
      <c r="R33" s="110">
        <f>TrRoad_act!R114</f>
        <v>1271100</v>
      </c>
      <c r="S33" s="110">
        <f>TrRoad_act!S114</f>
        <v>2392644</v>
      </c>
      <c r="T33" s="110">
        <f>TrRoad_act!T114</f>
        <v>1807398</v>
      </c>
      <c r="U33" s="110">
        <f>TrRoad_act!U114</f>
        <v>1653556</v>
      </c>
      <c r="V33" s="110">
        <f>TrRoad_act!V114</f>
        <v>1269049</v>
      </c>
      <c r="W33" s="110">
        <f>TrRoad_act!W114</f>
        <v>1514145</v>
      </c>
      <c r="X33" s="110">
        <f>TrRoad_act!X114</f>
        <v>1559609</v>
      </c>
      <c r="Y33" s="110">
        <f>TrRoad_act!Y114</f>
        <v>1779451</v>
      </c>
      <c r="DA33" s="176" t="s">
        <v>529</v>
      </c>
    </row>
    <row r="34" spans="1:105" ht="11.45" customHeight="1" x14ac:dyDescent="0.25">
      <c r="A34" s="111" t="s">
        <v>110</v>
      </c>
      <c r="B34" s="84">
        <f>TrRoad_act!B115</f>
        <v>681967</v>
      </c>
      <c r="C34" s="84">
        <f>TrRoad_act!C115</f>
        <v>718980</v>
      </c>
      <c r="D34" s="84">
        <f>TrRoad_act!D115</f>
        <v>603178</v>
      </c>
      <c r="E34" s="84">
        <f>TrRoad_act!E115</f>
        <v>552217</v>
      </c>
      <c r="F34" s="84">
        <f>TrRoad_act!F115</f>
        <v>562019</v>
      </c>
      <c r="G34" s="84">
        <f>TrRoad_act!G115</f>
        <v>523425</v>
      </c>
      <c r="H34" s="84">
        <f>TrRoad_act!H115</f>
        <v>522869</v>
      </c>
      <c r="I34" s="84">
        <f>TrRoad_act!I115</f>
        <v>499132</v>
      </c>
      <c r="J34" s="84">
        <f>TrRoad_act!J115</f>
        <v>381310</v>
      </c>
      <c r="K34" s="84">
        <f>TrRoad_act!K115</f>
        <v>303568</v>
      </c>
      <c r="L34" s="84">
        <f>TrRoad_act!L115</f>
        <v>306410</v>
      </c>
      <c r="M34" s="84">
        <f>TrRoad_act!M115</f>
        <v>258895</v>
      </c>
      <c r="N34" s="84">
        <f>TrRoad_act!N115</f>
        <v>234071</v>
      </c>
      <c r="O34" s="84">
        <f>TrRoad_act!O115</f>
        <v>231063</v>
      </c>
      <c r="P34" s="84">
        <f>TrRoad_act!P115</f>
        <v>313336</v>
      </c>
      <c r="Q34" s="84">
        <f>TrRoad_act!Q115</f>
        <v>398531</v>
      </c>
      <c r="R34" s="84">
        <f>TrRoad_act!R115</f>
        <v>539447</v>
      </c>
      <c r="S34" s="84">
        <f>TrRoad_act!S115</f>
        <v>689610</v>
      </c>
      <c r="T34" s="84">
        <f>TrRoad_act!T115</f>
        <v>913446</v>
      </c>
      <c r="U34" s="84">
        <f>TrRoad_act!U115</f>
        <v>972869</v>
      </c>
      <c r="V34" s="84">
        <f>TrRoad_act!V115</f>
        <v>657536</v>
      </c>
      <c r="W34" s="84">
        <f>TrRoad_act!W115</f>
        <v>763658</v>
      </c>
      <c r="X34" s="84">
        <f>TrRoad_act!X115</f>
        <v>771077</v>
      </c>
      <c r="Y34" s="84">
        <f>TrRoad_act!Y115</f>
        <v>935528</v>
      </c>
      <c r="DA34" s="171" t="s">
        <v>530</v>
      </c>
    </row>
    <row r="35" spans="1:105" ht="11.45" customHeight="1" x14ac:dyDescent="0.25">
      <c r="A35" s="111" t="s">
        <v>111</v>
      </c>
      <c r="B35" s="84">
        <f>TrRoad_act!B116</f>
        <v>785193</v>
      </c>
      <c r="C35" s="84">
        <f>TrRoad_act!C116</f>
        <v>779869</v>
      </c>
      <c r="D35" s="84">
        <f>TrRoad_act!D116</f>
        <v>805226</v>
      </c>
      <c r="E35" s="84">
        <f>TrRoad_act!E116</f>
        <v>829892</v>
      </c>
      <c r="F35" s="84">
        <f>TrRoad_act!F116</f>
        <v>953582</v>
      </c>
      <c r="G35" s="84">
        <f>TrRoad_act!G116</f>
        <v>1003448</v>
      </c>
      <c r="H35" s="84">
        <f>TrRoad_act!H116</f>
        <v>1142066</v>
      </c>
      <c r="I35" s="84">
        <f>TrRoad_act!I116</f>
        <v>1134107</v>
      </c>
      <c r="J35" s="84">
        <f>TrRoad_act!J116</f>
        <v>852884</v>
      </c>
      <c r="K35" s="84">
        <f>TrRoad_act!K116</f>
        <v>672292</v>
      </c>
      <c r="L35" s="84">
        <f>TrRoad_act!L116</f>
        <v>713222</v>
      </c>
      <c r="M35" s="84">
        <f>TrRoad_act!M116</f>
        <v>693314</v>
      </c>
      <c r="N35" s="84">
        <f>TrRoad_act!N116</f>
        <v>618004</v>
      </c>
      <c r="O35" s="84">
        <f>TrRoad_act!O116</f>
        <v>507665</v>
      </c>
      <c r="P35" s="84">
        <f>TrRoad_act!P116</f>
        <v>590360</v>
      </c>
      <c r="Q35" s="84">
        <f>TrRoad_act!Q116</f>
        <v>1028130</v>
      </c>
      <c r="R35" s="84">
        <f>TrRoad_act!R116</f>
        <v>726070</v>
      </c>
      <c r="S35" s="84">
        <f>TrRoad_act!S116</f>
        <v>1690390</v>
      </c>
      <c r="T35" s="84">
        <f>TrRoad_act!T116</f>
        <v>862811</v>
      </c>
      <c r="U35" s="84">
        <f>TrRoad_act!U116</f>
        <v>634734</v>
      </c>
      <c r="V35" s="84">
        <f>TrRoad_act!V116</f>
        <v>554801</v>
      </c>
      <c r="W35" s="84">
        <f>TrRoad_act!W116</f>
        <v>664753</v>
      </c>
      <c r="X35" s="84">
        <f>TrRoad_act!X116</f>
        <v>690068</v>
      </c>
      <c r="Y35" s="84">
        <f>TrRoad_act!Y116</f>
        <v>686556</v>
      </c>
      <c r="DA35" s="171" t="s">
        <v>531</v>
      </c>
    </row>
    <row r="36" spans="1:105" ht="11.45" customHeight="1" x14ac:dyDescent="0.25">
      <c r="A36" s="111" t="s">
        <v>112</v>
      </c>
      <c r="B36" s="84">
        <f>TrRoad_act!B117</f>
        <v>0</v>
      </c>
      <c r="C36" s="84">
        <f>TrRoad_act!C117</f>
        <v>885</v>
      </c>
      <c r="D36" s="84">
        <f>TrRoad_act!D117</f>
        <v>897</v>
      </c>
      <c r="E36" s="84">
        <f>TrRoad_act!E117</f>
        <v>0</v>
      </c>
      <c r="F36" s="84">
        <f>TrRoad_act!F117</f>
        <v>0</v>
      </c>
      <c r="G36" s="84">
        <f>TrRoad_act!G117</f>
        <v>0</v>
      </c>
      <c r="H36" s="84">
        <f>TrRoad_act!H117</f>
        <v>0</v>
      </c>
      <c r="I36" s="84">
        <f>TrRoad_act!I117</f>
        <v>0</v>
      </c>
      <c r="J36" s="84">
        <f>TrRoad_act!J117</f>
        <v>0</v>
      </c>
      <c r="K36" s="84">
        <f>TrRoad_act!K117</f>
        <v>1766</v>
      </c>
      <c r="L36" s="84">
        <f>TrRoad_act!L117</f>
        <v>1348</v>
      </c>
      <c r="M36" s="84">
        <f>TrRoad_act!M117</f>
        <v>993</v>
      </c>
      <c r="N36" s="84">
        <f>TrRoad_act!N117</f>
        <v>4513</v>
      </c>
      <c r="O36" s="84">
        <f>TrRoad_act!O117</f>
        <v>933</v>
      </c>
      <c r="P36" s="84">
        <f>TrRoad_act!P117</f>
        <v>2844</v>
      </c>
      <c r="Q36" s="84">
        <f>TrRoad_act!Q117</f>
        <v>2722</v>
      </c>
      <c r="R36" s="84">
        <f>TrRoad_act!R117</f>
        <v>1537</v>
      </c>
      <c r="S36" s="84">
        <f>TrRoad_act!S117</f>
        <v>4024</v>
      </c>
      <c r="T36" s="84">
        <f>TrRoad_act!T117</f>
        <v>15085</v>
      </c>
      <c r="U36" s="84">
        <f>TrRoad_act!U117</f>
        <v>21951</v>
      </c>
      <c r="V36" s="84">
        <f>TrRoad_act!V117</f>
        <v>10056</v>
      </c>
      <c r="W36" s="84">
        <f>TrRoad_act!W117</f>
        <v>13683</v>
      </c>
      <c r="X36" s="84">
        <f>TrRoad_act!X117</f>
        <v>17253</v>
      </c>
      <c r="Y36" s="84">
        <f>TrRoad_act!Y117</f>
        <v>39660</v>
      </c>
      <c r="DA36" s="171" t="s">
        <v>532</v>
      </c>
    </row>
    <row r="37" spans="1:105" ht="11.45" customHeight="1" x14ac:dyDescent="0.25">
      <c r="A37" s="111" t="s">
        <v>113</v>
      </c>
      <c r="B37" s="84">
        <f>TrRoad_act!B118</f>
        <v>0</v>
      </c>
      <c r="C37" s="84">
        <f>TrRoad_act!C118</f>
        <v>0</v>
      </c>
      <c r="D37" s="84">
        <f>TrRoad_act!D118</f>
        <v>0</v>
      </c>
      <c r="E37" s="84">
        <f>TrRoad_act!E118</f>
        <v>0</v>
      </c>
      <c r="F37" s="84">
        <f>TrRoad_act!F118</f>
        <v>1685</v>
      </c>
      <c r="G37" s="84">
        <f>TrRoad_act!G118</f>
        <v>2004</v>
      </c>
      <c r="H37" s="84">
        <f>TrRoad_act!H118</f>
        <v>2438</v>
      </c>
      <c r="I37" s="84">
        <f>TrRoad_act!I118</f>
        <v>0</v>
      </c>
      <c r="J37" s="84">
        <f>TrRoad_act!J118</f>
        <v>195</v>
      </c>
      <c r="K37" s="84">
        <f>TrRoad_act!K118</f>
        <v>181</v>
      </c>
      <c r="L37" s="84">
        <f>TrRoad_act!L118</f>
        <v>296</v>
      </c>
      <c r="M37" s="84">
        <f>TrRoad_act!M118</f>
        <v>66</v>
      </c>
      <c r="N37" s="84">
        <f>TrRoad_act!N118</f>
        <v>4489</v>
      </c>
      <c r="O37" s="84">
        <f>TrRoad_act!O118</f>
        <v>1564</v>
      </c>
      <c r="P37" s="84">
        <f>TrRoad_act!P118</f>
        <v>0</v>
      </c>
      <c r="Q37" s="84">
        <f>TrRoad_act!Q118</f>
        <v>0</v>
      </c>
      <c r="R37" s="84">
        <f>TrRoad_act!R118</f>
        <v>70</v>
      </c>
      <c r="S37" s="84">
        <f>TrRoad_act!S118</f>
        <v>1028</v>
      </c>
      <c r="T37" s="84">
        <f>TrRoad_act!T118</f>
        <v>4048</v>
      </c>
      <c r="U37" s="84">
        <f>TrRoad_act!U118</f>
        <v>6126</v>
      </c>
      <c r="V37" s="84">
        <f>TrRoad_act!V118</f>
        <v>3782</v>
      </c>
      <c r="W37" s="84">
        <f>TrRoad_act!W118</f>
        <v>1197</v>
      </c>
      <c r="X37" s="84">
        <f>TrRoad_act!X118</f>
        <v>798</v>
      </c>
      <c r="Y37" s="84">
        <f>TrRoad_act!Y118</f>
        <v>148</v>
      </c>
      <c r="DA37" s="171" t="s">
        <v>533</v>
      </c>
    </row>
    <row r="38" spans="1:105" ht="11.45" customHeight="1" x14ac:dyDescent="0.25">
      <c r="A38" s="111" t="s">
        <v>114</v>
      </c>
      <c r="B38" s="84">
        <f>TrRoad_act!B119</f>
        <v>0</v>
      </c>
      <c r="C38" s="84">
        <f>TrRoad_act!C119</f>
        <v>0</v>
      </c>
      <c r="D38" s="84">
        <f>TrRoad_act!D119</f>
        <v>0</v>
      </c>
      <c r="E38" s="84">
        <f>TrRoad_act!E119</f>
        <v>0</v>
      </c>
      <c r="F38" s="84">
        <f>TrRoad_act!F119</f>
        <v>0</v>
      </c>
      <c r="G38" s="84">
        <f>TrRoad_act!G119</f>
        <v>0</v>
      </c>
      <c r="H38" s="84">
        <f>TrRoad_act!H119</f>
        <v>0</v>
      </c>
      <c r="I38" s="84">
        <f>TrRoad_act!I119</f>
        <v>0</v>
      </c>
      <c r="J38" s="84">
        <f>TrRoad_act!J119</f>
        <v>0</v>
      </c>
      <c r="K38" s="84">
        <f>TrRoad_act!K119</f>
        <v>0</v>
      </c>
      <c r="L38" s="84">
        <f>TrRoad_act!L119</f>
        <v>0</v>
      </c>
      <c r="M38" s="84">
        <f>TrRoad_act!M119</f>
        <v>8</v>
      </c>
      <c r="N38" s="84">
        <f>TrRoad_act!N119</f>
        <v>109</v>
      </c>
      <c r="O38" s="84">
        <f>TrRoad_act!O119</f>
        <v>81</v>
      </c>
      <c r="P38" s="84">
        <f>TrRoad_act!P119</f>
        <v>422</v>
      </c>
      <c r="Q38" s="84">
        <f>TrRoad_act!Q119</f>
        <v>1025</v>
      </c>
      <c r="R38" s="84">
        <f>TrRoad_act!R119</f>
        <v>1765</v>
      </c>
      <c r="S38" s="84">
        <f>TrRoad_act!S119</f>
        <v>3508</v>
      </c>
      <c r="T38" s="84">
        <f>TrRoad_act!T119</f>
        <v>5721</v>
      </c>
      <c r="U38" s="84">
        <f>TrRoad_act!U119</f>
        <v>7445</v>
      </c>
      <c r="V38" s="84">
        <f>TrRoad_act!V119</f>
        <v>24555</v>
      </c>
      <c r="W38" s="84">
        <f>TrRoad_act!W119</f>
        <v>43077</v>
      </c>
      <c r="X38" s="84">
        <f>TrRoad_act!X119</f>
        <v>48586</v>
      </c>
      <c r="Y38" s="84">
        <f>TrRoad_act!Y119</f>
        <v>62171</v>
      </c>
      <c r="DA38" s="171" t="s">
        <v>534</v>
      </c>
    </row>
    <row r="39" spans="1:105" ht="11.45" customHeight="1" x14ac:dyDescent="0.25">
      <c r="A39" s="111" t="s">
        <v>115</v>
      </c>
      <c r="B39" s="84">
        <f>TrRoad_act!B120</f>
        <v>0</v>
      </c>
      <c r="C39" s="84">
        <f>TrRoad_act!C120</f>
        <v>0</v>
      </c>
      <c r="D39" s="84">
        <f>TrRoad_act!D120</f>
        <v>0</v>
      </c>
      <c r="E39" s="84">
        <f>TrRoad_act!E120</f>
        <v>0</v>
      </c>
      <c r="F39" s="84">
        <f>TrRoad_act!F120</f>
        <v>0</v>
      </c>
      <c r="G39" s="84">
        <f>TrRoad_act!G120</f>
        <v>0</v>
      </c>
      <c r="H39" s="84">
        <f>TrRoad_act!H120</f>
        <v>0</v>
      </c>
      <c r="I39" s="84">
        <f>TrRoad_act!I120</f>
        <v>0</v>
      </c>
      <c r="J39" s="84">
        <f>TrRoad_act!J120</f>
        <v>0</v>
      </c>
      <c r="K39" s="84">
        <f>TrRoad_act!K120</f>
        <v>1</v>
      </c>
      <c r="L39" s="84">
        <f>TrRoad_act!L120</f>
        <v>76</v>
      </c>
      <c r="M39" s="84">
        <f>TrRoad_act!M120</f>
        <v>568</v>
      </c>
      <c r="N39" s="84">
        <f>TrRoad_act!N120</f>
        <v>456</v>
      </c>
      <c r="O39" s="84">
        <f>TrRoad_act!O120</f>
        <v>999</v>
      </c>
      <c r="P39" s="84">
        <f>TrRoad_act!P120</f>
        <v>1085</v>
      </c>
      <c r="Q39" s="84">
        <f>TrRoad_act!Q120</f>
        <v>2620</v>
      </c>
      <c r="R39" s="84">
        <f>TrRoad_act!R120</f>
        <v>2211</v>
      </c>
      <c r="S39" s="84">
        <f>TrRoad_act!S120</f>
        <v>4084</v>
      </c>
      <c r="T39" s="84">
        <f>TrRoad_act!T120</f>
        <v>6287</v>
      </c>
      <c r="U39" s="84">
        <f>TrRoad_act!U120</f>
        <v>10431</v>
      </c>
      <c r="V39" s="84">
        <f>TrRoad_act!V120</f>
        <v>18319</v>
      </c>
      <c r="W39" s="84">
        <f>TrRoad_act!W120</f>
        <v>27777</v>
      </c>
      <c r="X39" s="84">
        <f>TrRoad_act!X120</f>
        <v>31827</v>
      </c>
      <c r="Y39" s="84">
        <f>TrRoad_act!Y120</f>
        <v>55388</v>
      </c>
      <c r="DA39" s="171" t="s">
        <v>535</v>
      </c>
    </row>
    <row r="40" spans="1:105" ht="11.45" customHeight="1" x14ac:dyDescent="0.25">
      <c r="A40" s="109" t="s">
        <v>21</v>
      </c>
      <c r="B40" s="110">
        <f>TrRoad_act!B121</f>
        <v>3665</v>
      </c>
      <c r="C40" s="110">
        <f>TrRoad_act!C121</f>
        <v>5670</v>
      </c>
      <c r="D40" s="110">
        <f>TrRoad_act!D121</f>
        <v>5219</v>
      </c>
      <c r="E40" s="110">
        <f>TrRoad_act!E121</f>
        <v>3752</v>
      </c>
      <c r="F40" s="110">
        <f>TrRoad_act!F121</f>
        <v>5622</v>
      </c>
      <c r="G40" s="110">
        <f>TrRoad_act!G121</f>
        <v>5665</v>
      </c>
      <c r="H40" s="110">
        <f>TrRoad_act!H121</f>
        <v>6850</v>
      </c>
      <c r="I40" s="110">
        <f>TrRoad_act!I121</f>
        <v>5222</v>
      </c>
      <c r="J40" s="110">
        <f>TrRoad_act!J121</f>
        <v>5500</v>
      </c>
      <c r="K40" s="110">
        <f>TrRoad_act!K121</f>
        <v>4780</v>
      </c>
      <c r="L40" s="110">
        <f>TrRoad_act!L121</f>
        <v>4013</v>
      </c>
      <c r="M40" s="110">
        <f>TrRoad_act!M121</f>
        <v>4035</v>
      </c>
      <c r="N40" s="110">
        <f>TrRoad_act!N121</f>
        <v>4042</v>
      </c>
      <c r="O40" s="110">
        <f>TrRoad_act!O121</f>
        <v>1750</v>
      </c>
      <c r="P40" s="110">
        <f>TrRoad_act!P121</f>
        <v>3565</v>
      </c>
      <c r="Q40" s="110">
        <f>TrRoad_act!Q121</f>
        <v>4298</v>
      </c>
      <c r="R40" s="110">
        <f>TrRoad_act!R121</f>
        <v>5064</v>
      </c>
      <c r="S40" s="110">
        <f>TrRoad_act!S121</f>
        <v>3830</v>
      </c>
      <c r="T40" s="110">
        <f>TrRoad_act!T121</f>
        <v>3704</v>
      </c>
      <c r="U40" s="110">
        <f>TrRoad_act!U121</f>
        <v>3535</v>
      </c>
      <c r="V40" s="110">
        <f>TrRoad_act!V121</f>
        <v>2590</v>
      </c>
      <c r="W40" s="110">
        <f>TrRoad_act!W121</f>
        <v>2797</v>
      </c>
      <c r="X40" s="110">
        <f>TrRoad_act!X121</f>
        <v>2676</v>
      </c>
      <c r="Y40" s="110">
        <f>TrRoad_act!Y121</f>
        <v>3403</v>
      </c>
      <c r="DA40" s="176" t="s">
        <v>536</v>
      </c>
    </row>
    <row r="41" spans="1:105" ht="11.45" customHeight="1" x14ac:dyDescent="0.25">
      <c r="A41" s="111" t="s">
        <v>110</v>
      </c>
      <c r="B41" s="102">
        <f>TrRoad_act!B122</f>
        <v>0</v>
      </c>
      <c r="C41" s="102">
        <f>TrRoad_act!C122</f>
        <v>104</v>
      </c>
      <c r="D41" s="102">
        <f>TrRoad_act!D122</f>
        <v>131</v>
      </c>
      <c r="E41" s="102">
        <f>TrRoad_act!E122</f>
        <v>66</v>
      </c>
      <c r="F41" s="102">
        <f>TrRoad_act!F122</f>
        <v>74</v>
      </c>
      <c r="G41" s="102">
        <f>TrRoad_act!G122</f>
        <v>0</v>
      </c>
      <c r="H41" s="102">
        <f>TrRoad_act!H122</f>
        <v>65</v>
      </c>
      <c r="I41" s="102">
        <f>TrRoad_act!I122</f>
        <v>182</v>
      </c>
      <c r="J41" s="102">
        <f>TrRoad_act!J122</f>
        <v>10</v>
      </c>
      <c r="K41" s="102">
        <f>TrRoad_act!K122</f>
        <v>10</v>
      </c>
      <c r="L41" s="102">
        <f>TrRoad_act!L122</f>
        <v>26</v>
      </c>
      <c r="M41" s="102">
        <f>TrRoad_act!M122</f>
        <v>35</v>
      </c>
      <c r="N41" s="102">
        <f>TrRoad_act!N122</f>
        <v>26</v>
      </c>
      <c r="O41" s="102">
        <f>TrRoad_act!O122</f>
        <v>28</v>
      </c>
      <c r="P41" s="102">
        <f>TrRoad_act!P122</f>
        <v>30</v>
      </c>
      <c r="Q41" s="102">
        <f>TrRoad_act!Q122</f>
        <v>22</v>
      </c>
      <c r="R41" s="102">
        <f>TrRoad_act!R122</f>
        <v>36</v>
      </c>
      <c r="S41" s="102">
        <f>TrRoad_act!S122</f>
        <v>12</v>
      </c>
      <c r="T41" s="102">
        <f>TrRoad_act!T122</f>
        <v>2</v>
      </c>
      <c r="U41" s="102">
        <f>TrRoad_act!U122</f>
        <v>1</v>
      </c>
      <c r="V41" s="102">
        <f>TrRoad_act!V122</f>
        <v>0</v>
      </c>
      <c r="W41" s="102">
        <f>TrRoad_act!W122</f>
        <v>35</v>
      </c>
      <c r="X41" s="102">
        <f>TrRoad_act!X122</f>
        <v>37</v>
      </c>
      <c r="Y41" s="102">
        <f>TrRoad_act!Y122</f>
        <v>27</v>
      </c>
      <c r="DA41" s="175" t="s">
        <v>537</v>
      </c>
    </row>
    <row r="42" spans="1:105" ht="11.45" customHeight="1" x14ac:dyDescent="0.25">
      <c r="A42" s="111" t="s">
        <v>111</v>
      </c>
      <c r="B42" s="102">
        <f>TrRoad_act!B123</f>
        <v>3665</v>
      </c>
      <c r="C42" s="102">
        <f>TrRoad_act!C123</f>
        <v>5556</v>
      </c>
      <c r="D42" s="102">
        <f>TrRoad_act!D123</f>
        <v>5088</v>
      </c>
      <c r="E42" s="102">
        <f>TrRoad_act!E123</f>
        <v>3506</v>
      </c>
      <c r="F42" s="102">
        <f>TrRoad_act!F123</f>
        <v>5492</v>
      </c>
      <c r="G42" s="102">
        <f>TrRoad_act!G123</f>
        <v>5630</v>
      </c>
      <c r="H42" s="102">
        <f>TrRoad_act!H123</f>
        <v>6757</v>
      </c>
      <c r="I42" s="102">
        <f>TrRoad_act!I123</f>
        <v>4949</v>
      </c>
      <c r="J42" s="102">
        <f>TrRoad_act!J123</f>
        <v>5490</v>
      </c>
      <c r="K42" s="102">
        <f>TrRoad_act!K123</f>
        <v>4767</v>
      </c>
      <c r="L42" s="102">
        <f>TrRoad_act!L123</f>
        <v>3987</v>
      </c>
      <c r="M42" s="102">
        <f>TrRoad_act!M123</f>
        <v>4000</v>
      </c>
      <c r="N42" s="102">
        <f>TrRoad_act!N123</f>
        <v>3994</v>
      </c>
      <c r="O42" s="102">
        <f>TrRoad_act!O123</f>
        <v>1653</v>
      </c>
      <c r="P42" s="102">
        <f>TrRoad_act!P123</f>
        <v>3520</v>
      </c>
      <c r="Q42" s="102">
        <f>TrRoad_act!Q123</f>
        <v>3027</v>
      </c>
      <c r="R42" s="102">
        <f>TrRoad_act!R123</f>
        <v>4228</v>
      </c>
      <c r="S42" s="102">
        <f>TrRoad_act!S123</f>
        <v>3482</v>
      </c>
      <c r="T42" s="102">
        <f>TrRoad_act!T123</f>
        <v>2459</v>
      </c>
      <c r="U42" s="102">
        <f>TrRoad_act!U123</f>
        <v>2782</v>
      </c>
      <c r="V42" s="102">
        <f>TrRoad_act!V123</f>
        <v>1967</v>
      </c>
      <c r="W42" s="102">
        <f>TrRoad_act!W123</f>
        <v>2106</v>
      </c>
      <c r="X42" s="102">
        <f>TrRoad_act!X123</f>
        <v>1933</v>
      </c>
      <c r="Y42" s="102">
        <f>TrRoad_act!Y123</f>
        <v>2565</v>
      </c>
      <c r="DA42" s="175" t="s">
        <v>538</v>
      </c>
    </row>
    <row r="43" spans="1:105" ht="11.45" customHeight="1" x14ac:dyDescent="0.25">
      <c r="A43" s="111" t="s">
        <v>112</v>
      </c>
      <c r="B43" s="102">
        <f>TrRoad_act!B124</f>
        <v>0</v>
      </c>
      <c r="C43" s="102">
        <f>TrRoad_act!C124</f>
        <v>0</v>
      </c>
      <c r="D43" s="102">
        <f>TrRoad_act!D124</f>
        <v>0</v>
      </c>
      <c r="E43" s="102">
        <f>TrRoad_act!E124</f>
        <v>0</v>
      </c>
      <c r="F43" s="102">
        <f>TrRoad_act!F124</f>
        <v>0</v>
      </c>
      <c r="G43" s="102">
        <f>TrRoad_act!G124</f>
        <v>0</v>
      </c>
      <c r="H43" s="102">
        <f>TrRoad_act!H124</f>
        <v>0</v>
      </c>
      <c r="I43" s="102">
        <f>TrRoad_act!I124</f>
        <v>0</v>
      </c>
      <c r="J43" s="102">
        <f>TrRoad_act!J124</f>
        <v>0</v>
      </c>
      <c r="K43" s="102">
        <f>TrRoad_act!K124</f>
        <v>0</v>
      </c>
      <c r="L43" s="102">
        <f>TrRoad_act!L124</f>
        <v>0</v>
      </c>
      <c r="M43" s="102">
        <f>TrRoad_act!M124</f>
        <v>0</v>
      </c>
      <c r="N43" s="102">
        <f>TrRoad_act!N124</f>
        <v>0</v>
      </c>
      <c r="O43" s="102">
        <f>TrRoad_act!O124</f>
        <v>0</v>
      </c>
      <c r="P43" s="102">
        <f>TrRoad_act!P124</f>
        <v>4</v>
      </c>
      <c r="Q43" s="102">
        <f>TrRoad_act!Q124</f>
        <v>99</v>
      </c>
      <c r="R43" s="102">
        <f>TrRoad_act!R124</f>
        <v>3</v>
      </c>
      <c r="S43" s="102">
        <f>TrRoad_act!S124</f>
        <v>0</v>
      </c>
      <c r="T43" s="102">
        <f>TrRoad_act!T124</f>
        <v>0</v>
      </c>
      <c r="U43" s="102">
        <f>TrRoad_act!U124</f>
        <v>29</v>
      </c>
      <c r="V43" s="102">
        <f>TrRoad_act!V124</f>
        <v>35</v>
      </c>
      <c r="W43" s="102">
        <f>TrRoad_act!W124</f>
        <v>179</v>
      </c>
      <c r="X43" s="102">
        <f>TrRoad_act!X124</f>
        <v>105</v>
      </c>
      <c r="Y43" s="102">
        <f>TrRoad_act!Y124</f>
        <v>131</v>
      </c>
      <c r="DA43" s="175" t="s">
        <v>539</v>
      </c>
    </row>
    <row r="44" spans="1:105" ht="11.45" customHeight="1" x14ac:dyDescent="0.25">
      <c r="A44" s="111" t="s">
        <v>113</v>
      </c>
      <c r="B44" s="102">
        <f>TrRoad_act!B125</f>
        <v>0</v>
      </c>
      <c r="C44" s="102">
        <f>TrRoad_act!C125</f>
        <v>10</v>
      </c>
      <c r="D44" s="102">
        <f>TrRoad_act!D125</f>
        <v>0</v>
      </c>
      <c r="E44" s="102">
        <f>TrRoad_act!E125</f>
        <v>180</v>
      </c>
      <c r="F44" s="102">
        <f>TrRoad_act!F125</f>
        <v>56</v>
      </c>
      <c r="G44" s="102">
        <f>TrRoad_act!G125</f>
        <v>35</v>
      </c>
      <c r="H44" s="102">
        <f>TrRoad_act!H125</f>
        <v>28</v>
      </c>
      <c r="I44" s="102">
        <f>TrRoad_act!I125</f>
        <v>91</v>
      </c>
      <c r="J44" s="102">
        <f>TrRoad_act!J125</f>
        <v>0</v>
      </c>
      <c r="K44" s="102">
        <f>TrRoad_act!K125</f>
        <v>3</v>
      </c>
      <c r="L44" s="102">
        <f>TrRoad_act!L125</f>
        <v>0</v>
      </c>
      <c r="M44" s="102">
        <f>TrRoad_act!M125</f>
        <v>0</v>
      </c>
      <c r="N44" s="102">
        <f>TrRoad_act!N125</f>
        <v>22</v>
      </c>
      <c r="O44" s="102">
        <f>TrRoad_act!O125</f>
        <v>8</v>
      </c>
      <c r="P44" s="102">
        <f>TrRoad_act!P125</f>
        <v>0</v>
      </c>
      <c r="Q44" s="102">
        <f>TrRoad_act!Q125</f>
        <v>1107</v>
      </c>
      <c r="R44" s="102">
        <f>TrRoad_act!R125</f>
        <v>786</v>
      </c>
      <c r="S44" s="102">
        <f>TrRoad_act!S125</f>
        <v>320</v>
      </c>
      <c r="T44" s="102">
        <f>TrRoad_act!T125</f>
        <v>1221</v>
      </c>
      <c r="U44" s="102">
        <f>TrRoad_act!U125</f>
        <v>649</v>
      </c>
      <c r="V44" s="102">
        <f>TrRoad_act!V125</f>
        <v>548</v>
      </c>
      <c r="W44" s="102">
        <f>TrRoad_act!W125</f>
        <v>348</v>
      </c>
      <c r="X44" s="102">
        <f>TrRoad_act!X125</f>
        <v>460</v>
      </c>
      <c r="Y44" s="102">
        <f>TrRoad_act!Y125</f>
        <v>180</v>
      </c>
      <c r="DA44" s="175" t="s">
        <v>540</v>
      </c>
    </row>
    <row r="45" spans="1:105" ht="11.45" customHeight="1" x14ac:dyDescent="0.25">
      <c r="A45" s="111" t="s">
        <v>115</v>
      </c>
      <c r="B45" s="102">
        <f>TrRoad_act!B126</f>
        <v>0</v>
      </c>
      <c r="C45" s="102">
        <f>TrRoad_act!C126</f>
        <v>0</v>
      </c>
      <c r="D45" s="102">
        <f>TrRoad_act!D126</f>
        <v>0</v>
      </c>
      <c r="E45" s="102">
        <f>TrRoad_act!E126</f>
        <v>0</v>
      </c>
      <c r="F45" s="102">
        <f>TrRoad_act!F126</f>
        <v>0</v>
      </c>
      <c r="G45" s="102">
        <f>TrRoad_act!G126</f>
        <v>0</v>
      </c>
      <c r="H45" s="102">
        <f>TrRoad_act!H126</f>
        <v>0</v>
      </c>
      <c r="I45" s="102">
        <f>TrRoad_act!I126</f>
        <v>0</v>
      </c>
      <c r="J45" s="102">
        <f>TrRoad_act!J126</f>
        <v>0</v>
      </c>
      <c r="K45" s="102">
        <f>TrRoad_act!K126</f>
        <v>0</v>
      </c>
      <c r="L45" s="102">
        <f>TrRoad_act!L126</f>
        <v>0</v>
      </c>
      <c r="M45" s="102">
        <f>TrRoad_act!M126</f>
        <v>0</v>
      </c>
      <c r="N45" s="102">
        <f>TrRoad_act!N126</f>
        <v>0</v>
      </c>
      <c r="O45" s="102">
        <f>TrRoad_act!O126</f>
        <v>61</v>
      </c>
      <c r="P45" s="102">
        <f>TrRoad_act!P126</f>
        <v>11</v>
      </c>
      <c r="Q45" s="102">
        <f>TrRoad_act!Q126</f>
        <v>43</v>
      </c>
      <c r="R45" s="102">
        <f>TrRoad_act!R126</f>
        <v>11</v>
      </c>
      <c r="S45" s="102">
        <f>TrRoad_act!S126</f>
        <v>16</v>
      </c>
      <c r="T45" s="102">
        <f>TrRoad_act!T126</f>
        <v>22</v>
      </c>
      <c r="U45" s="102">
        <f>TrRoad_act!U126</f>
        <v>74</v>
      </c>
      <c r="V45" s="102">
        <f>TrRoad_act!V126</f>
        <v>40</v>
      </c>
      <c r="W45" s="102">
        <f>TrRoad_act!W126</f>
        <v>129</v>
      </c>
      <c r="X45" s="102">
        <f>TrRoad_act!X126</f>
        <v>141</v>
      </c>
      <c r="Y45" s="102">
        <f>TrRoad_act!Y126</f>
        <v>500</v>
      </c>
      <c r="DA45" s="175" t="s">
        <v>541</v>
      </c>
    </row>
    <row r="46" spans="1:105" ht="11.45" customHeight="1" x14ac:dyDescent="0.25">
      <c r="A46" s="27" t="s">
        <v>34</v>
      </c>
      <c r="B46" s="28">
        <f>TrRoad_act!B127</f>
        <v>2641</v>
      </c>
      <c r="C46" s="28">
        <f>TrRoad_act!C127</f>
        <v>294752</v>
      </c>
      <c r="D46" s="28">
        <f>TrRoad_act!D127</f>
        <v>203791</v>
      </c>
      <c r="E46" s="28">
        <f>TrRoad_act!E127</f>
        <v>351416</v>
      </c>
      <c r="F46" s="28">
        <f>TrRoad_act!F127</f>
        <v>478999</v>
      </c>
      <c r="G46" s="28">
        <f>TrRoad_act!G127</f>
        <v>359065</v>
      </c>
      <c r="H46" s="28">
        <f>TrRoad_act!H127</f>
        <v>348552</v>
      </c>
      <c r="I46" s="28">
        <f>TrRoad_act!I127</f>
        <v>929248</v>
      </c>
      <c r="J46" s="28">
        <f>TrRoad_act!J127</f>
        <v>153460</v>
      </c>
      <c r="K46" s="28">
        <f>TrRoad_act!K127</f>
        <v>128210</v>
      </c>
      <c r="L46" s="28">
        <f>TrRoad_act!L127</f>
        <v>142228</v>
      </c>
      <c r="M46" s="28">
        <f>TrRoad_act!M127</f>
        <v>132971</v>
      </c>
      <c r="N46" s="28">
        <f>TrRoad_act!N127</f>
        <v>113013</v>
      </c>
      <c r="O46" s="28">
        <f>TrRoad_act!O127</f>
        <v>95738</v>
      </c>
      <c r="P46" s="28">
        <f>TrRoad_act!P127</f>
        <v>349482</v>
      </c>
      <c r="Q46" s="28">
        <f>TrRoad_act!Q127</f>
        <v>477154</v>
      </c>
      <c r="R46" s="28">
        <f>TrRoad_act!R127</f>
        <v>171653</v>
      </c>
      <c r="S46" s="28">
        <f>TrRoad_act!S127</f>
        <v>192214</v>
      </c>
      <c r="T46" s="28">
        <f>TrRoad_act!T127</f>
        <v>183768</v>
      </c>
      <c r="U46" s="28">
        <f>TrRoad_act!U127</f>
        <v>166608</v>
      </c>
      <c r="V46" s="28">
        <f>TrRoad_act!V127</f>
        <v>121330</v>
      </c>
      <c r="W46" s="28">
        <f>TrRoad_act!W127</f>
        <v>135964</v>
      </c>
      <c r="X46" s="28">
        <f>TrRoad_act!X127</f>
        <v>136046</v>
      </c>
      <c r="Y46" s="28">
        <f>TrRoad_act!Y127</f>
        <v>165974</v>
      </c>
      <c r="DA46" s="173" t="s">
        <v>542</v>
      </c>
    </row>
    <row r="47" spans="1:105" ht="11.45" customHeight="1" x14ac:dyDescent="0.25">
      <c r="A47" s="136" t="s">
        <v>153</v>
      </c>
      <c r="B47" s="137">
        <f>TrRoad_act!B128</f>
        <v>0</v>
      </c>
      <c r="C47" s="137">
        <f>TrRoad_act!C128</f>
        <v>244790</v>
      </c>
      <c r="D47" s="137">
        <f>TrRoad_act!D128</f>
        <v>156562</v>
      </c>
      <c r="E47" s="137">
        <f>TrRoad_act!E128</f>
        <v>295348</v>
      </c>
      <c r="F47" s="137">
        <f>TrRoad_act!F128</f>
        <v>424839</v>
      </c>
      <c r="G47" s="137">
        <f>TrRoad_act!G128</f>
        <v>304317</v>
      </c>
      <c r="H47" s="137">
        <f>TrRoad_act!H128</f>
        <v>289598</v>
      </c>
      <c r="I47" s="137">
        <f>TrRoad_act!I128</f>
        <v>861025</v>
      </c>
      <c r="J47" s="137">
        <f>TrRoad_act!J128</f>
        <v>107206</v>
      </c>
      <c r="K47" s="137">
        <f>TrRoad_act!K128</f>
        <v>97460</v>
      </c>
      <c r="L47" s="137">
        <f>TrRoad_act!L128</f>
        <v>107765</v>
      </c>
      <c r="M47" s="137">
        <f>TrRoad_act!M128</f>
        <v>95031</v>
      </c>
      <c r="N47" s="137">
        <f>TrRoad_act!N128</f>
        <v>82795</v>
      </c>
      <c r="O47" s="137">
        <f>TrRoad_act!O128</f>
        <v>84074</v>
      </c>
      <c r="P47" s="137">
        <f>TrRoad_act!P128</f>
        <v>342141</v>
      </c>
      <c r="Q47" s="137">
        <f>TrRoad_act!Q128</f>
        <v>463117</v>
      </c>
      <c r="R47" s="137">
        <f>TrRoad_act!R128</f>
        <v>115383</v>
      </c>
      <c r="S47" s="137">
        <f>TrRoad_act!S128</f>
        <v>130919</v>
      </c>
      <c r="T47" s="137">
        <f>TrRoad_act!T128</f>
        <v>123403</v>
      </c>
      <c r="U47" s="137">
        <f>TrRoad_act!U128</f>
        <v>110284</v>
      </c>
      <c r="V47" s="137">
        <f>TrRoad_act!V128</f>
        <v>84638</v>
      </c>
      <c r="W47" s="137">
        <f>TrRoad_act!W128</f>
        <v>93353</v>
      </c>
      <c r="X47" s="137">
        <f>TrRoad_act!X128</f>
        <v>81895</v>
      </c>
      <c r="Y47" s="137">
        <f>TrRoad_act!Y128</f>
        <v>111549</v>
      </c>
      <c r="DA47" s="174" t="s">
        <v>543</v>
      </c>
    </row>
    <row r="48" spans="1:105" ht="11.45" customHeight="1" x14ac:dyDescent="0.25">
      <c r="A48" s="111" t="s">
        <v>110</v>
      </c>
      <c r="B48" s="84">
        <f>TrRoad_act!B129</f>
        <v>0</v>
      </c>
      <c r="C48" s="84">
        <f>TrRoad_act!C129</f>
        <v>511</v>
      </c>
      <c r="D48" s="84">
        <f>TrRoad_act!D129</f>
        <v>0</v>
      </c>
      <c r="E48" s="84">
        <f>TrRoad_act!E129</f>
        <v>0</v>
      </c>
      <c r="F48" s="84">
        <f>TrRoad_act!F129</f>
        <v>0</v>
      </c>
      <c r="G48" s="84">
        <f>TrRoad_act!G129</f>
        <v>0</v>
      </c>
      <c r="H48" s="84">
        <f>TrRoad_act!H129</f>
        <v>0</v>
      </c>
      <c r="I48" s="84">
        <f>TrRoad_act!I129</f>
        <v>0</v>
      </c>
      <c r="J48" s="84">
        <f>TrRoad_act!J129</f>
        <v>0</v>
      </c>
      <c r="K48" s="84">
        <f>TrRoad_act!K129</f>
        <v>0</v>
      </c>
      <c r="L48" s="84">
        <f>TrRoad_act!L129</f>
        <v>0</v>
      </c>
      <c r="M48" s="84">
        <f>TrRoad_act!M129</f>
        <v>2154</v>
      </c>
      <c r="N48" s="84">
        <f>TrRoad_act!N129</f>
        <v>12797</v>
      </c>
      <c r="O48" s="84">
        <f>TrRoad_act!O129</f>
        <v>10322</v>
      </c>
      <c r="P48" s="84">
        <f>TrRoad_act!P129</f>
        <v>173</v>
      </c>
      <c r="Q48" s="84">
        <f>TrRoad_act!Q129</f>
        <v>3410</v>
      </c>
      <c r="R48" s="84">
        <f>TrRoad_act!R129</f>
        <v>3904</v>
      </c>
      <c r="S48" s="84">
        <f>TrRoad_act!S129</f>
        <v>12151</v>
      </c>
      <c r="T48" s="84">
        <f>TrRoad_act!T129</f>
        <v>10036</v>
      </c>
      <c r="U48" s="84">
        <f>TrRoad_act!U129</f>
        <v>6180</v>
      </c>
      <c r="V48" s="84">
        <f>TrRoad_act!V129</f>
        <v>1477</v>
      </c>
      <c r="W48" s="84">
        <f>TrRoad_act!W129</f>
        <v>1727</v>
      </c>
      <c r="X48" s="84">
        <f>TrRoad_act!X129</f>
        <v>2787</v>
      </c>
      <c r="Y48" s="84">
        <f>TrRoad_act!Y129</f>
        <v>3495</v>
      </c>
      <c r="DA48" s="171" t="s">
        <v>544</v>
      </c>
    </row>
    <row r="49" spans="1:105" ht="11.45" customHeight="1" x14ac:dyDescent="0.25">
      <c r="A49" s="111" t="s">
        <v>111</v>
      </c>
      <c r="B49" s="84">
        <f>TrRoad_act!B130</f>
        <v>0</v>
      </c>
      <c r="C49" s="84">
        <f>TrRoad_act!C130</f>
        <v>244279</v>
      </c>
      <c r="D49" s="84">
        <f>TrRoad_act!D130</f>
        <v>156562</v>
      </c>
      <c r="E49" s="84">
        <f>TrRoad_act!E130</f>
        <v>295348</v>
      </c>
      <c r="F49" s="84">
        <f>TrRoad_act!F130</f>
        <v>424839</v>
      </c>
      <c r="G49" s="84">
        <f>TrRoad_act!G130</f>
        <v>304317</v>
      </c>
      <c r="H49" s="84">
        <f>TrRoad_act!H130</f>
        <v>289598</v>
      </c>
      <c r="I49" s="84">
        <f>TrRoad_act!I130</f>
        <v>861025</v>
      </c>
      <c r="J49" s="84">
        <f>TrRoad_act!J130</f>
        <v>107206</v>
      </c>
      <c r="K49" s="84">
        <f>TrRoad_act!K130</f>
        <v>97460</v>
      </c>
      <c r="L49" s="84">
        <f>TrRoad_act!L130</f>
        <v>107765</v>
      </c>
      <c r="M49" s="84">
        <f>TrRoad_act!M130</f>
        <v>92853</v>
      </c>
      <c r="N49" s="84">
        <f>TrRoad_act!N130</f>
        <v>69762</v>
      </c>
      <c r="O49" s="84">
        <f>TrRoad_act!O130</f>
        <v>73551</v>
      </c>
      <c r="P49" s="84">
        <f>TrRoad_act!P130</f>
        <v>340448</v>
      </c>
      <c r="Q49" s="84">
        <f>TrRoad_act!Q130</f>
        <v>458398</v>
      </c>
      <c r="R49" s="84">
        <f>TrRoad_act!R130</f>
        <v>110165</v>
      </c>
      <c r="S49" s="84">
        <f>TrRoad_act!S130</f>
        <v>116874</v>
      </c>
      <c r="T49" s="84">
        <f>TrRoad_act!T130</f>
        <v>107553</v>
      </c>
      <c r="U49" s="84">
        <f>TrRoad_act!U130</f>
        <v>95857</v>
      </c>
      <c r="V49" s="84">
        <f>TrRoad_act!V130</f>
        <v>77902</v>
      </c>
      <c r="W49" s="84">
        <f>TrRoad_act!W130</f>
        <v>85361</v>
      </c>
      <c r="X49" s="84">
        <f>TrRoad_act!X130</f>
        <v>74701</v>
      </c>
      <c r="Y49" s="84">
        <f>TrRoad_act!Y130</f>
        <v>98843</v>
      </c>
      <c r="DA49" s="171" t="s">
        <v>545</v>
      </c>
    </row>
    <row r="50" spans="1:105" ht="11.45" customHeight="1" x14ac:dyDescent="0.25">
      <c r="A50" s="111" t="s">
        <v>112</v>
      </c>
      <c r="B50" s="84">
        <f>TrRoad_act!B131</f>
        <v>0</v>
      </c>
      <c r="C50" s="84">
        <f>TrRoad_act!C131</f>
        <v>0</v>
      </c>
      <c r="D50" s="84">
        <f>TrRoad_act!D131</f>
        <v>0</v>
      </c>
      <c r="E50" s="84">
        <f>TrRoad_act!E131</f>
        <v>0</v>
      </c>
      <c r="F50" s="84">
        <f>TrRoad_act!F131</f>
        <v>0</v>
      </c>
      <c r="G50" s="84">
        <f>TrRoad_act!G131</f>
        <v>0</v>
      </c>
      <c r="H50" s="84">
        <f>TrRoad_act!H131</f>
        <v>0</v>
      </c>
      <c r="I50" s="84">
        <f>TrRoad_act!I131</f>
        <v>0</v>
      </c>
      <c r="J50" s="84">
        <f>TrRoad_act!J131</f>
        <v>0</v>
      </c>
      <c r="K50" s="84">
        <f>TrRoad_act!K131</f>
        <v>0</v>
      </c>
      <c r="L50" s="84">
        <f>TrRoad_act!L131</f>
        <v>0</v>
      </c>
      <c r="M50" s="84">
        <f>TrRoad_act!M131</f>
        <v>0</v>
      </c>
      <c r="N50" s="84">
        <f>TrRoad_act!N131</f>
        <v>0</v>
      </c>
      <c r="O50" s="84">
        <f>TrRoad_act!O131</f>
        <v>2</v>
      </c>
      <c r="P50" s="84">
        <f>TrRoad_act!P131</f>
        <v>238</v>
      </c>
      <c r="Q50" s="84">
        <f>TrRoad_act!Q131</f>
        <v>328</v>
      </c>
      <c r="R50" s="84">
        <f>TrRoad_act!R131</f>
        <v>403</v>
      </c>
      <c r="S50" s="84">
        <f>TrRoad_act!S131</f>
        <v>667</v>
      </c>
      <c r="T50" s="84">
        <f>TrRoad_act!T131</f>
        <v>1976</v>
      </c>
      <c r="U50" s="84">
        <f>TrRoad_act!U131</f>
        <v>5005</v>
      </c>
      <c r="V50" s="84">
        <f>TrRoad_act!V131</f>
        <v>2044</v>
      </c>
      <c r="W50" s="84">
        <f>TrRoad_act!W131</f>
        <v>2943</v>
      </c>
      <c r="X50" s="84">
        <f>TrRoad_act!X131</f>
        <v>862</v>
      </c>
      <c r="Y50" s="84">
        <f>TrRoad_act!Y131</f>
        <v>1096</v>
      </c>
      <c r="DA50" s="171" t="s">
        <v>546</v>
      </c>
    </row>
    <row r="51" spans="1:105" ht="11.45" customHeight="1" x14ac:dyDescent="0.25">
      <c r="A51" s="111" t="s">
        <v>113</v>
      </c>
      <c r="B51" s="84">
        <f>TrRoad_act!B132</f>
        <v>0</v>
      </c>
      <c r="C51" s="84">
        <f>TrRoad_act!C132</f>
        <v>0</v>
      </c>
      <c r="D51" s="84">
        <f>TrRoad_act!D132</f>
        <v>0</v>
      </c>
      <c r="E51" s="84">
        <f>TrRoad_act!E132</f>
        <v>0</v>
      </c>
      <c r="F51" s="84">
        <f>TrRoad_act!F132</f>
        <v>0</v>
      </c>
      <c r="G51" s="84">
        <f>TrRoad_act!G132</f>
        <v>0</v>
      </c>
      <c r="H51" s="84">
        <f>TrRoad_act!H132</f>
        <v>0</v>
      </c>
      <c r="I51" s="84">
        <f>TrRoad_act!I132</f>
        <v>0</v>
      </c>
      <c r="J51" s="84">
        <f>TrRoad_act!J132</f>
        <v>0</v>
      </c>
      <c r="K51" s="84">
        <f>TrRoad_act!K132</f>
        <v>0</v>
      </c>
      <c r="L51" s="84">
        <f>TrRoad_act!L132</f>
        <v>0</v>
      </c>
      <c r="M51" s="84">
        <f>TrRoad_act!M132</f>
        <v>0</v>
      </c>
      <c r="N51" s="84">
        <f>TrRoad_act!N132</f>
        <v>15</v>
      </c>
      <c r="O51" s="84">
        <f>TrRoad_act!O132</f>
        <v>84</v>
      </c>
      <c r="P51" s="84">
        <f>TrRoad_act!P132</f>
        <v>74</v>
      </c>
      <c r="Q51" s="84">
        <f>TrRoad_act!Q132</f>
        <v>371</v>
      </c>
      <c r="R51" s="84">
        <f>TrRoad_act!R132</f>
        <v>195</v>
      </c>
      <c r="S51" s="84">
        <f>TrRoad_act!S132</f>
        <v>349</v>
      </c>
      <c r="T51" s="84">
        <f>TrRoad_act!T132</f>
        <v>2021</v>
      </c>
      <c r="U51" s="84">
        <f>TrRoad_act!U132</f>
        <v>1674</v>
      </c>
      <c r="V51" s="84">
        <f>TrRoad_act!V132</f>
        <v>1432</v>
      </c>
      <c r="W51" s="84">
        <f>TrRoad_act!W132</f>
        <v>713</v>
      </c>
      <c r="X51" s="84">
        <f>TrRoad_act!X132</f>
        <v>100</v>
      </c>
      <c r="Y51" s="84">
        <f>TrRoad_act!Y132</f>
        <v>59</v>
      </c>
      <c r="DA51" s="171" t="s">
        <v>547</v>
      </c>
    </row>
    <row r="52" spans="1:105" ht="11.45" customHeight="1" x14ac:dyDescent="0.25">
      <c r="A52" s="111" t="s">
        <v>115</v>
      </c>
      <c r="B52" s="84">
        <f>TrRoad_act!B133</f>
        <v>0</v>
      </c>
      <c r="C52" s="84">
        <f>TrRoad_act!C133</f>
        <v>0</v>
      </c>
      <c r="D52" s="84">
        <f>TrRoad_act!D133</f>
        <v>0</v>
      </c>
      <c r="E52" s="84">
        <f>TrRoad_act!E133</f>
        <v>0</v>
      </c>
      <c r="F52" s="84">
        <f>TrRoad_act!F133</f>
        <v>0</v>
      </c>
      <c r="G52" s="84">
        <f>TrRoad_act!G133</f>
        <v>0</v>
      </c>
      <c r="H52" s="84">
        <f>TrRoad_act!H133</f>
        <v>0</v>
      </c>
      <c r="I52" s="84">
        <f>TrRoad_act!I133</f>
        <v>0</v>
      </c>
      <c r="J52" s="84">
        <f>TrRoad_act!J133</f>
        <v>0</v>
      </c>
      <c r="K52" s="84">
        <f>TrRoad_act!K133</f>
        <v>0</v>
      </c>
      <c r="L52" s="84">
        <f>TrRoad_act!L133</f>
        <v>0</v>
      </c>
      <c r="M52" s="84">
        <f>TrRoad_act!M133</f>
        <v>24</v>
      </c>
      <c r="N52" s="84">
        <f>TrRoad_act!N133</f>
        <v>221</v>
      </c>
      <c r="O52" s="84">
        <f>TrRoad_act!O133</f>
        <v>115</v>
      </c>
      <c r="P52" s="84">
        <f>TrRoad_act!P133</f>
        <v>1208</v>
      </c>
      <c r="Q52" s="84">
        <f>TrRoad_act!Q133</f>
        <v>610</v>
      </c>
      <c r="R52" s="84">
        <f>TrRoad_act!R133</f>
        <v>716</v>
      </c>
      <c r="S52" s="84">
        <f>TrRoad_act!S133</f>
        <v>878</v>
      </c>
      <c r="T52" s="84">
        <f>TrRoad_act!T133</f>
        <v>1817</v>
      </c>
      <c r="U52" s="84">
        <f>TrRoad_act!U133</f>
        <v>1568</v>
      </c>
      <c r="V52" s="84">
        <f>TrRoad_act!V133</f>
        <v>1783</v>
      </c>
      <c r="W52" s="84">
        <f>TrRoad_act!W133</f>
        <v>2609</v>
      </c>
      <c r="X52" s="84">
        <f>TrRoad_act!X133</f>
        <v>3445</v>
      </c>
      <c r="Y52" s="84">
        <f>TrRoad_act!Y133</f>
        <v>8056</v>
      </c>
      <c r="DA52" s="171" t="s">
        <v>548</v>
      </c>
    </row>
    <row r="53" spans="1:105" ht="11.45" customHeight="1" x14ac:dyDescent="0.25">
      <c r="A53" s="109" t="s">
        <v>154</v>
      </c>
      <c r="B53" s="110">
        <f>TrRoad_act!B134</f>
        <v>2641</v>
      </c>
      <c r="C53" s="110">
        <f>TrRoad_act!C134</f>
        <v>49962</v>
      </c>
      <c r="D53" s="110">
        <f>TrRoad_act!D134</f>
        <v>47229</v>
      </c>
      <c r="E53" s="110">
        <f>TrRoad_act!E134</f>
        <v>56068</v>
      </c>
      <c r="F53" s="110">
        <f>TrRoad_act!F134</f>
        <v>54160</v>
      </c>
      <c r="G53" s="110">
        <f>TrRoad_act!G134</f>
        <v>54748</v>
      </c>
      <c r="H53" s="110">
        <f>TrRoad_act!H134</f>
        <v>58954</v>
      </c>
      <c r="I53" s="110">
        <f>TrRoad_act!I134</f>
        <v>68223</v>
      </c>
      <c r="J53" s="110">
        <f>TrRoad_act!J134</f>
        <v>46254</v>
      </c>
      <c r="K53" s="110">
        <f>TrRoad_act!K134</f>
        <v>30750</v>
      </c>
      <c r="L53" s="110">
        <f>TrRoad_act!L134</f>
        <v>34463</v>
      </c>
      <c r="M53" s="110">
        <f>TrRoad_act!M134</f>
        <v>37940</v>
      </c>
      <c r="N53" s="110">
        <f>TrRoad_act!N134</f>
        <v>30218</v>
      </c>
      <c r="O53" s="110">
        <f>TrRoad_act!O134</f>
        <v>11664</v>
      </c>
      <c r="P53" s="110">
        <f>TrRoad_act!P134</f>
        <v>7341</v>
      </c>
      <c r="Q53" s="110">
        <f>TrRoad_act!Q134</f>
        <v>14037</v>
      </c>
      <c r="R53" s="110">
        <f>TrRoad_act!R134</f>
        <v>56270</v>
      </c>
      <c r="S53" s="110">
        <f>TrRoad_act!S134</f>
        <v>61295</v>
      </c>
      <c r="T53" s="110">
        <f>TrRoad_act!T134</f>
        <v>60365</v>
      </c>
      <c r="U53" s="110">
        <f>TrRoad_act!U134</f>
        <v>56324</v>
      </c>
      <c r="V53" s="110">
        <f>TrRoad_act!V134</f>
        <v>36692</v>
      </c>
      <c r="W53" s="110">
        <f>TrRoad_act!W134</f>
        <v>42611</v>
      </c>
      <c r="X53" s="110">
        <f>TrRoad_act!X134</f>
        <v>54151</v>
      </c>
      <c r="Y53" s="110">
        <f>TrRoad_act!Y134</f>
        <v>54425</v>
      </c>
      <c r="DA53" s="176" t="s">
        <v>549</v>
      </c>
    </row>
    <row r="54" spans="1:105" ht="11.45" customHeight="1" x14ac:dyDescent="0.25">
      <c r="A54" s="128" t="s">
        <v>27</v>
      </c>
      <c r="B54" s="102">
        <f>TrRoad_act!B135</f>
        <v>0</v>
      </c>
      <c r="C54" s="102">
        <f>TrRoad_act!C135</f>
        <v>46903</v>
      </c>
      <c r="D54" s="102">
        <f>TrRoad_act!D135</f>
        <v>44352</v>
      </c>
      <c r="E54" s="102">
        <f>TrRoad_act!E135</f>
        <v>53755</v>
      </c>
      <c r="F54" s="102">
        <f>TrRoad_act!F135</f>
        <v>46711</v>
      </c>
      <c r="G54" s="102">
        <f>TrRoad_act!G135</f>
        <v>51315</v>
      </c>
      <c r="H54" s="102">
        <f>TrRoad_act!H135</f>
        <v>55745</v>
      </c>
      <c r="I54" s="102">
        <f>TrRoad_act!I135</f>
        <v>64693</v>
      </c>
      <c r="J54" s="102">
        <f>TrRoad_act!J135</f>
        <v>46254</v>
      </c>
      <c r="K54" s="102">
        <f>TrRoad_act!K135</f>
        <v>30517</v>
      </c>
      <c r="L54" s="102">
        <f>TrRoad_act!L135</f>
        <v>32588</v>
      </c>
      <c r="M54" s="102">
        <f>TrRoad_act!M135</f>
        <v>35324</v>
      </c>
      <c r="N54" s="102">
        <f>TrRoad_act!N135</f>
        <v>28040</v>
      </c>
      <c r="O54" s="102">
        <f>TrRoad_act!O135</f>
        <v>6481</v>
      </c>
      <c r="P54" s="102">
        <f>TrRoad_act!P135</f>
        <v>4690</v>
      </c>
      <c r="Q54" s="102">
        <f>TrRoad_act!Q135</f>
        <v>9430</v>
      </c>
      <c r="R54" s="102">
        <f>TrRoad_act!R135</f>
        <v>52468</v>
      </c>
      <c r="S54" s="102">
        <f>TrRoad_act!S135</f>
        <v>57318</v>
      </c>
      <c r="T54" s="102">
        <f>TrRoad_act!T135</f>
        <v>56267</v>
      </c>
      <c r="U54" s="102">
        <f>TrRoad_act!U135</f>
        <v>51765</v>
      </c>
      <c r="V54" s="102">
        <f>TrRoad_act!V135</f>
        <v>35675</v>
      </c>
      <c r="W54" s="102">
        <f>TrRoad_act!W135</f>
        <v>36018</v>
      </c>
      <c r="X54" s="102">
        <f>TrRoad_act!X135</f>
        <v>49678</v>
      </c>
      <c r="Y54" s="102">
        <f>TrRoad_act!Y135</f>
        <v>53497</v>
      </c>
      <c r="DA54" s="175" t="s">
        <v>550</v>
      </c>
    </row>
    <row r="55" spans="1:105" ht="11.45" customHeight="1" x14ac:dyDescent="0.25">
      <c r="A55" s="138" t="s">
        <v>116</v>
      </c>
      <c r="B55" s="86">
        <f>TrRoad_act!B136</f>
        <v>2641</v>
      </c>
      <c r="C55" s="86">
        <f>TrRoad_act!C136</f>
        <v>3059</v>
      </c>
      <c r="D55" s="86">
        <f>TrRoad_act!D136</f>
        <v>2877</v>
      </c>
      <c r="E55" s="86">
        <f>TrRoad_act!E136</f>
        <v>2313</v>
      </c>
      <c r="F55" s="86">
        <f>TrRoad_act!F136</f>
        <v>7449</v>
      </c>
      <c r="G55" s="86">
        <f>TrRoad_act!G136</f>
        <v>3433</v>
      </c>
      <c r="H55" s="86">
        <f>TrRoad_act!H136</f>
        <v>3209</v>
      </c>
      <c r="I55" s="86">
        <f>TrRoad_act!I136</f>
        <v>3530</v>
      </c>
      <c r="J55" s="86">
        <f>TrRoad_act!J136</f>
        <v>0</v>
      </c>
      <c r="K55" s="86">
        <f>TrRoad_act!K136</f>
        <v>233</v>
      </c>
      <c r="L55" s="86">
        <f>TrRoad_act!L136</f>
        <v>1875</v>
      </c>
      <c r="M55" s="86">
        <f>TrRoad_act!M136</f>
        <v>2616</v>
      </c>
      <c r="N55" s="86">
        <f>TrRoad_act!N136</f>
        <v>2178</v>
      </c>
      <c r="O55" s="86">
        <f>TrRoad_act!O136</f>
        <v>5183</v>
      </c>
      <c r="P55" s="86">
        <f>TrRoad_act!P136</f>
        <v>2651</v>
      </c>
      <c r="Q55" s="86">
        <f>TrRoad_act!Q136</f>
        <v>4607</v>
      </c>
      <c r="R55" s="86">
        <f>TrRoad_act!R136</f>
        <v>3802</v>
      </c>
      <c r="S55" s="86">
        <f>TrRoad_act!S136</f>
        <v>3977</v>
      </c>
      <c r="T55" s="86">
        <f>TrRoad_act!T136</f>
        <v>4098</v>
      </c>
      <c r="U55" s="86">
        <f>TrRoad_act!U136</f>
        <v>4559</v>
      </c>
      <c r="V55" s="86">
        <f>TrRoad_act!V136</f>
        <v>1017</v>
      </c>
      <c r="W55" s="86">
        <f>TrRoad_act!W136</f>
        <v>6593</v>
      </c>
      <c r="X55" s="86">
        <f>TrRoad_act!X136</f>
        <v>4473</v>
      </c>
      <c r="Y55" s="86">
        <f>TrRoad_act!Y136</f>
        <v>928</v>
      </c>
      <c r="DA55" s="178" t="s">
        <v>551</v>
      </c>
    </row>
    <row r="56" spans="1:105" x14ac:dyDescent="0.25">
      <c r="A56" s="106"/>
      <c r="B56" s="106"/>
      <c r="C56" s="106"/>
      <c r="D56" s="106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X56" s="106"/>
      <c r="Y56" s="106"/>
      <c r="DA56" s="171"/>
    </row>
    <row r="57" spans="1:105" ht="11.45" customHeight="1" x14ac:dyDescent="0.25">
      <c r="A57" s="148"/>
      <c r="B57" s="231">
        <v>2020</v>
      </c>
      <c r="C57" s="231"/>
      <c r="D57" s="231"/>
      <c r="E57" s="231"/>
      <c r="F57" s="231"/>
      <c r="G57" s="231"/>
      <c r="H57" s="231"/>
      <c r="I57" s="231"/>
      <c r="J57" s="231"/>
      <c r="K57" s="231"/>
      <c r="L57" s="231"/>
      <c r="M57" s="231"/>
      <c r="N57" s="231"/>
      <c r="O57" s="231"/>
      <c r="P57" s="231"/>
      <c r="Q57" s="231"/>
      <c r="R57" s="231"/>
      <c r="S57" s="231"/>
      <c r="T57" s="231"/>
      <c r="U57" s="231"/>
      <c r="V57" s="231"/>
      <c r="W57" s="168"/>
      <c r="X57" s="168"/>
      <c r="Y57" s="168"/>
      <c r="DA57" s="209"/>
    </row>
    <row r="58" spans="1:105" ht="11.45" customHeight="1" x14ac:dyDescent="0.25">
      <c r="A58" s="149" t="s">
        <v>118</v>
      </c>
      <c r="B58" s="147" t="s">
        <v>119</v>
      </c>
      <c r="C58" s="147">
        <v>2001</v>
      </c>
      <c r="D58" s="147">
        <v>2002</v>
      </c>
      <c r="E58" s="147">
        <v>2003</v>
      </c>
      <c r="F58" s="147">
        <v>2004</v>
      </c>
      <c r="G58" s="147">
        <v>2005</v>
      </c>
      <c r="H58" s="147">
        <v>2006</v>
      </c>
      <c r="I58" s="147">
        <v>2007</v>
      </c>
      <c r="J58" s="147">
        <v>2008</v>
      </c>
      <c r="K58" s="147">
        <v>2009</v>
      </c>
      <c r="L58" s="147">
        <v>2010</v>
      </c>
      <c r="M58" s="147">
        <v>2011</v>
      </c>
      <c r="N58" s="147">
        <v>2012</v>
      </c>
      <c r="O58" s="147">
        <v>2013</v>
      </c>
      <c r="P58" s="147">
        <v>2014</v>
      </c>
      <c r="Q58" s="147">
        <v>2015</v>
      </c>
      <c r="R58" s="147">
        <v>2016</v>
      </c>
      <c r="S58" s="147">
        <v>2017</v>
      </c>
      <c r="T58" s="147">
        <v>2018</v>
      </c>
      <c r="U58" s="147">
        <v>2019</v>
      </c>
      <c r="V58" s="147">
        <v>2020</v>
      </c>
      <c r="W58" s="147">
        <v>2021</v>
      </c>
      <c r="X58" s="147">
        <v>2021</v>
      </c>
      <c r="Y58" s="147">
        <v>2021</v>
      </c>
      <c r="DA58" s="210"/>
    </row>
    <row r="59" spans="1:105" ht="11.45" customHeight="1" x14ac:dyDescent="0.25">
      <c r="A59" s="53" t="s">
        <v>151</v>
      </c>
      <c r="B59" s="54">
        <f t="shared" ref="B59:K59" si="0">B60+B75</f>
        <v>1948549</v>
      </c>
      <c r="C59" s="54">
        <f t="shared" si="0"/>
        <v>502162</v>
      </c>
      <c r="D59" s="54">
        <f t="shared" si="0"/>
        <v>649876</v>
      </c>
      <c r="E59" s="54">
        <f t="shared" si="0"/>
        <v>665191</v>
      </c>
      <c r="F59" s="54">
        <f t="shared" si="0"/>
        <v>921332</v>
      </c>
      <c r="G59" s="54">
        <f t="shared" si="0"/>
        <v>1156106</v>
      </c>
      <c r="H59" s="54">
        <f t="shared" si="0"/>
        <v>1377070</v>
      </c>
      <c r="I59" s="54">
        <f t="shared" si="0"/>
        <v>1911152</v>
      </c>
      <c r="J59" s="54">
        <f t="shared" si="0"/>
        <v>1235895</v>
      </c>
      <c r="K59" s="54">
        <f t="shared" si="0"/>
        <v>984952</v>
      </c>
      <c r="L59" s="54">
        <f t="shared" ref="L59" si="1">L60+L75</f>
        <v>1095189</v>
      </c>
      <c r="M59" s="54">
        <f t="shared" ref="M59:V59" si="2">M60+M75</f>
        <v>1067762</v>
      </c>
      <c r="N59" s="54">
        <f t="shared" si="2"/>
        <v>973815</v>
      </c>
      <c r="O59" s="54">
        <f t="shared" si="2"/>
        <v>900014</v>
      </c>
      <c r="P59" s="54">
        <f t="shared" si="2"/>
        <v>1346171</v>
      </c>
      <c r="Q59" s="54">
        <f t="shared" si="2"/>
        <v>2055138</v>
      </c>
      <c r="R59" s="54">
        <f t="shared" si="2"/>
        <v>1676711</v>
      </c>
      <c r="S59" s="54">
        <f t="shared" si="2"/>
        <v>3093952</v>
      </c>
      <c r="T59" s="54">
        <f t="shared" si="2"/>
        <v>2294566</v>
      </c>
      <c r="U59" s="54">
        <f t="shared" si="2"/>
        <v>2205255</v>
      </c>
      <c r="V59" s="54">
        <f t="shared" si="2"/>
        <v>1772386</v>
      </c>
      <c r="W59" s="54">
        <f t="shared" ref="W59:Y59" si="3">W60+W75</f>
        <v>2027704</v>
      </c>
      <c r="X59" s="54">
        <f t="shared" si="3"/>
        <v>2096414</v>
      </c>
      <c r="Y59" s="54">
        <f t="shared" si="3"/>
        <v>2380494</v>
      </c>
      <c r="DA59" s="172" t="s">
        <v>838</v>
      </c>
    </row>
    <row r="60" spans="1:105" ht="11.45" customHeight="1" x14ac:dyDescent="0.25">
      <c r="A60" s="27" t="s">
        <v>33</v>
      </c>
      <c r="B60" s="28">
        <f t="shared" ref="B60:K60" si="4">B61+B62+B69</f>
        <v>1948549</v>
      </c>
      <c r="C60" s="28">
        <f t="shared" si="4"/>
        <v>502162</v>
      </c>
      <c r="D60" s="28">
        <f t="shared" si="4"/>
        <v>649876</v>
      </c>
      <c r="E60" s="28">
        <f t="shared" si="4"/>
        <v>665191</v>
      </c>
      <c r="F60" s="28">
        <f t="shared" si="4"/>
        <v>833029</v>
      </c>
      <c r="G60" s="28">
        <f t="shared" si="4"/>
        <v>981376</v>
      </c>
      <c r="H60" s="28">
        <f t="shared" si="4"/>
        <v>1189095</v>
      </c>
      <c r="I60" s="28">
        <f t="shared" si="4"/>
        <v>1339751</v>
      </c>
      <c r="J60" s="28">
        <f t="shared" si="4"/>
        <v>1140663</v>
      </c>
      <c r="K60" s="28">
        <f t="shared" si="4"/>
        <v>897815</v>
      </c>
      <c r="L60" s="28">
        <f t="shared" ref="L60" si="5">L61+L62+L69</f>
        <v>992103</v>
      </c>
      <c r="M60" s="28">
        <f t="shared" ref="M60:V60" si="6">M61+M62+M69</f>
        <v>968256</v>
      </c>
      <c r="N60" s="28">
        <f t="shared" si="6"/>
        <v>893863</v>
      </c>
      <c r="O60" s="28">
        <f t="shared" si="6"/>
        <v>819435</v>
      </c>
      <c r="P60" s="28">
        <f t="shared" si="6"/>
        <v>1033703</v>
      </c>
      <c r="Q60" s="28">
        <f t="shared" si="6"/>
        <v>1616166</v>
      </c>
      <c r="R60" s="28">
        <f t="shared" si="6"/>
        <v>1518421</v>
      </c>
      <c r="S60" s="28">
        <f t="shared" si="6"/>
        <v>2912555</v>
      </c>
      <c r="T60" s="28">
        <f t="shared" si="6"/>
        <v>2117913</v>
      </c>
      <c r="U60" s="28">
        <f t="shared" si="6"/>
        <v>2042614</v>
      </c>
      <c r="V60" s="28">
        <f t="shared" si="6"/>
        <v>1652369</v>
      </c>
      <c r="W60" s="28">
        <f t="shared" ref="W60:Y60" si="7">W61+W62+W69</f>
        <v>1892709</v>
      </c>
      <c r="X60" s="28">
        <f t="shared" si="7"/>
        <v>1960675</v>
      </c>
      <c r="Y60" s="28">
        <f t="shared" si="7"/>
        <v>2214520</v>
      </c>
      <c r="DA60" s="173" t="s">
        <v>839</v>
      </c>
    </row>
    <row r="61" spans="1:105" ht="11.45" customHeight="1" x14ac:dyDescent="0.25">
      <c r="A61" s="136" t="s">
        <v>173</v>
      </c>
      <c r="B61" s="137">
        <v>0</v>
      </c>
      <c r="C61" s="137">
        <v>0</v>
      </c>
      <c r="D61" s="137">
        <v>118080</v>
      </c>
      <c r="E61" s="137">
        <v>77366</v>
      </c>
      <c r="F61" s="137">
        <v>113503</v>
      </c>
      <c r="G61" s="137">
        <v>179377</v>
      </c>
      <c r="H61" s="137">
        <v>230080</v>
      </c>
      <c r="I61" s="137">
        <v>313952</v>
      </c>
      <c r="J61" s="137">
        <v>300509</v>
      </c>
      <c r="K61" s="137">
        <v>186190</v>
      </c>
      <c r="L61" s="137">
        <v>203767</v>
      </c>
      <c r="M61" s="137">
        <v>193078</v>
      </c>
      <c r="N61" s="137">
        <v>167712</v>
      </c>
      <c r="O61" s="137">
        <v>166213</v>
      </c>
      <c r="P61" s="137">
        <v>207258</v>
      </c>
      <c r="Q61" s="137">
        <v>277056</v>
      </c>
      <c r="R61" s="137">
        <v>302198</v>
      </c>
      <c r="S61" s="137">
        <v>588114</v>
      </c>
      <c r="T61" s="137">
        <v>338478</v>
      </c>
      <c r="U61" s="137">
        <v>400524</v>
      </c>
      <c r="V61" s="137">
        <v>384981</v>
      </c>
      <c r="W61" s="137">
        <v>376757</v>
      </c>
      <c r="X61" s="137">
        <v>398424</v>
      </c>
      <c r="Y61" s="137">
        <v>431666</v>
      </c>
      <c r="DA61" s="174" t="s">
        <v>840</v>
      </c>
    </row>
    <row r="62" spans="1:105" ht="11.45" customHeight="1" x14ac:dyDescent="0.25">
      <c r="A62" s="109" t="s">
        <v>20</v>
      </c>
      <c r="B62" s="110">
        <f t="shared" ref="B62:K62" si="8">SUM(B63:B68)</f>
        <v>1948537</v>
      </c>
      <c r="C62" s="110">
        <f t="shared" si="8"/>
        <v>502149</v>
      </c>
      <c r="D62" s="110">
        <f t="shared" si="8"/>
        <v>531775</v>
      </c>
      <c r="E62" s="110">
        <f t="shared" si="8"/>
        <v>587812</v>
      </c>
      <c r="F62" s="110">
        <f t="shared" si="8"/>
        <v>719508</v>
      </c>
      <c r="G62" s="110">
        <f t="shared" si="8"/>
        <v>801999</v>
      </c>
      <c r="H62" s="110">
        <f t="shared" si="8"/>
        <v>958992</v>
      </c>
      <c r="I62" s="110">
        <f t="shared" si="8"/>
        <v>1025064</v>
      </c>
      <c r="J62" s="110">
        <f t="shared" si="8"/>
        <v>837057</v>
      </c>
      <c r="K62" s="110">
        <f t="shared" si="8"/>
        <v>708608</v>
      </c>
      <c r="L62" s="110">
        <f t="shared" ref="L62" si="9">SUM(L63:L68)</f>
        <v>785589</v>
      </c>
      <c r="M62" s="110">
        <f t="shared" ref="M62:V62" si="10">SUM(M63:M68)</f>
        <v>772214</v>
      </c>
      <c r="N62" s="110">
        <f t="shared" si="10"/>
        <v>723007</v>
      </c>
      <c r="O62" s="110">
        <f t="shared" si="10"/>
        <v>651794</v>
      </c>
      <c r="P62" s="110">
        <f t="shared" si="10"/>
        <v>823370</v>
      </c>
      <c r="Q62" s="110">
        <f t="shared" si="10"/>
        <v>1336253</v>
      </c>
      <c r="R62" s="110">
        <f t="shared" si="10"/>
        <v>1212087</v>
      </c>
      <c r="S62" s="110">
        <f t="shared" si="10"/>
        <v>2320830</v>
      </c>
      <c r="T62" s="110">
        <f t="shared" si="10"/>
        <v>1775876</v>
      </c>
      <c r="U62" s="110">
        <f t="shared" si="10"/>
        <v>1638617</v>
      </c>
      <c r="V62" s="110">
        <f t="shared" si="10"/>
        <v>1264817</v>
      </c>
      <c r="W62" s="110">
        <f t="shared" ref="W62:Y62" si="11">SUM(W63:W68)</f>
        <v>1513161</v>
      </c>
      <c r="X62" s="110">
        <f t="shared" si="11"/>
        <v>1559575</v>
      </c>
      <c r="Y62" s="110">
        <f t="shared" si="11"/>
        <v>1779451</v>
      </c>
      <c r="DA62" s="176" t="s">
        <v>841</v>
      </c>
    </row>
    <row r="63" spans="1:105" ht="11.45" customHeight="1" x14ac:dyDescent="0.25">
      <c r="A63" s="111" t="s">
        <v>110</v>
      </c>
      <c r="B63" s="84">
        <v>1644898</v>
      </c>
      <c r="C63" s="84">
        <v>288242</v>
      </c>
      <c r="D63" s="84">
        <v>269127</v>
      </c>
      <c r="E63" s="84">
        <v>271840</v>
      </c>
      <c r="F63" s="84">
        <v>302723</v>
      </c>
      <c r="G63" s="84">
        <v>306065</v>
      </c>
      <c r="H63" s="84">
        <v>329431</v>
      </c>
      <c r="I63" s="84">
        <v>336445</v>
      </c>
      <c r="J63" s="84">
        <v>273140</v>
      </c>
      <c r="K63" s="84">
        <v>229624</v>
      </c>
      <c r="L63" s="84">
        <v>243286</v>
      </c>
      <c r="M63" s="84">
        <v>214557</v>
      </c>
      <c r="N63" s="84">
        <v>201408</v>
      </c>
      <c r="O63" s="84">
        <v>205406</v>
      </c>
      <c r="P63" s="84">
        <v>286433</v>
      </c>
      <c r="Q63" s="84">
        <v>373009</v>
      </c>
      <c r="R63" s="84">
        <v>514854</v>
      </c>
      <c r="S63" s="84">
        <v>668608</v>
      </c>
      <c r="T63" s="84">
        <v>896494</v>
      </c>
      <c r="U63" s="84">
        <v>963352</v>
      </c>
      <c r="V63" s="84">
        <v>654923</v>
      </c>
      <c r="W63" s="84">
        <v>762973</v>
      </c>
      <c r="X63" s="84">
        <v>771075</v>
      </c>
      <c r="Y63" s="84">
        <v>935528</v>
      </c>
      <c r="DA63" s="171" t="s">
        <v>842</v>
      </c>
    </row>
    <row r="64" spans="1:105" ht="11.45" customHeight="1" x14ac:dyDescent="0.25">
      <c r="A64" s="111" t="s">
        <v>111</v>
      </c>
      <c r="B64" s="84">
        <v>303639</v>
      </c>
      <c r="C64" s="84">
        <v>213907</v>
      </c>
      <c r="D64" s="84">
        <v>262648</v>
      </c>
      <c r="E64" s="84">
        <v>315972</v>
      </c>
      <c r="F64" s="84">
        <v>416785</v>
      </c>
      <c r="G64" s="84">
        <v>495934</v>
      </c>
      <c r="H64" s="84">
        <v>629561</v>
      </c>
      <c r="I64" s="84">
        <v>688619</v>
      </c>
      <c r="J64" s="84">
        <v>563917</v>
      </c>
      <c r="K64" s="84">
        <v>478984</v>
      </c>
      <c r="L64" s="84">
        <v>542303</v>
      </c>
      <c r="M64" s="84">
        <v>557657</v>
      </c>
      <c r="N64" s="84">
        <v>521599</v>
      </c>
      <c r="O64" s="84">
        <v>446292</v>
      </c>
      <c r="P64" s="84">
        <v>536937</v>
      </c>
      <c r="Q64" s="84">
        <v>961501</v>
      </c>
      <c r="R64" s="84">
        <v>694302</v>
      </c>
      <c r="S64" s="84">
        <v>1644471</v>
      </c>
      <c r="T64" s="84">
        <v>850032</v>
      </c>
      <c r="U64" s="84">
        <v>630668</v>
      </c>
      <c r="V64" s="84">
        <v>553900</v>
      </c>
      <c r="W64" s="84">
        <v>664718</v>
      </c>
      <c r="X64" s="84">
        <v>690066</v>
      </c>
      <c r="Y64" s="84">
        <v>686556</v>
      </c>
      <c r="DA64" s="171" t="s">
        <v>843</v>
      </c>
    </row>
    <row r="65" spans="1:105" ht="11.45" customHeight="1" x14ac:dyDescent="0.25">
      <c r="A65" s="111" t="s">
        <v>112</v>
      </c>
      <c r="B65" s="84">
        <v>0</v>
      </c>
      <c r="C65" s="84">
        <v>0</v>
      </c>
      <c r="D65" s="84">
        <v>0</v>
      </c>
      <c r="E65" s="84">
        <v>0</v>
      </c>
      <c r="F65" s="84">
        <v>0</v>
      </c>
      <c r="G65" s="84">
        <v>0</v>
      </c>
      <c r="H65" s="84">
        <v>0</v>
      </c>
      <c r="I65" s="84">
        <v>0</v>
      </c>
      <c r="J65" s="84">
        <v>0</v>
      </c>
      <c r="K65" s="84">
        <v>0</v>
      </c>
      <c r="L65" s="84">
        <v>0</v>
      </c>
      <c r="M65" s="84">
        <v>0</v>
      </c>
      <c r="N65" s="84">
        <v>0</v>
      </c>
      <c r="O65" s="84">
        <v>0</v>
      </c>
      <c r="P65" s="84">
        <v>0</v>
      </c>
      <c r="Q65" s="84">
        <v>0</v>
      </c>
      <c r="R65" s="84">
        <v>0</v>
      </c>
      <c r="S65" s="84">
        <v>387</v>
      </c>
      <c r="T65" s="84">
        <v>14435</v>
      </c>
      <c r="U65" s="84">
        <v>21415</v>
      </c>
      <c r="V65" s="84">
        <v>9933</v>
      </c>
      <c r="W65" s="84">
        <v>13618</v>
      </c>
      <c r="X65" s="84">
        <v>17236</v>
      </c>
      <c r="Y65" s="84">
        <v>39660</v>
      </c>
      <c r="DA65" s="171" t="s">
        <v>844</v>
      </c>
    </row>
    <row r="66" spans="1:105" ht="11.45" customHeight="1" x14ac:dyDescent="0.25">
      <c r="A66" s="111" t="s">
        <v>113</v>
      </c>
      <c r="B66" s="84">
        <v>0</v>
      </c>
      <c r="C66" s="84">
        <v>0</v>
      </c>
      <c r="D66" s="84">
        <v>0</v>
      </c>
      <c r="E66" s="84">
        <v>0</v>
      </c>
      <c r="F66" s="84">
        <v>0</v>
      </c>
      <c r="G66" s="84">
        <v>0</v>
      </c>
      <c r="H66" s="84">
        <v>0</v>
      </c>
      <c r="I66" s="84">
        <v>0</v>
      </c>
      <c r="J66" s="84">
        <v>0</v>
      </c>
      <c r="K66" s="84">
        <v>0</v>
      </c>
      <c r="L66" s="84">
        <v>0</v>
      </c>
      <c r="M66" s="84">
        <v>0</v>
      </c>
      <c r="N66" s="84">
        <v>0</v>
      </c>
      <c r="O66" s="84">
        <v>96</v>
      </c>
      <c r="P66" s="84">
        <v>0</v>
      </c>
      <c r="Q66" s="84">
        <v>0</v>
      </c>
      <c r="R66" s="84">
        <v>63</v>
      </c>
      <c r="S66" s="84">
        <v>962</v>
      </c>
      <c r="T66" s="84">
        <v>3884</v>
      </c>
      <c r="U66" s="84">
        <v>5979</v>
      </c>
      <c r="V66" s="84">
        <v>3735</v>
      </c>
      <c r="W66" s="84">
        <v>1191</v>
      </c>
      <c r="X66" s="84">
        <v>797</v>
      </c>
      <c r="Y66" s="84">
        <v>148</v>
      </c>
      <c r="DA66" s="171" t="s">
        <v>845</v>
      </c>
    </row>
    <row r="67" spans="1:105" ht="11.45" customHeight="1" x14ac:dyDescent="0.25">
      <c r="A67" s="111" t="s">
        <v>114</v>
      </c>
      <c r="B67" s="84">
        <v>0</v>
      </c>
      <c r="C67" s="84">
        <v>0</v>
      </c>
      <c r="D67" s="84">
        <v>0</v>
      </c>
      <c r="E67" s="84">
        <v>0</v>
      </c>
      <c r="F67" s="84">
        <v>0</v>
      </c>
      <c r="G67" s="84">
        <v>0</v>
      </c>
      <c r="H67" s="84">
        <v>0</v>
      </c>
      <c r="I67" s="84">
        <v>0</v>
      </c>
      <c r="J67" s="84">
        <v>0</v>
      </c>
      <c r="K67" s="84">
        <v>0</v>
      </c>
      <c r="L67" s="84">
        <v>0</v>
      </c>
      <c r="M67" s="84">
        <v>0</v>
      </c>
      <c r="N67" s="84">
        <v>0</v>
      </c>
      <c r="O67" s="84">
        <v>0</v>
      </c>
      <c r="P67" s="84">
        <v>0</v>
      </c>
      <c r="Q67" s="84">
        <v>462</v>
      </c>
      <c r="R67" s="84">
        <v>1295</v>
      </c>
      <c r="S67" s="84">
        <v>3023</v>
      </c>
      <c r="T67" s="84">
        <v>5327</v>
      </c>
      <c r="U67" s="84">
        <v>7218</v>
      </c>
      <c r="V67" s="84">
        <v>24288</v>
      </c>
      <c r="W67" s="84">
        <v>42977</v>
      </c>
      <c r="X67" s="84">
        <v>48580</v>
      </c>
      <c r="Y67" s="84">
        <v>62171</v>
      </c>
      <c r="DA67" s="171" t="s">
        <v>846</v>
      </c>
    </row>
    <row r="68" spans="1:105" ht="11.45" customHeight="1" x14ac:dyDescent="0.25">
      <c r="A68" s="111" t="s">
        <v>115</v>
      </c>
      <c r="B68" s="84">
        <v>0</v>
      </c>
      <c r="C68" s="84">
        <v>0</v>
      </c>
      <c r="D68" s="84">
        <v>0</v>
      </c>
      <c r="E68" s="84">
        <v>0</v>
      </c>
      <c r="F68" s="84">
        <v>0</v>
      </c>
      <c r="G68" s="84">
        <v>0</v>
      </c>
      <c r="H68" s="84">
        <v>0</v>
      </c>
      <c r="I68" s="84">
        <v>0</v>
      </c>
      <c r="J68" s="84">
        <v>0</v>
      </c>
      <c r="K68" s="84">
        <v>0</v>
      </c>
      <c r="L68" s="84">
        <v>0</v>
      </c>
      <c r="M68" s="84">
        <v>0</v>
      </c>
      <c r="N68" s="84">
        <v>0</v>
      </c>
      <c r="O68" s="84">
        <v>0</v>
      </c>
      <c r="P68" s="84">
        <v>0</v>
      </c>
      <c r="Q68" s="84">
        <v>1281</v>
      </c>
      <c r="R68" s="84">
        <v>1573</v>
      </c>
      <c r="S68" s="84">
        <v>3379</v>
      </c>
      <c r="T68" s="84">
        <v>5704</v>
      </c>
      <c r="U68" s="84">
        <v>9985</v>
      </c>
      <c r="V68" s="84">
        <v>18038</v>
      </c>
      <c r="W68" s="84">
        <v>27684</v>
      </c>
      <c r="X68" s="84">
        <v>31821</v>
      </c>
      <c r="Y68" s="84">
        <v>55388</v>
      </c>
      <c r="DA68" s="171" t="s">
        <v>847</v>
      </c>
    </row>
    <row r="69" spans="1:105" ht="11.45" customHeight="1" x14ac:dyDescent="0.25">
      <c r="A69" s="109" t="s">
        <v>21</v>
      </c>
      <c r="B69" s="110">
        <f t="shared" ref="B69:K69" si="12">SUM(B70:B74)</f>
        <v>12</v>
      </c>
      <c r="C69" s="110">
        <f t="shared" si="12"/>
        <v>13</v>
      </c>
      <c r="D69" s="110">
        <f t="shared" si="12"/>
        <v>21</v>
      </c>
      <c r="E69" s="110">
        <f t="shared" si="12"/>
        <v>13</v>
      </c>
      <c r="F69" s="110">
        <f t="shared" si="12"/>
        <v>18</v>
      </c>
      <c r="G69" s="110">
        <f t="shared" si="12"/>
        <v>0</v>
      </c>
      <c r="H69" s="110">
        <f t="shared" si="12"/>
        <v>23</v>
      </c>
      <c r="I69" s="110">
        <f t="shared" si="12"/>
        <v>735</v>
      </c>
      <c r="J69" s="110">
        <f t="shared" si="12"/>
        <v>3097</v>
      </c>
      <c r="K69" s="110">
        <f t="shared" si="12"/>
        <v>3017</v>
      </c>
      <c r="L69" s="110">
        <f t="shared" ref="L69" si="13">SUM(L70:L74)</f>
        <v>2747</v>
      </c>
      <c r="M69" s="110">
        <f t="shared" ref="M69:V69" si="14">SUM(M70:M74)</f>
        <v>2964</v>
      </c>
      <c r="N69" s="110">
        <f t="shared" si="14"/>
        <v>3144</v>
      </c>
      <c r="O69" s="110">
        <f t="shared" si="14"/>
        <v>1428</v>
      </c>
      <c r="P69" s="110">
        <f t="shared" si="14"/>
        <v>3075</v>
      </c>
      <c r="Q69" s="110">
        <f t="shared" si="14"/>
        <v>2857</v>
      </c>
      <c r="R69" s="110">
        <f t="shared" si="14"/>
        <v>4136</v>
      </c>
      <c r="S69" s="110">
        <f t="shared" si="14"/>
        <v>3611</v>
      </c>
      <c r="T69" s="110">
        <f t="shared" si="14"/>
        <v>3559</v>
      </c>
      <c r="U69" s="110">
        <f t="shared" si="14"/>
        <v>3473</v>
      </c>
      <c r="V69" s="110">
        <f t="shared" si="14"/>
        <v>2571</v>
      </c>
      <c r="W69" s="110">
        <f t="shared" ref="W69:Y69" si="15">SUM(W70:W74)</f>
        <v>2791</v>
      </c>
      <c r="X69" s="110">
        <f t="shared" si="15"/>
        <v>2676</v>
      </c>
      <c r="Y69" s="110">
        <f t="shared" si="15"/>
        <v>3403</v>
      </c>
      <c r="DA69" s="176" t="s">
        <v>848</v>
      </c>
    </row>
    <row r="70" spans="1:105" ht="11.45" customHeight="1" x14ac:dyDescent="0.25">
      <c r="A70" s="111" t="s">
        <v>110</v>
      </c>
      <c r="B70" s="102">
        <v>12</v>
      </c>
      <c r="C70" s="102">
        <v>13</v>
      </c>
      <c r="D70" s="102">
        <v>21</v>
      </c>
      <c r="E70" s="102">
        <v>13</v>
      </c>
      <c r="F70" s="102">
        <v>18</v>
      </c>
      <c r="G70" s="102">
        <v>0</v>
      </c>
      <c r="H70" s="102">
        <v>23</v>
      </c>
      <c r="I70" s="102">
        <v>73</v>
      </c>
      <c r="J70" s="102">
        <v>5</v>
      </c>
      <c r="K70" s="102">
        <v>5</v>
      </c>
      <c r="L70" s="102">
        <v>15</v>
      </c>
      <c r="M70" s="102">
        <v>22</v>
      </c>
      <c r="N70" s="102">
        <v>18</v>
      </c>
      <c r="O70" s="102">
        <v>21</v>
      </c>
      <c r="P70" s="102">
        <v>24</v>
      </c>
      <c r="Q70" s="102">
        <v>18</v>
      </c>
      <c r="R70" s="102">
        <v>32</v>
      </c>
      <c r="S70" s="102">
        <v>11</v>
      </c>
      <c r="T70" s="102">
        <v>2</v>
      </c>
      <c r="U70" s="102">
        <v>1</v>
      </c>
      <c r="V70" s="102">
        <v>0</v>
      </c>
      <c r="W70" s="102">
        <v>35</v>
      </c>
      <c r="X70" s="102">
        <v>37</v>
      </c>
      <c r="Y70" s="102">
        <v>27</v>
      </c>
      <c r="DA70" s="175" t="s">
        <v>849</v>
      </c>
    </row>
    <row r="71" spans="1:105" ht="11.45" customHeight="1" x14ac:dyDescent="0.25">
      <c r="A71" s="111" t="s">
        <v>111</v>
      </c>
      <c r="B71" s="102">
        <v>0</v>
      </c>
      <c r="C71" s="102">
        <v>0</v>
      </c>
      <c r="D71" s="102">
        <v>0</v>
      </c>
      <c r="E71" s="102">
        <v>0</v>
      </c>
      <c r="F71" s="102">
        <v>0</v>
      </c>
      <c r="G71" s="102">
        <v>0</v>
      </c>
      <c r="H71" s="102">
        <v>0</v>
      </c>
      <c r="I71" s="102">
        <v>662</v>
      </c>
      <c r="J71" s="102">
        <v>3092</v>
      </c>
      <c r="K71" s="102">
        <v>3012</v>
      </c>
      <c r="L71" s="102">
        <v>2732</v>
      </c>
      <c r="M71" s="102">
        <v>2942</v>
      </c>
      <c r="N71" s="102">
        <v>3126</v>
      </c>
      <c r="O71" s="102">
        <v>1364</v>
      </c>
      <c r="P71" s="102">
        <v>3040</v>
      </c>
      <c r="Q71" s="102">
        <v>2716</v>
      </c>
      <c r="R71" s="102">
        <v>3915</v>
      </c>
      <c r="S71" s="102">
        <v>3307</v>
      </c>
      <c r="T71" s="102">
        <v>2382</v>
      </c>
      <c r="U71" s="102">
        <v>2735</v>
      </c>
      <c r="V71" s="102">
        <v>1952</v>
      </c>
      <c r="W71" s="102">
        <v>2102</v>
      </c>
      <c r="X71" s="102">
        <v>1933</v>
      </c>
      <c r="Y71" s="102">
        <v>2565</v>
      </c>
      <c r="DA71" s="175" t="s">
        <v>850</v>
      </c>
    </row>
    <row r="72" spans="1:105" ht="11.45" customHeight="1" x14ac:dyDescent="0.25">
      <c r="A72" s="111" t="s">
        <v>112</v>
      </c>
      <c r="B72" s="102">
        <v>0</v>
      </c>
      <c r="C72" s="102">
        <v>0</v>
      </c>
      <c r="D72" s="102">
        <v>0</v>
      </c>
      <c r="E72" s="102">
        <v>0</v>
      </c>
      <c r="F72" s="102">
        <v>0</v>
      </c>
      <c r="G72" s="102">
        <v>0</v>
      </c>
      <c r="H72" s="102">
        <v>0</v>
      </c>
      <c r="I72" s="102">
        <v>0</v>
      </c>
      <c r="J72" s="102">
        <v>0</v>
      </c>
      <c r="K72" s="102">
        <v>0</v>
      </c>
      <c r="L72" s="102">
        <v>0</v>
      </c>
      <c r="M72" s="102">
        <v>0</v>
      </c>
      <c r="N72" s="102">
        <v>0</v>
      </c>
      <c r="O72" s="102">
        <v>0</v>
      </c>
      <c r="P72" s="102">
        <v>2</v>
      </c>
      <c r="Q72" s="102">
        <v>88</v>
      </c>
      <c r="R72" s="102">
        <v>3</v>
      </c>
      <c r="S72" s="102">
        <v>0</v>
      </c>
      <c r="T72" s="102">
        <v>0</v>
      </c>
      <c r="U72" s="102">
        <v>29</v>
      </c>
      <c r="V72" s="102">
        <v>35</v>
      </c>
      <c r="W72" s="102">
        <v>178</v>
      </c>
      <c r="X72" s="102">
        <v>105</v>
      </c>
      <c r="Y72" s="102">
        <v>131</v>
      </c>
      <c r="DA72" s="175" t="s">
        <v>851</v>
      </c>
    </row>
    <row r="73" spans="1:105" ht="11.45" customHeight="1" x14ac:dyDescent="0.25">
      <c r="A73" s="111" t="s">
        <v>113</v>
      </c>
      <c r="B73" s="102">
        <v>0</v>
      </c>
      <c r="C73" s="102">
        <v>0</v>
      </c>
      <c r="D73" s="102">
        <v>0</v>
      </c>
      <c r="E73" s="102">
        <v>0</v>
      </c>
      <c r="F73" s="102">
        <v>0</v>
      </c>
      <c r="G73" s="102">
        <v>0</v>
      </c>
      <c r="H73" s="102">
        <v>0</v>
      </c>
      <c r="I73" s="102">
        <v>0</v>
      </c>
      <c r="J73" s="102">
        <v>0</v>
      </c>
      <c r="K73" s="102">
        <v>0</v>
      </c>
      <c r="L73" s="102">
        <v>0</v>
      </c>
      <c r="M73" s="102">
        <v>0</v>
      </c>
      <c r="N73" s="102">
        <v>0</v>
      </c>
      <c r="O73" s="102">
        <v>0</v>
      </c>
      <c r="P73" s="102">
        <v>0</v>
      </c>
      <c r="Q73" s="102">
        <v>0</v>
      </c>
      <c r="R73" s="102">
        <v>176</v>
      </c>
      <c r="S73" s="102">
        <v>279</v>
      </c>
      <c r="T73" s="102">
        <v>1154</v>
      </c>
      <c r="U73" s="102">
        <v>637</v>
      </c>
      <c r="V73" s="102">
        <v>545</v>
      </c>
      <c r="W73" s="102">
        <v>348</v>
      </c>
      <c r="X73" s="102">
        <v>460</v>
      </c>
      <c r="Y73" s="102">
        <v>180</v>
      </c>
      <c r="DA73" s="175" t="s">
        <v>852</v>
      </c>
    </row>
    <row r="74" spans="1:105" ht="11.45" customHeight="1" x14ac:dyDescent="0.25">
      <c r="A74" s="111" t="s">
        <v>115</v>
      </c>
      <c r="B74" s="102">
        <v>0</v>
      </c>
      <c r="C74" s="102">
        <v>0</v>
      </c>
      <c r="D74" s="102">
        <v>0</v>
      </c>
      <c r="E74" s="102">
        <v>0</v>
      </c>
      <c r="F74" s="102">
        <v>0</v>
      </c>
      <c r="G74" s="102">
        <v>0</v>
      </c>
      <c r="H74" s="102">
        <v>0</v>
      </c>
      <c r="I74" s="102">
        <v>0</v>
      </c>
      <c r="J74" s="102">
        <v>0</v>
      </c>
      <c r="K74" s="102">
        <v>0</v>
      </c>
      <c r="L74" s="102">
        <v>0</v>
      </c>
      <c r="M74" s="102">
        <v>0</v>
      </c>
      <c r="N74" s="102">
        <v>0</v>
      </c>
      <c r="O74" s="102">
        <v>43</v>
      </c>
      <c r="P74" s="102">
        <v>9</v>
      </c>
      <c r="Q74" s="102">
        <v>35</v>
      </c>
      <c r="R74" s="102">
        <v>10</v>
      </c>
      <c r="S74" s="102">
        <v>14</v>
      </c>
      <c r="T74" s="102">
        <v>21</v>
      </c>
      <c r="U74" s="102">
        <v>71</v>
      </c>
      <c r="V74" s="102">
        <v>39</v>
      </c>
      <c r="W74" s="102">
        <v>128</v>
      </c>
      <c r="X74" s="102">
        <v>141</v>
      </c>
      <c r="Y74" s="102">
        <v>500</v>
      </c>
      <c r="DA74" s="175" t="s">
        <v>853</v>
      </c>
    </row>
    <row r="75" spans="1:105" ht="11.45" customHeight="1" x14ac:dyDescent="0.25">
      <c r="A75" s="27" t="s">
        <v>34</v>
      </c>
      <c r="B75" s="28">
        <f t="shared" ref="B75:K75" si="16">B76+B82</f>
        <v>0</v>
      </c>
      <c r="C75" s="28">
        <f t="shared" si="16"/>
        <v>0</v>
      </c>
      <c r="D75" s="28">
        <f t="shared" si="16"/>
        <v>0</v>
      </c>
      <c r="E75" s="28">
        <f t="shared" si="16"/>
        <v>0</v>
      </c>
      <c r="F75" s="28">
        <f t="shared" si="16"/>
        <v>88303</v>
      </c>
      <c r="G75" s="28">
        <f t="shared" si="16"/>
        <v>174730</v>
      </c>
      <c r="H75" s="28">
        <f t="shared" si="16"/>
        <v>187975</v>
      </c>
      <c r="I75" s="28">
        <f t="shared" si="16"/>
        <v>571401</v>
      </c>
      <c r="J75" s="28">
        <f t="shared" si="16"/>
        <v>95232</v>
      </c>
      <c r="K75" s="28">
        <f t="shared" si="16"/>
        <v>87137</v>
      </c>
      <c r="L75" s="28">
        <f t="shared" ref="L75" si="17">L76+L82</f>
        <v>103086</v>
      </c>
      <c r="M75" s="28">
        <f t="shared" ref="M75:V75" si="18">M76+M82</f>
        <v>99506</v>
      </c>
      <c r="N75" s="28">
        <f t="shared" si="18"/>
        <v>79952</v>
      </c>
      <c r="O75" s="28">
        <f t="shared" si="18"/>
        <v>80579</v>
      </c>
      <c r="P75" s="28">
        <f t="shared" si="18"/>
        <v>312468</v>
      </c>
      <c r="Q75" s="28">
        <f t="shared" si="18"/>
        <v>438972</v>
      </c>
      <c r="R75" s="28">
        <f t="shared" si="18"/>
        <v>158290</v>
      </c>
      <c r="S75" s="28">
        <f t="shared" si="18"/>
        <v>181397</v>
      </c>
      <c r="T75" s="28">
        <f t="shared" si="18"/>
        <v>176653</v>
      </c>
      <c r="U75" s="28">
        <f t="shared" si="18"/>
        <v>162641</v>
      </c>
      <c r="V75" s="28">
        <f t="shared" si="18"/>
        <v>120017</v>
      </c>
      <c r="W75" s="28">
        <f t="shared" ref="W75:Y75" si="19">W76+W82</f>
        <v>134995</v>
      </c>
      <c r="X75" s="28">
        <f t="shared" si="19"/>
        <v>135739</v>
      </c>
      <c r="Y75" s="28">
        <f t="shared" si="19"/>
        <v>165974</v>
      </c>
      <c r="DA75" s="173" t="s">
        <v>854</v>
      </c>
    </row>
    <row r="76" spans="1:105" ht="11.45" customHeight="1" x14ac:dyDescent="0.25">
      <c r="A76" s="136" t="s">
        <v>153</v>
      </c>
      <c r="B76" s="137">
        <f t="shared" ref="B76:K76" si="20">SUM(B77:B81)</f>
        <v>0</v>
      </c>
      <c r="C76" s="137">
        <f t="shared" si="20"/>
        <v>0</v>
      </c>
      <c r="D76" s="137">
        <f t="shared" si="20"/>
        <v>0</v>
      </c>
      <c r="E76" s="137">
        <f t="shared" si="20"/>
        <v>0</v>
      </c>
      <c r="F76" s="137">
        <f t="shared" si="20"/>
        <v>85062</v>
      </c>
      <c r="G76" s="137">
        <f t="shared" si="20"/>
        <v>162213</v>
      </c>
      <c r="H76" s="137">
        <f t="shared" si="20"/>
        <v>168591</v>
      </c>
      <c r="I76" s="137">
        <f t="shared" si="20"/>
        <v>542210</v>
      </c>
      <c r="J76" s="137">
        <f t="shared" si="20"/>
        <v>72459</v>
      </c>
      <c r="K76" s="137">
        <f t="shared" si="20"/>
        <v>70185</v>
      </c>
      <c r="L76" s="137">
        <f t="shared" ref="L76" si="21">SUM(L77:L81)</f>
        <v>82122</v>
      </c>
      <c r="M76" s="137">
        <f t="shared" ref="M76:V76" si="22">SUM(M77:M81)</f>
        <v>74394</v>
      </c>
      <c r="N76" s="137">
        <f t="shared" si="22"/>
        <v>58410</v>
      </c>
      <c r="O76" s="137">
        <f t="shared" si="22"/>
        <v>72061</v>
      </c>
      <c r="P76" s="137">
        <f t="shared" si="22"/>
        <v>306770</v>
      </c>
      <c r="Q76" s="137">
        <f t="shared" si="22"/>
        <v>427523</v>
      </c>
      <c r="R76" s="137">
        <f t="shared" si="22"/>
        <v>108781</v>
      </c>
      <c r="S76" s="137">
        <f t="shared" si="22"/>
        <v>125579</v>
      </c>
      <c r="T76" s="137">
        <f t="shared" si="22"/>
        <v>120143</v>
      </c>
      <c r="U76" s="137">
        <f t="shared" si="22"/>
        <v>108790</v>
      </c>
      <c r="V76" s="137">
        <f t="shared" si="22"/>
        <v>84132</v>
      </c>
      <c r="W76" s="137">
        <f t="shared" ref="W76:Y76" si="23">SUM(W77:W81)</f>
        <v>93166</v>
      </c>
      <c r="X76" s="137">
        <f t="shared" si="23"/>
        <v>81862</v>
      </c>
      <c r="Y76" s="137">
        <f t="shared" si="23"/>
        <v>111549</v>
      </c>
      <c r="DA76" s="174" t="s">
        <v>855</v>
      </c>
    </row>
    <row r="77" spans="1:105" ht="11.45" customHeight="1" x14ac:dyDescent="0.25">
      <c r="A77" s="111" t="s">
        <v>110</v>
      </c>
      <c r="B77" s="84">
        <v>0</v>
      </c>
      <c r="C77" s="84">
        <v>0</v>
      </c>
      <c r="D77" s="84">
        <v>0</v>
      </c>
      <c r="E77" s="84">
        <v>0</v>
      </c>
      <c r="F77" s="84">
        <v>0</v>
      </c>
      <c r="G77" s="84">
        <v>0</v>
      </c>
      <c r="H77" s="84">
        <v>0</v>
      </c>
      <c r="I77" s="84">
        <v>0</v>
      </c>
      <c r="J77" s="84">
        <v>0</v>
      </c>
      <c r="K77" s="84">
        <v>0</v>
      </c>
      <c r="L77" s="84">
        <v>0</v>
      </c>
      <c r="M77" s="84">
        <v>0</v>
      </c>
      <c r="N77" s="84">
        <v>0</v>
      </c>
      <c r="O77" s="84">
        <v>8073</v>
      </c>
      <c r="P77" s="84">
        <v>150</v>
      </c>
      <c r="Q77" s="84">
        <v>3067</v>
      </c>
      <c r="R77" s="84">
        <v>3622</v>
      </c>
      <c r="S77" s="84">
        <v>11556</v>
      </c>
      <c r="T77" s="84">
        <v>9729</v>
      </c>
      <c r="U77" s="84">
        <v>6077</v>
      </c>
      <c r="V77" s="84">
        <v>1466</v>
      </c>
      <c r="W77" s="84">
        <v>1724</v>
      </c>
      <c r="X77" s="84">
        <v>2787</v>
      </c>
      <c r="Y77" s="84">
        <v>3495</v>
      </c>
      <c r="DA77" s="171" t="s">
        <v>856</v>
      </c>
    </row>
    <row r="78" spans="1:105" ht="11.45" customHeight="1" x14ac:dyDescent="0.25">
      <c r="A78" s="111" t="s">
        <v>111</v>
      </c>
      <c r="B78" s="84">
        <v>0</v>
      </c>
      <c r="C78" s="84">
        <v>0</v>
      </c>
      <c r="D78" s="84">
        <v>0</v>
      </c>
      <c r="E78" s="84">
        <v>0</v>
      </c>
      <c r="F78" s="84">
        <v>85062</v>
      </c>
      <c r="G78" s="84">
        <v>162213</v>
      </c>
      <c r="H78" s="84">
        <v>168591</v>
      </c>
      <c r="I78" s="84">
        <v>542210</v>
      </c>
      <c r="J78" s="84">
        <v>72459</v>
      </c>
      <c r="K78" s="84">
        <v>70185</v>
      </c>
      <c r="L78" s="84">
        <v>82122</v>
      </c>
      <c r="M78" s="84">
        <v>74394</v>
      </c>
      <c r="N78" s="84">
        <v>58410</v>
      </c>
      <c r="O78" s="84">
        <v>63988</v>
      </c>
      <c r="P78" s="84">
        <v>306096</v>
      </c>
      <c r="Q78" s="84">
        <v>423774</v>
      </c>
      <c r="R78" s="84">
        <v>104215</v>
      </c>
      <c r="S78" s="84">
        <v>112623</v>
      </c>
      <c r="T78" s="84">
        <v>105124</v>
      </c>
      <c r="U78" s="84">
        <v>94660</v>
      </c>
      <c r="V78" s="84">
        <v>77450</v>
      </c>
      <c r="W78" s="84">
        <v>85188</v>
      </c>
      <c r="X78" s="84">
        <v>74672</v>
      </c>
      <c r="Y78" s="84">
        <v>98843</v>
      </c>
      <c r="DA78" s="171" t="s">
        <v>857</v>
      </c>
    </row>
    <row r="79" spans="1:105" ht="11.45" customHeight="1" x14ac:dyDescent="0.25">
      <c r="A79" s="111" t="s">
        <v>112</v>
      </c>
      <c r="B79" s="84">
        <v>0</v>
      </c>
      <c r="C79" s="84">
        <v>0</v>
      </c>
      <c r="D79" s="84">
        <v>0</v>
      </c>
      <c r="E79" s="84">
        <v>0</v>
      </c>
      <c r="F79" s="84">
        <v>0</v>
      </c>
      <c r="G79" s="84">
        <v>0</v>
      </c>
      <c r="H79" s="84">
        <v>0</v>
      </c>
      <c r="I79" s="84">
        <v>0</v>
      </c>
      <c r="J79" s="84">
        <v>0</v>
      </c>
      <c r="K79" s="84">
        <v>0</v>
      </c>
      <c r="L79" s="84">
        <v>0</v>
      </c>
      <c r="M79" s="84">
        <v>0</v>
      </c>
      <c r="N79" s="84">
        <v>0</v>
      </c>
      <c r="O79" s="84">
        <v>0</v>
      </c>
      <c r="P79" s="84">
        <v>21</v>
      </c>
      <c r="Q79" s="84">
        <v>161</v>
      </c>
      <c r="R79" s="84">
        <v>289</v>
      </c>
      <c r="S79" s="84">
        <v>573</v>
      </c>
      <c r="T79" s="84">
        <v>1850</v>
      </c>
      <c r="U79" s="84">
        <v>4885</v>
      </c>
      <c r="V79" s="84">
        <v>2030</v>
      </c>
      <c r="W79" s="84">
        <v>2943</v>
      </c>
      <c r="X79" s="84">
        <v>862</v>
      </c>
      <c r="Y79" s="84">
        <v>1096</v>
      </c>
      <c r="DA79" s="171" t="s">
        <v>858</v>
      </c>
    </row>
    <row r="80" spans="1:105" ht="11.45" customHeight="1" x14ac:dyDescent="0.25">
      <c r="A80" s="111" t="s">
        <v>113</v>
      </c>
      <c r="B80" s="84">
        <v>0</v>
      </c>
      <c r="C80" s="84">
        <v>0</v>
      </c>
      <c r="D80" s="84">
        <v>0</v>
      </c>
      <c r="E80" s="84">
        <v>0</v>
      </c>
      <c r="F80" s="84">
        <v>0</v>
      </c>
      <c r="G80" s="84">
        <v>0</v>
      </c>
      <c r="H80" s="84">
        <v>0</v>
      </c>
      <c r="I80" s="84">
        <v>0</v>
      </c>
      <c r="J80" s="84">
        <v>0</v>
      </c>
      <c r="K80" s="84">
        <v>0</v>
      </c>
      <c r="L80" s="84">
        <v>0</v>
      </c>
      <c r="M80" s="84">
        <v>0</v>
      </c>
      <c r="N80" s="84">
        <v>0</v>
      </c>
      <c r="O80" s="84">
        <v>0</v>
      </c>
      <c r="P80" s="84">
        <v>0</v>
      </c>
      <c r="Q80" s="84">
        <v>0</v>
      </c>
      <c r="R80" s="84">
        <v>0</v>
      </c>
      <c r="S80" s="84">
        <v>0</v>
      </c>
      <c r="T80" s="84">
        <v>1688</v>
      </c>
      <c r="U80" s="84">
        <v>1632</v>
      </c>
      <c r="V80" s="84">
        <v>1422</v>
      </c>
      <c r="W80" s="84">
        <v>713</v>
      </c>
      <c r="X80" s="84">
        <v>100</v>
      </c>
      <c r="Y80" s="84">
        <v>59</v>
      </c>
      <c r="DA80" s="171" t="s">
        <v>859</v>
      </c>
    </row>
    <row r="81" spans="1:105" ht="11.45" customHeight="1" x14ac:dyDescent="0.25">
      <c r="A81" s="111" t="s">
        <v>115</v>
      </c>
      <c r="B81" s="84">
        <v>0</v>
      </c>
      <c r="C81" s="84">
        <v>0</v>
      </c>
      <c r="D81" s="84">
        <v>0</v>
      </c>
      <c r="E81" s="84">
        <v>0</v>
      </c>
      <c r="F81" s="84">
        <v>0</v>
      </c>
      <c r="G81" s="84">
        <v>0</v>
      </c>
      <c r="H81" s="84">
        <v>0</v>
      </c>
      <c r="I81" s="84">
        <v>0</v>
      </c>
      <c r="J81" s="84">
        <v>0</v>
      </c>
      <c r="K81" s="84">
        <v>0</v>
      </c>
      <c r="L81" s="84">
        <v>0</v>
      </c>
      <c r="M81" s="84">
        <v>0</v>
      </c>
      <c r="N81" s="84">
        <v>0</v>
      </c>
      <c r="O81" s="84">
        <v>0</v>
      </c>
      <c r="P81" s="84">
        <v>503</v>
      </c>
      <c r="Q81" s="84">
        <v>521</v>
      </c>
      <c r="R81" s="84">
        <v>655</v>
      </c>
      <c r="S81" s="84">
        <v>827</v>
      </c>
      <c r="T81" s="84">
        <v>1752</v>
      </c>
      <c r="U81" s="84">
        <v>1536</v>
      </c>
      <c r="V81" s="84">
        <v>1764</v>
      </c>
      <c r="W81" s="84">
        <v>2598</v>
      </c>
      <c r="X81" s="84">
        <v>3441</v>
      </c>
      <c r="Y81" s="84">
        <v>8056</v>
      </c>
      <c r="DA81" s="171" t="s">
        <v>860</v>
      </c>
    </row>
    <row r="82" spans="1:105" ht="11.45" customHeight="1" x14ac:dyDescent="0.25">
      <c r="A82" s="109" t="s">
        <v>154</v>
      </c>
      <c r="B82" s="110">
        <f t="shared" ref="B82:K82" si="24">SUM(B83:B84)</f>
        <v>0</v>
      </c>
      <c r="C82" s="110">
        <f t="shared" si="24"/>
        <v>0</v>
      </c>
      <c r="D82" s="110">
        <f t="shared" si="24"/>
        <v>0</v>
      </c>
      <c r="E82" s="110">
        <f t="shared" si="24"/>
        <v>0</v>
      </c>
      <c r="F82" s="110">
        <f t="shared" si="24"/>
        <v>3241</v>
      </c>
      <c r="G82" s="110">
        <f t="shared" si="24"/>
        <v>12517</v>
      </c>
      <c r="H82" s="110">
        <f t="shared" si="24"/>
        <v>19384</v>
      </c>
      <c r="I82" s="110">
        <f t="shared" si="24"/>
        <v>29191</v>
      </c>
      <c r="J82" s="110">
        <f t="shared" si="24"/>
        <v>22773</v>
      </c>
      <c r="K82" s="110">
        <f t="shared" si="24"/>
        <v>16952</v>
      </c>
      <c r="L82" s="110">
        <f t="shared" ref="L82" si="25">SUM(L83:L84)</f>
        <v>20964</v>
      </c>
      <c r="M82" s="110">
        <f t="shared" ref="M82:V82" si="26">SUM(M83:M84)</f>
        <v>25112</v>
      </c>
      <c r="N82" s="110">
        <f t="shared" si="26"/>
        <v>21542</v>
      </c>
      <c r="O82" s="110">
        <f t="shared" si="26"/>
        <v>8518</v>
      </c>
      <c r="P82" s="110">
        <f t="shared" si="26"/>
        <v>5698</v>
      </c>
      <c r="Q82" s="110">
        <f t="shared" si="26"/>
        <v>11449</v>
      </c>
      <c r="R82" s="110">
        <f t="shared" si="26"/>
        <v>49509</v>
      </c>
      <c r="S82" s="110">
        <f t="shared" si="26"/>
        <v>55818</v>
      </c>
      <c r="T82" s="110">
        <f t="shared" si="26"/>
        <v>56510</v>
      </c>
      <c r="U82" s="110">
        <f t="shared" si="26"/>
        <v>53851</v>
      </c>
      <c r="V82" s="110">
        <f t="shared" si="26"/>
        <v>35885</v>
      </c>
      <c r="W82" s="110">
        <f t="shared" ref="W82:Y82" si="27">SUM(W83:W84)</f>
        <v>41829</v>
      </c>
      <c r="X82" s="110">
        <f t="shared" si="27"/>
        <v>53877</v>
      </c>
      <c r="Y82" s="110">
        <f t="shared" si="27"/>
        <v>54425</v>
      </c>
      <c r="DA82" s="176" t="s">
        <v>861</v>
      </c>
    </row>
    <row r="83" spans="1:105" ht="11.45" customHeight="1" x14ac:dyDescent="0.25">
      <c r="A83" s="128" t="s">
        <v>27</v>
      </c>
      <c r="B83" s="102">
        <v>0</v>
      </c>
      <c r="C83" s="102">
        <v>0</v>
      </c>
      <c r="D83" s="102">
        <v>0</v>
      </c>
      <c r="E83" s="102">
        <v>0</v>
      </c>
      <c r="F83" s="102">
        <v>3241</v>
      </c>
      <c r="G83" s="102">
        <v>12517</v>
      </c>
      <c r="H83" s="102">
        <v>19384</v>
      </c>
      <c r="I83" s="102">
        <v>28050</v>
      </c>
      <c r="J83" s="102">
        <v>22773</v>
      </c>
      <c r="K83" s="102">
        <v>16817</v>
      </c>
      <c r="L83" s="102">
        <v>19837</v>
      </c>
      <c r="M83" s="102">
        <v>23469</v>
      </c>
      <c r="N83" s="102">
        <v>20111</v>
      </c>
      <c r="O83" s="102">
        <v>4968</v>
      </c>
      <c r="P83" s="102">
        <v>3807</v>
      </c>
      <c r="Q83" s="102">
        <v>8036</v>
      </c>
      <c r="R83" s="102">
        <v>46585</v>
      </c>
      <c r="S83" s="102">
        <v>52643</v>
      </c>
      <c r="T83" s="102">
        <v>53115</v>
      </c>
      <c r="U83" s="102">
        <v>49933</v>
      </c>
      <c r="V83" s="102">
        <v>34976</v>
      </c>
      <c r="W83" s="102">
        <v>35710</v>
      </c>
      <c r="X83" s="102">
        <v>49574</v>
      </c>
      <c r="Y83" s="102">
        <v>53497</v>
      </c>
      <c r="DA83" s="175" t="s">
        <v>862</v>
      </c>
    </row>
    <row r="84" spans="1:105" ht="11.45" customHeight="1" x14ac:dyDescent="0.25">
      <c r="A84" s="138" t="s">
        <v>116</v>
      </c>
      <c r="B84" s="86">
        <v>0</v>
      </c>
      <c r="C84" s="86">
        <v>0</v>
      </c>
      <c r="D84" s="86">
        <v>0</v>
      </c>
      <c r="E84" s="86">
        <v>0</v>
      </c>
      <c r="F84" s="86">
        <v>0</v>
      </c>
      <c r="G84" s="86">
        <v>0</v>
      </c>
      <c r="H84" s="86">
        <v>0</v>
      </c>
      <c r="I84" s="86">
        <v>1141</v>
      </c>
      <c r="J84" s="86">
        <v>0</v>
      </c>
      <c r="K84" s="86">
        <v>135</v>
      </c>
      <c r="L84" s="86">
        <v>1127</v>
      </c>
      <c r="M84" s="86">
        <v>1643</v>
      </c>
      <c r="N84" s="86">
        <v>1431</v>
      </c>
      <c r="O84" s="86">
        <v>3550</v>
      </c>
      <c r="P84" s="86">
        <v>1891</v>
      </c>
      <c r="Q84" s="86">
        <v>3413</v>
      </c>
      <c r="R84" s="86">
        <v>2924</v>
      </c>
      <c r="S84" s="86">
        <v>3175</v>
      </c>
      <c r="T84" s="86">
        <v>3395</v>
      </c>
      <c r="U84" s="86">
        <v>3918</v>
      </c>
      <c r="V84" s="86">
        <v>909</v>
      </c>
      <c r="W84" s="86">
        <v>6119</v>
      </c>
      <c r="X84" s="86">
        <v>4303</v>
      </c>
      <c r="Y84" s="86">
        <v>928</v>
      </c>
      <c r="DA84" s="178" t="s">
        <v>863</v>
      </c>
    </row>
    <row r="85" spans="1:105" x14ac:dyDescent="0.25">
      <c r="A85" s="106"/>
      <c r="B85" s="106"/>
      <c r="C85" s="106"/>
      <c r="D85" s="106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X85" s="106"/>
      <c r="Y85" s="106"/>
      <c r="DA85" s="171"/>
    </row>
    <row r="86" spans="1:105" ht="11.45" customHeight="1" x14ac:dyDescent="0.25">
      <c r="A86" s="68" t="s">
        <v>36</v>
      </c>
      <c r="B86" s="69"/>
      <c r="C86" s="69"/>
      <c r="D86" s="69"/>
      <c r="E86" s="69"/>
      <c r="F86" s="69"/>
      <c r="G86" s="69"/>
      <c r="H86" s="69"/>
      <c r="I86" s="69"/>
      <c r="J86" s="69"/>
      <c r="K86" s="69"/>
      <c r="L86" s="69"/>
      <c r="M86" s="69"/>
      <c r="N86" s="69"/>
      <c r="O86" s="69"/>
      <c r="P86" s="69"/>
      <c r="Q86" s="69"/>
      <c r="R86" s="69"/>
      <c r="S86" s="69"/>
      <c r="T86" s="69"/>
      <c r="U86" s="69"/>
      <c r="V86" s="69"/>
      <c r="W86" s="69"/>
      <c r="X86" s="69"/>
      <c r="Y86" s="69"/>
      <c r="DA86" s="179"/>
    </row>
    <row r="87" spans="1:105" x14ac:dyDescent="0.25">
      <c r="A87" s="106"/>
      <c r="B87" s="106"/>
      <c r="C87" s="106"/>
      <c r="D87" s="106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X87" s="106"/>
      <c r="Y87" s="106"/>
      <c r="DA87" s="171"/>
    </row>
    <row r="88" spans="1:105" ht="11.45" customHeight="1" x14ac:dyDescent="0.25">
      <c r="A88" s="53" t="s">
        <v>120</v>
      </c>
      <c r="B88" s="79"/>
      <c r="C88" s="79"/>
      <c r="D88" s="79"/>
      <c r="E88" s="79"/>
      <c r="F88" s="79"/>
      <c r="G88" s="79"/>
      <c r="H88" s="79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X88" s="79"/>
      <c r="Y88" s="79"/>
      <c r="DA88" s="172"/>
    </row>
    <row r="89" spans="1:105" ht="11.45" customHeight="1" x14ac:dyDescent="0.25">
      <c r="A89" s="27" t="s">
        <v>33</v>
      </c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DA89" s="173"/>
    </row>
    <row r="90" spans="1:105" ht="11.45" customHeight="1" x14ac:dyDescent="0.25">
      <c r="A90" s="136" t="s">
        <v>173</v>
      </c>
      <c r="B90" s="141">
        <v>3.7985197065576788</v>
      </c>
      <c r="C90" s="141">
        <v>3.775511716315465</v>
      </c>
      <c r="D90" s="141">
        <v>3.7105617344165718</v>
      </c>
      <c r="E90" s="141">
        <v>3.6809640974454374</v>
      </c>
      <c r="F90" s="141">
        <v>3.6505329403588807</v>
      </c>
      <c r="G90" s="141">
        <v>3.6159341077241525</v>
      </c>
      <c r="H90" s="141">
        <v>3.5773690104299627</v>
      </c>
      <c r="I90" s="141">
        <v>3.5353688996915897</v>
      </c>
      <c r="J90" s="141">
        <v>3.4901555086380247</v>
      </c>
      <c r="K90" s="141">
        <v>3.4568097392018662</v>
      </c>
      <c r="L90" s="141">
        <v>3.4149514344513765</v>
      </c>
      <c r="M90" s="141">
        <v>3.3911896823003955</v>
      </c>
      <c r="N90" s="141">
        <v>3.3532589608215937</v>
      </c>
      <c r="O90" s="141">
        <v>3.3280006760684957</v>
      </c>
      <c r="P90" s="141">
        <v>3.2812814965407497</v>
      </c>
      <c r="Q90" s="141">
        <v>3.2450751920095811</v>
      </c>
      <c r="R90" s="141">
        <v>3.1726266078730054</v>
      </c>
      <c r="S90" s="141">
        <v>3.0691316972738898</v>
      </c>
      <c r="T90" s="141">
        <v>3.024794897124496</v>
      </c>
      <c r="U90" s="141">
        <v>2.9736040984825247</v>
      </c>
      <c r="V90" s="141">
        <v>2.9201066947362779</v>
      </c>
      <c r="W90" s="141">
        <v>2.869103962039127</v>
      </c>
      <c r="X90" s="141">
        <v>2.8173439069066202</v>
      </c>
      <c r="Y90" s="141">
        <v>2.7641871135881946</v>
      </c>
      <c r="DA90" s="174" t="s">
        <v>864</v>
      </c>
    </row>
    <row r="91" spans="1:105" ht="11.45" customHeight="1" x14ac:dyDescent="0.25">
      <c r="A91" s="109" t="s">
        <v>20</v>
      </c>
      <c r="B91" s="130">
        <v>7.811403095514331</v>
      </c>
      <c r="C91" s="130">
        <v>7.6124146471833267</v>
      </c>
      <c r="D91" s="130">
        <v>7.5208279750217573</v>
      </c>
      <c r="E91" s="130">
        <v>7.4214123760300694</v>
      </c>
      <c r="F91" s="130">
        <v>7.3320339871128715</v>
      </c>
      <c r="G91" s="130">
        <v>7.247693779737598</v>
      </c>
      <c r="H91" s="130">
        <v>7.1655771047702119</v>
      </c>
      <c r="I91" s="130">
        <v>7.0922695245663485</v>
      </c>
      <c r="J91" s="130">
        <v>7.0281246664716122</v>
      </c>
      <c r="K91" s="130">
        <v>6.9557629907387453</v>
      </c>
      <c r="L91" s="130">
        <v>6.8822637501662012</v>
      </c>
      <c r="M91" s="130">
        <v>6.8161933678741269</v>
      </c>
      <c r="N91" s="130">
        <v>6.7622834136912244</v>
      </c>
      <c r="O91" s="130">
        <v>6.675208407734404</v>
      </c>
      <c r="P91" s="130">
        <v>6.5759947652072022</v>
      </c>
      <c r="Q91" s="130">
        <v>6.4616151495677245</v>
      </c>
      <c r="R91" s="130">
        <v>6.3661276526549457</v>
      </c>
      <c r="S91" s="130">
        <v>6.2279431246811656</v>
      </c>
      <c r="T91" s="130">
        <v>6.1044985811944814</v>
      </c>
      <c r="U91" s="130">
        <v>6.0062894089299901</v>
      </c>
      <c r="V91" s="130">
        <v>5.9122883622732658</v>
      </c>
      <c r="W91" s="130">
        <v>5.798931607287872</v>
      </c>
      <c r="X91" s="130">
        <v>5.6814438248673982</v>
      </c>
      <c r="Y91" s="130">
        <v>5.5284113559204053</v>
      </c>
      <c r="DA91" s="176" t="s">
        <v>865</v>
      </c>
    </row>
    <row r="92" spans="1:105" ht="11.45" customHeight="1" x14ac:dyDescent="0.25">
      <c r="A92" s="111" t="s">
        <v>110</v>
      </c>
      <c r="B92" s="96">
        <v>8.0547390344507246</v>
      </c>
      <c r="C92" s="96">
        <v>7.8954435471998341</v>
      </c>
      <c r="D92" s="96">
        <v>7.8320484390164093</v>
      </c>
      <c r="E92" s="96">
        <v>7.7628318960736813</v>
      </c>
      <c r="F92" s="96">
        <v>7.6974125118725247</v>
      </c>
      <c r="G92" s="96">
        <v>7.6339068639468488</v>
      </c>
      <c r="H92" s="96">
        <v>7.5638927804415141</v>
      </c>
      <c r="I92" s="96">
        <v>7.4980282474009243</v>
      </c>
      <c r="J92" s="96">
        <v>7.4348748970089931</v>
      </c>
      <c r="K92" s="96">
        <v>7.3588993027158418</v>
      </c>
      <c r="L92" s="96">
        <v>7.277566848837246</v>
      </c>
      <c r="M92" s="96">
        <v>7.2042085838267047</v>
      </c>
      <c r="N92" s="96">
        <v>7.1503693111511311</v>
      </c>
      <c r="O92" s="96">
        <v>7.0498772988717233</v>
      </c>
      <c r="P92" s="96">
        <v>6.9187571546952586</v>
      </c>
      <c r="Q92" s="96">
        <v>6.7897923429437173</v>
      </c>
      <c r="R92" s="96">
        <v>6.631520275854351</v>
      </c>
      <c r="S92" s="96">
        <v>6.4422816384538359</v>
      </c>
      <c r="T92" s="96">
        <v>6.2227483216904496</v>
      </c>
      <c r="U92" s="96">
        <v>6.0426620357144696</v>
      </c>
      <c r="V92" s="96">
        <v>5.9015934868286184</v>
      </c>
      <c r="W92" s="96">
        <v>5.7442187591558973</v>
      </c>
      <c r="X92" s="96">
        <v>5.603064265814182</v>
      </c>
      <c r="Y92" s="96">
        <v>5.4243285938047778</v>
      </c>
      <c r="DA92" s="171" t="s">
        <v>866</v>
      </c>
    </row>
    <row r="93" spans="1:105" ht="11.45" customHeight="1" x14ac:dyDescent="0.25">
      <c r="A93" s="111" t="s">
        <v>111</v>
      </c>
      <c r="B93" s="96">
        <v>7.1563011120260871</v>
      </c>
      <c r="C93" s="96">
        <v>6.7720515371864529</v>
      </c>
      <c r="D93" s="96">
        <v>6.6707594847385243</v>
      </c>
      <c r="E93" s="96">
        <v>6.601487845887573</v>
      </c>
      <c r="F93" s="96">
        <v>6.5511846926381176</v>
      </c>
      <c r="G93" s="96">
        <v>6.514424537043138</v>
      </c>
      <c r="H93" s="96">
        <v>6.4931438329609179</v>
      </c>
      <c r="I93" s="96">
        <v>6.4632822249692046</v>
      </c>
      <c r="J93" s="96">
        <v>6.4284323452335377</v>
      </c>
      <c r="K93" s="96">
        <v>6.3850337096269403</v>
      </c>
      <c r="L93" s="96">
        <v>6.3307282556220441</v>
      </c>
      <c r="M93" s="96">
        <v>6.2773938661836137</v>
      </c>
      <c r="N93" s="96">
        <v>6.2203827520523109</v>
      </c>
      <c r="O93" s="96">
        <v>6.1408347621986357</v>
      </c>
      <c r="P93" s="96">
        <v>6.0560694420402177</v>
      </c>
      <c r="Q93" s="96">
        <v>5.9314358139720031</v>
      </c>
      <c r="R93" s="96">
        <v>5.8338816812450691</v>
      </c>
      <c r="S93" s="96">
        <v>5.7224962439229632</v>
      </c>
      <c r="T93" s="96">
        <v>5.6388712983731564</v>
      </c>
      <c r="U93" s="96">
        <v>5.5775488162011815</v>
      </c>
      <c r="V93" s="96">
        <v>5.5173108346839292</v>
      </c>
      <c r="W93" s="96">
        <v>5.4410744097139414</v>
      </c>
      <c r="X93" s="96">
        <v>5.3614993355512368</v>
      </c>
      <c r="Y93" s="96">
        <v>5.29159188548822</v>
      </c>
      <c r="DA93" s="171" t="s">
        <v>867</v>
      </c>
    </row>
    <row r="94" spans="1:105" ht="11.45" customHeight="1" x14ac:dyDescent="0.25">
      <c r="A94" s="111" t="s">
        <v>112</v>
      </c>
      <c r="B94" s="96">
        <v>6.6037188437759013</v>
      </c>
      <c r="C94" s="96">
        <v>6.5233716923457834</v>
      </c>
      <c r="D94" s="96">
        <v>6.4517981471305443</v>
      </c>
      <c r="E94" s="96">
        <v>6.4410655276251507</v>
      </c>
      <c r="F94" s="96">
        <v>6.4358433834726219</v>
      </c>
      <c r="G94" s="96">
        <v>6.3780715315362055</v>
      </c>
      <c r="H94" s="96">
        <v>6.3576847786206567</v>
      </c>
      <c r="I94" s="96">
        <v>6.3079888362396384</v>
      </c>
      <c r="J94" s="96">
        <v>6.2075749721579117</v>
      </c>
      <c r="K94" s="96">
        <v>6.1950026797959259</v>
      </c>
      <c r="L94" s="96">
        <v>6.2120214154670785</v>
      </c>
      <c r="M94" s="96">
        <v>6.2261870423913788</v>
      </c>
      <c r="N94" s="96">
        <v>6.2646544475973052</v>
      </c>
      <c r="O94" s="96">
        <v>6.2187406560395457</v>
      </c>
      <c r="P94" s="96">
        <v>6.0583667388908315</v>
      </c>
      <c r="Q94" s="96">
        <v>5.9449814077654395</v>
      </c>
      <c r="R94" s="96">
        <v>5.8666722407954435</v>
      </c>
      <c r="S94" s="96">
        <v>5.7203044253453319</v>
      </c>
      <c r="T94" s="96">
        <v>5.5015759281414773</v>
      </c>
      <c r="U94" s="96">
        <v>5.4099800095151984</v>
      </c>
      <c r="V94" s="96">
        <v>5.1987680803363734</v>
      </c>
      <c r="W94" s="96">
        <v>5.0140988719292556</v>
      </c>
      <c r="X94" s="96">
        <v>4.892879361285809</v>
      </c>
      <c r="Y94" s="96">
        <v>4.8035180949427705</v>
      </c>
      <c r="DA94" s="171" t="s">
        <v>868</v>
      </c>
    </row>
    <row r="95" spans="1:105" ht="11.45" customHeight="1" x14ac:dyDescent="0.25">
      <c r="A95" s="111" t="s">
        <v>113</v>
      </c>
      <c r="B95" s="96">
        <v>0</v>
      </c>
      <c r="C95" s="96">
        <v>0</v>
      </c>
      <c r="D95" s="96">
        <v>0</v>
      </c>
      <c r="E95" s="96">
        <v>0</v>
      </c>
      <c r="F95" s="96">
        <v>7.556104431556836</v>
      </c>
      <c r="G95" s="96">
        <v>7.54787234238478</v>
      </c>
      <c r="H95" s="96">
        <v>7.4875981281933353</v>
      </c>
      <c r="I95" s="96">
        <v>7.4866205314713605</v>
      </c>
      <c r="J95" s="96">
        <v>7.4753293103119853</v>
      </c>
      <c r="K95" s="96">
        <v>7.4554148955649486</v>
      </c>
      <c r="L95" s="96">
        <v>7.3759209868458617</v>
      </c>
      <c r="M95" s="96">
        <v>7.3545560561094456</v>
      </c>
      <c r="N95" s="96">
        <v>6.5898473399398183</v>
      </c>
      <c r="O95" s="96">
        <v>6.4248100939805486</v>
      </c>
      <c r="P95" s="96">
        <v>6.3695215524890028</v>
      </c>
      <c r="Q95" s="96">
        <v>6.3502554609426207</v>
      </c>
      <c r="R95" s="96">
        <v>6.2990360160201577</v>
      </c>
      <c r="S95" s="96">
        <v>6.1200854018126298</v>
      </c>
      <c r="T95" s="96">
        <v>6.0030591238141184</v>
      </c>
      <c r="U95" s="96">
        <v>5.3102872300234338</v>
      </c>
      <c r="V95" s="96">
        <v>5.129825734872929</v>
      </c>
      <c r="W95" s="96">
        <v>5.0720456925984774</v>
      </c>
      <c r="X95" s="96">
        <v>5.0365009270037087</v>
      </c>
      <c r="Y95" s="96">
        <v>5.0288981073189376</v>
      </c>
      <c r="DA95" s="171" t="s">
        <v>869</v>
      </c>
    </row>
    <row r="96" spans="1:105" ht="11.45" customHeight="1" x14ac:dyDescent="0.25">
      <c r="A96" s="111" t="s">
        <v>114</v>
      </c>
      <c r="B96" s="96">
        <v>0</v>
      </c>
      <c r="C96" s="96">
        <v>0</v>
      </c>
      <c r="D96" s="96">
        <v>0</v>
      </c>
      <c r="E96" s="96">
        <v>0</v>
      </c>
      <c r="F96" s="96">
        <v>0</v>
      </c>
      <c r="G96" s="96">
        <v>0</v>
      </c>
      <c r="H96" s="96">
        <v>0</v>
      </c>
      <c r="I96" s="96">
        <v>0</v>
      </c>
      <c r="J96" s="96">
        <v>0</v>
      </c>
      <c r="K96" s="96">
        <v>0</v>
      </c>
      <c r="L96" s="96">
        <v>0</v>
      </c>
      <c r="M96" s="96">
        <v>3.1859250973627224</v>
      </c>
      <c r="N96" s="96">
        <v>2.620437816167386</v>
      </c>
      <c r="O96" s="96">
        <v>3.1237492893988521</v>
      </c>
      <c r="P96" s="96">
        <v>2.905194020729061</v>
      </c>
      <c r="Q96" s="96">
        <v>2.7793678726201456</v>
      </c>
      <c r="R96" s="96">
        <v>2.8755765370408861</v>
      </c>
      <c r="S96" s="96">
        <v>3.0112910491118687</v>
      </c>
      <c r="T96" s="96">
        <v>2.9470543755560112</v>
      </c>
      <c r="U96" s="96">
        <v>3.0464848363216404</v>
      </c>
      <c r="V96" s="96">
        <v>3.2208594154859091</v>
      </c>
      <c r="W96" s="96">
        <v>2.9404162991783389</v>
      </c>
      <c r="X96" s="96">
        <v>2.8389583515853198</v>
      </c>
      <c r="Y96" s="96">
        <v>2.7438698521505778</v>
      </c>
      <c r="DA96" s="171" t="s">
        <v>870</v>
      </c>
    </row>
    <row r="97" spans="1:105" ht="11.45" customHeight="1" x14ac:dyDescent="0.25">
      <c r="A97" s="111" t="s">
        <v>115</v>
      </c>
      <c r="B97" s="96">
        <v>0</v>
      </c>
      <c r="C97" s="96">
        <v>0</v>
      </c>
      <c r="D97" s="96">
        <v>0</v>
      </c>
      <c r="E97" s="96">
        <v>0</v>
      </c>
      <c r="F97" s="96">
        <v>0</v>
      </c>
      <c r="G97" s="96">
        <v>0</v>
      </c>
      <c r="H97" s="96">
        <v>0</v>
      </c>
      <c r="I97" s="96">
        <v>0</v>
      </c>
      <c r="J97" s="96">
        <v>0</v>
      </c>
      <c r="K97" s="96">
        <v>1.2208913782356174</v>
      </c>
      <c r="L97" s="96">
        <v>1.2037833190025795</v>
      </c>
      <c r="M97" s="96">
        <v>1.2037833190025795</v>
      </c>
      <c r="N97" s="96">
        <v>1.2037833190025795</v>
      </c>
      <c r="O97" s="96">
        <v>1.2229060912259246</v>
      </c>
      <c r="P97" s="96">
        <v>1.2279434134080058</v>
      </c>
      <c r="Q97" s="96">
        <v>1.2389538054010603</v>
      </c>
      <c r="R97" s="96">
        <v>1.226071444304133</v>
      </c>
      <c r="S97" s="96">
        <v>1.2263276144515265</v>
      </c>
      <c r="T97" s="96">
        <v>1.2754121800180338</v>
      </c>
      <c r="U97" s="96">
        <v>1.3536506137222859</v>
      </c>
      <c r="V97" s="96">
        <v>1.4209869850174881</v>
      </c>
      <c r="W97" s="96">
        <v>1.4298492598814878</v>
      </c>
      <c r="X97" s="96">
        <v>1.4311793913205915</v>
      </c>
      <c r="Y97" s="96">
        <v>1.4323070796854485</v>
      </c>
      <c r="DA97" s="171" t="s">
        <v>871</v>
      </c>
    </row>
    <row r="98" spans="1:105" ht="11.45" customHeight="1" x14ac:dyDescent="0.25">
      <c r="A98" s="109" t="s">
        <v>21</v>
      </c>
      <c r="B98" s="130">
        <v>54.23504059842768</v>
      </c>
      <c r="C98" s="130">
        <v>52.868384401415547</v>
      </c>
      <c r="D98" s="130">
        <v>52.143758711577313</v>
      </c>
      <c r="E98" s="130">
        <v>51.546910744453271</v>
      </c>
      <c r="F98" s="130">
        <v>50.789407511666745</v>
      </c>
      <c r="G98" s="130">
        <v>50.097710484676256</v>
      </c>
      <c r="H98" s="130">
        <v>49.317990785384723</v>
      </c>
      <c r="I98" s="130">
        <v>48.614433414981534</v>
      </c>
      <c r="J98" s="130">
        <v>48.019330078858857</v>
      </c>
      <c r="K98" s="130">
        <v>47.444942416092879</v>
      </c>
      <c r="L98" s="130">
        <v>46.872513980778066</v>
      </c>
      <c r="M98" s="130">
        <v>46.387095959328192</v>
      </c>
      <c r="N98" s="130">
        <v>45.910729293345902</v>
      </c>
      <c r="O98" s="130">
        <v>45.455977048657331</v>
      </c>
      <c r="P98" s="130">
        <v>45.18484029474174</v>
      </c>
      <c r="Q98" s="130">
        <v>44.821136543286869</v>
      </c>
      <c r="R98" s="130">
        <v>44.491648613938317</v>
      </c>
      <c r="S98" s="130">
        <v>43.336942075901462</v>
      </c>
      <c r="T98" s="130">
        <v>43.008246658238363</v>
      </c>
      <c r="U98" s="130">
        <v>42.478419376664135</v>
      </c>
      <c r="V98" s="130">
        <v>41.918829476085612</v>
      </c>
      <c r="W98" s="130">
        <v>41.486335317416795</v>
      </c>
      <c r="X98" s="130">
        <v>41.062881317066015</v>
      </c>
      <c r="Y98" s="130">
        <v>40.189201992407483</v>
      </c>
      <c r="DA98" s="176" t="s">
        <v>872</v>
      </c>
    </row>
    <row r="99" spans="1:105" ht="11.45" customHeight="1" x14ac:dyDescent="0.25">
      <c r="A99" s="111" t="s">
        <v>110</v>
      </c>
      <c r="B99" s="97">
        <v>17.026931516516107</v>
      </c>
      <c r="C99" s="97">
        <v>16.655193816729181</v>
      </c>
      <c r="D99" s="97">
        <v>16.274544398820492</v>
      </c>
      <c r="E99" s="97">
        <v>16.073286691847311</v>
      </c>
      <c r="F99" s="97">
        <v>15.846749811166051</v>
      </c>
      <c r="G99" s="97">
        <v>15.769073084274147</v>
      </c>
      <c r="H99" s="97">
        <v>15.520956228075093</v>
      </c>
      <c r="I99" s="97">
        <v>15.061975348643875</v>
      </c>
      <c r="J99" s="97">
        <v>14.921921513084232</v>
      </c>
      <c r="K99" s="97">
        <v>14.766689689956511</v>
      </c>
      <c r="L99" s="97">
        <v>14.5335979408115</v>
      </c>
      <c r="M99" s="97">
        <v>14.244669836658</v>
      </c>
      <c r="N99" s="97">
        <v>14.115744175789255</v>
      </c>
      <c r="O99" s="97">
        <v>13.822886890445563</v>
      </c>
      <c r="P99" s="97">
        <v>13.496900938416671</v>
      </c>
      <c r="Q99" s="97">
        <v>13.313424484440109</v>
      </c>
      <c r="R99" s="97">
        <v>13.017297718298268</v>
      </c>
      <c r="S99" s="97">
        <v>12.879811865765999</v>
      </c>
      <c r="T99" s="97">
        <v>12.795962841928018</v>
      </c>
      <c r="U99" s="97">
        <v>12.737071631665232</v>
      </c>
      <c r="V99" s="97">
        <v>12.641116658133415</v>
      </c>
      <c r="W99" s="97">
        <v>12.143182416219098</v>
      </c>
      <c r="X99" s="97">
        <v>11.599046347320305</v>
      </c>
      <c r="Y99" s="97">
        <v>11.126524900750114</v>
      </c>
      <c r="DA99" s="175" t="s">
        <v>873</v>
      </c>
    </row>
    <row r="100" spans="1:105" ht="11.45" customHeight="1" x14ac:dyDescent="0.25">
      <c r="A100" s="111" t="s">
        <v>111</v>
      </c>
      <c r="B100" s="97">
        <v>54.926014022499515</v>
      </c>
      <c r="C100" s="97">
        <v>53.107443471405375</v>
      </c>
      <c r="D100" s="97">
        <v>52.244168873506865</v>
      </c>
      <c r="E100" s="97">
        <v>51.629699104797794</v>
      </c>
      <c r="F100" s="97">
        <v>50.815542658254095</v>
      </c>
      <c r="G100" s="97">
        <v>50.078361219812976</v>
      </c>
      <c r="H100" s="97">
        <v>49.31783733855459</v>
      </c>
      <c r="I100" s="97">
        <v>48.709026062604096</v>
      </c>
      <c r="J100" s="97">
        <v>48.106880657717291</v>
      </c>
      <c r="K100" s="97">
        <v>47.55791875203699</v>
      </c>
      <c r="L100" s="97">
        <v>47.025511438304072</v>
      </c>
      <c r="M100" s="97">
        <v>46.566405395895636</v>
      </c>
      <c r="N100" s="97">
        <v>46.117036467188058</v>
      </c>
      <c r="O100" s="97">
        <v>45.760708761573902</v>
      </c>
      <c r="P100" s="97">
        <v>45.467485963248684</v>
      </c>
      <c r="Q100" s="97">
        <v>45.249462082854343</v>
      </c>
      <c r="R100" s="97">
        <v>44.911398606052074</v>
      </c>
      <c r="S100" s="97">
        <v>44.008133248624731</v>
      </c>
      <c r="T100" s="97">
        <v>43.666326018460829</v>
      </c>
      <c r="U100" s="97">
        <v>43.165689526269517</v>
      </c>
      <c r="V100" s="97">
        <v>42.64230369685432</v>
      </c>
      <c r="W100" s="97">
        <v>42.183387934822129</v>
      </c>
      <c r="X100" s="97">
        <v>41.683030453789407</v>
      </c>
      <c r="Y100" s="97">
        <v>40.844146496305342</v>
      </c>
      <c r="DA100" s="175" t="s">
        <v>874</v>
      </c>
    </row>
    <row r="101" spans="1:105" ht="11.45" customHeight="1" x14ac:dyDescent="0.25">
      <c r="A101" s="111" t="s">
        <v>112</v>
      </c>
      <c r="B101" s="97">
        <v>0</v>
      </c>
      <c r="C101" s="97">
        <v>0</v>
      </c>
      <c r="D101" s="97">
        <v>0</v>
      </c>
      <c r="E101" s="97">
        <v>0</v>
      </c>
      <c r="F101" s="97">
        <v>0</v>
      </c>
      <c r="G101" s="97">
        <v>0</v>
      </c>
      <c r="H101" s="97">
        <v>0</v>
      </c>
      <c r="I101" s="97">
        <v>0</v>
      </c>
      <c r="J101" s="97">
        <v>0</v>
      </c>
      <c r="K101" s="97">
        <v>0</v>
      </c>
      <c r="L101" s="97">
        <v>0</v>
      </c>
      <c r="M101" s="97">
        <v>0</v>
      </c>
      <c r="N101" s="97">
        <v>0</v>
      </c>
      <c r="O101" s="97">
        <v>0</v>
      </c>
      <c r="P101" s="97">
        <v>36.281783893869708</v>
      </c>
      <c r="Q101" s="97">
        <v>36.010562686464418</v>
      </c>
      <c r="R101" s="97">
        <v>36.001808770714419</v>
      </c>
      <c r="S101" s="97">
        <v>36.001808770714419</v>
      </c>
      <c r="T101" s="97">
        <v>35.999184360247177</v>
      </c>
      <c r="U101" s="97">
        <v>35.697104221182926</v>
      </c>
      <c r="V101" s="97">
        <v>35.407682935562704</v>
      </c>
      <c r="W101" s="97">
        <v>34.732946183357015</v>
      </c>
      <c r="X101" s="97">
        <v>34.519943173997753</v>
      </c>
      <c r="Y101" s="97">
        <v>34.290350680806021</v>
      </c>
      <c r="DA101" s="175" t="s">
        <v>875</v>
      </c>
    </row>
    <row r="102" spans="1:105" ht="11.45" customHeight="1" x14ac:dyDescent="0.25">
      <c r="A102" s="111" t="s">
        <v>113</v>
      </c>
      <c r="B102" s="97">
        <v>43.1691620593582</v>
      </c>
      <c r="C102" s="97">
        <v>42.715468230382044</v>
      </c>
      <c r="D102" s="97">
        <v>39.257231125072003</v>
      </c>
      <c r="E102" s="97">
        <v>39.254082763377568</v>
      </c>
      <c r="F102" s="97">
        <v>39.230472285567764</v>
      </c>
      <c r="G102" s="97">
        <v>39.217770005815098</v>
      </c>
      <c r="H102" s="97">
        <v>39.191263638205477</v>
      </c>
      <c r="I102" s="97">
        <v>39.110041777752521</v>
      </c>
      <c r="J102" s="97">
        <v>39.100311917032414</v>
      </c>
      <c r="K102" s="97">
        <v>39.092036303126292</v>
      </c>
      <c r="L102" s="97">
        <v>39.092036303126292</v>
      </c>
      <c r="M102" s="97">
        <v>39.091627630424625</v>
      </c>
      <c r="N102" s="97">
        <v>38.929617476825236</v>
      </c>
      <c r="O102" s="97">
        <v>38.845297447479886</v>
      </c>
      <c r="P102" s="97">
        <v>38.808569521864001</v>
      </c>
      <c r="Q102" s="97">
        <v>36.477050368453689</v>
      </c>
      <c r="R102" s="97">
        <v>35.900573014067554</v>
      </c>
      <c r="S102" s="97">
        <v>35.853697172398306</v>
      </c>
      <c r="T102" s="97">
        <v>35.614580135435816</v>
      </c>
      <c r="U102" s="97">
        <v>35.558639041553811</v>
      </c>
      <c r="V102" s="97">
        <v>35.508850373953607</v>
      </c>
      <c r="W102" s="97">
        <v>35.456808431606639</v>
      </c>
      <c r="X102" s="97">
        <v>35.372504565978467</v>
      </c>
      <c r="Y102" s="97">
        <v>35.34528866121579</v>
      </c>
      <c r="DA102" s="175" t="s">
        <v>876</v>
      </c>
    </row>
    <row r="103" spans="1:105" ht="11.45" customHeight="1" x14ac:dyDescent="0.25">
      <c r="A103" s="111" t="s">
        <v>115</v>
      </c>
      <c r="B103" s="97">
        <v>0</v>
      </c>
      <c r="C103" s="97">
        <v>0</v>
      </c>
      <c r="D103" s="97">
        <v>0</v>
      </c>
      <c r="E103" s="97">
        <v>0</v>
      </c>
      <c r="F103" s="97">
        <v>0</v>
      </c>
      <c r="G103" s="97">
        <v>0</v>
      </c>
      <c r="H103" s="97">
        <v>0</v>
      </c>
      <c r="I103" s="97">
        <v>0</v>
      </c>
      <c r="J103" s="97">
        <v>0</v>
      </c>
      <c r="K103" s="97">
        <v>0</v>
      </c>
      <c r="L103" s="97">
        <v>0</v>
      </c>
      <c r="M103" s="97">
        <v>0</v>
      </c>
      <c r="N103" s="97">
        <v>0</v>
      </c>
      <c r="O103" s="97">
        <v>23.016022963176319</v>
      </c>
      <c r="P103" s="97">
        <v>22.789712018691247</v>
      </c>
      <c r="Q103" s="97">
        <v>22.233877827014396</v>
      </c>
      <c r="R103" s="97">
        <v>22.110526136782759</v>
      </c>
      <c r="S103" s="97">
        <v>21.925534214961999</v>
      </c>
      <c r="T103" s="97">
        <v>21.658387520929146</v>
      </c>
      <c r="U103" s="97">
        <v>20.989674725338961</v>
      </c>
      <c r="V103" s="97">
        <v>20.679193363762796</v>
      </c>
      <c r="W103" s="97">
        <v>19.954924227717754</v>
      </c>
      <c r="X103" s="97">
        <v>19.399285838242537</v>
      </c>
      <c r="Y103" s="97">
        <v>18.421409621953753</v>
      </c>
      <c r="DA103" s="175" t="s">
        <v>877</v>
      </c>
    </row>
    <row r="104" spans="1:105" ht="11.45" customHeight="1" x14ac:dyDescent="0.25">
      <c r="A104" s="27" t="s">
        <v>34</v>
      </c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DA104" s="173"/>
    </row>
    <row r="105" spans="1:105" ht="11.45" customHeight="1" x14ac:dyDescent="0.25">
      <c r="A105" s="136" t="s">
        <v>153</v>
      </c>
      <c r="B105" s="141">
        <v>11.559027766197719</v>
      </c>
      <c r="C105" s="141">
        <v>11.223556837366814</v>
      </c>
      <c r="D105" s="141">
        <v>10.997705310178173</v>
      </c>
      <c r="E105" s="141">
        <v>10.620579596353979</v>
      </c>
      <c r="F105" s="141">
        <v>10.153826902349502</v>
      </c>
      <c r="G105" s="141">
        <v>9.8184035393596005</v>
      </c>
      <c r="H105" s="141">
        <v>9.5049457756062221</v>
      </c>
      <c r="I105" s="141">
        <v>8.9883800117175241</v>
      </c>
      <c r="J105" s="141">
        <v>8.6603126559723087</v>
      </c>
      <c r="K105" s="141">
        <v>8.0722163319132534</v>
      </c>
      <c r="L105" s="141">
        <v>7.8198703258552387</v>
      </c>
      <c r="M105" s="141">
        <v>7.7298390735169855</v>
      </c>
      <c r="N105" s="141">
        <v>7.7054408658333466</v>
      </c>
      <c r="O105" s="141">
        <v>7.6356667159184077</v>
      </c>
      <c r="P105" s="141">
        <v>7.5040383249023757</v>
      </c>
      <c r="Q105" s="141">
        <v>7.3709418412234786</v>
      </c>
      <c r="R105" s="141">
        <v>7.2831912260404827</v>
      </c>
      <c r="S105" s="141">
        <v>7.1939355733986821</v>
      </c>
      <c r="T105" s="141">
        <v>7.1062971100266425</v>
      </c>
      <c r="U105" s="141">
        <v>7.0454188143226482</v>
      </c>
      <c r="V105" s="141">
        <v>7.01061924412602</v>
      </c>
      <c r="W105" s="141">
        <v>6.9667726490053088</v>
      </c>
      <c r="X105" s="141">
        <v>6.9232310092246658</v>
      </c>
      <c r="Y105" s="141">
        <v>6.8604213034341575</v>
      </c>
      <c r="DA105" s="174" t="s">
        <v>878</v>
      </c>
    </row>
    <row r="106" spans="1:105" ht="11.45" customHeight="1" x14ac:dyDescent="0.25">
      <c r="A106" s="111" t="s">
        <v>110</v>
      </c>
      <c r="B106" s="96">
        <v>11.513408358527144</v>
      </c>
      <c r="C106" s="96">
        <v>11.50399385306107</v>
      </c>
      <c r="D106" s="96">
        <v>11.501390631441389</v>
      </c>
      <c r="E106" s="96">
        <v>11.499611380750352</v>
      </c>
      <c r="F106" s="96">
        <v>11.497735448365052</v>
      </c>
      <c r="G106" s="96">
        <v>11.495096372318585</v>
      </c>
      <c r="H106" s="96">
        <v>11.4921758413111</v>
      </c>
      <c r="I106" s="96">
        <v>11.49082442370748</v>
      </c>
      <c r="J106" s="96">
        <v>11.487201241496445</v>
      </c>
      <c r="K106" s="96">
        <v>11.484249474145967</v>
      </c>
      <c r="L106" s="96">
        <v>11.485257801601167</v>
      </c>
      <c r="M106" s="96">
        <v>11.32837639511386</v>
      </c>
      <c r="N106" s="96">
        <v>10.40914489778377</v>
      </c>
      <c r="O106" s="96">
        <v>9.6485369897972912</v>
      </c>
      <c r="P106" s="96">
        <v>9.0861939780361887</v>
      </c>
      <c r="Q106" s="96">
        <v>8.8514101850989988</v>
      </c>
      <c r="R106" s="96">
        <v>8.29677856909883</v>
      </c>
      <c r="S106" s="96">
        <v>7.5524422549840855</v>
      </c>
      <c r="T106" s="96">
        <v>7.0614010315753086</v>
      </c>
      <c r="U106" s="96">
        <v>6.7927702609813423</v>
      </c>
      <c r="V106" s="96">
        <v>6.6440345706761157</v>
      </c>
      <c r="W106" s="96">
        <v>6.6070577675464772</v>
      </c>
      <c r="X106" s="96">
        <v>6.5301928320895124</v>
      </c>
      <c r="Y106" s="96">
        <v>6.255334375582378</v>
      </c>
      <c r="DA106" s="171" t="s">
        <v>879</v>
      </c>
    </row>
    <row r="107" spans="1:105" ht="11.45" customHeight="1" x14ac:dyDescent="0.25">
      <c r="A107" s="111" t="s">
        <v>111</v>
      </c>
      <c r="B107" s="96">
        <v>11.564149961866036</v>
      </c>
      <c r="C107" s="96">
        <v>11.075265284243438</v>
      </c>
      <c r="D107" s="96">
        <v>10.780355865565953</v>
      </c>
      <c r="E107" s="96">
        <v>10.305852781392591</v>
      </c>
      <c r="F107" s="96">
        <v>9.7687770687619615</v>
      </c>
      <c r="G107" s="96">
        <v>9.4284229368897385</v>
      </c>
      <c r="H107" s="96">
        <v>9.12683518856573</v>
      </c>
      <c r="I107" s="96">
        <v>8.6354230194514763</v>
      </c>
      <c r="J107" s="96">
        <v>8.3677170003580557</v>
      </c>
      <c r="K107" s="96">
        <v>7.9009149533250786</v>
      </c>
      <c r="L107" s="96">
        <v>7.7071917589969052</v>
      </c>
      <c r="M107" s="96">
        <v>7.6406105412504708</v>
      </c>
      <c r="N107" s="96">
        <v>7.6161368904640439</v>
      </c>
      <c r="O107" s="96">
        <v>7.5478797230450034</v>
      </c>
      <c r="P107" s="96">
        <v>7.4291880958940686</v>
      </c>
      <c r="Q107" s="96">
        <v>7.2804675271226875</v>
      </c>
      <c r="R107" s="96">
        <v>7.1926107497081544</v>
      </c>
      <c r="S107" s="96">
        <v>7.1027055878028937</v>
      </c>
      <c r="T107" s="96">
        <v>7.0153250806045619</v>
      </c>
      <c r="U107" s="96">
        <v>6.9602233242350904</v>
      </c>
      <c r="V107" s="96">
        <v>6.927335950426742</v>
      </c>
      <c r="W107" s="96">
        <v>6.8819571275190201</v>
      </c>
      <c r="X107" s="96">
        <v>6.837206555187902</v>
      </c>
      <c r="Y107" s="96">
        <v>6.7807671087427055</v>
      </c>
      <c r="DA107" s="171" t="s">
        <v>880</v>
      </c>
    </row>
    <row r="108" spans="1:105" ht="11.45" customHeight="1" x14ac:dyDescent="0.25">
      <c r="A108" s="111" t="s">
        <v>112</v>
      </c>
      <c r="B108" s="96">
        <v>0</v>
      </c>
      <c r="C108" s="96">
        <v>0</v>
      </c>
      <c r="D108" s="96">
        <v>0</v>
      </c>
      <c r="E108" s="96">
        <v>0</v>
      </c>
      <c r="F108" s="96">
        <v>0</v>
      </c>
      <c r="G108" s="96">
        <v>0</v>
      </c>
      <c r="H108" s="96">
        <v>0</v>
      </c>
      <c r="I108" s="96">
        <v>0</v>
      </c>
      <c r="J108" s="96">
        <v>0</v>
      </c>
      <c r="K108" s="96">
        <v>0</v>
      </c>
      <c r="L108" s="96">
        <v>0</v>
      </c>
      <c r="M108" s="96">
        <v>0</v>
      </c>
      <c r="N108" s="96">
        <v>0</v>
      </c>
      <c r="O108" s="96">
        <v>10.090964070494559</v>
      </c>
      <c r="P108" s="96">
        <v>6.9496999276107054</v>
      </c>
      <c r="Q108" s="96">
        <v>7.6155010192319379</v>
      </c>
      <c r="R108" s="96">
        <v>7.3300990204178538</v>
      </c>
      <c r="S108" s="96">
        <v>6.4692286182746166</v>
      </c>
      <c r="T108" s="96">
        <v>5.6499309014995376</v>
      </c>
      <c r="U108" s="96">
        <v>5.1993133698891656</v>
      </c>
      <c r="V108" s="96">
        <v>5.3993094749037436</v>
      </c>
      <c r="W108" s="96">
        <v>5.5448883485718339</v>
      </c>
      <c r="X108" s="96">
        <v>5.5208767358814717</v>
      </c>
      <c r="Y108" s="96">
        <v>5.4727684366230296</v>
      </c>
      <c r="DA108" s="171" t="s">
        <v>881</v>
      </c>
    </row>
    <row r="109" spans="1:105" ht="11.45" customHeight="1" x14ac:dyDescent="0.25">
      <c r="A109" s="111" t="s">
        <v>113</v>
      </c>
      <c r="B109" s="96">
        <v>0</v>
      </c>
      <c r="C109" s="96">
        <v>0</v>
      </c>
      <c r="D109" s="96">
        <v>0</v>
      </c>
      <c r="E109" s="96">
        <v>0</v>
      </c>
      <c r="F109" s="96">
        <v>0</v>
      </c>
      <c r="G109" s="96">
        <v>0</v>
      </c>
      <c r="H109" s="96">
        <v>0</v>
      </c>
      <c r="I109" s="96">
        <v>0</v>
      </c>
      <c r="J109" s="96">
        <v>0</v>
      </c>
      <c r="K109" s="96">
        <v>0</v>
      </c>
      <c r="L109" s="96">
        <v>0</v>
      </c>
      <c r="M109" s="96">
        <v>0</v>
      </c>
      <c r="N109" s="96">
        <v>11.826690120035495</v>
      </c>
      <c r="O109" s="96">
        <v>11.99334186540359</v>
      </c>
      <c r="P109" s="96">
        <v>9.5836372146770632</v>
      </c>
      <c r="Q109" s="96">
        <v>9.6651732788330076</v>
      </c>
      <c r="R109" s="96">
        <v>8.6151260661260398</v>
      </c>
      <c r="S109" s="96">
        <v>8.0216097044524481</v>
      </c>
      <c r="T109" s="96">
        <v>6.6175055372046767</v>
      </c>
      <c r="U109" s="96">
        <v>6.4791815291814361</v>
      </c>
      <c r="V109" s="96">
        <v>6.8336515187779669</v>
      </c>
      <c r="W109" s="96">
        <v>7.0950563874611268</v>
      </c>
      <c r="X109" s="96">
        <v>7.1064009340573522</v>
      </c>
      <c r="Y109" s="96">
        <v>7.1413445548393533</v>
      </c>
      <c r="DA109" s="171" t="s">
        <v>882</v>
      </c>
    </row>
    <row r="110" spans="1:105" ht="11.45" customHeight="1" x14ac:dyDescent="0.25">
      <c r="A110" s="111" t="s">
        <v>115</v>
      </c>
      <c r="B110" s="96">
        <v>0</v>
      </c>
      <c r="C110" s="96">
        <v>0</v>
      </c>
      <c r="D110" s="96">
        <v>0</v>
      </c>
      <c r="E110" s="96">
        <v>0</v>
      </c>
      <c r="F110" s="96">
        <v>0</v>
      </c>
      <c r="G110" s="96">
        <v>0</v>
      </c>
      <c r="H110" s="96">
        <v>0</v>
      </c>
      <c r="I110" s="96">
        <v>0</v>
      </c>
      <c r="J110" s="96">
        <v>0</v>
      </c>
      <c r="K110" s="96">
        <v>0</v>
      </c>
      <c r="L110" s="96">
        <v>0</v>
      </c>
      <c r="M110" s="96">
        <v>1.3566283477464831</v>
      </c>
      <c r="N110" s="96">
        <v>1.3327601031814273</v>
      </c>
      <c r="O110" s="96">
        <v>1.4664693850996837</v>
      </c>
      <c r="P110" s="96">
        <v>1.4779574132683742</v>
      </c>
      <c r="Q110" s="96">
        <v>1.472600839592604</v>
      </c>
      <c r="R110" s="96">
        <v>1.4591652132691322</v>
      </c>
      <c r="S110" s="96">
        <v>1.4523256322453006</v>
      </c>
      <c r="T110" s="96">
        <v>1.5073220651049386</v>
      </c>
      <c r="U110" s="96">
        <v>1.5573059445641375</v>
      </c>
      <c r="V110" s="96">
        <v>1.6304421109985747</v>
      </c>
      <c r="W110" s="96">
        <v>1.7156754483664236</v>
      </c>
      <c r="X110" s="96">
        <v>1.7663332529821651</v>
      </c>
      <c r="Y110" s="96">
        <v>1.8194798364505693</v>
      </c>
      <c r="DA110" s="171" t="s">
        <v>883</v>
      </c>
    </row>
    <row r="111" spans="1:105" ht="11.45" customHeight="1" x14ac:dyDescent="0.25">
      <c r="A111" s="109" t="s">
        <v>154</v>
      </c>
      <c r="B111" s="130">
        <v>33.9354684412152</v>
      </c>
      <c r="C111" s="130">
        <v>33.800976063348294</v>
      </c>
      <c r="D111" s="130">
        <v>33.665675368748857</v>
      </c>
      <c r="E111" s="130">
        <v>33.493998503405997</v>
      </c>
      <c r="F111" s="130">
        <v>33.318194711528328</v>
      </c>
      <c r="G111" s="130">
        <v>33.114759977999185</v>
      </c>
      <c r="H111" s="130">
        <v>32.873796600672513</v>
      </c>
      <c r="I111" s="130">
        <v>32.573617190769959</v>
      </c>
      <c r="J111" s="130">
        <v>32.313826274277183</v>
      </c>
      <c r="K111" s="130">
        <v>32.089588184512799</v>
      </c>
      <c r="L111" s="130">
        <v>31.803046194494005</v>
      </c>
      <c r="M111" s="130">
        <v>31.461598833617515</v>
      </c>
      <c r="N111" s="130">
        <v>31.119030391832364</v>
      </c>
      <c r="O111" s="130">
        <v>30.13014680032898</v>
      </c>
      <c r="P111" s="130">
        <v>30.05106509330458</v>
      </c>
      <c r="Q111" s="130">
        <v>29.912639975926282</v>
      </c>
      <c r="R111" s="130">
        <v>29.208493689373068</v>
      </c>
      <c r="S111" s="130">
        <v>28.303318852224681</v>
      </c>
      <c r="T111" s="130">
        <v>27.328493851549567</v>
      </c>
      <c r="U111" s="130">
        <v>26.414886700777178</v>
      </c>
      <c r="V111" s="130">
        <v>25.819785941467284</v>
      </c>
      <c r="W111" s="130">
        <v>25.12908582709677</v>
      </c>
      <c r="X111" s="130">
        <v>24.317266479158128</v>
      </c>
      <c r="Y111" s="130">
        <v>23.849282716979765</v>
      </c>
      <c r="DA111" s="176" t="s">
        <v>884</v>
      </c>
    </row>
    <row r="112" spans="1:105" ht="11.45" customHeight="1" x14ac:dyDescent="0.25">
      <c r="A112" s="128" t="s">
        <v>27</v>
      </c>
      <c r="B112" s="97">
        <v>33.80915576360777</v>
      </c>
      <c r="C112" s="97">
        <v>33.681737214142657</v>
      </c>
      <c r="D112" s="97">
        <v>33.552229504560849</v>
      </c>
      <c r="E112" s="97">
        <v>33.386973895355787</v>
      </c>
      <c r="F112" s="97">
        <v>33.219500725377195</v>
      </c>
      <c r="G112" s="97">
        <v>33.020353981766213</v>
      </c>
      <c r="H112" s="97">
        <v>32.783004143441737</v>
      </c>
      <c r="I112" s="97">
        <v>32.485657231068416</v>
      </c>
      <c r="J112" s="97">
        <v>32.227000837729761</v>
      </c>
      <c r="K112" s="97">
        <v>32.00470241132011</v>
      </c>
      <c r="L112" s="97">
        <v>31.721867340385398</v>
      </c>
      <c r="M112" s="97">
        <v>31.385511330301593</v>
      </c>
      <c r="N112" s="97">
        <v>31.047464165459211</v>
      </c>
      <c r="O112" s="97">
        <v>30.010670855499619</v>
      </c>
      <c r="P112" s="97">
        <v>29.961469281108606</v>
      </c>
      <c r="Q112" s="97">
        <v>29.849603019886089</v>
      </c>
      <c r="R112" s="97">
        <v>29.133031702984006</v>
      </c>
      <c r="S112" s="97">
        <v>28.200085973689827</v>
      </c>
      <c r="T112" s="97">
        <v>27.193346705870635</v>
      </c>
      <c r="U112" s="97">
        <v>26.253376481971511</v>
      </c>
      <c r="V112" s="97">
        <v>25.646475252412255</v>
      </c>
      <c r="W112" s="97">
        <v>24.943876148544017</v>
      </c>
      <c r="X112" s="97">
        <v>24.104017518030549</v>
      </c>
      <c r="Y112" s="97">
        <v>23.637235325665355</v>
      </c>
      <c r="DA112" s="175" t="s">
        <v>885</v>
      </c>
    </row>
    <row r="113" spans="1:105" ht="11.45" customHeight="1" x14ac:dyDescent="0.25">
      <c r="A113" s="138" t="s">
        <v>116</v>
      </c>
      <c r="B113" s="98">
        <v>36.742268041163946</v>
      </c>
      <c r="C113" s="98">
        <v>36.373597608322797</v>
      </c>
      <c r="D113" s="98">
        <v>36.053099596035949</v>
      </c>
      <c r="E113" s="98">
        <v>35.795125989918262</v>
      </c>
      <c r="F113" s="98">
        <v>35.136472819420625</v>
      </c>
      <c r="G113" s="98">
        <v>34.836054083076718</v>
      </c>
      <c r="H113" s="98">
        <v>34.539281556146783</v>
      </c>
      <c r="I113" s="98">
        <v>34.204242294655423</v>
      </c>
      <c r="J113" s="98">
        <v>34.076897159100717</v>
      </c>
      <c r="K113" s="98">
        <v>33.923069765020259</v>
      </c>
      <c r="L113" s="98">
        <v>33.571168856021536</v>
      </c>
      <c r="M113" s="98">
        <v>33.10178919953988</v>
      </c>
      <c r="N113" s="98">
        <v>32.644707839678532</v>
      </c>
      <c r="O113" s="98">
        <v>31.847571396997107</v>
      </c>
      <c r="P113" s="98">
        <v>31.351308597416676</v>
      </c>
      <c r="Q113" s="98">
        <v>30.788247561551557</v>
      </c>
      <c r="R113" s="98">
        <v>30.279280937754315</v>
      </c>
      <c r="S113" s="98">
        <v>29.74772427396314</v>
      </c>
      <c r="T113" s="98">
        <v>29.201209617226425</v>
      </c>
      <c r="U113" s="98">
        <v>28.598455353981887</v>
      </c>
      <c r="V113" s="98">
        <v>28.3273861995754</v>
      </c>
      <c r="W113" s="98">
        <v>27.565807675536252</v>
      </c>
      <c r="X113" s="98">
        <v>27.065962701234294</v>
      </c>
      <c r="Y113" s="98">
        <v>26.812724789440686</v>
      </c>
      <c r="DA113" s="178" t="s">
        <v>886</v>
      </c>
    </row>
    <row r="114" spans="1:105" x14ac:dyDescent="0.25">
      <c r="A114" s="106"/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X114" s="106"/>
      <c r="Y114" s="106"/>
      <c r="DA114" s="171"/>
    </row>
    <row r="115" spans="1:105" ht="11.45" customHeight="1" x14ac:dyDescent="0.25">
      <c r="A115" s="53" t="s">
        <v>121</v>
      </c>
      <c r="B115" s="59"/>
      <c r="C115" s="59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  <c r="X115" s="59"/>
      <c r="Y115" s="59"/>
      <c r="DA115" s="172"/>
    </row>
    <row r="116" spans="1:105" ht="11.45" customHeight="1" x14ac:dyDescent="0.25">
      <c r="A116" s="27" t="s">
        <v>33</v>
      </c>
      <c r="B116" s="47"/>
      <c r="C116" s="47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  <c r="DA116" s="173"/>
    </row>
    <row r="117" spans="1:105" ht="11.45" customHeight="1" x14ac:dyDescent="0.25">
      <c r="A117" s="136" t="s">
        <v>173</v>
      </c>
      <c r="B117" s="150">
        <f>IF(TrRoad_act!B59=0,0,TrRoad_ene!B62/TrRoad_tech!B90)</f>
        <v>1.1275000000068984</v>
      </c>
      <c r="C117" s="150">
        <f>IF(TrRoad_act!C59=0,0,TrRoad_ene!C62/TrRoad_tech!C90)</f>
        <v>1.1277303646478214</v>
      </c>
      <c r="D117" s="150">
        <f>IF(TrRoad_act!D59=0,0,TrRoad_ene!D62/TrRoad_tech!D90)</f>
        <v>1.1294012669001843</v>
      </c>
      <c r="E117" s="150">
        <f>IF(TrRoad_act!E59=0,0,TrRoad_ene!E62/TrRoad_tech!E90)</f>
        <v>1.130677940236452</v>
      </c>
      <c r="F117" s="150">
        <f>IF(TrRoad_act!F59=0,0,TrRoad_ene!F62/TrRoad_tech!F90)</f>
        <v>1.1326416372732298</v>
      </c>
      <c r="G117" s="150">
        <f>IF(TrRoad_act!G59=0,0,TrRoad_ene!G62/TrRoad_tech!G90)</f>
        <v>1.1358697182129573</v>
      </c>
      <c r="H117" s="150">
        <f>IF(TrRoad_act!H59=0,0,TrRoad_ene!H62/TrRoad_tech!H90)</f>
        <v>1.1400479454697567</v>
      </c>
      <c r="I117" s="150">
        <f>IF(TrRoad_act!I59=0,0,TrRoad_ene!I62/TrRoad_tech!I90)</f>
        <v>1.1457562622219082</v>
      </c>
      <c r="J117" s="150">
        <f>IF(TrRoad_act!J59=0,0,TrRoad_ene!J62/TrRoad_tech!J90)</f>
        <v>1.1518380923790483</v>
      </c>
      <c r="K117" s="150">
        <f>IF(TrRoad_act!K59=0,0,TrRoad_ene!K62/TrRoad_tech!K90)</f>
        <v>1.1560661491769508</v>
      </c>
      <c r="L117" s="150">
        <f>IF(TrRoad_act!L59=0,0,TrRoad_ene!L62/TrRoad_tech!L90)</f>
        <v>1.1610046457698557</v>
      </c>
      <c r="M117" s="150">
        <f>IF(TrRoad_act!M59=0,0,TrRoad_ene!M62/TrRoad_tech!M90)</f>
        <v>1.1651094294328606</v>
      </c>
      <c r="N117" s="150">
        <f>IF(TrRoad_act!N59=0,0,TrRoad_ene!N62/TrRoad_tech!N90)</f>
        <v>1.1700943943472251</v>
      </c>
      <c r="O117" s="150">
        <f>IF(TrRoad_act!O59=0,0,TrRoad_ene!O62/TrRoad_tech!O90)</f>
        <v>1.1742451379668153</v>
      </c>
      <c r="P117" s="150">
        <f>IF(TrRoad_act!P59=0,0,TrRoad_ene!P62/TrRoad_tech!P90)</f>
        <v>1.1809215510622899</v>
      </c>
      <c r="Q117" s="150">
        <f>IF(TrRoad_act!Q59=0,0,TrRoad_ene!Q62/TrRoad_tech!Q90)</f>
        <v>1.1625319410978827</v>
      </c>
      <c r="R117" s="150">
        <f>IF(TrRoad_act!R59=0,0,TrRoad_ene!R62/TrRoad_tech!R90)</f>
        <v>1.2010812854824782</v>
      </c>
      <c r="S117" s="150">
        <f>IF(TrRoad_act!S59=0,0,TrRoad_ene!S62/TrRoad_tech!S90)</f>
        <v>1.2217916248579179</v>
      </c>
      <c r="T117" s="150">
        <f>IF(TrRoad_act!T59=0,0,TrRoad_ene!T62/TrRoad_tech!T90)</f>
        <v>1.2324925253629322</v>
      </c>
      <c r="U117" s="150">
        <f>IF(TrRoad_act!U59=0,0,TrRoad_ene!U62/TrRoad_tech!U90)</f>
        <v>1.2463839957745708</v>
      </c>
      <c r="V117" s="150">
        <f>IF(TrRoad_act!V59=0,0,TrRoad_ene!V62/TrRoad_tech!V90)</f>
        <v>1.2009975377524511</v>
      </c>
      <c r="W117" s="150">
        <f>IF(TrRoad_act!W59=0,0,TrRoad_ene!W62/TrRoad_tech!W90)</f>
        <v>1.2660299872232528</v>
      </c>
      <c r="X117" s="150">
        <f>IF(TrRoad_act!X59=0,0,TrRoad_ene!X62/TrRoad_tech!X90)</f>
        <v>1.2332284857987377</v>
      </c>
      <c r="Y117" s="150">
        <f>IF(TrRoad_act!Y59=0,0,TrRoad_ene!Y62/TrRoad_tech!Y90)</f>
        <v>1.2509141360741296</v>
      </c>
      <c r="DA117" s="174"/>
    </row>
    <row r="118" spans="1:105" ht="11.45" customHeight="1" x14ac:dyDescent="0.25">
      <c r="A118" s="109" t="s">
        <v>20</v>
      </c>
      <c r="B118" s="151">
        <f>IF(TrRoad_act!B60=0,0,TrRoad_ene!B63/TrRoad_tech!B91)</f>
        <v>1.145601223605063</v>
      </c>
      <c r="C118" s="151">
        <f>IF(TrRoad_act!C60=0,0,TrRoad_ene!C63/TrRoad_tech!C91)</f>
        <v>1.1339939368622369</v>
      </c>
      <c r="D118" s="151">
        <f>IF(TrRoad_act!D60=0,0,TrRoad_ene!D63/TrRoad_tech!D91)</f>
        <v>1.1304705463041058</v>
      </c>
      <c r="E118" s="151">
        <f>IF(TrRoad_act!E60=0,0,TrRoad_ene!E63/TrRoad_tech!E91)</f>
        <v>1.1443390278908325</v>
      </c>
      <c r="F118" s="151">
        <f>IF(TrRoad_act!F60=0,0,TrRoad_ene!F63/TrRoad_tech!F91)</f>
        <v>1.1090147495334792</v>
      </c>
      <c r="G118" s="151">
        <f>IF(TrRoad_act!G60=0,0,TrRoad_ene!G63/TrRoad_tech!G91)</f>
        <v>1.1062357074940998</v>
      </c>
      <c r="H118" s="151">
        <f>IF(TrRoad_act!H60=0,0,TrRoad_ene!H63/TrRoad_tech!H91)</f>
        <v>1.1060622044762964</v>
      </c>
      <c r="I118" s="151">
        <f>IF(TrRoad_act!I60=0,0,TrRoad_ene!I63/TrRoad_tech!I91)</f>
        <v>1.0996008578874699</v>
      </c>
      <c r="J118" s="151">
        <f>IF(TrRoad_act!J60=0,0,TrRoad_ene!J63/TrRoad_tech!J91)</f>
        <v>1.0709088774115687</v>
      </c>
      <c r="K118" s="151">
        <f>IF(TrRoad_act!K60=0,0,TrRoad_ene!K63/TrRoad_tech!K91)</f>
        <v>1.0539847028971792</v>
      </c>
      <c r="L118" s="151">
        <f>IF(TrRoad_act!L60=0,0,TrRoad_ene!L63/TrRoad_tech!L91)</f>
        <v>1.0584061042690551</v>
      </c>
      <c r="M118" s="151">
        <f>IF(TrRoad_act!M60=0,0,TrRoad_ene!M63/TrRoad_tech!M91)</f>
        <v>1.0483724604090396</v>
      </c>
      <c r="N118" s="151">
        <f>IF(TrRoad_act!N60=0,0,TrRoad_ene!N63/TrRoad_tech!N91)</f>
        <v>1.0202219352621951</v>
      </c>
      <c r="O118" s="151">
        <f>IF(TrRoad_act!O60=0,0,TrRoad_ene!O63/TrRoad_tech!O91)</f>
        <v>1.0281476020694473</v>
      </c>
      <c r="P118" s="151">
        <f>IF(TrRoad_act!P60=0,0,TrRoad_ene!P63/TrRoad_tech!P91)</f>
        <v>1.0349407463022755</v>
      </c>
      <c r="Q118" s="151">
        <f>IF(TrRoad_act!Q60=0,0,TrRoad_ene!Q63/TrRoad_tech!Q91)</f>
        <v>1.0308374992401048</v>
      </c>
      <c r="R118" s="151">
        <f>IF(TrRoad_act!R60=0,0,TrRoad_ene!R63/TrRoad_tech!R91)</f>
        <v>1.0965778408334093</v>
      </c>
      <c r="S118" s="151">
        <f>IF(TrRoad_act!S60=0,0,TrRoad_ene!S63/TrRoad_tech!S91)</f>
        <v>1.0808244610674604</v>
      </c>
      <c r="T118" s="151">
        <f>IF(TrRoad_act!T60=0,0,TrRoad_ene!T63/TrRoad_tech!T91)</f>
        <v>1.1021582733436235</v>
      </c>
      <c r="U118" s="151">
        <f>IF(TrRoad_act!U60=0,0,TrRoad_ene!U63/TrRoad_tech!U91)</f>
        <v>1.065351826921398</v>
      </c>
      <c r="V118" s="151">
        <f>IF(TrRoad_act!V60=0,0,TrRoad_ene!V63/TrRoad_tech!V91)</f>
        <v>1.0757234678860599</v>
      </c>
      <c r="W118" s="151">
        <f>IF(TrRoad_act!W60=0,0,TrRoad_ene!W63/TrRoad_tech!W91)</f>
        <v>1.0575932600737719</v>
      </c>
      <c r="X118" s="151">
        <f>IF(TrRoad_act!X60=0,0,TrRoad_ene!X63/TrRoad_tech!X91)</f>
        <v>1.0735943830738903</v>
      </c>
      <c r="Y118" s="151">
        <f>IF(TrRoad_act!Y60=0,0,TrRoad_ene!Y63/TrRoad_tech!Y91)</f>
        <v>1.0754824041613362</v>
      </c>
      <c r="DA118" s="176"/>
    </row>
    <row r="119" spans="1:105" ht="11.45" customHeight="1" x14ac:dyDescent="0.25">
      <c r="A119" s="111" t="s">
        <v>110</v>
      </c>
      <c r="B119" s="91">
        <f>IF(TrRoad_act!B61=0,0,TrRoad_ene!B64/TrRoad_tech!B92)</f>
        <v>1.1663844315283849</v>
      </c>
      <c r="C119" s="91">
        <f>IF(TrRoad_act!C61=0,0,TrRoad_ene!C64/TrRoad_tech!C92)</f>
        <v>1.1785206924560334</v>
      </c>
      <c r="D119" s="91">
        <f>IF(TrRoad_act!D61=0,0,TrRoad_ene!D64/TrRoad_tech!D92)</f>
        <v>1.1579112463383638</v>
      </c>
      <c r="E119" s="91">
        <f>IF(TrRoad_act!E61=0,0,TrRoad_ene!E64/TrRoad_tech!E92)</f>
        <v>1.1793251586714435</v>
      </c>
      <c r="F119" s="91">
        <f>IF(TrRoad_act!F61=0,0,TrRoad_ene!F64/TrRoad_tech!F92)</f>
        <v>1.1476568998533216</v>
      </c>
      <c r="G119" s="91">
        <f>IF(TrRoad_act!G61=0,0,TrRoad_ene!G64/TrRoad_tech!G92)</f>
        <v>1.1370200939744997</v>
      </c>
      <c r="H119" s="91">
        <f>IF(TrRoad_act!H61=0,0,TrRoad_ene!H64/TrRoad_tech!H92)</f>
        <v>1.135382286801162</v>
      </c>
      <c r="I119" s="91">
        <f>IF(TrRoad_act!I61=0,0,TrRoad_ene!I64/TrRoad_tech!I92)</f>
        <v>1.1243322863926235</v>
      </c>
      <c r="J119" s="91">
        <f>IF(TrRoad_act!J61=0,0,TrRoad_ene!J64/TrRoad_tech!J92)</f>
        <v>1.0769144055881781</v>
      </c>
      <c r="K119" s="91">
        <f>IF(TrRoad_act!K61=0,0,TrRoad_ene!K64/TrRoad_tech!K92)</f>
        <v>1.0587879941773322</v>
      </c>
      <c r="L119" s="91">
        <f>IF(TrRoad_act!L61=0,0,TrRoad_ene!L64/TrRoad_tech!L92)</f>
        <v>1.0555669968702113</v>
      </c>
      <c r="M119" s="91">
        <f>IF(TrRoad_act!M61=0,0,TrRoad_ene!M64/TrRoad_tech!M92)</f>
        <v>1.0417639981646611</v>
      </c>
      <c r="N119" s="91">
        <f>IF(TrRoad_act!N61=0,0,TrRoad_ene!N64/TrRoad_tech!N92)</f>
        <v>1.0008695013097353</v>
      </c>
      <c r="O119" s="91">
        <f>IF(TrRoad_act!O61=0,0,TrRoad_ene!O64/TrRoad_tech!O92)</f>
        <v>1.0256332096674972</v>
      </c>
      <c r="P119" s="91">
        <f>IF(TrRoad_act!P61=0,0,TrRoad_ene!P64/TrRoad_tech!P92)</f>
        <v>1.0416542816980523</v>
      </c>
      <c r="Q119" s="91">
        <f>IF(TrRoad_act!Q61=0,0,TrRoad_ene!Q64/TrRoad_tech!Q92)</f>
        <v>1.0400176613048331</v>
      </c>
      <c r="R119" s="91">
        <f>IF(TrRoad_act!R61=0,0,TrRoad_ene!R64/TrRoad_tech!R92)</f>
        <v>1.1413343662899951</v>
      </c>
      <c r="S119" s="91">
        <f>IF(TrRoad_act!S61=0,0,TrRoad_ene!S64/TrRoad_tech!S92)</f>
        <v>1.2040073144491448</v>
      </c>
      <c r="T119" s="91">
        <f>IF(TrRoad_act!T61=0,0,TrRoad_ene!T64/TrRoad_tech!T92)</f>
        <v>1.2652781973131375</v>
      </c>
      <c r="U119" s="91">
        <f>IF(TrRoad_act!U61=0,0,TrRoad_ene!U64/TrRoad_tech!U92)</f>
        <v>1.2401216516755929</v>
      </c>
      <c r="V119" s="91">
        <f>IF(TrRoad_act!V61=0,0,TrRoad_ene!V64/TrRoad_tech!V92)</f>
        <v>1.3969710597264415</v>
      </c>
      <c r="W119" s="91">
        <f>IF(TrRoad_act!W61=0,0,TrRoad_ene!W64/TrRoad_tech!W92)</f>
        <v>1.38515600254279</v>
      </c>
      <c r="X119" s="91">
        <f>IF(TrRoad_act!X61=0,0,TrRoad_ene!X64/TrRoad_tech!X92)</f>
        <v>1.3517975384025005</v>
      </c>
      <c r="Y119" s="91">
        <f>IF(TrRoad_act!Y61=0,0,TrRoad_ene!Y64/TrRoad_tech!Y92)</f>
        <v>1.3458670879240697</v>
      </c>
      <c r="DA119" s="171"/>
    </row>
    <row r="120" spans="1:105" ht="11.45" customHeight="1" x14ac:dyDescent="0.25">
      <c r="A120" s="111" t="s">
        <v>111</v>
      </c>
      <c r="B120" s="91">
        <f>IF(TrRoad_act!B62=0,0,TrRoad_ene!B65/TrRoad_tech!B93)</f>
        <v>1.1766785043669241</v>
      </c>
      <c r="C120" s="91">
        <f>IF(TrRoad_act!C62=0,0,TrRoad_ene!C65/TrRoad_tech!C93)</f>
        <v>1.1752976698165469</v>
      </c>
      <c r="D120" s="91">
        <f>IF(TrRoad_act!D62=0,0,TrRoad_ene!D65/TrRoad_tech!D93)</f>
        <v>1.1980393853681386</v>
      </c>
      <c r="E120" s="91">
        <f>IF(TrRoad_act!E62=0,0,TrRoad_ene!E65/TrRoad_tech!E93)</f>
        <v>1.2089052122735904</v>
      </c>
      <c r="F120" s="91">
        <f>IF(TrRoad_act!F62=0,0,TrRoad_ene!F65/TrRoad_tech!F93)</f>
        <v>1.1684733136053653</v>
      </c>
      <c r="G120" s="91">
        <f>IF(TrRoad_act!G62=0,0,TrRoad_ene!G65/TrRoad_tech!G93)</f>
        <v>1.1719411439643383</v>
      </c>
      <c r="H120" s="91">
        <f>IF(TrRoad_act!H62=0,0,TrRoad_ene!H65/TrRoad_tech!H93)</f>
        <v>1.1686378934512318</v>
      </c>
      <c r="I120" s="91">
        <f>IF(TrRoad_act!I62=0,0,TrRoad_ene!I65/TrRoad_tech!I93)</f>
        <v>1.1612979158967547</v>
      </c>
      <c r="J120" s="91">
        <f>IF(TrRoad_act!J62=0,0,TrRoad_ene!J65/TrRoad_tech!J93)</f>
        <v>1.139801586352007</v>
      </c>
      <c r="K120" s="91">
        <f>IF(TrRoad_act!K62=0,0,TrRoad_ene!K65/TrRoad_tech!K93)</f>
        <v>1.120044873344942</v>
      </c>
      <c r="L120" s="91">
        <f>IF(TrRoad_act!L62=0,0,TrRoad_ene!L65/TrRoad_tech!L93)</f>
        <v>1.1271122868657728</v>
      </c>
      <c r="M120" s="91">
        <f>IF(TrRoad_act!M62=0,0,TrRoad_ene!M65/TrRoad_tech!M93)</f>
        <v>1.1175848059966169</v>
      </c>
      <c r="N120" s="91">
        <f>IF(TrRoad_act!N62=0,0,TrRoad_ene!N65/TrRoad_tech!N93)</f>
        <v>1.094239421580637</v>
      </c>
      <c r="O120" s="91">
        <f>IF(TrRoad_act!O62=0,0,TrRoad_ene!O65/TrRoad_tech!O93)</f>
        <v>1.0970989015487276</v>
      </c>
      <c r="P120" s="91">
        <f>IF(TrRoad_act!P62=0,0,TrRoad_ene!P65/TrRoad_tech!P93)</f>
        <v>1.1021119049539569</v>
      </c>
      <c r="Q120" s="91">
        <f>IF(TrRoad_act!Q62=0,0,TrRoad_ene!Q65/TrRoad_tech!Q93)</f>
        <v>1.101137042983082</v>
      </c>
      <c r="R120" s="91">
        <f>IF(TrRoad_act!R62=0,0,TrRoad_ene!R65/TrRoad_tech!R93)</f>
        <v>1.1645849425858106</v>
      </c>
      <c r="S120" s="91">
        <f>IF(TrRoad_act!S62=0,0,TrRoad_ene!S65/TrRoad_tech!S93)</f>
        <v>1.1254040975124873</v>
      </c>
      <c r="T120" s="91">
        <f>IF(TrRoad_act!T62=0,0,TrRoad_ene!T65/TrRoad_tech!T93)</f>
        <v>1.1350705692398477</v>
      </c>
      <c r="U120" s="91">
        <f>IF(TrRoad_act!U62=0,0,TrRoad_ene!U65/TrRoad_tech!U93)</f>
        <v>1.0892740078408996</v>
      </c>
      <c r="V120" s="91">
        <f>IF(TrRoad_act!V62=0,0,TrRoad_ene!V65/TrRoad_tech!V93)</f>
        <v>1.0685839175052658</v>
      </c>
      <c r="W120" s="91">
        <f>IF(TrRoad_act!W62=0,0,TrRoad_ene!W65/TrRoad_tech!W93)</f>
        <v>1.0383705926947995</v>
      </c>
      <c r="X120" s="91">
        <f>IF(TrRoad_act!X62=0,0,TrRoad_ene!X65/TrRoad_tech!X93)</f>
        <v>1.0552774271415135</v>
      </c>
      <c r="Y120" s="91">
        <f>IF(TrRoad_act!Y62=0,0,TrRoad_ene!Y65/TrRoad_tech!Y93)</f>
        <v>1.0462668653784517</v>
      </c>
      <c r="DA120" s="171"/>
    </row>
    <row r="121" spans="1:105" ht="11.45" customHeight="1" x14ac:dyDescent="0.25">
      <c r="A121" s="111" t="s">
        <v>112</v>
      </c>
      <c r="B121" s="91">
        <f>IF(TrRoad_act!B63=0,0,TrRoad_ene!B66/TrRoad_tech!B94)</f>
        <v>3.3155790756378183</v>
      </c>
      <c r="C121" s="91">
        <f>IF(TrRoad_act!C63=0,0,TrRoad_ene!C66/TrRoad_tech!C94)</f>
        <v>3.2369517527767582</v>
      </c>
      <c r="D121" s="91">
        <f>IF(TrRoad_act!D63=0,0,TrRoad_ene!D66/TrRoad_tech!D94)</f>
        <v>3.1996924044697281</v>
      </c>
      <c r="E121" s="91">
        <f>IF(TrRoad_act!E63=0,0,TrRoad_ene!E66/TrRoad_tech!E94)</f>
        <v>3.389928849330742</v>
      </c>
      <c r="F121" s="91">
        <f>IF(TrRoad_act!F63=0,0,TrRoad_ene!F66/TrRoad_tech!F94)</f>
        <v>3.658680643404526</v>
      </c>
      <c r="G121" s="91">
        <f>IF(TrRoad_act!G63=0,0,TrRoad_ene!G66/TrRoad_tech!G94)</f>
        <v>3.3535367590701801</v>
      </c>
      <c r="H121" s="91">
        <f>IF(TrRoad_act!H63=0,0,TrRoad_ene!H66/TrRoad_tech!H94)</f>
        <v>3.4628284817777626</v>
      </c>
      <c r="I121" s="91">
        <f>IF(TrRoad_act!I63=0,0,TrRoad_ene!I66/TrRoad_tech!I94)</f>
        <v>4.2978445967450742</v>
      </c>
      <c r="J121" s="91">
        <f>IF(TrRoad_act!J63=0,0,TrRoad_ene!J66/TrRoad_tech!J94)</f>
        <v>2.0787465759926085</v>
      </c>
      <c r="K121" s="91">
        <f>IF(TrRoad_act!K63=0,0,TrRoad_ene!K66/TrRoad_tech!K94)</f>
        <v>1.9318308264719266</v>
      </c>
      <c r="L121" s="91">
        <f>IF(TrRoad_act!L63=0,0,TrRoad_ene!L66/TrRoad_tech!L94)</f>
        <v>2.0100997581862536</v>
      </c>
      <c r="M121" s="91">
        <f>IF(TrRoad_act!M63=0,0,TrRoad_ene!M66/TrRoad_tech!M94)</f>
        <v>2.0508681692050619</v>
      </c>
      <c r="N121" s="91">
        <f>IF(TrRoad_act!N63=0,0,TrRoad_ene!N66/TrRoad_tech!N94)</f>
        <v>1.7965816127385006</v>
      </c>
      <c r="O121" s="91">
        <f>IF(TrRoad_act!O63=0,0,TrRoad_ene!O66/TrRoad_tech!O94)</f>
        <v>2.0492616633183696</v>
      </c>
      <c r="P121" s="91">
        <f>IF(TrRoad_act!P63=0,0,TrRoad_ene!P66/TrRoad_tech!P94)</f>
        <v>2.0626283655538749</v>
      </c>
      <c r="Q121" s="91">
        <f>IF(TrRoad_act!Q63=0,0,TrRoad_ene!Q66/TrRoad_tech!Q94)</f>
        <v>2.2566403976239022</v>
      </c>
      <c r="R121" s="91">
        <f>IF(TrRoad_act!R63=0,0,TrRoad_ene!R66/TrRoad_tech!R94)</f>
        <v>2.3666090799236743</v>
      </c>
      <c r="S121" s="91">
        <f>IF(TrRoad_act!S63=0,0,TrRoad_ene!S66/TrRoad_tech!S94)</f>
        <v>2.1881099149880781</v>
      </c>
      <c r="T121" s="91">
        <f>IF(TrRoad_act!T63=0,0,TrRoad_ene!T66/TrRoad_tech!T94)</f>
        <v>1.745517451210814</v>
      </c>
      <c r="U121" s="91">
        <f>IF(TrRoad_act!U63=0,0,TrRoad_ene!U66/TrRoad_tech!U94)</f>
        <v>1.6151963242418506</v>
      </c>
      <c r="V121" s="91">
        <f>IF(TrRoad_act!V63=0,0,TrRoad_ene!V66/TrRoad_tech!V94)</f>
        <v>1.7372416908893489</v>
      </c>
      <c r="W121" s="91">
        <f>IF(TrRoad_act!W63=0,0,TrRoad_ene!W66/TrRoad_tech!W94)</f>
        <v>1.5746185443590384</v>
      </c>
      <c r="X121" s="91">
        <f>IF(TrRoad_act!X63=0,0,TrRoad_ene!X66/TrRoad_tech!X94)</f>
        <v>1.5918951455946362</v>
      </c>
      <c r="Y121" s="91">
        <f>IF(TrRoad_act!Y63=0,0,TrRoad_ene!Y66/TrRoad_tech!Y94)</f>
        <v>1.0909725647976476</v>
      </c>
      <c r="DA121" s="171"/>
    </row>
    <row r="122" spans="1:105" ht="11.45" customHeight="1" x14ac:dyDescent="0.25">
      <c r="A122" s="111" t="s">
        <v>113</v>
      </c>
      <c r="B122" s="91">
        <f>IF(TrRoad_act!B64=0,0,TrRoad_ene!B67/TrRoad_tech!B95)</f>
        <v>0</v>
      </c>
      <c r="C122" s="91">
        <f>IF(TrRoad_act!C64=0,0,TrRoad_ene!C67/TrRoad_tech!C95)</f>
        <v>0</v>
      </c>
      <c r="D122" s="91">
        <f>IF(TrRoad_act!D64=0,0,TrRoad_ene!D67/TrRoad_tech!D95)</f>
        <v>0</v>
      </c>
      <c r="E122" s="91">
        <f>IF(TrRoad_act!E64=0,0,TrRoad_ene!E67/TrRoad_tech!E95)</f>
        <v>0</v>
      </c>
      <c r="F122" s="91">
        <f>IF(TrRoad_act!F64=0,0,TrRoad_ene!F67/TrRoad_tech!F95)</f>
        <v>1.03444444444846</v>
      </c>
      <c r="G122" s="91">
        <f>IF(TrRoad_act!G64=0,0,TrRoad_ene!G67/TrRoad_tech!G95)</f>
        <v>1.035876334892663</v>
      </c>
      <c r="H122" s="91">
        <f>IF(TrRoad_act!H64=0,0,TrRoad_ene!H67/TrRoad_tech!H95)</f>
        <v>1.037556197021245</v>
      </c>
      <c r="I122" s="91">
        <f>IF(TrRoad_act!I64=0,0,TrRoad_ene!I67/TrRoad_tech!I95)</f>
        <v>1.037595140452608</v>
      </c>
      <c r="J122" s="91">
        <f>IF(TrRoad_act!J64=0,0,TrRoad_ene!J67/TrRoad_tech!J95)</f>
        <v>1.0379095234317748</v>
      </c>
      <c r="K122" s="91">
        <f>IF(TrRoad_act!K64=0,0,TrRoad_ene!K67/TrRoad_tech!K95)</f>
        <v>1.0383065932799451</v>
      </c>
      <c r="L122" s="91">
        <f>IF(TrRoad_act!L64=0,0,TrRoad_ene!L67/TrRoad_tech!L95)</f>
        <v>1.0390652705378003</v>
      </c>
      <c r="M122" s="91">
        <f>IF(TrRoad_act!M64=0,0,TrRoad_ene!M67/TrRoad_tech!M95)</f>
        <v>1.0393052026763669</v>
      </c>
      <c r="N122" s="91">
        <f>IF(TrRoad_act!N64=0,0,TrRoad_ene!N67/TrRoad_tech!N95)</f>
        <v>1.0501530792628309</v>
      </c>
      <c r="O122" s="91">
        <f>IF(TrRoad_act!O64=0,0,TrRoad_ene!O67/TrRoad_tech!O95)</f>
        <v>1.0530139268886065</v>
      </c>
      <c r="P122" s="91">
        <f>IF(TrRoad_act!P64=0,0,TrRoad_ene!P67/TrRoad_tech!P95)</f>
        <v>1.0539803626328674</v>
      </c>
      <c r="Q122" s="91">
        <f>IF(TrRoad_act!Q64=0,0,TrRoad_ene!Q67/TrRoad_tech!Q95)</f>
        <v>1.0543203795466554</v>
      </c>
      <c r="R122" s="91">
        <f>IF(TrRoad_act!R64=0,0,TrRoad_ene!R67/TrRoad_tech!R95)</f>
        <v>1.0552283792920745</v>
      </c>
      <c r="S122" s="91">
        <f>IF(TrRoad_act!S64=0,0,TrRoad_ene!S67/TrRoad_tech!S95)</f>
        <v>1.0583076908612221</v>
      </c>
      <c r="T122" s="91">
        <f>IF(TrRoad_act!T64=0,0,TrRoad_ene!T67/TrRoad_tech!T95)</f>
        <v>1.0698427752635011</v>
      </c>
      <c r="U122" s="91">
        <f>IF(TrRoad_act!U64=0,0,TrRoad_ene!U67/TrRoad_tech!U95)</f>
        <v>1.0889390489109063</v>
      </c>
      <c r="V122" s="91">
        <f>IF(TrRoad_act!V64=0,0,TrRoad_ene!V67/TrRoad_tech!V95)</f>
        <v>1.0948623650748892</v>
      </c>
      <c r="W122" s="91">
        <f>IF(TrRoad_act!W64=0,0,TrRoad_ene!W67/TrRoad_tech!W95)</f>
        <v>1.0960168306030909</v>
      </c>
      <c r="X122" s="91">
        <f>IF(TrRoad_act!X64=0,0,TrRoad_ene!X67/TrRoad_tech!X95)</f>
        <v>1.0962016100132215</v>
      </c>
      <c r="Y122" s="91">
        <f>IF(TrRoad_act!Y64=0,0,TrRoad_ene!Y67/TrRoad_tech!Y95)</f>
        <v>1.096247869614964</v>
      </c>
      <c r="DA122" s="171"/>
    </row>
    <row r="123" spans="1:105" ht="11.45" customHeight="1" x14ac:dyDescent="0.25">
      <c r="A123" s="111" t="s">
        <v>114</v>
      </c>
      <c r="B123" s="91">
        <f>IF(TrRoad_act!B65=0,0,TrRoad_ene!B68/TrRoad_tech!B96)</f>
        <v>0</v>
      </c>
      <c r="C123" s="91">
        <f>IF(TrRoad_act!C65=0,0,TrRoad_ene!C68/TrRoad_tech!C96)</f>
        <v>0</v>
      </c>
      <c r="D123" s="91">
        <f>IF(TrRoad_act!D65=0,0,TrRoad_ene!D68/TrRoad_tech!D96)</f>
        <v>0</v>
      </c>
      <c r="E123" s="91">
        <f>IF(TrRoad_act!E65=0,0,TrRoad_ene!E68/TrRoad_tech!E96)</f>
        <v>0</v>
      </c>
      <c r="F123" s="91">
        <f>IF(TrRoad_act!F65=0,0,TrRoad_ene!F68/TrRoad_tech!F96)</f>
        <v>0</v>
      </c>
      <c r="G123" s="91">
        <f>IF(TrRoad_act!G65=0,0,TrRoad_ene!G68/TrRoad_tech!G96)</f>
        <v>0</v>
      </c>
      <c r="H123" s="91">
        <f>IF(TrRoad_act!H65=0,0,TrRoad_ene!H68/TrRoad_tech!H96)</f>
        <v>0</v>
      </c>
      <c r="I123" s="91">
        <f>IF(TrRoad_act!I65=0,0,TrRoad_ene!I68/TrRoad_tech!I96)</f>
        <v>0</v>
      </c>
      <c r="J123" s="91">
        <f>IF(TrRoad_act!J65=0,0,TrRoad_ene!J68/TrRoad_tech!J96)</f>
        <v>0</v>
      </c>
      <c r="K123" s="91">
        <f>IF(TrRoad_act!K65=0,0,TrRoad_ene!K68/TrRoad_tech!K96)</f>
        <v>0</v>
      </c>
      <c r="L123" s="91">
        <f>IF(TrRoad_act!L65=0,0,TrRoad_ene!L68/TrRoad_tech!L96)</f>
        <v>0</v>
      </c>
      <c r="M123" s="91">
        <f>IF(TrRoad_act!M65=0,0,TrRoad_ene!M68/TrRoad_tech!M96)</f>
        <v>1.0662604553440775</v>
      </c>
      <c r="N123" s="91">
        <f>IF(TrRoad_act!N65=0,0,TrRoad_ene!N68/TrRoad_tech!N96)</f>
        <v>1.0430198674273197</v>
      </c>
      <c r="O123" s="91">
        <f>IF(TrRoad_act!O65=0,0,TrRoad_ene!O68/TrRoad_tech!O96)</f>
        <v>1.0611091406656135</v>
      </c>
      <c r="P123" s="91">
        <f>IF(TrRoad_act!P65=0,0,TrRoad_ene!P68/TrRoad_tech!P96)</f>
        <v>1.0767753397929503</v>
      </c>
      <c r="Q123" s="91">
        <f>IF(TrRoad_act!Q65=0,0,TrRoad_ene!Q68/TrRoad_tech!Q96)</f>
        <v>1.0816750061054683</v>
      </c>
      <c r="R123" s="91">
        <f>IF(TrRoad_act!R65=0,0,TrRoad_ene!R68/TrRoad_tech!R96)</f>
        <v>1.148832628283736</v>
      </c>
      <c r="S123" s="91">
        <f>IF(TrRoad_act!S65=0,0,TrRoad_ene!S68/TrRoad_tech!S96)</f>
        <v>1.186029615608158</v>
      </c>
      <c r="T123" s="91">
        <f>IF(TrRoad_act!T65=0,0,TrRoad_ene!T68/TrRoad_tech!T96)</f>
        <v>1.2229920931203548</v>
      </c>
      <c r="U123" s="91">
        <f>IF(TrRoad_act!U65=0,0,TrRoad_ene!U68/TrRoad_tech!U96)</f>
        <v>1.2057191117083343</v>
      </c>
      <c r="V123" s="91">
        <f>IF(TrRoad_act!V65=0,0,TrRoad_ene!V68/TrRoad_tech!V96)</f>
        <v>1.2935650394083176</v>
      </c>
      <c r="W123" s="91">
        <f>IF(TrRoad_act!W65=0,0,TrRoad_ene!W68/TrRoad_tech!W96)</f>
        <v>1.2687593894739317</v>
      </c>
      <c r="X123" s="91">
        <f>IF(TrRoad_act!X65=0,0,TrRoad_ene!X68/TrRoad_tech!X96)</f>
        <v>1.241469192731065</v>
      </c>
      <c r="Y123" s="91">
        <f>IF(TrRoad_act!Y65=0,0,TrRoad_ene!Y68/TrRoad_tech!Y96)</f>
        <v>1.2290034119917741</v>
      </c>
      <c r="DA123" s="171"/>
    </row>
    <row r="124" spans="1:105" ht="11.45" customHeight="1" x14ac:dyDescent="0.25">
      <c r="A124" s="111" t="s">
        <v>115</v>
      </c>
      <c r="B124" s="91">
        <f>IF(TrRoad_act!B66=0,0,TrRoad_ene!B69/TrRoad_tech!B97)</f>
        <v>0</v>
      </c>
      <c r="C124" s="91">
        <f>IF(TrRoad_act!C66=0,0,TrRoad_ene!C69/TrRoad_tech!C97)</f>
        <v>0</v>
      </c>
      <c r="D124" s="91">
        <f>IF(TrRoad_act!D66=0,0,TrRoad_ene!D69/TrRoad_tech!D97)</f>
        <v>0</v>
      </c>
      <c r="E124" s="91">
        <f>IF(TrRoad_act!E66=0,0,TrRoad_ene!E69/TrRoad_tech!E97)</f>
        <v>0</v>
      </c>
      <c r="F124" s="91">
        <f>IF(TrRoad_act!F66=0,0,TrRoad_ene!F69/TrRoad_tech!F97)</f>
        <v>0</v>
      </c>
      <c r="G124" s="91">
        <f>IF(TrRoad_act!G66=0,0,TrRoad_ene!G69/TrRoad_tech!G97)</f>
        <v>0</v>
      </c>
      <c r="H124" s="91">
        <f>IF(TrRoad_act!H66=0,0,TrRoad_ene!H69/TrRoad_tech!H97)</f>
        <v>0</v>
      </c>
      <c r="I124" s="91">
        <f>IF(TrRoad_act!I66=0,0,TrRoad_ene!I69/TrRoad_tech!I97)</f>
        <v>0</v>
      </c>
      <c r="J124" s="91">
        <f>IF(TrRoad_act!J66=0,0,TrRoad_ene!J69/TrRoad_tech!J97)</f>
        <v>0</v>
      </c>
      <c r="K124" s="91">
        <f>IF(TrRoad_act!K66=0,0,TrRoad_ene!K69/TrRoad_tech!K97)</f>
        <v>1.0511111111157001</v>
      </c>
      <c r="L124" s="91">
        <f>IF(TrRoad_act!L66=0,0,TrRoad_ene!L69/TrRoad_tech!L97)</f>
        <v>1.0555555555604399</v>
      </c>
      <c r="M124" s="91">
        <f>IF(TrRoad_act!M66=0,0,TrRoad_ene!M69/TrRoad_tech!M97)</f>
        <v>1.06037037037527</v>
      </c>
      <c r="N124" s="91">
        <f>IF(TrRoad_act!N66=0,0,TrRoad_ene!N69/TrRoad_tech!N97)</f>
        <v>1.062728862665786</v>
      </c>
      <c r="O124" s="91">
        <f>IF(TrRoad_act!O66=0,0,TrRoad_ene!O69/TrRoad_tech!O97)</f>
        <v>1.0670572092391006</v>
      </c>
      <c r="P124" s="91">
        <f>IF(TrRoad_act!P66=0,0,TrRoad_ene!P69/TrRoad_tech!P97)</f>
        <v>1.0715326865027637</v>
      </c>
      <c r="Q124" s="91">
        <f>IF(TrRoad_act!Q66=0,0,TrRoad_ene!Q69/TrRoad_tech!Q97)</f>
        <v>1.0798218681692697</v>
      </c>
      <c r="R124" s="91">
        <f>IF(TrRoad_act!R66=0,0,TrRoad_ene!R69/TrRoad_tech!R97)</f>
        <v>1.0830296247085502</v>
      </c>
      <c r="S124" s="91">
        <f>IF(TrRoad_act!S66=0,0,TrRoad_ene!S69/TrRoad_tech!S97)</f>
        <v>1.0871125999638369</v>
      </c>
      <c r="T124" s="91">
        <f>IF(TrRoad_act!T66=0,0,TrRoad_ene!T69/TrRoad_tech!T97)</f>
        <v>1.090233356485607</v>
      </c>
      <c r="U124" s="91">
        <f>IF(TrRoad_act!U66=0,0,TrRoad_ene!U69/TrRoad_tech!U97)</f>
        <v>1.0929830493761095</v>
      </c>
      <c r="V124" s="91">
        <f>IF(TrRoad_act!V66=0,0,TrRoad_ene!V69/TrRoad_tech!V97)</f>
        <v>1.0952246049200942</v>
      </c>
      <c r="W124" s="91">
        <f>IF(TrRoad_act!W66=0,0,TrRoad_ene!W69/TrRoad_tech!W97)</f>
        <v>1.0967672885189015</v>
      </c>
      <c r="X124" s="91">
        <f>IF(TrRoad_act!X66=0,0,TrRoad_ene!X69/TrRoad_tech!X97)</f>
        <v>1.0977708626325546</v>
      </c>
      <c r="Y124" s="91">
        <f>IF(TrRoad_act!Y66=0,0,TrRoad_ene!Y69/TrRoad_tech!Y97)</f>
        <v>1.0990332107320624</v>
      </c>
      <c r="DA124" s="171"/>
    </row>
    <row r="125" spans="1:105" ht="11.45" customHeight="1" x14ac:dyDescent="0.25">
      <c r="A125" s="109" t="s">
        <v>21</v>
      </c>
      <c r="B125" s="151">
        <f>IF(TrRoad_act!B67=0,0,TrRoad_ene!B70/TrRoad_tech!B98)</f>
        <v>1.1089138212502267</v>
      </c>
      <c r="C125" s="151">
        <f>IF(TrRoad_act!C67=0,0,TrRoad_ene!C70/TrRoad_tech!C98)</f>
        <v>1.1034375648937085</v>
      </c>
      <c r="D125" s="151">
        <f>IF(TrRoad_act!D67=0,0,TrRoad_ene!D70/TrRoad_tech!D98)</f>
        <v>1.108063280240684</v>
      </c>
      <c r="E125" s="151">
        <f>IF(TrRoad_act!E67=0,0,TrRoad_ene!E70/TrRoad_tech!E98)</f>
        <v>1.1059679786204777</v>
      </c>
      <c r="F125" s="151">
        <f>IF(TrRoad_act!F67=0,0,TrRoad_ene!F70/TrRoad_tech!F98)</f>
        <v>1.1077430255801477</v>
      </c>
      <c r="G125" s="151">
        <f>IF(TrRoad_act!G67=0,0,TrRoad_ene!G70/TrRoad_tech!G98)</f>
        <v>1.1120700389596025</v>
      </c>
      <c r="H125" s="151">
        <f>IF(TrRoad_act!H67=0,0,TrRoad_ene!H70/TrRoad_tech!H98)</f>
        <v>1.1189447567994937</v>
      </c>
      <c r="I125" s="151">
        <f>IF(TrRoad_act!I67=0,0,TrRoad_ene!I70/TrRoad_tech!I98)</f>
        <v>1.1337515254834187</v>
      </c>
      <c r="J125" s="151">
        <f>IF(TrRoad_act!J67=0,0,TrRoad_ene!J70/TrRoad_tech!J98)</f>
        <v>1.142989425110754</v>
      </c>
      <c r="K125" s="151">
        <f>IF(TrRoad_act!K67=0,0,TrRoad_ene!K70/TrRoad_tech!K98)</f>
        <v>1.1582982518577987</v>
      </c>
      <c r="L125" s="151">
        <f>IF(TrRoad_act!L67=0,0,TrRoad_ene!L70/TrRoad_tech!L98)</f>
        <v>1.1803767136035375</v>
      </c>
      <c r="M125" s="151">
        <f>IF(TrRoad_act!M67=0,0,TrRoad_ene!M70/TrRoad_tech!M98)</f>
        <v>1.1949118357055581</v>
      </c>
      <c r="N125" s="151">
        <f>IF(TrRoad_act!N67=0,0,TrRoad_ene!N70/TrRoad_tech!N98)</f>
        <v>1.2087015807344461</v>
      </c>
      <c r="O125" s="151">
        <f>IF(TrRoad_act!O67=0,0,TrRoad_ene!O70/TrRoad_tech!O98)</f>
        <v>1.2264129812680518</v>
      </c>
      <c r="P125" s="151">
        <f>IF(TrRoad_act!P67=0,0,TrRoad_ene!P70/TrRoad_tech!P98)</f>
        <v>1.24644172723069</v>
      </c>
      <c r="Q125" s="151">
        <f>IF(TrRoad_act!Q67=0,0,TrRoad_ene!Q70/TrRoad_tech!Q98)</f>
        <v>1.2257611707758784</v>
      </c>
      <c r="R125" s="151">
        <f>IF(TrRoad_act!R67=0,0,TrRoad_ene!R70/TrRoad_tech!R98)</f>
        <v>1.2536083567358707</v>
      </c>
      <c r="S125" s="151">
        <f>IF(TrRoad_act!S67=0,0,TrRoad_ene!S70/TrRoad_tech!S98)</f>
        <v>1.3130043794286561</v>
      </c>
      <c r="T125" s="151">
        <f>IF(TrRoad_act!T67=0,0,TrRoad_ene!T70/TrRoad_tech!T98)</f>
        <v>1.2867540962507578</v>
      </c>
      <c r="U125" s="151">
        <f>IF(TrRoad_act!U67=0,0,TrRoad_ene!U70/TrRoad_tech!U98)</f>
        <v>1.3076379230931361</v>
      </c>
      <c r="V125" s="151">
        <f>IF(TrRoad_act!V67=0,0,TrRoad_ene!V70/TrRoad_tech!V98)</f>
        <v>1.4514463031830369</v>
      </c>
      <c r="W125" s="151">
        <f>IF(TrRoad_act!W67=0,0,TrRoad_ene!W70/TrRoad_tech!W98)</f>
        <v>1.4500390960482492</v>
      </c>
      <c r="X125" s="151">
        <f>IF(TrRoad_act!X67=0,0,TrRoad_ene!X70/TrRoad_tech!X98)</f>
        <v>1.4477152677569014</v>
      </c>
      <c r="Y125" s="151">
        <f>IF(TrRoad_act!Y67=0,0,TrRoad_ene!Y70/TrRoad_tech!Y98)</f>
        <v>1.4605922076177156</v>
      </c>
      <c r="DA125" s="176"/>
    </row>
    <row r="126" spans="1:105" ht="11.45" customHeight="1" x14ac:dyDescent="0.25">
      <c r="A126" s="111" t="s">
        <v>110</v>
      </c>
      <c r="B126" s="93">
        <f>IF(TrRoad_act!B68=0,0,TrRoad_ene!B71/TrRoad_tech!B99)</f>
        <v>1.1000000000067303</v>
      </c>
      <c r="C126" s="93">
        <f>IF(TrRoad_act!C68=0,0,TrRoad_ene!C71/TrRoad_tech!C99)</f>
        <v>1.1004860296708028</v>
      </c>
      <c r="D126" s="93">
        <f>IF(TrRoad_act!D68=0,0,TrRoad_ene!D71/TrRoad_tech!D99)</f>
        <v>1.1018062499887677</v>
      </c>
      <c r="E126" s="93">
        <f>IF(TrRoad_act!E68=0,0,TrRoad_ene!E71/TrRoad_tech!E99)</f>
        <v>1.1029765243345708</v>
      </c>
      <c r="F126" s="93">
        <f>IF(TrRoad_act!F68=0,0,TrRoad_ene!F71/TrRoad_tech!F99)</f>
        <v>1.1049274052152047</v>
      </c>
      <c r="G126" s="93">
        <f>IF(TrRoad_act!G68=0,0,TrRoad_ene!G71/TrRoad_tech!G99)</f>
        <v>1.1053180142590842</v>
      </c>
      <c r="H126" s="93">
        <f>IF(TrRoad_act!H68=0,0,TrRoad_ene!H71/TrRoad_tech!H99)</f>
        <v>1.1089214245572634</v>
      </c>
      <c r="I126" s="93">
        <f>IF(TrRoad_act!I68=0,0,TrRoad_ene!I71/TrRoad_tech!I99)</f>
        <v>1.119164501969848</v>
      </c>
      <c r="J126" s="93">
        <f>IF(TrRoad_act!J68=0,0,TrRoad_ene!J71/TrRoad_tech!J99)</f>
        <v>1.1211928957009498</v>
      </c>
      <c r="K126" s="93">
        <f>IF(TrRoad_act!K68=0,0,TrRoad_ene!K71/TrRoad_tech!K99)</f>
        <v>1.1235953697655561</v>
      </c>
      <c r="L126" s="93">
        <f>IF(TrRoad_act!L68=0,0,TrRoad_ene!L71/TrRoad_tech!L99)</f>
        <v>1.1279693264046389</v>
      </c>
      <c r="M126" s="93">
        <f>IF(TrRoad_act!M68=0,0,TrRoad_ene!M71/TrRoad_tech!M99)</f>
        <v>1.1344200725954079</v>
      </c>
      <c r="N126" s="93">
        <f>IF(TrRoad_act!N68=0,0,TrRoad_ene!N71/TrRoad_tech!N99)</f>
        <v>1.139193951066912</v>
      </c>
      <c r="O126" s="93">
        <f>IF(TrRoad_act!O68=0,0,TrRoad_ene!O71/TrRoad_tech!O99)</f>
        <v>1.146677220231783</v>
      </c>
      <c r="P126" s="93">
        <f>IF(TrRoad_act!P68=0,0,TrRoad_ene!P71/TrRoad_tech!P99)</f>
        <v>1.1558084109215547</v>
      </c>
      <c r="Q126" s="93">
        <f>IF(TrRoad_act!Q68=0,0,TrRoad_ene!Q71/TrRoad_tech!Q99)</f>
        <v>1.1622540717022132</v>
      </c>
      <c r="R126" s="93">
        <f>IF(TrRoad_act!R68=0,0,TrRoad_ene!R71/TrRoad_tech!R99)</f>
        <v>1.1729149423298362</v>
      </c>
      <c r="S126" s="93">
        <f>IF(TrRoad_act!S68=0,0,TrRoad_ene!S71/TrRoad_tech!S99)</f>
        <v>1.1780869092849378</v>
      </c>
      <c r="T126" s="93">
        <f>IF(TrRoad_act!T68=0,0,TrRoad_ene!T71/TrRoad_tech!T99)</f>
        <v>1.18138624616356</v>
      </c>
      <c r="U126" s="93">
        <f>IF(TrRoad_act!U68=0,0,TrRoad_ene!U71/TrRoad_tech!U99)</f>
        <v>1.1838866236136283</v>
      </c>
      <c r="V126" s="93">
        <f>IF(TrRoad_act!V68=0,0,TrRoad_ene!V71/TrRoad_tech!V99)</f>
        <v>1.1874006181031427</v>
      </c>
      <c r="W126" s="93">
        <f>IF(TrRoad_act!W68=0,0,TrRoad_ene!W71/TrRoad_tech!W99)</f>
        <v>1.2039131760449617</v>
      </c>
      <c r="X126" s="93">
        <f>IF(TrRoad_act!X68=0,0,TrRoad_ene!X71/TrRoad_tech!X99)</f>
        <v>1.2229808878914816</v>
      </c>
      <c r="Y126" s="93">
        <f>IF(TrRoad_act!Y68=0,0,TrRoad_ene!Y71/TrRoad_tech!Y99)</f>
        <v>1.2405808765479398</v>
      </c>
      <c r="DA126" s="175"/>
    </row>
    <row r="127" spans="1:105" ht="11.45" customHeight="1" x14ac:dyDescent="0.25">
      <c r="A127" s="111" t="s">
        <v>111</v>
      </c>
      <c r="B127" s="93">
        <f>IF(TrRoad_act!B69=0,0,TrRoad_ene!B72/TrRoad_tech!B100)</f>
        <v>1.1000000000067303</v>
      </c>
      <c r="C127" s="93">
        <f>IF(TrRoad_act!C69=0,0,TrRoad_ene!C72/TrRoad_tech!C100)</f>
        <v>1.1004698497275573</v>
      </c>
      <c r="D127" s="93">
        <f>IF(TrRoad_act!D69=0,0,TrRoad_ene!D72/TrRoad_tech!D100)</f>
        <v>1.1014403420638639</v>
      </c>
      <c r="E127" s="93">
        <f>IF(TrRoad_act!E69=0,0,TrRoad_ene!E72/TrRoad_tech!E100)</f>
        <v>1.1026152028774245</v>
      </c>
      <c r="F127" s="93">
        <f>IF(TrRoad_act!F69=0,0,TrRoad_ene!F72/TrRoad_tech!F100)</f>
        <v>1.1052119748513372</v>
      </c>
      <c r="G127" s="93">
        <f>IF(TrRoad_act!G69=0,0,TrRoad_ene!G72/TrRoad_tech!G100)</f>
        <v>1.1087155598238907</v>
      </c>
      <c r="H127" s="93">
        <f>IF(TrRoad_act!H69=0,0,TrRoad_ene!H72/TrRoad_tech!H100)</f>
        <v>1.1137991247861601</v>
      </c>
      <c r="I127" s="93">
        <f>IF(TrRoad_act!I69=0,0,TrRoad_ene!I72/TrRoad_tech!I100)</f>
        <v>1.1187292257690624</v>
      </c>
      <c r="J127" s="93">
        <f>IF(TrRoad_act!J69=0,0,TrRoad_ene!J72/TrRoad_tech!J100)</f>
        <v>1.1251603917795707</v>
      </c>
      <c r="K127" s="93">
        <f>IF(TrRoad_act!K69=0,0,TrRoad_ene!K72/TrRoad_tech!K100)</f>
        <v>1.1319072151257117</v>
      </c>
      <c r="L127" s="93">
        <f>IF(TrRoad_act!L69=0,0,TrRoad_ene!L72/TrRoad_tech!L100)</f>
        <v>1.1388641407174835</v>
      </c>
      <c r="M127" s="93">
        <f>IF(TrRoad_act!M69=0,0,TrRoad_ene!M72/TrRoad_tech!M100)</f>
        <v>1.1469519176378158</v>
      </c>
      <c r="N127" s="93">
        <f>IF(TrRoad_act!N69=0,0,TrRoad_ene!N72/TrRoad_tech!N100)</f>
        <v>1.1561732926247374</v>
      </c>
      <c r="O127" s="93">
        <f>IF(TrRoad_act!O69=0,0,TrRoad_ene!O72/TrRoad_tech!O100)</f>
        <v>1.1625004686893823</v>
      </c>
      <c r="P127" s="93">
        <f>IF(TrRoad_act!P69=0,0,TrRoad_ene!P72/TrRoad_tech!P100)</f>
        <v>1.1734697982235434</v>
      </c>
      <c r="Q127" s="93">
        <f>IF(TrRoad_act!Q69=0,0,TrRoad_ene!Q72/TrRoad_tech!Q100)</f>
        <v>1.1829255456748331</v>
      </c>
      <c r="R127" s="93">
        <f>IF(TrRoad_act!R69=0,0,TrRoad_ene!R72/TrRoad_tech!R100)</f>
        <v>1.1971058439503368</v>
      </c>
      <c r="S127" s="93">
        <f>IF(TrRoad_act!S69=0,0,TrRoad_ene!S72/TrRoad_tech!S100)</f>
        <v>1.2348977057991675</v>
      </c>
      <c r="T127" s="93">
        <f>IF(TrRoad_act!T69=0,0,TrRoad_ene!T72/TrRoad_tech!T100)</f>
        <v>1.2445513118467726</v>
      </c>
      <c r="U127" s="93">
        <f>IF(TrRoad_act!U69=0,0,TrRoad_ene!U72/TrRoad_tech!U100)</f>
        <v>1.2565088361309074</v>
      </c>
      <c r="V127" s="93">
        <f>IF(TrRoad_act!V69=0,0,TrRoad_ene!V72/TrRoad_tech!V100)</f>
        <v>1.2682446553200748</v>
      </c>
      <c r="W127" s="93">
        <f>IF(TrRoad_act!W69=0,0,TrRoad_ene!W72/TrRoad_tech!W100)</f>
        <v>1.2733144506177816</v>
      </c>
      <c r="X127" s="93">
        <f>IF(TrRoad_act!X69=0,0,TrRoad_ene!X72/TrRoad_tech!X100)</f>
        <v>1.2781724643175607</v>
      </c>
      <c r="Y127" s="93">
        <f>IF(TrRoad_act!Y69=0,0,TrRoad_ene!Y72/TrRoad_tech!Y100)</f>
        <v>1.2872509764065339</v>
      </c>
      <c r="DA127" s="175"/>
    </row>
    <row r="128" spans="1:105" ht="11.45" customHeight="1" x14ac:dyDescent="0.25">
      <c r="A128" s="111" t="s">
        <v>112</v>
      </c>
      <c r="B128" s="93">
        <f>IF(TrRoad_act!B70=0,0,TrRoad_ene!B73/TrRoad_tech!B101)</f>
        <v>0</v>
      </c>
      <c r="C128" s="93">
        <f>IF(TrRoad_act!C70=0,0,TrRoad_ene!C73/TrRoad_tech!C101)</f>
        <v>0</v>
      </c>
      <c r="D128" s="93">
        <f>IF(TrRoad_act!D70=0,0,TrRoad_ene!D73/TrRoad_tech!D101)</f>
        <v>0</v>
      </c>
      <c r="E128" s="93">
        <f>IF(TrRoad_act!E70=0,0,TrRoad_ene!E73/TrRoad_tech!E101)</f>
        <v>0</v>
      </c>
      <c r="F128" s="93">
        <f>IF(TrRoad_act!F70=0,0,TrRoad_ene!F73/TrRoad_tech!F101)</f>
        <v>0</v>
      </c>
      <c r="G128" s="93">
        <f>IF(TrRoad_act!G70=0,0,TrRoad_ene!G73/TrRoad_tech!G101)</f>
        <v>0</v>
      </c>
      <c r="H128" s="93">
        <f>IF(TrRoad_act!H70=0,0,TrRoad_ene!H73/TrRoad_tech!H101)</f>
        <v>0</v>
      </c>
      <c r="I128" s="93">
        <f>IF(TrRoad_act!I70=0,0,TrRoad_ene!I73/TrRoad_tech!I101)</f>
        <v>0</v>
      </c>
      <c r="J128" s="93">
        <f>IF(TrRoad_act!J70=0,0,TrRoad_ene!J73/TrRoad_tech!J101)</f>
        <v>0</v>
      </c>
      <c r="K128" s="93">
        <f>IF(TrRoad_act!K70=0,0,TrRoad_ene!K73/TrRoad_tech!K101)</f>
        <v>0</v>
      </c>
      <c r="L128" s="93">
        <f>IF(TrRoad_act!L70=0,0,TrRoad_ene!L73/TrRoad_tech!L101)</f>
        <v>0</v>
      </c>
      <c r="M128" s="93">
        <f>IF(TrRoad_act!M70=0,0,TrRoad_ene!M73/TrRoad_tech!M101)</f>
        <v>0</v>
      </c>
      <c r="N128" s="93">
        <f>IF(TrRoad_act!N70=0,0,TrRoad_ene!N73/TrRoad_tech!N101)</f>
        <v>0</v>
      </c>
      <c r="O128" s="93">
        <f>IF(TrRoad_act!O70=0,0,TrRoad_ene!O73/TrRoad_tech!O101)</f>
        <v>0</v>
      </c>
      <c r="P128" s="93">
        <f>IF(TrRoad_act!P70=0,0,TrRoad_ene!P73/TrRoad_tech!P101)</f>
        <v>1.2773333333398116</v>
      </c>
      <c r="Q128" s="93">
        <f>IF(TrRoad_act!Q70=0,0,TrRoad_ene!Q73/TrRoad_tech!Q101)</f>
        <v>1.2991439392119208</v>
      </c>
      <c r="R128" s="93">
        <f>IF(TrRoad_act!R70=0,0,TrRoad_ene!R73/TrRoad_tech!R101)</f>
        <v>1.2996718570780408</v>
      </c>
      <c r="S128" s="93">
        <f>IF(TrRoad_act!S70=0,0,TrRoad_ene!S73/TrRoad_tech!S101)</f>
        <v>1.2996718570780406</v>
      </c>
      <c r="T128" s="93">
        <f>IF(TrRoad_act!T70=0,0,TrRoad_ene!T73/TrRoad_tech!T101)</f>
        <v>1.2998698466297081</v>
      </c>
      <c r="U128" s="93">
        <f>IF(TrRoad_act!U70=0,0,TrRoad_ene!U73/TrRoad_tech!U101)</f>
        <v>1.3118850107105902</v>
      </c>
      <c r="V128" s="93">
        <f>IF(TrRoad_act!V70=0,0,TrRoad_ene!V73/TrRoad_tech!V101)</f>
        <v>1.3218715461098576</v>
      </c>
      <c r="W128" s="93">
        <f>IF(TrRoad_act!W70=0,0,TrRoad_ene!W73/TrRoad_tech!W101)</f>
        <v>1.3418944065296829</v>
      </c>
      <c r="X128" s="93">
        <f>IF(TrRoad_act!X70=0,0,TrRoad_ene!X73/TrRoad_tech!X101)</f>
        <v>1.3467955979639872</v>
      </c>
      <c r="Y128" s="93">
        <f>IF(TrRoad_act!Y70=0,0,TrRoad_ene!Y73/TrRoad_tech!Y101)</f>
        <v>1.3508767053537756</v>
      </c>
      <c r="DA128" s="175"/>
    </row>
    <row r="129" spans="1:105" ht="11.45" customHeight="1" x14ac:dyDescent="0.25">
      <c r="A129" s="111" t="s">
        <v>113</v>
      </c>
      <c r="B129" s="93">
        <f>IF(TrRoad_act!B71=0,0,TrRoad_ene!B74/TrRoad_tech!B102)</f>
        <v>2.3448950274367819</v>
      </c>
      <c r="C129" s="93">
        <f>IF(TrRoad_act!C71=0,0,TrRoad_ene!C74/TrRoad_tech!C102)</f>
        <v>3.4488051864020526</v>
      </c>
      <c r="D129" s="93">
        <f>IF(TrRoad_act!D71=0,0,TrRoad_ene!D74/TrRoad_tech!D102)</f>
        <v>73.461559690794829</v>
      </c>
      <c r="E129" s="93">
        <f>IF(TrRoad_act!E71=0,0,TrRoad_ene!E74/TrRoad_tech!E102)</f>
        <v>3.7587571801487183</v>
      </c>
      <c r="F129" s="93">
        <f>IF(TrRoad_act!F71=0,0,TrRoad_ene!F74/TrRoad_tech!F102)</f>
        <v>3.2774984877397078</v>
      </c>
      <c r="G129" s="93">
        <f>IF(TrRoad_act!G71=0,0,TrRoad_ene!G74/TrRoad_tech!G102)</f>
        <v>3.1887871683032425</v>
      </c>
      <c r="H129" s="93">
        <f>IF(TrRoad_act!H71=0,0,TrRoad_ene!H74/TrRoad_tech!H102)</f>
        <v>3.2230761443161691</v>
      </c>
      <c r="I129" s="93">
        <f>IF(TrRoad_act!I71=0,0,TrRoad_ene!I74/TrRoad_tech!I102)</f>
        <v>3.8560837375717463</v>
      </c>
      <c r="J129" s="93">
        <f>IF(TrRoad_act!J71=0,0,TrRoad_ene!J74/TrRoad_tech!J102)</f>
        <v>4.3088427991760696</v>
      </c>
      <c r="K129" s="93">
        <f>IF(TrRoad_act!K71=0,0,TrRoad_ene!K74/TrRoad_tech!K102)</f>
        <v>5.1703423395177026</v>
      </c>
      <c r="L129" s="93">
        <f>IF(TrRoad_act!L71=0,0,TrRoad_ene!L74/TrRoad_tech!L102)</f>
        <v>6.7735381950245612</v>
      </c>
      <c r="M129" s="93">
        <f>IF(TrRoad_act!M71=0,0,TrRoad_ene!M74/TrRoad_tech!M102)</f>
        <v>7.3833568107972969</v>
      </c>
      <c r="N129" s="93">
        <f>IF(TrRoad_act!N71=0,0,TrRoad_ene!N74/TrRoad_tech!N102)</f>
        <v>7.6546026595676313</v>
      </c>
      <c r="O129" s="93">
        <f>IF(TrRoad_act!O71=0,0,TrRoad_ene!O74/TrRoad_tech!O102)</f>
        <v>8.6053808550676223</v>
      </c>
      <c r="P129" s="93">
        <f>IF(TrRoad_act!P71=0,0,TrRoad_ene!P74/TrRoad_tech!P102)</f>
        <v>10.448925046605254</v>
      </c>
      <c r="Q129" s="93">
        <f>IF(TrRoad_act!Q71=0,0,TrRoad_ene!Q74/TrRoad_tech!Q102)</f>
        <v>2.660375792811851</v>
      </c>
      <c r="R129" s="93">
        <f>IF(TrRoad_act!R71=0,0,TrRoad_ene!R74/TrRoad_tech!R102)</f>
        <v>2.859830422514742</v>
      </c>
      <c r="S129" s="93">
        <f>IF(TrRoad_act!S71=0,0,TrRoad_ene!S74/TrRoad_tech!S102)</f>
        <v>2.2713750794145935</v>
      </c>
      <c r="T129" s="93">
        <f>IF(TrRoad_act!T71=0,0,TrRoad_ene!T74/TrRoad_tech!T102)</f>
        <v>1.8408161196350694</v>
      </c>
      <c r="U129" s="93">
        <f>IF(TrRoad_act!U71=0,0,TrRoad_ene!U74/TrRoad_tech!U102)</f>
        <v>1.8418121686895974</v>
      </c>
      <c r="V129" s="93">
        <f>IF(TrRoad_act!V71=0,0,TrRoad_ene!V74/TrRoad_tech!V102)</f>
        <v>2.6239612632053051</v>
      </c>
      <c r="W129" s="93">
        <f>IF(TrRoad_act!W71=0,0,TrRoad_ene!W74/TrRoad_tech!W102)</f>
        <v>2.5608887146587445</v>
      </c>
      <c r="X129" s="93">
        <f>IF(TrRoad_act!X71=0,0,TrRoad_ene!X74/TrRoad_tech!X102)</f>
        <v>2.539597289484897</v>
      </c>
      <c r="Y129" s="93">
        <f>IF(TrRoad_act!Y71=0,0,TrRoad_ene!Y74/TrRoad_tech!Y102)</f>
        <v>2.5616796866645464</v>
      </c>
      <c r="DA129" s="175"/>
    </row>
    <row r="130" spans="1:105" ht="11.45" customHeight="1" x14ac:dyDescent="0.25">
      <c r="A130" s="111" t="s">
        <v>115</v>
      </c>
      <c r="B130" s="93">
        <f>IF(TrRoad_act!B72=0,0,TrRoad_ene!B75/TrRoad_tech!B103)</f>
        <v>0</v>
      </c>
      <c r="C130" s="93">
        <f>IF(TrRoad_act!C72=0,0,TrRoad_ene!C75/TrRoad_tech!C103)</f>
        <v>0</v>
      </c>
      <c r="D130" s="93">
        <f>IF(TrRoad_act!D72=0,0,TrRoad_ene!D75/TrRoad_tech!D103)</f>
        <v>0</v>
      </c>
      <c r="E130" s="93">
        <f>IF(TrRoad_act!E72=0,0,TrRoad_ene!E75/TrRoad_tech!E103)</f>
        <v>0</v>
      </c>
      <c r="F130" s="93">
        <f>IF(TrRoad_act!F72=0,0,TrRoad_ene!F75/TrRoad_tech!F103)</f>
        <v>0</v>
      </c>
      <c r="G130" s="93">
        <f>IF(TrRoad_act!G72=0,0,TrRoad_ene!G75/TrRoad_tech!G103)</f>
        <v>0</v>
      </c>
      <c r="H130" s="93">
        <f>IF(TrRoad_act!H72=0,0,TrRoad_ene!H75/TrRoad_tech!H103)</f>
        <v>0</v>
      </c>
      <c r="I130" s="93">
        <f>IF(TrRoad_act!I72=0,0,TrRoad_ene!I75/TrRoad_tech!I103)</f>
        <v>0</v>
      </c>
      <c r="J130" s="93">
        <f>IF(TrRoad_act!J72=0,0,TrRoad_ene!J75/TrRoad_tech!J103)</f>
        <v>0</v>
      </c>
      <c r="K130" s="93">
        <f>IF(TrRoad_act!K72=0,0,TrRoad_ene!K75/TrRoad_tech!K103)</f>
        <v>0</v>
      </c>
      <c r="L130" s="93">
        <f>IF(TrRoad_act!L72=0,0,TrRoad_ene!L75/TrRoad_tech!L103)</f>
        <v>0</v>
      </c>
      <c r="M130" s="93">
        <f>IF(TrRoad_act!M72=0,0,TrRoad_ene!M75/TrRoad_tech!M103)</f>
        <v>0</v>
      </c>
      <c r="N130" s="93">
        <f>IF(TrRoad_act!N72=0,0,TrRoad_ene!N75/TrRoad_tech!N103)</f>
        <v>0</v>
      </c>
      <c r="O130" s="93">
        <f>IF(TrRoad_act!O72=0,0,TrRoad_ene!O75/TrRoad_tech!O103)</f>
        <v>1.2560000000062248</v>
      </c>
      <c r="P130" s="93">
        <f>IF(TrRoad_act!P72=0,0,TrRoad_ene!P75/TrRoad_tech!P103)</f>
        <v>1.2591836658550115</v>
      </c>
      <c r="Q130" s="93">
        <f>IF(TrRoad_act!Q72=0,0,TrRoad_ene!Q75/TrRoad_tech!Q103)</f>
        <v>1.274476632653913</v>
      </c>
      <c r="R130" s="93">
        <f>IF(TrRoad_act!R72=0,0,TrRoad_ene!R75/TrRoad_tech!R103)</f>
        <v>1.2786572170307786</v>
      </c>
      <c r="S130" s="93">
        <f>IF(TrRoad_act!S72=0,0,TrRoad_ene!S75/TrRoad_tech!S103)</f>
        <v>1.2849943728776991</v>
      </c>
      <c r="T130" s="93">
        <f>IF(TrRoad_act!T72=0,0,TrRoad_ene!T75/TrRoad_tech!T103)</f>
        <v>1.2933151187370242</v>
      </c>
      <c r="U130" s="93">
        <f>IF(TrRoad_act!U72=0,0,TrRoad_ene!U75/TrRoad_tech!U103)</f>
        <v>1.3117943559464225</v>
      </c>
      <c r="V130" s="93">
        <f>IF(TrRoad_act!V72=0,0,TrRoad_ene!V75/TrRoad_tech!V103)</f>
        <v>1.318985330760968</v>
      </c>
      <c r="W130" s="93">
        <f>IF(TrRoad_act!W72=0,0,TrRoad_ene!W75/TrRoad_tech!W103)</f>
        <v>1.3325072339142683</v>
      </c>
      <c r="X130" s="93">
        <f>IF(TrRoad_act!X72=0,0,TrRoad_ene!X75/TrRoad_tech!X103)</f>
        <v>1.3409601675658129</v>
      </c>
      <c r="Y130" s="93">
        <f>IF(TrRoad_act!Y72=0,0,TrRoad_ene!Y75/TrRoad_tech!Y103)</f>
        <v>1.3524955196180786</v>
      </c>
      <c r="DA130" s="175"/>
    </row>
    <row r="131" spans="1:105" ht="11.45" customHeight="1" x14ac:dyDescent="0.25">
      <c r="A131" s="27" t="s">
        <v>34</v>
      </c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DA131" s="173"/>
    </row>
    <row r="132" spans="1:105" ht="11.45" customHeight="1" x14ac:dyDescent="0.25">
      <c r="A132" s="136" t="s">
        <v>153</v>
      </c>
      <c r="B132" s="150">
        <f>IF(TrRoad_act!B74=0,0,TrRoad_ene!B77/TrRoad_tech!B105)</f>
        <v>1.1000876900269827</v>
      </c>
      <c r="C132" s="150">
        <f>IF(TrRoad_act!C74=0,0,TrRoad_ene!C77/TrRoad_tech!C105)</f>
        <v>1.0886224396460764</v>
      </c>
      <c r="D132" s="150">
        <f>IF(TrRoad_act!D74=0,0,TrRoad_ene!D77/TrRoad_tech!D105)</f>
        <v>1.0826087066468046</v>
      </c>
      <c r="E132" s="150">
        <f>IF(TrRoad_act!E74=0,0,TrRoad_ene!E77/TrRoad_tech!E105)</f>
        <v>1.0737812746242446</v>
      </c>
      <c r="F132" s="150">
        <f>IF(TrRoad_act!F74=0,0,TrRoad_ene!F77/TrRoad_tech!F105)</f>
        <v>1.0666657821187435</v>
      </c>
      <c r="G132" s="150">
        <f>IF(TrRoad_act!G74=0,0,TrRoad_ene!G77/TrRoad_tech!G105)</f>
        <v>1.0654037330236255</v>
      </c>
      <c r="H132" s="150">
        <f>IF(TrRoad_act!H74=0,0,TrRoad_ene!H77/TrRoad_tech!H105)</f>
        <v>1.0663556025806198</v>
      </c>
      <c r="I132" s="150">
        <f>IF(TrRoad_act!I74=0,0,TrRoad_ene!I77/TrRoad_tech!I105)</f>
        <v>1.0711807134602263</v>
      </c>
      <c r="J132" s="150">
        <f>IF(TrRoad_act!J74=0,0,TrRoad_ene!J77/TrRoad_tech!J105)</f>
        <v>1.0788050392864117</v>
      </c>
      <c r="K132" s="150">
        <f>IF(TrRoad_act!K74=0,0,TrRoad_ene!K77/TrRoad_tech!K105)</f>
        <v>1.0972088698234823</v>
      </c>
      <c r="L132" s="150">
        <f>IF(TrRoad_act!L74=0,0,TrRoad_ene!L77/TrRoad_tech!L105)</f>
        <v>1.10703598142515</v>
      </c>
      <c r="M132" s="150">
        <f>IF(TrRoad_act!M74=0,0,TrRoad_ene!M77/TrRoad_tech!M105)</f>
        <v>1.1126028061790205</v>
      </c>
      <c r="N132" s="150">
        <f>IF(TrRoad_act!N74=0,0,TrRoad_ene!N77/TrRoad_tech!N105)</f>
        <v>1.1162943604453492</v>
      </c>
      <c r="O132" s="150">
        <f>IF(TrRoad_act!O74=0,0,TrRoad_ene!O77/TrRoad_tech!O105)</f>
        <v>1.1198391798628529</v>
      </c>
      <c r="P132" s="150">
        <f>IF(TrRoad_act!P74=0,0,TrRoad_ene!P77/TrRoad_tech!P105)</f>
        <v>1.1325139677918874</v>
      </c>
      <c r="Q132" s="150">
        <f>IF(TrRoad_act!Q74=0,0,TrRoad_ene!Q77/TrRoad_tech!Q105)</f>
        <v>1.1451333448210801</v>
      </c>
      <c r="R132" s="150">
        <f>IF(TrRoad_act!R74=0,0,TrRoad_ene!R77/TrRoad_tech!R105)</f>
        <v>1.1530754472598967</v>
      </c>
      <c r="S132" s="150">
        <f>IF(TrRoad_act!S74=0,0,TrRoad_ene!S77/TrRoad_tech!S105)</f>
        <v>1.1592224830251234</v>
      </c>
      <c r="T132" s="150">
        <f>IF(TrRoad_act!T74=0,0,TrRoad_ene!T77/TrRoad_tech!T105)</f>
        <v>1.1648342139066925</v>
      </c>
      <c r="U132" s="150">
        <f>IF(TrRoad_act!U74=0,0,TrRoad_ene!U77/TrRoad_tech!U105)</f>
        <v>1.1716936588584317</v>
      </c>
      <c r="V132" s="150">
        <f>IF(TrRoad_act!V74=0,0,TrRoad_ene!V77/TrRoad_tech!V105)</f>
        <v>1.1779504876330751</v>
      </c>
      <c r="W132" s="150">
        <f>IF(TrRoad_act!W74=0,0,TrRoad_ene!W77/TrRoad_tech!W105)</f>
        <v>1.1844374999408573</v>
      </c>
      <c r="X132" s="150">
        <f>IF(TrRoad_act!X74=0,0,TrRoad_ene!X77/TrRoad_tech!X105)</f>
        <v>1.1897709433715522</v>
      </c>
      <c r="Y132" s="150">
        <f>IF(TrRoad_act!Y74=0,0,TrRoad_ene!Y77/TrRoad_tech!Y105)</f>
        <v>1.19628513531012</v>
      </c>
      <c r="DA132" s="174"/>
    </row>
    <row r="133" spans="1:105" ht="11.45" customHeight="1" x14ac:dyDescent="0.25">
      <c r="A133" s="111" t="s">
        <v>110</v>
      </c>
      <c r="B133" s="91">
        <f>IF(TrRoad_act!B75=0,0,TrRoad_ene!B78/TrRoad_tech!B106)</f>
        <v>1.10000000000673</v>
      </c>
      <c r="C133" s="91">
        <f>IF(TrRoad_act!C75=0,0,TrRoad_ene!C78/TrRoad_tech!C106)</f>
        <v>1.1000003284233453</v>
      </c>
      <c r="D133" s="91">
        <f>IF(TrRoad_act!D75=0,0,TrRoad_ene!D78/TrRoad_tech!D106)</f>
        <v>1.1000004193292947</v>
      </c>
      <c r="E133" s="91">
        <f>IF(TrRoad_act!E75=0,0,TrRoad_ene!E78/TrRoad_tech!E106)</f>
        <v>1.1000004814853983</v>
      </c>
      <c r="F133" s="91">
        <f>IF(TrRoad_act!F75=0,0,TrRoad_ene!F78/TrRoad_tech!F106)</f>
        <v>1.1000005470398007</v>
      </c>
      <c r="G133" s="91">
        <f>IF(TrRoad_act!G75=0,0,TrRoad_ene!G78/TrRoad_tech!G106)</f>
        <v>1.1000006392984589</v>
      </c>
      <c r="H133" s="91">
        <f>IF(TrRoad_act!H75=0,0,TrRoad_ene!H78/TrRoad_tech!H106)</f>
        <v>1.100000741445808</v>
      </c>
      <c r="I133" s="91">
        <f>IF(TrRoad_act!I75=0,0,TrRoad_ene!I78/TrRoad_tech!I106)</f>
        <v>1.1000007887300336</v>
      </c>
      <c r="J133" s="91">
        <f>IF(TrRoad_act!J75=0,0,TrRoad_ene!J78/TrRoad_tech!J106)</f>
        <v>1.1000009155550465</v>
      </c>
      <c r="K133" s="91">
        <f>IF(TrRoad_act!K75=0,0,TrRoad_ene!K78/TrRoad_tech!K106)</f>
        <v>1.100001018937167</v>
      </c>
      <c r="L133" s="91">
        <f>IF(TrRoad_act!L75=0,0,TrRoad_ene!L78/TrRoad_tech!L106)</f>
        <v>1.1000009836157281</v>
      </c>
      <c r="M133" s="91">
        <f>IF(TrRoad_act!M75=0,0,TrRoad_ene!M78/TrRoad_tech!M106)</f>
        <v>1.1016341850171536</v>
      </c>
      <c r="N133" s="91">
        <f>IF(TrRoad_act!N75=0,0,TrRoad_ene!N78/TrRoad_tech!N106)</f>
        <v>1.113649619210094</v>
      </c>
      <c r="O133" s="91">
        <f>IF(TrRoad_act!O75=0,0,TrRoad_ene!O78/TrRoad_tech!O106)</f>
        <v>1.1257551421446461</v>
      </c>
      <c r="P133" s="91">
        <f>IF(TrRoad_act!P75=0,0,TrRoad_ene!P78/TrRoad_tech!P106)</f>
        <v>1.1358053235945245</v>
      </c>
      <c r="Q133" s="91">
        <f>IF(TrRoad_act!Q75=0,0,TrRoad_ene!Q78/TrRoad_tech!Q106)</f>
        <v>1.1414734862907496</v>
      </c>
      <c r="R133" s="91">
        <f>IF(TrRoad_act!R75=0,0,TrRoad_ene!R78/TrRoad_tech!R106)</f>
        <v>1.1561436115464647</v>
      </c>
      <c r="S133" s="91">
        <f>IF(TrRoad_act!S75=0,0,TrRoad_ene!S78/TrRoad_tech!S106)</f>
        <v>1.183753260014978</v>
      </c>
      <c r="T133" s="91">
        <f>IF(TrRoad_act!T75=0,0,TrRoad_ene!T78/TrRoad_tech!T106)</f>
        <v>1.2073682009470228</v>
      </c>
      <c r="U133" s="91">
        <f>IF(TrRoad_act!U75=0,0,TrRoad_ene!U78/TrRoad_tech!U106)</f>
        <v>1.222418505265588</v>
      </c>
      <c r="V133" s="91">
        <f>IF(TrRoad_act!V75=0,0,TrRoad_ene!V78/TrRoad_tech!V106)</f>
        <v>1.2328361785056525</v>
      </c>
      <c r="W133" s="91">
        <f>IF(TrRoad_act!W75=0,0,TrRoad_ene!W78/TrRoad_tech!W106)</f>
        <v>1.2365992320819139</v>
      </c>
      <c r="X133" s="91">
        <f>IF(TrRoad_act!X75=0,0,TrRoad_ene!X78/TrRoad_tech!X106)</f>
        <v>1.2434623216195504</v>
      </c>
      <c r="Y133" s="91">
        <f>IF(TrRoad_act!Y75=0,0,TrRoad_ene!Y78/TrRoad_tech!Y106)</f>
        <v>1.2690363096123278</v>
      </c>
      <c r="DA133" s="171"/>
    </row>
    <row r="134" spans="1:105" ht="11.45" customHeight="1" x14ac:dyDescent="0.25">
      <c r="A134" s="111" t="s">
        <v>111</v>
      </c>
      <c r="B134" s="91">
        <f>IF(TrRoad_act!B76=0,0,TrRoad_ene!B79/TrRoad_tech!B107)</f>
        <v>1.10000000000673</v>
      </c>
      <c r="C134" s="91">
        <f>IF(TrRoad_act!C76=0,0,TrRoad_ene!C79/TrRoad_tech!C107)</f>
        <v>1.1000890711812008</v>
      </c>
      <c r="D134" s="91">
        <f>IF(TrRoad_act!D76=0,0,TrRoad_ene!D79/TrRoad_tech!D107)</f>
        <v>1.1002275107357142</v>
      </c>
      <c r="E134" s="91">
        <f>IF(TrRoad_act!E76=0,0,TrRoad_ene!E79/TrRoad_tech!E107)</f>
        <v>1.100666345465471</v>
      </c>
      <c r="F134" s="91">
        <f>IF(TrRoad_act!F76=0,0,TrRoad_ene!F79/TrRoad_tech!F107)</f>
        <v>1.1015266178556844</v>
      </c>
      <c r="G134" s="91">
        <f>IF(TrRoad_act!G76=0,0,TrRoad_ene!G79/TrRoad_tech!G107)</f>
        <v>1.1023692346968788</v>
      </c>
      <c r="H134" s="91">
        <f>IF(TrRoad_act!H76=0,0,TrRoad_ene!H79/TrRoad_tech!H107)</f>
        <v>1.1037233333889482</v>
      </c>
      <c r="I134" s="91">
        <f>IF(TrRoad_act!I76=0,0,TrRoad_ene!I79/TrRoad_tech!I107)</f>
        <v>1.108349836915824</v>
      </c>
      <c r="J134" s="91">
        <f>IF(TrRoad_act!J76=0,0,TrRoad_ene!J79/TrRoad_tech!J107)</f>
        <v>1.1100252173659881</v>
      </c>
      <c r="K134" s="91">
        <f>IF(TrRoad_act!K76=0,0,TrRoad_ene!K79/TrRoad_tech!K107)</f>
        <v>1.1131982868854553</v>
      </c>
      <c r="L134" s="91">
        <f>IF(TrRoad_act!L76=0,0,TrRoad_ene!L79/TrRoad_tech!L107)</f>
        <v>1.115327450463639</v>
      </c>
      <c r="M134" s="91">
        <f>IF(TrRoad_act!M76=0,0,TrRoad_ene!M79/TrRoad_tech!M107)</f>
        <v>1.1175971881868387</v>
      </c>
      <c r="N134" s="91">
        <f>IF(TrRoad_act!N76=0,0,TrRoad_ene!N79/TrRoad_tech!N107)</f>
        <v>1.1224528220079331</v>
      </c>
      <c r="O134" s="91">
        <f>IF(TrRoad_act!O76=0,0,TrRoad_ene!O79/TrRoad_tech!O107)</f>
        <v>1.1272030784646936</v>
      </c>
      <c r="P134" s="91">
        <f>IF(TrRoad_act!P76=0,0,TrRoad_ene!P79/TrRoad_tech!P107)</f>
        <v>1.141008109288274</v>
      </c>
      <c r="Q134" s="91">
        <f>IF(TrRoad_act!Q76=0,0,TrRoad_ene!Q79/TrRoad_tech!Q107)</f>
        <v>1.1566983248349902</v>
      </c>
      <c r="R134" s="91">
        <f>IF(TrRoad_act!R76=0,0,TrRoad_ene!R79/TrRoad_tech!R107)</f>
        <v>1.16585540218314</v>
      </c>
      <c r="S134" s="91">
        <f>IF(TrRoad_act!S76=0,0,TrRoad_ene!S79/TrRoad_tech!S107)</f>
        <v>1.1735258461671008</v>
      </c>
      <c r="T134" s="91">
        <f>IF(TrRoad_act!T76=0,0,TrRoad_ene!T79/TrRoad_tech!T107)</f>
        <v>1.1806851465172856</v>
      </c>
      <c r="U134" s="91">
        <f>IF(TrRoad_act!U76=0,0,TrRoad_ene!U79/TrRoad_tech!U107)</f>
        <v>1.1880128631087081</v>
      </c>
      <c r="V134" s="91">
        <f>IF(TrRoad_act!V76=0,0,TrRoad_ene!V79/TrRoad_tech!V107)</f>
        <v>1.1947503697955966</v>
      </c>
      <c r="W134" s="91">
        <f>IF(TrRoad_act!W76=0,0,TrRoad_ene!W79/TrRoad_tech!W107)</f>
        <v>1.2020626353356227</v>
      </c>
      <c r="X134" s="91">
        <f>IF(TrRoad_act!X76=0,0,TrRoad_ene!X79/TrRoad_tech!X107)</f>
        <v>1.208378878703696</v>
      </c>
      <c r="Y134" s="91">
        <f>IF(TrRoad_act!Y76=0,0,TrRoad_ene!Y79/TrRoad_tech!Y107)</f>
        <v>1.2160994517348227</v>
      </c>
      <c r="DA134" s="171"/>
    </row>
    <row r="135" spans="1:105" ht="11.45" customHeight="1" x14ac:dyDescent="0.25">
      <c r="A135" s="111" t="s">
        <v>112</v>
      </c>
      <c r="B135" s="91">
        <f>IF(TrRoad_act!B77=0,0,TrRoad_ene!B80/TrRoad_tech!B108)</f>
        <v>0</v>
      </c>
      <c r="C135" s="91">
        <f>IF(TrRoad_act!C77=0,0,TrRoad_ene!C80/TrRoad_tech!C108)</f>
        <v>0</v>
      </c>
      <c r="D135" s="91">
        <f>IF(TrRoad_act!D77=0,0,TrRoad_ene!D80/TrRoad_tech!D108)</f>
        <v>0</v>
      </c>
      <c r="E135" s="91">
        <f>IF(TrRoad_act!E77=0,0,TrRoad_ene!E80/TrRoad_tech!E108)</f>
        <v>0</v>
      </c>
      <c r="F135" s="91">
        <f>IF(TrRoad_act!F77=0,0,TrRoad_ene!F80/TrRoad_tech!F108)</f>
        <v>0</v>
      </c>
      <c r="G135" s="91">
        <f>IF(TrRoad_act!G77=0,0,TrRoad_ene!G80/TrRoad_tech!G108)</f>
        <v>0</v>
      </c>
      <c r="H135" s="91">
        <f>IF(TrRoad_act!H77=0,0,TrRoad_ene!H80/TrRoad_tech!H108)</f>
        <v>0</v>
      </c>
      <c r="I135" s="91">
        <f>IF(TrRoad_act!I77=0,0,TrRoad_ene!I80/TrRoad_tech!I108)</f>
        <v>0</v>
      </c>
      <c r="J135" s="91">
        <f>IF(TrRoad_act!J77=0,0,TrRoad_ene!J80/TrRoad_tech!J108)</f>
        <v>0</v>
      </c>
      <c r="K135" s="91">
        <f>IF(TrRoad_act!K77=0,0,TrRoad_ene!K80/TrRoad_tech!K108)</f>
        <v>0</v>
      </c>
      <c r="L135" s="91">
        <f>IF(TrRoad_act!L77=0,0,TrRoad_ene!L80/TrRoad_tech!L108)</f>
        <v>0</v>
      </c>
      <c r="M135" s="91">
        <f>IF(TrRoad_act!M77=0,0,TrRoad_ene!M80/TrRoad_tech!M108)</f>
        <v>0</v>
      </c>
      <c r="N135" s="91">
        <f>IF(TrRoad_act!N77=0,0,TrRoad_ene!N80/TrRoad_tech!N108)</f>
        <v>0</v>
      </c>
      <c r="O135" s="91">
        <f>IF(TrRoad_act!O77=0,0,TrRoad_ene!O80/TrRoad_tech!O108)</f>
        <v>1.2560000000062246</v>
      </c>
      <c r="P135" s="91">
        <f>IF(TrRoad_act!P77=0,0,TrRoad_ene!P80/TrRoad_tech!P108)</f>
        <v>1.2479381051651699</v>
      </c>
      <c r="Q135" s="91">
        <f>IF(TrRoad_act!Q77=0,0,TrRoad_ene!Q80/TrRoad_tech!Q108)</f>
        <v>1.249191790833029</v>
      </c>
      <c r="R135" s="91">
        <f>IF(TrRoad_act!R77=0,0,TrRoad_ene!R80/TrRoad_tech!R108)</f>
        <v>1.2613682421845573</v>
      </c>
      <c r="S135" s="91">
        <f>IF(TrRoad_act!S77=0,0,TrRoad_ene!S80/TrRoad_tech!S108)</f>
        <v>1.2783656046041663</v>
      </c>
      <c r="T135" s="91">
        <f>IF(TrRoad_act!T77=0,0,TrRoad_ene!T80/TrRoad_tech!T108)</f>
        <v>1.3035292960003959</v>
      </c>
      <c r="U135" s="91">
        <f>IF(TrRoad_act!U77=0,0,TrRoad_ene!U80/TrRoad_tech!U108)</f>
        <v>1.3166472843402135</v>
      </c>
      <c r="V135" s="91">
        <f>IF(TrRoad_act!V77=0,0,TrRoad_ene!V80/TrRoad_tech!V108)</f>
        <v>1.3238854302207279</v>
      </c>
      <c r="W135" s="91">
        <f>IF(TrRoad_act!W77=0,0,TrRoad_ene!W80/TrRoad_tech!W108)</f>
        <v>1.3324520880414041</v>
      </c>
      <c r="X135" s="91">
        <f>IF(TrRoad_act!X77=0,0,TrRoad_ene!X80/TrRoad_tech!X108)</f>
        <v>1.3340999551399189</v>
      </c>
      <c r="Y135" s="91">
        <f>IF(TrRoad_act!Y77=0,0,TrRoad_ene!Y80/TrRoad_tech!Y108)</f>
        <v>1.3362302625504976</v>
      </c>
      <c r="DA135" s="171"/>
    </row>
    <row r="136" spans="1:105" ht="11.45" customHeight="1" x14ac:dyDescent="0.25">
      <c r="A136" s="111" t="s">
        <v>113</v>
      </c>
      <c r="B136" s="91">
        <f>IF(TrRoad_act!B78=0,0,TrRoad_ene!B81/TrRoad_tech!B109)</f>
        <v>0</v>
      </c>
      <c r="C136" s="91">
        <f>IF(TrRoad_act!C78=0,0,TrRoad_ene!C81/TrRoad_tech!C109)</f>
        <v>0</v>
      </c>
      <c r="D136" s="91">
        <f>IF(TrRoad_act!D78=0,0,TrRoad_ene!D81/TrRoad_tech!D109)</f>
        <v>0</v>
      </c>
      <c r="E136" s="91">
        <f>IF(TrRoad_act!E78=0,0,TrRoad_ene!E81/TrRoad_tech!E109)</f>
        <v>0</v>
      </c>
      <c r="F136" s="91">
        <f>IF(TrRoad_act!F78=0,0,TrRoad_ene!F81/TrRoad_tech!F109)</f>
        <v>0</v>
      </c>
      <c r="G136" s="91">
        <f>IF(TrRoad_act!G78=0,0,TrRoad_ene!G81/TrRoad_tech!G109)</f>
        <v>0</v>
      </c>
      <c r="H136" s="91">
        <f>IF(TrRoad_act!H78=0,0,TrRoad_ene!H81/TrRoad_tech!H109)</f>
        <v>0</v>
      </c>
      <c r="I136" s="91">
        <f>IF(TrRoad_act!I78=0,0,TrRoad_ene!I81/TrRoad_tech!I109)</f>
        <v>0</v>
      </c>
      <c r="J136" s="91">
        <f>IF(TrRoad_act!J78=0,0,TrRoad_ene!J81/TrRoad_tech!J109)</f>
        <v>0</v>
      </c>
      <c r="K136" s="91">
        <f>IF(TrRoad_act!K78=0,0,TrRoad_ene!K81/TrRoad_tech!K109)</f>
        <v>0</v>
      </c>
      <c r="L136" s="91">
        <f>IF(TrRoad_act!L78=0,0,TrRoad_ene!L81/TrRoad_tech!L109)</f>
        <v>0</v>
      </c>
      <c r="M136" s="91">
        <f>IF(TrRoad_act!M78=0,0,TrRoad_ene!M81/TrRoad_tech!M109)</f>
        <v>0</v>
      </c>
      <c r="N136" s="91">
        <f>IF(TrRoad_act!N78=0,0,TrRoad_ene!N81/TrRoad_tech!N109)</f>
        <v>1.2360000000066977</v>
      </c>
      <c r="O136" s="91">
        <f>IF(TrRoad_act!O78=0,0,TrRoad_ene!O81/TrRoad_tech!O109)</f>
        <v>1.2531038711577025</v>
      </c>
      <c r="P136" s="91">
        <f>IF(TrRoad_act!P78=0,0,TrRoad_ene!P81/TrRoad_tech!P109)</f>
        <v>1.2604841342046902</v>
      </c>
      <c r="Q136" s="91">
        <f>IF(TrRoad_act!Q78=0,0,TrRoad_ene!Q81/TrRoad_tech!Q109)</f>
        <v>1.2881703980139023</v>
      </c>
      <c r="R136" s="91">
        <f>IF(TrRoad_act!R78=0,0,TrRoad_ene!R81/TrRoad_tech!R109)</f>
        <v>1.2937243108624523</v>
      </c>
      <c r="S136" s="91">
        <f>IF(TrRoad_act!S78=0,0,TrRoad_ene!S81/TrRoad_tech!S109)</f>
        <v>1.3044225314007425</v>
      </c>
      <c r="T136" s="91">
        <f>IF(TrRoad_act!T78=0,0,TrRoad_ene!T81/TrRoad_tech!T109)</f>
        <v>1.3402704049142133</v>
      </c>
      <c r="U136" s="91">
        <f>IF(TrRoad_act!U78=0,0,TrRoad_ene!U81/TrRoad_tech!U109)</f>
        <v>1.3436481932838256</v>
      </c>
      <c r="V136" s="91">
        <f>IF(TrRoad_act!V78=0,0,TrRoad_ene!V81/TrRoad_tech!V109)</f>
        <v>1.3468592959013019</v>
      </c>
      <c r="W136" s="91">
        <f>IF(TrRoad_act!W78=0,0,TrRoad_ene!W81/TrRoad_tech!W109)</f>
        <v>1.348780439060739</v>
      </c>
      <c r="X136" s="91">
        <f>IF(TrRoad_act!X78=0,0,TrRoad_ene!X81/TrRoad_tech!X109)</f>
        <v>1.3491300469225771</v>
      </c>
      <c r="Y136" s="91">
        <f>IF(TrRoad_act!Y78=0,0,TrRoad_ene!Y81/TrRoad_tech!Y109)</f>
        <v>1.3494763187584822</v>
      </c>
      <c r="DA136" s="171"/>
    </row>
    <row r="137" spans="1:105" ht="11.45" customHeight="1" x14ac:dyDescent="0.25">
      <c r="A137" s="111" t="s">
        <v>115</v>
      </c>
      <c r="B137" s="91">
        <f>IF(TrRoad_act!B79=0,0,TrRoad_ene!B82/TrRoad_tech!B110)</f>
        <v>0</v>
      </c>
      <c r="C137" s="91">
        <f>IF(TrRoad_act!C79=0,0,TrRoad_ene!C82/TrRoad_tech!C110)</f>
        <v>0</v>
      </c>
      <c r="D137" s="91">
        <f>IF(TrRoad_act!D79=0,0,TrRoad_ene!D82/TrRoad_tech!D110)</f>
        <v>0</v>
      </c>
      <c r="E137" s="91">
        <f>IF(TrRoad_act!E79=0,0,TrRoad_ene!E82/TrRoad_tech!E110)</f>
        <v>0</v>
      </c>
      <c r="F137" s="91">
        <f>IF(TrRoad_act!F79=0,0,TrRoad_ene!F82/TrRoad_tech!F110)</f>
        <v>0</v>
      </c>
      <c r="G137" s="91">
        <f>IF(TrRoad_act!G79=0,0,TrRoad_ene!G82/TrRoad_tech!G110)</f>
        <v>0</v>
      </c>
      <c r="H137" s="91">
        <f>IF(TrRoad_act!H79=0,0,TrRoad_ene!H82/TrRoad_tech!H110)</f>
        <v>0</v>
      </c>
      <c r="I137" s="91">
        <f>IF(TrRoad_act!I79=0,0,TrRoad_ene!I82/TrRoad_tech!I110)</f>
        <v>0</v>
      </c>
      <c r="J137" s="91">
        <f>IF(TrRoad_act!J79=0,0,TrRoad_ene!J82/TrRoad_tech!J110)</f>
        <v>0</v>
      </c>
      <c r="K137" s="91">
        <f>IF(TrRoad_act!K79=0,0,TrRoad_ene!K82/TrRoad_tech!K110)</f>
        <v>0</v>
      </c>
      <c r="L137" s="91">
        <f>IF(TrRoad_act!L79=0,0,TrRoad_ene!L82/TrRoad_tech!L110)</f>
        <v>0</v>
      </c>
      <c r="M137" s="91">
        <f>IF(TrRoad_act!M79=0,0,TrRoad_ene!M82/TrRoad_tech!M110)</f>
        <v>1.2173333333398659</v>
      </c>
      <c r="N137" s="91">
        <f>IF(TrRoad_act!N79=0,0,TrRoad_ene!N82/TrRoad_tech!N110)</f>
        <v>1.2360000000066977</v>
      </c>
      <c r="O137" s="91">
        <f>IF(TrRoad_act!O79=0,0,TrRoad_ene!O82/TrRoad_tech!O110)</f>
        <v>1.2560000000062241</v>
      </c>
      <c r="P137" s="91">
        <f>IF(TrRoad_act!P79=0,0,TrRoad_ene!P82/TrRoad_tech!P110)</f>
        <v>1.2755684186373679</v>
      </c>
      <c r="Q137" s="91">
        <f>IF(TrRoad_act!Q79=0,0,TrRoad_ene!Q82/TrRoad_tech!Q110)</f>
        <v>1.283464580046467</v>
      </c>
      <c r="R137" s="91">
        <f>IF(TrRoad_act!R79=0,0,TrRoad_ene!R82/TrRoad_tech!R110)</f>
        <v>1.2978205660964823</v>
      </c>
      <c r="S137" s="91">
        <f>IF(TrRoad_act!S79=0,0,TrRoad_ene!S82/TrRoad_tech!S110)</f>
        <v>1.3079444216637208</v>
      </c>
      <c r="T137" s="91">
        <f>IF(TrRoad_act!T79=0,0,TrRoad_ene!T82/TrRoad_tech!T110)</f>
        <v>1.3217461304320512</v>
      </c>
      <c r="U137" s="91">
        <f>IF(TrRoad_act!U79=0,0,TrRoad_ene!U82/TrRoad_tech!U110)</f>
        <v>1.3293926749032059</v>
      </c>
      <c r="V137" s="91">
        <f>IF(TrRoad_act!V79=0,0,TrRoad_ene!V82/TrRoad_tech!V110)</f>
        <v>1.3366165312678664</v>
      </c>
      <c r="W137" s="91">
        <f>IF(TrRoad_act!W79=0,0,TrRoad_ene!W82/TrRoad_tech!W110)</f>
        <v>1.34306646996543</v>
      </c>
      <c r="X137" s="91">
        <f>IF(TrRoad_act!X79=0,0,TrRoad_ene!X82/TrRoad_tech!X110)</f>
        <v>1.3488606457648209</v>
      </c>
      <c r="Y137" s="91">
        <f>IF(TrRoad_act!Y79=0,0,TrRoad_ene!Y82/TrRoad_tech!Y110)</f>
        <v>1.3548828110167346</v>
      </c>
      <c r="DA137" s="171"/>
    </row>
    <row r="138" spans="1:105" ht="11.45" customHeight="1" x14ac:dyDescent="0.25">
      <c r="A138" s="109" t="s">
        <v>154</v>
      </c>
      <c r="B138" s="151">
        <f>IF(TrRoad_act!B80=0,0,TrRoad_ene!B83/TrRoad_tech!B111)</f>
        <v>1.5097829743700997</v>
      </c>
      <c r="C138" s="151">
        <f>IF(TrRoad_act!C80=0,0,TrRoad_ene!C83/TrRoad_tech!C111)</f>
        <v>1.4764456910119284</v>
      </c>
      <c r="D138" s="151">
        <f>IF(TrRoad_act!D80=0,0,TrRoad_ene!D83/TrRoad_tech!D111)</f>
        <v>1.3920780288725429</v>
      </c>
      <c r="E138" s="151">
        <f>IF(TrRoad_act!E80=0,0,TrRoad_ene!E83/TrRoad_tech!E111)</f>
        <v>1.4031825215434779</v>
      </c>
      <c r="F138" s="151">
        <f>IF(TrRoad_act!F80=0,0,TrRoad_ene!F83/TrRoad_tech!F111)</f>
        <v>1.3479122644669885</v>
      </c>
      <c r="G138" s="151">
        <f>IF(TrRoad_act!G80=0,0,TrRoad_ene!G83/TrRoad_tech!G111)</f>
        <v>1.3370322747273127</v>
      </c>
      <c r="H138" s="151">
        <f>IF(TrRoad_act!H80=0,0,TrRoad_ene!H83/TrRoad_tech!H111)</f>
        <v>1.3112411794948509</v>
      </c>
      <c r="I138" s="151">
        <f>IF(TrRoad_act!I80=0,0,TrRoad_ene!I83/TrRoad_tech!I111)</f>
        <v>1.2761441878915476</v>
      </c>
      <c r="J138" s="151">
        <f>IF(TrRoad_act!J80=0,0,TrRoad_ene!J83/TrRoad_tech!J111)</f>
        <v>1.3009767259142029</v>
      </c>
      <c r="K138" s="151">
        <f>IF(TrRoad_act!K80=0,0,TrRoad_ene!K83/TrRoad_tech!K111)</f>
        <v>1.2895777519542042</v>
      </c>
      <c r="L138" s="151">
        <f>IF(TrRoad_act!L80=0,0,TrRoad_ene!L83/TrRoad_tech!L111)</f>
        <v>1.3218920770539442</v>
      </c>
      <c r="M138" s="151">
        <f>IF(TrRoad_act!M80=0,0,TrRoad_ene!M83/TrRoad_tech!M111)</f>
        <v>1.2756854662420436</v>
      </c>
      <c r="N138" s="151">
        <f>IF(TrRoad_act!N80=0,0,TrRoad_ene!N83/TrRoad_tech!N111)</f>
        <v>1.1587901472218674</v>
      </c>
      <c r="O138" s="151">
        <f>IF(TrRoad_act!O80=0,0,TrRoad_ene!O83/TrRoad_tech!O111)</f>
        <v>1.1974046495405</v>
      </c>
      <c r="P138" s="151">
        <f>IF(TrRoad_act!P80=0,0,TrRoad_ene!P83/TrRoad_tech!P111)</f>
        <v>1.2142620279717162</v>
      </c>
      <c r="Q138" s="151">
        <f>IF(TrRoad_act!Q80=0,0,TrRoad_ene!Q83/TrRoad_tech!Q111)</f>
        <v>1.2179676113160527</v>
      </c>
      <c r="R138" s="151">
        <f>IF(TrRoad_act!R80=0,0,TrRoad_ene!R83/TrRoad_tech!R111)</f>
        <v>1.3738811425228208</v>
      </c>
      <c r="S138" s="151">
        <f>IF(TrRoad_act!S80=0,0,TrRoad_ene!S83/TrRoad_tech!S111)</f>
        <v>1.3926787324892991</v>
      </c>
      <c r="T138" s="151">
        <f>IF(TrRoad_act!T80=0,0,TrRoad_ene!T83/TrRoad_tech!T111)</f>
        <v>1.4671705005740974</v>
      </c>
      <c r="U138" s="151">
        <f>IF(TrRoad_act!U80=0,0,TrRoad_ene!U83/TrRoad_tech!U111)</f>
        <v>1.3781105459363083</v>
      </c>
      <c r="V138" s="151">
        <f>IF(TrRoad_act!V80=0,0,TrRoad_ene!V83/TrRoad_tech!V111)</f>
        <v>1.3413650279519613</v>
      </c>
      <c r="W138" s="151">
        <f>IF(TrRoad_act!W80=0,0,TrRoad_ene!W83/TrRoad_tech!W111)</f>
        <v>1.2967500269370176</v>
      </c>
      <c r="X138" s="151">
        <f>IF(TrRoad_act!X80=0,0,TrRoad_ene!X83/TrRoad_tech!X111)</f>
        <v>1.3541342631120683</v>
      </c>
      <c r="Y138" s="151">
        <f>IF(TrRoad_act!Y80=0,0,TrRoad_ene!Y83/TrRoad_tech!Y111)</f>
        <v>1.3081174100340851</v>
      </c>
      <c r="DA138" s="176"/>
    </row>
    <row r="139" spans="1:105" ht="11.45" customHeight="1" x14ac:dyDescent="0.25">
      <c r="A139" s="128" t="s">
        <v>27</v>
      </c>
      <c r="B139" s="93">
        <f>IF(TrRoad_act!B81=0,0,TrRoad_ene!B84/TrRoad_tech!B112)</f>
        <v>1.49221100124368</v>
      </c>
      <c r="C139" s="93">
        <f>IF(TrRoad_act!C81=0,0,TrRoad_ene!C84/TrRoad_tech!C112)</f>
        <v>1.4609069136568171</v>
      </c>
      <c r="D139" s="93">
        <f>IF(TrRoad_act!D81=0,0,TrRoad_ene!D84/TrRoad_tech!D112)</f>
        <v>1.3796022431335235</v>
      </c>
      <c r="E139" s="93">
        <f>IF(TrRoad_act!E81=0,0,TrRoad_ene!E84/TrRoad_tech!E112)</f>
        <v>1.3914789217386427</v>
      </c>
      <c r="F139" s="93">
        <f>IF(TrRoad_act!F81=0,0,TrRoad_ene!F84/TrRoad_tech!F112)</f>
        <v>1.3382209701819634</v>
      </c>
      <c r="G139" s="93">
        <f>IF(TrRoad_act!G81=0,0,TrRoad_ene!G84/TrRoad_tech!G112)</f>
        <v>1.3281291094545062</v>
      </c>
      <c r="H139" s="93">
        <f>IF(TrRoad_act!H81=0,0,TrRoad_ene!H84/TrRoad_tech!H112)</f>
        <v>1.3029637969825862</v>
      </c>
      <c r="I139" s="93">
        <f>IF(TrRoad_act!I81=0,0,TrRoad_ene!I84/TrRoad_tech!I112)</f>
        <v>1.2686662514002733</v>
      </c>
      <c r="J139" s="93">
        <f>IF(TrRoad_act!J81=0,0,TrRoad_ene!J84/TrRoad_tech!J112)</f>
        <v>1.2930325238219746</v>
      </c>
      <c r="K139" s="93">
        <f>IF(TrRoad_act!K81=0,0,TrRoad_ene!K84/TrRoad_tech!K112)</f>
        <v>1.2810931286766529</v>
      </c>
      <c r="L139" s="93">
        <f>IF(TrRoad_act!L81=0,0,TrRoad_ene!L84/TrRoad_tech!L112)</f>
        <v>1.3130965775863712</v>
      </c>
      <c r="M139" s="93">
        <f>IF(TrRoad_act!M81=0,0,TrRoad_ene!M84/TrRoad_tech!M112)</f>
        <v>1.267120129084107</v>
      </c>
      <c r="N139" s="93">
        <f>IF(TrRoad_act!N81=0,0,TrRoad_ene!N84/TrRoad_tech!N112)</f>
        <v>1.1507492206056094</v>
      </c>
      <c r="O139" s="93">
        <f>IF(TrRoad_act!O81=0,0,TrRoad_ene!O84/TrRoad_tech!O112)</f>
        <v>1.187271640624602</v>
      </c>
      <c r="P139" s="93">
        <f>IF(TrRoad_act!P81=0,0,TrRoad_ene!P84/TrRoad_tech!P112)</f>
        <v>1.2042791760203191</v>
      </c>
      <c r="Q139" s="93">
        <f>IF(TrRoad_act!Q81=0,0,TrRoad_ene!Q84/TrRoad_tech!Q112)</f>
        <v>1.2070199331168237</v>
      </c>
      <c r="R139" s="93">
        <f>IF(TrRoad_act!R81=0,0,TrRoad_ene!R84/TrRoad_tech!R112)</f>
        <v>1.3598056294578651</v>
      </c>
      <c r="S139" s="93">
        <f>IF(TrRoad_act!S81=0,0,TrRoad_ene!S84/TrRoad_tech!S112)</f>
        <v>1.3761277057674828</v>
      </c>
      <c r="T139" s="93">
        <f>IF(TrRoad_act!T81=0,0,TrRoad_ene!T84/TrRoad_tech!T112)</f>
        <v>1.446494933438262</v>
      </c>
      <c r="U139" s="93">
        <f>IF(TrRoad_act!U81=0,0,TrRoad_ene!U84/TrRoad_tech!U112)</f>
        <v>1.356340441173925</v>
      </c>
      <c r="V139" s="93">
        <f>IF(TrRoad_act!V81=0,0,TrRoad_ene!V84/TrRoad_tech!V112)</f>
        <v>1.3191639391892971</v>
      </c>
      <c r="W139" s="93">
        <f>IF(TrRoad_act!W81=0,0,TrRoad_ene!W84/TrRoad_tech!W112)</f>
        <v>1.2733943502251688</v>
      </c>
      <c r="X139" s="93">
        <f>IF(TrRoad_act!X81=0,0,TrRoad_ene!X84/TrRoad_tech!X112)</f>
        <v>1.3267333157311767</v>
      </c>
      <c r="Y139" s="93">
        <f>IF(TrRoad_act!Y81=0,0,TrRoad_ene!Y84/TrRoad_tech!Y112)</f>
        <v>1.2818102939284755</v>
      </c>
      <c r="DA139" s="175"/>
    </row>
    <row r="140" spans="1:105" ht="11.45" customHeight="1" x14ac:dyDescent="0.25">
      <c r="A140" s="138" t="s">
        <v>116</v>
      </c>
      <c r="B140" s="94">
        <f>IF(TrRoad_act!B82=0,0,TrRoad_ene!B85/TrRoad_tech!B113)</f>
        <v>1.4922110012436793</v>
      </c>
      <c r="C140" s="94">
        <f>IF(TrRoad_act!C82=0,0,TrRoad_ene!C85/TrRoad_tech!C113)</f>
        <v>1.4610445977171265</v>
      </c>
      <c r="D140" s="94">
        <f>IF(TrRoad_act!D82=0,0,TrRoad_ene!D85/TrRoad_tech!D113)</f>
        <v>1.3799631704109536</v>
      </c>
      <c r="E140" s="94">
        <f>IF(TrRoad_act!E82=0,0,TrRoad_ene!E85/TrRoad_tech!E113)</f>
        <v>1.3916693372549278</v>
      </c>
      <c r="F140" s="94">
        <f>IF(TrRoad_act!F82=0,0,TrRoad_ene!F85/TrRoad_tech!F113)</f>
        <v>1.3416766618323379</v>
      </c>
      <c r="G140" s="94">
        <f>IF(TrRoad_act!G82=0,0,TrRoad_ene!G85/TrRoad_tech!G113)</f>
        <v>1.3318337767574853</v>
      </c>
      <c r="H140" s="94">
        <f>IF(TrRoad_act!H82=0,0,TrRoad_ene!H85/TrRoad_tech!H113)</f>
        <v>1.3065152351452054</v>
      </c>
      <c r="I140" s="94">
        <f>IF(TrRoad_act!I82=0,0,TrRoad_ene!I85/TrRoad_tech!I113)</f>
        <v>1.2718741217960099</v>
      </c>
      <c r="J140" s="94">
        <f>IF(TrRoad_act!J82=0,0,TrRoad_ene!J85/TrRoad_tech!J113)</f>
        <v>1.2925044258711276</v>
      </c>
      <c r="K140" s="94">
        <f>IF(TrRoad_act!K82=0,0,TrRoad_ene!K85/TrRoad_tech!K113)</f>
        <v>1.2778939640834424</v>
      </c>
      <c r="L140" s="94">
        <f>IF(TrRoad_act!L82=0,0,TrRoad_ene!L85/TrRoad_tech!L113)</f>
        <v>1.3105531396075343</v>
      </c>
      <c r="M140" s="94">
        <f>IF(TrRoad_act!M82=0,0,TrRoad_ene!M85/TrRoad_tech!M113)</f>
        <v>1.2674652432273361</v>
      </c>
      <c r="N140" s="94">
        <f>IF(TrRoad_act!N82=0,0,TrRoad_ene!N85/TrRoad_tech!N113)</f>
        <v>1.1535233005067604</v>
      </c>
      <c r="O140" s="94">
        <f>IF(TrRoad_act!O82=0,0,TrRoad_ene!O85/TrRoad_tech!O113)</f>
        <v>1.1919701204379882</v>
      </c>
      <c r="P140" s="94">
        <f>IF(TrRoad_act!P82=0,0,TrRoad_ene!P85/TrRoad_tech!P113)</f>
        <v>1.2203071721299683</v>
      </c>
      <c r="Q140" s="94">
        <f>IF(TrRoad_act!Q82=0,0,TrRoad_ene!Q85/TrRoad_tech!Q113)</f>
        <v>1.240340857767074</v>
      </c>
      <c r="R140" s="94">
        <f>IF(TrRoad_act!R82=0,0,TrRoad_ene!R85/TrRoad_tech!R113)</f>
        <v>1.40042087393155</v>
      </c>
      <c r="S140" s="94">
        <f>IF(TrRoad_act!S82=0,0,TrRoad_ene!S85/TrRoad_tech!S113)</f>
        <v>1.4182455136163508</v>
      </c>
      <c r="T140" s="94">
        <f>IF(TrRoad_act!T82=0,0,TrRoad_ene!T85/TrRoad_tech!T113)</f>
        <v>1.4900818492717174</v>
      </c>
      <c r="U140" s="94">
        <f>IF(TrRoad_act!U82=0,0,TrRoad_ene!U85/TrRoad_tech!U113)</f>
        <v>1.3982615662403508</v>
      </c>
      <c r="V140" s="94">
        <f>IF(TrRoad_act!V82=0,0,TrRoad_ene!V85/TrRoad_tech!V113)</f>
        <v>1.3546263862846986</v>
      </c>
      <c r="W140" s="94">
        <f>IF(TrRoad_act!W82=0,0,TrRoad_ene!W85/TrRoad_tech!W113)</f>
        <v>1.3217928990899925</v>
      </c>
      <c r="X140" s="94">
        <f>IF(TrRoad_act!X82=0,0,TrRoad_ene!X85/TrRoad_tech!X113)</f>
        <v>1.3741861859555728</v>
      </c>
      <c r="Y140" s="94">
        <f>IF(TrRoad_act!Y82=0,0,TrRoad_ene!Y85/TrRoad_tech!Y113)</f>
        <v>1.3228018179309942</v>
      </c>
      <c r="DA140" s="178"/>
    </row>
    <row r="141" spans="1:105" x14ac:dyDescent="0.25">
      <c r="A141" s="106"/>
      <c r="B141" s="106"/>
      <c r="C141" s="106"/>
      <c r="D141" s="106"/>
      <c r="E141" s="106"/>
      <c r="F141" s="106"/>
      <c r="G141" s="106"/>
      <c r="H141" s="106"/>
      <c r="I141" s="106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106"/>
      <c r="U141" s="106"/>
      <c r="V141" s="106"/>
      <c r="W141" s="106"/>
      <c r="X141" s="106"/>
      <c r="Y141" s="106"/>
      <c r="DA141" s="171"/>
    </row>
    <row r="142" spans="1:105" ht="11.45" customHeight="1" x14ac:dyDescent="0.25">
      <c r="A142" s="53" t="s">
        <v>122</v>
      </c>
      <c r="B142" s="79"/>
      <c r="C142" s="79"/>
      <c r="D142" s="79"/>
      <c r="E142" s="79"/>
      <c r="F142" s="79"/>
      <c r="G142" s="79"/>
      <c r="H142" s="79"/>
      <c r="I142" s="79"/>
      <c r="J142" s="79"/>
      <c r="K142" s="79"/>
      <c r="L142" s="79"/>
      <c r="M142" s="79"/>
      <c r="N142" s="79"/>
      <c r="O142" s="79"/>
      <c r="P142" s="79"/>
      <c r="Q142" s="79"/>
      <c r="R142" s="79"/>
      <c r="S142" s="79"/>
      <c r="T142" s="79"/>
      <c r="U142" s="79"/>
      <c r="V142" s="79"/>
      <c r="W142" s="79"/>
      <c r="X142" s="79"/>
      <c r="Y142" s="79"/>
      <c r="DA142" s="172"/>
    </row>
    <row r="143" spans="1:105" ht="11.45" customHeight="1" x14ac:dyDescent="0.25">
      <c r="A143" s="27" t="s">
        <v>33</v>
      </c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DA143" s="173"/>
    </row>
    <row r="144" spans="1:105" ht="11.45" customHeight="1" x14ac:dyDescent="0.25">
      <c r="A144" s="136" t="s">
        <v>173</v>
      </c>
      <c r="B144" s="141">
        <v>3.424112118104516</v>
      </c>
      <c r="C144" s="141">
        <v>3.4394598802646454</v>
      </c>
      <c r="D144" s="141">
        <v>3.4565936454693706</v>
      </c>
      <c r="E144" s="141">
        <v>3.4385268534465658</v>
      </c>
      <c r="F144" s="141">
        <v>3.4080762509292581</v>
      </c>
      <c r="G144" s="141">
        <v>3.4021812178513948</v>
      </c>
      <c r="H144" s="141">
        <v>3.3468781737252535</v>
      </c>
      <c r="I144" s="141">
        <v>3.3219409114965939</v>
      </c>
      <c r="J144" s="141">
        <v>3.2519639001406633</v>
      </c>
      <c r="K144" s="141">
        <v>3.1359292922195556</v>
      </c>
      <c r="L144" s="141">
        <v>2.9773571434560244</v>
      </c>
      <c r="M144" s="141">
        <v>2.915101025125455</v>
      </c>
      <c r="N144" s="141">
        <v>2.8209231694664463</v>
      </c>
      <c r="O144" s="141">
        <v>2.7095301020169922</v>
      </c>
      <c r="P144" s="141">
        <v>2.6321995002192935</v>
      </c>
      <c r="Q144" s="141">
        <v>2.6987826110509672</v>
      </c>
      <c r="R144" s="141">
        <v>2.5792109083867505</v>
      </c>
      <c r="S144" s="141">
        <v>2.5433393975874856</v>
      </c>
      <c r="T144" s="141">
        <v>2.5146421889480735</v>
      </c>
      <c r="U144" s="141">
        <v>2.4916844220365437</v>
      </c>
      <c r="V144" s="141">
        <v>2.4733182085073202</v>
      </c>
      <c r="W144" s="141">
        <v>2.4586252376839415</v>
      </c>
      <c r="X144" s="141">
        <v>2.4468708610252383</v>
      </c>
      <c r="Y144" s="141">
        <v>2.4374673596982759</v>
      </c>
      <c r="DA144" s="174" t="s">
        <v>887</v>
      </c>
    </row>
    <row r="145" spans="1:105" ht="11.45" customHeight="1" x14ac:dyDescent="0.25">
      <c r="A145" s="109" t="s">
        <v>20</v>
      </c>
      <c r="B145" s="130">
        <v>6.5061732143106541</v>
      </c>
      <c r="C145" s="130">
        <v>6.5601071209986905</v>
      </c>
      <c r="D145" s="130">
        <v>6.5826984300118312</v>
      </c>
      <c r="E145" s="130">
        <v>6.6043343480926158</v>
      </c>
      <c r="F145" s="130">
        <v>6.5451377163769555</v>
      </c>
      <c r="G145" s="130">
        <v>6.5466887562619647</v>
      </c>
      <c r="H145" s="130">
        <v>6.5460729870446217</v>
      </c>
      <c r="I145" s="130">
        <v>6.4487217362159184</v>
      </c>
      <c r="J145" s="130">
        <v>6.2749518266979036</v>
      </c>
      <c r="K145" s="130">
        <v>6.0256084602407416</v>
      </c>
      <c r="L145" s="130">
        <v>5.8123310617823396</v>
      </c>
      <c r="M145" s="130">
        <v>5.6338261227193041</v>
      </c>
      <c r="N145" s="130">
        <v>5.4268281525773334</v>
      </c>
      <c r="O145" s="130">
        <v>5.0145566958746164</v>
      </c>
      <c r="P145" s="130">
        <v>4.9977555904356912</v>
      </c>
      <c r="Q145" s="130">
        <v>4.8433707761014553</v>
      </c>
      <c r="R145" s="130">
        <v>4.8174284076860543</v>
      </c>
      <c r="S145" s="130">
        <v>4.8174192262747217</v>
      </c>
      <c r="T145" s="130">
        <v>4.9598535791548173</v>
      </c>
      <c r="U145" s="130">
        <v>4.9404341057171948</v>
      </c>
      <c r="V145" s="130">
        <v>4.6641698408253776</v>
      </c>
      <c r="W145" s="130">
        <v>4.422469978341856</v>
      </c>
      <c r="X145" s="130">
        <v>4.4173004907390307</v>
      </c>
      <c r="Y145" s="130">
        <v>4.343680908826304</v>
      </c>
      <c r="DA145" s="176" t="s">
        <v>888</v>
      </c>
    </row>
    <row r="146" spans="1:105" ht="11.45" customHeight="1" x14ac:dyDescent="0.25">
      <c r="A146" s="111" t="s">
        <v>110</v>
      </c>
      <c r="B146" s="96">
        <v>6.9294228726418803</v>
      </c>
      <c r="C146" s="96">
        <v>6.964765880803788</v>
      </c>
      <c r="D146" s="96">
        <v>7.004247350970549</v>
      </c>
      <c r="E146" s="96">
        <v>6.962615899755102</v>
      </c>
      <c r="F146" s="96">
        <v>6.8924483364389273</v>
      </c>
      <c r="G146" s="96">
        <v>6.8788643652676909</v>
      </c>
      <c r="H146" s="96">
        <v>6.7514291249274523</v>
      </c>
      <c r="I146" s="96">
        <v>6.6939659950807791</v>
      </c>
      <c r="J146" s="96">
        <v>6.5327174164294046</v>
      </c>
      <c r="K146" s="96">
        <v>6.2653379551020327</v>
      </c>
      <c r="L146" s="96">
        <v>5.8999389032368832</v>
      </c>
      <c r="M146" s="96">
        <v>5.7553903554609631</v>
      </c>
      <c r="N146" s="96">
        <v>5.5382331954578259</v>
      </c>
      <c r="O146" s="96">
        <v>5.2826732426376912</v>
      </c>
      <c r="P146" s="96">
        <v>5.1071301356725876</v>
      </c>
      <c r="Q146" s="96">
        <v>4.9580546573947011</v>
      </c>
      <c r="R146" s="96">
        <v>4.9501151844474487</v>
      </c>
      <c r="S146" s="96">
        <v>4.9354162233338164</v>
      </c>
      <c r="T146" s="96">
        <v>5.0336845451134637</v>
      </c>
      <c r="U146" s="96">
        <v>5.0360689057624004</v>
      </c>
      <c r="V146" s="96">
        <v>4.7657666792447673</v>
      </c>
      <c r="W146" s="96">
        <v>4.5393062284823422</v>
      </c>
      <c r="X146" s="96">
        <v>4.4700507928997322</v>
      </c>
      <c r="Y146" s="96">
        <v>4.451493852299139</v>
      </c>
      <c r="DA146" s="171" t="s">
        <v>889</v>
      </c>
    </row>
    <row r="147" spans="1:105" ht="11.45" customHeight="1" x14ac:dyDescent="0.25">
      <c r="A147" s="111" t="s">
        <v>111</v>
      </c>
      <c r="B147" s="96">
        <v>6.1169468642853921</v>
      </c>
      <c r="C147" s="96">
        <v>6.1879052325121355</v>
      </c>
      <c r="D147" s="96">
        <v>6.267713686088717</v>
      </c>
      <c r="E147" s="96">
        <v>6.3659308406309192</v>
      </c>
      <c r="F147" s="96">
        <v>6.3386545337123428</v>
      </c>
      <c r="G147" s="96">
        <v>6.3714310012852842</v>
      </c>
      <c r="H147" s="96">
        <v>6.450229221272286</v>
      </c>
      <c r="I147" s="96">
        <v>6.3407872490681134</v>
      </c>
      <c r="J147" s="96">
        <v>6.1595064438273601</v>
      </c>
      <c r="K147" s="96">
        <v>5.9183973604483242</v>
      </c>
      <c r="L147" s="96">
        <v>5.7762911688478322</v>
      </c>
      <c r="M147" s="96">
        <v>5.5928772458670082</v>
      </c>
      <c r="N147" s="96">
        <v>5.3756462247374737</v>
      </c>
      <c r="O147" s="96">
        <v>4.8988447136059667</v>
      </c>
      <c r="P147" s="96">
        <v>4.9468640580366614</v>
      </c>
      <c r="Q147" s="96">
        <v>4.8087290874390094</v>
      </c>
      <c r="R147" s="96">
        <v>4.7338766087361677</v>
      </c>
      <c r="S147" s="96">
        <v>4.7808066146321186</v>
      </c>
      <c r="T147" s="96">
        <v>4.913242432759894</v>
      </c>
      <c r="U147" s="96">
        <v>4.8561726522228401</v>
      </c>
      <c r="V147" s="96">
        <v>4.7047963442554463</v>
      </c>
      <c r="W147" s="96">
        <v>4.5243042125378761</v>
      </c>
      <c r="X147" s="96">
        <v>4.6194122982238301</v>
      </c>
      <c r="Y147" s="96">
        <v>4.5932090587683776</v>
      </c>
      <c r="DA147" s="171" t="s">
        <v>890</v>
      </c>
    </row>
    <row r="148" spans="1:105" ht="11.45" customHeight="1" x14ac:dyDescent="0.25">
      <c r="A148" s="111" t="s">
        <v>112</v>
      </c>
      <c r="B148" s="96">
        <v>0</v>
      </c>
      <c r="C148" s="96">
        <v>5.7998353102097662</v>
      </c>
      <c r="D148" s="96">
        <v>5.8746386353600411</v>
      </c>
      <c r="E148" s="96">
        <v>0</v>
      </c>
      <c r="F148" s="96">
        <v>0</v>
      </c>
      <c r="G148" s="96">
        <v>0</v>
      </c>
      <c r="H148" s="96">
        <v>0</v>
      </c>
      <c r="I148" s="96">
        <v>0</v>
      </c>
      <c r="J148" s="96">
        <v>0</v>
      </c>
      <c r="K148" s="96">
        <v>5.547229425982187</v>
      </c>
      <c r="L148" s="96">
        <v>5.1908317934082717</v>
      </c>
      <c r="M148" s="96">
        <v>5.0709259404296434</v>
      </c>
      <c r="N148" s="96">
        <v>6.8386928878027504</v>
      </c>
      <c r="O148" s="96">
        <v>4.8262347884930232</v>
      </c>
      <c r="P148" s="96">
        <v>5.2727423729232701</v>
      </c>
      <c r="Q148" s="96">
        <v>5.3852863870557872</v>
      </c>
      <c r="R148" s="96">
        <v>5.0635161805840969</v>
      </c>
      <c r="S148" s="96">
        <v>5.1318169639989506</v>
      </c>
      <c r="T148" s="96">
        <v>5.2268228083331465</v>
      </c>
      <c r="U148" s="96">
        <v>5.3826538504188655</v>
      </c>
      <c r="V148" s="96">
        <v>4.6913878363970554</v>
      </c>
      <c r="W148" s="96">
        <v>4.4866175567340081</v>
      </c>
      <c r="X148" s="96">
        <v>4.396725006747161</v>
      </c>
      <c r="Y148" s="96">
        <v>4.3548545101519611</v>
      </c>
      <c r="DA148" s="171" t="s">
        <v>891</v>
      </c>
    </row>
    <row r="149" spans="1:105" ht="11.45" customHeight="1" x14ac:dyDescent="0.25">
      <c r="A149" s="111" t="s">
        <v>113</v>
      </c>
      <c r="B149" s="96">
        <v>0</v>
      </c>
      <c r="C149" s="96">
        <v>0</v>
      </c>
      <c r="D149" s="96">
        <v>0</v>
      </c>
      <c r="E149" s="96">
        <v>0</v>
      </c>
      <c r="F149" s="96">
        <v>7.5561044315568351</v>
      </c>
      <c r="G149" s="96">
        <v>7.5412124947943253</v>
      </c>
      <c r="H149" s="96">
        <v>7.4015068434395435</v>
      </c>
      <c r="I149" s="96">
        <v>0</v>
      </c>
      <c r="J149" s="96">
        <v>7.1617359479395395</v>
      </c>
      <c r="K149" s="96">
        <v>6.868611207060181</v>
      </c>
      <c r="L149" s="96">
        <v>5.9763731586309641</v>
      </c>
      <c r="M149" s="96">
        <v>5.8287499416543476</v>
      </c>
      <c r="N149" s="96">
        <v>5.741777090285118</v>
      </c>
      <c r="O149" s="96">
        <v>5.5493954785057156</v>
      </c>
      <c r="P149" s="96">
        <v>0</v>
      </c>
      <c r="Q149" s="96">
        <v>0</v>
      </c>
      <c r="R149" s="96">
        <v>4.8585264412270002</v>
      </c>
      <c r="S149" s="96">
        <v>4.6781657366594445</v>
      </c>
      <c r="T149" s="96">
        <v>5.7912547898192166</v>
      </c>
      <c r="U149" s="96">
        <v>4.9298496169689789</v>
      </c>
      <c r="V149" s="96">
        <v>4.8326734153844804</v>
      </c>
      <c r="W149" s="96">
        <v>4.5771000924904417</v>
      </c>
      <c r="X149" s="96">
        <v>4.4235873691056318</v>
      </c>
      <c r="Y149" s="96">
        <v>4.442190140853632</v>
      </c>
      <c r="DA149" s="171" t="s">
        <v>892</v>
      </c>
    </row>
    <row r="150" spans="1:105" ht="11.45" customHeight="1" x14ac:dyDescent="0.25">
      <c r="A150" s="111" t="s">
        <v>114</v>
      </c>
      <c r="B150" s="96">
        <v>0</v>
      </c>
      <c r="C150" s="96">
        <v>0</v>
      </c>
      <c r="D150" s="96">
        <v>0</v>
      </c>
      <c r="E150" s="96">
        <v>0</v>
      </c>
      <c r="F150" s="96">
        <v>0</v>
      </c>
      <c r="G150" s="96">
        <v>0</v>
      </c>
      <c r="H150" s="96">
        <v>0</v>
      </c>
      <c r="I150" s="96">
        <v>0</v>
      </c>
      <c r="J150" s="96">
        <v>0</v>
      </c>
      <c r="K150" s="96">
        <v>0</v>
      </c>
      <c r="L150" s="96">
        <v>0</v>
      </c>
      <c r="M150" s="96">
        <v>3.1859250973627224</v>
      </c>
      <c r="N150" s="96">
        <v>2.620437816167386</v>
      </c>
      <c r="O150" s="96">
        <v>3.7765855366310812</v>
      </c>
      <c r="P150" s="96">
        <v>2.8123110076656506</v>
      </c>
      <c r="Q150" s="96">
        <v>2.7687420849997433</v>
      </c>
      <c r="R150" s="96">
        <v>2.9466846414459456</v>
      </c>
      <c r="S150" s="96">
        <v>3.122794669104489</v>
      </c>
      <c r="T150" s="96">
        <v>2.8776750711791452</v>
      </c>
      <c r="U150" s="96">
        <v>3.1994475174096468</v>
      </c>
      <c r="V150" s="96">
        <v>3.3410886446769856</v>
      </c>
      <c r="W150" s="96">
        <v>2.6765150758525342</v>
      </c>
      <c r="X150" s="96">
        <v>2.6712530873742035</v>
      </c>
      <c r="Y150" s="96">
        <v>2.5595102237658995</v>
      </c>
      <c r="DA150" s="171" t="s">
        <v>893</v>
      </c>
    </row>
    <row r="151" spans="1:105" ht="11.45" customHeight="1" x14ac:dyDescent="0.25">
      <c r="A151" s="111" t="s">
        <v>115</v>
      </c>
      <c r="B151" s="96">
        <v>0</v>
      </c>
      <c r="C151" s="96">
        <v>0</v>
      </c>
      <c r="D151" s="96">
        <v>0</v>
      </c>
      <c r="E151" s="96">
        <v>0</v>
      </c>
      <c r="F151" s="96">
        <v>0</v>
      </c>
      <c r="G151" s="96">
        <v>0</v>
      </c>
      <c r="H151" s="96">
        <v>0</v>
      </c>
      <c r="I151" s="96">
        <v>0</v>
      </c>
      <c r="J151" s="96">
        <v>0</v>
      </c>
      <c r="K151" s="96">
        <v>1.2208913782356174</v>
      </c>
      <c r="L151" s="96">
        <v>1.2037833190025795</v>
      </c>
      <c r="M151" s="96">
        <v>1.2037833190025795</v>
      </c>
      <c r="N151" s="96">
        <v>1.2037833190025795</v>
      </c>
      <c r="O151" s="96">
        <v>1.2413855058328305</v>
      </c>
      <c r="P151" s="96">
        <v>1.2314309501387257</v>
      </c>
      <c r="Q151" s="96">
        <v>1.2412629838127396</v>
      </c>
      <c r="R151" s="96">
        <v>1.2026477555200643</v>
      </c>
      <c r="S151" s="96">
        <v>1.2279095519098615</v>
      </c>
      <c r="T151" s="96">
        <v>1.3484983417270604</v>
      </c>
      <c r="U151" s="96">
        <v>1.4664428536015168</v>
      </c>
      <c r="V151" s="96">
        <v>1.5108356311269941</v>
      </c>
      <c r="W151" s="96">
        <v>1.4426710791974608</v>
      </c>
      <c r="X151" s="96">
        <v>1.4336072595098839</v>
      </c>
      <c r="Y151" s="96">
        <v>1.4240751345266431</v>
      </c>
      <c r="DA151" s="171" t="s">
        <v>894</v>
      </c>
    </row>
    <row r="152" spans="1:105" ht="11.45" customHeight="1" x14ac:dyDescent="0.25">
      <c r="A152" s="109" t="s">
        <v>21</v>
      </c>
      <c r="B152" s="130">
        <v>46.578436990213994</v>
      </c>
      <c r="C152" s="130">
        <v>46.032985332073054</v>
      </c>
      <c r="D152" s="130">
        <v>45.894231162584283</v>
      </c>
      <c r="E152" s="130">
        <v>45.712297869384038</v>
      </c>
      <c r="F152" s="130">
        <v>46.017099754843059</v>
      </c>
      <c r="G152" s="130">
        <v>46.4469017261913</v>
      </c>
      <c r="H152" s="130">
        <v>45.937285252636251</v>
      </c>
      <c r="I152" s="130">
        <v>44.920102675840184</v>
      </c>
      <c r="J152" s="130">
        <v>45.832806832505504</v>
      </c>
      <c r="K152" s="130">
        <v>45.334832101544428</v>
      </c>
      <c r="L152" s="130">
        <v>44.504178879900721</v>
      </c>
      <c r="M152" s="130">
        <v>44.15574257910388</v>
      </c>
      <c r="N152" s="130">
        <v>43.759684147611324</v>
      </c>
      <c r="O152" s="130">
        <v>42.213099753906398</v>
      </c>
      <c r="P152" s="130">
        <v>42.754699001470961</v>
      </c>
      <c r="Q152" s="130">
        <v>40.488203055411979</v>
      </c>
      <c r="R152" s="130">
        <v>40.866178661599591</v>
      </c>
      <c r="S152" s="130">
        <v>40.576738856085051</v>
      </c>
      <c r="T152" s="130">
        <v>38.454633476004609</v>
      </c>
      <c r="U152" s="130">
        <v>37.74903351058942</v>
      </c>
      <c r="V152" s="130">
        <v>36.624990487624757</v>
      </c>
      <c r="W152" s="130">
        <v>34.542927314209493</v>
      </c>
      <c r="X152" s="130">
        <v>33.186612473759311</v>
      </c>
      <c r="Y152" s="130">
        <v>30.381283015121085</v>
      </c>
      <c r="DA152" s="176" t="s">
        <v>895</v>
      </c>
    </row>
    <row r="153" spans="1:105" ht="11.45" customHeight="1" x14ac:dyDescent="0.25">
      <c r="A153" s="111" t="s">
        <v>110</v>
      </c>
      <c r="B153" s="97">
        <v>0</v>
      </c>
      <c r="C153" s="97">
        <v>14.384627673982825</v>
      </c>
      <c r="D153" s="97">
        <v>14.466170436236416</v>
      </c>
      <c r="E153" s="97">
        <v>14.380187226533369</v>
      </c>
      <c r="F153" s="97">
        <v>14.235267168864857</v>
      </c>
      <c r="G153" s="97">
        <v>0</v>
      </c>
      <c r="H153" s="97">
        <v>13.94401418388482</v>
      </c>
      <c r="I153" s="97">
        <v>13.825333133872167</v>
      </c>
      <c r="J153" s="97">
        <v>13.492299575163186</v>
      </c>
      <c r="K153" s="97">
        <v>12.940069383267566</v>
      </c>
      <c r="L153" s="97">
        <v>12.185395155380974</v>
      </c>
      <c r="M153" s="97">
        <v>11.889106756701317</v>
      </c>
      <c r="N153" s="97">
        <v>11.440896897292367</v>
      </c>
      <c r="O153" s="97">
        <v>10.910756656242231</v>
      </c>
      <c r="P153" s="97">
        <v>10.542725998533786</v>
      </c>
      <c r="Q153" s="97">
        <v>10.222661405496087</v>
      </c>
      <c r="R153" s="97">
        <v>9.9329766769355281</v>
      </c>
      <c r="S153" s="97">
        <v>9.6696064634960237</v>
      </c>
      <c r="T153" s="97">
        <v>9.4291106660438757</v>
      </c>
      <c r="U153" s="97">
        <v>9.2085650709340641</v>
      </c>
      <c r="V153" s="97">
        <v>0</v>
      </c>
      <c r="W153" s="97">
        <v>8.817697132625737</v>
      </c>
      <c r="X153" s="97">
        <v>8.6433963092520383</v>
      </c>
      <c r="Y153" s="97">
        <v>8.4809838909964483</v>
      </c>
      <c r="DA153" s="175" t="s">
        <v>896</v>
      </c>
    </row>
    <row r="154" spans="1:105" ht="11.45" customHeight="1" x14ac:dyDescent="0.25">
      <c r="A154" s="111" t="s">
        <v>111</v>
      </c>
      <c r="B154" s="97">
        <v>46.578436990213994</v>
      </c>
      <c r="C154" s="97">
        <v>46.637590576585545</v>
      </c>
      <c r="D154" s="97">
        <v>46.703404895908101</v>
      </c>
      <c r="E154" s="97">
        <v>46.633695879105403</v>
      </c>
      <c r="F154" s="97">
        <v>46.515310298929329</v>
      </c>
      <c r="G154" s="97">
        <v>46.492357714994398</v>
      </c>
      <c r="H154" s="97">
        <v>46.273998829297781</v>
      </c>
      <c r="I154" s="97">
        <v>46.174903819859125</v>
      </c>
      <c r="J154" s="97">
        <v>45.891714860296659</v>
      </c>
      <c r="K154" s="97">
        <v>45.407264934153545</v>
      </c>
      <c r="L154" s="97">
        <v>44.714935934537671</v>
      </c>
      <c r="M154" s="97">
        <v>44.438075642549897</v>
      </c>
      <c r="N154" s="97">
        <v>44.007069173729576</v>
      </c>
      <c r="O154" s="97">
        <v>43.47892233901355</v>
      </c>
      <c r="P154" s="97">
        <v>43.102759265917214</v>
      </c>
      <c r="Q154" s="97">
        <v>42.767999999909243</v>
      </c>
      <c r="R154" s="97">
        <v>42.129188648260872</v>
      </c>
      <c r="S154" s="97">
        <v>41.229921308875724</v>
      </c>
      <c r="T154" s="97">
        <v>40.113508382585557</v>
      </c>
      <c r="U154" s="97">
        <v>38.821529992797814</v>
      </c>
      <c r="V154" s="97">
        <v>37.392811414555972</v>
      </c>
      <c r="W154" s="97">
        <v>35.862760515771022</v>
      </c>
      <c r="X154" s="97">
        <v>34.263003089119259</v>
      </c>
      <c r="Y154" s="97">
        <v>32.621252807985421</v>
      </c>
      <c r="DA154" s="175" t="s">
        <v>897</v>
      </c>
    </row>
    <row r="155" spans="1:105" ht="11.45" customHeight="1" x14ac:dyDescent="0.25">
      <c r="A155" s="111" t="s">
        <v>112</v>
      </c>
      <c r="B155" s="97">
        <v>0</v>
      </c>
      <c r="C155" s="97">
        <v>0</v>
      </c>
      <c r="D155" s="97">
        <v>0</v>
      </c>
      <c r="E155" s="97">
        <v>0</v>
      </c>
      <c r="F155" s="97">
        <v>0</v>
      </c>
      <c r="G155" s="97">
        <v>0</v>
      </c>
      <c r="H155" s="97">
        <v>0</v>
      </c>
      <c r="I155" s="97">
        <v>0</v>
      </c>
      <c r="J155" s="97">
        <v>0</v>
      </c>
      <c r="K155" s="97">
        <v>0</v>
      </c>
      <c r="L155" s="97">
        <v>0</v>
      </c>
      <c r="M155" s="97">
        <v>0</v>
      </c>
      <c r="N155" s="97">
        <v>0</v>
      </c>
      <c r="O155" s="97">
        <v>0</v>
      </c>
      <c r="P155" s="97">
        <v>36.281783893869708</v>
      </c>
      <c r="Q155" s="97">
        <v>35.99999999992361</v>
      </c>
      <c r="R155" s="97">
        <v>35.712517869905902</v>
      </c>
      <c r="S155" s="97">
        <v>0</v>
      </c>
      <c r="T155" s="97">
        <v>0</v>
      </c>
      <c r="U155" s="97">
        <v>34.82492488311982</v>
      </c>
      <c r="V155" s="97">
        <v>34.523223703882273</v>
      </c>
      <c r="W155" s="97">
        <v>34.219674116541377</v>
      </c>
      <c r="X155" s="97">
        <v>33.914813387959171</v>
      </c>
      <c r="Y155" s="97">
        <v>33.609118827673761</v>
      </c>
      <c r="DA155" s="175" t="s">
        <v>898</v>
      </c>
    </row>
    <row r="156" spans="1:105" ht="11.45" customHeight="1" x14ac:dyDescent="0.25">
      <c r="A156" s="111" t="s">
        <v>113</v>
      </c>
      <c r="B156" s="97">
        <v>0</v>
      </c>
      <c r="C156" s="97">
        <v>39.257231125072003</v>
      </c>
      <c r="D156" s="97">
        <v>0</v>
      </c>
      <c r="E156" s="97">
        <v>39.25395276018974</v>
      </c>
      <c r="F156" s="97">
        <v>39.154301598425363</v>
      </c>
      <c r="G156" s="97">
        <v>39.134981241577776</v>
      </c>
      <c r="H156" s="97">
        <v>38.951177465738873</v>
      </c>
      <c r="I156" s="97">
        <v>38.867764158130576</v>
      </c>
      <c r="J156" s="97">
        <v>0</v>
      </c>
      <c r="K156" s="97">
        <v>38.221603479927232</v>
      </c>
      <c r="L156" s="97">
        <v>0</v>
      </c>
      <c r="M156" s="97">
        <v>0</v>
      </c>
      <c r="N156" s="97">
        <v>37.042987519974396</v>
      </c>
      <c r="O156" s="97">
        <v>36.598419477284132</v>
      </c>
      <c r="P156" s="97">
        <v>0</v>
      </c>
      <c r="Q156" s="97">
        <v>35.99999999992361</v>
      </c>
      <c r="R156" s="97">
        <v>35.785837649115493</v>
      </c>
      <c r="S156" s="97">
        <v>35.62229431261526</v>
      </c>
      <c r="T156" s="97">
        <v>35.48900275556413</v>
      </c>
      <c r="U156" s="97">
        <v>35.373858073855452</v>
      </c>
      <c r="V156" s="97">
        <v>35.269645714503739</v>
      </c>
      <c r="W156" s="97">
        <v>35.172058457105244</v>
      </c>
      <c r="X156" s="97">
        <v>35.078522121145362</v>
      </c>
      <c r="Y156" s="97">
        <v>34.987497242138161</v>
      </c>
      <c r="DA156" s="175" t="s">
        <v>899</v>
      </c>
    </row>
    <row r="157" spans="1:105" ht="11.45" customHeight="1" x14ac:dyDescent="0.25">
      <c r="A157" s="111" t="s">
        <v>115</v>
      </c>
      <c r="B157" s="97">
        <v>0</v>
      </c>
      <c r="C157" s="97">
        <v>0</v>
      </c>
      <c r="D157" s="97">
        <v>0</v>
      </c>
      <c r="E157" s="97">
        <v>0</v>
      </c>
      <c r="F157" s="97">
        <v>0</v>
      </c>
      <c r="G157" s="97">
        <v>0</v>
      </c>
      <c r="H157" s="97">
        <v>0</v>
      </c>
      <c r="I157" s="97">
        <v>0</v>
      </c>
      <c r="J157" s="97">
        <v>0</v>
      </c>
      <c r="K157" s="97">
        <v>0</v>
      </c>
      <c r="L157" s="97">
        <v>0</v>
      </c>
      <c r="M157" s="97">
        <v>0</v>
      </c>
      <c r="N157" s="97">
        <v>0</v>
      </c>
      <c r="O157" s="97">
        <v>23.016022963176322</v>
      </c>
      <c r="P157" s="97">
        <v>21.580037153080024</v>
      </c>
      <c r="Q157" s="97">
        <v>21.364236781549224</v>
      </c>
      <c r="R157" s="97">
        <v>21.066002846292239</v>
      </c>
      <c r="S157" s="97">
        <v>20.697147731351841</v>
      </c>
      <c r="T157" s="97">
        <v>20.268849839423407</v>
      </c>
      <c r="U157" s="97">
        <v>19.791510045358276</v>
      </c>
      <c r="V157" s="97">
        <v>19.274665733315203</v>
      </c>
      <c r="W157" s="97">
        <v>18.726950713602669</v>
      </c>
      <c r="X157" s="97">
        <v>18.156090522038799</v>
      </c>
      <c r="Y157" s="97">
        <v>17.56892402581483</v>
      </c>
      <c r="DA157" s="175" t="s">
        <v>900</v>
      </c>
    </row>
    <row r="158" spans="1:105" ht="11.45" customHeight="1" x14ac:dyDescent="0.25">
      <c r="A158" s="27" t="s">
        <v>34</v>
      </c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DA158" s="173"/>
    </row>
    <row r="159" spans="1:105" ht="11.45" customHeight="1" x14ac:dyDescent="0.25">
      <c r="A159" s="136" t="s">
        <v>153</v>
      </c>
      <c r="B159" s="141">
        <v>0</v>
      </c>
      <c r="C159" s="141">
        <v>7.4710378869353278</v>
      </c>
      <c r="D159" s="141">
        <v>7.5117301538214107</v>
      </c>
      <c r="E159" s="141">
        <v>7.560888150074943</v>
      </c>
      <c r="F159" s="141">
        <v>7.5700424616650759</v>
      </c>
      <c r="G159" s="141">
        <v>7.6013390646244918</v>
      </c>
      <c r="H159" s="141">
        <v>7.6503458970847449</v>
      </c>
      <c r="I159" s="141">
        <v>7.6847273600594086</v>
      </c>
      <c r="J159" s="141">
        <v>7.672562875544509</v>
      </c>
      <c r="K159" s="141">
        <v>7.572379601302675</v>
      </c>
      <c r="L159" s="141">
        <v>7.7871024019021462</v>
      </c>
      <c r="M159" s="141">
        <v>7.8926666032528923</v>
      </c>
      <c r="N159" s="141">
        <v>6.7789552486549143</v>
      </c>
      <c r="O159" s="141">
        <v>6.0105242614368848</v>
      </c>
      <c r="P159" s="141">
        <v>6.8388275604565312</v>
      </c>
      <c r="Q159" s="141">
        <v>6.7369836572348811</v>
      </c>
      <c r="R159" s="141">
        <v>5.8615017727166832</v>
      </c>
      <c r="S159" s="141">
        <v>5.69512700141384</v>
      </c>
      <c r="T159" s="141">
        <v>5.4837211003116089</v>
      </c>
      <c r="U159" s="141">
        <v>5.910284246014414</v>
      </c>
      <c r="V159" s="141">
        <v>6.2732121934195657</v>
      </c>
      <c r="W159" s="141">
        <v>6.0196662926887683</v>
      </c>
      <c r="X159" s="141">
        <v>5.7575092965868198</v>
      </c>
      <c r="Y159" s="141">
        <v>5.5827117852111616</v>
      </c>
      <c r="DA159" s="174" t="s">
        <v>901</v>
      </c>
    </row>
    <row r="160" spans="1:105" ht="11.45" customHeight="1" x14ac:dyDescent="0.25">
      <c r="A160" s="111" t="s">
        <v>110</v>
      </c>
      <c r="B160" s="96">
        <v>0</v>
      </c>
      <c r="C160" s="96">
        <v>8.3832177280721929</v>
      </c>
      <c r="D160" s="96">
        <v>0</v>
      </c>
      <c r="E160" s="96">
        <v>0</v>
      </c>
      <c r="F160" s="96">
        <v>0</v>
      </c>
      <c r="G160" s="96">
        <v>0</v>
      </c>
      <c r="H160" s="96">
        <v>0</v>
      </c>
      <c r="I160" s="96">
        <v>0</v>
      </c>
      <c r="J160" s="96">
        <v>0</v>
      </c>
      <c r="K160" s="96">
        <v>0</v>
      </c>
      <c r="L160" s="96">
        <v>0</v>
      </c>
      <c r="M160" s="96">
        <v>6.7971293427105763</v>
      </c>
      <c r="N160" s="96">
        <v>6.6720790912977179</v>
      </c>
      <c r="O160" s="96">
        <v>6.5569889756143356</v>
      </c>
      <c r="P160" s="96">
        <v>6.0199285103839415</v>
      </c>
      <c r="Q160" s="96">
        <v>5.7976846331142022</v>
      </c>
      <c r="R160" s="96">
        <v>5.2988335348058122</v>
      </c>
      <c r="S160" s="96">
        <v>5.1096177137837611</v>
      </c>
      <c r="T160" s="96">
        <v>5.2117751413359548</v>
      </c>
      <c r="U160" s="96">
        <v>5.7224396455327824</v>
      </c>
      <c r="V160" s="96">
        <v>5.6084828767811041</v>
      </c>
      <c r="W160" s="96">
        <v>5.6432952097820115</v>
      </c>
      <c r="X160" s="96">
        <v>5.7207376187077372</v>
      </c>
      <c r="Y160" s="96">
        <v>5.9677342196596257</v>
      </c>
      <c r="DA160" s="171" t="s">
        <v>902</v>
      </c>
    </row>
    <row r="161" spans="1:105" ht="11.45" customHeight="1" x14ac:dyDescent="0.25">
      <c r="A161" s="111" t="s">
        <v>111</v>
      </c>
      <c r="B161" s="96">
        <v>0</v>
      </c>
      <c r="C161" s="96">
        <v>7.5627989519336802</v>
      </c>
      <c r="D161" s="96">
        <v>7.6603400852227193</v>
      </c>
      <c r="E161" s="96">
        <v>7.7803801578358103</v>
      </c>
      <c r="F161" s="96">
        <v>7.7470433148129789</v>
      </c>
      <c r="G161" s="96">
        <v>7.7871024019021462</v>
      </c>
      <c r="H161" s="96">
        <v>7.8834088373014524</v>
      </c>
      <c r="I161" s="96">
        <v>7.7496498992468617</v>
      </c>
      <c r="J161" s="96">
        <v>7.3855372943134796</v>
      </c>
      <c r="K161" s="96">
        <v>7.1073989152303358</v>
      </c>
      <c r="L161" s="96">
        <v>6.8576695929286133</v>
      </c>
      <c r="M161" s="96">
        <v>6.592183621410169</v>
      </c>
      <c r="N161" s="96">
        <v>6.5700637140988905</v>
      </c>
      <c r="O161" s="96">
        <v>5.7843844580628163</v>
      </c>
      <c r="P161" s="96">
        <v>6.2034856371715223</v>
      </c>
      <c r="Q161" s="96">
        <v>6.1397282344732522</v>
      </c>
      <c r="R161" s="96">
        <v>5.8747513367149171</v>
      </c>
      <c r="S161" s="96">
        <v>5.660248202852098</v>
      </c>
      <c r="T161" s="96">
        <v>5.492898686297857</v>
      </c>
      <c r="U161" s="96">
        <v>6.0099464169361401</v>
      </c>
      <c r="V161" s="96">
        <v>6.3661311352652863</v>
      </c>
      <c r="W161" s="96">
        <v>6.1495384782574005</v>
      </c>
      <c r="X161" s="96">
        <v>5.9572924377853882</v>
      </c>
      <c r="Y161" s="96">
        <v>5.8885374015852596</v>
      </c>
      <c r="DA161" s="171" t="s">
        <v>903</v>
      </c>
    </row>
    <row r="162" spans="1:105" ht="11.45" customHeight="1" x14ac:dyDescent="0.25">
      <c r="A162" s="111" t="s">
        <v>112</v>
      </c>
      <c r="B162" s="96">
        <v>0</v>
      </c>
      <c r="C162" s="96">
        <v>0</v>
      </c>
      <c r="D162" s="96">
        <v>0</v>
      </c>
      <c r="E162" s="96">
        <v>0</v>
      </c>
      <c r="F162" s="96">
        <v>0</v>
      </c>
      <c r="G162" s="96">
        <v>0</v>
      </c>
      <c r="H162" s="96">
        <v>0</v>
      </c>
      <c r="I162" s="96">
        <v>0</v>
      </c>
      <c r="J162" s="96">
        <v>0</v>
      </c>
      <c r="K162" s="96">
        <v>0</v>
      </c>
      <c r="L162" s="96">
        <v>0</v>
      </c>
      <c r="M162" s="96">
        <v>0</v>
      </c>
      <c r="N162" s="96">
        <v>0</v>
      </c>
      <c r="O162" s="96">
        <v>10.090964070494559</v>
      </c>
      <c r="P162" s="96">
        <v>5.6363270479761258</v>
      </c>
      <c r="Q162" s="96">
        <v>5.8594194948419194</v>
      </c>
      <c r="R162" s="96">
        <v>5.3239545368295573</v>
      </c>
      <c r="S162" s="96">
        <v>4.6254353436051403</v>
      </c>
      <c r="T162" s="96">
        <v>4.6272690162474106</v>
      </c>
      <c r="U162" s="96">
        <v>4.6464262112888939</v>
      </c>
      <c r="V162" s="96">
        <v>6.3033598135432118</v>
      </c>
      <c r="W162" s="96">
        <v>6.1294576070133697</v>
      </c>
      <c r="X162" s="96">
        <v>6.4555218425725656</v>
      </c>
      <c r="Y162" s="96">
        <v>5.9426521164939592</v>
      </c>
      <c r="DA162" s="171" t="s">
        <v>904</v>
      </c>
    </row>
    <row r="163" spans="1:105" ht="11.45" customHeight="1" x14ac:dyDescent="0.25">
      <c r="A163" s="111" t="s">
        <v>113</v>
      </c>
      <c r="B163" s="96">
        <v>0</v>
      </c>
      <c r="C163" s="96">
        <v>0</v>
      </c>
      <c r="D163" s="96">
        <v>0</v>
      </c>
      <c r="E163" s="96">
        <v>0</v>
      </c>
      <c r="F163" s="96">
        <v>0</v>
      </c>
      <c r="G163" s="96">
        <v>0</v>
      </c>
      <c r="H163" s="96">
        <v>0</v>
      </c>
      <c r="I163" s="96">
        <v>0</v>
      </c>
      <c r="J163" s="96">
        <v>0</v>
      </c>
      <c r="K163" s="96">
        <v>0</v>
      </c>
      <c r="L163" s="96">
        <v>0</v>
      </c>
      <c r="M163" s="96">
        <v>0</v>
      </c>
      <c r="N163" s="96">
        <v>11.826690120035495</v>
      </c>
      <c r="O163" s="96">
        <v>12.022026398787469</v>
      </c>
      <c r="P163" s="96">
        <v>6.5214297045992637</v>
      </c>
      <c r="Q163" s="96">
        <v>9.7066584446483919</v>
      </c>
      <c r="R163" s="96">
        <v>5.8681659275450233</v>
      </c>
      <c r="S163" s="96">
        <v>6.8772298769431544</v>
      </c>
      <c r="T163" s="96">
        <v>6.6175055372046776</v>
      </c>
      <c r="U163" s="96">
        <v>6.3187729740174658</v>
      </c>
      <c r="V163" s="96">
        <v>7.6942751321097127</v>
      </c>
      <c r="W163" s="96">
        <v>8.7403163622437905</v>
      </c>
      <c r="X163" s="96">
        <v>7.2546592330470654</v>
      </c>
      <c r="Y163" s="96">
        <v>9.178886990850927</v>
      </c>
      <c r="DA163" s="171" t="s">
        <v>905</v>
      </c>
    </row>
    <row r="164" spans="1:105" ht="11.45" customHeight="1" x14ac:dyDescent="0.25">
      <c r="A164" s="111" t="s">
        <v>115</v>
      </c>
      <c r="B164" s="96">
        <v>0</v>
      </c>
      <c r="C164" s="96">
        <v>0</v>
      </c>
      <c r="D164" s="96">
        <v>0</v>
      </c>
      <c r="E164" s="96">
        <v>0</v>
      </c>
      <c r="F164" s="96">
        <v>0</v>
      </c>
      <c r="G164" s="96">
        <v>0</v>
      </c>
      <c r="H164" s="96">
        <v>0</v>
      </c>
      <c r="I164" s="96">
        <v>0</v>
      </c>
      <c r="J164" s="96">
        <v>0</v>
      </c>
      <c r="K164" s="96">
        <v>0</v>
      </c>
      <c r="L164" s="96">
        <v>0</v>
      </c>
      <c r="M164" s="96">
        <v>1.3566283477464831</v>
      </c>
      <c r="N164" s="96">
        <v>1.3327601031814273</v>
      </c>
      <c r="O164" s="96">
        <v>1.4664693850996835</v>
      </c>
      <c r="P164" s="96">
        <v>1.47900239658989</v>
      </c>
      <c r="Q164" s="96">
        <v>1.46143752151692</v>
      </c>
      <c r="R164" s="96">
        <v>1.4373612126764224</v>
      </c>
      <c r="S164" s="96">
        <v>1.4374625120973232</v>
      </c>
      <c r="T164" s="96">
        <v>1.5890372826416423</v>
      </c>
      <c r="U164" s="96">
        <v>1.6948241933901564</v>
      </c>
      <c r="V164" s="96">
        <v>1.8527312107272289</v>
      </c>
      <c r="W164" s="96">
        <v>1.9440909525174359</v>
      </c>
      <c r="X164" s="96">
        <v>1.8869444626891352</v>
      </c>
      <c r="Y164" s="96">
        <v>1.8980473988357043</v>
      </c>
      <c r="DA164" s="171" t="s">
        <v>906</v>
      </c>
    </row>
    <row r="165" spans="1:105" ht="11.45" customHeight="1" x14ac:dyDescent="0.25">
      <c r="A165" s="109" t="s">
        <v>154</v>
      </c>
      <c r="B165" s="130">
        <v>33.546147315091126</v>
      </c>
      <c r="C165" s="130">
        <v>32.226175501564491</v>
      </c>
      <c r="D165" s="130">
        <v>32.010520803601899</v>
      </c>
      <c r="E165" s="130">
        <v>31.715218505897841</v>
      </c>
      <c r="F165" s="130">
        <v>31.535325908620962</v>
      </c>
      <c r="G165" s="130">
        <v>31.053716729534031</v>
      </c>
      <c r="H165" s="130">
        <v>30.618111871521261</v>
      </c>
      <c r="I165" s="130">
        <v>30.141244607867652</v>
      </c>
      <c r="J165" s="130">
        <v>29.518826251523485</v>
      </c>
      <c r="K165" s="130">
        <v>28.959206042596215</v>
      </c>
      <c r="L165" s="130">
        <v>28.445858652235952</v>
      </c>
      <c r="M165" s="130">
        <v>27.824831173733571</v>
      </c>
      <c r="N165" s="130">
        <v>27.136284357294034</v>
      </c>
      <c r="O165" s="130">
        <v>27.468527229649929</v>
      </c>
      <c r="P165" s="130">
        <v>26.515286169677363</v>
      </c>
      <c r="Q165" s="130">
        <v>25.657548815737584</v>
      </c>
      <c r="R165" s="130">
        <v>23.656355952579677</v>
      </c>
      <c r="S165" s="130">
        <v>22.341737049196212</v>
      </c>
      <c r="T165" s="130">
        <v>21.493975572441652</v>
      </c>
      <c r="U165" s="130">
        <v>21.063501370868462</v>
      </c>
      <c r="V165" s="130">
        <v>20.756615549868979</v>
      </c>
      <c r="W165" s="130">
        <v>21.168393813927317</v>
      </c>
      <c r="X165" s="130">
        <v>20.747986406190208</v>
      </c>
      <c r="Y165" s="130">
        <v>20.267164381083219</v>
      </c>
      <c r="DA165" s="176" t="s">
        <v>907</v>
      </c>
    </row>
    <row r="166" spans="1:105" ht="11.45" customHeight="1" x14ac:dyDescent="0.25">
      <c r="A166" s="128" t="s">
        <v>27</v>
      </c>
      <c r="B166" s="97">
        <v>0</v>
      </c>
      <c r="C166" s="97">
        <v>32.149484536018456</v>
      </c>
      <c r="D166" s="97">
        <v>31.930592991825058</v>
      </c>
      <c r="E166" s="97">
        <v>31.658032275761805</v>
      </c>
      <c r="F166" s="97">
        <v>31.332494969741767</v>
      </c>
      <c r="G166" s="97">
        <v>30.954802431532684</v>
      </c>
      <c r="H166" s="97">
        <v>30.525899672792775</v>
      </c>
      <c r="I166" s="97">
        <v>30.046849538218733</v>
      </c>
      <c r="J166" s="97">
        <v>29.518826251523485</v>
      </c>
      <c r="K166" s="97">
        <v>28.943108399077506</v>
      </c>
      <c r="L166" s="97">
        <v>28.321071428493447</v>
      </c>
      <c r="M166" s="97">
        <v>27.654179740637844</v>
      </c>
      <c r="N166" s="97">
        <v>26.943978456593765</v>
      </c>
      <c r="O166" s="97">
        <v>26.192084942052283</v>
      </c>
      <c r="P166" s="97">
        <v>25.400180169670563</v>
      </c>
      <c r="Q166" s="97">
        <v>24.569999999947861</v>
      </c>
      <c r="R166" s="97">
        <v>23.406583178358289</v>
      </c>
      <c r="S166" s="97">
        <v>22.049263553170459</v>
      </c>
      <c r="T166" s="97">
        <v>21.167005796798367</v>
      </c>
      <c r="U166" s="97">
        <v>20.691943927982628</v>
      </c>
      <c r="V166" s="97">
        <v>20.639086983778217</v>
      </c>
      <c r="W166" s="97">
        <v>20.513078458578342</v>
      </c>
      <c r="X166" s="97">
        <v>20.400064234112126</v>
      </c>
      <c r="Y166" s="97">
        <v>20.196063591771004</v>
      </c>
      <c r="DA166" s="175" t="s">
        <v>908</v>
      </c>
    </row>
    <row r="167" spans="1:105" ht="11.45" customHeight="1" x14ac:dyDescent="0.25">
      <c r="A167" s="138" t="s">
        <v>116</v>
      </c>
      <c r="B167" s="98">
        <v>33.546147315091126</v>
      </c>
      <c r="C167" s="98">
        <v>33.402061855603584</v>
      </c>
      <c r="D167" s="98">
        <v>33.242692617271175</v>
      </c>
      <c r="E167" s="98">
        <v>33.04424825123408</v>
      </c>
      <c r="F167" s="98">
        <v>32.807233008364037</v>
      </c>
      <c r="G167" s="98">
        <v>32.532244897882101</v>
      </c>
      <c r="H167" s="98">
        <v>32.219971958189838</v>
      </c>
      <c r="I167" s="98">
        <v>31.871188018858444</v>
      </c>
      <c r="J167" s="98">
        <v>0</v>
      </c>
      <c r="K167" s="98">
        <v>31.067582811954381</v>
      </c>
      <c r="L167" s="98">
        <v>30.614693877473673</v>
      </c>
      <c r="M167" s="98">
        <v>30.129147390351896</v>
      </c>
      <c r="N167" s="98">
        <v>29.612068313049569</v>
      </c>
      <c r="O167" s="98">
        <v>29.064634207446638</v>
      </c>
      <c r="P167" s="98">
        <v>28.488068946000222</v>
      </c>
      <c r="Q167" s="98">
        <v>27.883636363577196</v>
      </c>
      <c r="R167" s="98">
        <v>27.103246514875242</v>
      </c>
      <c r="S167" s="98">
        <v>26.556973620783872</v>
      </c>
      <c r="T167" s="98">
        <v>25.983387081987935</v>
      </c>
      <c r="U167" s="98">
        <v>25.282336867904011</v>
      </c>
      <c r="V167" s="98">
        <v>24.879360481322131</v>
      </c>
      <c r="W167" s="98">
        <v>24.748425433669372</v>
      </c>
      <c r="X167" s="98">
        <v>24.612077098006637</v>
      </c>
      <c r="Y167" s="98">
        <v>24.36595632702657</v>
      </c>
      <c r="DA167" s="178" t="s">
        <v>909</v>
      </c>
    </row>
    <row r="168" spans="1:105" x14ac:dyDescent="0.25">
      <c r="A168" s="106"/>
      <c r="B168" s="106"/>
      <c r="C168" s="106"/>
      <c r="D168" s="106"/>
      <c r="E168" s="106"/>
      <c r="F168" s="106"/>
      <c r="G168" s="106"/>
      <c r="H168" s="106"/>
      <c r="I168" s="106"/>
      <c r="J168" s="106"/>
      <c r="K168" s="106"/>
      <c r="L168" s="106"/>
      <c r="M168" s="106"/>
      <c r="N168" s="106"/>
      <c r="O168" s="106"/>
      <c r="P168" s="106"/>
      <c r="Q168" s="106"/>
      <c r="R168" s="106"/>
      <c r="S168" s="106"/>
      <c r="T168" s="106"/>
      <c r="U168" s="106"/>
      <c r="V168" s="106"/>
      <c r="W168" s="106"/>
      <c r="X168" s="106"/>
      <c r="Y168" s="106"/>
      <c r="DA168" s="171"/>
    </row>
    <row r="169" spans="1:105" ht="11.45" customHeight="1" x14ac:dyDescent="0.25">
      <c r="A169" s="53" t="s">
        <v>123</v>
      </c>
      <c r="B169" s="62"/>
      <c r="C169" s="62"/>
      <c r="D169" s="62"/>
      <c r="E169" s="62"/>
      <c r="F169" s="62"/>
      <c r="G169" s="62"/>
      <c r="H169" s="62"/>
      <c r="I169" s="62"/>
      <c r="J169" s="62"/>
      <c r="K169" s="62"/>
      <c r="L169" s="62"/>
      <c r="M169" s="62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DA169" s="172"/>
    </row>
    <row r="170" spans="1:105" ht="11.45" customHeight="1" x14ac:dyDescent="0.25">
      <c r="A170" s="27" t="s">
        <v>33</v>
      </c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DA170" s="173"/>
    </row>
    <row r="171" spans="1:105" ht="11.45" customHeight="1" x14ac:dyDescent="0.25">
      <c r="A171" s="136" t="s">
        <v>173</v>
      </c>
      <c r="B171" s="152">
        <v>110.21224119039073</v>
      </c>
      <c r="C171" s="152">
        <v>109.54467530531626</v>
      </c>
      <c r="D171" s="152">
        <v>107.66018249671124</v>
      </c>
      <c r="E171" s="152">
        <v>106.801421148469</v>
      </c>
      <c r="F171" s="152">
        <v>105.91847561083333</v>
      </c>
      <c r="G171" s="152">
        <v>104.91460695098101</v>
      </c>
      <c r="H171" s="152">
        <v>103.7956590099764</v>
      </c>
      <c r="I171" s="152">
        <v>102.57704578895523</v>
      </c>
      <c r="J171" s="152">
        <v>101.26520076911018</v>
      </c>
      <c r="K171" s="152">
        <v>100.29768914150628</v>
      </c>
      <c r="L171" s="152">
        <v>99.083190353723893</v>
      </c>
      <c r="M171" s="152">
        <v>98.393754425657193</v>
      </c>
      <c r="N171" s="152">
        <v>97.293212596973177</v>
      </c>
      <c r="O171" s="152">
        <v>96.560355487805595</v>
      </c>
      <c r="P171" s="152">
        <v>95.204820732137506</v>
      </c>
      <c r="Q171" s="152">
        <v>94.154312040366591</v>
      </c>
      <c r="R171" s="152">
        <v>92.052250857169909</v>
      </c>
      <c r="S171" s="152">
        <v>89.049395289714013</v>
      </c>
      <c r="T171" s="152">
        <v>87.762984137696222</v>
      </c>
      <c r="U171" s="152">
        <v>86.277707481919592</v>
      </c>
      <c r="V171" s="152">
        <v>84.725505776986424</v>
      </c>
      <c r="W171" s="152">
        <v>83.245685765079344</v>
      </c>
      <c r="X171" s="152">
        <v>81.7438924031959</v>
      </c>
      <c r="Y171" s="152">
        <v>80.201573347695401</v>
      </c>
      <c r="DA171" s="174" t="s">
        <v>910</v>
      </c>
    </row>
    <row r="172" spans="1:105" ht="11.45" customHeight="1" x14ac:dyDescent="0.25">
      <c r="A172" s="109" t="s">
        <v>20</v>
      </c>
      <c r="B172" s="116">
        <v>234.30859586489603</v>
      </c>
      <c r="C172" s="116">
        <v>228.36416077589291</v>
      </c>
      <c r="D172" s="116">
        <v>226.42473860669469</v>
      </c>
      <c r="E172" s="116">
        <v>223.96096082922557</v>
      </c>
      <c r="F172" s="116">
        <v>221.65196328708544</v>
      </c>
      <c r="G172" s="116">
        <v>219.5317181795846</v>
      </c>
      <c r="H172" s="116">
        <v>217.55946760798116</v>
      </c>
      <c r="I172" s="116">
        <v>215.51038552642075</v>
      </c>
      <c r="J172" s="116">
        <v>213.49004561916681</v>
      </c>
      <c r="K172" s="116">
        <v>211.22006031755762</v>
      </c>
      <c r="L172" s="116">
        <v>209.24862479159594</v>
      </c>
      <c r="M172" s="116">
        <v>207.60830038201436</v>
      </c>
      <c r="N172" s="116">
        <v>205.51059261229241</v>
      </c>
      <c r="O172" s="116">
        <v>202.46512317723182</v>
      </c>
      <c r="P172" s="116">
        <v>199.17261993743566</v>
      </c>
      <c r="Q172" s="116">
        <v>196.57639037180709</v>
      </c>
      <c r="R172" s="116">
        <v>191.73033106769259</v>
      </c>
      <c r="S172" s="116">
        <v>189.28075950108186</v>
      </c>
      <c r="T172" s="116">
        <v>182.39455690742946</v>
      </c>
      <c r="U172" s="116">
        <v>177.9429768151532</v>
      </c>
      <c r="V172" s="116">
        <v>174.68468953032627</v>
      </c>
      <c r="W172" s="116">
        <v>170.77559386720495</v>
      </c>
      <c r="X172" s="116">
        <v>167.12423821821221</v>
      </c>
      <c r="Y172" s="116">
        <v>161.03604128154655</v>
      </c>
      <c r="DA172" s="176" t="s">
        <v>911</v>
      </c>
    </row>
    <row r="173" spans="1:105" ht="11.45" customHeight="1" x14ac:dyDescent="0.25">
      <c r="A173" s="111" t="s">
        <v>110</v>
      </c>
      <c r="B173" s="87">
        <v>233.70441902880742</v>
      </c>
      <c r="C173" s="87">
        <v>229.08253629087471</v>
      </c>
      <c r="D173" s="87">
        <v>227.24315740300412</v>
      </c>
      <c r="E173" s="87">
        <v>225.2348723565953</v>
      </c>
      <c r="F173" s="87">
        <v>223.33676006362566</v>
      </c>
      <c r="G173" s="87">
        <v>221.4941739177506</v>
      </c>
      <c r="H173" s="87">
        <v>219.46274861154703</v>
      </c>
      <c r="I173" s="87">
        <v>217.55172053689208</v>
      </c>
      <c r="J173" s="87">
        <v>215.71935613626496</v>
      </c>
      <c r="K173" s="87">
        <v>213.51496043223207</v>
      </c>
      <c r="L173" s="87">
        <v>211.1551379971927</v>
      </c>
      <c r="M173" s="87">
        <v>209.02668285644594</v>
      </c>
      <c r="N173" s="87">
        <v>207.46456198725801</v>
      </c>
      <c r="O173" s="87">
        <v>204.54883408516878</v>
      </c>
      <c r="P173" s="87">
        <v>200.7444455150773</v>
      </c>
      <c r="Q173" s="87">
        <v>197.00259288935672</v>
      </c>
      <c r="R173" s="87">
        <v>192.41040420026269</v>
      </c>
      <c r="S173" s="87">
        <v>186.91973521367817</v>
      </c>
      <c r="T173" s="87">
        <v>180.55008052564727</v>
      </c>
      <c r="U173" s="87">
        <v>175.32496265912633</v>
      </c>
      <c r="V173" s="87">
        <v>171.23192586183265</v>
      </c>
      <c r="W173" s="87">
        <v>166.66577304877902</v>
      </c>
      <c r="X173" s="87">
        <v>162.57024261400795</v>
      </c>
      <c r="Y173" s="87">
        <v>157.38431216883495</v>
      </c>
      <c r="DA173" s="171" t="s">
        <v>912</v>
      </c>
    </row>
    <row r="174" spans="1:105" ht="11.45" customHeight="1" x14ac:dyDescent="0.25">
      <c r="A174" s="111" t="s">
        <v>111</v>
      </c>
      <c r="B174" s="87">
        <v>222.01843108410634</v>
      </c>
      <c r="C174" s="87">
        <v>210.09740003536152</v>
      </c>
      <c r="D174" s="87">
        <v>206.9548963573111</v>
      </c>
      <c r="E174" s="87">
        <v>204.8058000105311</v>
      </c>
      <c r="F174" s="87">
        <v>203.24518552712718</v>
      </c>
      <c r="G174" s="87">
        <v>202.10473154903926</v>
      </c>
      <c r="H174" s="87">
        <v>201.44451498482016</v>
      </c>
      <c r="I174" s="87">
        <v>200.51808284450291</v>
      </c>
      <c r="J174" s="87">
        <v>199.43689362380618</v>
      </c>
      <c r="K174" s="87">
        <v>198.0904861938036</v>
      </c>
      <c r="L174" s="87">
        <v>196.40570357933038</v>
      </c>
      <c r="M174" s="87">
        <v>194.75104745452728</v>
      </c>
      <c r="N174" s="87">
        <v>192.98232393162829</v>
      </c>
      <c r="O174" s="87">
        <v>190.51441213938577</v>
      </c>
      <c r="P174" s="87">
        <v>187.88463691091084</v>
      </c>
      <c r="Q174" s="87">
        <v>184.01797980260045</v>
      </c>
      <c r="R174" s="87">
        <v>180.99144204870311</v>
      </c>
      <c r="S174" s="87">
        <v>177.53579930075989</v>
      </c>
      <c r="T174" s="87">
        <v>174.94140326853287</v>
      </c>
      <c r="U174" s="87">
        <v>173.03892305300292</v>
      </c>
      <c r="V174" s="87">
        <v>171.17008858967117</v>
      </c>
      <c r="W174" s="87">
        <v>168.80491540895432</v>
      </c>
      <c r="X174" s="87">
        <v>166.33616334801667</v>
      </c>
      <c r="Y174" s="87">
        <v>164.16734147466101</v>
      </c>
      <c r="DA174" s="171" t="s">
        <v>913</v>
      </c>
    </row>
    <row r="175" spans="1:105" ht="11.45" customHeight="1" x14ac:dyDescent="0.25">
      <c r="A175" s="111" t="s">
        <v>112</v>
      </c>
      <c r="B175" s="87">
        <v>174.46171984781316</v>
      </c>
      <c r="C175" s="87">
        <v>172.33905191554913</v>
      </c>
      <c r="D175" s="87">
        <v>170.4481713239829</v>
      </c>
      <c r="E175" s="87">
        <v>170.16462938319481</v>
      </c>
      <c r="F175" s="87">
        <v>170.02666708169525</v>
      </c>
      <c r="G175" s="87">
        <v>168.50040939476784</v>
      </c>
      <c r="H175" s="87">
        <v>167.9618177224238</v>
      </c>
      <c r="I175" s="87">
        <v>166.64891513187487</v>
      </c>
      <c r="J175" s="87">
        <v>163.99611057754802</v>
      </c>
      <c r="K175" s="87">
        <v>163.6639668567461</v>
      </c>
      <c r="L175" s="87">
        <v>164.11357986497146</v>
      </c>
      <c r="M175" s="87">
        <v>164.4878174263215</v>
      </c>
      <c r="N175" s="87">
        <v>165.50407657197451</v>
      </c>
      <c r="O175" s="87">
        <v>164.2910935196372</v>
      </c>
      <c r="P175" s="87">
        <v>160.05422183166917</v>
      </c>
      <c r="Q175" s="87">
        <v>157.05872787718411</v>
      </c>
      <c r="R175" s="87">
        <v>154.98990086128055</v>
      </c>
      <c r="S175" s="87">
        <v>151.12305228430617</v>
      </c>
      <c r="T175" s="87">
        <v>145.34452798539871</v>
      </c>
      <c r="U175" s="87">
        <v>142.92468215721925</v>
      </c>
      <c r="V175" s="87">
        <v>137.3447358741272</v>
      </c>
      <c r="W175" s="87">
        <v>132.46601398062842</v>
      </c>
      <c r="X175" s="87">
        <v>129.26355112503632</v>
      </c>
      <c r="Y175" s="87">
        <v>126.90274192300934</v>
      </c>
      <c r="DA175" s="171" t="s">
        <v>914</v>
      </c>
    </row>
    <row r="176" spans="1:105" ht="11.45" customHeight="1" x14ac:dyDescent="0.25">
      <c r="A176" s="111" t="s">
        <v>113</v>
      </c>
      <c r="B176" s="87">
        <v>0</v>
      </c>
      <c r="C176" s="87">
        <v>0</v>
      </c>
      <c r="D176" s="87">
        <v>0</v>
      </c>
      <c r="E176" s="87">
        <v>0</v>
      </c>
      <c r="F176" s="87">
        <v>177.47738797097654</v>
      </c>
      <c r="G176" s="87">
        <v>177.28403308857196</v>
      </c>
      <c r="H176" s="87">
        <v>175.86831547990238</v>
      </c>
      <c r="I176" s="87">
        <v>175.84535373893169</v>
      </c>
      <c r="J176" s="87">
        <v>175.58014612348379</v>
      </c>
      <c r="K176" s="87">
        <v>175.11239738545495</v>
      </c>
      <c r="L176" s="87">
        <v>173.2452485911443</v>
      </c>
      <c r="M176" s="87">
        <v>172.74343020898377</v>
      </c>
      <c r="N176" s="87">
        <v>154.7819916484448</v>
      </c>
      <c r="O176" s="87">
        <v>150.90560539729026</v>
      </c>
      <c r="P176" s="87">
        <v>149.60699100974097</v>
      </c>
      <c r="Q176" s="87">
        <v>149.15447005333635</v>
      </c>
      <c r="R176" s="87">
        <v>147.95143039440865</v>
      </c>
      <c r="S176" s="87">
        <v>143.74824767333416</v>
      </c>
      <c r="T176" s="87">
        <v>140.99954054107158</v>
      </c>
      <c r="U176" s="87">
        <v>124.72775032385445</v>
      </c>
      <c r="V176" s="87">
        <v>120.48908010975714</v>
      </c>
      <c r="W176" s="87">
        <v>119.13194548137703</v>
      </c>
      <c r="X176" s="87">
        <v>118.29707187541491</v>
      </c>
      <c r="Y176" s="87">
        <v>118.11849724200566</v>
      </c>
      <c r="DA176" s="171" t="s">
        <v>915</v>
      </c>
    </row>
    <row r="177" spans="1:105" ht="11.45" customHeight="1" x14ac:dyDescent="0.25">
      <c r="A177" s="111" t="s">
        <v>114</v>
      </c>
      <c r="B177" s="87">
        <v>0</v>
      </c>
      <c r="C177" s="87">
        <v>0</v>
      </c>
      <c r="D177" s="87">
        <v>0</v>
      </c>
      <c r="E177" s="87">
        <v>0</v>
      </c>
      <c r="F177" s="87">
        <v>0</v>
      </c>
      <c r="G177" s="87">
        <v>0</v>
      </c>
      <c r="H177" s="87">
        <v>0</v>
      </c>
      <c r="I177" s="87">
        <v>0</v>
      </c>
      <c r="J177" s="87">
        <v>0</v>
      </c>
      <c r="K177" s="87">
        <v>0</v>
      </c>
      <c r="L177" s="87">
        <v>0</v>
      </c>
      <c r="M177" s="87">
        <v>67.342402504210924</v>
      </c>
      <c r="N177" s="87">
        <v>49.079208694354058</v>
      </c>
      <c r="O177" s="87">
        <v>62.06216783452863</v>
      </c>
      <c r="P177" s="87">
        <v>54.314502191715142</v>
      </c>
      <c r="Q177" s="87">
        <v>48.648514420555216</v>
      </c>
      <c r="R177" s="87">
        <v>51.633326314072612</v>
      </c>
      <c r="S177" s="87">
        <v>51.906871163212067</v>
      </c>
      <c r="T177" s="87">
        <v>50.939792169543594</v>
      </c>
      <c r="U177" s="87">
        <v>52.584961657273674</v>
      </c>
      <c r="V177" s="87">
        <v>53.15880369902591</v>
      </c>
      <c r="W177" s="87">
        <v>44.25167427883445</v>
      </c>
      <c r="X177" s="87">
        <v>40.446211734071056</v>
      </c>
      <c r="Y177" s="87">
        <v>37.026235875717312</v>
      </c>
      <c r="DA177" s="171" t="s">
        <v>916</v>
      </c>
    </row>
    <row r="178" spans="1:105" ht="11.45" customHeight="1" x14ac:dyDescent="0.25">
      <c r="A178" s="111" t="s">
        <v>115</v>
      </c>
      <c r="B178" s="87">
        <v>0</v>
      </c>
      <c r="C178" s="87">
        <v>0</v>
      </c>
      <c r="D178" s="87">
        <v>0</v>
      </c>
      <c r="E178" s="87">
        <v>0</v>
      </c>
      <c r="F178" s="87">
        <v>0</v>
      </c>
      <c r="G178" s="87">
        <v>0</v>
      </c>
      <c r="H178" s="87">
        <v>0</v>
      </c>
      <c r="I178" s="87">
        <v>0</v>
      </c>
      <c r="J178" s="87">
        <v>0</v>
      </c>
      <c r="K178" s="87">
        <v>0</v>
      </c>
      <c r="L178" s="87">
        <v>0</v>
      </c>
      <c r="M178" s="87">
        <v>0</v>
      </c>
      <c r="N178" s="87">
        <v>0</v>
      </c>
      <c r="O178" s="87">
        <v>0</v>
      </c>
      <c r="P178" s="87">
        <v>0</v>
      </c>
      <c r="Q178" s="87">
        <v>0</v>
      </c>
      <c r="R178" s="87">
        <v>0</v>
      </c>
      <c r="S178" s="87">
        <v>0</v>
      </c>
      <c r="T178" s="87">
        <v>0</v>
      </c>
      <c r="U178" s="87">
        <v>0</v>
      </c>
      <c r="V178" s="87">
        <v>0</v>
      </c>
      <c r="W178" s="87">
        <v>0</v>
      </c>
      <c r="X178" s="87">
        <v>0</v>
      </c>
      <c r="Y178" s="87">
        <v>0</v>
      </c>
      <c r="DA178" s="171" t="s">
        <v>917</v>
      </c>
    </row>
    <row r="179" spans="1:105" ht="11.45" customHeight="1" x14ac:dyDescent="0.25">
      <c r="A179" s="109" t="s">
        <v>21</v>
      </c>
      <c r="B179" s="116">
        <v>1682.5980957132531</v>
      </c>
      <c r="C179" s="116">
        <v>1638.9904581664191</v>
      </c>
      <c r="D179" s="116">
        <v>1616.8886764469732</v>
      </c>
      <c r="E179" s="116">
        <v>1582.6242181512862</v>
      </c>
      <c r="F179" s="116">
        <v>1572.0404858843199</v>
      </c>
      <c r="G179" s="116">
        <v>1552.275396780858</v>
      </c>
      <c r="H179" s="116">
        <v>1528.4769403585171</v>
      </c>
      <c r="I179" s="116">
        <v>1501.6510799451073</v>
      </c>
      <c r="J179" s="116">
        <v>1489.7090720911033</v>
      </c>
      <c r="K179" s="116">
        <v>1471.6946794746725</v>
      </c>
      <c r="L179" s="116">
        <v>1454.0145825928635</v>
      </c>
      <c r="M179" s="116">
        <v>1438.9042613789936</v>
      </c>
      <c r="N179" s="116">
        <v>1422.5937869897798</v>
      </c>
      <c r="O179" s="116">
        <v>1381.6973261985313</v>
      </c>
      <c r="P179" s="116">
        <v>1399.2532053259695</v>
      </c>
      <c r="Q179" s="116">
        <v>1301.4986914409872</v>
      </c>
      <c r="R179" s="116">
        <v>1332.9379260810779</v>
      </c>
      <c r="S179" s="116">
        <v>1317.6077821229183</v>
      </c>
      <c r="T179" s="116">
        <v>1231.5029028675312</v>
      </c>
      <c r="U179" s="116">
        <v>1246.8330694003889</v>
      </c>
      <c r="V179" s="116">
        <v>1223.100652427561</v>
      </c>
      <c r="W179" s="116">
        <v>1202.9103583837893</v>
      </c>
      <c r="X179" s="116">
        <v>1173.1105965667748</v>
      </c>
      <c r="Y179" s="116">
        <v>1114.3877032347439</v>
      </c>
      <c r="DA179" s="176" t="s">
        <v>918</v>
      </c>
    </row>
    <row r="180" spans="1:105" ht="11.45" customHeight="1" x14ac:dyDescent="0.25">
      <c r="A180" s="111" t="s">
        <v>110</v>
      </c>
      <c r="B180" s="101">
        <v>494.02831313231303</v>
      </c>
      <c r="C180" s="101">
        <v>483.24252072014053</v>
      </c>
      <c r="D180" s="101">
        <v>472.19815904864271</v>
      </c>
      <c r="E180" s="101">
        <v>466.35876247948443</v>
      </c>
      <c r="F180" s="101">
        <v>459.78590271807286</v>
      </c>
      <c r="G180" s="101">
        <v>457.53214946142629</v>
      </c>
      <c r="H180" s="101">
        <v>450.33315698243422</v>
      </c>
      <c r="I180" s="101">
        <v>437.01604524063612</v>
      </c>
      <c r="J180" s="101">
        <v>432.95244986749873</v>
      </c>
      <c r="K180" s="101">
        <v>428.44847240979578</v>
      </c>
      <c r="L180" s="101">
        <v>421.68542626002585</v>
      </c>
      <c r="M180" s="101">
        <v>413.30231484778955</v>
      </c>
      <c r="N180" s="101">
        <v>409.56159816629759</v>
      </c>
      <c r="O180" s="101">
        <v>401.06448343211821</v>
      </c>
      <c r="P180" s="101">
        <v>391.60615620331305</v>
      </c>
      <c r="Q180" s="101">
        <v>386.2826742259752</v>
      </c>
      <c r="R180" s="101">
        <v>377.69069706271034</v>
      </c>
      <c r="S180" s="101">
        <v>373.70161049475246</v>
      </c>
      <c r="T180" s="101">
        <v>371.26877098022874</v>
      </c>
      <c r="U180" s="101">
        <v>369.56007054667009</v>
      </c>
      <c r="V180" s="101">
        <v>366.77598266421177</v>
      </c>
      <c r="W180" s="101">
        <v>352.32865765176706</v>
      </c>
      <c r="X180" s="101">
        <v>336.54080862143735</v>
      </c>
      <c r="Y180" s="101">
        <v>322.83082376941189</v>
      </c>
      <c r="DA180" s="175" t="s">
        <v>919</v>
      </c>
    </row>
    <row r="181" spans="1:105" ht="11.45" customHeight="1" x14ac:dyDescent="0.25">
      <c r="A181" s="111" t="s">
        <v>111</v>
      </c>
      <c r="B181" s="101">
        <v>1704.0349851246613</v>
      </c>
      <c r="C181" s="101">
        <v>1647.6153104562532</v>
      </c>
      <c r="D181" s="101">
        <v>1620.8329170354252</v>
      </c>
      <c r="E181" s="101">
        <v>1601.7694914106783</v>
      </c>
      <c r="F181" s="101">
        <v>1576.5109487516952</v>
      </c>
      <c r="G181" s="101">
        <v>1553.6404932153871</v>
      </c>
      <c r="H181" s="101">
        <v>1530.0458573447374</v>
      </c>
      <c r="I181" s="101">
        <v>1511.1579818631292</v>
      </c>
      <c r="J181" s="101">
        <v>1492.4769096185851</v>
      </c>
      <c r="K181" s="101">
        <v>1475.4458122519211</v>
      </c>
      <c r="L181" s="101">
        <v>1458.9283076580959</v>
      </c>
      <c r="M181" s="101">
        <v>1444.6849154864808</v>
      </c>
      <c r="N181" s="101">
        <v>1430.7436093608983</v>
      </c>
      <c r="O181" s="101">
        <v>1419.6888316323159</v>
      </c>
      <c r="P181" s="101">
        <v>1410.5918324111883</v>
      </c>
      <c r="Q181" s="101">
        <v>1403.8278185573449</v>
      </c>
      <c r="R181" s="101">
        <v>1393.3396736970976</v>
      </c>
      <c r="S181" s="101">
        <v>1365.3165994343842</v>
      </c>
      <c r="T181" s="101">
        <v>1354.71230766602</v>
      </c>
      <c r="U181" s="101">
        <v>1339.1804670126166</v>
      </c>
      <c r="V181" s="101">
        <v>1322.9428466443035</v>
      </c>
      <c r="W181" s="101">
        <v>1308.7053577668535</v>
      </c>
      <c r="X181" s="101">
        <v>1293.182173208088</v>
      </c>
      <c r="Y181" s="101">
        <v>1267.1564796009184</v>
      </c>
      <c r="DA181" s="175" t="s">
        <v>920</v>
      </c>
    </row>
    <row r="182" spans="1:105" ht="11.45" customHeight="1" x14ac:dyDescent="0.25">
      <c r="A182" s="111" t="s">
        <v>112</v>
      </c>
      <c r="B182" s="101">
        <v>0</v>
      </c>
      <c r="C182" s="101">
        <v>0</v>
      </c>
      <c r="D182" s="101">
        <v>0</v>
      </c>
      <c r="E182" s="101">
        <v>0</v>
      </c>
      <c r="F182" s="101">
        <v>0</v>
      </c>
      <c r="G182" s="101">
        <v>0</v>
      </c>
      <c r="H182" s="101">
        <v>0</v>
      </c>
      <c r="I182" s="101">
        <v>0</v>
      </c>
      <c r="J182" s="101">
        <v>0</v>
      </c>
      <c r="K182" s="101">
        <v>0</v>
      </c>
      <c r="L182" s="101">
        <v>0</v>
      </c>
      <c r="M182" s="101">
        <v>0</v>
      </c>
      <c r="N182" s="101">
        <v>0</v>
      </c>
      <c r="O182" s="101">
        <v>0</v>
      </c>
      <c r="P182" s="101">
        <v>958.51785441124707</v>
      </c>
      <c r="Q182" s="101">
        <v>951.35254052939922</v>
      </c>
      <c r="R182" s="101">
        <v>951.12127338534344</v>
      </c>
      <c r="S182" s="101">
        <v>951.12127338534322</v>
      </c>
      <c r="T182" s="101">
        <v>951.0519398515371</v>
      </c>
      <c r="U182" s="101">
        <v>943.07137286499938</v>
      </c>
      <c r="V182" s="101">
        <v>935.42523643121399</v>
      </c>
      <c r="W182" s="101">
        <v>917.5995631978235</v>
      </c>
      <c r="X182" s="101">
        <v>911.9722988904399</v>
      </c>
      <c r="Y182" s="101">
        <v>905.90676185381551</v>
      </c>
      <c r="DA182" s="175" t="s">
        <v>921</v>
      </c>
    </row>
    <row r="183" spans="1:105" ht="11.45" customHeight="1" x14ac:dyDescent="0.25">
      <c r="A183" s="111" t="s">
        <v>113</v>
      </c>
      <c r="B183" s="101">
        <v>1013.9550336537784</v>
      </c>
      <c r="C183" s="101">
        <v>1003.2986965908656</v>
      </c>
      <c r="D183" s="101">
        <v>922.07180328967297</v>
      </c>
      <c r="E183" s="101">
        <v>921.99785473390875</v>
      </c>
      <c r="F183" s="101">
        <v>921.44329305885685</v>
      </c>
      <c r="G183" s="101">
        <v>921.14494257254501</v>
      </c>
      <c r="H183" s="101">
        <v>920.52236238846115</v>
      </c>
      <c r="I183" s="101">
        <v>918.61462755367904</v>
      </c>
      <c r="J183" s="101">
        <v>918.38609309103776</v>
      </c>
      <c r="K183" s="101">
        <v>918.19171590194276</v>
      </c>
      <c r="L183" s="101">
        <v>918.19171590194276</v>
      </c>
      <c r="M183" s="101">
        <v>918.18211701877692</v>
      </c>
      <c r="N183" s="101">
        <v>914.37683095556247</v>
      </c>
      <c r="O183" s="101">
        <v>912.3963264909404</v>
      </c>
      <c r="P183" s="101">
        <v>911.53366288392681</v>
      </c>
      <c r="Q183" s="101">
        <v>856.77106224762122</v>
      </c>
      <c r="R183" s="101">
        <v>843.2307921246221</v>
      </c>
      <c r="S183" s="101">
        <v>842.12977479303868</v>
      </c>
      <c r="T183" s="101">
        <v>836.5134062629495</v>
      </c>
      <c r="U183" s="101">
        <v>835.19946475878601</v>
      </c>
      <c r="V183" s="101">
        <v>834.030031123203</v>
      </c>
      <c r="W183" s="101">
        <v>832.80767268753834</v>
      </c>
      <c r="X183" s="101">
        <v>830.8275478754648</v>
      </c>
      <c r="Y183" s="101">
        <v>830.1883021196262</v>
      </c>
      <c r="DA183" s="175" t="s">
        <v>922</v>
      </c>
    </row>
    <row r="184" spans="1:105" ht="11.45" customHeight="1" x14ac:dyDescent="0.25">
      <c r="A184" s="111" t="s">
        <v>115</v>
      </c>
      <c r="B184" s="101">
        <v>0</v>
      </c>
      <c r="C184" s="101">
        <v>0</v>
      </c>
      <c r="D184" s="101">
        <v>0</v>
      </c>
      <c r="E184" s="101">
        <v>0</v>
      </c>
      <c r="F184" s="101">
        <v>0</v>
      </c>
      <c r="G184" s="101">
        <v>0</v>
      </c>
      <c r="H184" s="101">
        <v>0</v>
      </c>
      <c r="I184" s="101">
        <v>0</v>
      </c>
      <c r="J184" s="101">
        <v>0</v>
      </c>
      <c r="K184" s="101">
        <v>0</v>
      </c>
      <c r="L184" s="101">
        <v>0</v>
      </c>
      <c r="M184" s="101">
        <v>0</v>
      </c>
      <c r="N184" s="101">
        <v>0</v>
      </c>
      <c r="O184" s="101">
        <v>0</v>
      </c>
      <c r="P184" s="101">
        <v>0</v>
      </c>
      <c r="Q184" s="101">
        <v>0</v>
      </c>
      <c r="R184" s="101">
        <v>0</v>
      </c>
      <c r="S184" s="101">
        <v>0</v>
      </c>
      <c r="T184" s="101">
        <v>0</v>
      </c>
      <c r="U184" s="101">
        <v>0</v>
      </c>
      <c r="V184" s="101">
        <v>0</v>
      </c>
      <c r="W184" s="101">
        <v>0</v>
      </c>
      <c r="X184" s="101">
        <v>0</v>
      </c>
      <c r="Y184" s="101">
        <v>0</v>
      </c>
      <c r="DA184" s="175" t="s">
        <v>923</v>
      </c>
    </row>
    <row r="185" spans="1:105" ht="11.45" customHeight="1" x14ac:dyDescent="0.25">
      <c r="A185" s="27" t="s">
        <v>34</v>
      </c>
      <c r="B185" s="29">
        <v>0</v>
      </c>
      <c r="C185" s="29">
        <v>0</v>
      </c>
      <c r="D185" s="29">
        <v>0</v>
      </c>
      <c r="E185" s="29">
        <v>0</v>
      </c>
      <c r="F185" s="29">
        <v>0</v>
      </c>
      <c r="G185" s="29">
        <v>0</v>
      </c>
      <c r="H185" s="29">
        <v>0</v>
      </c>
      <c r="I185" s="29">
        <v>0</v>
      </c>
      <c r="J185" s="29">
        <v>0</v>
      </c>
      <c r="K185" s="29">
        <v>0</v>
      </c>
      <c r="L185" s="29">
        <v>0</v>
      </c>
      <c r="M185" s="29">
        <v>0</v>
      </c>
      <c r="N185" s="29">
        <v>0</v>
      </c>
      <c r="O185" s="29">
        <v>0</v>
      </c>
      <c r="P185" s="29">
        <v>0</v>
      </c>
      <c r="Q185" s="29">
        <v>0</v>
      </c>
      <c r="R185" s="29">
        <v>0</v>
      </c>
      <c r="S185" s="29">
        <v>0</v>
      </c>
      <c r="T185" s="29">
        <v>0</v>
      </c>
      <c r="U185" s="29">
        <v>0</v>
      </c>
      <c r="V185" s="29">
        <v>0</v>
      </c>
      <c r="W185" s="29">
        <v>0</v>
      </c>
      <c r="X185" s="29">
        <v>0</v>
      </c>
      <c r="Y185" s="29">
        <v>0</v>
      </c>
      <c r="DA185" s="173"/>
    </row>
    <row r="186" spans="1:105" ht="11.45" customHeight="1" x14ac:dyDescent="0.25">
      <c r="A186" s="136" t="s">
        <v>153</v>
      </c>
      <c r="B186" s="152">
        <v>363.03003373318484</v>
      </c>
      <c r="C186" s="152">
        <v>352.50542044479727</v>
      </c>
      <c r="D186" s="152">
        <v>347.9449794506699</v>
      </c>
      <c r="E186" s="152">
        <v>339.06006872779466</v>
      </c>
      <c r="F186" s="152">
        <v>322.37981935450915</v>
      </c>
      <c r="G186" s="152">
        <v>312.05208016302748</v>
      </c>
      <c r="H186" s="152">
        <v>303.866655263094</v>
      </c>
      <c r="I186" s="152">
        <v>281.21304806285195</v>
      </c>
      <c r="J186" s="152">
        <v>258.6280552524413</v>
      </c>
      <c r="K186" s="152">
        <v>235.05610236764844</v>
      </c>
      <c r="L186" s="152">
        <v>213.64889242588973</v>
      </c>
      <c r="M186" s="152">
        <v>200.08523570003794</v>
      </c>
      <c r="N186" s="152">
        <v>229.28575018183372</v>
      </c>
      <c r="O186" s="152">
        <v>229.48225218972794</v>
      </c>
      <c r="P186" s="152">
        <v>210.38040065225061</v>
      </c>
      <c r="Q186" s="152">
        <v>207.95585825083069</v>
      </c>
      <c r="R186" s="152">
        <v>223.58779558664247</v>
      </c>
      <c r="S186" s="152">
        <v>216.73377937236697</v>
      </c>
      <c r="T186" s="152">
        <v>214.24400110913223</v>
      </c>
      <c r="U186" s="152">
        <v>213.6055644013515</v>
      </c>
      <c r="V186" s="152">
        <v>214.23907178209623</v>
      </c>
      <c r="W186" s="152">
        <v>213.12715359096239</v>
      </c>
      <c r="X186" s="152">
        <v>211.91924699009746</v>
      </c>
      <c r="Y186" s="152">
        <v>207.62940096157311</v>
      </c>
      <c r="DA186" s="174" t="s">
        <v>924</v>
      </c>
    </row>
    <row r="187" spans="1:105" ht="11.45" customHeight="1" x14ac:dyDescent="0.25">
      <c r="A187" s="111" t="s">
        <v>110</v>
      </c>
      <c r="B187" s="87">
        <v>334.05606314028643</v>
      </c>
      <c r="C187" s="87">
        <v>333.78290574549294</v>
      </c>
      <c r="D187" s="87">
        <v>333.70737450933132</v>
      </c>
      <c r="E187" s="87">
        <v>333.65575039745426</v>
      </c>
      <c r="F187" s="87">
        <v>333.60132111223857</v>
      </c>
      <c r="G187" s="87">
        <v>333.52474957695051</v>
      </c>
      <c r="H187" s="87">
        <v>333.44001175994117</v>
      </c>
      <c r="I187" s="87">
        <v>333.40080102144685</v>
      </c>
      <c r="J187" s="87">
        <v>333.29567611422846</v>
      </c>
      <c r="K187" s="87">
        <v>333.21003198959556</v>
      </c>
      <c r="L187" s="87">
        <v>333.23928813074428</v>
      </c>
      <c r="M187" s="87">
        <v>328.68744879706458</v>
      </c>
      <c r="N187" s="87">
        <v>302.01638445622478</v>
      </c>
      <c r="O187" s="87">
        <v>279.94770805536126</v>
      </c>
      <c r="P187" s="87">
        <v>263.63159324438647</v>
      </c>
      <c r="Q187" s="87">
        <v>256.81945324939937</v>
      </c>
      <c r="R187" s="87">
        <v>240.72708091580373</v>
      </c>
      <c r="S187" s="87">
        <v>219.13051706584992</v>
      </c>
      <c r="T187" s="87">
        <v>204.88318970426658</v>
      </c>
      <c r="U187" s="87">
        <v>197.0889957637294</v>
      </c>
      <c r="V187" s="87">
        <v>192.77350050771187</v>
      </c>
      <c r="W187" s="87">
        <v>191.7006361658637</v>
      </c>
      <c r="X187" s="87">
        <v>189.47043665128913</v>
      </c>
      <c r="Y187" s="87">
        <v>181.49554936835992</v>
      </c>
      <c r="DA187" s="171" t="s">
        <v>925</v>
      </c>
    </row>
    <row r="188" spans="1:105" ht="11.45" customHeight="1" x14ac:dyDescent="0.25">
      <c r="A188" s="111" t="s">
        <v>111</v>
      </c>
      <c r="B188" s="87">
        <v>358.7683624771247</v>
      </c>
      <c r="C188" s="87">
        <v>343.60111232824187</v>
      </c>
      <c r="D188" s="87">
        <v>334.45178708022087</v>
      </c>
      <c r="E188" s="87">
        <v>319.73071419024672</v>
      </c>
      <c r="F188" s="87">
        <v>303.06837631136</v>
      </c>
      <c r="G188" s="87">
        <v>292.50916573757939</v>
      </c>
      <c r="H188" s="87">
        <v>283.15265073507868</v>
      </c>
      <c r="I188" s="87">
        <v>267.90698721499024</v>
      </c>
      <c r="J188" s="87">
        <v>259.6016253499044</v>
      </c>
      <c r="K188" s="87">
        <v>245.11947088396849</v>
      </c>
      <c r="L188" s="87">
        <v>239.10936608317067</v>
      </c>
      <c r="M188" s="87">
        <v>237.04373786653639</v>
      </c>
      <c r="N188" s="87">
        <v>236.28446272349191</v>
      </c>
      <c r="O188" s="87">
        <v>234.16683952913613</v>
      </c>
      <c r="P188" s="87">
        <v>230.48452817437962</v>
      </c>
      <c r="Q188" s="87">
        <v>225.87059328934936</v>
      </c>
      <c r="R188" s="87">
        <v>223.14490810976673</v>
      </c>
      <c r="S188" s="87">
        <v>220.35567346464751</v>
      </c>
      <c r="T188" s="87">
        <v>217.64476418179106</v>
      </c>
      <c r="U188" s="87">
        <v>215.93527693305438</v>
      </c>
      <c r="V188" s="87">
        <v>214.91497286519794</v>
      </c>
      <c r="W188" s="87">
        <v>213.50713173209004</v>
      </c>
      <c r="X188" s="87">
        <v>212.11878156298187</v>
      </c>
      <c r="Y188" s="87">
        <v>210.36779356585015</v>
      </c>
      <c r="DA188" s="171" t="s">
        <v>926</v>
      </c>
    </row>
    <row r="189" spans="1:105" ht="11.45" customHeight="1" x14ac:dyDescent="0.25">
      <c r="A189" s="111" t="s">
        <v>112</v>
      </c>
      <c r="B189" s="87">
        <v>0</v>
      </c>
      <c r="C189" s="87">
        <v>0</v>
      </c>
      <c r="D189" s="87">
        <v>0</v>
      </c>
      <c r="E189" s="87">
        <v>0</v>
      </c>
      <c r="F189" s="87">
        <v>0</v>
      </c>
      <c r="G189" s="87">
        <v>0</v>
      </c>
      <c r="H189" s="87">
        <v>0</v>
      </c>
      <c r="I189" s="87">
        <v>0</v>
      </c>
      <c r="J189" s="87">
        <v>0</v>
      </c>
      <c r="K189" s="87">
        <v>0</v>
      </c>
      <c r="L189" s="87">
        <v>0</v>
      </c>
      <c r="M189" s="87">
        <v>0</v>
      </c>
      <c r="N189" s="87">
        <v>0</v>
      </c>
      <c r="O189" s="87">
        <v>266.59023321688721</v>
      </c>
      <c r="P189" s="87">
        <v>183.6020930751684</v>
      </c>
      <c r="Q189" s="87">
        <v>201.191697700791</v>
      </c>
      <c r="R189" s="87">
        <v>193.65174563150535</v>
      </c>
      <c r="S189" s="87">
        <v>170.90866185144063</v>
      </c>
      <c r="T189" s="87">
        <v>149.26387470689309</v>
      </c>
      <c r="U189" s="87">
        <v>137.35914171959786</v>
      </c>
      <c r="V189" s="87">
        <v>142.64278041911535</v>
      </c>
      <c r="W189" s="87">
        <v>146.48878617352153</v>
      </c>
      <c r="X189" s="87">
        <v>145.85443038924575</v>
      </c>
      <c r="Y189" s="87">
        <v>144.58347127876033</v>
      </c>
      <c r="DA189" s="171" t="s">
        <v>927</v>
      </c>
    </row>
    <row r="190" spans="1:105" ht="11.45" customHeight="1" x14ac:dyDescent="0.25">
      <c r="A190" s="111" t="s">
        <v>113</v>
      </c>
      <c r="B190" s="87">
        <v>0</v>
      </c>
      <c r="C190" s="87">
        <v>0</v>
      </c>
      <c r="D190" s="87">
        <v>0</v>
      </c>
      <c r="E190" s="87">
        <v>0</v>
      </c>
      <c r="F190" s="87">
        <v>0</v>
      </c>
      <c r="G190" s="87">
        <v>0</v>
      </c>
      <c r="H190" s="87">
        <v>0</v>
      </c>
      <c r="I190" s="87">
        <v>0</v>
      </c>
      <c r="J190" s="87">
        <v>0</v>
      </c>
      <c r="K190" s="87">
        <v>0</v>
      </c>
      <c r="L190" s="87">
        <v>0</v>
      </c>
      <c r="M190" s="87">
        <v>0</v>
      </c>
      <c r="N190" s="87">
        <v>277.7846825515075</v>
      </c>
      <c r="O190" s="87">
        <v>281.69899008082257</v>
      </c>
      <c r="P190" s="87">
        <v>225.09997254919972</v>
      </c>
      <c r="Q190" s="87">
        <v>227.01508738421924</v>
      </c>
      <c r="R190" s="87">
        <v>202.35163305461299</v>
      </c>
      <c r="S190" s="87">
        <v>188.41115161447448</v>
      </c>
      <c r="T190" s="87">
        <v>155.4316259475755</v>
      </c>
      <c r="U190" s="87">
        <v>152.18267883997405</v>
      </c>
      <c r="V190" s="87">
        <v>160.50845152317794</v>
      </c>
      <c r="W190" s="87">
        <v>166.64831548575481</v>
      </c>
      <c r="X190" s="87">
        <v>166.91477560629056</v>
      </c>
      <c r="Y190" s="87">
        <v>167.73552955414991</v>
      </c>
      <c r="DA190" s="171" t="s">
        <v>928</v>
      </c>
    </row>
    <row r="191" spans="1:105" ht="11.45" customHeight="1" x14ac:dyDescent="0.25">
      <c r="A191" s="111" t="s">
        <v>115</v>
      </c>
      <c r="B191" s="87">
        <v>0</v>
      </c>
      <c r="C191" s="87">
        <v>0</v>
      </c>
      <c r="D191" s="87">
        <v>0</v>
      </c>
      <c r="E191" s="87">
        <v>0</v>
      </c>
      <c r="F191" s="87">
        <v>0</v>
      </c>
      <c r="G191" s="87">
        <v>0</v>
      </c>
      <c r="H191" s="87">
        <v>0</v>
      </c>
      <c r="I191" s="87">
        <v>0</v>
      </c>
      <c r="J191" s="87">
        <v>0</v>
      </c>
      <c r="K191" s="87">
        <v>0</v>
      </c>
      <c r="L191" s="87">
        <v>0</v>
      </c>
      <c r="M191" s="87">
        <v>0</v>
      </c>
      <c r="N191" s="87">
        <v>0</v>
      </c>
      <c r="O191" s="87">
        <v>0</v>
      </c>
      <c r="P191" s="87">
        <v>0</v>
      </c>
      <c r="Q191" s="87">
        <v>0</v>
      </c>
      <c r="R191" s="87">
        <v>0</v>
      </c>
      <c r="S191" s="87">
        <v>0</v>
      </c>
      <c r="T191" s="87">
        <v>0</v>
      </c>
      <c r="U191" s="87">
        <v>0</v>
      </c>
      <c r="V191" s="87">
        <v>0</v>
      </c>
      <c r="W191" s="87">
        <v>0</v>
      </c>
      <c r="X191" s="87">
        <v>0</v>
      </c>
      <c r="Y191" s="87">
        <v>0</v>
      </c>
      <c r="DA191" s="171" t="s">
        <v>929</v>
      </c>
    </row>
    <row r="192" spans="1:105" ht="11.45" customHeight="1" x14ac:dyDescent="0.25">
      <c r="A192" s="109" t="s">
        <v>154</v>
      </c>
      <c r="B192" s="116">
        <v>1052.8203527883275</v>
      </c>
      <c r="C192" s="116">
        <v>1048.6478359728173</v>
      </c>
      <c r="D192" s="116">
        <v>1044.4502417870337</v>
      </c>
      <c r="E192" s="116">
        <v>1039.1241064413864</v>
      </c>
      <c r="F192" s="116">
        <v>1033.6699365510608</v>
      </c>
      <c r="G192" s="116">
        <v>1027.3585391323227</v>
      </c>
      <c r="H192" s="116">
        <v>1019.8828460130251</v>
      </c>
      <c r="I192" s="116">
        <v>1010.5700235664791</v>
      </c>
      <c r="J192" s="116">
        <v>1002.510221332515</v>
      </c>
      <c r="K192" s="116">
        <v>995.55341667890389</v>
      </c>
      <c r="L192" s="116">
        <v>986.66368411066662</v>
      </c>
      <c r="M192" s="116">
        <v>976.07055699473062</v>
      </c>
      <c r="N192" s="116">
        <v>965.44264925392099</v>
      </c>
      <c r="O192" s="116">
        <v>934.76333880100492</v>
      </c>
      <c r="P192" s="116">
        <v>932.3098930549188</v>
      </c>
      <c r="Q192" s="116">
        <v>928.01536618945238</v>
      </c>
      <c r="R192" s="116">
        <v>906.16979941592365</v>
      </c>
      <c r="S192" s="116">
        <v>878.08748509536269</v>
      </c>
      <c r="T192" s="116">
        <v>847.84433100731781</v>
      </c>
      <c r="U192" s="116">
        <v>819.50041100361102</v>
      </c>
      <c r="V192" s="116">
        <v>801.03789316783798</v>
      </c>
      <c r="W192" s="116">
        <v>779.60948296798563</v>
      </c>
      <c r="X192" s="116">
        <v>754.42344689549986</v>
      </c>
      <c r="Y192" s="116">
        <v>739.90463067673113</v>
      </c>
      <c r="DA192" s="176" t="s">
        <v>930</v>
      </c>
    </row>
    <row r="193" spans="1:105" ht="11.45" customHeight="1" x14ac:dyDescent="0.25">
      <c r="A193" s="128" t="s">
        <v>27</v>
      </c>
      <c r="B193" s="101">
        <v>980.95656132293595</v>
      </c>
      <c r="C193" s="101">
        <v>977.25957276143538</v>
      </c>
      <c r="D193" s="101">
        <v>973.50196821358895</v>
      </c>
      <c r="E193" s="101">
        <v>968.70715537417391</v>
      </c>
      <c r="F193" s="101">
        <v>963.84800106447403</v>
      </c>
      <c r="G193" s="101">
        <v>958.06985309245135</v>
      </c>
      <c r="H193" s="101">
        <v>951.18326051198972</v>
      </c>
      <c r="I193" s="101">
        <v>942.55588138660823</v>
      </c>
      <c r="J193" s="101">
        <v>935.05108925433046</v>
      </c>
      <c r="K193" s="101">
        <v>928.60120622610532</v>
      </c>
      <c r="L193" s="101">
        <v>920.39488127242839</v>
      </c>
      <c r="M193" s="101">
        <v>910.63567174530772</v>
      </c>
      <c r="N193" s="101">
        <v>900.82739416785626</v>
      </c>
      <c r="O193" s="101">
        <v>870.7453297929942</v>
      </c>
      <c r="P193" s="101">
        <v>869.31776953198857</v>
      </c>
      <c r="Q193" s="101">
        <v>866.07202321095747</v>
      </c>
      <c r="R193" s="101">
        <v>845.28104753899038</v>
      </c>
      <c r="S193" s="101">
        <v>818.21207128568687</v>
      </c>
      <c r="T193" s="101">
        <v>789.00201063780446</v>
      </c>
      <c r="U193" s="101">
        <v>761.72922201719791</v>
      </c>
      <c r="V193" s="101">
        <v>744.12027172652142</v>
      </c>
      <c r="W193" s="101">
        <v>723.73469316495789</v>
      </c>
      <c r="X193" s="101">
        <v>699.36659477331784</v>
      </c>
      <c r="Y193" s="101">
        <v>685.82313165016512</v>
      </c>
      <c r="DA193" s="175" t="s">
        <v>931</v>
      </c>
    </row>
    <row r="194" spans="1:105" ht="11.45" customHeight="1" x14ac:dyDescent="0.25">
      <c r="A194" s="138" t="s">
        <v>116</v>
      </c>
      <c r="B194" s="88">
        <v>1066.0594178947845</v>
      </c>
      <c r="C194" s="88">
        <v>1055.3626207730247</v>
      </c>
      <c r="D194" s="88">
        <v>1046.0635235035754</v>
      </c>
      <c r="E194" s="88">
        <v>1038.5785421175071</v>
      </c>
      <c r="F194" s="88">
        <v>1019.4680338944274</v>
      </c>
      <c r="G194" s="88">
        <v>1010.7515272587275</v>
      </c>
      <c r="H194" s="88">
        <v>1002.1408136535782</v>
      </c>
      <c r="I194" s="88">
        <v>992.41980896009488</v>
      </c>
      <c r="J194" s="88">
        <v>988.72495046825964</v>
      </c>
      <c r="K194" s="88">
        <v>984.26172185085488</v>
      </c>
      <c r="L194" s="88">
        <v>974.05148448108957</v>
      </c>
      <c r="M194" s="88">
        <v>960.43265717299062</v>
      </c>
      <c r="N194" s="88">
        <v>947.17065908734105</v>
      </c>
      <c r="O194" s="88">
        <v>924.04212463988608</v>
      </c>
      <c r="P194" s="88">
        <v>909.64329573115253</v>
      </c>
      <c r="Q194" s="88">
        <v>893.30634779257912</v>
      </c>
      <c r="R194" s="88">
        <v>878.53892347121507</v>
      </c>
      <c r="S194" s="88">
        <v>863.1160598922861</v>
      </c>
      <c r="T194" s="88">
        <v>847.25919726804705</v>
      </c>
      <c r="U194" s="88">
        <v>829.77056923103612</v>
      </c>
      <c r="V194" s="88">
        <v>821.90562674484931</v>
      </c>
      <c r="W194" s="88">
        <v>799.80878838123078</v>
      </c>
      <c r="X194" s="88">
        <v>785.30602437806726</v>
      </c>
      <c r="Y194" s="88">
        <v>777.95844690862168</v>
      </c>
      <c r="DA194" s="178" t="s">
        <v>932</v>
      </c>
    </row>
    <row r="195" spans="1:105" x14ac:dyDescent="0.25">
      <c r="A195" s="106"/>
      <c r="B195" s="106"/>
      <c r="C195" s="106"/>
      <c r="D195" s="106"/>
      <c r="E195" s="106"/>
      <c r="F195" s="106"/>
      <c r="G195" s="106"/>
      <c r="H195" s="106"/>
      <c r="I195" s="106"/>
      <c r="J195" s="106"/>
      <c r="K195" s="106"/>
      <c r="L195" s="106"/>
      <c r="M195" s="106"/>
      <c r="N195" s="106"/>
      <c r="O195" s="106"/>
      <c r="P195" s="106"/>
      <c r="Q195" s="106"/>
      <c r="R195" s="106"/>
      <c r="S195" s="106"/>
      <c r="T195" s="106"/>
      <c r="U195" s="106"/>
      <c r="V195" s="106"/>
      <c r="W195" s="106"/>
      <c r="X195" s="106"/>
      <c r="Y195" s="106"/>
      <c r="DA195" s="171"/>
    </row>
    <row r="196" spans="1:105" ht="11.45" customHeight="1" x14ac:dyDescent="0.25">
      <c r="A196" s="53" t="s">
        <v>124</v>
      </c>
      <c r="B196" s="59"/>
      <c r="C196" s="59"/>
      <c r="D196" s="59"/>
      <c r="E196" s="59"/>
      <c r="F196" s="59"/>
      <c r="G196" s="59"/>
      <c r="H196" s="59"/>
      <c r="I196" s="59"/>
      <c r="J196" s="59"/>
      <c r="K196" s="59"/>
      <c r="L196" s="59"/>
      <c r="M196" s="59"/>
      <c r="N196" s="59"/>
      <c r="O196" s="59"/>
      <c r="P196" s="59"/>
      <c r="Q196" s="59"/>
      <c r="R196" s="59"/>
      <c r="S196" s="59"/>
      <c r="T196" s="59"/>
      <c r="U196" s="59"/>
      <c r="V196" s="59"/>
      <c r="W196" s="59"/>
      <c r="X196" s="59"/>
      <c r="Y196" s="59"/>
      <c r="DA196" s="172"/>
    </row>
    <row r="197" spans="1:105" ht="11.45" customHeight="1" x14ac:dyDescent="0.25">
      <c r="A197" s="27" t="s">
        <v>33</v>
      </c>
      <c r="B197" s="47"/>
      <c r="C197" s="47"/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X197" s="47"/>
      <c r="Y197" s="47"/>
      <c r="DA197" s="173"/>
    </row>
    <row r="198" spans="1:105" ht="11.45" customHeight="1" x14ac:dyDescent="0.25">
      <c r="A198" s="136" t="s">
        <v>173</v>
      </c>
      <c r="B198" s="150">
        <f>IF(TrRoad_act!B59=0,0,TrRoad_emi!B56/TrRoad_tech!B171)</f>
        <v>1.1275000000068984</v>
      </c>
      <c r="C198" s="150">
        <f>IF(TrRoad_act!C59=0,0,TrRoad_emi!C56/TrRoad_tech!C171)</f>
        <v>1.1277303646478212</v>
      </c>
      <c r="D198" s="150">
        <f>IF(TrRoad_act!D59=0,0,TrRoad_emi!D56/TrRoad_tech!D171)</f>
        <v>1.1199559658096847</v>
      </c>
      <c r="E198" s="150">
        <f>IF(TrRoad_act!E59=0,0,TrRoad_emi!E56/TrRoad_tech!E171)</f>
        <v>1.1173787743317027</v>
      </c>
      <c r="F198" s="150">
        <f>IF(TrRoad_act!F59=0,0,TrRoad_emi!F56/TrRoad_tech!F171)</f>
        <v>1.1221116347647071</v>
      </c>
      <c r="G198" s="150">
        <f>IF(TrRoad_act!G59=0,0,TrRoad_emi!G56/TrRoad_tech!G171)</f>
        <v>1.1192386787018804</v>
      </c>
      <c r="H198" s="150">
        <f>IF(TrRoad_act!H59=0,0,TrRoad_emi!H56/TrRoad_tech!H171)</f>
        <v>1.1223736283442438</v>
      </c>
      <c r="I198" s="150">
        <f>IF(TrRoad_act!I59=0,0,TrRoad_emi!I56/TrRoad_tech!I171)</f>
        <v>1.1275174786501012</v>
      </c>
      <c r="J198" s="150">
        <f>IF(TrRoad_act!J59=0,0,TrRoad_emi!J56/TrRoad_tech!J171)</f>
        <v>1.1356135454657665</v>
      </c>
      <c r="K198" s="150">
        <f>IF(TrRoad_act!K59=0,0,TrRoad_emi!K56/TrRoad_tech!K171)</f>
        <v>1.1278079664608396</v>
      </c>
      <c r="L198" s="150">
        <f>IF(TrRoad_act!L59=0,0,TrRoad_emi!L56/TrRoad_tech!L171)</f>
        <v>1.1149430561801563</v>
      </c>
      <c r="M198" s="150">
        <f>IF(TrRoad_act!M59=0,0,TrRoad_emi!M56/TrRoad_tech!M171)</f>
        <v>1.116625759078516</v>
      </c>
      <c r="N198" s="150">
        <f>IF(TrRoad_act!N59=0,0,TrRoad_emi!N56/TrRoad_tech!N171)</f>
        <v>1.1224890052472005</v>
      </c>
      <c r="O198" s="150">
        <f>IF(TrRoad_act!O59=0,0,TrRoad_emi!O56/TrRoad_tech!O171)</f>
        <v>1.1328284274452216</v>
      </c>
      <c r="P198" s="150">
        <f>IF(TrRoad_act!P59=0,0,TrRoad_emi!P56/TrRoad_tech!P171)</f>
        <v>1.1339842297383096</v>
      </c>
      <c r="Q198" s="150">
        <f>IF(TrRoad_act!Q59=0,0,TrRoad_emi!Q56/TrRoad_tech!Q171)</f>
        <v>1.1160400631476524</v>
      </c>
      <c r="R198" s="150">
        <f>IF(TrRoad_act!R59=0,0,TrRoad_emi!R56/TrRoad_tech!R171)</f>
        <v>1.168192550145305</v>
      </c>
      <c r="S198" s="150">
        <f>IF(TrRoad_act!S59=0,0,TrRoad_emi!S56/TrRoad_tech!S171)</f>
        <v>1.1881324585305599</v>
      </c>
      <c r="T198" s="150">
        <f>IF(TrRoad_act!T59=0,0,TrRoad_emi!T56/TrRoad_tech!T171)</f>
        <v>1.1962189914241748</v>
      </c>
      <c r="U198" s="150">
        <f>IF(TrRoad_act!U59=0,0,TrRoad_emi!U56/TrRoad_tech!U171)</f>
        <v>1.2170618428155635</v>
      </c>
      <c r="V198" s="150">
        <f>IF(TrRoad_act!V59=0,0,TrRoad_emi!V56/TrRoad_tech!V171)</f>
        <v>1.1773012314184523</v>
      </c>
      <c r="W198" s="150">
        <f>IF(TrRoad_act!W59=0,0,TrRoad_emi!W56/TrRoad_tech!W171)</f>
        <v>1.2397022834202285</v>
      </c>
      <c r="X198" s="150">
        <f>IF(TrRoad_act!X59=0,0,TrRoad_emi!X56/TrRoad_tech!X171)</f>
        <v>1.2121611943753465</v>
      </c>
      <c r="Y198" s="150">
        <f>IF(TrRoad_act!Y59=0,0,TrRoad_emi!Y56/TrRoad_tech!Y171)</f>
        <v>1.220150108864148</v>
      </c>
      <c r="DA198" s="174"/>
    </row>
    <row r="199" spans="1:105" ht="11.45" customHeight="1" x14ac:dyDescent="0.25">
      <c r="A199" s="109" t="s">
        <v>20</v>
      </c>
      <c r="B199" s="151">
        <f>IF(TrRoad_act!B60=0,0,TrRoad_emi!B57/TrRoad_tech!B172)</f>
        <v>1.140498526001622</v>
      </c>
      <c r="C199" s="151">
        <f>IF(TrRoad_act!C60=0,0,TrRoad_emi!C57/TrRoad_tech!C172)</f>
        <v>1.1304363172466931</v>
      </c>
      <c r="D199" s="151">
        <f>IF(TrRoad_act!D60=0,0,TrRoad_emi!D57/TrRoad_tech!D172)</f>
        <v>1.1213958347870678</v>
      </c>
      <c r="E199" s="151">
        <f>IF(TrRoad_act!E60=0,0,TrRoad_emi!E57/TrRoad_tech!E172)</f>
        <v>1.1329144077956184</v>
      </c>
      <c r="F199" s="151">
        <f>IF(TrRoad_act!F60=0,0,TrRoad_emi!F57/TrRoad_tech!F172)</f>
        <v>1.0995768658300935</v>
      </c>
      <c r="G199" s="151">
        <f>IF(TrRoad_act!G60=0,0,TrRoad_emi!G57/TrRoad_tech!G172)</f>
        <v>1.0942829292917755</v>
      </c>
      <c r="H199" s="151">
        <f>IF(TrRoad_act!H60=0,0,TrRoad_emi!H57/TrRoad_tech!H172)</f>
        <v>1.0965038183556421</v>
      </c>
      <c r="I199" s="151">
        <f>IF(TrRoad_act!I60=0,0,TrRoad_emi!I57/TrRoad_tech!I172)</f>
        <v>1.0851800221445167</v>
      </c>
      <c r="J199" s="151">
        <f>IF(TrRoad_act!J60=0,0,TrRoad_emi!J57/TrRoad_tech!J172)</f>
        <v>1.0516021849789237</v>
      </c>
      <c r="K199" s="151">
        <f>IF(TrRoad_act!K60=0,0,TrRoad_emi!K57/TrRoad_tech!K172)</f>
        <v>1.0197466417164003</v>
      </c>
      <c r="L199" s="151">
        <f>IF(TrRoad_act!L60=0,0,TrRoad_emi!L57/TrRoad_tech!L172)</f>
        <v>1.0092496917176115</v>
      </c>
      <c r="M199" s="151">
        <f>IF(TrRoad_act!M60=0,0,TrRoad_emi!M57/TrRoad_tech!M172)</f>
        <v>0.98643985061992068</v>
      </c>
      <c r="N199" s="151">
        <f>IF(TrRoad_act!N60=0,0,TrRoad_emi!N57/TrRoad_tech!N172)</f>
        <v>0.94209908890999028</v>
      </c>
      <c r="O199" s="151">
        <f>IF(TrRoad_act!O60=0,0,TrRoad_emi!O57/TrRoad_tech!O172)</f>
        <v>0.99705163355307591</v>
      </c>
      <c r="P199" s="151">
        <f>IF(TrRoad_act!P60=0,0,TrRoad_emi!P57/TrRoad_tech!P172)</f>
        <v>1.0030269785126034</v>
      </c>
      <c r="Q199" s="151">
        <f>IF(TrRoad_act!Q60=0,0,TrRoad_emi!Q57/TrRoad_tech!Q172)</f>
        <v>0.9956503944276397</v>
      </c>
      <c r="R199" s="151">
        <f>IF(TrRoad_act!R60=0,0,TrRoad_emi!R57/TrRoad_tech!R172)</f>
        <v>1.0663832501097028</v>
      </c>
      <c r="S199" s="151">
        <f>IF(TrRoad_act!S60=0,0,TrRoad_emi!S57/TrRoad_tech!S172)</f>
        <v>1.0363384144944665</v>
      </c>
      <c r="T199" s="151">
        <f>IF(TrRoad_act!T60=0,0,TrRoad_emi!T57/TrRoad_tech!T172)</f>
        <v>1.0609560654768664</v>
      </c>
      <c r="U199" s="151">
        <f>IF(TrRoad_act!U60=0,0,TrRoad_emi!U57/TrRoad_tech!U172)</f>
        <v>1.0360938755350253</v>
      </c>
      <c r="V199" s="151">
        <f>IF(TrRoad_act!V60=0,0,TrRoad_emi!V57/TrRoad_tech!V172)</f>
        <v>1.0469879970865896</v>
      </c>
      <c r="W199" s="151">
        <f>IF(TrRoad_act!W60=0,0,TrRoad_emi!W57/TrRoad_tech!W172)</f>
        <v>1.0383137581578885</v>
      </c>
      <c r="X199" s="151">
        <f>IF(TrRoad_act!X60=0,0,TrRoad_emi!X57/TrRoad_tech!X172)</f>
        <v>1.0566144408644682</v>
      </c>
      <c r="Y199" s="151">
        <f>IF(TrRoad_act!Y60=0,0,TrRoad_emi!Y57/TrRoad_tech!Y172)</f>
        <v>1.0465128956860641</v>
      </c>
      <c r="DA199" s="176"/>
    </row>
    <row r="200" spans="1:105" ht="11.45" customHeight="1" x14ac:dyDescent="0.25">
      <c r="A200" s="111" t="s">
        <v>110</v>
      </c>
      <c r="B200" s="91">
        <f>IF(TrRoad_act!B61=0,0,TrRoad_emi!B58/TrRoad_tech!B173)</f>
        <v>1.1663844315283847</v>
      </c>
      <c r="C200" s="91">
        <f>IF(TrRoad_act!C61=0,0,TrRoad_emi!C58/TrRoad_tech!C173)</f>
        <v>1.1785206924560334</v>
      </c>
      <c r="D200" s="91">
        <f>IF(TrRoad_act!D61=0,0,TrRoad_emi!D58/TrRoad_tech!D173)</f>
        <v>1.1482275133036388</v>
      </c>
      <c r="E200" s="91">
        <f>IF(TrRoad_act!E61=0,0,TrRoad_emi!E58/TrRoad_tech!E173)</f>
        <v>1.1654537985054039</v>
      </c>
      <c r="F200" s="91">
        <f>IF(TrRoad_act!F61=0,0,TrRoad_emi!F58/TrRoad_tech!F173)</f>
        <v>1.1369873026597446</v>
      </c>
      <c r="G200" s="91">
        <f>IF(TrRoad_act!G61=0,0,TrRoad_emi!G58/TrRoad_tech!G173)</f>
        <v>1.1203722110310856</v>
      </c>
      <c r="H200" s="91">
        <f>IF(TrRoad_act!H61=0,0,TrRoad_emi!H58/TrRoad_tech!H173)</f>
        <v>1.1177803020115267</v>
      </c>
      <c r="I200" s="91">
        <f>IF(TrRoad_act!I61=0,0,TrRoad_emi!I58/TrRoad_tech!I173)</f>
        <v>1.1064345415489316</v>
      </c>
      <c r="J200" s="91">
        <f>IF(TrRoad_act!J61=0,0,TrRoad_emi!J58/TrRoad_tech!J173)</f>
        <v>1.0617452178258893</v>
      </c>
      <c r="K200" s="91">
        <f>IF(TrRoad_act!K61=0,0,TrRoad_emi!K58/TrRoad_tech!K173)</f>
        <v>1.032907619928515</v>
      </c>
      <c r="L200" s="91">
        <f>IF(TrRoad_act!L61=0,0,TrRoad_emi!L58/TrRoad_tech!L173)</f>
        <v>1.0136885306888579</v>
      </c>
      <c r="M200" s="91">
        <f>IF(TrRoad_act!M61=0,0,TrRoad_emi!M58/TrRoad_tech!M173)</f>
        <v>0.99841309824221736</v>
      </c>
      <c r="N200" s="91">
        <f>IF(TrRoad_act!N61=0,0,TrRoad_emi!N58/TrRoad_tech!N173)</f>
        <v>0.96014904125251088</v>
      </c>
      <c r="O200" s="91">
        <f>IF(TrRoad_act!O61=0,0,TrRoad_emi!O58/TrRoad_tech!O173)</f>
        <v>0.98945817911154155</v>
      </c>
      <c r="P200" s="91">
        <f>IF(TrRoad_act!P61=0,0,TrRoad_emi!P58/TrRoad_tech!P173)</f>
        <v>1.0002523260096492</v>
      </c>
      <c r="Q200" s="91">
        <f>IF(TrRoad_act!Q61=0,0,TrRoad_emi!Q58/TrRoad_tech!Q173)</f>
        <v>0.99842536395272352</v>
      </c>
      <c r="R200" s="91">
        <f>IF(TrRoad_act!R61=0,0,TrRoad_emi!R58/TrRoad_tech!R173)</f>
        <v>1.1100816572869963</v>
      </c>
      <c r="S200" s="91">
        <f>IF(TrRoad_act!S61=0,0,TrRoad_emi!S58/TrRoad_tech!S173)</f>
        <v>1.1708380885092369</v>
      </c>
      <c r="T200" s="91">
        <f>IF(TrRoad_act!T61=0,0,TrRoad_emi!T58/TrRoad_tech!T173)</f>
        <v>1.2280397470282622</v>
      </c>
      <c r="U200" s="91">
        <f>IF(TrRoad_act!U61=0,0,TrRoad_emi!U58/TrRoad_tech!U173)</f>
        <v>1.2109468252324711</v>
      </c>
      <c r="V200" s="91">
        <f>IF(TrRoad_act!V61=0,0,TrRoad_emi!V58/TrRoad_tech!V173)</f>
        <v>1.3694080938331412</v>
      </c>
      <c r="W200" s="91">
        <f>IF(TrRoad_act!W61=0,0,TrRoad_emi!W58/TrRoad_tech!W173)</f>
        <v>1.3563510158331846</v>
      </c>
      <c r="X200" s="91">
        <f>IF(TrRoad_act!X61=0,0,TrRoad_emi!X58/TrRoad_tech!X173)</f>
        <v>1.3287047271230863</v>
      </c>
      <c r="Y200" s="91">
        <f>IF(TrRoad_act!Y61=0,0,TrRoad_emi!Y58/TrRoad_tech!Y173)</f>
        <v>1.3127678603113275</v>
      </c>
      <c r="DA200" s="171"/>
    </row>
    <row r="201" spans="1:105" ht="11.45" customHeight="1" x14ac:dyDescent="0.25">
      <c r="A201" s="111" t="s">
        <v>111</v>
      </c>
      <c r="B201" s="91">
        <f>IF(TrRoad_act!B62=0,0,TrRoad_emi!B59/TrRoad_tech!B174)</f>
        <v>1.1718673837984912</v>
      </c>
      <c r="C201" s="91">
        <f>IF(TrRoad_act!C62=0,0,TrRoad_emi!C59/TrRoad_tech!C174)</f>
        <v>1.170841080893174</v>
      </c>
      <c r="D201" s="91">
        <f>IF(TrRoad_act!D62=0,0,TrRoad_emi!D59/TrRoad_tech!D174)</f>
        <v>1.193898146023914</v>
      </c>
      <c r="E201" s="91">
        <f>IF(TrRoad_act!E62=0,0,TrRoad_emi!E59/TrRoad_tech!E174)</f>
        <v>1.2035848913538338</v>
      </c>
      <c r="F201" s="91">
        <f>IF(TrRoad_act!F62=0,0,TrRoad_emi!F59/TrRoad_tech!F174)</f>
        <v>1.1631961866280449</v>
      </c>
      <c r="G201" s="91">
        <f>IF(TrRoad_act!G62=0,0,TrRoad_emi!G59/TrRoad_tech!G174)</f>
        <v>1.1647525821675819</v>
      </c>
      <c r="H201" s="91">
        <f>IF(TrRoad_act!H62=0,0,TrRoad_emi!H59/TrRoad_tech!H174)</f>
        <v>1.1659910044533535</v>
      </c>
      <c r="I201" s="91">
        <f>IF(TrRoad_act!I62=0,0,TrRoad_emi!I59/TrRoad_tech!I174)</f>
        <v>1.1493251626517689</v>
      </c>
      <c r="J201" s="91">
        <f>IF(TrRoad_act!J62=0,0,TrRoad_emi!J59/TrRoad_tech!J174)</f>
        <v>1.1161447284314141</v>
      </c>
      <c r="K201" s="91">
        <f>IF(TrRoad_act!K62=0,0,TrRoad_emi!K59/TrRoad_tech!K174)</f>
        <v>1.0770542536186154</v>
      </c>
      <c r="L201" s="91">
        <f>IF(TrRoad_act!L62=0,0,TrRoad_emi!L59/TrRoad_tech!L174)</f>
        <v>1.0694823578295851</v>
      </c>
      <c r="M201" s="91">
        <f>IF(TrRoad_act!M62=0,0,TrRoad_emi!M59/TrRoad_tech!M174)</f>
        <v>1.044006707251971</v>
      </c>
      <c r="N201" s="91">
        <f>IF(TrRoad_act!N62=0,0,TrRoad_emi!N59/TrRoad_tech!N174)</f>
        <v>0.99292582800577811</v>
      </c>
      <c r="O201" s="91">
        <f>IF(TrRoad_act!O62=0,0,TrRoad_emi!O59/TrRoad_tech!O174)</f>
        <v>1.0579504419974766</v>
      </c>
      <c r="P201" s="91">
        <f>IF(TrRoad_act!P62=0,0,TrRoad_emi!P59/TrRoad_tech!P174)</f>
        <v>1.0608282655521719</v>
      </c>
      <c r="Q201" s="91">
        <f>IF(TrRoad_act!Q62=0,0,TrRoad_emi!Q59/TrRoad_tech!Q174)</f>
        <v>1.0609710556956151</v>
      </c>
      <c r="R201" s="91">
        <f>IF(TrRoad_act!R62=0,0,TrRoad_emi!R59/TrRoad_tech!R174)</f>
        <v>1.1134923538329755</v>
      </c>
      <c r="S201" s="91">
        <f>IF(TrRoad_act!S62=0,0,TrRoad_emi!S59/TrRoad_tech!S174)</f>
        <v>1.068986056486801</v>
      </c>
      <c r="T201" s="91">
        <f>IF(TrRoad_act!T62=0,0,TrRoad_emi!T59/TrRoad_tech!T174)</f>
        <v>1.0608661873454657</v>
      </c>
      <c r="U201" s="91">
        <f>IF(TrRoad_act!U62=0,0,TrRoad_emi!U59/TrRoad_tech!U174)</f>
        <v>1.0189437722283428</v>
      </c>
      <c r="V201" s="91">
        <f>IF(TrRoad_act!V62=0,0,TrRoad_emi!V59/TrRoad_tech!V174)</f>
        <v>0.99574240736212671</v>
      </c>
      <c r="W201" s="91">
        <f>IF(TrRoad_act!W62=0,0,TrRoad_emi!W59/TrRoad_tech!W174)</f>
        <v>0.97654506222907822</v>
      </c>
      <c r="X201" s="91">
        <f>IF(TrRoad_act!X62=0,0,TrRoad_emi!X59/TrRoad_tech!X174)</f>
        <v>0.99455349388473735</v>
      </c>
      <c r="Y201" s="91">
        <f>IF(TrRoad_act!Y62=0,0,TrRoad_emi!Y59/TrRoad_tech!Y174)</f>
        <v>0.96121237346570065</v>
      </c>
      <c r="DA201" s="171"/>
    </row>
    <row r="202" spans="1:105" ht="11.45" customHeight="1" x14ac:dyDescent="0.25">
      <c r="A202" s="111" t="s">
        <v>112</v>
      </c>
      <c r="B202" s="91">
        <f>IF(TrRoad_act!B63=0,0,TrRoad_emi!B60/TrRoad_tech!B175)</f>
        <v>3.3155790756378192</v>
      </c>
      <c r="C202" s="91">
        <f>IF(TrRoad_act!C63=0,0,TrRoad_emi!C60/TrRoad_tech!C175)</f>
        <v>3.2369517527767582</v>
      </c>
      <c r="D202" s="91">
        <f>IF(TrRoad_act!D63=0,0,TrRoad_emi!D60/TrRoad_tech!D175)</f>
        <v>3.1996924044697277</v>
      </c>
      <c r="E202" s="91">
        <f>IF(TrRoad_act!E63=0,0,TrRoad_emi!E60/TrRoad_tech!E175)</f>
        <v>3.3899288493307425</v>
      </c>
      <c r="F202" s="91">
        <f>IF(TrRoad_act!F63=0,0,TrRoad_emi!F60/TrRoad_tech!F175)</f>
        <v>3.658680643404526</v>
      </c>
      <c r="G202" s="91">
        <f>IF(TrRoad_act!G63=0,0,TrRoad_emi!G60/TrRoad_tech!G175)</f>
        <v>3.3535367590701797</v>
      </c>
      <c r="H202" s="91">
        <f>IF(TrRoad_act!H63=0,0,TrRoad_emi!H60/TrRoad_tech!H175)</f>
        <v>3.4628284817777621</v>
      </c>
      <c r="I202" s="91">
        <f>IF(TrRoad_act!I63=0,0,TrRoad_emi!I60/TrRoad_tech!I175)</f>
        <v>4.2978445967450734</v>
      </c>
      <c r="J202" s="91">
        <f>IF(TrRoad_act!J63=0,0,TrRoad_emi!J60/TrRoad_tech!J175)</f>
        <v>2.0787465759926089</v>
      </c>
      <c r="K202" s="91">
        <f>IF(TrRoad_act!K63=0,0,TrRoad_emi!K60/TrRoad_tech!K175)</f>
        <v>1.9318308264719268</v>
      </c>
      <c r="L202" s="91">
        <f>IF(TrRoad_act!L63=0,0,TrRoad_emi!L60/TrRoad_tech!L175)</f>
        <v>2.0100997581862536</v>
      </c>
      <c r="M202" s="91">
        <f>IF(TrRoad_act!M63=0,0,TrRoad_emi!M60/TrRoad_tech!M175)</f>
        <v>2.0508681692050614</v>
      </c>
      <c r="N202" s="91">
        <f>IF(TrRoad_act!N63=0,0,TrRoad_emi!N60/TrRoad_tech!N175)</f>
        <v>1.796581612738501</v>
      </c>
      <c r="O202" s="91">
        <f>IF(TrRoad_act!O63=0,0,TrRoad_emi!O60/TrRoad_tech!O175)</f>
        <v>2.0492616633183696</v>
      </c>
      <c r="P202" s="91">
        <f>IF(TrRoad_act!P63=0,0,TrRoad_emi!P60/TrRoad_tech!P175)</f>
        <v>2.0626283655538749</v>
      </c>
      <c r="Q202" s="91">
        <f>IF(TrRoad_act!Q63=0,0,TrRoad_emi!Q60/TrRoad_tech!Q175)</f>
        <v>2.2566403976239018</v>
      </c>
      <c r="R202" s="91">
        <f>IF(TrRoad_act!R63=0,0,TrRoad_emi!R60/TrRoad_tech!R175)</f>
        <v>2.3666090799236739</v>
      </c>
      <c r="S202" s="91">
        <f>IF(TrRoad_act!S63=0,0,TrRoad_emi!S60/TrRoad_tech!S175)</f>
        <v>2.1881099149880781</v>
      </c>
      <c r="T202" s="91">
        <f>IF(TrRoad_act!T63=0,0,TrRoad_emi!T60/TrRoad_tech!T175)</f>
        <v>1.745517451210814</v>
      </c>
      <c r="U202" s="91">
        <f>IF(TrRoad_act!U63=0,0,TrRoad_emi!U60/TrRoad_tech!U175)</f>
        <v>1.6151963242418506</v>
      </c>
      <c r="V202" s="91">
        <f>IF(TrRoad_act!V63=0,0,TrRoad_emi!V60/TrRoad_tech!V175)</f>
        <v>1.7372416908893493</v>
      </c>
      <c r="W202" s="91">
        <f>IF(TrRoad_act!W63=0,0,TrRoad_emi!W60/TrRoad_tech!W175)</f>
        <v>1.5746185443590386</v>
      </c>
      <c r="X202" s="91">
        <f>IF(TrRoad_act!X63=0,0,TrRoad_emi!X60/TrRoad_tech!X175)</f>
        <v>1.5918951455946364</v>
      </c>
      <c r="Y202" s="91">
        <f>IF(TrRoad_act!Y63=0,0,TrRoad_emi!Y60/TrRoad_tech!Y175)</f>
        <v>1.0909725647976474</v>
      </c>
      <c r="DA202" s="171"/>
    </row>
    <row r="203" spans="1:105" ht="11.45" customHeight="1" x14ac:dyDescent="0.25">
      <c r="A203" s="111" t="s">
        <v>113</v>
      </c>
      <c r="B203" s="91">
        <f>IF(TrRoad_act!B64=0,0,TrRoad_emi!B61/TrRoad_tech!B176)</f>
        <v>0</v>
      </c>
      <c r="C203" s="91">
        <f>IF(TrRoad_act!C64=0,0,TrRoad_emi!C61/TrRoad_tech!C176)</f>
        <v>0</v>
      </c>
      <c r="D203" s="91">
        <f>IF(TrRoad_act!D64=0,0,TrRoad_emi!D61/TrRoad_tech!D176)</f>
        <v>0</v>
      </c>
      <c r="E203" s="91">
        <f>IF(TrRoad_act!E64=0,0,TrRoad_emi!E61/TrRoad_tech!E176)</f>
        <v>0</v>
      </c>
      <c r="F203" s="91">
        <f>IF(TrRoad_act!F64=0,0,TrRoad_emi!F61/TrRoad_tech!F176)</f>
        <v>1.03444444444846</v>
      </c>
      <c r="G203" s="91">
        <f>IF(TrRoad_act!G64=0,0,TrRoad_emi!G61/TrRoad_tech!G176)</f>
        <v>1.0358763348926627</v>
      </c>
      <c r="H203" s="91">
        <f>IF(TrRoad_act!H64=0,0,TrRoad_emi!H61/TrRoad_tech!H176)</f>
        <v>1.0375561970212452</v>
      </c>
      <c r="I203" s="91">
        <f>IF(TrRoad_act!I64=0,0,TrRoad_emi!I61/TrRoad_tech!I176)</f>
        <v>1.0375951404526078</v>
      </c>
      <c r="J203" s="91">
        <f>IF(TrRoad_act!J64=0,0,TrRoad_emi!J61/TrRoad_tech!J176)</f>
        <v>1.0379095234317748</v>
      </c>
      <c r="K203" s="91">
        <f>IF(TrRoad_act!K64=0,0,TrRoad_emi!K61/TrRoad_tech!K176)</f>
        <v>1.0383065932799453</v>
      </c>
      <c r="L203" s="91">
        <f>IF(TrRoad_act!L64=0,0,TrRoad_emi!L61/TrRoad_tech!L176)</f>
        <v>1.0390652705378003</v>
      </c>
      <c r="M203" s="91">
        <f>IF(TrRoad_act!M64=0,0,TrRoad_emi!M61/TrRoad_tech!M176)</f>
        <v>1.0393052026763669</v>
      </c>
      <c r="N203" s="91">
        <f>IF(TrRoad_act!N64=0,0,TrRoad_emi!N61/TrRoad_tech!N176)</f>
        <v>1.0501530792628309</v>
      </c>
      <c r="O203" s="91">
        <f>IF(TrRoad_act!O64=0,0,TrRoad_emi!O61/TrRoad_tech!O176)</f>
        <v>1.0530139268886065</v>
      </c>
      <c r="P203" s="91">
        <f>IF(TrRoad_act!P64=0,0,TrRoad_emi!P61/TrRoad_tech!P176)</f>
        <v>1.0539803626328674</v>
      </c>
      <c r="Q203" s="91">
        <f>IF(TrRoad_act!Q64=0,0,TrRoad_emi!Q61/TrRoad_tech!Q176)</f>
        <v>1.0543203795466549</v>
      </c>
      <c r="R203" s="91">
        <f>IF(TrRoad_act!R64=0,0,TrRoad_emi!R61/TrRoad_tech!R176)</f>
        <v>1.0552283792920745</v>
      </c>
      <c r="S203" s="91">
        <f>IF(TrRoad_act!S64=0,0,TrRoad_emi!S61/TrRoad_tech!S176)</f>
        <v>1.0580232719655145</v>
      </c>
      <c r="T203" s="91">
        <f>IF(TrRoad_act!T64=0,0,TrRoad_emi!T61/TrRoad_tech!T176)</f>
        <v>1.0695476083751336</v>
      </c>
      <c r="U203" s="91">
        <f>IF(TrRoad_act!U64=0,0,TrRoad_emi!U61/TrRoad_tech!U176)</f>
        <v>1.0886592062659122</v>
      </c>
      <c r="V203" s="91">
        <f>IF(TrRoad_act!V64=0,0,TrRoad_emi!V61/TrRoad_tech!V176)</f>
        <v>1.0945343296091556</v>
      </c>
      <c r="W203" s="91">
        <f>IF(TrRoad_act!W64=0,0,TrRoad_emi!W61/TrRoad_tech!W176)</f>
        <v>1.0957214359460345</v>
      </c>
      <c r="X203" s="91">
        <f>IF(TrRoad_act!X64=0,0,TrRoad_emi!X61/TrRoad_tech!X176)</f>
        <v>1.0957502208339613</v>
      </c>
      <c r="Y203" s="91">
        <f>IF(TrRoad_act!Y64=0,0,TrRoad_emi!Y61/TrRoad_tech!Y176)</f>
        <v>1.0954317394204651</v>
      </c>
      <c r="DA203" s="171"/>
    </row>
    <row r="204" spans="1:105" ht="11.45" customHeight="1" x14ac:dyDescent="0.25">
      <c r="A204" s="111" t="s">
        <v>114</v>
      </c>
      <c r="B204" s="91">
        <f>IF(TrRoad_act!B65=0,0,TrRoad_emi!B62/TrRoad_tech!B177)</f>
        <v>0</v>
      </c>
      <c r="C204" s="91">
        <f>IF(TrRoad_act!C65=0,0,TrRoad_emi!C62/TrRoad_tech!C177)</f>
        <v>0</v>
      </c>
      <c r="D204" s="91">
        <f>IF(TrRoad_act!D65=0,0,TrRoad_emi!D62/TrRoad_tech!D177)</f>
        <v>0</v>
      </c>
      <c r="E204" s="91">
        <f>IF(TrRoad_act!E65=0,0,TrRoad_emi!E62/TrRoad_tech!E177)</f>
        <v>0</v>
      </c>
      <c r="F204" s="91">
        <f>IF(TrRoad_act!F65=0,0,TrRoad_emi!F62/TrRoad_tech!F177)</f>
        <v>0</v>
      </c>
      <c r="G204" s="91">
        <f>IF(TrRoad_act!G65=0,0,TrRoad_emi!G62/TrRoad_tech!G177)</f>
        <v>0</v>
      </c>
      <c r="H204" s="91">
        <f>IF(TrRoad_act!H65=0,0,TrRoad_emi!H62/TrRoad_tech!H177)</f>
        <v>0</v>
      </c>
      <c r="I204" s="91">
        <f>IF(TrRoad_act!I65=0,0,TrRoad_emi!I62/TrRoad_tech!I177)</f>
        <v>0</v>
      </c>
      <c r="J204" s="91">
        <f>IF(TrRoad_act!J65=0,0,TrRoad_emi!J62/TrRoad_tech!J177)</f>
        <v>0</v>
      </c>
      <c r="K204" s="91">
        <f>IF(TrRoad_act!K65=0,0,TrRoad_emi!K62/TrRoad_tech!K177)</f>
        <v>0</v>
      </c>
      <c r="L204" s="91">
        <f>IF(TrRoad_act!L65=0,0,TrRoad_emi!L62/TrRoad_tech!L177)</f>
        <v>0</v>
      </c>
      <c r="M204" s="91">
        <f>IF(TrRoad_act!M65=0,0,TrRoad_emi!M62/TrRoad_tech!M177)</f>
        <v>1.0239938333380192</v>
      </c>
      <c r="N204" s="91">
        <f>IF(TrRoad_act!N65=0,0,TrRoad_emi!N62/TrRoad_tech!N177)</f>
        <v>0.98871267245283967</v>
      </c>
      <c r="O204" s="91">
        <f>IF(TrRoad_act!O65=0,0,TrRoad_emi!O62/TrRoad_tech!O177)</f>
        <v>1.0204093688996498</v>
      </c>
      <c r="P204" s="91">
        <f>IF(TrRoad_act!P65=0,0,TrRoad_emi!P62/TrRoad_tech!P177)</f>
        <v>1.0352931702038752</v>
      </c>
      <c r="Q204" s="91">
        <f>IF(TrRoad_act!Q65=0,0,TrRoad_emi!Q62/TrRoad_tech!Q177)</f>
        <v>1.0383507401152801</v>
      </c>
      <c r="R204" s="91">
        <f>IF(TrRoad_act!R65=0,0,TrRoad_emi!R62/TrRoad_tech!R177)</f>
        <v>1.1552118587012266</v>
      </c>
      <c r="S204" s="91">
        <f>IF(TrRoad_act!S65=0,0,TrRoad_emi!S62/TrRoad_tech!S177)</f>
        <v>1.2176745452307898</v>
      </c>
      <c r="T204" s="91">
        <f>IF(TrRoad_act!T65=0,0,TrRoad_emi!T62/TrRoad_tech!T177)</f>
        <v>1.2734804511702367</v>
      </c>
      <c r="U204" s="91">
        <f>IF(TrRoad_act!U65=0,0,TrRoad_emi!U62/TrRoad_tech!U177)</f>
        <v>1.2518711238740563</v>
      </c>
      <c r="V204" s="91">
        <f>IF(TrRoad_act!V65=0,0,TrRoad_emi!V62/TrRoad_tech!V177)</f>
        <v>1.4145801607263384</v>
      </c>
      <c r="W204" s="91">
        <f>IF(TrRoad_act!W65=0,0,TrRoad_emi!W62/TrRoad_tech!W177)</f>
        <v>1.3979024679968997</v>
      </c>
      <c r="X204" s="91">
        <f>IF(TrRoad_act!X65=0,0,TrRoad_emi!X62/TrRoad_tech!X177)</f>
        <v>1.3660345440064086</v>
      </c>
      <c r="Y204" s="91">
        <f>IF(TrRoad_act!Y65=0,0,TrRoad_emi!Y62/TrRoad_tech!Y177)</f>
        <v>1.3445127435917656</v>
      </c>
      <c r="DA204" s="171"/>
    </row>
    <row r="205" spans="1:105" ht="11.45" customHeight="1" x14ac:dyDescent="0.25">
      <c r="A205" s="111" t="s">
        <v>115</v>
      </c>
      <c r="B205" s="91">
        <f>0</f>
        <v>0</v>
      </c>
      <c r="C205" s="91">
        <f>0</f>
        <v>0</v>
      </c>
      <c r="D205" s="91">
        <f>0</f>
        <v>0</v>
      </c>
      <c r="E205" s="91">
        <f>0</f>
        <v>0</v>
      </c>
      <c r="F205" s="91">
        <f>0</f>
        <v>0</v>
      </c>
      <c r="G205" s="91">
        <f>0</f>
        <v>0</v>
      </c>
      <c r="H205" s="91">
        <f>0</f>
        <v>0</v>
      </c>
      <c r="I205" s="91">
        <f>0</f>
        <v>0</v>
      </c>
      <c r="J205" s="91">
        <f>0</f>
        <v>0</v>
      </c>
      <c r="K205" s="91">
        <f>0</f>
        <v>0</v>
      </c>
      <c r="L205" s="91">
        <f>0</f>
        <v>0</v>
      </c>
      <c r="M205" s="91">
        <f>0</f>
        <v>0</v>
      </c>
      <c r="N205" s="91">
        <f>0</f>
        <v>0</v>
      </c>
      <c r="O205" s="91">
        <f>0</f>
        <v>0</v>
      </c>
      <c r="P205" s="91">
        <f>0</f>
        <v>0</v>
      </c>
      <c r="Q205" s="91">
        <f>0</f>
        <v>0</v>
      </c>
      <c r="R205" s="91">
        <f>0</f>
        <v>0</v>
      </c>
      <c r="S205" s="91">
        <f>0</f>
        <v>0</v>
      </c>
      <c r="T205" s="91">
        <f>0</f>
        <v>0</v>
      </c>
      <c r="U205" s="91">
        <f>0</f>
        <v>0</v>
      </c>
      <c r="V205" s="91">
        <f>0</f>
        <v>0</v>
      </c>
      <c r="W205" s="91">
        <f>0</f>
        <v>0</v>
      </c>
      <c r="X205" s="91">
        <f>0</f>
        <v>0</v>
      </c>
      <c r="Y205" s="91">
        <f>0</f>
        <v>0</v>
      </c>
      <c r="DA205" s="171"/>
    </row>
    <row r="206" spans="1:105" ht="11.45" customHeight="1" x14ac:dyDescent="0.25">
      <c r="A206" s="109" t="s">
        <v>21</v>
      </c>
      <c r="B206" s="151">
        <f>IF(TrRoad_act!B67=0,0,TrRoad_emi!B64/TrRoad_tech!B179)</f>
        <v>1.1026704288551163</v>
      </c>
      <c r="C206" s="151">
        <f>IF(TrRoad_act!C67=0,0,TrRoad_emi!C64/TrRoad_tech!C179)</f>
        <v>1.0976638678589088</v>
      </c>
      <c r="D206" s="151">
        <f>IF(TrRoad_act!D67=0,0,TrRoad_emi!D64/TrRoad_tech!D179)</f>
        <v>1.10154762530707</v>
      </c>
      <c r="E206" s="151">
        <f>IF(TrRoad_act!E67=0,0,TrRoad_emi!E64/TrRoad_tech!E179)</f>
        <v>1.1087034788148347</v>
      </c>
      <c r="F206" s="151">
        <f>IF(TrRoad_act!F67=0,0,TrRoad_emi!F64/TrRoad_tech!F179)</f>
        <v>1.1010253124873579</v>
      </c>
      <c r="G206" s="151">
        <f>IF(TrRoad_act!G67=0,0,TrRoad_emi!G64/TrRoad_tech!G179)</f>
        <v>1.101916222157286</v>
      </c>
      <c r="H206" s="151">
        <f>IF(TrRoad_act!H67=0,0,TrRoad_emi!H64/TrRoad_tech!H179)</f>
        <v>1.1123966576750728</v>
      </c>
      <c r="I206" s="151">
        <f>IF(TrRoad_act!I67=0,0,TrRoad_emi!I64/TrRoad_tech!I179)</f>
        <v>1.1194321324404999</v>
      </c>
      <c r="J206" s="151">
        <f>IF(TrRoad_act!J67=0,0,TrRoad_emi!J64/TrRoad_tech!J179)</f>
        <v>1.1118176001637348</v>
      </c>
      <c r="K206" s="151">
        <f>IF(TrRoad_act!K67=0,0,TrRoad_emi!K64/TrRoad_tech!K179)</f>
        <v>1.1055796234742601</v>
      </c>
      <c r="L206" s="151">
        <f>IF(TrRoad_act!L67=0,0,TrRoad_emi!L64/TrRoad_tech!L179)</f>
        <v>1.1095256808471485</v>
      </c>
      <c r="M206" s="151">
        <f>IF(TrRoad_act!M67=0,0,TrRoad_emi!M64/TrRoad_tech!M179)</f>
        <v>1.1056223547511961</v>
      </c>
      <c r="N206" s="151">
        <f>IF(TrRoad_act!N67=0,0,TrRoad_emi!N64/TrRoad_tech!N179)</f>
        <v>1.0884391658388148</v>
      </c>
      <c r="O206" s="151">
        <f>IF(TrRoad_act!O67=0,0,TrRoad_emi!O64/TrRoad_tech!O179)</f>
        <v>1.1903053723967458</v>
      </c>
      <c r="P206" s="151">
        <f>IF(TrRoad_act!P67=0,0,TrRoad_emi!P64/TrRoad_tech!P179)</f>
        <v>1.183651654902333</v>
      </c>
      <c r="Q206" s="151">
        <f>IF(TrRoad_act!Q67=0,0,TrRoad_emi!Q64/TrRoad_tech!Q179)</f>
        <v>1.2408547830387584</v>
      </c>
      <c r="R206" s="151">
        <f>IF(TrRoad_act!R67=0,0,TrRoad_emi!R64/TrRoad_tech!R179)</f>
        <v>1.2165001360776291</v>
      </c>
      <c r="S206" s="151">
        <f>IF(TrRoad_act!S67=0,0,TrRoad_emi!S64/TrRoad_tech!S179)</f>
        <v>1.2280026022582788</v>
      </c>
      <c r="T206" s="151">
        <f>IF(TrRoad_act!T67=0,0,TrRoad_emi!T64/TrRoad_tech!T179)</f>
        <v>1.2614485452091873</v>
      </c>
      <c r="U206" s="151">
        <f>IF(TrRoad_act!U67=0,0,TrRoad_emi!U64/TrRoad_tech!U179)</f>
        <v>1.2411822289684178</v>
      </c>
      <c r="V206" s="151">
        <f>IF(TrRoad_act!V67=0,0,TrRoad_emi!V64/TrRoad_tech!V179)</f>
        <v>1.3528549320986811</v>
      </c>
      <c r="W206" s="151">
        <f>IF(TrRoad_act!W67=0,0,TrRoad_emi!W64/TrRoad_tech!W179)</f>
        <v>1.3654446005663896</v>
      </c>
      <c r="X206" s="151">
        <f>IF(TrRoad_act!X67=0,0,TrRoad_emi!X64/TrRoad_tech!X179)</f>
        <v>1.3849728128633327</v>
      </c>
      <c r="Y206" s="151">
        <f>IF(TrRoad_act!Y67=0,0,TrRoad_emi!Y64/TrRoad_tech!Y179)</f>
        <v>1.4020093344413309</v>
      </c>
      <c r="DA206" s="176"/>
    </row>
    <row r="207" spans="1:105" ht="11.45" customHeight="1" x14ac:dyDescent="0.25">
      <c r="A207" s="111" t="s">
        <v>110</v>
      </c>
      <c r="B207" s="93">
        <f>IF(TrRoad_act!B68=0,0,TrRoad_emi!B65/TrRoad_tech!B180)</f>
        <v>1.1000000000067303</v>
      </c>
      <c r="C207" s="93">
        <f>IF(TrRoad_act!C68=0,0,TrRoad_emi!C65/TrRoad_tech!C180)</f>
        <v>1.1004860296708026</v>
      </c>
      <c r="D207" s="93">
        <f>IF(TrRoad_act!D68=0,0,TrRoad_emi!D65/TrRoad_tech!D180)</f>
        <v>1.0925917289150473</v>
      </c>
      <c r="E207" s="93">
        <f>IF(TrRoad_act!E68=0,0,TrRoad_emi!E65/TrRoad_tech!E180)</f>
        <v>1.0900031857169434</v>
      </c>
      <c r="F207" s="93">
        <f>IF(TrRoad_act!F68=0,0,TrRoad_emi!F65/TrRoad_tech!F180)</f>
        <v>1.0946550578409178</v>
      </c>
      <c r="G207" s="93">
        <f>IF(TrRoad_act!G68=0,0,TrRoad_emi!G65/TrRoad_tech!G180)</f>
        <v>1.0891343029824347</v>
      </c>
      <c r="H207" s="93">
        <f>IF(TrRoad_act!H68=0,0,TrRoad_emi!H65/TrRoad_tech!H180)</f>
        <v>1.0917296660853648</v>
      </c>
      <c r="I207" s="93">
        <f>IF(TrRoad_act!I68=0,0,TrRoad_emi!I65/TrRoad_tech!I180)</f>
        <v>1.101349020784441</v>
      </c>
      <c r="J207" s="93">
        <f>IF(TrRoad_act!J68=0,0,TrRoad_emi!J65/TrRoad_tech!J180)</f>
        <v>1.1054000105242092</v>
      </c>
      <c r="K207" s="93">
        <f>IF(TrRoad_act!K68=0,0,TrRoad_emi!K65/TrRoad_tech!K180)</f>
        <v>1.0961308831698569</v>
      </c>
      <c r="L207" s="93">
        <f>IF(TrRoad_act!L68=0,0,TrRoad_emi!L65/TrRoad_tech!L180)</f>
        <v>1.0832183769817203</v>
      </c>
      <c r="M207" s="93">
        <f>IF(TrRoad_act!M68=0,0,TrRoad_emi!M65/TrRoad_tech!M180)</f>
        <v>1.0872134777008493</v>
      </c>
      <c r="N207" s="93">
        <f>IF(TrRoad_act!N68=0,0,TrRoad_emi!N65/TrRoad_tech!N180)</f>
        <v>1.0928457491073682</v>
      </c>
      <c r="O207" s="93">
        <f>IF(TrRoad_act!O68=0,0,TrRoad_emi!O65/TrRoad_tech!O180)</f>
        <v>1.1062328556297913</v>
      </c>
      <c r="P207" s="93">
        <f>IF(TrRoad_act!P68=0,0,TrRoad_emi!P65/TrRoad_tech!P180)</f>
        <v>1.1098692452559074</v>
      </c>
      <c r="Q207" s="93">
        <f>IF(TrRoad_act!Q68=0,0,TrRoad_emi!Q65/TrRoad_tech!Q180)</f>
        <v>1.1157733062810866</v>
      </c>
      <c r="R207" s="93">
        <f>IF(TrRoad_act!R68=0,0,TrRoad_emi!R65/TrRoad_tech!R180)</f>
        <v>1.1407974748631733</v>
      </c>
      <c r="S207" s="93">
        <f>IF(TrRoad_act!S68=0,0,TrRoad_emi!S65/TrRoad_tech!S180)</f>
        <v>1.1456317651990413</v>
      </c>
      <c r="T207" s="93">
        <f>IF(TrRoad_act!T68=0,0,TrRoad_emi!T65/TrRoad_tech!T180)</f>
        <v>1.1466168230529608</v>
      </c>
      <c r="U207" s="93">
        <f>IF(TrRoad_act!U68=0,0,TrRoad_emi!U65/TrRoad_tech!U180)</f>
        <v>1.1560347699462132</v>
      </c>
      <c r="V207" s="93">
        <f>IF(TrRoad_act!V68=0,0,TrRoad_emi!V65/TrRoad_tech!V180)</f>
        <v>1.1639725860686996</v>
      </c>
      <c r="W207" s="93">
        <f>IF(TrRoad_act!W68=0,0,TrRoad_emi!W65/TrRoad_tech!W180)</f>
        <v>1.1788772212703129</v>
      </c>
      <c r="X207" s="93">
        <f>IF(TrRoad_act!X68=0,0,TrRoad_emi!X65/TrRoad_tech!X180)</f>
        <v>1.2020886565919755</v>
      </c>
      <c r="Y207" s="93">
        <f>IF(TrRoad_act!Y68=0,0,TrRoad_emi!Y65/TrRoad_tech!Y180)</f>
        <v>1.210070977633469</v>
      </c>
      <c r="DA207" s="175"/>
    </row>
    <row r="208" spans="1:105" ht="11.45" customHeight="1" x14ac:dyDescent="0.25">
      <c r="A208" s="111" t="s">
        <v>111</v>
      </c>
      <c r="B208" s="93">
        <f>IF(TrRoad_act!B69=0,0,TrRoad_emi!B66/TrRoad_tech!B181)</f>
        <v>1.0955023971307807</v>
      </c>
      <c r="C208" s="93">
        <f>IF(TrRoad_act!C69=0,0,TrRoad_emi!C66/TrRoad_tech!C181)</f>
        <v>1.0962969989947151</v>
      </c>
      <c r="D208" s="93">
        <f>IF(TrRoad_act!D69=0,0,TrRoad_emi!D66/TrRoad_tech!D181)</f>
        <v>1.0976330147459314</v>
      </c>
      <c r="E208" s="93">
        <f>IF(TrRoad_act!E69=0,0,TrRoad_emi!E66/TrRoad_tech!E181)</f>
        <v>1.0977626580536022</v>
      </c>
      <c r="F208" s="93">
        <f>IF(TrRoad_act!F69=0,0,TrRoad_emi!F66/TrRoad_tech!F181)</f>
        <v>1.1002205524027155</v>
      </c>
      <c r="G208" s="93">
        <f>IF(TrRoad_act!G69=0,0,TrRoad_emi!G66/TrRoad_tech!G181)</f>
        <v>1.1019148170068416</v>
      </c>
      <c r="H208" s="93">
        <f>IF(TrRoad_act!H69=0,0,TrRoad_emi!H66/TrRoad_tech!H181)</f>
        <v>1.1112764420409198</v>
      </c>
      <c r="I208" s="93">
        <f>IF(TrRoad_act!I69=0,0,TrRoad_emi!I66/TrRoad_tech!I181)</f>
        <v>1.1071953473518747</v>
      </c>
      <c r="J208" s="93">
        <f>IF(TrRoad_act!J69=0,0,TrRoad_emi!J66/TrRoad_tech!J181)</f>
        <v>1.1018074153976027</v>
      </c>
      <c r="K208" s="93">
        <f>IF(TrRoad_act!K69=0,0,TrRoad_emi!K66/TrRoad_tech!K181)</f>
        <v>1.0884612837983079</v>
      </c>
      <c r="L208" s="93">
        <f>IF(TrRoad_act!L69=0,0,TrRoad_emi!L66/TrRoad_tech!L181)</f>
        <v>1.0806333323266744</v>
      </c>
      <c r="M208" s="93">
        <f>IF(TrRoad_act!M69=0,0,TrRoad_emi!M66/TrRoad_tech!M181)</f>
        <v>1.0714403850914689</v>
      </c>
      <c r="N208" s="93">
        <f>IF(TrRoad_act!N69=0,0,TrRoad_emi!N66/TrRoad_tech!N181)</f>
        <v>1.049125357080718</v>
      </c>
      <c r="O208" s="93">
        <f>IF(TrRoad_act!O69=0,0,TrRoad_emi!O66/TrRoad_tech!O181)</f>
        <v>1.1210182445138297</v>
      </c>
      <c r="P208" s="93">
        <f>IF(TrRoad_act!P69=0,0,TrRoad_emi!P66/TrRoad_tech!P181)</f>
        <v>1.1295131874828495</v>
      </c>
      <c r="Q208" s="93">
        <f>IF(TrRoad_act!Q69=0,0,TrRoad_emi!Q66/TrRoad_tech!Q181)</f>
        <v>1.139776173185395</v>
      </c>
      <c r="R208" s="93">
        <f>IF(TrRoad_act!R69=0,0,TrRoad_emi!R66/TrRoad_tech!R181)</f>
        <v>1.1445865004984415</v>
      </c>
      <c r="S208" s="93">
        <f>IF(TrRoad_act!S69=0,0,TrRoad_emi!S66/TrRoad_tech!S181)</f>
        <v>1.1729906009802871</v>
      </c>
      <c r="T208" s="93">
        <f>IF(TrRoad_act!T69=0,0,TrRoad_emi!T66/TrRoad_tech!T181)</f>
        <v>1.1631897090230119</v>
      </c>
      <c r="U208" s="93">
        <f>IF(TrRoad_act!U69=0,0,TrRoad_emi!U66/TrRoad_tech!U181)</f>
        <v>1.175380890491674</v>
      </c>
      <c r="V208" s="93">
        <f>IF(TrRoad_act!V69=0,0,TrRoad_emi!V66/TrRoad_tech!V181)</f>
        <v>1.1817929930677051</v>
      </c>
      <c r="W208" s="93">
        <f>IF(TrRoad_act!W69=0,0,TrRoad_emi!W66/TrRoad_tech!W181)</f>
        <v>1.1975001489484627</v>
      </c>
      <c r="X208" s="93">
        <f>IF(TrRoad_act!X69=0,0,TrRoad_emi!X66/TrRoad_tech!X181)</f>
        <v>1.204622459913401</v>
      </c>
      <c r="Y208" s="93">
        <f>IF(TrRoad_act!Y69=0,0,TrRoad_emi!Y66/TrRoad_tech!Y181)</f>
        <v>1.1826060895374007</v>
      </c>
      <c r="DA208" s="175"/>
    </row>
    <row r="209" spans="1:105" ht="11.45" customHeight="1" x14ac:dyDescent="0.25">
      <c r="A209" s="111" t="s">
        <v>112</v>
      </c>
      <c r="B209" s="93">
        <f>IF(TrRoad_act!B70=0,0,TrRoad_emi!B67/TrRoad_tech!B182)</f>
        <v>0</v>
      </c>
      <c r="C209" s="93">
        <f>IF(TrRoad_act!C70=0,0,TrRoad_emi!C67/TrRoad_tech!C182)</f>
        <v>0</v>
      </c>
      <c r="D209" s="93">
        <f>IF(TrRoad_act!D70=0,0,TrRoad_emi!D67/TrRoad_tech!D182)</f>
        <v>0</v>
      </c>
      <c r="E209" s="93">
        <f>IF(TrRoad_act!E70=0,0,TrRoad_emi!E67/TrRoad_tech!E182)</f>
        <v>0</v>
      </c>
      <c r="F209" s="93">
        <f>IF(TrRoad_act!F70=0,0,TrRoad_emi!F67/TrRoad_tech!F182)</f>
        <v>0</v>
      </c>
      <c r="G209" s="93">
        <f>IF(TrRoad_act!G70=0,0,TrRoad_emi!G67/TrRoad_tech!G182)</f>
        <v>0</v>
      </c>
      <c r="H209" s="93">
        <f>IF(TrRoad_act!H70=0,0,TrRoad_emi!H67/TrRoad_tech!H182)</f>
        <v>0</v>
      </c>
      <c r="I209" s="93">
        <f>IF(TrRoad_act!I70=0,0,TrRoad_emi!I67/TrRoad_tech!I182)</f>
        <v>0</v>
      </c>
      <c r="J209" s="93">
        <f>IF(TrRoad_act!J70=0,0,TrRoad_emi!J67/TrRoad_tech!J182)</f>
        <v>0</v>
      </c>
      <c r="K209" s="93">
        <f>IF(TrRoad_act!K70=0,0,TrRoad_emi!K67/TrRoad_tech!K182)</f>
        <v>0</v>
      </c>
      <c r="L209" s="93">
        <f>IF(TrRoad_act!L70=0,0,TrRoad_emi!L67/TrRoad_tech!L182)</f>
        <v>0</v>
      </c>
      <c r="M209" s="93">
        <f>IF(TrRoad_act!M70=0,0,TrRoad_emi!M67/TrRoad_tech!M182)</f>
        <v>0</v>
      </c>
      <c r="N209" s="93">
        <f>IF(TrRoad_act!N70=0,0,TrRoad_emi!N67/TrRoad_tech!N182)</f>
        <v>0</v>
      </c>
      <c r="O209" s="93">
        <f>IF(TrRoad_act!O70=0,0,TrRoad_emi!O67/TrRoad_tech!O182)</f>
        <v>0</v>
      </c>
      <c r="P209" s="93">
        <f>IF(TrRoad_act!P70=0,0,TrRoad_emi!P67/TrRoad_tech!P182)</f>
        <v>1.2773333333398114</v>
      </c>
      <c r="Q209" s="93">
        <f>IF(TrRoad_act!Q70=0,0,TrRoad_emi!Q67/TrRoad_tech!Q182)</f>
        <v>1.2991439392119211</v>
      </c>
      <c r="R209" s="93">
        <f>IF(TrRoad_act!R70=0,0,TrRoad_emi!R67/TrRoad_tech!R182)</f>
        <v>1.2996718570780406</v>
      </c>
      <c r="S209" s="93">
        <f>IF(TrRoad_act!S70=0,0,TrRoad_emi!S67/TrRoad_tech!S182)</f>
        <v>1.2996718570780406</v>
      </c>
      <c r="T209" s="93">
        <f>IF(TrRoad_act!T70=0,0,TrRoad_emi!T67/TrRoad_tech!T182)</f>
        <v>1.2998698466297078</v>
      </c>
      <c r="U209" s="93">
        <f>IF(TrRoad_act!U70=0,0,TrRoad_emi!U67/TrRoad_tech!U182)</f>
        <v>1.3118850107105897</v>
      </c>
      <c r="V209" s="93">
        <f>IF(TrRoad_act!V70=0,0,TrRoad_emi!V67/TrRoad_tech!V182)</f>
        <v>1.3218715461098576</v>
      </c>
      <c r="W209" s="93">
        <f>IF(TrRoad_act!W70=0,0,TrRoad_emi!W67/TrRoad_tech!W182)</f>
        <v>1.3418944065296832</v>
      </c>
      <c r="X209" s="93">
        <f>IF(TrRoad_act!X70=0,0,TrRoad_emi!X67/TrRoad_tech!X182)</f>
        <v>1.3467955979639874</v>
      </c>
      <c r="Y209" s="93">
        <f>IF(TrRoad_act!Y70=0,0,TrRoad_emi!Y67/TrRoad_tech!Y182)</f>
        <v>1.3508767053537756</v>
      </c>
      <c r="DA209" s="175"/>
    </row>
    <row r="210" spans="1:105" ht="11.45" customHeight="1" x14ac:dyDescent="0.25">
      <c r="A210" s="111" t="s">
        <v>113</v>
      </c>
      <c r="B210" s="93">
        <f>IF(TrRoad_act!B71=0,0,TrRoad_emi!B68/TrRoad_tech!B183)</f>
        <v>2.3448950274367815</v>
      </c>
      <c r="C210" s="93">
        <f>IF(TrRoad_act!C71=0,0,TrRoad_emi!C68/TrRoad_tech!C183)</f>
        <v>3.4488051864020526</v>
      </c>
      <c r="D210" s="93">
        <f>IF(TrRoad_act!D71=0,0,TrRoad_emi!D68/TrRoad_tech!D183)</f>
        <v>73.461559690794829</v>
      </c>
      <c r="E210" s="93">
        <f>IF(TrRoad_act!E71=0,0,TrRoad_emi!E68/TrRoad_tech!E183)</f>
        <v>3.7587571801487183</v>
      </c>
      <c r="F210" s="93">
        <f>IF(TrRoad_act!F71=0,0,TrRoad_emi!F68/TrRoad_tech!F183)</f>
        <v>3.2774984877397082</v>
      </c>
      <c r="G210" s="93">
        <f>IF(TrRoad_act!G71=0,0,TrRoad_emi!G68/TrRoad_tech!G183)</f>
        <v>3.188787168303242</v>
      </c>
      <c r="H210" s="93">
        <f>IF(TrRoad_act!H71=0,0,TrRoad_emi!H68/TrRoad_tech!H183)</f>
        <v>3.2230761443161695</v>
      </c>
      <c r="I210" s="93">
        <f>IF(TrRoad_act!I71=0,0,TrRoad_emi!I68/TrRoad_tech!I183)</f>
        <v>3.8560837375717449</v>
      </c>
      <c r="J210" s="93">
        <f>IF(TrRoad_act!J71=0,0,TrRoad_emi!J68/TrRoad_tech!J183)</f>
        <v>4.3088427991760696</v>
      </c>
      <c r="K210" s="93">
        <f>IF(TrRoad_act!K71=0,0,TrRoad_emi!K68/TrRoad_tech!K183)</f>
        <v>5.1703423395177008</v>
      </c>
      <c r="L210" s="93">
        <f>IF(TrRoad_act!L71=0,0,TrRoad_emi!L68/TrRoad_tech!L183)</f>
        <v>6.7735381950245612</v>
      </c>
      <c r="M210" s="93">
        <f>IF(TrRoad_act!M71=0,0,TrRoad_emi!M68/TrRoad_tech!M183)</f>
        <v>7.383356810797296</v>
      </c>
      <c r="N210" s="93">
        <f>IF(TrRoad_act!N71=0,0,TrRoad_emi!N68/TrRoad_tech!N183)</f>
        <v>7.6546026595676304</v>
      </c>
      <c r="O210" s="93">
        <f>IF(TrRoad_act!O71=0,0,TrRoad_emi!O68/TrRoad_tech!O183)</f>
        <v>8.6053808550676223</v>
      </c>
      <c r="P210" s="93">
        <f>IF(TrRoad_act!P71=0,0,TrRoad_emi!P68/TrRoad_tech!P183)</f>
        <v>10.448925046605254</v>
      </c>
      <c r="Q210" s="93">
        <f>IF(TrRoad_act!Q71=0,0,TrRoad_emi!Q68/TrRoad_tech!Q183)</f>
        <v>2.660375792811851</v>
      </c>
      <c r="R210" s="93">
        <f>IF(TrRoad_act!R71=0,0,TrRoad_emi!R68/TrRoad_tech!R183)</f>
        <v>2.8598304225147415</v>
      </c>
      <c r="S210" s="93">
        <f>IF(TrRoad_act!S71=0,0,TrRoad_emi!S68/TrRoad_tech!S183)</f>
        <v>2.2707646501439722</v>
      </c>
      <c r="T210" s="93">
        <f>IF(TrRoad_act!T71=0,0,TrRoad_emi!T68/TrRoad_tech!T183)</f>
        <v>1.8403082431707398</v>
      </c>
      <c r="U210" s="93">
        <f>IF(TrRoad_act!U71=0,0,TrRoad_emi!U68/TrRoad_tech!U183)</f>
        <v>1.8413388478096231</v>
      </c>
      <c r="V210" s="93">
        <f>IF(TrRoad_act!V71=0,0,TrRoad_emi!V68/TrRoad_tech!V183)</f>
        <v>2.6231750891778653</v>
      </c>
      <c r="W210" s="93">
        <f>IF(TrRoad_act!W71=0,0,TrRoad_emi!W68/TrRoad_tech!W183)</f>
        <v>2.56019851280919</v>
      </c>
      <c r="X210" s="93">
        <f>IF(TrRoad_act!X71=0,0,TrRoad_emi!X68/TrRoad_tech!X183)</f>
        <v>2.5385515450473051</v>
      </c>
      <c r="Y210" s="93">
        <f>IF(TrRoad_act!Y71=0,0,TrRoad_emi!Y68/TrRoad_tech!Y183)</f>
        <v>2.5597725776987108</v>
      </c>
      <c r="DA210" s="175"/>
    </row>
    <row r="211" spans="1:105" ht="11.45" customHeight="1" x14ac:dyDescent="0.25">
      <c r="A211" s="111" t="s">
        <v>115</v>
      </c>
      <c r="B211" s="93">
        <f>0</f>
        <v>0</v>
      </c>
      <c r="C211" s="93">
        <f>0</f>
        <v>0</v>
      </c>
      <c r="D211" s="93">
        <f>0</f>
        <v>0</v>
      </c>
      <c r="E211" s="93">
        <f>0</f>
        <v>0</v>
      </c>
      <c r="F211" s="93">
        <f>0</f>
        <v>0</v>
      </c>
      <c r="G211" s="93">
        <f>0</f>
        <v>0</v>
      </c>
      <c r="H211" s="93">
        <f>0</f>
        <v>0</v>
      </c>
      <c r="I211" s="93">
        <f>0</f>
        <v>0</v>
      </c>
      <c r="J211" s="93">
        <f>0</f>
        <v>0</v>
      </c>
      <c r="K211" s="93">
        <f>0</f>
        <v>0</v>
      </c>
      <c r="L211" s="93">
        <f>0</f>
        <v>0</v>
      </c>
      <c r="M211" s="93">
        <f>0</f>
        <v>0</v>
      </c>
      <c r="N211" s="93">
        <f>0</f>
        <v>0</v>
      </c>
      <c r="O211" s="93">
        <f>0</f>
        <v>0</v>
      </c>
      <c r="P211" s="93">
        <f>0</f>
        <v>0</v>
      </c>
      <c r="Q211" s="93">
        <f>0</f>
        <v>0</v>
      </c>
      <c r="R211" s="93">
        <f>0</f>
        <v>0</v>
      </c>
      <c r="S211" s="93">
        <f>0</f>
        <v>0</v>
      </c>
      <c r="T211" s="93">
        <f>0</f>
        <v>0</v>
      </c>
      <c r="U211" s="93">
        <f>0</f>
        <v>0</v>
      </c>
      <c r="V211" s="93">
        <f>0</f>
        <v>0</v>
      </c>
      <c r="W211" s="93">
        <f>0</f>
        <v>0</v>
      </c>
      <c r="X211" s="93">
        <f>0</f>
        <v>0</v>
      </c>
      <c r="Y211" s="93">
        <f>0</f>
        <v>0</v>
      </c>
      <c r="DA211" s="175"/>
    </row>
    <row r="212" spans="1:105" ht="11.45" customHeight="1" x14ac:dyDescent="0.25">
      <c r="A212" s="27" t="s">
        <v>34</v>
      </c>
      <c r="B212" s="4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DA212" s="173"/>
    </row>
    <row r="213" spans="1:105" ht="11.45" customHeight="1" x14ac:dyDescent="0.25">
      <c r="A213" s="136" t="s">
        <v>153</v>
      </c>
      <c r="B213" s="150">
        <f>IF(TrRoad_act!B74=0,0,TrRoad_emi!B71/TrRoad_tech!B186)</f>
        <v>1.0768110461320686</v>
      </c>
      <c r="C213" s="150">
        <f>IF(TrRoad_act!C74=0,0,TrRoad_emi!C71/TrRoad_tech!C186)</f>
        <v>1.0662839913619495</v>
      </c>
      <c r="D213" s="150">
        <f>IF(TrRoad_act!D74=0,0,TrRoad_emi!D71/TrRoad_tech!D186)</f>
        <v>1.0534613558528261</v>
      </c>
      <c r="E213" s="150">
        <f>IF(TrRoad_act!E74=0,0,TrRoad_emi!E71/TrRoad_tech!E186)</f>
        <v>1.0350465910362683</v>
      </c>
      <c r="F213" s="150">
        <f>IF(TrRoad_act!F74=0,0,TrRoad_emi!F71/TrRoad_tech!F186)</f>
        <v>1.0344667033457944</v>
      </c>
      <c r="G213" s="150">
        <f>IF(TrRoad_act!G74=0,0,TrRoad_emi!G71/TrRoad_tech!G186)</f>
        <v>1.0309040081521905</v>
      </c>
      <c r="H213" s="150">
        <f>IF(TrRoad_act!H74=0,0,TrRoad_emi!H71/TrRoad_tech!H186)</f>
        <v>1.0300806517138503</v>
      </c>
      <c r="I213" s="150">
        <f>IF(TrRoad_act!I74=0,0,TrRoad_emi!I71/TrRoad_tech!I186)</f>
        <v>1.0494559890216917</v>
      </c>
      <c r="J213" s="150">
        <f>IF(TrRoad_act!J74=0,0,TrRoad_emi!J71/TrRoad_tech!J186)</f>
        <v>1.0960606488224371</v>
      </c>
      <c r="K213" s="150">
        <f>IF(TrRoad_act!K74=0,0,TrRoad_emi!K71/TrRoad_tech!K186)</f>
        <v>1.1228024618208969</v>
      </c>
      <c r="L213" s="150">
        <f>IF(TrRoad_act!L74=0,0,TrRoad_emi!L71/TrRoad_tech!L186)</f>
        <v>1.1913968745196977</v>
      </c>
      <c r="M213" s="150">
        <f>IF(TrRoad_act!M74=0,0,TrRoad_emi!M71/TrRoad_tech!M186)</f>
        <v>1.2445766923022457</v>
      </c>
      <c r="N213" s="150">
        <f>IF(TrRoad_act!N74=0,0,TrRoad_emi!N71/TrRoad_tech!N186)</f>
        <v>1.0558017197658429</v>
      </c>
      <c r="O213" s="150">
        <f>IF(TrRoad_act!O74=0,0,TrRoad_emi!O71/TrRoad_tech!O186)</f>
        <v>1.1130607942850095</v>
      </c>
      <c r="P213" s="150">
        <f>IF(TrRoad_act!P74=0,0,TrRoad_emi!P71/TrRoad_tech!P186)</f>
        <v>1.2048672919528054</v>
      </c>
      <c r="Q213" s="150">
        <f>IF(TrRoad_act!Q74=0,0,TrRoad_emi!Q71/TrRoad_tech!Q186)</f>
        <v>1.2117442791522295</v>
      </c>
      <c r="R213" s="150">
        <f>IF(TrRoad_act!R74=0,0,TrRoad_emi!R71/TrRoad_tech!R186)</f>
        <v>1.1130680691444503</v>
      </c>
      <c r="S213" s="150">
        <f>IF(TrRoad_act!S74=0,0,TrRoad_emi!S71/TrRoad_tech!S186)</f>
        <v>1.1327480011260749</v>
      </c>
      <c r="T213" s="150">
        <f>IF(TrRoad_act!T74=0,0,TrRoad_emi!T71/TrRoad_tech!T186)</f>
        <v>1.119165635121139</v>
      </c>
      <c r="U213" s="150">
        <f>IF(TrRoad_act!U74=0,0,TrRoad_emi!U71/TrRoad_tech!U186)</f>
        <v>1.1200756638476022</v>
      </c>
      <c r="V213" s="150">
        <f>IF(TrRoad_act!V74=0,0,TrRoad_emi!V71/TrRoad_tech!V186)</f>
        <v>1.1126334905321351</v>
      </c>
      <c r="W213" s="150">
        <f>IF(TrRoad_act!W74=0,0,TrRoad_emi!W71/TrRoad_tech!W186)</f>
        <v>1.1272354298213079</v>
      </c>
      <c r="X213" s="150">
        <f>IF(TrRoad_act!X74=0,0,TrRoad_emi!X71/TrRoad_tech!X186)</f>
        <v>1.1338345851494898</v>
      </c>
      <c r="Y213" s="150">
        <f>IF(TrRoad_act!Y74=0,0,TrRoad_emi!Y71/TrRoad_tech!Y186)</f>
        <v>1.1237112813181049</v>
      </c>
      <c r="DA213" s="174"/>
    </row>
    <row r="214" spans="1:105" ht="11.45" customHeight="1" x14ac:dyDescent="0.25">
      <c r="A214" s="111" t="s">
        <v>110</v>
      </c>
      <c r="B214" s="91">
        <f>IF(TrRoad_act!B75=0,0,TrRoad_emi!B72/TrRoad_tech!B187)</f>
        <v>1.1000000000067303</v>
      </c>
      <c r="C214" s="91">
        <f>IF(TrRoad_act!C75=0,0,TrRoad_emi!C72/TrRoad_tech!C187)</f>
        <v>1.1000003284233453</v>
      </c>
      <c r="D214" s="91">
        <f>IF(TrRoad_act!D75=0,0,TrRoad_emi!D72/TrRoad_tech!D187)</f>
        <v>1.0908010006065254</v>
      </c>
      <c r="E214" s="91">
        <f>IF(TrRoad_act!E75=0,0,TrRoad_emi!E72/TrRoad_tech!E187)</f>
        <v>1.0870621474311239</v>
      </c>
      <c r="F214" s="91">
        <f>IF(TrRoad_act!F75=0,0,TrRoad_emi!F72/TrRoad_tech!F187)</f>
        <v>1.0897740039404396</v>
      </c>
      <c r="G214" s="91">
        <f>IF(TrRoad_act!G75=0,0,TrRoad_emi!G72/TrRoad_tech!G187)</f>
        <v>1.0838947833177535</v>
      </c>
      <c r="H214" s="91">
        <f>IF(TrRoad_act!H75=0,0,TrRoad_emi!H72/TrRoad_tech!H187)</f>
        <v>1.0829472815278556</v>
      </c>
      <c r="I214" s="91">
        <f>IF(TrRoad_act!I75=0,0,TrRoad_emi!I72/TrRoad_tech!I187)</f>
        <v>1.0824903661593925</v>
      </c>
      <c r="J214" s="91">
        <f>IF(TrRoad_act!J75=0,0,TrRoad_emi!J72/TrRoad_tech!J187)</f>
        <v>1.0845065361130417</v>
      </c>
      <c r="K214" s="91">
        <f>IF(TrRoad_act!K75=0,0,TrRoad_emi!K72/TrRoad_tech!K187)</f>
        <v>1.073113258402733</v>
      </c>
      <c r="L214" s="91">
        <f>IF(TrRoad_act!L75=0,0,TrRoad_emi!L72/TrRoad_tech!L187)</f>
        <v>1.056359647605418</v>
      </c>
      <c r="M214" s="91">
        <f>IF(TrRoad_act!M75=0,0,TrRoad_emi!M72/TrRoad_tech!M187)</f>
        <v>1.0557919084651153</v>
      </c>
      <c r="N214" s="91">
        <f>IF(TrRoad_act!N75=0,0,TrRoad_emi!N72/TrRoad_tech!N187)</f>
        <v>1.0683406905461226</v>
      </c>
      <c r="O214" s="91">
        <f>IF(TrRoad_act!O75=0,0,TrRoad_emi!O72/TrRoad_tech!O187)</f>
        <v>1.086048718559933</v>
      </c>
      <c r="P214" s="91">
        <f>IF(TrRoad_act!P75=0,0,TrRoad_emi!P72/TrRoad_tech!P187)</f>
        <v>1.0906612076394153</v>
      </c>
      <c r="Q214" s="91">
        <f>IF(TrRoad_act!Q75=0,0,TrRoad_emi!Q72/TrRoad_tech!Q187)</f>
        <v>1.0958237762639131</v>
      </c>
      <c r="R214" s="91">
        <f>IF(TrRoad_act!R75=0,0,TrRoad_emi!R72/TrRoad_tech!R187)</f>
        <v>1.1244853868188676</v>
      </c>
      <c r="S214" s="91">
        <f>IF(TrRoad_act!S75=0,0,TrRoad_emi!S72/TrRoad_tech!S187)</f>
        <v>1.1511420134990016</v>
      </c>
      <c r="T214" s="91">
        <f>IF(TrRoad_act!T75=0,0,TrRoad_emi!T72/TrRoad_tech!T187)</f>
        <v>1.1718341019465179</v>
      </c>
      <c r="U214" s="91">
        <f>IF(TrRoad_act!U75=0,0,TrRoad_emi!U72/TrRoad_tech!U187)</f>
        <v>1.1936601591115663</v>
      </c>
      <c r="V214" s="91">
        <f>IF(TrRoad_act!V75=0,0,TrRoad_emi!V72/TrRoad_tech!V187)</f>
        <v>1.2085116792230173</v>
      </c>
      <c r="W214" s="91">
        <f>IF(TrRoad_act!W75=0,0,TrRoad_emi!W72/TrRoad_tech!W187)</f>
        <v>1.2108835550174977</v>
      </c>
      <c r="X214" s="91">
        <f>IF(TrRoad_act!X75=0,0,TrRoad_emi!X72/TrRoad_tech!X187)</f>
        <v>1.2222202051705466</v>
      </c>
      <c r="Y214" s="91">
        <f>IF(TrRoad_act!Y75=0,0,TrRoad_emi!Y72/TrRoad_tech!Y187)</f>
        <v>1.2378265995023328</v>
      </c>
      <c r="DA214" s="171"/>
    </row>
    <row r="215" spans="1:105" ht="11.45" customHeight="1" x14ac:dyDescent="0.25">
      <c r="A215" s="111" t="s">
        <v>111</v>
      </c>
      <c r="B215" s="91">
        <f>IF(TrRoad_act!B76=0,0,TrRoad_emi!B73/TrRoad_tech!B188)</f>
        <v>1.0955023971307805</v>
      </c>
      <c r="C215" s="91">
        <f>IF(TrRoad_act!C76=0,0,TrRoad_emi!C73/TrRoad_tech!C188)</f>
        <v>1.0959176643153001</v>
      </c>
      <c r="D215" s="91">
        <f>IF(TrRoad_act!D76=0,0,TrRoad_emi!D73/TrRoad_tech!D188)</f>
        <v>1.0964243757881458</v>
      </c>
      <c r="E215" s="91">
        <f>IF(TrRoad_act!E76=0,0,TrRoad_emi!E73/TrRoad_tech!E188)</f>
        <v>1.0958223774487901</v>
      </c>
      <c r="F215" s="91">
        <f>IF(TrRoad_act!F76=0,0,TrRoad_emi!F73/TrRoad_tech!F188)</f>
        <v>1.0965518394301623</v>
      </c>
      <c r="G215" s="91">
        <f>IF(TrRoad_act!G76=0,0,TrRoad_emi!G73/TrRoad_tech!G188)</f>
        <v>1.0956074195602794</v>
      </c>
      <c r="H215" s="91">
        <f>IF(TrRoad_act!H76=0,0,TrRoad_emi!H73/TrRoad_tech!H188)</f>
        <v>1.101223471657423</v>
      </c>
      <c r="I215" s="91">
        <f>IF(TrRoad_act!I76=0,0,TrRoad_emi!I73/TrRoad_tech!I188)</f>
        <v>1.0969229679575117</v>
      </c>
      <c r="J215" s="91">
        <f>IF(TrRoad_act!J76=0,0,TrRoad_emi!J73/TrRoad_tech!J188)</f>
        <v>1.0869863751938624</v>
      </c>
      <c r="K215" s="91">
        <f>IF(TrRoad_act!K76=0,0,TrRoad_emi!K73/TrRoad_tech!K188)</f>
        <v>1.0704704593042542</v>
      </c>
      <c r="L215" s="91">
        <f>IF(TrRoad_act!L76=0,0,TrRoad_emi!L73/TrRoad_tech!L188)</f>
        <v>1.0583000871997106</v>
      </c>
      <c r="M215" s="91">
        <f>IF(TrRoad_act!M76=0,0,TrRoad_emi!M73/TrRoad_tech!M188)</f>
        <v>1.0440182742396147</v>
      </c>
      <c r="N215" s="91">
        <f>IF(TrRoad_act!N76=0,0,TrRoad_emi!N73/TrRoad_tech!N188)</f>
        <v>1.0185270021433954</v>
      </c>
      <c r="O215" s="91">
        <f>IF(TrRoad_act!O76=0,0,TrRoad_emi!O73/TrRoad_tech!O188)</f>
        <v>1.0869803929246511</v>
      </c>
      <c r="P215" s="91">
        <f>IF(TrRoad_act!P76=0,0,TrRoad_emi!P73/TrRoad_tech!P188)</f>
        <v>1.0982674700422645</v>
      </c>
      <c r="Q215" s="91">
        <f>IF(TrRoad_act!Q76=0,0,TrRoad_emi!Q73/TrRoad_tech!Q188)</f>
        <v>1.1145056381872938</v>
      </c>
      <c r="R215" s="91">
        <f>IF(TrRoad_act!R76=0,0,TrRoad_emi!R73/TrRoad_tech!R188)</f>
        <v>1.1147070759161399</v>
      </c>
      <c r="S215" s="91">
        <f>IF(TrRoad_act!S76=0,0,TrRoad_emi!S73/TrRoad_tech!S188)</f>
        <v>1.1146953963046025</v>
      </c>
      <c r="T215" s="91">
        <f>IF(TrRoad_act!T76=0,0,TrRoad_emi!T73/TrRoad_tech!T188)</f>
        <v>1.1034987460559762</v>
      </c>
      <c r="U215" s="91">
        <f>IF(TrRoad_act!U76=0,0,TrRoad_emi!U73/TrRoad_tech!U188)</f>
        <v>1.1113074391550068</v>
      </c>
      <c r="V215" s="91">
        <f>IF(TrRoad_act!V76=0,0,TrRoad_emi!V73/TrRoad_tech!V188)</f>
        <v>1.1133085478157554</v>
      </c>
      <c r="W215" s="91">
        <f>IF(TrRoad_act!W76=0,0,TrRoad_emi!W73/TrRoad_tech!W188)</f>
        <v>1.1304907316188817</v>
      </c>
      <c r="X215" s="91">
        <f>IF(TrRoad_act!X76=0,0,TrRoad_emi!X73/TrRoad_tech!X188)</f>
        <v>1.1388450134924757</v>
      </c>
      <c r="Y215" s="91">
        <f>IF(TrRoad_act!Y76=0,0,TrRoad_emi!Y73/TrRoad_tech!Y188)</f>
        <v>1.1172387074970065</v>
      </c>
      <c r="DA215" s="171"/>
    </row>
    <row r="216" spans="1:105" ht="11.45" customHeight="1" x14ac:dyDescent="0.25">
      <c r="A216" s="111" t="s">
        <v>112</v>
      </c>
      <c r="B216" s="91">
        <f>IF(TrRoad_act!B77=0,0,TrRoad_emi!B74/TrRoad_tech!B189)</f>
        <v>0</v>
      </c>
      <c r="C216" s="91">
        <f>IF(TrRoad_act!C77=0,0,TrRoad_emi!C74/TrRoad_tech!C189)</f>
        <v>0</v>
      </c>
      <c r="D216" s="91">
        <f>IF(TrRoad_act!D77=0,0,TrRoad_emi!D74/TrRoad_tech!D189)</f>
        <v>0</v>
      </c>
      <c r="E216" s="91">
        <f>IF(TrRoad_act!E77=0,0,TrRoad_emi!E74/TrRoad_tech!E189)</f>
        <v>0</v>
      </c>
      <c r="F216" s="91">
        <f>IF(TrRoad_act!F77=0,0,TrRoad_emi!F74/TrRoad_tech!F189)</f>
        <v>0</v>
      </c>
      <c r="G216" s="91">
        <f>IF(TrRoad_act!G77=0,0,TrRoad_emi!G74/TrRoad_tech!G189)</f>
        <v>0</v>
      </c>
      <c r="H216" s="91">
        <f>IF(TrRoad_act!H77=0,0,TrRoad_emi!H74/TrRoad_tech!H189)</f>
        <v>0</v>
      </c>
      <c r="I216" s="91">
        <f>IF(TrRoad_act!I77=0,0,TrRoad_emi!I74/TrRoad_tech!I189)</f>
        <v>0</v>
      </c>
      <c r="J216" s="91">
        <f>IF(TrRoad_act!J77=0,0,TrRoad_emi!J74/TrRoad_tech!J189)</f>
        <v>0</v>
      </c>
      <c r="K216" s="91">
        <f>IF(TrRoad_act!K77=0,0,TrRoad_emi!K74/TrRoad_tech!K189)</f>
        <v>0</v>
      </c>
      <c r="L216" s="91">
        <f>IF(TrRoad_act!L77=0,0,TrRoad_emi!L74/TrRoad_tech!L189)</f>
        <v>0</v>
      </c>
      <c r="M216" s="91">
        <f>IF(TrRoad_act!M77=0,0,TrRoad_emi!M74/TrRoad_tech!M189)</f>
        <v>0</v>
      </c>
      <c r="N216" s="91">
        <f>IF(TrRoad_act!N77=0,0,TrRoad_emi!N74/TrRoad_tech!N189)</f>
        <v>0</v>
      </c>
      <c r="O216" s="91">
        <f>IF(TrRoad_act!O77=0,0,TrRoad_emi!O74/TrRoad_tech!O189)</f>
        <v>1.2560000000062246</v>
      </c>
      <c r="P216" s="91">
        <f>IF(TrRoad_act!P77=0,0,TrRoad_emi!P74/TrRoad_tech!P189)</f>
        <v>1.2479381051651697</v>
      </c>
      <c r="Q216" s="91">
        <f>IF(TrRoad_act!Q77=0,0,TrRoad_emi!Q74/TrRoad_tech!Q189)</f>
        <v>1.2491917908330288</v>
      </c>
      <c r="R216" s="91">
        <f>IF(TrRoad_act!R77=0,0,TrRoad_emi!R74/TrRoad_tech!R189)</f>
        <v>1.2613682421845571</v>
      </c>
      <c r="S216" s="91">
        <f>IF(TrRoad_act!S77=0,0,TrRoad_emi!S74/TrRoad_tech!S189)</f>
        <v>1.278365604604166</v>
      </c>
      <c r="T216" s="91">
        <f>IF(TrRoad_act!T77=0,0,TrRoad_emi!T74/TrRoad_tech!T189)</f>
        <v>1.3035292960003957</v>
      </c>
      <c r="U216" s="91">
        <f>IF(TrRoad_act!U77=0,0,TrRoad_emi!U74/TrRoad_tech!U189)</f>
        <v>1.3166472843402131</v>
      </c>
      <c r="V216" s="91">
        <f>IF(TrRoad_act!V77=0,0,TrRoad_emi!V74/TrRoad_tech!V189)</f>
        <v>1.3238854302207277</v>
      </c>
      <c r="W216" s="91">
        <f>IF(TrRoad_act!W77=0,0,TrRoad_emi!W74/TrRoad_tech!W189)</f>
        <v>1.3324520880414037</v>
      </c>
      <c r="X216" s="91">
        <f>IF(TrRoad_act!X77=0,0,TrRoad_emi!X74/TrRoad_tech!X189)</f>
        <v>1.3340999551399191</v>
      </c>
      <c r="Y216" s="91">
        <f>IF(TrRoad_act!Y77=0,0,TrRoad_emi!Y74/TrRoad_tech!Y189)</f>
        <v>1.3362302625504978</v>
      </c>
      <c r="DA216" s="171"/>
    </row>
    <row r="217" spans="1:105" ht="11.45" customHeight="1" x14ac:dyDescent="0.25">
      <c r="A217" s="111" t="s">
        <v>113</v>
      </c>
      <c r="B217" s="91">
        <f>IF(TrRoad_act!B78=0,0,TrRoad_emi!B75/TrRoad_tech!B190)</f>
        <v>0</v>
      </c>
      <c r="C217" s="91">
        <f>IF(TrRoad_act!C78=0,0,TrRoad_emi!C75/TrRoad_tech!C190)</f>
        <v>0</v>
      </c>
      <c r="D217" s="91">
        <f>IF(TrRoad_act!D78=0,0,TrRoad_emi!D75/TrRoad_tech!D190)</f>
        <v>0</v>
      </c>
      <c r="E217" s="91">
        <f>IF(TrRoad_act!E78=0,0,TrRoad_emi!E75/TrRoad_tech!E190)</f>
        <v>0</v>
      </c>
      <c r="F217" s="91">
        <f>IF(TrRoad_act!F78=0,0,TrRoad_emi!F75/TrRoad_tech!F190)</f>
        <v>0</v>
      </c>
      <c r="G217" s="91">
        <f>IF(TrRoad_act!G78=0,0,TrRoad_emi!G75/TrRoad_tech!G190)</f>
        <v>0</v>
      </c>
      <c r="H217" s="91">
        <f>IF(TrRoad_act!H78=0,0,TrRoad_emi!H75/TrRoad_tech!H190)</f>
        <v>0</v>
      </c>
      <c r="I217" s="91">
        <f>IF(TrRoad_act!I78=0,0,TrRoad_emi!I75/TrRoad_tech!I190)</f>
        <v>0</v>
      </c>
      <c r="J217" s="91">
        <f>IF(TrRoad_act!J78=0,0,TrRoad_emi!J75/TrRoad_tech!J190)</f>
        <v>0</v>
      </c>
      <c r="K217" s="91">
        <f>IF(TrRoad_act!K78=0,0,TrRoad_emi!K75/TrRoad_tech!K190)</f>
        <v>0</v>
      </c>
      <c r="L217" s="91">
        <f>IF(TrRoad_act!L78=0,0,TrRoad_emi!L75/TrRoad_tech!L190)</f>
        <v>0</v>
      </c>
      <c r="M217" s="91">
        <f>IF(TrRoad_act!M78=0,0,TrRoad_emi!M75/TrRoad_tech!M190)</f>
        <v>0</v>
      </c>
      <c r="N217" s="91">
        <f>IF(TrRoad_act!N78=0,0,TrRoad_emi!N75/TrRoad_tech!N190)</f>
        <v>1.2360000000066977</v>
      </c>
      <c r="O217" s="91">
        <f>IF(TrRoad_act!O78=0,0,TrRoad_emi!O75/TrRoad_tech!O190)</f>
        <v>1.2531038711577025</v>
      </c>
      <c r="P217" s="91">
        <f>IF(TrRoad_act!P78=0,0,TrRoad_emi!P75/TrRoad_tech!P190)</f>
        <v>1.26048413420469</v>
      </c>
      <c r="Q217" s="91">
        <f>IF(TrRoad_act!Q78=0,0,TrRoad_emi!Q75/TrRoad_tech!Q190)</f>
        <v>1.2881703980139023</v>
      </c>
      <c r="R217" s="91">
        <f>IF(TrRoad_act!R78=0,0,TrRoad_emi!R75/TrRoad_tech!R190)</f>
        <v>1.2937243108624523</v>
      </c>
      <c r="S217" s="91">
        <f>IF(TrRoad_act!S78=0,0,TrRoad_emi!S75/TrRoad_tech!S190)</f>
        <v>1.3040719694430805</v>
      </c>
      <c r="T217" s="91">
        <f>IF(TrRoad_act!T78=0,0,TrRoad_emi!T75/TrRoad_tech!T190)</f>
        <v>1.339900627733738</v>
      </c>
      <c r="U217" s="91">
        <f>IF(TrRoad_act!U78=0,0,TrRoad_emi!U75/TrRoad_tech!U190)</f>
        <v>1.3433028938249387</v>
      </c>
      <c r="V217" s="91">
        <f>IF(TrRoad_act!V78=0,0,TrRoad_emi!V75/TrRoad_tech!V190)</f>
        <v>1.3464557587714288</v>
      </c>
      <c r="W217" s="91">
        <f>IF(TrRoad_act!W78=0,0,TrRoad_emi!W75/TrRoad_tech!W190)</f>
        <v>1.3484169204320873</v>
      </c>
      <c r="X217" s="91">
        <f>IF(TrRoad_act!X78=0,0,TrRoad_emi!X75/TrRoad_tech!X190)</f>
        <v>1.3485745079605531</v>
      </c>
      <c r="Y217" s="91">
        <f>IF(TrRoad_act!Y78=0,0,TrRoad_emi!Y75/TrRoad_tech!Y190)</f>
        <v>1.3484716660690437</v>
      </c>
      <c r="DA217" s="171"/>
    </row>
    <row r="218" spans="1:105" ht="11.45" customHeight="1" x14ac:dyDescent="0.25">
      <c r="A218" s="111" t="s">
        <v>115</v>
      </c>
      <c r="B218" s="91">
        <f>0</f>
        <v>0</v>
      </c>
      <c r="C218" s="91">
        <f>0</f>
        <v>0</v>
      </c>
      <c r="D218" s="91">
        <f>0</f>
        <v>0</v>
      </c>
      <c r="E218" s="91">
        <f>0</f>
        <v>0</v>
      </c>
      <c r="F218" s="91">
        <f>0</f>
        <v>0</v>
      </c>
      <c r="G218" s="91">
        <f>0</f>
        <v>0</v>
      </c>
      <c r="H218" s="91">
        <f>0</f>
        <v>0</v>
      </c>
      <c r="I218" s="91">
        <f>0</f>
        <v>0</v>
      </c>
      <c r="J218" s="91">
        <f>0</f>
        <v>0</v>
      </c>
      <c r="K218" s="91">
        <f>0</f>
        <v>0</v>
      </c>
      <c r="L218" s="91">
        <f>0</f>
        <v>0</v>
      </c>
      <c r="M218" s="91">
        <f>0</f>
        <v>0</v>
      </c>
      <c r="N218" s="91">
        <f>0</f>
        <v>0</v>
      </c>
      <c r="O218" s="91">
        <f>0</f>
        <v>0</v>
      </c>
      <c r="P218" s="91">
        <f>0</f>
        <v>0</v>
      </c>
      <c r="Q218" s="91">
        <f>0</f>
        <v>0</v>
      </c>
      <c r="R218" s="91">
        <f>0</f>
        <v>0</v>
      </c>
      <c r="S218" s="91">
        <f>0</f>
        <v>0</v>
      </c>
      <c r="T218" s="91">
        <f>0</f>
        <v>0</v>
      </c>
      <c r="U218" s="91">
        <f>0</f>
        <v>0</v>
      </c>
      <c r="V218" s="91">
        <f>0</f>
        <v>0</v>
      </c>
      <c r="W218" s="91">
        <f>0</f>
        <v>0</v>
      </c>
      <c r="X218" s="91">
        <f>0</f>
        <v>0</v>
      </c>
      <c r="Y218" s="91">
        <f>0</f>
        <v>0</v>
      </c>
      <c r="DA218" s="171"/>
    </row>
    <row r="219" spans="1:105" ht="11.45" customHeight="1" x14ac:dyDescent="0.25">
      <c r="A219" s="109" t="s">
        <v>154</v>
      </c>
      <c r="B219" s="151">
        <f>IF(TrRoad_act!B80=0,0,TrRoad_emi!B77/TrRoad_tech!B192)</f>
        <v>1.5036098795996036</v>
      </c>
      <c r="C219" s="151">
        <f>IF(TrRoad_act!C80=0,0,TrRoad_emi!C77/TrRoad_tech!C192)</f>
        <v>1.4708471846237106</v>
      </c>
      <c r="D219" s="151">
        <f>IF(TrRoad_act!D80=0,0,TrRoad_emi!D77/TrRoad_tech!D192)</f>
        <v>1.3872660599391298</v>
      </c>
      <c r="E219" s="151">
        <f>IF(TrRoad_act!E80=0,0,TrRoad_emi!E77/TrRoad_tech!E192)</f>
        <v>1.3970071975827481</v>
      </c>
      <c r="F219" s="151">
        <f>IF(TrRoad_act!F80=0,0,TrRoad_emi!F77/TrRoad_tech!F192)</f>
        <v>1.3418247448881868</v>
      </c>
      <c r="G219" s="151">
        <f>IF(TrRoad_act!G80=0,0,TrRoad_emi!G77/TrRoad_tech!G192)</f>
        <v>1.3288310615685848</v>
      </c>
      <c r="H219" s="151">
        <f>IF(TrRoad_act!H80=0,0,TrRoad_emi!H77/TrRoad_tech!H192)</f>
        <v>1.3082713033073514</v>
      </c>
      <c r="I219" s="151">
        <f>IF(TrRoad_act!I80=0,0,TrRoad_emi!I77/TrRoad_tech!I192)</f>
        <v>1.2629873921567945</v>
      </c>
      <c r="J219" s="151">
        <f>IF(TrRoad_act!J80=0,0,TrRoad_emi!J77/TrRoad_tech!J192)</f>
        <v>1.27397463894444</v>
      </c>
      <c r="K219" s="151">
        <f>IF(TrRoad_act!K80=0,0,TrRoad_emi!K77/TrRoad_tech!K192)</f>
        <v>1.2400799612306703</v>
      </c>
      <c r="L219" s="151">
        <f>IF(TrRoad_act!L80=0,0,TrRoad_emi!L77/TrRoad_tech!L192)</f>
        <v>1.2543029402111923</v>
      </c>
      <c r="M219" s="151">
        <f>IF(TrRoad_act!M80=0,0,TrRoad_emi!M77/TrRoad_tech!M192)</f>
        <v>1.1916985413137255</v>
      </c>
      <c r="N219" s="151">
        <f>IF(TrRoad_act!N80=0,0,TrRoad_emi!N77/TrRoad_tech!N192)</f>
        <v>1.0514999219760977</v>
      </c>
      <c r="O219" s="151">
        <f>IF(TrRoad_act!O80=0,0,TrRoad_emi!O77/TrRoad_tech!O192)</f>
        <v>1.1546769178630338</v>
      </c>
      <c r="P219" s="151">
        <f>IF(TrRoad_act!P80=0,0,TrRoad_emi!P77/TrRoad_tech!P192)</f>
        <v>1.168777394808119</v>
      </c>
      <c r="Q219" s="151">
        <f>IF(TrRoad_act!Q80=0,0,TrRoad_emi!Q77/TrRoad_tech!Q192)</f>
        <v>1.173540015401074</v>
      </c>
      <c r="R219" s="151">
        <f>IF(TrRoad_act!R80=0,0,TrRoad_emi!R77/TrRoad_tech!R192)</f>
        <v>1.3136063255959123</v>
      </c>
      <c r="S219" s="151">
        <f>IF(TrRoad_act!S80=0,0,TrRoad_emi!S77/TrRoad_tech!S192)</f>
        <v>1.3228618497901401</v>
      </c>
      <c r="T219" s="151">
        <f>IF(TrRoad_act!T80=0,0,TrRoad_emi!T77/TrRoad_tech!T192)</f>
        <v>1.3712553362846356</v>
      </c>
      <c r="U219" s="151">
        <f>IF(TrRoad_act!U80=0,0,TrRoad_emi!U77/TrRoad_tech!U192)</f>
        <v>1.2891312453212453</v>
      </c>
      <c r="V219" s="151">
        <f>IF(TrRoad_act!V80=0,0,TrRoad_emi!V77/TrRoad_tech!V192)</f>
        <v>1.2499290137198518</v>
      </c>
      <c r="W219" s="151">
        <f>IF(TrRoad_act!W80=0,0,TrRoad_emi!W77/TrRoad_tech!W192)</f>
        <v>1.2195403497169082</v>
      </c>
      <c r="X219" s="151">
        <f>IF(TrRoad_act!X80=0,0,TrRoad_emi!X77/TrRoad_tech!X192)</f>
        <v>1.2762131814144648</v>
      </c>
      <c r="Y219" s="151">
        <f>IF(TrRoad_act!Y80=0,0,TrRoad_emi!Y77/TrRoad_tech!Y192)</f>
        <v>1.2017762218015509</v>
      </c>
      <c r="DA219" s="176"/>
    </row>
    <row r="220" spans="1:105" ht="11.45" customHeight="1" x14ac:dyDescent="0.25">
      <c r="A220" s="128" t="s">
        <v>27</v>
      </c>
      <c r="B220" s="93">
        <f>IF(TrRoad_act!B81=0,0,TrRoad_emi!B78/TrRoad_tech!B193)</f>
        <v>1.5890437624270395</v>
      </c>
      <c r="C220" s="93">
        <f>IF(TrRoad_act!C81=0,0,TrRoad_emi!C78/TrRoad_tech!C193)</f>
        <v>1.5561719919068355</v>
      </c>
      <c r="D220" s="93">
        <f>IF(TrRoad_act!D81=0,0,TrRoad_emi!D78/TrRoad_tech!D193)</f>
        <v>1.4700599547802449</v>
      </c>
      <c r="E220" s="93">
        <f>IF(TrRoad_act!E81=0,0,TrRoad_emi!E78/TrRoad_tech!E193)</f>
        <v>1.4813104365567777</v>
      </c>
      <c r="F220" s="93">
        <f>IF(TrRoad_act!F81=0,0,TrRoad_emi!F78/TrRoad_tech!F193)</f>
        <v>1.4244492341567818</v>
      </c>
      <c r="G220" s="93">
        <f>IF(TrRoad_act!G81=0,0,TrRoad_emi!G78/TrRoad_tech!G193)</f>
        <v>1.4114098671777566</v>
      </c>
      <c r="H220" s="93">
        <f>IF(TrRoad_act!H81=0,0,TrRoad_emi!H78/TrRoad_tech!H193)</f>
        <v>1.3900568360465588</v>
      </c>
      <c r="I220" s="93">
        <f>IF(TrRoad_act!I81=0,0,TrRoad_emi!I78/TrRoad_tech!I193)</f>
        <v>1.3425535856062893</v>
      </c>
      <c r="J220" s="93">
        <f>IF(TrRoad_act!J81=0,0,TrRoad_emi!J78/TrRoad_tech!J193)</f>
        <v>1.3538971610844066</v>
      </c>
      <c r="K220" s="93">
        <f>IF(TrRoad_act!K81=0,0,TrRoad_emi!K78/TrRoad_tech!K193)</f>
        <v>1.3172488644377998</v>
      </c>
      <c r="L220" s="93">
        <f>IF(TrRoad_act!L81=0,0,TrRoad_emi!L78/TrRoad_tech!L193)</f>
        <v>1.3322572229455365</v>
      </c>
      <c r="M220" s="93">
        <f>IF(TrRoad_act!M81=0,0,TrRoad_emi!M78/TrRoad_tech!M193)</f>
        <v>1.265684796861716</v>
      </c>
      <c r="N220" s="93">
        <f>IF(TrRoad_act!N81=0,0,TrRoad_emi!N78/TrRoad_tech!N193)</f>
        <v>1.1165292726487563</v>
      </c>
      <c r="O220" s="93">
        <f>IF(TrRoad_act!O81=0,0,TrRoad_emi!O78/TrRoad_tech!O193)</f>
        <v>1.224206304635526</v>
      </c>
      <c r="P220" s="93">
        <f>IF(TrRoad_act!P81=0,0,TrRoad_emi!P78/TrRoad_tech!P193)</f>
        <v>1.2394572135353532</v>
      </c>
      <c r="Q220" s="93">
        <f>IF(TrRoad_act!Q81=0,0,TrRoad_emi!Q78/TrRoad_tech!Q193)</f>
        <v>1.243545209630655</v>
      </c>
      <c r="R220" s="93">
        <f>IF(TrRoad_act!R81=0,0,TrRoad_emi!R78/TrRoad_tech!R193)</f>
        <v>1.3902018966033434</v>
      </c>
      <c r="S220" s="93">
        <f>IF(TrRoad_act!S81=0,0,TrRoad_emi!S78/TrRoad_tech!S193)</f>
        <v>1.3976784220879801</v>
      </c>
      <c r="T220" s="93">
        <f>IF(TrRoad_act!T81=0,0,TrRoad_emi!T78/TrRoad_tech!T193)</f>
        <v>1.4455716901761073</v>
      </c>
      <c r="U220" s="93">
        <f>IF(TrRoad_act!U81=0,0,TrRoad_emi!U78/TrRoad_tech!U193)</f>
        <v>1.3566467007689444</v>
      </c>
      <c r="V220" s="93">
        <f>IF(TrRoad_act!V81=0,0,TrRoad_emi!V78/TrRoad_tech!V193)</f>
        <v>1.314383547141136</v>
      </c>
      <c r="W220" s="93">
        <f>IF(TrRoad_act!W81=0,0,TrRoad_emi!W78/TrRoad_tech!W193)</f>
        <v>1.2805242291832861</v>
      </c>
      <c r="X220" s="93">
        <f>IF(TrRoad_act!X81=0,0,TrRoad_emi!X78/TrRoad_tech!X193)</f>
        <v>1.3369959976434977</v>
      </c>
      <c r="Y220" s="93">
        <f>IF(TrRoad_act!Y81=0,0,TrRoad_emi!Y78/TrRoad_tech!Y193)</f>
        <v>1.2591735992907442</v>
      </c>
      <c r="DA220" s="175"/>
    </row>
    <row r="221" spans="1:105" ht="11.45" customHeight="1" x14ac:dyDescent="0.25">
      <c r="A221" s="138" t="s">
        <v>116</v>
      </c>
      <c r="B221" s="94">
        <f>IF(TrRoad_act!B82=0,0,TrRoad_emi!B79/TrRoad_tech!B194)</f>
        <v>1.5890437624270386</v>
      </c>
      <c r="C221" s="94">
        <f>IF(TrRoad_act!C82=0,0,TrRoad_emi!C79/TrRoad_tech!C194)</f>
        <v>1.5563186542823655</v>
      </c>
      <c r="D221" s="94">
        <f>IF(TrRoad_act!D82=0,0,TrRoad_emi!D79/TrRoad_tech!D194)</f>
        <v>1.4704445473247836</v>
      </c>
      <c r="E221" s="94">
        <f>IF(TrRoad_act!E82=0,0,TrRoad_emi!E79/TrRoad_tech!E194)</f>
        <v>1.4815131449752446</v>
      </c>
      <c r="F221" s="94">
        <f>IF(TrRoad_act!F82=0,0,TrRoad_emi!F79/TrRoad_tech!F194)</f>
        <v>1.4281275932877018</v>
      </c>
      <c r="G221" s="94">
        <f>IF(TrRoad_act!G82=0,0,TrRoad_emi!G79/TrRoad_tech!G194)</f>
        <v>1.4153468368208539</v>
      </c>
      <c r="H221" s="94">
        <f>IF(TrRoad_act!H82=0,0,TrRoad_emi!H79/TrRoad_tech!H194)</f>
        <v>1.3938456603463423</v>
      </c>
      <c r="I221" s="94">
        <f>IF(TrRoad_act!I82=0,0,TrRoad_emi!I79/TrRoad_tech!I194)</f>
        <v>1.3459482829092264</v>
      </c>
      <c r="J221" s="94">
        <f>IF(TrRoad_act!J82=0,0,TrRoad_emi!J79/TrRoad_tech!J194)</f>
        <v>1.3533442049110282</v>
      </c>
      <c r="K221" s="94">
        <f>IF(TrRoad_act!K82=0,0,TrRoad_emi!K79/TrRoad_tech!K194)</f>
        <v>1.3139594112097512</v>
      </c>
      <c r="L221" s="94">
        <f>IF(TrRoad_act!L82=0,0,TrRoad_emi!L79/TrRoad_tech!L194)</f>
        <v>1.3296766712357391</v>
      </c>
      <c r="M221" s="94">
        <f>IF(TrRoad_act!M82=0,0,TrRoad_emi!M79/TrRoad_tech!M194)</f>
        <v>1.2660295200763831</v>
      </c>
      <c r="N221" s="94">
        <f>IF(TrRoad_act!N82=0,0,TrRoad_emi!N79/TrRoad_tech!N194)</f>
        <v>1.1192208594505022</v>
      </c>
      <c r="O221" s="94">
        <f>IF(TrRoad_act!O82=0,0,TrRoad_emi!O79/TrRoad_tech!O194)</f>
        <v>1.2290509487868211</v>
      </c>
      <c r="P221" s="94">
        <f>IF(TrRoad_act!P82=0,0,TrRoad_emi!P79/TrRoad_tech!P194)</f>
        <v>1.2559534012899822</v>
      </c>
      <c r="Q221" s="94">
        <f>IF(TrRoad_act!Q82=0,0,TrRoad_emi!Q79/TrRoad_tech!Q194)</f>
        <v>1.2778744490180149</v>
      </c>
      <c r="R221" s="94">
        <f>IF(TrRoad_act!R82=0,0,TrRoad_emi!R79/TrRoad_tech!R194)</f>
        <v>1.4317250295240664</v>
      </c>
      <c r="S221" s="94">
        <f>IF(TrRoad_act!S82=0,0,TrRoad_emi!S79/TrRoad_tech!S194)</f>
        <v>1.4404558118384319</v>
      </c>
      <c r="T221" s="94">
        <f>IF(TrRoad_act!T82=0,0,TrRoad_emi!T79/TrRoad_tech!T194)</f>
        <v>1.4891307861220322</v>
      </c>
      <c r="U221" s="94">
        <f>IF(TrRoad_act!U82=0,0,TrRoad_emi!U79/TrRoad_tech!U194)</f>
        <v>1.3985772915612269</v>
      </c>
      <c r="V221" s="94">
        <f>IF(TrRoad_act!V82=0,0,TrRoad_emi!V79/TrRoad_tech!V194)</f>
        <v>1.3497174852657665</v>
      </c>
      <c r="W221" s="94">
        <f>IF(TrRoad_act!W82=0,0,TrRoad_emi!W79/TrRoad_tech!W194)</f>
        <v>1.3291937669959513</v>
      </c>
      <c r="X221" s="94">
        <f>IF(TrRoad_act!X82=0,0,TrRoad_emi!X79/TrRoad_tech!X194)</f>
        <v>1.3848159301155709</v>
      </c>
      <c r="Y221" s="94">
        <f>IF(TrRoad_act!Y82=0,0,TrRoad_emi!Y79/TrRoad_tech!Y194)</f>
        <v>1.2994412153827275</v>
      </c>
      <c r="DA221" s="178"/>
    </row>
    <row r="222" spans="1:105" x14ac:dyDescent="0.25">
      <c r="A222" s="106"/>
      <c r="B222" s="106"/>
      <c r="C222" s="106"/>
      <c r="D222" s="106"/>
      <c r="E222" s="106"/>
      <c r="F222" s="106"/>
      <c r="G222" s="106"/>
      <c r="H222" s="106"/>
      <c r="I222" s="106"/>
      <c r="J222" s="106"/>
      <c r="K222" s="106"/>
      <c r="L222" s="106"/>
      <c r="M222" s="106"/>
      <c r="N222" s="106"/>
      <c r="O222" s="106"/>
      <c r="P222" s="106"/>
      <c r="Q222" s="106"/>
      <c r="R222" s="106"/>
      <c r="S222" s="106"/>
      <c r="T222" s="106"/>
      <c r="U222" s="106"/>
      <c r="V222" s="106"/>
      <c r="W222" s="106"/>
      <c r="X222" s="106"/>
      <c r="Y222" s="106"/>
      <c r="DA222" s="171"/>
    </row>
    <row r="223" spans="1:105" ht="11.45" customHeight="1" x14ac:dyDescent="0.25">
      <c r="A223" s="53" t="s">
        <v>125</v>
      </c>
      <c r="B223" s="54"/>
      <c r="C223" s="54"/>
      <c r="D223" s="54"/>
      <c r="E223" s="54"/>
      <c r="F223" s="54"/>
      <c r="G223" s="54"/>
      <c r="H223" s="54"/>
      <c r="I223" s="54"/>
      <c r="J223" s="54"/>
      <c r="K223" s="54"/>
      <c r="L223" s="54"/>
      <c r="M223" s="54"/>
      <c r="N223" s="54"/>
      <c r="O223" s="54"/>
      <c r="P223" s="54"/>
      <c r="Q223" s="54"/>
      <c r="R223" s="54"/>
      <c r="S223" s="54"/>
      <c r="T223" s="54"/>
      <c r="U223" s="54"/>
      <c r="V223" s="54"/>
      <c r="W223" s="54"/>
      <c r="X223" s="54"/>
      <c r="Y223" s="54"/>
      <c r="DA223" s="172"/>
    </row>
    <row r="224" spans="1:105" ht="11.45" customHeight="1" x14ac:dyDescent="0.25">
      <c r="A224" s="27" t="s">
        <v>33</v>
      </c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DA224" s="173"/>
    </row>
    <row r="225" spans="1:105" ht="11.45" customHeight="1" x14ac:dyDescent="0.25">
      <c r="A225" s="136" t="s">
        <v>173</v>
      </c>
      <c r="B225" s="152">
        <v>99.348983229434324</v>
      </c>
      <c r="C225" s="152">
        <v>99.794291242975689</v>
      </c>
      <c r="D225" s="152">
        <v>100.29141928471854</v>
      </c>
      <c r="E225" s="152">
        <v>99.767219913969882</v>
      </c>
      <c r="F225" s="152">
        <v>98.883710176416997</v>
      </c>
      <c r="G225" s="152">
        <v>98.712668597698524</v>
      </c>
      <c r="H225" s="152">
        <v>97.10807709662754</v>
      </c>
      <c r="I225" s="152">
        <v>96.3845343031998</v>
      </c>
      <c r="J225" s="152">
        <v>94.35418462776488</v>
      </c>
      <c r="K225" s="152">
        <v>90.987495711407306</v>
      </c>
      <c r="L225" s="152">
        <v>86.386600295376269</v>
      </c>
      <c r="M225" s="152">
        <v>84.580268655927114</v>
      </c>
      <c r="N225" s="152">
        <v>81.847743002640271</v>
      </c>
      <c r="O225" s="152">
        <v>78.615726173694469</v>
      </c>
      <c r="P225" s="152">
        <v>76.372015571900704</v>
      </c>
      <c r="Q225" s="152">
        <v>78.303892839120948</v>
      </c>
      <c r="R225" s="152">
        <v>74.834576802449178</v>
      </c>
      <c r="S225" s="152">
        <v>73.793781991447645</v>
      </c>
      <c r="T225" s="152">
        <v>72.961146142646413</v>
      </c>
      <c r="U225" s="152">
        <v>72.295037463605439</v>
      </c>
      <c r="V225" s="152">
        <v>71.762150520372657</v>
      </c>
      <c r="W225" s="152">
        <v>71.335840965786431</v>
      </c>
      <c r="X225" s="152">
        <v>70.994793322117445</v>
      </c>
      <c r="Y225" s="152">
        <v>70.721955207182262</v>
      </c>
      <c r="DA225" s="174" t="s">
        <v>933</v>
      </c>
    </row>
    <row r="226" spans="1:105" ht="11.45" customHeight="1" x14ac:dyDescent="0.25">
      <c r="A226" s="109" t="s">
        <v>20</v>
      </c>
      <c r="B226" s="116">
        <v>195.15729653925268</v>
      </c>
      <c r="C226" s="116">
        <v>196.79607939395882</v>
      </c>
      <c r="D226" s="116">
        <v>198.18107478223718</v>
      </c>
      <c r="E226" s="116">
        <v>199.30344674196641</v>
      </c>
      <c r="F226" s="116">
        <v>197.86359792783242</v>
      </c>
      <c r="G226" s="116">
        <v>198.2983656217869</v>
      </c>
      <c r="H226" s="116">
        <v>198.75023786099993</v>
      </c>
      <c r="I226" s="116">
        <v>195.95511742899791</v>
      </c>
      <c r="J226" s="116">
        <v>190.61126763028238</v>
      </c>
      <c r="K226" s="116">
        <v>182.97480580011296</v>
      </c>
      <c r="L226" s="116">
        <v>176.7183481571831</v>
      </c>
      <c r="M226" s="116">
        <v>171.59564039045728</v>
      </c>
      <c r="N226" s="116">
        <v>164.92515936010793</v>
      </c>
      <c r="O226" s="116">
        <v>152.09605110352726</v>
      </c>
      <c r="P226" s="116">
        <v>151.37117809470729</v>
      </c>
      <c r="Q226" s="116">
        <v>147.34587597065666</v>
      </c>
      <c r="R226" s="116">
        <v>145.08775096826</v>
      </c>
      <c r="S226" s="116">
        <v>146.41186531886876</v>
      </c>
      <c r="T226" s="116">
        <v>148.19403819382262</v>
      </c>
      <c r="U226" s="116">
        <v>146.36583282573454</v>
      </c>
      <c r="V226" s="116">
        <v>137.80773376351669</v>
      </c>
      <c r="W226" s="116">
        <v>130.23949721394311</v>
      </c>
      <c r="X226" s="116">
        <v>129.93844562265394</v>
      </c>
      <c r="Y226" s="116">
        <v>126.52625376701241</v>
      </c>
      <c r="DA226" s="176" t="s">
        <v>934</v>
      </c>
    </row>
    <row r="227" spans="1:105" ht="11.45" customHeight="1" x14ac:dyDescent="0.25">
      <c r="A227" s="111" t="s">
        <v>110</v>
      </c>
      <c r="B227" s="87">
        <v>201.05390624441682</v>
      </c>
      <c r="C227" s="87">
        <v>202.07936680296262</v>
      </c>
      <c r="D227" s="87">
        <v>203.22490286667141</v>
      </c>
      <c r="E227" s="87">
        <v>202.01698612622599</v>
      </c>
      <c r="F227" s="87">
        <v>199.98110767636734</v>
      </c>
      <c r="G227" s="87">
        <v>199.58697521880418</v>
      </c>
      <c r="H227" s="87">
        <v>195.88950237950655</v>
      </c>
      <c r="I227" s="87">
        <v>194.22223701945515</v>
      </c>
      <c r="J227" s="87">
        <v>189.54368626420896</v>
      </c>
      <c r="K227" s="87">
        <v>181.78579846641887</v>
      </c>
      <c r="L227" s="87">
        <v>171.18391890650025</v>
      </c>
      <c r="M227" s="87">
        <v>166.98991159789065</v>
      </c>
      <c r="N227" s="87">
        <v>160.6891999672078</v>
      </c>
      <c r="O227" s="87">
        <v>153.27424958266911</v>
      </c>
      <c r="P227" s="87">
        <v>148.18094989259555</v>
      </c>
      <c r="Q227" s="87">
        <v>143.85559585029034</v>
      </c>
      <c r="R227" s="87">
        <v>143.62523582191494</v>
      </c>
      <c r="S227" s="87">
        <v>143.19875246190838</v>
      </c>
      <c r="T227" s="87">
        <v>146.04996104262369</v>
      </c>
      <c r="U227" s="87">
        <v>146.11914213189689</v>
      </c>
      <c r="V227" s="87">
        <v>138.27645169334761</v>
      </c>
      <c r="W227" s="87">
        <v>131.70580950965041</v>
      </c>
      <c r="X227" s="87">
        <v>129.6963960118083</v>
      </c>
      <c r="Y227" s="87">
        <v>129.15797521338581</v>
      </c>
      <c r="DA227" s="171" t="s">
        <v>935</v>
      </c>
    </row>
    <row r="228" spans="1:105" ht="11.45" customHeight="1" x14ac:dyDescent="0.25">
      <c r="A228" s="111" t="s">
        <v>111</v>
      </c>
      <c r="B228" s="87">
        <v>189.77330950360047</v>
      </c>
      <c r="C228" s="87">
        <v>191.97473525964023</v>
      </c>
      <c r="D228" s="87">
        <v>194.45072772738934</v>
      </c>
      <c r="E228" s="87">
        <v>197.49783519473169</v>
      </c>
      <c r="F228" s="87">
        <v>196.65160992094405</v>
      </c>
      <c r="G228" s="87">
        <v>197.66847321290288</v>
      </c>
      <c r="H228" s="87">
        <v>200.11312400384503</v>
      </c>
      <c r="I228" s="87">
        <v>196.71777568309199</v>
      </c>
      <c r="J228" s="87">
        <v>191.09368590051147</v>
      </c>
      <c r="K228" s="87">
        <v>183.61347236925258</v>
      </c>
      <c r="L228" s="87">
        <v>179.20474316507492</v>
      </c>
      <c r="M228" s="87">
        <v>173.5144751367003</v>
      </c>
      <c r="N228" s="87">
        <v>166.77505909774564</v>
      </c>
      <c r="O228" s="87">
        <v>151.98267937771769</v>
      </c>
      <c r="P228" s="87">
        <v>153.47244054697231</v>
      </c>
      <c r="Q228" s="87">
        <v>149.18691524977626</v>
      </c>
      <c r="R228" s="87">
        <v>146.86467787823332</v>
      </c>
      <c r="S228" s="87">
        <v>148.32064320399041</v>
      </c>
      <c r="T228" s="87">
        <v>152.42935692352029</v>
      </c>
      <c r="U228" s="87">
        <v>150.65881332302001</v>
      </c>
      <c r="V228" s="87">
        <v>145.9624862858937</v>
      </c>
      <c r="W228" s="87">
        <v>140.36286445896701</v>
      </c>
      <c r="X228" s="87">
        <v>143.31351558960819</v>
      </c>
      <c r="Y228" s="87">
        <v>142.50058136253321</v>
      </c>
      <c r="DA228" s="171" t="s">
        <v>936</v>
      </c>
    </row>
    <row r="229" spans="1:105" ht="11.45" customHeight="1" x14ac:dyDescent="0.25">
      <c r="A229" s="111" t="s">
        <v>112</v>
      </c>
      <c r="B229" s="87">
        <v>0</v>
      </c>
      <c r="C229" s="87">
        <v>153.22415550852128</v>
      </c>
      <c r="D229" s="87">
        <v>155.20036271309542</v>
      </c>
      <c r="E229" s="87">
        <v>0</v>
      </c>
      <c r="F229" s="87">
        <v>0</v>
      </c>
      <c r="G229" s="87">
        <v>0</v>
      </c>
      <c r="H229" s="87">
        <v>0</v>
      </c>
      <c r="I229" s="87">
        <v>0</v>
      </c>
      <c r="J229" s="87">
        <v>0</v>
      </c>
      <c r="K229" s="87">
        <v>146.55063441403104</v>
      </c>
      <c r="L229" s="87">
        <v>137.13506942716947</v>
      </c>
      <c r="M229" s="87">
        <v>133.96731170983617</v>
      </c>
      <c r="N229" s="87">
        <v>180.66943050453764</v>
      </c>
      <c r="O229" s="87">
        <v>127.50288761663894</v>
      </c>
      <c r="P229" s="87">
        <v>139.29904110948701</v>
      </c>
      <c r="Q229" s="87">
        <v>142.27230855600186</v>
      </c>
      <c r="R229" s="87">
        <v>133.77155542812656</v>
      </c>
      <c r="S229" s="87">
        <v>135.57597388133482</v>
      </c>
      <c r="T229" s="87">
        <v>138.08590554109341</v>
      </c>
      <c r="U229" s="87">
        <v>142.2027603392917</v>
      </c>
      <c r="V229" s="87">
        <v>123.94040536452559</v>
      </c>
      <c r="W229" s="87">
        <v>118.5306391390292</v>
      </c>
      <c r="X229" s="87">
        <v>116.15579410955129</v>
      </c>
      <c r="Y229" s="87">
        <v>115.0496296861877</v>
      </c>
      <c r="DA229" s="171" t="s">
        <v>937</v>
      </c>
    </row>
    <row r="230" spans="1:105" ht="11.45" customHeight="1" x14ac:dyDescent="0.25">
      <c r="A230" s="111" t="s">
        <v>113</v>
      </c>
      <c r="B230" s="87">
        <v>0</v>
      </c>
      <c r="C230" s="87">
        <v>0</v>
      </c>
      <c r="D230" s="87">
        <v>0</v>
      </c>
      <c r="E230" s="87">
        <v>0</v>
      </c>
      <c r="F230" s="87">
        <v>177.47738797097654</v>
      </c>
      <c r="G230" s="87">
        <v>177.12760693467942</v>
      </c>
      <c r="H230" s="87">
        <v>173.84620786035214</v>
      </c>
      <c r="I230" s="87">
        <v>0</v>
      </c>
      <c r="J230" s="87">
        <v>168.21448153493463</v>
      </c>
      <c r="K230" s="87">
        <v>161.32958286364678</v>
      </c>
      <c r="L230" s="87">
        <v>140.37274197851985</v>
      </c>
      <c r="M230" s="87">
        <v>136.90537553458037</v>
      </c>
      <c r="N230" s="87">
        <v>134.86256172420818</v>
      </c>
      <c r="O230" s="87">
        <v>130.34391243057738</v>
      </c>
      <c r="P230" s="87">
        <v>0</v>
      </c>
      <c r="Q230" s="87">
        <v>0</v>
      </c>
      <c r="R230" s="87">
        <v>114.11681640816485</v>
      </c>
      <c r="S230" s="87">
        <v>109.88051355803874</v>
      </c>
      <c r="T230" s="87">
        <v>136.02469135802471</v>
      </c>
      <c r="U230" s="87">
        <v>115.79205145118729</v>
      </c>
      <c r="V230" s="87">
        <v>113.50958188153308</v>
      </c>
      <c r="W230" s="87">
        <v>107.50668896321071</v>
      </c>
      <c r="X230" s="87">
        <v>103.9009900990099</v>
      </c>
      <c r="Y230" s="87">
        <v>104.33793103448281</v>
      </c>
      <c r="DA230" s="171" t="s">
        <v>938</v>
      </c>
    </row>
    <row r="231" spans="1:105" ht="11.45" customHeight="1" x14ac:dyDescent="0.25">
      <c r="A231" s="111" t="s">
        <v>114</v>
      </c>
      <c r="B231" s="87">
        <v>0</v>
      </c>
      <c r="C231" s="87">
        <v>0</v>
      </c>
      <c r="D231" s="87">
        <v>0</v>
      </c>
      <c r="E231" s="87">
        <v>0</v>
      </c>
      <c r="F231" s="87">
        <v>0</v>
      </c>
      <c r="G231" s="87">
        <v>0</v>
      </c>
      <c r="H231" s="87">
        <v>0</v>
      </c>
      <c r="I231" s="87">
        <v>0</v>
      </c>
      <c r="J231" s="87">
        <v>0</v>
      </c>
      <c r="K231" s="87">
        <v>0</v>
      </c>
      <c r="L231" s="87">
        <v>0</v>
      </c>
      <c r="M231" s="87">
        <v>67.342402504210924</v>
      </c>
      <c r="N231" s="87">
        <v>49.079208694354051</v>
      </c>
      <c r="O231" s="87">
        <v>80.818316132625242</v>
      </c>
      <c r="P231" s="87">
        <v>51.093757327944509</v>
      </c>
      <c r="Q231" s="87">
        <v>47.846908316323521</v>
      </c>
      <c r="R231" s="87">
        <v>53.941043875499965</v>
      </c>
      <c r="S231" s="87">
        <v>51.86215687380426</v>
      </c>
      <c r="T231" s="87">
        <v>49.899635842343386</v>
      </c>
      <c r="U231" s="87">
        <v>55.098893499308446</v>
      </c>
      <c r="V231" s="87">
        <v>53.237649167107882</v>
      </c>
      <c r="W231" s="87">
        <v>36.356128578250271</v>
      </c>
      <c r="X231" s="87">
        <v>34.253515616509823</v>
      </c>
      <c r="Y231" s="87">
        <v>30.615996066541019</v>
      </c>
      <c r="DA231" s="171" t="s">
        <v>939</v>
      </c>
    </row>
    <row r="232" spans="1:105" ht="11.45" customHeight="1" x14ac:dyDescent="0.25">
      <c r="A232" s="111" t="s">
        <v>115</v>
      </c>
      <c r="B232" s="87">
        <v>0</v>
      </c>
      <c r="C232" s="87">
        <v>0</v>
      </c>
      <c r="D232" s="87">
        <v>0</v>
      </c>
      <c r="E232" s="87">
        <v>0</v>
      </c>
      <c r="F232" s="87">
        <v>0</v>
      </c>
      <c r="G232" s="87">
        <v>0</v>
      </c>
      <c r="H232" s="87">
        <v>0</v>
      </c>
      <c r="I232" s="87">
        <v>0</v>
      </c>
      <c r="J232" s="87">
        <v>0</v>
      </c>
      <c r="K232" s="87">
        <v>0</v>
      </c>
      <c r="L232" s="87">
        <v>0</v>
      </c>
      <c r="M232" s="87">
        <v>0</v>
      </c>
      <c r="N232" s="87">
        <v>0</v>
      </c>
      <c r="O232" s="87">
        <v>0</v>
      </c>
      <c r="P232" s="87">
        <v>0</v>
      </c>
      <c r="Q232" s="87">
        <v>0</v>
      </c>
      <c r="R232" s="87">
        <v>0</v>
      </c>
      <c r="S232" s="87">
        <v>0</v>
      </c>
      <c r="T232" s="87">
        <v>0</v>
      </c>
      <c r="U232" s="87">
        <v>0</v>
      </c>
      <c r="V232" s="87">
        <v>0</v>
      </c>
      <c r="W232" s="87">
        <v>0</v>
      </c>
      <c r="X232" s="87">
        <v>0</v>
      </c>
      <c r="Y232" s="87">
        <v>0</v>
      </c>
      <c r="DA232" s="171" t="s">
        <v>940</v>
      </c>
    </row>
    <row r="233" spans="1:105" ht="11.45" customHeight="1" x14ac:dyDescent="0.25">
      <c r="A233" s="109" t="s">
        <v>21</v>
      </c>
      <c r="B233" s="116">
        <v>1445.0581859305532</v>
      </c>
      <c r="C233" s="116">
        <v>1427.0839666165846</v>
      </c>
      <c r="D233" s="116">
        <v>1423.1015276723165</v>
      </c>
      <c r="E233" s="116">
        <v>1403.4864287811347</v>
      </c>
      <c r="F233" s="116">
        <v>1424.3273824561436</v>
      </c>
      <c r="G233" s="116">
        <v>1439.1552449950455</v>
      </c>
      <c r="H233" s="116">
        <v>1423.7011705702673</v>
      </c>
      <c r="I233" s="116">
        <v>1387.5369094321911</v>
      </c>
      <c r="J233" s="116">
        <v>1421.8763157598203</v>
      </c>
      <c r="K233" s="116">
        <v>1406.2411671531518</v>
      </c>
      <c r="L233" s="116">
        <v>1380.5473524256404</v>
      </c>
      <c r="M233" s="116">
        <v>1369.6888077911617</v>
      </c>
      <c r="N233" s="116">
        <v>1355.9413180145148</v>
      </c>
      <c r="O233" s="116">
        <v>1283.1255832008821</v>
      </c>
      <c r="P233" s="116">
        <v>1323.9982531822116</v>
      </c>
      <c r="Q233" s="116">
        <v>1175.6806578191995</v>
      </c>
      <c r="R233" s="116">
        <v>1224.3214429906825</v>
      </c>
      <c r="S233" s="116">
        <v>1233.6871114788951</v>
      </c>
      <c r="T233" s="116">
        <v>1101.1142381768134</v>
      </c>
      <c r="U233" s="116">
        <v>1108.0154113446802</v>
      </c>
      <c r="V233" s="116">
        <v>1068.6378966312234</v>
      </c>
      <c r="W233" s="116">
        <v>1001.5838891828207</v>
      </c>
      <c r="X233" s="116">
        <v>948.09632223596373</v>
      </c>
      <c r="Y233" s="116">
        <v>842.4284763589402</v>
      </c>
      <c r="DA233" s="176" t="s">
        <v>941</v>
      </c>
    </row>
    <row r="234" spans="1:105" ht="11.45" customHeight="1" x14ac:dyDescent="0.25">
      <c r="A234" s="111" t="s">
        <v>110</v>
      </c>
      <c r="B234" s="101">
        <v>0</v>
      </c>
      <c r="C234" s="101">
        <v>417.36312487783891</v>
      </c>
      <c r="D234" s="101">
        <v>419.72904931027193</v>
      </c>
      <c r="E234" s="101">
        <v>417.2342874087459</v>
      </c>
      <c r="F234" s="101">
        <v>413.02950091744145</v>
      </c>
      <c r="G234" s="101">
        <v>0</v>
      </c>
      <c r="H234" s="101">
        <v>404.57893419466649</v>
      </c>
      <c r="I234" s="101">
        <v>401.13546002072923</v>
      </c>
      <c r="J234" s="101">
        <v>391.47264983876204</v>
      </c>
      <c r="K234" s="101">
        <v>375.44995368248203</v>
      </c>
      <c r="L234" s="101">
        <v>353.55344018528501</v>
      </c>
      <c r="M234" s="101">
        <v>344.95677333087247</v>
      </c>
      <c r="N234" s="101">
        <v>331.95217760801495</v>
      </c>
      <c r="O234" s="101">
        <v>316.57041086070001</v>
      </c>
      <c r="P234" s="101">
        <v>305.89217650988252</v>
      </c>
      <c r="Q234" s="101">
        <v>296.60565469363996</v>
      </c>
      <c r="R234" s="101">
        <v>288.20059018438616</v>
      </c>
      <c r="S234" s="101">
        <v>280.55902880566055</v>
      </c>
      <c r="T234" s="101">
        <v>273.58115771858604</v>
      </c>
      <c r="U234" s="101">
        <v>267.18213225617814</v>
      </c>
      <c r="V234" s="101">
        <v>0</v>
      </c>
      <c r="W234" s="101">
        <v>255.84128507930066</v>
      </c>
      <c r="X234" s="101">
        <v>250.78402965630471</v>
      </c>
      <c r="Y234" s="101">
        <v>246.07171064892987</v>
      </c>
      <c r="DA234" s="175" t="s">
        <v>942</v>
      </c>
    </row>
    <row r="235" spans="1:105" ht="11.45" customHeight="1" x14ac:dyDescent="0.25">
      <c r="A235" s="111" t="s">
        <v>111</v>
      </c>
      <c r="B235" s="101">
        <v>1445.0581859305532</v>
      </c>
      <c r="C235" s="101">
        <v>1446.8933779150184</v>
      </c>
      <c r="D235" s="101">
        <v>1448.9352137307733</v>
      </c>
      <c r="E235" s="101">
        <v>1446.7725480881911</v>
      </c>
      <c r="F235" s="101">
        <v>1443.09973159232</v>
      </c>
      <c r="G235" s="101">
        <v>1442.3876463132367</v>
      </c>
      <c r="H235" s="101">
        <v>1435.6132391919143</v>
      </c>
      <c r="I235" s="101">
        <v>1432.5388969892276</v>
      </c>
      <c r="J235" s="101">
        <v>1423.7531894682375</v>
      </c>
      <c r="K235" s="101">
        <v>1408.7235238829874</v>
      </c>
      <c r="L235" s="101">
        <v>1387.2445788410525</v>
      </c>
      <c r="M235" s="101">
        <v>1378.6552130926891</v>
      </c>
      <c r="N235" s="101">
        <v>1365.2835873747911</v>
      </c>
      <c r="O235" s="101">
        <v>1348.8982606829561</v>
      </c>
      <c r="P235" s="101">
        <v>1337.2281067845577</v>
      </c>
      <c r="Q235" s="101">
        <v>1326.8424723811845</v>
      </c>
      <c r="R235" s="101">
        <v>1307.0238689111113</v>
      </c>
      <c r="S235" s="101">
        <v>1279.1248299117665</v>
      </c>
      <c r="T235" s="101">
        <v>1244.4890254009101</v>
      </c>
      <c r="U235" s="101">
        <v>1204.4064449441983</v>
      </c>
      <c r="V235" s="101">
        <v>1160.0816111737304</v>
      </c>
      <c r="W235" s="101">
        <v>1112.6130244402573</v>
      </c>
      <c r="X235" s="101">
        <v>1062.9818492814168</v>
      </c>
      <c r="Y235" s="101">
        <v>1012.0478799104677</v>
      </c>
      <c r="DA235" s="175" t="s">
        <v>943</v>
      </c>
    </row>
    <row r="236" spans="1:105" ht="11.45" customHeight="1" x14ac:dyDescent="0.25">
      <c r="A236" s="111" t="s">
        <v>112</v>
      </c>
      <c r="B236" s="101">
        <v>0</v>
      </c>
      <c r="C236" s="101">
        <v>0</v>
      </c>
      <c r="D236" s="101">
        <v>0</v>
      </c>
      <c r="E236" s="101">
        <v>0</v>
      </c>
      <c r="F236" s="101">
        <v>0</v>
      </c>
      <c r="G236" s="101">
        <v>0</v>
      </c>
      <c r="H236" s="101">
        <v>0</v>
      </c>
      <c r="I236" s="101">
        <v>0</v>
      </c>
      <c r="J236" s="101">
        <v>0</v>
      </c>
      <c r="K236" s="101">
        <v>0</v>
      </c>
      <c r="L236" s="101">
        <v>0</v>
      </c>
      <c r="M236" s="101">
        <v>0</v>
      </c>
      <c r="N236" s="101">
        <v>0</v>
      </c>
      <c r="O236" s="101">
        <v>0</v>
      </c>
      <c r="P236" s="101">
        <v>958.51785441124696</v>
      </c>
      <c r="Q236" s="101">
        <v>951.07348799798206</v>
      </c>
      <c r="R236" s="101">
        <v>943.47858154982623</v>
      </c>
      <c r="S236" s="101">
        <v>0</v>
      </c>
      <c r="T236" s="101">
        <v>0</v>
      </c>
      <c r="U236" s="101">
        <v>920.02952160907682</v>
      </c>
      <c r="V236" s="101">
        <v>912.05896625154435</v>
      </c>
      <c r="W236" s="101">
        <v>904.03957834006474</v>
      </c>
      <c r="X236" s="101">
        <v>895.9855517709841</v>
      </c>
      <c r="Y236" s="101">
        <v>887.90949644561545</v>
      </c>
      <c r="DA236" s="175" t="s">
        <v>944</v>
      </c>
    </row>
    <row r="237" spans="1:105" ht="11.45" customHeight="1" x14ac:dyDescent="0.25">
      <c r="A237" s="111" t="s">
        <v>113</v>
      </c>
      <c r="B237" s="101">
        <v>0</v>
      </c>
      <c r="C237" s="101">
        <v>922.07180328967286</v>
      </c>
      <c r="D237" s="101">
        <v>0</v>
      </c>
      <c r="E237" s="101">
        <v>921.99480122579314</v>
      </c>
      <c r="F237" s="101">
        <v>919.65419992013199</v>
      </c>
      <c r="G237" s="101">
        <v>919.20040438315448</v>
      </c>
      <c r="H237" s="101">
        <v>914.88323085404659</v>
      </c>
      <c r="I237" s="101">
        <v>912.92402342243497</v>
      </c>
      <c r="J237" s="101">
        <v>0</v>
      </c>
      <c r="K237" s="101">
        <v>897.74703501315003</v>
      </c>
      <c r="L237" s="101">
        <v>0</v>
      </c>
      <c r="M237" s="101">
        <v>0</v>
      </c>
      <c r="N237" s="101">
        <v>870.06376463380775</v>
      </c>
      <c r="O237" s="101">
        <v>859.62177356463701</v>
      </c>
      <c r="P237" s="101">
        <v>0</v>
      </c>
      <c r="Q237" s="101">
        <v>845.56612799820584</v>
      </c>
      <c r="R237" s="101">
        <v>840.53589383886708</v>
      </c>
      <c r="S237" s="101">
        <v>836.69459645540314</v>
      </c>
      <c r="T237" s="101">
        <v>833.56385129454713</v>
      </c>
      <c r="U237" s="101">
        <v>830.8593389980972</v>
      </c>
      <c r="V237" s="101">
        <v>828.41160452068675</v>
      </c>
      <c r="W237" s="101">
        <v>826.11948009344826</v>
      </c>
      <c r="X237" s="101">
        <v>823.92250349831193</v>
      </c>
      <c r="Y237" s="101">
        <v>821.78451587348468</v>
      </c>
      <c r="DA237" s="175" t="s">
        <v>945</v>
      </c>
    </row>
    <row r="238" spans="1:105" ht="11.45" customHeight="1" x14ac:dyDescent="0.25">
      <c r="A238" s="111" t="s">
        <v>115</v>
      </c>
      <c r="B238" s="101">
        <v>0</v>
      </c>
      <c r="C238" s="101">
        <v>0</v>
      </c>
      <c r="D238" s="101">
        <v>0</v>
      </c>
      <c r="E238" s="101">
        <v>0</v>
      </c>
      <c r="F238" s="101">
        <v>0</v>
      </c>
      <c r="G238" s="101">
        <v>0</v>
      </c>
      <c r="H238" s="101">
        <v>0</v>
      </c>
      <c r="I238" s="101">
        <v>0</v>
      </c>
      <c r="J238" s="101">
        <v>0</v>
      </c>
      <c r="K238" s="101">
        <v>0</v>
      </c>
      <c r="L238" s="101">
        <v>0</v>
      </c>
      <c r="M238" s="101">
        <v>0</v>
      </c>
      <c r="N238" s="101">
        <v>0</v>
      </c>
      <c r="O238" s="101">
        <v>0</v>
      </c>
      <c r="P238" s="101">
        <v>0</v>
      </c>
      <c r="Q238" s="101">
        <v>0</v>
      </c>
      <c r="R238" s="101">
        <v>0</v>
      </c>
      <c r="S238" s="101">
        <v>0</v>
      </c>
      <c r="T238" s="101">
        <v>0</v>
      </c>
      <c r="U238" s="101">
        <v>0</v>
      </c>
      <c r="V238" s="101">
        <v>0</v>
      </c>
      <c r="W238" s="101">
        <v>0</v>
      </c>
      <c r="X238" s="101">
        <v>0</v>
      </c>
      <c r="Y238" s="101">
        <v>0</v>
      </c>
      <c r="DA238" s="175" t="s">
        <v>946</v>
      </c>
    </row>
    <row r="239" spans="1:105" ht="11.45" customHeight="1" x14ac:dyDescent="0.25">
      <c r="A239" s="27" t="s">
        <v>34</v>
      </c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DA239" s="173"/>
    </row>
    <row r="240" spans="1:105" ht="11.45" customHeight="1" x14ac:dyDescent="0.25">
      <c r="A240" s="136" t="s">
        <v>153</v>
      </c>
      <c r="B240" s="152">
        <v>0</v>
      </c>
      <c r="C240" s="152">
        <v>234.64766024306235</v>
      </c>
      <c r="D240" s="152">
        <v>237.65583094788568</v>
      </c>
      <c r="E240" s="152">
        <v>241.37997672816789</v>
      </c>
      <c r="F240" s="152">
        <v>240.34572824290103</v>
      </c>
      <c r="G240" s="152">
        <v>241.58852889186377</v>
      </c>
      <c r="H240" s="152">
        <v>244.5763578493017</v>
      </c>
      <c r="I240" s="152">
        <v>240.42659540841569</v>
      </c>
      <c r="J240" s="152">
        <v>229.13029749979273</v>
      </c>
      <c r="K240" s="152">
        <v>220.50128013710201</v>
      </c>
      <c r="L240" s="152">
        <v>212.75363069290077</v>
      </c>
      <c r="M240" s="152">
        <v>204.29999157733468</v>
      </c>
      <c r="N240" s="152">
        <v>201.71692531298416</v>
      </c>
      <c r="O240" s="152">
        <v>180.64023688724293</v>
      </c>
      <c r="P240" s="152">
        <v>191.73080145205898</v>
      </c>
      <c r="Q240" s="152">
        <v>190.07004106676729</v>
      </c>
      <c r="R240" s="152">
        <v>179.94313474883293</v>
      </c>
      <c r="S240" s="152">
        <v>171.57873967988505</v>
      </c>
      <c r="T240" s="152">
        <v>165.32581333246949</v>
      </c>
      <c r="U240" s="152">
        <v>179.19014261804389</v>
      </c>
      <c r="V240" s="152">
        <v>191.70448581077972</v>
      </c>
      <c r="W240" s="152">
        <v>184.15332423850433</v>
      </c>
      <c r="X240" s="152">
        <v>176.23664919535983</v>
      </c>
      <c r="Y240" s="152">
        <v>168.95975515735068</v>
      </c>
      <c r="DA240" s="174" t="s">
        <v>947</v>
      </c>
    </row>
    <row r="241" spans="1:105" ht="11.45" customHeight="1" x14ac:dyDescent="0.25">
      <c r="A241" s="111" t="s">
        <v>110</v>
      </c>
      <c r="B241" s="87">
        <v>0</v>
      </c>
      <c r="C241" s="87">
        <v>243.23507196837616</v>
      </c>
      <c r="D241" s="87">
        <v>0</v>
      </c>
      <c r="E241" s="87">
        <v>0</v>
      </c>
      <c r="F241" s="87">
        <v>0</v>
      </c>
      <c r="G241" s="87">
        <v>0</v>
      </c>
      <c r="H241" s="87">
        <v>0</v>
      </c>
      <c r="I241" s="87">
        <v>0</v>
      </c>
      <c r="J241" s="87">
        <v>0</v>
      </c>
      <c r="K241" s="87">
        <v>0</v>
      </c>
      <c r="L241" s="87">
        <v>0</v>
      </c>
      <c r="M241" s="87">
        <v>197.21547244518024</v>
      </c>
      <c r="N241" s="87">
        <v>193.58719892435585</v>
      </c>
      <c r="O241" s="87">
        <v>190.24791400069756</v>
      </c>
      <c r="P241" s="87">
        <v>174.6653602428191</v>
      </c>
      <c r="Q241" s="87">
        <v>168.21705993192322</v>
      </c>
      <c r="R241" s="87">
        <v>153.74313276762811</v>
      </c>
      <c r="S241" s="87">
        <v>148.25312578740409</v>
      </c>
      <c r="T241" s="87">
        <v>151.21717492089547</v>
      </c>
      <c r="U241" s="87">
        <v>166.0338624338624</v>
      </c>
      <c r="V241" s="87">
        <v>162.72746103195439</v>
      </c>
      <c r="W241" s="87">
        <v>163.73752430330521</v>
      </c>
      <c r="X241" s="87">
        <v>165.98447893569849</v>
      </c>
      <c r="Y241" s="87">
        <v>173.15096774193549</v>
      </c>
      <c r="DA241" s="171" t="s">
        <v>948</v>
      </c>
    </row>
    <row r="242" spans="1:105" ht="11.45" customHeight="1" x14ac:dyDescent="0.25">
      <c r="A242" s="111" t="s">
        <v>111</v>
      </c>
      <c r="B242" s="87">
        <v>0</v>
      </c>
      <c r="C242" s="87">
        <v>234.62969649099347</v>
      </c>
      <c r="D242" s="87">
        <v>237.65583094788568</v>
      </c>
      <c r="E242" s="87">
        <v>241.37997672816789</v>
      </c>
      <c r="F242" s="87">
        <v>240.34572824290103</v>
      </c>
      <c r="G242" s="87">
        <v>241.58852889186375</v>
      </c>
      <c r="H242" s="87">
        <v>244.5763578493017</v>
      </c>
      <c r="I242" s="87">
        <v>240.42659540841569</v>
      </c>
      <c r="J242" s="87">
        <v>229.13029749979273</v>
      </c>
      <c r="K242" s="87">
        <v>220.50128013710201</v>
      </c>
      <c r="L242" s="87">
        <v>212.75363069290077</v>
      </c>
      <c r="M242" s="87">
        <v>204.51714400114992</v>
      </c>
      <c r="N242" s="87">
        <v>203.83089183818225</v>
      </c>
      <c r="O242" s="87">
        <v>179.45583089121894</v>
      </c>
      <c r="P242" s="87">
        <v>192.45810466290911</v>
      </c>
      <c r="Q242" s="87">
        <v>190.48008301520625</v>
      </c>
      <c r="R242" s="87">
        <v>182.25938992349489</v>
      </c>
      <c r="S242" s="87">
        <v>175.60460437194564</v>
      </c>
      <c r="T242" s="87">
        <v>170.41272150865774</v>
      </c>
      <c r="U242" s="87">
        <v>186.45370750895319</v>
      </c>
      <c r="V242" s="87">
        <v>197.50404917312369</v>
      </c>
      <c r="W242" s="87">
        <v>190.7844378626915</v>
      </c>
      <c r="X242" s="87">
        <v>184.82016056083219</v>
      </c>
      <c r="Y242" s="87">
        <v>182.6870913918126</v>
      </c>
      <c r="DA242" s="171" t="s">
        <v>949</v>
      </c>
    </row>
    <row r="243" spans="1:105" ht="11.45" customHeight="1" x14ac:dyDescent="0.25">
      <c r="A243" s="111" t="s">
        <v>112</v>
      </c>
      <c r="B243" s="87">
        <v>0</v>
      </c>
      <c r="C243" s="87">
        <v>0</v>
      </c>
      <c r="D243" s="87">
        <v>0</v>
      </c>
      <c r="E243" s="87">
        <v>0</v>
      </c>
      <c r="F243" s="87">
        <v>0</v>
      </c>
      <c r="G243" s="87">
        <v>0</v>
      </c>
      <c r="H243" s="87">
        <v>0</v>
      </c>
      <c r="I243" s="87">
        <v>0</v>
      </c>
      <c r="J243" s="87">
        <v>0</v>
      </c>
      <c r="K243" s="87">
        <v>0</v>
      </c>
      <c r="L243" s="87">
        <v>0</v>
      </c>
      <c r="M243" s="87">
        <v>0</v>
      </c>
      <c r="N243" s="87">
        <v>0</v>
      </c>
      <c r="O243" s="87">
        <v>266.59023321688721</v>
      </c>
      <c r="P243" s="87">
        <v>148.9044784729833</v>
      </c>
      <c r="Q243" s="87">
        <v>154.79829268373621</v>
      </c>
      <c r="R243" s="87">
        <v>140.65200031377535</v>
      </c>
      <c r="S243" s="87">
        <v>122.19802571558391</v>
      </c>
      <c r="T243" s="87">
        <v>122.24646897768763</v>
      </c>
      <c r="U243" s="87">
        <v>122.7525773195876</v>
      </c>
      <c r="V243" s="87">
        <v>166.52662233293259</v>
      </c>
      <c r="W243" s="87">
        <v>161.93235071806501</v>
      </c>
      <c r="X243" s="87">
        <v>170.54654654654661</v>
      </c>
      <c r="Y243" s="87">
        <v>156.99719101123591</v>
      </c>
      <c r="DA243" s="171" t="s">
        <v>950</v>
      </c>
    </row>
    <row r="244" spans="1:105" ht="11.45" customHeight="1" x14ac:dyDescent="0.25">
      <c r="A244" s="111" t="s">
        <v>113</v>
      </c>
      <c r="B244" s="87">
        <v>0</v>
      </c>
      <c r="C244" s="87">
        <v>0</v>
      </c>
      <c r="D244" s="87">
        <v>0</v>
      </c>
      <c r="E244" s="87">
        <v>0</v>
      </c>
      <c r="F244" s="87">
        <v>0</v>
      </c>
      <c r="G244" s="87">
        <v>0</v>
      </c>
      <c r="H244" s="87">
        <v>0</v>
      </c>
      <c r="I244" s="87">
        <v>0</v>
      </c>
      <c r="J244" s="87">
        <v>0</v>
      </c>
      <c r="K244" s="87">
        <v>0</v>
      </c>
      <c r="L244" s="87">
        <v>0</v>
      </c>
      <c r="M244" s="87">
        <v>0</v>
      </c>
      <c r="N244" s="87">
        <v>277.7846825515075</v>
      </c>
      <c r="O244" s="87">
        <v>282.37273090934735</v>
      </c>
      <c r="P244" s="87">
        <v>153.17500178728289</v>
      </c>
      <c r="Q244" s="87">
        <v>227.98948880166236</v>
      </c>
      <c r="R244" s="87">
        <v>137.83117616154928</v>
      </c>
      <c r="S244" s="87">
        <v>161.53201773368721</v>
      </c>
      <c r="T244" s="87">
        <v>155.43162594757553</v>
      </c>
      <c r="U244" s="87">
        <v>148.41501103752759</v>
      </c>
      <c r="V244" s="87">
        <v>180.72273420068609</v>
      </c>
      <c r="W244" s="87">
        <v>205.2920962199313</v>
      </c>
      <c r="X244" s="87">
        <v>170.39705882352939</v>
      </c>
      <c r="Y244" s="87">
        <v>215.59322033898309</v>
      </c>
      <c r="DA244" s="171" t="s">
        <v>951</v>
      </c>
    </row>
    <row r="245" spans="1:105" ht="11.45" customHeight="1" x14ac:dyDescent="0.25">
      <c r="A245" s="111" t="s">
        <v>115</v>
      </c>
      <c r="B245" s="87">
        <v>0</v>
      </c>
      <c r="C245" s="87">
        <v>0</v>
      </c>
      <c r="D245" s="87">
        <v>0</v>
      </c>
      <c r="E245" s="87">
        <v>0</v>
      </c>
      <c r="F245" s="87">
        <v>0</v>
      </c>
      <c r="G245" s="87">
        <v>0</v>
      </c>
      <c r="H245" s="87">
        <v>0</v>
      </c>
      <c r="I245" s="87">
        <v>0</v>
      </c>
      <c r="J245" s="87">
        <v>0</v>
      </c>
      <c r="K245" s="87">
        <v>0</v>
      </c>
      <c r="L245" s="87">
        <v>0</v>
      </c>
      <c r="M245" s="87">
        <v>0</v>
      </c>
      <c r="N245" s="87">
        <v>0</v>
      </c>
      <c r="O245" s="87">
        <v>0</v>
      </c>
      <c r="P245" s="87">
        <v>0</v>
      </c>
      <c r="Q245" s="87">
        <v>0</v>
      </c>
      <c r="R245" s="87">
        <v>0</v>
      </c>
      <c r="S245" s="87">
        <v>0</v>
      </c>
      <c r="T245" s="87">
        <v>0</v>
      </c>
      <c r="U245" s="87">
        <v>0</v>
      </c>
      <c r="V245" s="87">
        <v>0</v>
      </c>
      <c r="W245" s="87">
        <v>0</v>
      </c>
      <c r="X245" s="87">
        <v>0</v>
      </c>
      <c r="Y245" s="87">
        <v>0</v>
      </c>
      <c r="DA245" s="171" t="s">
        <v>952</v>
      </c>
    </row>
    <row r="246" spans="1:105" ht="11.45" customHeight="1" x14ac:dyDescent="0.25">
      <c r="A246" s="109" t="s">
        <v>154</v>
      </c>
      <c r="B246" s="116">
        <v>1040.7419809790824</v>
      </c>
      <c r="C246" s="116">
        <v>999.79092728153103</v>
      </c>
      <c r="D246" s="116">
        <v>993.10041538885639</v>
      </c>
      <c r="E246" s="116">
        <v>983.93890138805375</v>
      </c>
      <c r="F246" s="116">
        <v>978.3578796303276</v>
      </c>
      <c r="G246" s="116">
        <v>963.41634591580896</v>
      </c>
      <c r="H246" s="116">
        <v>949.90205890710752</v>
      </c>
      <c r="I246" s="116">
        <v>935.10763926847233</v>
      </c>
      <c r="J246" s="116">
        <v>915.79761516659994</v>
      </c>
      <c r="K246" s="116">
        <v>898.43585259624103</v>
      </c>
      <c r="L246" s="116">
        <v>882.50966664839484</v>
      </c>
      <c r="M246" s="116">
        <v>863.24279340217106</v>
      </c>
      <c r="N246" s="116">
        <v>841.88118752214939</v>
      </c>
      <c r="O246" s="116">
        <v>852.18875285577872</v>
      </c>
      <c r="P246" s="116">
        <v>822.61522300187039</v>
      </c>
      <c r="Q246" s="116">
        <v>796.00461807862018</v>
      </c>
      <c r="R246" s="116">
        <v>733.91923446775093</v>
      </c>
      <c r="S246" s="116">
        <v>693.13425046082853</v>
      </c>
      <c r="T246" s="116">
        <v>666.83313902683744</v>
      </c>
      <c r="U246" s="116">
        <v>653.478026468081</v>
      </c>
      <c r="V246" s="116">
        <v>643.95714306285856</v>
      </c>
      <c r="W246" s="116">
        <v>656.73222934131809</v>
      </c>
      <c r="X246" s="116">
        <v>643.68943088708943</v>
      </c>
      <c r="Y246" s="116">
        <v>628.77231798562946</v>
      </c>
      <c r="DA246" s="176" t="s">
        <v>953</v>
      </c>
    </row>
    <row r="247" spans="1:105" ht="11.45" customHeight="1" x14ac:dyDescent="0.25">
      <c r="A247" s="128" t="s">
        <v>27</v>
      </c>
      <c r="B247" s="101">
        <v>0</v>
      </c>
      <c r="C247" s="101">
        <v>932.80199065793636</v>
      </c>
      <c r="D247" s="101">
        <v>926.45095669553996</v>
      </c>
      <c r="E247" s="101">
        <v>918.5427372578655</v>
      </c>
      <c r="F247" s="101">
        <v>909.09742727945184</v>
      </c>
      <c r="G247" s="101">
        <v>898.13885806496342</v>
      </c>
      <c r="H247" s="101">
        <v>885.69444867783818</v>
      </c>
      <c r="I247" s="101">
        <v>871.7950370510365</v>
      </c>
      <c r="J247" s="101">
        <v>856.4746927266583</v>
      </c>
      <c r="K247" s="101">
        <v>839.77051327963591</v>
      </c>
      <c r="L247" s="101">
        <v>821.72240666773746</v>
      </c>
      <c r="M247" s="101">
        <v>802.37286178505065</v>
      </c>
      <c r="N247" s="101">
        <v>781.76670958432283</v>
      </c>
      <c r="O247" s="101">
        <v>759.95087716121452</v>
      </c>
      <c r="P247" s="101">
        <v>736.97413713723074</v>
      </c>
      <c r="Q247" s="101">
        <v>712.88685467848723</v>
      </c>
      <c r="R247" s="101">
        <v>679.13086938647291</v>
      </c>
      <c r="S247" s="101">
        <v>639.74888654578956</v>
      </c>
      <c r="T247" s="101">
        <v>614.15059769934533</v>
      </c>
      <c r="U247" s="101">
        <v>600.36690370510621</v>
      </c>
      <c r="V247" s="101">
        <v>598.83328462892075</v>
      </c>
      <c r="W247" s="101">
        <v>595.17720725030426</v>
      </c>
      <c r="X247" s="101">
        <v>591.89815332218791</v>
      </c>
      <c r="Y247" s="101">
        <v>585.97917178896591</v>
      </c>
      <c r="DA247" s="175" t="s">
        <v>954</v>
      </c>
    </row>
    <row r="248" spans="1:105" ht="11.45" customHeight="1" x14ac:dyDescent="0.25">
      <c r="A248" s="138" t="s">
        <v>116</v>
      </c>
      <c r="B248" s="88">
        <v>973.32549638124704</v>
      </c>
      <c r="C248" s="88">
        <v>969.14492535889485</v>
      </c>
      <c r="D248" s="88">
        <v>964.5209027684374</v>
      </c>
      <c r="E248" s="88">
        <v>958.76313394738929</v>
      </c>
      <c r="F248" s="88">
        <v>951.8862494947706</v>
      </c>
      <c r="G248" s="88">
        <v>943.90760036347785</v>
      </c>
      <c r="H248" s="88">
        <v>934.84714966022614</v>
      </c>
      <c r="I248" s="88">
        <v>924.72734968168083</v>
      </c>
      <c r="J248" s="88">
        <v>0</v>
      </c>
      <c r="K248" s="88">
        <v>901.41112711943799</v>
      </c>
      <c r="L248" s="88">
        <v>888.27077026061306</v>
      </c>
      <c r="M248" s="88">
        <v>874.1828700569024</v>
      </c>
      <c r="N248" s="88">
        <v>859.18006675861636</v>
      </c>
      <c r="O248" s="88">
        <v>843.29652676318142</v>
      </c>
      <c r="P248" s="88">
        <v>826.56776014737818</v>
      </c>
      <c r="Q248" s="88">
        <v>809.03043647828326</v>
      </c>
      <c r="R248" s="88">
        <v>786.38779648376408</v>
      </c>
      <c r="S248" s="88">
        <v>770.5379484876006</v>
      </c>
      <c r="T248" s="88">
        <v>753.89560809162901</v>
      </c>
      <c r="U248" s="88">
        <v>733.55496982988586</v>
      </c>
      <c r="V248" s="88">
        <v>721.86280178997254</v>
      </c>
      <c r="W248" s="88">
        <v>718.06378370741038</v>
      </c>
      <c r="X248" s="88">
        <v>714.10770164996393</v>
      </c>
      <c r="Y248" s="88">
        <v>706.96662463346422</v>
      </c>
      <c r="DA248" s="178" t="s">
        <v>955</v>
      </c>
    </row>
  </sheetData>
  <mergeCells count="1">
    <mergeCell ref="B57:V57"/>
  </mergeCells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DA124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1030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DA2" s="171"/>
    </row>
    <row r="3" spans="1:105" ht="11.45" customHeight="1" x14ac:dyDescent="0.25">
      <c r="A3" s="53" t="s">
        <v>17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DA3" s="172"/>
    </row>
    <row r="4" spans="1:105" ht="11.45" customHeight="1" x14ac:dyDescent="0.25">
      <c r="A4" s="27" t="s">
        <v>18</v>
      </c>
      <c r="B4" s="28">
        <f t="shared" ref="B4" si="0">SUM(B5,B6,B9)</f>
        <v>25374</v>
      </c>
      <c r="C4" s="28">
        <f t="shared" ref="C4:V4" si="1">SUM(C5,C6,C9)</f>
        <v>26168</v>
      </c>
      <c r="D4" s="28">
        <f t="shared" si="1"/>
        <v>26711</v>
      </c>
      <c r="E4" s="28">
        <f t="shared" si="1"/>
        <v>26727</v>
      </c>
      <c r="F4" s="28">
        <f t="shared" si="1"/>
        <v>26186</v>
      </c>
      <c r="G4" s="28">
        <f t="shared" si="1"/>
        <v>27624</v>
      </c>
      <c r="H4" s="28">
        <f t="shared" si="1"/>
        <v>28305</v>
      </c>
      <c r="I4" s="28">
        <f t="shared" si="1"/>
        <v>28257</v>
      </c>
      <c r="J4" s="28">
        <f t="shared" si="1"/>
        <v>30469</v>
      </c>
      <c r="K4" s="28">
        <f t="shared" si="1"/>
        <v>29409.5</v>
      </c>
      <c r="L4" s="28">
        <f t="shared" si="1"/>
        <v>30044.9</v>
      </c>
      <c r="M4" s="28">
        <f t="shared" si="1"/>
        <v>30426.1</v>
      </c>
      <c r="N4" s="28">
        <f t="shared" si="1"/>
        <v>29792.9</v>
      </c>
      <c r="O4" s="28">
        <f t="shared" si="1"/>
        <v>30757.9</v>
      </c>
      <c r="P4" s="28">
        <f t="shared" si="1"/>
        <v>32224.7</v>
      </c>
      <c r="Q4" s="28">
        <f t="shared" si="1"/>
        <v>33343.9</v>
      </c>
      <c r="R4" s="28">
        <f t="shared" si="1"/>
        <v>34156.400000000001</v>
      </c>
      <c r="S4" s="28">
        <f t="shared" si="1"/>
        <v>35199.1</v>
      </c>
      <c r="T4" s="28">
        <f t="shared" si="1"/>
        <v>37149.599999999999</v>
      </c>
      <c r="U4" s="28">
        <f t="shared" si="1"/>
        <v>36820.799999999996</v>
      </c>
      <c r="V4" s="28">
        <f t="shared" si="1"/>
        <v>16308.4</v>
      </c>
      <c r="W4" s="28">
        <f t="shared" ref="W4:Y4" si="2">SUM(W5,W6,W9)</f>
        <v>22338.400000000001</v>
      </c>
      <c r="X4" s="28">
        <f t="shared" si="2"/>
        <v>34552</v>
      </c>
      <c r="Y4" s="28">
        <f t="shared" si="2"/>
        <v>42681</v>
      </c>
      <c r="DA4" s="173" t="s">
        <v>376</v>
      </c>
    </row>
    <row r="5" spans="1:105" ht="11.45" customHeight="1" x14ac:dyDescent="0.25">
      <c r="A5" s="107" t="s">
        <v>23</v>
      </c>
      <c r="B5" s="108">
        <v>5230</v>
      </c>
      <c r="C5" s="108">
        <v>5340</v>
      </c>
      <c r="D5" s="108">
        <v>5500</v>
      </c>
      <c r="E5" s="108">
        <v>5600</v>
      </c>
      <c r="F5" s="108">
        <v>5800</v>
      </c>
      <c r="G5" s="108">
        <v>6000</v>
      </c>
      <c r="H5" s="108">
        <v>6200</v>
      </c>
      <c r="I5" s="108">
        <v>6400</v>
      </c>
      <c r="J5" s="108">
        <v>6500</v>
      </c>
      <c r="K5" s="108">
        <v>6272.5</v>
      </c>
      <c r="L5" s="108">
        <v>7588.9000000000005</v>
      </c>
      <c r="M5" s="108">
        <v>7631.1</v>
      </c>
      <c r="N5" s="108">
        <v>7316.9000000000005</v>
      </c>
      <c r="O5" s="108">
        <v>6969.9000000000015</v>
      </c>
      <c r="P5" s="108">
        <v>7152.7000000000007</v>
      </c>
      <c r="Q5" s="108">
        <v>7201.9</v>
      </c>
      <c r="R5" s="108">
        <v>7486.3000000000011</v>
      </c>
      <c r="S5" s="108">
        <v>7683.0999999999995</v>
      </c>
      <c r="T5" s="108">
        <v>8729.6000000000022</v>
      </c>
      <c r="U5" s="108">
        <v>7973.7999999999993</v>
      </c>
      <c r="V5" s="108">
        <v>4248.3999999999996</v>
      </c>
      <c r="W5" s="108">
        <v>5336.4000000000015</v>
      </c>
      <c r="X5" s="108">
        <v>7063</v>
      </c>
      <c r="Y5" s="108">
        <v>8048.9999999999991</v>
      </c>
      <c r="DA5" s="203" t="s">
        <v>377</v>
      </c>
    </row>
    <row r="6" spans="1:105" ht="11.45" customHeight="1" x14ac:dyDescent="0.25">
      <c r="A6" s="109" t="s">
        <v>24</v>
      </c>
      <c r="B6" s="110">
        <f t="shared" ref="B6" si="3">SUM(B7:B8)</f>
        <v>18202</v>
      </c>
      <c r="C6" s="110">
        <f t="shared" ref="C6:V6" si="4">SUM(C7:C8)</f>
        <v>18751</v>
      </c>
      <c r="D6" s="110">
        <f t="shared" si="4"/>
        <v>19030</v>
      </c>
      <c r="E6" s="110">
        <f t="shared" si="4"/>
        <v>19100</v>
      </c>
      <c r="F6" s="110">
        <f t="shared" si="4"/>
        <v>18301</v>
      </c>
      <c r="G6" s="110">
        <f t="shared" si="4"/>
        <v>19300</v>
      </c>
      <c r="H6" s="110">
        <f t="shared" si="4"/>
        <v>19408</v>
      </c>
      <c r="I6" s="110">
        <f t="shared" si="4"/>
        <v>19265</v>
      </c>
      <c r="J6" s="110">
        <f t="shared" si="4"/>
        <v>18486</v>
      </c>
      <c r="K6" s="110">
        <f t="shared" si="4"/>
        <v>11632</v>
      </c>
      <c r="L6" s="110">
        <f t="shared" si="4"/>
        <v>10741</v>
      </c>
      <c r="M6" s="110">
        <f t="shared" si="4"/>
        <v>11564</v>
      </c>
      <c r="N6" s="110">
        <f t="shared" si="4"/>
        <v>11299</v>
      </c>
      <c r="O6" s="110">
        <f t="shared" si="4"/>
        <v>11044</v>
      </c>
      <c r="P6" s="110">
        <f t="shared" si="4"/>
        <v>12284</v>
      </c>
      <c r="Q6" s="110">
        <f t="shared" si="4"/>
        <v>12013</v>
      </c>
      <c r="R6" s="110">
        <f t="shared" si="4"/>
        <v>11611.100000000002</v>
      </c>
      <c r="S6" s="110">
        <f t="shared" si="4"/>
        <v>11976</v>
      </c>
      <c r="T6" s="110">
        <f t="shared" si="4"/>
        <v>12293.999999999998</v>
      </c>
      <c r="U6" s="110">
        <f t="shared" si="4"/>
        <v>12775.999999999996</v>
      </c>
      <c r="V6" s="110">
        <f t="shared" si="4"/>
        <v>6451</v>
      </c>
      <c r="W6" s="110">
        <f t="shared" ref="W6:Y6" si="5">SUM(W7:W8)</f>
        <v>10632</v>
      </c>
      <c r="X6" s="110">
        <f t="shared" si="5"/>
        <v>17744</v>
      </c>
      <c r="Y6" s="110">
        <f t="shared" si="5"/>
        <v>24699</v>
      </c>
      <c r="DA6" s="176" t="s">
        <v>378</v>
      </c>
    </row>
    <row r="7" spans="1:105" ht="11.45" customHeight="1" x14ac:dyDescent="0.25">
      <c r="A7" s="111" t="s">
        <v>90</v>
      </c>
      <c r="B7" s="84">
        <v>4693.4341156855498</v>
      </c>
      <c r="C7" s="84">
        <v>5124.4801999274277</v>
      </c>
      <c r="D7" s="84">
        <v>4974.7856964636712</v>
      </c>
      <c r="E7" s="84">
        <v>4763.6331248318666</v>
      </c>
      <c r="F7" s="84">
        <v>4389.4280074874769</v>
      </c>
      <c r="G7" s="84">
        <v>4510.3360151443449</v>
      </c>
      <c r="H7" s="84">
        <v>8365.3225186926975</v>
      </c>
      <c r="I7" s="84">
        <v>7626.9569617023981</v>
      </c>
      <c r="J7" s="84">
        <v>6708.2275451887645</v>
      </c>
      <c r="K7" s="84">
        <v>6826.786826552694</v>
      </c>
      <c r="L7" s="84">
        <v>6538.7728148839888</v>
      </c>
      <c r="M7" s="84">
        <v>3220.5043374994329</v>
      </c>
      <c r="N7" s="84">
        <v>3435.5317240027493</v>
      </c>
      <c r="O7" s="84">
        <v>1859.5488185969971</v>
      </c>
      <c r="P7" s="84">
        <v>1959.7695179898178</v>
      </c>
      <c r="Q7" s="84">
        <v>1564.2682832715259</v>
      </c>
      <c r="R7" s="84">
        <v>1275.1150657700928</v>
      </c>
      <c r="S7" s="84">
        <v>1727.5667251078764</v>
      </c>
      <c r="T7" s="84">
        <v>1757.9732661016114</v>
      </c>
      <c r="U7" s="84">
        <v>1856.3905478656279</v>
      </c>
      <c r="V7" s="84">
        <v>647.23213494564061</v>
      </c>
      <c r="W7" s="84">
        <v>364.24086232777</v>
      </c>
      <c r="X7" s="84">
        <v>515.76497637485659</v>
      </c>
      <c r="Y7" s="84">
        <v>623.03727922015889</v>
      </c>
      <c r="DA7" s="171" t="s">
        <v>1031</v>
      </c>
    </row>
    <row r="8" spans="1:105" ht="11.45" customHeight="1" x14ac:dyDescent="0.25">
      <c r="A8" s="111" t="s">
        <v>93</v>
      </c>
      <c r="B8" s="84">
        <v>13508.56588431445</v>
      </c>
      <c r="C8" s="84">
        <v>13626.519800072572</v>
      </c>
      <c r="D8" s="84">
        <v>14055.21430353633</v>
      </c>
      <c r="E8" s="84">
        <v>14336.366875168133</v>
      </c>
      <c r="F8" s="84">
        <v>13911.571992512523</v>
      </c>
      <c r="G8" s="84">
        <v>14789.663984855655</v>
      </c>
      <c r="H8" s="84">
        <v>11042.677481307303</v>
      </c>
      <c r="I8" s="84">
        <v>11638.043038297601</v>
      </c>
      <c r="J8" s="84">
        <v>11777.772454811235</v>
      </c>
      <c r="K8" s="84">
        <v>4805.213173447306</v>
      </c>
      <c r="L8" s="84">
        <v>4202.2271851160112</v>
      </c>
      <c r="M8" s="84">
        <v>8343.4956625005671</v>
      </c>
      <c r="N8" s="84">
        <v>7863.4682759972511</v>
      </c>
      <c r="O8" s="84">
        <v>9184.4511814030029</v>
      </c>
      <c r="P8" s="84">
        <v>10324.230482010182</v>
      </c>
      <c r="Q8" s="84">
        <v>10448.731716728475</v>
      </c>
      <c r="R8" s="84">
        <v>10335.984934229909</v>
      </c>
      <c r="S8" s="84">
        <v>10248.433274892124</v>
      </c>
      <c r="T8" s="84">
        <v>10536.026733898387</v>
      </c>
      <c r="U8" s="84">
        <v>10919.609452134369</v>
      </c>
      <c r="V8" s="84">
        <v>5803.7678650543594</v>
      </c>
      <c r="W8" s="84">
        <v>10267.75913767223</v>
      </c>
      <c r="X8" s="84">
        <v>17228.235023625144</v>
      </c>
      <c r="Y8" s="84">
        <v>24075.96272077984</v>
      </c>
      <c r="DA8" s="171" t="s">
        <v>1032</v>
      </c>
    </row>
    <row r="9" spans="1:105" ht="11.45" customHeight="1" x14ac:dyDescent="0.25">
      <c r="A9" s="112" t="s">
        <v>25</v>
      </c>
      <c r="B9" s="113">
        <v>1942</v>
      </c>
      <c r="C9" s="113">
        <v>2077</v>
      </c>
      <c r="D9" s="113">
        <v>2181</v>
      </c>
      <c r="E9" s="113">
        <v>2027.0000000000002</v>
      </c>
      <c r="F9" s="113">
        <v>2085</v>
      </c>
      <c r="G9" s="113">
        <v>2324</v>
      </c>
      <c r="H9" s="113">
        <v>2697</v>
      </c>
      <c r="I9" s="113">
        <v>2592</v>
      </c>
      <c r="J9" s="113">
        <v>5483</v>
      </c>
      <c r="K9" s="113">
        <v>11505</v>
      </c>
      <c r="L9" s="113">
        <v>11715</v>
      </c>
      <c r="M9" s="113">
        <v>11231</v>
      </c>
      <c r="N9" s="113">
        <v>11177</v>
      </c>
      <c r="O9" s="113">
        <v>12744</v>
      </c>
      <c r="P9" s="113">
        <v>12788</v>
      </c>
      <c r="Q9" s="113">
        <v>14129</v>
      </c>
      <c r="R9" s="113">
        <v>15059</v>
      </c>
      <c r="S9" s="113">
        <v>15540</v>
      </c>
      <c r="T9" s="113">
        <v>16126.000000000002</v>
      </c>
      <c r="U9" s="113">
        <v>16071.000000000002</v>
      </c>
      <c r="V9" s="113">
        <v>5609</v>
      </c>
      <c r="W9" s="113">
        <v>6370</v>
      </c>
      <c r="X9" s="113">
        <v>9745</v>
      </c>
      <c r="Y9" s="113">
        <v>9933</v>
      </c>
      <c r="DA9" s="204" t="s">
        <v>379</v>
      </c>
    </row>
    <row r="10" spans="1:105" ht="11.45" customHeight="1" x14ac:dyDescent="0.25">
      <c r="A10" s="27" t="s">
        <v>28</v>
      </c>
      <c r="B10" s="28">
        <f t="shared" ref="B10" si="6">SUM(B11:B12)</f>
        <v>12171</v>
      </c>
      <c r="C10" s="28">
        <f t="shared" ref="C10:V10" si="7">SUM(C11:C12)</f>
        <v>12322</v>
      </c>
      <c r="D10" s="28">
        <f t="shared" si="7"/>
        <v>12247</v>
      </c>
      <c r="E10" s="28">
        <f t="shared" si="7"/>
        <v>12411</v>
      </c>
      <c r="F10" s="28">
        <f t="shared" si="7"/>
        <v>12436</v>
      </c>
      <c r="G10" s="28">
        <f t="shared" si="7"/>
        <v>11585</v>
      </c>
      <c r="H10" s="28">
        <f t="shared" si="7"/>
        <v>11541</v>
      </c>
      <c r="I10" s="28">
        <f t="shared" si="7"/>
        <v>11237</v>
      </c>
      <c r="J10" s="28">
        <f t="shared" si="7"/>
        <v>10971</v>
      </c>
      <c r="K10" s="28">
        <f t="shared" si="7"/>
        <v>7806</v>
      </c>
      <c r="L10" s="28">
        <f t="shared" si="7"/>
        <v>8913</v>
      </c>
      <c r="M10" s="28">
        <f t="shared" si="7"/>
        <v>9451</v>
      </c>
      <c r="N10" s="28">
        <f t="shared" si="7"/>
        <v>9458</v>
      </c>
      <c r="O10" s="28">
        <f t="shared" si="7"/>
        <v>9338</v>
      </c>
      <c r="P10" s="28">
        <f t="shared" si="7"/>
        <v>10385</v>
      </c>
      <c r="Q10" s="28">
        <f t="shared" si="7"/>
        <v>11028</v>
      </c>
      <c r="R10" s="28">
        <f t="shared" si="7"/>
        <v>10550</v>
      </c>
      <c r="S10" s="28">
        <f t="shared" si="7"/>
        <v>10549</v>
      </c>
      <c r="T10" s="28">
        <f t="shared" si="7"/>
        <v>10650</v>
      </c>
      <c r="U10" s="28">
        <f t="shared" si="7"/>
        <v>10710</v>
      </c>
      <c r="V10" s="28">
        <f t="shared" si="7"/>
        <v>8920</v>
      </c>
      <c r="W10" s="28">
        <f t="shared" ref="W10:Y10" si="8">SUM(W11:W12)</f>
        <v>10299</v>
      </c>
      <c r="X10" s="28">
        <f t="shared" si="8"/>
        <v>10566</v>
      </c>
      <c r="Y10" s="28">
        <f t="shared" si="8"/>
        <v>9972</v>
      </c>
      <c r="DA10" s="173" t="s">
        <v>384</v>
      </c>
    </row>
    <row r="11" spans="1:105" ht="11.45" customHeight="1" x14ac:dyDescent="0.25">
      <c r="A11" s="83" t="s">
        <v>90</v>
      </c>
      <c r="B11" s="84">
        <v>3670.0078546895516</v>
      </c>
      <c r="C11" s="84">
        <v>4101.4571097415337</v>
      </c>
      <c r="D11" s="84">
        <v>3728.3475097436531</v>
      </c>
      <c r="E11" s="84">
        <v>2928.6950995086331</v>
      </c>
      <c r="F11" s="84">
        <v>2836.4163486860648</v>
      </c>
      <c r="G11" s="84">
        <v>2741.6516588906879</v>
      </c>
      <c r="H11" s="84">
        <v>5171.0485189392884</v>
      </c>
      <c r="I11" s="84">
        <v>4936.6050368379592</v>
      </c>
      <c r="J11" s="84">
        <v>5146.0942191544427</v>
      </c>
      <c r="K11" s="84">
        <v>6486.7956209671565</v>
      </c>
      <c r="L11" s="84">
        <v>6784.0003110692669</v>
      </c>
      <c r="M11" s="84">
        <v>3416.7406977028836</v>
      </c>
      <c r="N11" s="84">
        <v>3927.6200226070773</v>
      </c>
      <c r="O11" s="84">
        <v>2200.1520260155985</v>
      </c>
      <c r="P11" s="84">
        <v>2381.1537464630824</v>
      </c>
      <c r="Q11" s="84">
        <v>2060.4607818771951</v>
      </c>
      <c r="R11" s="84">
        <v>1601.5910024153786</v>
      </c>
      <c r="S11" s="84">
        <v>2126.7654361799669</v>
      </c>
      <c r="T11" s="84">
        <v>2000.8906979598453</v>
      </c>
      <c r="U11" s="84">
        <v>2128.8513140483251</v>
      </c>
      <c r="V11" s="84">
        <v>1226.0766939990706</v>
      </c>
      <c r="W11" s="84">
        <v>627.45077705593246</v>
      </c>
      <c r="X11" s="84">
        <v>600.4096176894011</v>
      </c>
      <c r="Y11" s="84">
        <v>500.66510884291887</v>
      </c>
      <c r="DA11" s="171" t="s">
        <v>1033</v>
      </c>
    </row>
    <row r="12" spans="1:105" ht="11.45" customHeight="1" x14ac:dyDescent="0.25">
      <c r="A12" s="85" t="s">
        <v>93</v>
      </c>
      <c r="B12" s="86">
        <v>8500.9921453104489</v>
      </c>
      <c r="C12" s="86">
        <v>8220.5428902584663</v>
      </c>
      <c r="D12" s="86">
        <v>8518.6524902563469</v>
      </c>
      <c r="E12" s="86">
        <v>9482.3049004913664</v>
      </c>
      <c r="F12" s="86">
        <v>9599.5836513139348</v>
      </c>
      <c r="G12" s="86">
        <v>8843.3483411093111</v>
      </c>
      <c r="H12" s="86">
        <v>6369.9514810607116</v>
      </c>
      <c r="I12" s="86">
        <v>6300.3949631620408</v>
      </c>
      <c r="J12" s="86">
        <v>5824.9057808455573</v>
      </c>
      <c r="K12" s="86">
        <v>1319.2043790328435</v>
      </c>
      <c r="L12" s="86">
        <v>2128.9996889307331</v>
      </c>
      <c r="M12" s="86">
        <v>6034.2593022971159</v>
      </c>
      <c r="N12" s="86">
        <v>5530.3799773929222</v>
      </c>
      <c r="O12" s="86">
        <v>7137.8479739844015</v>
      </c>
      <c r="P12" s="86">
        <v>8003.8462535369181</v>
      </c>
      <c r="Q12" s="86">
        <v>8967.5392181228053</v>
      </c>
      <c r="R12" s="86">
        <v>8948.4089975846218</v>
      </c>
      <c r="S12" s="86">
        <v>8422.2345638200331</v>
      </c>
      <c r="T12" s="86">
        <v>8649.1093020401549</v>
      </c>
      <c r="U12" s="86">
        <v>8581.1486859516754</v>
      </c>
      <c r="V12" s="86">
        <v>7693.9233060009292</v>
      </c>
      <c r="W12" s="86">
        <v>9671.5492229440679</v>
      </c>
      <c r="X12" s="86">
        <v>9965.5903823105982</v>
      </c>
      <c r="Y12" s="86">
        <v>9471.3348911570811</v>
      </c>
      <c r="DA12" s="178" t="s">
        <v>1034</v>
      </c>
    </row>
    <row r="13" spans="1:105" x14ac:dyDescent="0.25">
      <c r="A13" s="106"/>
      <c r="B13" s="106"/>
      <c r="C13" s="106"/>
      <c r="D13" s="106"/>
      <c r="E13" s="106"/>
      <c r="F13" s="106"/>
      <c r="G13" s="106"/>
      <c r="H13" s="106"/>
      <c r="I13" s="106"/>
      <c r="J13" s="106"/>
      <c r="K13" s="106"/>
      <c r="L13" s="114"/>
      <c r="M13" s="106"/>
      <c r="N13" s="106"/>
      <c r="O13" s="106"/>
      <c r="P13" s="106"/>
      <c r="Q13" s="106"/>
      <c r="R13" s="106"/>
      <c r="S13" s="106"/>
      <c r="T13" s="106"/>
      <c r="U13" s="106"/>
      <c r="V13" s="106"/>
      <c r="W13" s="106"/>
      <c r="X13" s="106"/>
      <c r="Y13" s="106"/>
      <c r="DA13" s="171"/>
    </row>
    <row r="14" spans="1:105" ht="11.45" customHeight="1" x14ac:dyDescent="0.25">
      <c r="A14" s="53" t="s">
        <v>64</v>
      </c>
      <c r="B14" s="62">
        <f t="shared" ref="B14" si="9">B15+B21</f>
        <v>219.4829282151905</v>
      </c>
      <c r="C14" s="62">
        <f t="shared" ref="C14:V14" si="10">C15+C21</f>
        <v>241.89828043160196</v>
      </c>
      <c r="D14" s="62">
        <f t="shared" si="10"/>
        <v>261.41850427225177</v>
      </c>
      <c r="E14" s="62">
        <f t="shared" si="10"/>
        <v>290.78909033760783</v>
      </c>
      <c r="F14" s="62">
        <f t="shared" si="10"/>
        <v>312.22798430696878</v>
      </c>
      <c r="G14" s="62">
        <f t="shared" si="10"/>
        <v>342.42357160884603</v>
      </c>
      <c r="H14" s="62">
        <f t="shared" si="10"/>
        <v>270.05705436740044</v>
      </c>
      <c r="I14" s="62">
        <f t="shared" si="10"/>
        <v>305.09449076286074</v>
      </c>
      <c r="J14" s="62">
        <f t="shared" si="10"/>
        <v>315.10379230800925</v>
      </c>
      <c r="K14" s="62">
        <f t="shared" si="10"/>
        <v>277.98239886209882</v>
      </c>
      <c r="L14" s="62">
        <f t="shared" si="10"/>
        <v>303.61128093040941</v>
      </c>
      <c r="M14" s="62">
        <f t="shared" si="10"/>
        <v>343.14231852489002</v>
      </c>
      <c r="N14" s="62">
        <f t="shared" si="10"/>
        <v>352.69384179928147</v>
      </c>
      <c r="O14" s="62">
        <f t="shared" si="10"/>
        <v>282.1289342431603</v>
      </c>
      <c r="P14" s="62">
        <f t="shared" si="10"/>
        <v>295.05098772788926</v>
      </c>
      <c r="Q14" s="62">
        <f t="shared" si="10"/>
        <v>308.56527081156401</v>
      </c>
      <c r="R14" s="62">
        <f t="shared" si="10"/>
        <v>313.70804668412308</v>
      </c>
      <c r="S14" s="62">
        <f t="shared" si="10"/>
        <v>314.52164337921721</v>
      </c>
      <c r="T14" s="62">
        <f t="shared" si="10"/>
        <v>324.3756669038404</v>
      </c>
      <c r="U14" s="62">
        <f t="shared" si="10"/>
        <v>312.31711626291684</v>
      </c>
      <c r="V14" s="62">
        <f t="shared" si="10"/>
        <v>268.02552565757048</v>
      </c>
      <c r="W14" s="62">
        <f t="shared" ref="W14:Y14" si="11">W15+W21</f>
        <v>283.0282048620997</v>
      </c>
      <c r="X14" s="62">
        <f t="shared" si="11"/>
        <v>301.83470513134137</v>
      </c>
      <c r="Y14" s="62">
        <f t="shared" si="11"/>
        <v>310.14436181866853</v>
      </c>
      <c r="DA14" s="172" t="s">
        <v>1035</v>
      </c>
    </row>
    <row r="15" spans="1:105" ht="11.45" customHeight="1" x14ac:dyDescent="0.25">
      <c r="A15" s="27" t="s">
        <v>33</v>
      </c>
      <c r="B15" s="29">
        <f t="shared" ref="B15" si="12">SUM(B16,B17,B20)</f>
        <v>192.38707809863473</v>
      </c>
      <c r="C15" s="29">
        <f t="shared" ref="C15:V15" si="13">SUM(C16,C17,C20)</f>
        <v>208.80188183138503</v>
      </c>
      <c r="D15" s="29">
        <f t="shared" si="13"/>
        <v>224.9827042722124</v>
      </c>
      <c r="E15" s="29">
        <f t="shared" si="13"/>
        <v>252.19147443652679</v>
      </c>
      <c r="F15" s="29">
        <f t="shared" si="13"/>
        <v>273.55340388715064</v>
      </c>
      <c r="G15" s="29">
        <f t="shared" si="13"/>
        <v>304.452131994485</v>
      </c>
      <c r="H15" s="29">
        <f t="shared" si="13"/>
        <v>244.59146818363945</v>
      </c>
      <c r="I15" s="29">
        <f t="shared" si="13"/>
        <v>269.16301241202586</v>
      </c>
      <c r="J15" s="29">
        <f t="shared" si="13"/>
        <v>281.96326507796499</v>
      </c>
      <c r="K15" s="29">
        <f t="shared" si="13"/>
        <v>258.79496585352729</v>
      </c>
      <c r="L15" s="29">
        <f t="shared" si="13"/>
        <v>278.66809018613355</v>
      </c>
      <c r="M15" s="29">
        <f t="shared" si="13"/>
        <v>317.19498688040136</v>
      </c>
      <c r="N15" s="29">
        <f t="shared" si="13"/>
        <v>328.91533232837355</v>
      </c>
      <c r="O15" s="29">
        <f t="shared" si="13"/>
        <v>258.56254729799218</v>
      </c>
      <c r="P15" s="29">
        <f t="shared" si="13"/>
        <v>269.2181455701724</v>
      </c>
      <c r="Q15" s="29">
        <f t="shared" si="13"/>
        <v>279.40057929917123</v>
      </c>
      <c r="R15" s="29">
        <f t="shared" si="13"/>
        <v>288.77955409638611</v>
      </c>
      <c r="S15" s="29">
        <f t="shared" si="13"/>
        <v>288.01558363378467</v>
      </c>
      <c r="T15" s="29">
        <f t="shared" si="13"/>
        <v>298.08936951058826</v>
      </c>
      <c r="U15" s="29">
        <f t="shared" si="13"/>
        <v>285.84854099197787</v>
      </c>
      <c r="V15" s="29">
        <f t="shared" si="13"/>
        <v>231.55493928213977</v>
      </c>
      <c r="W15" s="29">
        <f t="shared" ref="W15:Y15" si="14">SUM(W16,W17,W20)</f>
        <v>254.97201075814107</v>
      </c>
      <c r="X15" s="29">
        <f t="shared" si="14"/>
        <v>276.07367092882191</v>
      </c>
      <c r="Y15" s="29">
        <f t="shared" si="14"/>
        <v>286.95978238712337</v>
      </c>
      <c r="DA15" s="173" t="s">
        <v>1036</v>
      </c>
    </row>
    <row r="16" spans="1:105" ht="11.45" customHeight="1" x14ac:dyDescent="0.25">
      <c r="A16" s="107" t="s">
        <v>23</v>
      </c>
      <c r="B16" s="115">
        <v>63.376122818170622</v>
      </c>
      <c r="C16" s="115">
        <v>64.717056166157761</v>
      </c>
      <c r="D16" s="115">
        <v>66.489934220528056</v>
      </c>
      <c r="E16" s="115">
        <v>71.623248599082714</v>
      </c>
      <c r="F16" s="115">
        <v>74.181221763335671</v>
      </c>
      <c r="G16" s="115">
        <v>75.623352916548427</v>
      </c>
      <c r="H16" s="115">
        <v>77.985893605938173</v>
      </c>
      <c r="I16" s="115">
        <v>81.131864199823283</v>
      </c>
      <c r="J16" s="115">
        <v>81.881841903584345</v>
      </c>
      <c r="K16" s="115">
        <v>80.213040413830527</v>
      </c>
      <c r="L16" s="115">
        <v>97.514098670957424</v>
      </c>
      <c r="M16" s="115">
        <v>97.004838224325667</v>
      </c>
      <c r="N16" s="115">
        <v>94.4879126731051</v>
      </c>
      <c r="O16" s="115">
        <v>88.667087331416099</v>
      </c>
      <c r="P16" s="115">
        <v>90.150570810818252</v>
      </c>
      <c r="Q16" s="115">
        <v>89.396845310785594</v>
      </c>
      <c r="R16" s="115">
        <v>92.019205832233553</v>
      </c>
      <c r="S16" s="115">
        <v>94.697716277202787</v>
      </c>
      <c r="T16" s="115">
        <v>106.46179059323816</v>
      </c>
      <c r="U16" s="115">
        <v>105.27087027815243</v>
      </c>
      <c r="V16" s="115">
        <v>79.908787341072411</v>
      </c>
      <c r="W16" s="115">
        <v>77.757372191506903</v>
      </c>
      <c r="X16" s="115">
        <v>90.83440921823275</v>
      </c>
      <c r="Y16" s="115">
        <v>91.437429436648173</v>
      </c>
      <c r="DA16" s="203" t="s">
        <v>1037</v>
      </c>
    </row>
    <row r="17" spans="1:105" ht="11.45" customHeight="1" x14ac:dyDescent="0.25">
      <c r="A17" s="109" t="s">
        <v>24</v>
      </c>
      <c r="B17" s="116">
        <f t="shared" ref="B17" si="15">SUM(B18:B19)</f>
        <v>118.56478579185575</v>
      </c>
      <c r="C17" s="116">
        <f t="shared" ref="C17:V17" si="16">SUM(C18:C19)</f>
        <v>133.00618083828783</v>
      </c>
      <c r="D17" s="116">
        <f t="shared" si="16"/>
        <v>146.43384425716931</v>
      </c>
      <c r="E17" s="116">
        <f t="shared" si="16"/>
        <v>169.40793818394312</v>
      </c>
      <c r="F17" s="116">
        <f t="shared" si="16"/>
        <v>187.66488215977296</v>
      </c>
      <c r="G17" s="116">
        <f t="shared" si="16"/>
        <v>215.9554171213552</v>
      </c>
      <c r="H17" s="116">
        <f t="shared" si="16"/>
        <v>151.92642278847745</v>
      </c>
      <c r="I17" s="116">
        <f t="shared" si="16"/>
        <v>173.20576353192868</v>
      </c>
      <c r="J17" s="116">
        <f t="shared" si="16"/>
        <v>170.50156150710308</v>
      </c>
      <c r="K17" s="116">
        <f t="shared" si="16"/>
        <v>114.99693836800968</v>
      </c>
      <c r="L17" s="116">
        <f t="shared" si="16"/>
        <v>115.13152129366676</v>
      </c>
      <c r="M17" s="116">
        <f t="shared" si="16"/>
        <v>156.68146314530847</v>
      </c>
      <c r="N17" s="116">
        <f t="shared" si="16"/>
        <v>172.5876231684461</v>
      </c>
      <c r="O17" s="116">
        <f t="shared" si="16"/>
        <v>105.88147504398</v>
      </c>
      <c r="P17" s="116">
        <f t="shared" si="16"/>
        <v>116.08762809439202</v>
      </c>
      <c r="Q17" s="116">
        <f t="shared" si="16"/>
        <v>128.49070905181148</v>
      </c>
      <c r="R17" s="116">
        <f t="shared" si="16"/>
        <v>134.16833520084802</v>
      </c>
      <c r="S17" s="116">
        <f t="shared" si="16"/>
        <v>127.04354784992279</v>
      </c>
      <c r="T17" s="116">
        <f t="shared" si="16"/>
        <v>124.75438304106144</v>
      </c>
      <c r="U17" s="116">
        <f t="shared" si="16"/>
        <v>113.93255531460463</v>
      </c>
      <c r="V17" s="116">
        <f t="shared" si="16"/>
        <v>119.41435209698237</v>
      </c>
      <c r="W17" s="116">
        <f t="shared" ref="W17:Y17" si="17">SUM(W18:W19)</f>
        <v>143.03402828923535</v>
      </c>
      <c r="X17" s="116">
        <f t="shared" si="17"/>
        <v>150.12219635709718</v>
      </c>
      <c r="Y17" s="116">
        <f t="shared" si="17"/>
        <v>163.47803081541377</v>
      </c>
      <c r="DA17" s="176" t="s">
        <v>1038</v>
      </c>
    </row>
    <row r="18" spans="1:105" ht="11.45" customHeight="1" x14ac:dyDescent="0.25">
      <c r="A18" s="111" t="s">
        <v>92</v>
      </c>
      <c r="B18" s="87">
        <v>42.368072851357212</v>
      </c>
      <c r="C18" s="87">
        <v>44.731869353649991</v>
      </c>
      <c r="D18" s="87">
        <v>46.510352044773313</v>
      </c>
      <c r="E18" s="87">
        <v>58.287610723953442</v>
      </c>
      <c r="F18" s="87">
        <v>71.554423271173604</v>
      </c>
      <c r="G18" s="87">
        <v>83.347139463147784</v>
      </c>
      <c r="H18" s="87">
        <v>71.418731888695049</v>
      </c>
      <c r="I18" s="87">
        <v>81.885741802791998</v>
      </c>
      <c r="J18" s="87">
        <v>78.362880158048753</v>
      </c>
      <c r="K18" s="87">
        <v>66.292391694813759</v>
      </c>
      <c r="L18" s="87">
        <v>65.594392244123156</v>
      </c>
      <c r="M18" s="87">
        <v>65.991989494411087</v>
      </c>
      <c r="N18" s="87">
        <v>76.760028994885303</v>
      </c>
      <c r="O18" s="87">
        <v>18.701454627849543</v>
      </c>
      <c r="P18" s="87">
        <v>19.387090434246609</v>
      </c>
      <c r="Q18" s="87">
        <v>26.1067685752028</v>
      </c>
      <c r="R18" s="87">
        <v>30.311724334256276</v>
      </c>
      <c r="S18" s="87">
        <v>21.268809341160701</v>
      </c>
      <c r="T18" s="87">
        <v>20.580559503896239</v>
      </c>
      <c r="U18" s="87">
        <v>18.549087818377522</v>
      </c>
      <c r="V18" s="87">
        <v>12.521277529690449</v>
      </c>
      <c r="W18" s="87">
        <v>19.426434820504404</v>
      </c>
      <c r="X18" s="87">
        <v>18.185655022266644</v>
      </c>
      <c r="Y18" s="87">
        <v>17.299155603786996</v>
      </c>
      <c r="DA18" s="171" t="s">
        <v>1039</v>
      </c>
    </row>
    <row r="19" spans="1:105" ht="11.45" customHeight="1" x14ac:dyDescent="0.25">
      <c r="A19" s="111" t="s">
        <v>93</v>
      </c>
      <c r="B19" s="87">
        <v>76.196712940498543</v>
      </c>
      <c r="C19" s="87">
        <v>88.274311484637849</v>
      </c>
      <c r="D19" s="87">
        <v>99.923492212395999</v>
      </c>
      <c r="E19" s="87">
        <v>111.12032745998967</v>
      </c>
      <c r="F19" s="87">
        <v>116.11045888859935</v>
      </c>
      <c r="G19" s="87">
        <v>132.60827765820741</v>
      </c>
      <c r="H19" s="87">
        <v>80.507690899782403</v>
      </c>
      <c r="I19" s="87">
        <v>91.320021729136684</v>
      </c>
      <c r="J19" s="87">
        <v>92.138681349054323</v>
      </c>
      <c r="K19" s="87">
        <v>48.704546673195921</v>
      </c>
      <c r="L19" s="87">
        <v>49.537129049543609</v>
      </c>
      <c r="M19" s="87">
        <v>90.689473650897384</v>
      </c>
      <c r="N19" s="87">
        <v>95.827594173560797</v>
      </c>
      <c r="O19" s="87">
        <v>87.180020416130461</v>
      </c>
      <c r="P19" s="87">
        <v>96.700537660145415</v>
      </c>
      <c r="Q19" s="87">
        <v>102.38394047660867</v>
      </c>
      <c r="R19" s="87">
        <v>103.85661086659175</v>
      </c>
      <c r="S19" s="87">
        <v>105.77473850876208</v>
      </c>
      <c r="T19" s="87">
        <v>104.17382353716521</v>
      </c>
      <c r="U19" s="87">
        <v>95.383467496227098</v>
      </c>
      <c r="V19" s="87">
        <v>106.89307456729192</v>
      </c>
      <c r="W19" s="87">
        <v>123.60759346873095</v>
      </c>
      <c r="X19" s="87">
        <v>131.93654133483054</v>
      </c>
      <c r="Y19" s="87">
        <v>146.17887521162677</v>
      </c>
      <c r="DA19" s="171" t="s">
        <v>1040</v>
      </c>
    </row>
    <row r="20" spans="1:105" ht="11.45" customHeight="1" x14ac:dyDescent="0.25">
      <c r="A20" s="112" t="s">
        <v>25</v>
      </c>
      <c r="B20" s="117">
        <v>10.446169488608341</v>
      </c>
      <c r="C20" s="117">
        <v>11.078644826939444</v>
      </c>
      <c r="D20" s="117">
        <v>12.058925794515032</v>
      </c>
      <c r="E20" s="117">
        <v>11.160287653500969</v>
      </c>
      <c r="F20" s="117">
        <v>11.707299964042049</v>
      </c>
      <c r="G20" s="117">
        <v>12.873361956581384</v>
      </c>
      <c r="H20" s="117">
        <v>14.679151789223821</v>
      </c>
      <c r="I20" s="117">
        <v>14.825384680273904</v>
      </c>
      <c r="J20" s="117">
        <v>29.579861667277555</v>
      </c>
      <c r="K20" s="117">
        <v>63.584987071687038</v>
      </c>
      <c r="L20" s="117">
        <v>66.022470221509352</v>
      </c>
      <c r="M20" s="117">
        <v>63.508685510767229</v>
      </c>
      <c r="N20" s="117">
        <v>61.839796486822394</v>
      </c>
      <c r="O20" s="117">
        <v>64.01398492259608</v>
      </c>
      <c r="P20" s="117">
        <v>62.979946664962135</v>
      </c>
      <c r="Q20" s="117">
        <v>61.513024936574126</v>
      </c>
      <c r="R20" s="117">
        <v>62.592013063304556</v>
      </c>
      <c r="S20" s="117">
        <v>66.274319506659097</v>
      </c>
      <c r="T20" s="117">
        <v>66.873195876288676</v>
      </c>
      <c r="U20" s="117">
        <v>66.645115399220828</v>
      </c>
      <c r="V20" s="117">
        <v>32.231799844084975</v>
      </c>
      <c r="W20" s="117">
        <v>34.180610277398813</v>
      </c>
      <c r="X20" s="117">
        <v>35.117065353491938</v>
      </c>
      <c r="Y20" s="117">
        <v>32.044322135061385</v>
      </c>
      <c r="DA20" s="204" t="s">
        <v>1041</v>
      </c>
    </row>
    <row r="21" spans="1:105" ht="11.45" customHeight="1" x14ac:dyDescent="0.25">
      <c r="A21" s="27" t="s">
        <v>34</v>
      </c>
      <c r="B21" s="29">
        <f t="shared" ref="B21" si="18">SUM(B22:B23)</f>
        <v>27.095850116555756</v>
      </c>
      <c r="C21" s="29">
        <f t="shared" ref="C21:V21" si="19">SUM(C22:C23)</f>
        <v>33.096398600216943</v>
      </c>
      <c r="D21" s="29">
        <f t="shared" si="19"/>
        <v>36.435800000039336</v>
      </c>
      <c r="E21" s="29">
        <f t="shared" si="19"/>
        <v>38.597615901081049</v>
      </c>
      <c r="F21" s="29">
        <f t="shared" si="19"/>
        <v>38.674580419818156</v>
      </c>
      <c r="G21" s="29">
        <f t="shared" si="19"/>
        <v>37.971439614361053</v>
      </c>
      <c r="H21" s="29">
        <f t="shared" si="19"/>
        <v>25.465586183761001</v>
      </c>
      <c r="I21" s="29">
        <f t="shared" si="19"/>
        <v>35.931478350834894</v>
      </c>
      <c r="J21" s="29">
        <f t="shared" si="19"/>
        <v>33.140527230044285</v>
      </c>
      <c r="K21" s="29">
        <f t="shared" si="19"/>
        <v>19.18743300857151</v>
      </c>
      <c r="L21" s="29">
        <f t="shared" si="19"/>
        <v>24.943190744275874</v>
      </c>
      <c r="M21" s="29">
        <f t="shared" si="19"/>
        <v>25.947331644488681</v>
      </c>
      <c r="N21" s="29">
        <f t="shared" si="19"/>
        <v>23.778509470907906</v>
      </c>
      <c r="O21" s="29">
        <f t="shared" si="19"/>
        <v>23.566386945168148</v>
      </c>
      <c r="P21" s="29">
        <f t="shared" si="19"/>
        <v>25.832842157716854</v>
      </c>
      <c r="Q21" s="29">
        <f t="shared" si="19"/>
        <v>29.164691512392753</v>
      </c>
      <c r="R21" s="29">
        <f t="shared" si="19"/>
        <v>24.928492587736972</v>
      </c>
      <c r="S21" s="29">
        <f t="shared" si="19"/>
        <v>26.506059745432548</v>
      </c>
      <c r="T21" s="29">
        <f t="shared" si="19"/>
        <v>26.286297393252124</v>
      </c>
      <c r="U21" s="29">
        <f t="shared" si="19"/>
        <v>26.468575270938949</v>
      </c>
      <c r="V21" s="29">
        <f t="shared" si="19"/>
        <v>36.47058637543072</v>
      </c>
      <c r="W21" s="29">
        <f t="shared" ref="W21:Y21" si="20">SUM(W22:W23)</f>
        <v>28.056194103958635</v>
      </c>
      <c r="X21" s="29">
        <f t="shared" si="20"/>
        <v>25.761034202519433</v>
      </c>
      <c r="Y21" s="29">
        <f t="shared" si="20"/>
        <v>23.184579431545149</v>
      </c>
      <c r="DA21" s="173" t="s">
        <v>1042</v>
      </c>
    </row>
    <row r="22" spans="1:105" ht="11.45" customHeight="1" x14ac:dyDescent="0.25">
      <c r="A22" s="83" t="s">
        <v>92</v>
      </c>
      <c r="B22" s="87">
        <v>10.902326407428337</v>
      </c>
      <c r="C22" s="87">
        <v>12.009381339602559</v>
      </c>
      <c r="D22" s="87">
        <v>10.885483567468448</v>
      </c>
      <c r="E22" s="87">
        <v>9.333493780176763</v>
      </c>
      <c r="F22" s="87">
        <v>9.0442184187210266</v>
      </c>
      <c r="G22" s="87">
        <v>8.7336418493968075</v>
      </c>
      <c r="H22" s="87">
        <v>10.526303394796065</v>
      </c>
      <c r="I22" s="87">
        <v>14.593005727186823</v>
      </c>
      <c r="J22" s="87">
        <v>15.14358823069357</v>
      </c>
      <c r="K22" s="87">
        <v>14.774777597997026</v>
      </c>
      <c r="L22" s="87">
        <v>17.588034830786601</v>
      </c>
      <c r="M22" s="87">
        <v>9.6335592032001145</v>
      </c>
      <c r="N22" s="87">
        <v>10.148674960731457</v>
      </c>
      <c r="O22" s="87">
        <v>5.0773893730064144</v>
      </c>
      <c r="P22" s="87">
        <v>5.4137591925745578</v>
      </c>
      <c r="Q22" s="87">
        <v>4.3581706262017521</v>
      </c>
      <c r="R22" s="87">
        <v>3.4774001104795103</v>
      </c>
      <c r="S22" s="87">
        <v>6.5277706194445875</v>
      </c>
      <c r="T22" s="87">
        <v>7.4685545351299893</v>
      </c>
      <c r="U22" s="87">
        <v>8.8463727615941963</v>
      </c>
      <c r="V22" s="87">
        <v>6.9829183197283484</v>
      </c>
      <c r="W22" s="87">
        <v>3.9409192992671107</v>
      </c>
      <c r="X22" s="87">
        <v>4.0725261266401898</v>
      </c>
      <c r="Y22" s="87">
        <v>3.3412167673640947</v>
      </c>
      <c r="DA22" s="171" t="s">
        <v>1043</v>
      </c>
    </row>
    <row r="23" spans="1:105" ht="11.45" customHeight="1" x14ac:dyDescent="0.25">
      <c r="A23" s="85" t="s">
        <v>93</v>
      </c>
      <c r="B23" s="88">
        <v>16.193523709127419</v>
      </c>
      <c r="C23" s="88">
        <v>21.087017260614385</v>
      </c>
      <c r="D23" s="88">
        <v>25.550316432570888</v>
      </c>
      <c r="E23" s="88">
        <v>29.264122120904286</v>
      </c>
      <c r="F23" s="88">
        <v>29.630362001097129</v>
      </c>
      <c r="G23" s="88">
        <v>29.237797764964245</v>
      </c>
      <c r="H23" s="88">
        <v>14.939282788964936</v>
      </c>
      <c r="I23" s="88">
        <v>21.338472623648073</v>
      </c>
      <c r="J23" s="88">
        <v>17.996938999350714</v>
      </c>
      <c r="K23" s="88">
        <v>4.4126554105744837</v>
      </c>
      <c r="L23" s="88">
        <v>7.3551559134892734</v>
      </c>
      <c r="M23" s="88">
        <v>16.313772441288567</v>
      </c>
      <c r="N23" s="88">
        <v>13.629834510176449</v>
      </c>
      <c r="O23" s="88">
        <v>18.488997572161733</v>
      </c>
      <c r="P23" s="88">
        <v>20.419082965142294</v>
      </c>
      <c r="Q23" s="88">
        <v>24.806520886191002</v>
      </c>
      <c r="R23" s="88">
        <v>21.451092477257461</v>
      </c>
      <c r="S23" s="88">
        <v>19.97828912598796</v>
      </c>
      <c r="T23" s="88">
        <v>18.817742858122134</v>
      </c>
      <c r="U23" s="88">
        <v>17.622202509344753</v>
      </c>
      <c r="V23" s="88">
        <v>29.487668055702372</v>
      </c>
      <c r="W23" s="88">
        <v>24.115274804691524</v>
      </c>
      <c r="X23" s="88">
        <v>21.688508075879241</v>
      </c>
      <c r="Y23" s="88">
        <v>19.843362664181054</v>
      </c>
      <c r="DA23" s="178" t="s">
        <v>1044</v>
      </c>
    </row>
    <row r="24" spans="1:105" x14ac:dyDescent="0.25">
      <c r="A24" s="106"/>
      <c r="B24" s="106"/>
      <c r="C24" s="106"/>
      <c r="D24" s="106"/>
      <c r="E24" s="106"/>
      <c r="F24" s="106"/>
      <c r="G24" s="106"/>
      <c r="H24" s="106"/>
      <c r="I24" s="106"/>
      <c r="J24" s="106"/>
      <c r="K24" s="106"/>
      <c r="L24" s="114"/>
      <c r="M24" s="106"/>
      <c r="N24" s="106"/>
      <c r="O24" s="106"/>
      <c r="P24" s="106"/>
      <c r="Q24" s="106"/>
      <c r="R24" s="106"/>
      <c r="S24" s="106"/>
      <c r="T24" s="106"/>
      <c r="U24" s="106"/>
      <c r="V24" s="106"/>
      <c r="W24" s="106"/>
      <c r="X24" s="106"/>
      <c r="Y24" s="106"/>
      <c r="DA24" s="171"/>
    </row>
    <row r="25" spans="1:105" ht="11.45" customHeight="1" x14ac:dyDescent="0.25">
      <c r="A25" s="53" t="s">
        <v>97</v>
      </c>
      <c r="B25" s="62">
        <f t="shared" ref="B25" si="21">B26+B32</f>
        <v>1525.2714410000001</v>
      </c>
      <c r="C25" s="62">
        <f t="shared" ref="C25:V25" si="22">C26+C32</f>
        <v>1665.145953</v>
      </c>
      <c r="D25" s="62">
        <f t="shared" si="22"/>
        <v>1789.8245169999998</v>
      </c>
      <c r="E25" s="62">
        <f t="shared" si="22"/>
        <v>2000.77253</v>
      </c>
      <c r="F25" s="62">
        <f t="shared" si="22"/>
        <v>2144.8630859999998</v>
      </c>
      <c r="G25" s="62">
        <f t="shared" si="22"/>
        <v>2345.6524800000002</v>
      </c>
      <c r="H25" s="62">
        <f t="shared" si="22"/>
        <v>2292.9663449999998</v>
      </c>
      <c r="I25" s="62">
        <f t="shared" si="22"/>
        <v>2301.8327129999998</v>
      </c>
      <c r="J25" s="62">
        <f t="shared" si="22"/>
        <v>2261.8110179999999</v>
      </c>
      <c r="K25" s="62">
        <f t="shared" si="22"/>
        <v>2233.2230370000002</v>
      </c>
      <c r="L25" s="62">
        <f t="shared" si="22"/>
        <v>2322.8483500000002</v>
      </c>
      <c r="M25" s="62">
        <f t="shared" si="22"/>
        <v>2250.8979200000003</v>
      </c>
      <c r="N25" s="62">
        <f t="shared" si="22"/>
        <v>2318.1885500000003</v>
      </c>
      <c r="O25" s="62">
        <f t="shared" si="22"/>
        <v>2183.8903700000001</v>
      </c>
      <c r="P25" s="62">
        <f t="shared" si="22"/>
        <v>2227.6500350000001</v>
      </c>
      <c r="Q25" s="62">
        <f t="shared" si="22"/>
        <v>2244.6066110000002</v>
      </c>
      <c r="R25" s="62">
        <f t="shared" si="22"/>
        <v>2237.9300440000002</v>
      </c>
      <c r="S25" s="62">
        <f t="shared" si="22"/>
        <v>2241.4572540000004</v>
      </c>
      <c r="T25" s="62">
        <f t="shared" si="22"/>
        <v>2297.2681470000002</v>
      </c>
      <c r="U25" s="62">
        <f t="shared" si="22"/>
        <v>2198.695796</v>
      </c>
      <c r="V25" s="62">
        <f t="shared" si="22"/>
        <v>2229.7821520000002</v>
      </c>
      <c r="W25" s="62">
        <f t="shared" ref="W25:Y25" si="23">W26+W32</f>
        <v>2239.4829440000003</v>
      </c>
      <c r="X25" s="62">
        <f t="shared" si="23"/>
        <v>2234.8833450000002</v>
      </c>
      <c r="Y25" s="62">
        <f t="shared" si="23"/>
        <v>2291.1995619999998</v>
      </c>
      <c r="DA25" s="172" t="s">
        <v>1045</v>
      </c>
    </row>
    <row r="26" spans="1:105" ht="11.45" customHeight="1" x14ac:dyDescent="0.25">
      <c r="A26" s="27" t="s">
        <v>33</v>
      </c>
      <c r="B26" s="29">
        <f t="shared" ref="B26" si="24">SUM(B27,B28,B31)</f>
        <v>1389.792189</v>
      </c>
      <c r="C26" s="29">
        <f t="shared" ref="C26:V26" si="25">SUM(C27,C28,C31)</f>
        <v>1499.663959</v>
      </c>
      <c r="D26" s="29">
        <f t="shared" si="25"/>
        <v>1607.4771899999998</v>
      </c>
      <c r="E26" s="29">
        <f t="shared" si="25"/>
        <v>1805.3073380000001</v>
      </c>
      <c r="F26" s="29">
        <f t="shared" si="25"/>
        <v>1951.490182</v>
      </c>
      <c r="G26" s="29">
        <f t="shared" si="25"/>
        <v>2155.7952810000002</v>
      </c>
      <c r="H26" s="29">
        <f t="shared" si="25"/>
        <v>2102.2426</v>
      </c>
      <c r="I26" s="29">
        <f t="shared" si="25"/>
        <v>2098.8722169999996</v>
      </c>
      <c r="J26" s="29">
        <f t="shared" si="25"/>
        <v>2064.1943699999997</v>
      </c>
      <c r="K26" s="29">
        <f t="shared" si="25"/>
        <v>2045.5472040000002</v>
      </c>
      <c r="L26" s="29">
        <f t="shared" si="25"/>
        <v>2129.2029910000001</v>
      </c>
      <c r="M26" s="29">
        <f t="shared" si="25"/>
        <v>2070.8004850000002</v>
      </c>
      <c r="N26" s="29">
        <f t="shared" si="25"/>
        <v>2151.6390390000001</v>
      </c>
      <c r="O26" s="29">
        <f t="shared" si="25"/>
        <v>2019.858696</v>
      </c>
      <c r="P26" s="29">
        <f t="shared" si="25"/>
        <v>2059.419097</v>
      </c>
      <c r="Q26" s="29">
        <f t="shared" si="25"/>
        <v>2059.8896460000001</v>
      </c>
      <c r="R26" s="29">
        <f t="shared" si="25"/>
        <v>2066.7610030000001</v>
      </c>
      <c r="S26" s="29">
        <f t="shared" si="25"/>
        <v>2083.8361370000002</v>
      </c>
      <c r="T26" s="29">
        <f t="shared" si="25"/>
        <v>2153.1949540000001</v>
      </c>
      <c r="U26" s="29">
        <f t="shared" si="25"/>
        <v>2062.8183709999998</v>
      </c>
      <c r="V26" s="29">
        <f t="shared" si="25"/>
        <v>2043.5631100000001</v>
      </c>
      <c r="W26" s="29">
        <f t="shared" ref="W26:Y26" si="26">SUM(W27,W28,W31)</f>
        <v>2066.8118260000001</v>
      </c>
      <c r="X26" s="29">
        <f t="shared" si="26"/>
        <v>2075.760151</v>
      </c>
      <c r="Y26" s="29">
        <f t="shared" si="26"/>
        <v>2145.624292</v>
      </c>
      <c r="DA26" s="173" t="s">
        <v>1046</v>
      </c>
    </row>
    <row r="27" spans="1:105" ht="11.45" customHeight="1" x14ac:dyDescent="0.25">
      <c r="A27" s="107" t="s">
        <v>23</v>
      </c>
      <c r="B27" s="115">
        <v>576.14657199999999</v>
      </c>
      <c r="C27" s="115">
        <v>588.33687499999996</v>
      </c>
      <c r="D27" s="115">
        <v>604.45394799999997</v>
      </c>
      <c r="E27" s="115">
        <v>651.12044200000003</v>
      </c>
      <c r="F27" s="115">
        <v>674.37474399999996</v>
      </c>
      <c r="G27" s="115">
        <v>687.48502699999995</v>
      </c>
      <c r="H27" s="115">
        <v>708.96267</v>
      </c>
      <c r="I27" s="115">
        <v>737.56240200000002</v>
      </c>
      <c r="J27" s="115">
        <v>744.38038099999994</v>
      </c>
      <c r="K27" s="115">
        <v>729.20945900000004</v>
      </c>
      <c r="L27" s="115">
        <v>886.49180699999999</v>
      </c>
      <c r="M27" s="115">
        <v>881.862166</v>
      </c>
      <c r="N27" s="115">
        <v>858.98102500000005</v>
      </c>
      <c r="O27" s="115">
        <v>806.06443100000001</v>
      </c>
      <c r="P27" s="115">
        <v>819.55064400000003</v>
      </c>
      <c r="Q27" s="115">
        <v>812.69859399999996</v>
      </c>
      <c r="R27" s="115">
        <v>836.53823499999999</v>
      </c>
      <c r="S27" s="115">
        <v>860.88833</v>
      </c>
      <c r="T27" s="115">
        <v>967.83446000000004</v>
      </c>
      <c r="U27" s="115">
        <v>957.00791200000003</v>
      </c>
      <c r="V27" s="115">
        <v>899.39325499999995</v>
      </c>
      <c r="W27" s="115">
        <v>841.77859799999999</v>
      </c>
      <c r="X27" s="115">
        <v>825.76735699999995</v>
      </c>
      <c r="Y27" s="115">
        <v>831.24935900000003</v>
      </c>
      <c r="DA27" s="203" t="s">
        <v>1047</v>
      </c>
    </row>
    <row r="28" spans="1:105" ht="11.45" customHeight="1" x14ac:dyDescent="0.25">
      <c r="A28" s="109" t="s">
        <v>24</v>
      </c>
      <c r="B28" s="116">
        <f t="shared" ref="B28" si="27">SUM(B29:B30)</f>
        <v>790.43190700000002</v>
      </c>
      <c r="C28" s="116">
        <f t="shared" ref="C28:V28" si="28">SUM(C29:C30)</f>
        <v>886.70787300000006</v>
      </c>
      <c r="D28" s="116">
        <f t="shared" si="28"/>
        <v>976.22562900000003</v>
      </c>
      <c r="E28" s="116">
        <f t="shared" si="28"/>
        <v>1129.386256</v>
      </c>
      <c r="F28" s="116">
        <f t="shared" si="28"/>
        <v>1251.099215</v>
      </c>
      <c r="G28" s="116">
        <f t="shared" si="28"/>
        <v>1439.7027820000001</v>
      </c>
      <c r="H28" s="116">
        <f t="shared" si="28"/>
        <v>1360.659592</v>
      </c>
      <c r="I28" s="116">
        <f t="shared" si="28"/>
        <v>1328.364515</v>
      </c>
      <c r="J28" s="116">
        <f t="shared" si="28"/>
        <v>1254.0809629999999</v>
      </c>
      <c r="K28" s="116">
        <f t="shared" si="28"/>
        <v>1175.037773</v>
      </c>
      <c r="L28" s="116">
        <f t="shared" si="28"/>
        <v>1095.9945830000001</v>
      </c>
      <c r="M28" s="116">
        <f t="shared" si="28"/>
        <v>1044.543089</v>
      </c>
      <c r="N28" s="116">
        <f t="shared" si="28"/>
        <v>1150.584155</v>
      </c>
      <c r="O28" s="116">
        <f t="shared" si="28"/>
        <v>1071.5409649999999</v>
      </c>
      <c r="P28" s="116">
        <f t="shared" si="28"/>
        <v>1099.9130150000001</v>
      </c>
      <c r="Q28" s="116">
        <f t="shared" si="28"/>
        <v>1109.5569850000002</v>
      </c>
      <c r="R28" s="116">
        <f t="shared" si="28"/>
        <v>1091.1294049999999</v>
      </c>
      <c r="S28" s="116">
        <f t="shared" si="28"/>
        <v>1075.6715410000002</v>
      </c>
      <c r="T28" s="116">
        <f t="shared" si="28"/>
        <v>1036.7533920000001</v>
      </c>
      <c r="U28" s="116">
        <f t="shared" si="28"/>
        <v>957.71020199999998</v>
      </c>
      <c r="V28" s="116">
        <f t="shared" si="28"/>
        <v>998.39096900000004</v>
      </c>
      <c r="W28" s="116">
        <f t="shared" ref="W28:Y28" si="29">SUM(W29:W30)</f>
        <v>1081.575713</v>
      </c>
      <c r="X28" s="116">
        <f t="shared" si="29"/>
        <v>1108.8566499999999</v>
      </c>
      <c r="Y28" s="116">
        <f t="shared" si="29"/>
        <v>1175.56016</v>
      </c>
      <c r="DA28" s="176" t="s">
        <v>1048</v>
      </c>
    </row>
    <row r="29" spans="1:105" ht="11.45" customHeight="1" x14ac:dyDescent="0.25">
      <c r="A29" s="111" t="s">
        <v>92</v>
      </c>
      <c r="B29" s="87">
        <v>282.45382000000001</v>
      </c>
      <c r="C29" s="87">
        <v>298.21246300000001</v>
      </c>
      <c r="D29" s="87">
        <v>310.06901399999998</v>
      </c>
      <c r="E29" s="87">
        <v>388.58407199999999</v>
      </c>
      <c r="F29" s="87">
        <v>477.02948900000001</v>
      </c>
      <c r="G29" s="87">
        <v>555.64759700000002</v>
      </c>
      <c r="H29" s="87">
        <v>527.40221499999996</v>
      </c>
      <c r="I29" s="87">
        <v>545.904946</v>
      </c>
      <c r="J29" s="87">
        <v>522.41920200000004</v>
      </c>
      <c r="K29" s="87">
        <v>494.17381999999998</v>
      </c>
      <c r="L29" s="87">
        <v>465.92843800000003</v>
      </c>
      <c r="M29" s="87">
        <v>439.946597</v>
      </c>
      <c r="N29" s="87">
        <v>511.73352699999998</v>
      </c>
      <c r="O29" s="87">
        <v>483.48814499999997</v>
      </c>
      <c r="P29" s="87">
        <v>455.24276300000002</v>
      </c>
      <c r="Q29" s="87">
        <v>426.99738100000002</v>
      </c>
      <c r="R29" s="87">
        <v>398.75199900000001</v>
      </c>
      <c r="S29" s="87">
        <v>370.50661700000001</v>
      </c>
      <c r="T29" s="87">
        <v>342.261235</v>
      </c>
      <c r="U29" s="87">
        <v>314.01585299999999</v>
      </c>
      <c r="V29" s="87">
        <v>285.77047099999999</v>
      </c>
      <c r="W29" s="87">
        <v>257.52508899999998</v>
      </c>
      <c r="X29" s="87">
        <v>229.279707</v>
      </c>
      <c r="Y29" s="87">
        <v>201.034325</v>
      </c>
      <c r="DA29" s="171" t="s">
        <v>1049</v>
      </c>
    </row>
    <row r="30" spans="1:105" ht="11.45" customHeight="1" x14ac:dyDescent="0.25">
      <c r="A30" s="111" t="s">
        <v>93</v>
      </c>
      <c r="B30" s="87">
        <v>507.97808700000002</v>
      </c>
      <c r="C30" s="87">
        <v>588.49540999999999</v>
      </c>
      <c r="D30" s="87">
        <v>666.15661499999999</v>
      </c>
      <c r="E30" s="87">
        <v>740.80218400000001</v>
      </c>
      <c r="F30" s="87">
        <v>774.06972599999995</v>
      </c>
      <c r="G30" s="87">
        <v>884.05518500000005</v>
      </c>
      <c r="H30" s="87">
        <v>833.25737700000002</v>
      </c>
      <c r="I30" s="87">
        <v>782.45956899999999</v>
      </c>
      <c r="J30" s="87">
        <v>731.66176099999996</v>
      </c>
      <c r="K30" s="87">
        <v>680.86395300000004</v>
      </c>
      <c r="L30" s="87">
        <v>630.06614500000001</v>
      </c>
      <c r="M30" s="87">
        <v>604.59649200000001</v>
      </c>
      <c r="N30" s="87">
        <v>638.85062800000003</v>
      </c>
      <c r="O30" s="87">
        <v>588.05282</v>
      </c>
      <c r="P30" s="87">
        <v>644.670252</v>
      </c>
      <c r="Q30" s="87">
        <v>682.55960400000004</v>
      </c>
      <c r="R30" s="87">
        <v>692.37740599999995</v>
      </c>
      <c r="S30" s="87">
        <v>705.16492400000004</v>
      </c>
      <c r="T30" s="87">
        <v>694.49215700000002</v>
      </c>
      <c r="U30" s="87">
        <v>643.69434899999999</v>
      </c>
      <c r="V30" s="87">
        <v>712.620498</v>
      </c>
      <c r="W30" s="87">
        <v>824.05062399999997</v>
      </c>
      <c r="X30" s="87">
        <v>879.57694300000003</v>
      </c>
      <c r="Y30" s="87">
        <v>974.52583500000003</v>
      </c>
      <c r="DA30" s="171" t="s">
        <v>1050</v>
      </c>
    </row>
    <row r="31" spans="1:105" ht="11.45" customHeight="1" x14ac:dyDescent="0.25">
      <c r="A31" s="112" t="s">
        <v>25</v>
      </c>
      <c r="B31" s="117">
        <v>23.213710000000003</v>
      </c>
      <c r="C31" s="117">
        <v>24.619211</v>
      </c>
      <c r="D31" s="117">
        <v>26.797613000000002</v>
      </c>
      <c r="E31" s="117">
        <v>24.800640000000001</v>
      </c>
      <c r="F31" s="117">
        <v>26.016223</v>
      </c>
      <c r="G31" s="117">
        <v>28.607472000000001</v>
      </c>
      <c r="H31" s="117">
        <v>32.620337999999997</v>
      </c>
      <c r="I31" s="117">
        <v>32.945299999999996</v>
      </c>
      <c r="J31" s="117">
        <v>65.733025999999995</v>
      </c>
      <c r="K31" s="117">
        <v>141.299972</v>
      </c>
      <c r="L31" s="117">
        <v>146.716601</v>
      </c>
      <c r="M31" s="117">
        <v>144.39523</v>
      </c>
      <c r="N31" s="117">
        <v>142.073859</v>
      </c>
      <c r="O31" s="117">
        <v>142.2533</v>
      </c>
      <c r="P31" s="117">
        <v>139.95543799999999</v>
      </c>
      <c r="Q31" s="117">
        <v>137.63406699999999</v>
      </c>
      <c r="R31" s="117">
        <v>139.09336300000001</v>
      </c>
      <c r="S31" s="117">
        <v>147.27626599999999</v>
      </c>
      <c r="T31" s="117">
        <v>148.607102</v>
      </c>
      <c r="U31" s="117">
        <v>148.100257</v>
      </c>
      <c r="V31" s="117">
        <v>145.778886</v>
      </c>
      <c r="W31" s="117">
        <v>143.457515</v>
      </c>
      <c r="X31" s="117">
        <v>141.136144</v>
      </c>
      <c r="Y31" s="117">
        <v>138.814773</v>
      </c>
      <c r="DA31" s="204" t="s">
        <v>1051</v>
      </c>
    </row>
    <row r="32" spans="1:105" ht="11.45" customHeight="1" x14ac:dyDescent="0.25">
      <c r="A32" s="27" t="s">
        <v>34</v>
      </c>
      <c r="B32" s="29">
        <f t="shared" ref="B32" si="30">SUM(B33:B34)</f>
        <v>135.479252</v>
      </c>
      <c r="C32" s="29">
        <f t="shared" ref="C32:V32" si="31">SUM(C33:C34)</f>
        <v>165.48199399999999</v>
      </c>
      <c r="D32" s="29">
        <f t="shared" si="31"/>
        <v>182.34732700000001</v>
      </c>
      <c r="E32" s="29">
        <f t="shared" si="31"/>
        <v>195.46519199999997</v>
      </c>
      <c r="F32" s="29">
        <f t="shared" si="31"/>
        <v>193.37290400000001</v>
      </c>
      <c r="G32" s="29">
        <f t="shared" si="31"/>
        <v>189.85719899999998</v>
      </c>
      <c r="H32" s="29">
        <f t="shared" si="31"/>
        <v>190.72374500000001</v>
      </c>
      <c r="I32" s="29">
        <f t="shared" si="31"/>
        <v>202.96049599999998</v>
      </c>
      <c r="J32" s="29">
        <f t="shared" si="31"/>
        <v>197.616648</v>
      </c>
      <c r="K32" s="29">
        <f t="shared" si="31"/>
        <v>187.67583300000001</v>
      </c>
      <c r="L32" s="29">
        <f t="shared" si="31"/>
        <v>193.64535899999998</v>
      </c>
      <c r="M32" s="29">
        <f t="shared" si="31"/>
        <v>180.09743500000002</v>
      </c>
      <c r="N32" s="29">
        <f t="shared" si="31"/>
        <v>166.549511</v>
      </c>
      <c r="O32" s="29">
        <f t="shared" si="31"/>
        <v>164.03167400000001</v>
      </c>
      <c r="P32" s="29">
        <f t="shared" si="31"/>
        <v>168.23093799999998</v>
      </c>
      <c r="Q32" s="29">
        <f t="shared" si="31"/>
        <v>184.71696500000002</v>
      </c>
      <c r="R32" s="29">
        <f t="shared" si="31"/>
        <v>171.16904099999999</v>
      </c>
      <c r="S32" s="29">
        <f t="shared" si="31"/>
        <v>157.621117</v>
      </c>
      <c r="T32" s="29">
        <f t="shared" si="31"/>
        <v>144.073193</v>
      </c>
      <c r="U32" s="29">
        <f t="shared" si="31"/>
        <v>135.87742499999999</v>
      </c>
      <c r="V32" s="29">
        <f t="shared" si="31"/>
        <v>186.219042</v>
      </c>
      <c r="W32" s="29">
        <f t="shared" ref="W32:Y32" si="32">SUM(W33:W34)</f>
        <v>172.67111799999998</v>
      </c>
      <c r="X32" s="29">
        <f t="shared" si="32"/>
        <v>159.12319400000001</v>
      </c>
      <c r="Y32" s="29">
        <f t="shared" si="32"/>
        <v>145.57526999999999</v>
      </c>
      <c r="DA32" s="173" t="s">
        <v>1052</v>
      </c>
    </row>
    <row r="33" spans="1:105" ht="11.45" customHeight="1" x14ac:dyDescent="0.25">
      <c r="A33" s="83" t="s">
        <v>92</v>
      </c>
      <c r="B33" s="87">
        <v>54.511632999999996</v>
      </c>
      <c r="C33" s="87">
        <v>60.046906999999997</v>
      </c>
      <c r="D33" s="87">
        <v>54.595743999999996</v>
      </c>
      <c r="E33" s="87">
        <v>49.144580999999995</v>
      </c>
      <c r="F33" s="87">
        <v>45.221092999999996</v>
      </c>
      <c r="G33" s="87">
        <v>43.668209999999995</v>
      </c>
      <c r="H33" s="87">
        <v>52.631516999999995</v>
      </c>
      <c r="I33" s="87">
        <v>72.965029000000001</v>
      </c>
      <c r="J33" s="87">
        <v>75.717941999999994</v>
      </c>
      <c r="K33" s="87">
        <v>73.873887999999994</v>
      </c>
      <c r="L33" s="87">
        <v>87.940174999999996</v>
      </c>
      <c r="M33" s="87">
        <v>82.489012000000002</v>
      </c>
      <c r="N33" s="87">
        <v>77.037848999999994</v>
      </c>
      <c r="O33" s="87">
        <v>71.586686</v>
      </c>
      <c r="P33" s="87">
        <v>66.135522999999992</v>
      </c>
      <c r="Q33" s="87">
        <v>60.684359999999998</v>
      </c>
      <c r="R33" s="87">
        <v>55.233196999999997</v>
      </c>
      <c r="S33" s="87">
        <v>49.782033999999996</v>
      </c>
      <c r="T33" s="87">
        <v>44.330870999999995</v>
      </c>
      <c r="U33" s="87">
        <v>44.231863999999995</v>
      </c>
      <c r="V33" s="87">
        <v>38.780701000000001</v>
      </c>
      <c r="W33" s="87">
        <v>33.329537999999999</v>
      </c>
      <c r="X33" s="87">
        <v>27.878375000000002</v>
      </c>
      <c r="Y33" s="87">
        <v>22.427212000000001</v>
      </c>
      <c r="DA33" s="171" t="s">
        <v>1053</v>
      </c>
    </row>
    <row r="34" spans="1:105" ht="11.45" customHeight="1" x14ac:dyDescent="0.25">
      <c r="A34" s="85" t="s">
        <v>93</v>
      </c>
      <c r="B34" s="88">
        <v>80.967618999999999</v>
      </c>
      <c r="C34" s="88">
        <v>105.435087</v>
      </c>
      <c r="D34" s="88">
        <v>127.751583</v>
      </c>
      <c r="E34" s="88">
        <v>146.32061099999999</v>
      </c>
      <c r="F34" s="88">
        <v>148.15181100000001</v>
      </c>
      <c r="G34" s="88">
        <v>146.18898899999999</v>
      </c>
      <c r="H34" s="88">
        <v>138.09222800000001</v>
      </c>
      <c r="I34" s="88">
        <v>129.99546699999999</v>
      </c>
      <c r="J34" s="88">
        <v>121.898706</v>
      </c>
      <c r="K34" s="88">
        <v>113.801945</v>
      </c>
      <c r="L34" s="88">
        <v>105.705184</v>
      </c>
      <c r="M34" s="88">
        <v>97.608423000000002</v>
      </c>
      <c r="N34" s="88">
        <v>89.511662000000001</v>
      </c>
      <c r="O34" s="88">
        <v>92.444987999999995</v>
      </c>
      <c r="P34" s="88">
        <v>102.095415</v>
      </c>
      <c r="Q34" s="88">
        <v>124.032605</v>
      </c>
      <c r="R34" s="88">
        <v>115.935844</v>
      </c>
      <c r="S34" s="88">
        <v>107.839083</v>
      </c>
      <c r="T34" s="88">
        <v>99.742322000000001</v>
      </c>
      <c r="U34" s="88">
        <v>91.645561000000001</v>
      </c>
      <c r="V34" s="88">
        <v>147.43834100000001</v>
      </c>
      <c r="W34" s="88">
        <v>139.34157999999999</v>
      </c>
      <c r="X34" s="88">
        <v>131.24481900000001</v>
      </c>
      <c r="Y34" s="88">
        <v>123.14805799999999</v>
      </c>
      <c r="DA34" s="178" t="s">
        <v>1054</v>
      </c>
    </row>
    <row r="35" spans="1:105" x14ac:dyDescent="0.25">
      <c r="A35" s="106"/>
      <c r="B35" s="106"/>
      <c r="C35" s="106"/>
      <c r="D35" s="106"/>
      <c r="E35" s="106"/>
      <c r="F35" s="106"/>
      <c r="G35" s="106"/>
      <c r="H35" s="106"/>
      <c r="I35" s="106"/>
      <c r="J35" s="106"/>
      <c r="K35" s="106"/>
      <c r="L35" s="114"/>
      <c r="M35" s="106"/>
      <c r="N35" s="106"/>
      <c r="O35" s="106"/>
      <c r="P35" s="106"/>
      <c r="Q35" s="106"/>
      <c r="R35" s="106"/>
      <c r="S35" s="106"/>
      <c r="T35" s="106"/>
      <c r="U35" s="106"/>
      <c r="V35" s="106"/>
      <c r="W35" s="106"/>
      <c r="X35" s="106"/>
      <c r="Y35" s="106"/>
      <c r="DA35" s="171"/>
    </row>
    <row r="36" spans="1:105" ht="11.45" customHeight="1" x14ac:dyDescent="0.25">
      <c r="A36" s="53" t="s">
        <v>98</v>
      </c>
      <c r="B36" s="54"/>
      <c r="C36" s="54">
        <f t="shared" ref="C36" si="33">C37+C43</f>
        <v>192.86009999999993</v>
      </c>
      <c r="D36" s="54">
        <f t="shared" ref="D36:V36" si="34">D37+D43</f>
        <v>180.71343799999994</v>
      </c>
      <c r="E36" s="54">
        <f t="shared" si="34"/>
        <v>268.27645300000012</v>
      </c>
      <c r="F36" s="54">
        <f t="shared" si="34"/>
        <v>198.59775499999995</v>
      </c>
      <c r="G36" s="54">
        <f t="shared" si="34"/>
        <v>253.77498200000011</v>
      </c>
      <c r="H36" s="54">
        <f t="shared" si="34"/>
        <v>57.170330000000028</v>
      </c>
      <c r="I36" s="54">
        <f t="shared" si="34"/>
        <v>100.41786700000006</v>
      </c>
      <c r="J36" s="54">
        <f t="shared" si="34"/>
        <v>65.075131999999883</v>
      </c>
      <c r="K36" s="54">
        <f t="shared" si="34"/>
        <v>81.268484000000072</v>
      </c>
      <c r="L36" s="54">
        <f t="shared" si="34"/>
        <v>199.48177799999993</v>
      </c>
      <c r="M36" s="54">
        <f t="shared" si="34"/>
        <v>14.981588999999985</v>
      </c>
      <c r="N36" s="54">
        <f t="shared" si="34"/>
        <v>132.79563700000006</v>
      </c>
      <c r="O36" s="54">
        <f t="shared" si="34"/>
        <v>7.3306769999999943</v>
      </c>
      <c r="P36" s="54">
        <f t="shared" si="34"/>
        <v>119.69396000000005</v>
      </c>
      <c r="Q36" s="54">
        <f t="shared" si="34"/>
        <v>92.914379999999966</v>
      </c>
      <c r="R36" s="54">
        <f t="shared" si="34"/>
        <v>72.245530999999971</v>
      </c>
      <c r="S36" s="54">
        <f t="shared" si="34"/>
        <v>82.449308000000087</v>
      </c>
      <c r="T36" s="54">
        <f t="shared" si="34"/>
        <v>134.73299100000003</v>
      </c>
      <c r="U36" s="54">
        <f t="shared" si="34"/>
        <v>11.284113999999974</v>
      </c>
      <c r="V36" s="54">
        <f t="shared" si="34"/>
        <v>145.04758700000002</v>
      </c>
      <c r="W36" s="54">
        <f t="shared" ref="W36:Y36" si="35">W37+W43</f>
        <v>128.244281</v>
      </c>
      <c r="X36" s="54">
        <f t="shared" si="35"/>
        <v>75.940463000000022</v>
      </c>
      <c r="Y36" s="54">
        <f t="shared" si="35"/>
        <v>136.85627900000009</v>
      </c>
      <c r="DA36" s="172" t="s">
        <v>1055</v>
      </c>
    </row>
    <row r="37" spans="1:105" ht="11.45" customHeight="1" x14ac:dyDescent="0.25">
      <c r="A37" s="27" t="s">
        <v>33</v>
      </c>
      <c r="B37" s="28"/>
      <c r="C37" s="28">
        <f t="shared" ref="C37" si="36">SUM(C38,C39,C42)</f>
        <v>156.94097799999992</v>
      </c>
      <c r="D37" s="28">
        <f t="shared" ref="D37:V37" si="37">SUM(D38,D39,D42)</f>
        <v>154.88243899999995</v>
      </c>
      <c r="E37" s="28">
        <f t="shared" si="37"/>
        <v>246.19292200000012</v>
      </c>
      <c r="F37" s="28">
        <f t="shared" si="37"/>
        <v>193.25205199999994</v>
      </c>
      <c r="G37" s="28">
        <f t="shared" si="37"/>
        <v>251.37430700000013</v>
      </c>
      <c r="H37" s="28">
        <f t="shared" si="37"/>
        <v>45.805146000000029</v>
      </c>
      <c r="I37" s="28">
        <f t="shared" si="37"/>
        <v>77.68247800000006</v>
      </c>
      <c r="J37" s="28">
        <f t="shared" si="37"/>
        <v>59.920341999999899</v>
      </c>
      <c r="K37" s="28">
        <f t="shared" si="37"/>
        <v>80.710661000000073</v>
      </c>
      <c r="L37" s="28">
        <f t="shared" si="37"/>
        <v>183.01361399999993</v>
      </c>
      <c r="M37" s="28">
        <f t="shared" si="37"/>
        <v>14.981588999999985</v>
      </c>
      <c r="N37" s="28">
        <f t="shared" si="37"/>
        <v>132.79563700000006</v>
      </c>
      <c r="O37" s="28">
        <f t="shared" si="37"/>
        <v>0.88284799999999564</v>
      </c>
      <c r="P37" s="28">
        <f t="shared" si="37"/>
        <v>106.52903000000003</v>
      </c>
      <c r="Q37" s="28">
        <f t="shared" si="37"/>
        <v>67.46268699999996</v>
      </c>
      <c r="R37" s="28">
        <f t="shared" si="37"/>
        <v>72.245530999999971</v>
      </c>
      <c r="S37" s="28">
        <f t="shared" si="37"/>
        <v>82.449308000000087</v>
      </c>
      <c r="T37" s="28">
        <f t="shared" si="37"/>
        <v>134.73299100000003</v>
      </c>
      <c r="U37" s="28">
        <f t="shared" si="37"/>
        <v>8.9812439999999754</v>
      </c>
      <c r="V37" s="28">
        <f t="shared" si="37"/>
        <v>85.740304000000037</v>
      </c>
      <c r="W37" s="28">
        <f t="shared" ref="W37:Y37" si="38">SUM(W38,W39,W42)</f>
        <v>128.244281</v>
      </c>
      <c r="X37" s="28">
        <f t="shared" si="38"/>
        <v>75.940463000000022</v>
      </c>
      <c r="Y37" s="28">
        <f t="shared" si="38"/>
        <v>136.85627900000009</v>
      </c>
      <c r="DA37" s="173" t="s">
        <v>1056</v>
      </c>
    </row>
    <row r="38" spans="1:105" ht="11.45" customHeight="1" x14ac:dyDescent="0.25">
      <c r="A38" s="107" t="s">
        <v>23</v>
      </c>
      <c r="B38" s="108"/>
      <c r="C38" s="108">
        <v>31.801532999999949</v>
      </c>
      <c r="D38" s="108">
        <v>35.728302999999983</v>
      </c>
      <c r="E38" s="108">
        <v>66.277724000000035</v>
      </c>
      <c r="F38" s="108">
        <v>42.865531999999916</v>
      </c>
      <c r="G38" s="108">
        <v>32.721512999999959</v>
      </c>
      <c r="H38" s="108">
        <v>41.088873000000035</v>
      </c>
      <c r="I38" s="108">
        <v>48.210961999999995</v>
      </c>
      <c r="J38" s="108">
        <v>26.429208999999901</v>
      </c>
      <c r="K38" s="108">
        <v>4.4403080000000728</v>
      </c>
      <c r="L38" s="108">
        <v>176.89357799999993</v>
      </c>
      <c r="M38" s="108">
        <v>14.981588999999985</v>
      </c>
      <c r="N38" s="108">
        <v>0</v>
      </c>
      <c r="O38" s="108">
        <v>0</v>
      </c>
      <c r="P38" s="108">
        <v>33.097442999999998</v>
      </c>
      <c r="Q38" s="108">
        <v>12.759179999999901</v>
      </c>
      <c r="R38" s="108">
        <v>43.450871000000006</v>
      </c>
      <c r="S38" s="108">
        <v>43.961324999999988</v>
      </c>
      <c r="T38" s="108">
        <v>126.55736000000002</v>
      </c>
      <c r="U38" s="108">
        <v>8.7846819999999752</v>
      </c>
      <c r="V38" s="108">
        <v>0</v>
      </c>
      <c r="W38" s="108">
        <v>0</v>
      </c>
      <c r="X38" s="108">
        <v>3.5999889999999368</v>
      </c>
      <c r="Y38" s="108">
        <v>25.093232000000057</v>
      </c>
      <c r="DA38" s="203" t="s">
        <v>1057</v>
      </c>
    </row>
    <row r="39" spans="1:105" ht="11.45" customHeight="1" x14ac:dyDescent="0.25">
      <c r="A39" s="109" t="s">
        <v>24</v>
      </c>
      <c r="B39" s="110"/>
      <c r="C39" s="110">
        <f t="shared" ref="C39" si="39">SUM(C40:C41)</f>
        <v>123.03053699999998</v>
      </c>
      <c r="D39" s="110">
        <f t="shared" ref="D39:V39" si="40">SUM(D40:D41)</f>
        <v>116.27232699999996</v>
      </c>
      <c r="E39" s="110">
        <f t="shared" si="40"/>
        <v>179.91519800000009</v>
      </c>
      <c r="F39" s="110">
        <f t="shared" si="40"/>
        <v>148.46753000000001</v>
      </c>
      <c r="G39" s="110">
        <f t="shared" si="40"/>
        <v>215.35813800000017</v>
      </c>
      <c r="H39" s="110">
        <f t="shared" si="40"/>
        <v>0</v>
      </c>
      <c r="I39" s="110">
        <f t="shared" si="40"/>
        <v>28.443147000000067</v>
      </c>
      <c r="J39" s="110">
        <f t="shared" si="40"/>
        <v>0</v>
      </c>
      <c r="K39" s="110">
        <f t="shared" si="40"/>
        <v>0</v>
      </c>
      <c r="L39" s="110">
        <f t="shared" si="40"/>
        <v>0</v>
      </c>
      <c r="M39" s="110">
        <f t="shared" si="40"/>
        <v>0</v>
      </c>
      <c r="N39" s="110">
        <f t="shared" si="40"/>
        <v>132.79563700000006</v>
      </c>
      <c r="O39" s="110">
        <f t="shared" si="40"/>
        <v>0</v>
      </c>
      <c r="P39" s="110">
        <f t="shared" si="40"/>
        <v>73.431587000000036</v>
      </c>
      <c r="Q39" s="110">
        <f t="shared" si="40"/>
        <v>54.703507000000059</v>
      </c>
      <c r="R39" s="110">
        <f t="shared" si="40"/>
        <v>26.631956999999943</v>
      </c>
      <c r="S39" s="110">
        <f t="shared" si="40"/>
        <v>29.601673000000119</v>
      </c>
      <c r="T39" s="110">
        <f t="shared" si="40"/>
        <v>6.1413880000000063</v>
      </c>
      <c r="U39" s="110">
        <f t="shared" si="40"/>
        <v>0</v>
      </c>
      <c r="V39" s="110">
        <f t="shared" si="40"/>
        <v>85.740304000000037</v>
      </c>
      <c r="W39" s="110">
        <f t="shared" ref="W39:Y39" si="41">SUM(W40:W41)</f>
        <v>128.244281</v>
      </c>
      <c r="X39" s="110">
        <f t="shared" si="41"/>
        <v>72.340474000000086</v>
      </c>
      <c r="Y39" s="110">
        <f t="shared" si="41"/>
        <v>111.76304700000003</v>
      </c>
      <c r="DA39" s="176" t="s">
        <v>1058</v>
      </c>
    </row>
    <row r="40" spans="1:105" ht="11.45" customHeight="1" x14ac:dyDescent="0.25">
      <c r="A40" s="111" t="s">
        <v>92</v>
      </c>
      <c r="B40" s="84"/>
      <c r="C40" s="84">
        <v>25.699058999999977</v>
      </c>
      <c r="D40" s="84">
        <v>21.796966999999938</v>
      </c>
      <c r="E40" s="84">
        <v>88.455474000000038</v>
      </c>
      <c r="F40" s="84">
        <v>98.385833000000048</v>
      </c>
      <c r="G40" s="84">
        <v>88.558524000000034</v>
      </c>
      <c r="H40" s="84">
        <v>0</v>
      </c>
      <c r="I40" s="84">
        <v>28.443147000000067</v>
      </c>
      <c r="J40" s="84">
        <v>0</v>
      </c>
      <c r="K40" s="84">
        <v>0</v>
      </c>
      <c r="L40" s="84">
        <v>0</v>
      </c>
      <c r="M40" s="84">
        <v>0</v>
      </c>
      <c r="N40" s="84">
        <v>81.727346000000011</v>
      </c>
      <c r="O40" s="84">
        <v>0</v>
      </c>
      <c r="P40" s="84">
        <v>0</v>
      </c>
      <c r="Q40" s="84">
        <v>0</v>
      </c>
      <c r="R40" s="84">
        <v>0</v>
      </c>
      <c r="S40" s="84">
        <v>0</v>
      </c>
      <c r="T40" s="84">
        <v>0</v>
      </c>
      <c r="U40" s="84">
        <v>0</v>
      </c>
      <c r="V40" s="84">
        <v>0</v>
      </c>
      <c r="W40" s="84">
        <v>0</v>
      </c>
      <c r="X40" s="84">
        <v>0</v>
      </c>
      <c r="Y40" s="84">
        <v>0</v>
      </c>
      <c r="DA40" s="171" t="s">
        <v>1059</v>
      </c>
    </row>
    <row r="41" spans="1:105" ht="11.45" customHeight="1" x14ac:dyDescent="0.25">
      <c r="A41" s="111" t="s">
        <v>93</v>
      </c>
      <c r="B41" s="84"/>
      <c r="C41" s="84">
        <v>97.331478000000004</v>
      </c>
      <c r="D41" s="84">
        <v>94.475360000000023</v>
      </c>
      <c r="E41" s="84">
        <v>91.459724000000051</v>
      </c>
      <c r="F41" s="84">
        <v>50.081696999999963</v>
      </c>
      <c r="G41" s="84">
        <v>126.79961400000013</v>
      </c>
      <c r="H41" s="84">
        <v>0</v>
      </c>
      <c r="I41" s="84">
        <v>0</v>
      </c>
      <c r="J41" s="84">
        <v>0</v>
      </c>
      <c r="K41" s="84">
        <v>0</v>
      </c>
      <c r="L41" s="84">
        <v>0</v>
      </c>
      <c r="M41" s="84">
        <v>0</v>
      </c>
      <c r="N41" s="84">
        <v>51.068291000000045</v>
      </c>
      <c r="O41" s="84">
        <v>0</v>
      </c>
      <c r="P41" s="84">
        <v>73.431587000000036</v>
      </c>
      <c r="Q41" s="84">
        <v>54.703507000000059</v>
      </c>
      <c r="R41" s="84">
        <v>26.631956999999943</v>
      </c>
      <c r="S41" s="84">
        <v>29.601673000000119</v>
      </c>
      <c r="T41" s="84">
        <v>6.1413880000000063</v>
      </c>
      <c r="U41" s="84">
        <v>0</v>
      </c>
      <c r="V41" s="84">
        <v>85.740304000000037</v>
      </c>
      <c r="W41" s="84">
        <v>128.244281</v>
      </c>
      <c r="X41" s="84">
        <v>72.340474000000086</v>
      </c>
      <c r="Y41" s="84">
        <v>111.76304700000003</v>
      </c>
      <c r="DA41" s="171" t="s">
        <v>1060</v>
      </c>
    </row>
    <row r="42" spans="1:105" ht="11.45" customHeight="1" x14ac:dyDescent="0.25">
      <c r="A42" s="112" t="s">
        <v>25</v>
      </c>
      <c r="B42" s="113"/>
      <c r="C42" s="113">
        <v>2.108907999999996</v>
      </c>
      <c r="D42" s="113">
        <v>2.8818090000000005</v>
      </c>
      <c r="E42" s="113">
        <v>0</v>
      </c>
      <c r="F42" s="113">
        <v>1.9189899999999973</v>
      </c>
      <c r="G42" s="113">
        <v>3.2946559999999998</v>
      </c>
      <c r="H42" s="113">
        <v>4.7162729999999939</v>
      </c>
      <c r="I42" s="113">
        <v>1.0283689999999979</v>
      </c>
      <c r="J42" s="113">
        <v>33.491132999999998</v>
      </c>
      <c r="K42" s="113">
        <v>76.270353</v>
      </c>
      <c r="L42" s="113">
        <v>6.1200359999999989</v>
      </c>
      <c r="M42" s="113">
        <v>0</v>
      </c>
      <c r="N42" s="113">
        <v>0</v>
      </c>
      <c r="O42" s="113">
        <v>0.88284799999999564</v>
      </c>
      <c r="P42" s="113">
        <v>0</v>
      </c>
      <c r="Q42" s="113">
        <v>0</v>
      </c>
      <c r="R42" s="113">
        <v>2.1627030000000218</v>
      </c>
      <c r="S42" s="113">
        <v>8.8863099999999804</v>
      </c>
      <c r="T42" s="113">
        <v>2.0342430000000036</v>
      </c>
      <c r="U42" s="113">
        <v>0.19656200000000013</v>
      </c>
      <c r="V42" s="113">
        <v>0</v>
      </c>
      <c r="W42" s="113">
        <v>0</v>
      </c>
      <c r="X42" s="113">
        <v>0</v>
      </c>
      <c r="Y42" s="113">
        <v>0</v>
      </c>
      <c r="DA42" s="204" t="s">
        <v>1061</v>
      </c>
    </row>
    <row r="43" spans="1:105" ht="11.45" customHeight="1" x14ac:dyDescent="0.25">
      <c r="A43" s="27" t="s">
        <v>34</v>
      </c>
      <c r="B43" s="28"/>
      <c r="C43" s="28">
        <f t="shared" ref="C43" si="42">SUM(C44:C45)</f>
        <v>35.919122000000002</v>
      </c>
      <c r="D43" s="28">
        <f t="shared" ref="D43:V43" si="43">SUM(D44:D45)</f>
        <v>25.830999000000006</v>
      </c>
      <c r="E43" s="28">
        <f t="shared" si="43"/>
        <v>22.083530999999979</v>
      </c>
      <c r="F43" s="28">
        <f t="shared" si="43"/>
        <v>5.3457030000000145</v>
      </c>
      <c r="G43" s="28">
        <f t="shared" si="43"/>
        <v>2.4006749999999712</v>
      </c>
      <c r="H43" s="28">
        <f t="shared" si="43"/>
        <v>11.365183999999999</v>
      </c>
      <c r="I43" s="28">
        <f t="shared" si="43"/>
        <v>22.735389000000005</v>
      </c>
      <c r="J43" s="28">
        <f t="shared" si="43"/>
        <v>5.1547899999999913</v>
      </c>
      <c r="K43" s="28">
        <f t="shared" si="43"/>
        <v>0.55782299999999907</v>
      </c>
      <c r="L43" s="28">
        <f t="shared" si="43"/>
        <v>16.468164000000002</v>
      </c>
      <c r="M43" s="28">
        <f t="shared" si="43"/>
        <v>0</v>
      </c>
      <c r="N43" s="28">
        <f t="shared" si="43"/>
        <v>0</v>
      </c>
      <c r="O43" s="28">
        <f t="shared" si="43"/>
        <v>6.4478289999999987</v>
      </c>
      <c r="P43" s="28">
        <f t="shared" si="43"/>
        <v>13.164930000000012</v>
      </c>
      <c r="Q43" s="28">
        <f t="shared" si="43"/>
        <v>25.451693000000006</v>
      </c>
      <c r="R43" s="28">
        <f t="shared" si="43"/>
        <v>0</v>
      </c>
      <c r="S43" s="28">
        <f t="shared" si="43"/>
        <v>0</v>
      </c>
      <c r="T43" s="28">
        <f t="shared" si="43"/>
        <v>0</v>
      </c>
      <c r="U43" s="28">
        <f t="shared" si="43"/>
        <v>2.3028699999999986</v>
      </c>
      <c r="V43" s="28">
        <f t="shared" si="43"/>
        <v>59.307282999999998</v>
      </c>
      <c r="W43" s="28">
        <f t="shared" ref="W43:Y43" si="44">SUM(W44:W45)</f>
        <v>0</v>
      </c>
      <c r="X43" s="28">
        <f t="shared" si="44"/>
        <v>0</v>
      </c>
      <c r="Y43" s="28">
        <f t="shared" si="44"/>
        <v>0</v>
      </c>
      <c r="DA43" s="173" t="s">
        <v>1062</v>
      </c>
    </row>
    <row r="44" spans="1:105" ht="11.45" customHeight="1" x14ac:dyDescent="0.25">
      <c r="A44" s="83" t="s">
        <v>92</v>
      </c>
      <c r="B44" s="84"/>
      <c r="C44" s="84">
        <v>7.9371510000000001</v>
      </c>
      <c r="D44" s="84">
        <v>0</v>
      </c>
      <c r="E44" s="84">
        <v>0</v>
      </c>
      <c r="F44" s="84">
        <v>0</v>
      </c>
      <c r="G44" s="84">
        <v>0.84899399999999758</v>
      </c>
      <c r="H44" s="84">
        <v>11.365183999999999</v>
      </c>
      <c r="I44" s="84">
        <v>22.735389000000005</v>
      </c>
      <c r="J44" s="84">
        <v>5.1547899999999913</v>
      </c>
      <c r="K44" s="84">
        <v>0.55782299999999907</v>
      </c>
      <c r="L44" s="84">
        <v>16.468164000000002</v>
      </c>
      <c r="M44" s="84">
        <v>0</v>
      </c>
      <c r="N44" s="84">
        <v>0</v>
      </c>
      <c r="O44" s="84">
        <v>0</v>
      </c>
      <c r="P44" s="84">
        <v>0</v>
      </c>
      <c r="Q44" s="84">
        <v>0</v>
      </c>
      <c r="R44" s="84">
        <v>0</v>
      </c>
      <c r="S44" s="84">
        <v>0</v>
      </c>
      <c r="T44" s="84">
        <v>0</v>
      </c>
      <c r="U44" s="84">
        <v>2.3028699999999986</v>
      </c>
      <c r="V44" s="84">
        <v>0</v>
      </c>
      <c r="W44" s="84">
        <v>0</v>
      </c>
      <c r="X44" s="84">
        <v>0</v>
      </c>
      <c r="Y44" s="84">
        <v>0</v>
      </c>
      <c r="DA44" s="171" t="s">
        <v>1063</v>
      </c>
    </row>
    <row r="45" spans="1:105" ht="11.45" customHeight="1" x14ac:dyDescent="0.25">
      <c r="A45" s="85" t="s">
        <v>93</v>
      </c>
      <c r="B45" s="86"/>
      <c r="C45" s="86">
        <v>27.981971000000001</v>
      </c>
      <c r="D45" s="86">
        <v>25.830999000000006</v>
      </c>
      <c r="E45" s="86">
        <v>22.083530999999979</v>
      </c>
      <c r="F45" s="86">
        <v>5.3457030000000145</v>
      </c>
      <c r="G45" s="86">
        <v>1.5516809999999737</v>
      </c>
      <c r="H45" s="86">
        <v>0</v>
      </c>
      <c r="I45" s="86">
        <v>0</v>
      </c>
      <c r="J45" s="86">
        <v>0</v>
      </c>
      <c r="K45" s="86">
        <v>0</v>
      </c>
      <c r="L45" s="86">
        <v>0</v>
      </c>
      <c r="M45" s="86">
        <v>0</v>
      </c>
      <c r="N45" s="86">
        <v>0</v>
      </c>
      <c r="O45" s="86">
        <v>6.4478289999999987</v>
      </c>
      <c r="P45" s="86">
        <v>13.164930000000012</v>
      </c>
      <c r="Q45" s="86">
        <v>25.451693000000006</v>
      </c>
      <c r="R45" s="86">
        <v>0</v>
      </c>
      <c r="S45" s="86">
        <v>0</v>
      </c>
      <c r="T45" s="86">
        <v>0</v>
      </c>
      <c r="U45" s="86">
        <v>0</v>
      </c>
      <c r="V45" s="86">
        <v>59.307282999999998</v>
      </c>
      <c r="W45" s="86">
        <v>0</v>
      </c>
      <c r="X45" s="86">
        <v>0</v>
      </c>
      <c r="Y45" s="86">
        <v>0</v>
      </c>
      <c r="DA45" s="178" t="s">
        <v>1064</v>
      </c>
    </row>
    <row r="46" spans="1:105" x14ac:dyDescent="0.25">
      <c r="A46" s="106"/>
      <c r="B46" s="106"/>
      <c r="C46" s="106"/>
      <c r="D46" s="106"/>
      <c r="E46" s="106"/>
      <c r="F46" s="106"/>
      <c r="G46" s="106"/>
      <c r="H46" s="106"/>
      <c r="I46" s="106"/>
      <c r="J46" s="106"/>
      <c r="K46" s="106"/>
      <c r="L46" s="106"/>
      <c r="M46" s="106"/>
      <c r="N46" s="106"/>
      <c r="O46" s="106"/>
      <c r="P46" s="106"/>
      <c r="Q46" s="106"/>
      <c r="R46" s="106"/>
      <c r="S46" s="106"/>
      <c r="T46" s="106"/>
      <c r="U46" s="106"/>
      <c r="V46" s="106"/>
      <c r="W46" s="106"/>
      <c r="X46" s="106"/>
      <c r="Y46" s="106"/>
      <c r="DA46" s="171"/>
    </row>
    <row r="47" spans="1:105" ht="11.45" customHeight="1" x14ac:dyDescent="0.25">
      <c r="A47" s="68" t="s">
        <v>36</v>
      </c>
      <c r="B47" s="69"/>
      <c r="C47" s="69"/>
      <c r="D47" s="69"/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X47" s="69"/>
      <c r="Y47" s="69"/>
      <c r="DA47" s="179"/>
    </row>
    <row r="48" spans="1:105" x14ac:dyDescent="0.25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DA48" s="208"/>
    </row>
    <row r="49" spans="1:105" ht="11.45" customHeight="1" x14ac:dyDescent="0.25">
      <c r="A49" s="53" t="s">
        <v>99</v>
      </c>
      <c r="B49" s="62"/>
      <c r="C49" s="62"/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DA49" s="172"/>
    </row>
    <row r="50" spans="1:105" ht="11.45" customHeight="1" x14ac:dyDescent="0.25">
      <c r="A50" s="27" t="s">
        <v>100</v>
      </c>
      <c r="B50" s="29">
        <f t="shared" ref="B50:J50" si="45">IF(B4=0,0,B4/B15)</f>
        <v>131.89035485528311</v>
      </c>
      <c r="C50" s="29">
        <f t="shared" si="45"/>
        <v>125.32454099782296</v>
      </c>
      <c r="D50" s="29">
        <f t="shared" si="45"/>
        <v>118.72468191013327</v>
      </c>
      <c r="E50" s="29">
        <f t="shared" si="45"/>
        <v>105.97899893212619</v>
      </c>
      <c r="F50" s="29">
        <f t="shared" si="45"/>
        <v>95.725367068737143</v>
      </c>
      <c r="G50" s="29">
        <f t="shared" si="45"/>
        <v>90.733475305406614</v>
      </c>
      <c r="H50" s="29">
        <f t="shared" si="45"/>
        <v>115.72357862764284</v>
      </c>
      <c r="I50" s="29">
        <f t="shared" si="45"/>
        <v>104.98099180412321</v>
      </c>
      <c r="J50" s="29">
        <f t="shared" si="45"/>
        <v>108.06017582317004</v>
      </c>
      <c r="K50" s="29">
        <f t="shared" ref="K50:V50" si="46">IF(K4=0,0,K4/K15)</f>
        <v>113.64015487320252</v>
      </c>
      <c r="L50" s="29">
        <f t="shared" si="46"/>
        <v>107.81607603486934</v>
      </c>
      <c r="M50" s="29">
        <f t="shared" si="46"/>
        <v>95.92238609834078</v>
      </c>
      <c r="N50" s="29">
        <f t="shared" si="46"/>
        <v>90.579237486734655</v>
      </c>
      <c r="O50" s="29">
        <f t="shared" si="46"/>
        <v>118.95729030141267</v>
      </c>
      <c r="P50" s="29">
        <f t="shared" si="46"/>
        <v>119.69735521263573</v>
      </c>
      <c r="Q50" s="29">
        <f t="shared" si="46"/>
        <v>119.34084060826751</v>
      </c>
      <c r="R50" s="29">
        <f t="shared" si="46"/>
        <v>118.27845675182255</v>
      </c>
      <c r="S50" s="29">
        <f t="shared" si="46"/>
        <v>122.21248432430686</v>
      </c>
      <c r="T50" s="29">
        <f t="shared" si="46"/>
        <v>124.62571228552459</v>
      </c>
      <c r="U50" s="29">
        <f t="shared" si="46"/>
        <v>128.81227195430515</v>
      </c>
      <c r="V50" s="29">
        <f t="shared" si="46"/>
        <v>70.429937925568993</v>
      </c>
      <c r="W50" s="29">
        <f t="shared" ref="W50:Y50" si="47">IF(W4=0,0,W4/W15)</f>
        <v>87.611184982925636</v>
      </c>
      <c r="X50" s="29">
        <f t="shared" si="47"/>
        <v>125.15499896731657</v>
      </c>
      <c r="Y50" s="29">
        <f t="shared" si="47"/>
        <v>148.73512812475289</v>
      </c>
      <c r="DA50" s="173" t="s">
        <v>1065</v>
      </c>
    </row>
    <row r="51" spans="1:105" ht="11.45" customHeight="1" x14ac:dyDescent="0.25">
      <c r="A51" s="107" t="s">
        <v>23</v>
      </c>
      <c r="B51" s="115">
        <f t="shared" ref="B51:J51" si="48">IF(B5=0,0,B5/B16)</f>
        <v>82.523192764649565</v>
      </c>
      <c r="C51" s="115">
        <f t="shared" si="48"/>
        <v>82.513023866379527</v>
      </c>
      <c r="D51" s="115">
        <f t="shared" si="48"/>
        <v>82.719287730953027</v>
      </c>
      <c r="E51" s="115">
        <f t="shared" si="48"/>
        <v>78.186903128989314</v>
      </c>
      <c r="F51" s="115">
        <f t="shared" si="48"/>
        <v>78.186903128989314</v>
      </c>
      <c r="G51" s="115">
        <f t="shared" si="48"/>
        <v>79.340570982366984</v>
      </c>
      <c r="H51" s="115">
        <f t="shared" si="48"/>
        <v>79.501557439715043</v>
      </c>
      <c r="I51" s="115">
        <f t="shared" si="48"/>
        <v>78.883926347817606</v>
      </c>
      <c r="J51" s="115">
        <f t="shared" si="48"/>
        <v>79.382679344875186</v>
      </c>
      <c r="K51" s="115">
        <f t="shared" ref="K51:V51" si="49">IF(K5=0,0,K5/K16)</f>
        <v>78.198008299389684</v>
      </c>
      <c r="L51" s="115">
        <f t="shared" si="49"/>
        <v>77.823618363199813</v>
      </c>
      <c r="M51" s="115">
        <f t="shared" si="49"/>
        <v>78.667210210205454</v>
      </c>
      <c r="N51" s="115">
        <f t="shared" si="49"/>
        <v>77.437418109911022</v>
      </c>
      <c r="O51" s="115">
        <f t="shared" si="49"/>
        <v>78.607521796088818</v>
      </c>
      <c r="P51" s="115">
        <f t="shared" si="49"/>
        <v>79.341705057087253</v>
      </c>
      <c r="Q51" s="115">
        <f t="shared" si="49"/>
        <v>80.561008332707928</v>
      </c>
      <c r="R51" s="115">
        <f t="shared" si="49"/>
        <v>81.355842318926136</v>
      </c>
      <c r="S51" s="115">
        <f t="shared" si="49"/>
        <v>81.132896357391914</v>
      </c>
      <c r="T51" s="115">
        <f t="shared" si="49"/>
        <v>81.997493667502297</v>
      </c>
      <c r="U51" s="115">
        <f t="shared" si="49"/>
        <v>75.745550302103425</v>
      </c>
      <c r="V51" s="115">
        <f t="shared" si="49"/>
        <v>53.165617216372894</v>
      </c>
      <c r="W51" s="115">
        <f t="shared" ref="W51:Y51" si="50">IF(W5=0,0,W5/W16)</f>
        <v>68.628862442227344</v>
      </c>
      <c r="X51" s="115">
        <f t="shared" si="50"/>
        <v>77.756877165688422</v>
      </c>
      <c r="Y51" s="115">
        <f t="shared" si="50"/>
        <v>88.027409011718731</v>
      </c>
      <c r="DA51" s="203" t="s">
        <v>1066</v>
      </c>
    </row>
    <row r="52" spans="1:105" ht="11.45" customHeight="1" x14ac:dyDescent="0.25">
      <c r="A52" s="109" t="s">
        <v>24</v>
      </c>
      <c r="B52" s="116">
        <f t="shared" ref="B52:J52" si="51">IF(B6=0,0,B6/B17)</f>
        <v>153.5194440611919</v>
      </c>
      <c r="C52" s="116">
        <f t="shared" si="51"/>
        <v>140.97841079128438</v>
      </c>
      <c r="D52" s="116">
        <f t="shared" si="51"/>
        <v>129.95629594056979</v>
      </c>
      <c r="E52" s="116">
        <f t="shared" si="51"/>
        <v>112.74560215272334</v>
      </c>
      <c r="F52" s="116">
        <f t="shared" si="51"/>
        <v>97.519577394448305</v>
      </c>
      <c r="G52" s="116">
        <f t="shared" si="51"/>
        <v>89.370298079415392</v>
      </c>
      <c r="H52" s="116">
        <f t="shared" si="51"/>
        <v>127.74604735491712</v>
      </c>
      <c r="I52" s="116">
        <f t="shared" si="51"/>
        <v>111.22609090573766</v>
      </c>
      <c r="J52" s="116">
        <f t="shared" si="51"/>
        <v>108.4212944245081</v>
      </c>
      <c r="K52" s="116">
        <f t="shared" ref="K52:V52" si="52">IF(K6=0,0,K6/K17)</f>
        <v>101.15051900578109</v>
      </c>
      <c r="L52" s="116">
        <f t="shared" si="52"/>
        <v>93.293303860745979</v>
      </c>
      <c r="M52" s="116">
        <f t="shared" si="52"/>
        <v>73.805795324207509</v>
      </c>
      <c r="N52" s="116">
        <f t="shared" si="52"/>
        <v>65.468194025548044</v>
      </c>
      <c r="O52" s="116">
        <f t="shared" si="52"/>
        <v>104.3053092659755</v>
      </c>
      <c r="P52" s="116">
        <f t="shared" si="52"/>
        <v>105.81661630653488</v>
      </c>
      <c r="Q52" s="116">
        <f t="shared" si="52"/>
        <v>93.493141166774805</v>
      </c>
      <c r="R52" s="116">
        <f t="shared" si="52"/>
        <v>86.5412839968414</v>
      </c>
      <c r="S52" s="116">
        <f t="shared" si="52"/>
        <v>94.266888816323927</v>
      </c>
      <c r="T52" s="116">
        <f t="shared" si="52"/>
        <v>98.545635835123903</v>
      </c>
      <c r="U52" s="116">
        <f t="shared" si="52"/>
        <v>112.13651765047601</v>
      </c>
      <c r="V52" s="116">
        <f t="shared" si="52"/>
        <v>54.021982171463108</v>
      </c>
      <c r="W52" s="116">
        <f t="shared" ref="W52:Y52" si="53">IF(W6=0,0,W6/W17)</f>
        <v>74.331962311098223</v>
      </c>
      <c r="X52" s="116">
        <f t="shared" si="53"/>
        <v>118.19704501119986</v>
      </c>
      <c r="Y52" s="116">
        <f t="shared" si="53"/>
        <v>151.08452112374732</v>
      </c>
      <c r="DA52" s="176" t="s">
        <v>1067</v>
      </c>
    </row>
    <row r="53" spans="1:105" ht="11.45" customHeight="1" x14ac:dyDescent="0.25">
      <c r="A53" s="111" t="s">
        <v>92</v>
      </c>
      <c r="B53" s="87">
        <f t="shared" ref="B53:J53" si="54">IF(B7=0,0,B7/B18)</f>
        <v>110.77761625249852</v>
      </c>
      <c r="C53" s="87">
        <f t="shared" si="54"/>
        <v>114.55993845044361</v>
      </c>
      <c r="D53" s="87">
        <f t="shared" si="54"/>
        <v>106.96082652039874</v>
      </c>
      <c r="E53" s="87">
        <f t="shared" si="54"/>
        <v>81.726340566473752</v>
      </c>
      <c r="F53" s="87">
        <f t="shared" si="54"/>
        <v>61.343908689650505</v>
      </c>
      <c r="G53" s="87">
        <f t="shared" si="54"/>
        <v>54.115066746095167</v>
      </c>
      <c r="H53" s="87">
        <f t="shared" si="54"/>
        <v>117.13065042557629</v>
      </c>
      <c r="I53" s="87">
        <f t="shared" si="54"/>
        <v>93.141452880412785</v>
      </c>
      <c r="J53" s="87">
        <f t="shared" si="54"/>
        <v>85.604657864272667</v>
      </c>
      <c r="K53" s="87">
        <f t="shared" ref="K53:V53" si="55">IF(K7=0,0,K7/K18)</f>
        <v>102.97994463649398</v>
      </c>
      <c r="L53" s="87">
        <f t="shared" si="55"/>
        <v>99.684936336456744</v>
      </c>
      <c r="M53" s="87">
        <f t="shared" si="55"/>
        <v>48.801443359609273</v>
      </c>
      <c r="N53" s="87">
        <f t="shared" si="55"/>
        <v>44.756779915125705</v>
      </c>
      <c r="O53" s="87">
        <f t="shared" si="55"/>
        <v>99.433378611513078</v>
      </c>
      <c r="P53" s="87">
        <f t="shared" si="55"/>
        <v>101.08631435111863</v>
      </c>
      <c r="Q53" s="87">
        <f t="shared" si="55"/>
        <v>59.918111993275467</v>
      </c>
      <c r="R53" s="87">
        <f t="shared" si="55"/>
        <v>42.066728098640148</v>
      </c>
      <c r="S53" s="87">
        <f t="shared" si="55"/>
        <v>81.225361391743903</v>
      </c>
      <c r="T53" s="87">
        <f t="shared" si="55"/>
        <v>85.419119230883794</v>
      </c>
      <c r="U53" s="87">
        <f t="shared" si="55"/>
        <v>100.07988349844393</v>
      </c>
      <c r="V53" s="87">
        <f t="shared" si="55"/>
        <v>51.690582962555055</v>
      </c>
      <c r="W53" s="87">
        <f t="shared" ref="W53:Y53" si="56">IF(W7=0,0,W7/W18)</f>
        <v>18.749753400110116</v>
      </c>
      <c r="X53" s="87">
        <f t="shared" si="56"/>
        <v>28.361088767127185</v>
      </c>
      <c r="Y53" s="87">
        <f t="shared" si="56"/>
        <v>36.015473442170112</v>
      </c>
      <c r="DA53" s="171" t="s">
        <v>1068</v>
      </c>
    </row>
    <row r="54" spans="1:105" ht="11.45" customHeight="1" x14ac:dyDescent="0.25">
      <c r="A54" s="111" t="s">
        <v>93</v>
      </c>
      <c r="B54" s="87">
        <f t="shared" ref="B54:J54" si="57">IF(B8=0,0,B8/B19)</f>
        <v>177.28541511840794</v>
      </c>
      <c r="C54" s="87">
        <f t="shared" si="57"/>
        <v>154.36563107540024</v>
      </c>
      <c r="D54" s="87">
        <f t="shared" si="57"/>
        <v>140.65975870479747</v>
      </c>
      <c r="E54" s="87">
        <f t="shared" si="57"/>
        <v>129.01660031851625</v>
      </c>
      <c r="F54" s="87">
        <f t="shared" si="57"/>
        <v>119.81325477199084</v>
      </c>
      <c r="G54" s="87">
        <f t="shared" si="57"/>
        <v>111.52896520513922</v>
      </c>
      <c r="H54" s="87">
        <f t="shared" si="57"/>
        <v>137.16301334556286</v>
      </c>
      <c r="I54" s="87">
        <f t="shared" si="57"/>
        <v>127.44240329702366</v>
      </c>
      <c r="J54" s="87">
        <f t="shared" si="57"/>
        <v>127.82657926471526</v>
      </c>
      <c r="K54" s="87">
        <f t="shared" ref="K54:V54" si="58">IF(K8=0,0,K8/K19)</f>
        <v>98.660463995075204</v>
      </c>
      <c r="L54" s="87">
        <f t="shared" si="58"/>
        <v>84.829849160479895</v>
      </c>
      <c r="M54" s="87">
        <f t="shared" si="58"/>
        <v>92.000706659939993</v>
      </c>
      <c r="N54" s="87">
        <f t="shared" si="58"/>
        <v>82.058496238099366</v>
      </c>
      <c r="O54" s="87">
        <f t="shared" si="58"/>
        <v>105.35041328923172</v>
      </c>
      <c r="P54" s="87">
        <f t="shared" si="58"/>
        <v>106.76497496109843</v>
      </c>
      <c r="Q54" s="87">
        <f t="shared" si="58"/>
        <v>102.05440099383226</v>
      </c>
      <c r="R54" s="87">
        <f t="shared" si="58"/>
        <v>99.521685215656831</v>
      </c>
      <c r="S54" s="87">
        <f t="shared" si="58"/>
        <v>96.889232905484064</v>
      </c>
      <c r="T54" s="87">
        <f t="shared" si="58"/>
        <v>101.13890779999582</v>
      </c>
      <c r="U54" s="87">
        <f t="shared" si="58"/>
        <v>114.48115421644003</v>
      </c>
      <c r="V54" s="87">
        <f t="shared" si="58"/>
        <v>54.295078409413129</v>
      </c>
      <c r="W54" s="87">
        <f t="shared" ref="W54:Y54" si="59">IF(W8=0,0,W8/W19)</f>
        <v>83.067381618991462</v>
      </c>
      <c r="X54" s="87">
        <f t="shared" si="59"/>
        <v>130.57970786048628</v>
      </c>
      <c r="Y54" s="87">
        <f t="shared" si="59"/>
        <v>164.70206578019207</v>
      </c>
      <c r="DA54" s="171" t="s">
        <v>1069</v>
      </c>
    </row>
    <row r="55" spans="1:105" ht="11.45" customHeight="1" x14ac:dyDescent="0.25">
      <c r="A55" s="112" t="s">
        <v>25</v>
      </c>
      <c r="B55" s="117">
        <f t="shared" ref="B55:J55" si="60">IF(B9=0,0,B9/B20)</f>
        <v>185.90546535912247</v>
      </c>
      <c r="C55" s="117">
        <f t="shared" si="60"/>
        <v>187.4778036885389</v>
      </c>
      <c r="D55" s="117">
        <f t="shared" si="60"/>
        <v>180.86188083121149</v>
      </c>
      <c r="E55" s="117">
        <f t="shared" si="60"/>
        <v>181.62614288567488</v>
      </c>
      <c r="F55" s="117">
        <f t="shared" si="60"/>
        <v>178.09401026743106</v>
      </c>
      <c r="G55" s="117">
        <f t="shared" si="60"/>
        <v>180.5278223232026</v>
      </c>
      <c r="H55" s="117">
        <f t="shared" si="60"/>
        <v>183.72996197095713</v>
      </c>
      <c r="I55" s="117">
        <f t="shared" si="60"/>
        <v>174.8352609999265</v>
      </c>
      <c r="J55" s="117">
        <f t="shared" si="60"/>
        <v>185.36259775905299</v>
      </c>
      <c r="K55" s="117">
        <f t="shared" ref="K55:V55" si="61">IF(K9=0,0,K9/K20)</f>
        <v>180.93893747322812</v>
      </c>
      <c r="L55" s="117">
        <f t="shared" si="61"/>
        <v>177.43958928975957</v>
      </c>
      <c r="M55" s="117">
        <f t="shared" si="61"/>
        <v>176.84195334346674</v>
      </c>
      <c r="N55" s="117">
        <f t="shared" si="61"/>
        <v>180.74121577003794</v>
      </c>
      <c r="O55" s="117">
        <f t="shared" si="61"/>
        <v>199.08149782285369</v>
      </c>
      <c r="P55" s="117">
        <f t="shared" si="61"/>
        <v>203.04875880618036</v>
      </c>
      <c r="Q55" s="117">
        <f t="shared" si="61"/>
        <v>229.69119165523668</v>
      </c>
      <c r="R55" s="117">
        <f t="shared" si="61"/>
        <v>240.58980152578843</v>
      </c>
      <c r="S55" s="117">
        <f t="shared" si="61"/>
        <v>234.47996321468943</v>
      </c>
      <c r="T55" s="117">
        <f t="shared" si="61"/>
        <v>241.14295404442933</v>
      </c>
      <c r="U55" s="117">
        <f t="shared" si="61"/>
        <v>241.14295404442939</v>
      </c>
      <c r="V55" s="117">
        <f t="shared" si="61"/>
        <v>174.02068848567066</v>
      </c>
      <c r="W55" s="117">
        <f t="shared" ref="W55:Y55" si="62">IF(W9=0,0,W9/W20)</f>
        <v>186.36296860422132</v>
      </c>
      <c r="X55" s="117">
        <f t="shared" si="62"/>
        <v>277.50040904346201</v>
      </c>
      <c r="Y55" s="117">
        <f t="shared" si="62"/>
        <v>309.97691129598837</v>
      </c>
      <c r="DA55" s="204" t="s">
        <v>1070</v>
      </c>
    </row>
    <row r="56" spans="1:105" ht="11.45" customHeight="1" x14ac:dyDescent="0.25">
      <c r="A56" s="27" t="s">
        <v>101</v>
      </c>
      <c r="B56" s="29">
        <f t="shared" ref="B56:J56" si="63">IF(B10=0,0,B10/B21)</f>
        <v>449.18317556545065</v>
      </c>
      <c r="C56" s="29">
        <f t="shared" si="63"/>
        <v>372.30636930748199</v>
      </c>
      <c r="D56" s="29">
        <f t="shared" si="63"/>
        <v>336.12545902619888</v>
      </c>
      <c r="E56" s="29">
        <f t="shared" si="63"/>
        <v>321.54835759304996</v>
      </c>
      <c r="F56" s="29">
        <f t="shared" si="63"/>
        <v>321.55487829487544</v>
      </c>
      <c r="G56" s="29">
        <f t="shared" si="63"/>
        <v>305.09772917902421</v>
      </c>
      <c r="H56" s="29">
        <f t="shared" si="63"/>
        <v>453.19985633629403</v>
      </c>
      <c r="I56" s="29">
        <f t="shared" si="63"/>
        <v>312.73414052942525</v>
      </c>
      <c r="J56" s="29">
        <f t="shared" si="63"/>
        <v>331.0448238751614</v>
      </c>
      <c r="K56" s="29">
        <f t="shared" ref="K56:V56" si="64">IF(K10=0,0,K10/K21)</f>
        <v>406.82878196957682</v>
      </c>
      <c r="L56" s="29">
        <f t="shared" si="64"/>
        <v>357.33199057724454</v>
      </c>
      <c r="M56" s="29">
        <f t="shared" si="64"/>
        <v>364.23783876857453</v>
      </c>
      <c r="N56" s="29">
        <f t="shared" si="64"/>
        <v>397.75411539446998</v>
      </c>
      <c r="O56" s="29">
        <f t="shared" si="64"/>
        <v>396.24232690936884</v>
      </c>
      <c r="P56" s="29">
        <f t="shared" si="64"/>
        <v>402.00764347169462</v>
      </c>
      <c r="Q56" s="29">
        <f t="shared" si="64"/>
        <v>378.12846384176385</v>
      </c>
      <c r="R56" s="29">
        <f t="shared" si="64"/>
        <v>423.21050752943813</v>
      </c>
      <c r="S56" s="29">
        <f t="shared" si="64"/>
        <v>397.98446473424912</v>
      </c>
      <c r="T56" s="29">
        <f t="shared" si="64"/>
        <v>405.15405576800367</v>
      </c>
      <c r="U56" s="29">
        <f t="shared" si="64"/>
        <v>404.63077027644158</v>
      </c>
      <c r="V56" s="29">
        <f t="shared" si="64"/>
        <v>244.58065763398778</v>
      </c>
      <c r="W56" s="29">
        <f t="shared" ref="W56:Y56" si="65">IF(W10=0,0,W10/W21)</f>
        <v>367.08471440703516</v>
      </c>
      <c r="X56" s="29">
        <f t="shared" si="65"/>
        <v>410.15434073553786</v>
      </c>
      <c r="Y56" s="29">
        <f t="shared" si="65"/>
        <v>430.11347389084</v>
      </c>
      <c r="DA56" s="173" t="s">
        <v>1071</v>
      </c>
    </row>
    <row r="57" spans="1:105" ht="11.45" customHeight="1" x14ac:dyDescent="0.25">
      <c r="A57" s="83" t="s">
        <v>92</v>
      </c>
      <c r="B57" s="87">
        <f t="shared" ref="B57:J57" si="66">IF(B11=0,0,B11/B22)</f>
        <v>336.62612157612335</v>
      </c>
      <c r="C57" s="87">
        <f t="shared" si="66"/>
        <v>341.52109869443683</v>
      </c>
      <c r="D57" s="87">
        <f t="shared" si="66"/>
        <v>342.50637435032439</v>
      </c>
      <c r="E57" s="87">
        <f t="shared" si="66"/>
        <v>313.7833664954955</v>
      </c>
      <c r="F57" s="87">
        <f t="shared" si="66"/>
        <v>313.61652465345611</v>
      </c>
      <c r="G57" s="87">
        <f t="shared" si="66"/>
        <v>313.91848969396898</v>
      </c>
      <c r="H57" s="87">
        <f t="shared" si="66"/>
        <v>491.25018774356465</v>
      </c>
      <c r="I57" s="87">
        <f t="shared" si="66"/>
        <v>338.28569172977478</v>
      </c>
      <c r="J57" s="87">
        <f t="shared" si="66"/>
        <v>339.82000439791102</v>
      </c>
      <c r="K57" s="87">
        <f t="shared" ref="K57:V57" si="67">IF(K11=0,0,K11/K22)</f>
        <v>439.04522947584354</v>
      </c>
      <c r="L57" s="87">
        <f t="shared" si="67"/>
        <v>385.71678850637471</v>
      </c>
      <c r="M57" s="87">
        <f t="shared" si="67"/>
        <v>354.67064930351984</v>
      </c>
      <c r="N57" s="87">
        <f t="shared" si="67"/>
        <v>387.0081599621945</v>
      </c>
      <c r="O57" s="87">
        <f t="shared" si="67"/>
        <v>433.32347873743009</v>
      </c>
      <c r="P57" s="87">
        <f t="shared" si="67"/>
        <v>439.83370182571883</v>
      </c>
      <c r="Q57" s="87">
        <f t="shared" si="67"/>
        <v>472.78111818052776</v>
      </c>
      <c r="R57" s="87">
        <f t="shared" si="67"/>
        <v>460.5713899843783</v>
      </c>
      <c r="S57" s="87">
        <f t="shared" si="67"/>
        <v>325.80272196527056</v>
      </c>
      <c r="T57" s="87">
        <f t="shared" si="67"/>
        <v>267.90869485497035</v>
      </c>
      <c r="U57" s="87">
        <f t="shared" si="67"/>
        <v>240.646801962784</v>
      </c>
      <c r="V57" s="87">
        <f t="shared" si="67"/>
        <v>175.58227632924221</v>
      </c>
      <c r="W57" s="87">
        <f t="shared" ref="W57:Y57" si="68">IF(W11=0,0,W11/W22)</f>
        <v>159.21431762701127</v>
      </c>
      <c r="X57" s="87">
        <f t="shared" si="68"/>
        <v>147.42928566175596</v>
      </c>
      <c r="Y57" s="87">
        <f t="shared" si="68"/>
        <v>149.84514435975865</v>
      </c>
      <c r="DA57" s="171" t="s">
        <v>1072</v>
      </c>
    </row>
    <row r="58" spans="1:105" ht="11.45" customHeight="1" x14ac:dyDescent="0.25">
      <c r="A58" s="85" t="s">
        <v>93</v>
      </c>
      <c r="B58" s="88">
        <f t="shared" ref="B58:J58" si="69">IF(B12=0,0,B12/B23)</f>
        <v>524.96246635430532</v>
      </c>
      <c r="C58" s="88">
        <f t="shared" si="69"/>
        <v>389.83905540839658</v>
      </c>
      <c r="D58" s="88">
        <f t="shared" si="69"/>
        <v>333.40692717985235</v>
      </c>
      <c r="E58" s="88">
        <f t="shared" si="69"/>
        <v>324.02492243968106</v>
      </c>
      <c r="F58" s="88">
        <f t="shared" si="69"/>
        <v>323.97794029510976</v>
      </c>
      <c r="G58" s="88">
        <f t="shared" si="69"/>
        <v>302.46287398931003</v>
      </c>
      <c r="H58" s="88">
        <f t="shared" si="69"/>
        <v>426.38937698976724</v>
      </c>
      <c r="I58" s="88">
        <f t="shared" si="69"/>
        <v>295.25988454205077</v>
      </c>
      <c r="J58" s="88">
        <f t="shared" si="69"/>
        <v>323.66091706237967</v>
      </c>
      <c r="K58" s="88">
        <f t="shared" ref="K58:V58" si="70">IF(K12=0,0,K12/K23)</f>
        <v>298.9593014382005</v>
      </c>
      <c r="L58" s="88">
        <f t="shared" si="70"/>
        <v>289.45677208910985</v>
      </c>
      <c r="M58" s="88">
        <f t="shared" si="70"/>
        <v>369.88742634566819</v>
      </c>
      <c r="N58" s="88">
        <f t="shared" si="70"/>
        <v>405.75547511334582</v>
      </c>
      <c r="O58" s="88">
        <f t="shared" si="70"/>
        <v>386.05921960483249</v>
      </c>
      <c r="P58" s="88">
        <f t="shared" si="70"/>
        <v>391.97873220851284</v>
      </c>
      <c r="Q58" s="88">
        <f t="shared" si="70"/>
        <v>361.49927106927549</v>
      </c>
      <c r="R58" s="88">
        <f t="shared" si="70"/>
        <v>417.15399843023209</v>
      </c>
      <c r="S58" s="88">
        <f t="shared" si="70"/>
        <v>421.56936015428397</v>
      </c>
      <c r="T58" s="88">
        <f t="shared" si="70"/>
        <v>459.62522536580508</v>
      </c>
      <c r="U58" s="88">
        <f t="shared" si="70"/>
        <v>486.95097456752291</v>
      </c>
      <c r="V58" s="88">
        <f t="shared" si="70"/>
        <v>260.92003245109328</v>
      </c>
      <c r="W58" s="88">
        <f t="shared" ref="W58:Y58" si="71">IF(W12=0,0,W12/W23)</f>
        <v>401.05490405037847</v>
      </c>
      <c r="X58" s="88">
        <f t="shared" si="71"/>
        <v>459.48713242262045</v>
      </c>
      <c r="Y58" s="88">
        <f t="shared" si="71"/>
        <v>477.30493321344375</v>
      </c>
      <c r="DA58" s="178" t="s">
        <v>1073</v>
      </c>
    </row>
    <row r="59" spans="1:105" x14ac:dyDescent="0.25">
      <c r="A59" s="106"/>
      <c r="B59" s="106"/>
      <c r="C59" s="106"/>
      <c r="D59" s="106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X59" s="106"/>
      <c r="Y59" s="106"/>
      <c r="DA59" s="171"/>
    </row>
    <row r="60" spans="1:105" ht="11.45" customHeight="1" x14ac:dyDescent="0.25">
      <c r="A60" s="53" t="s">
        <v>102</v>
      </c>
      <c r="B60" s="62"/>
      <c r="C60" s="62"/>
      <c r="D60" s="62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DA60" s="172"/>
    </row>
    <row r="61" spans="1:105" ht="11.45" customHeight="1" x14ac:dyDescent="0.25">
      <c r="A61" s="27" t="s">
        <v>103</v>
      </c>
      <c r="B61" s="29">
        <f t="shared" ref="B61" si="72">IF(B26=0,0,(B62*B27+B64*B29+B65*B30+B66*B31)/(B27+B29+B30+B31))</f>
        <v>357.17319507830393</v>
      </c>
      <c r="C61" s="29">
        <f t="shared" ref="C61" si="73">IF(C26=0,0,(C62*C27+C64*C29+C65*C30+C66*C31)/(C27+C29+C30+C31))</f>
        <v>355.32495418195219</v>
      </c>
      <c r="D61" s="29">
        <f t="shared" ref="D61" si="74">IF(D26=0,0,(D62*D27+D64*D29+D65*D30+D66*D31)/(D27+D29+D30+D31))</f>
        <v>354.08306089867438</v>
      </c>
      <c r="E61" s="29">
        <f t="shared" ref="E61" si="75">IF(E26=0,0,(E62*E27+E64*E29+E65*E30+E66*E31)/(E27+E29+E30+E31))</f>
        <v>352.15064146601281</v>
      </c>
      <c r="F61" s="29">
        <f t="shared" ref="F61" si="76">IF(F26=0,0,(F62*F27+F64*F29+F65*F30+F66*F31)/(F27+F29+F30+F31))</f>
        <v>350.84508115654972</v>
      </c>
      <c r="G61" s="29">
        <f t="shared" ref="G61" si="77">IF(G26=0,0,(G62*G27+G64*G29+G65*G30+G66*G31)/(G27+G29+G30+G31))</f>
        <v>348.69687858825961</v>
      </c>
      <c r="H61" s="29">
        <f t="shared" ref="H61" si="78">IF(H26=0,0,(H62*H27+H64*H29+H65*H30+H66*H31)/(H27+H29+H30+H31))</f>
        <v>350.70335208695701</v>
      </c>
      <c r="I61" s="29">
        <f t="shared" ref="I61" si="79">IF(I26=0,0,(I62*I27+I64*I29+I65*I30+I66*I31)/(I27+I29+I30+I31))</f>
        <v>351.87991323056326</v>
      </c>
      <c r="J61" s="29">
        <f t="shared" ref="J61" si="80">IF(J26=0,0,(J62*J27+J64*J29+J65*J30+J66*J31)/(J27+J29+J30+J31))</f>
        <v>356.49189137164444</v>
      </c>
      <c r="K61" s="29">
        <f t="shared" ref="K61" si="81">IF(K26=0,0,(K62*K27+K64*K29+K65*K30+K66*K31)/(K27+K29+K30+K31))</f>
        <v>365.09734599114142</v>
      </c>
      <c r="L61" s="29">
        <f t="shared" ref="L61" si="82">IF(L26=0,0,(L62*L27+L64*L29+L65*L30+L66*L31)/(L27+L29+L30+L31))</f>
        <v>369.84556627461546</v>
      </c>
      <c r="M61" s="29">
        <f t="shared" ref="M61" si="83">IF(M26=0,0,(M62*M27+M64*M29+M65*M30+M66*M31)/(M27+M29+M30+M31))</f>
        <v>370.80345945543854</v>
      </c>
      <c r="N61" s="29">
        <f t="shared" ref="N61" si="84">IF(N26=0,0,(N62*N27+N64*N29+N65*N30+N66*N31)/(N27+N29+N30+N31))</f>
        <v>367.78506352430986</v>
      </c>
      <c r="O61" s="29">
        <f t="shared" ref="O61" si="85">IF(O26=0,0,(O62*O27+O64*O29+O65*O30+O66*O31)/(O27+O29+O30+O31))</f>
        <v>368.8281416295668</v>
      </c>
      <c r="P61" s="29">
        <f t="shared" ref="P61" si="86">IF(P26=0,0,(P62*P27+P64*P29+P65*P30+P66*P31)/(P27+P29+P30+P31))</f>
        <v>368.14627425007313</v>
      </c>
      <c r="Q61" s="29">
        <f t="shared" ref="Q61" si="87">IF(Q26=0,0,(Q62*Q27+Q64*Q29+Q65*Q30+Q66*Q31)/(Q27+Q29+Q30+Q31))</f>
        <v>367.59869723623052</v>
      </c>
      <c r="R61" s="29">
        <f t="shared" ref="R61" si="88">IF(R26=0,0,(R62*R27+R64*R29+R65*R30+R66*R31)/(R27+R29+R30+R31))</f>
        <v>368.53268751171612</v>
      </c>
      <c r="S61" s="29">
        <f t="shared" ref="S61" si="89">IF(S26=0,0,(S62*S27+S64*S29+S65*S30+S66*S31)/(S27+S29+S30+S31))</f>
        <v>370.01226746649905</v>
      </c>
      <c r="T61" s="29">
        <f t="shared" ref="T61" si="90">IF(T26=0,0,(T62*T27+T64*T29+T65*T30+T66*T31)/(T27+T29+T30+T31))</f>
        <v>372.52309414431221</v>
      </c>
      <c r="U61" s="29">
        <f t="shared" ref="U61" si="91">IF(U26=0,0,(U62*U27+U64*U29+U65*U30+U66*U31)/(U27+U29+U30+U31))</f>
        <v>374.34540249205492</v>
      </c>
      <c r="V61" s="29">
        <f t="shared" ref="V61" si="92">IF(V26=0,0,(V62*V27+V64*V29+V65*V30+V66*V31)/(V27+V29+V30+V31))</f>
        <v>372.3293812247374</v>
      </c>
      <c r="W61" s="29">
        <f t="shared" ref="W61:Y61" si="93">IF(W26=0,0,(W62*W27+W64*W29+W65*W30+W66*W31)/(W27+W29+W30+W31))</f>
        <v>369.24110175862711</v>
      </c>
      <c r="X61" s="29">
        <f t="shared" si="93"/>
        <v>368.14335754150432</v>
      </c>
      <c r="Y61" s="29">
        <f t="shared" si="93"/>
        <v>366.52049038229291</v>
      </c>
      <c r="DA61" s="173" t="s">
        <v>1074</v>
      </c>
    </row>
    <row r="62" spans="1:105" ht="11.45" customHeight="1" x14ac:dyDescent="0.25">
      <c r="A62" s="107" t="s">
        <v>23</v>
      </c>
      <c r="B62" s="115">
        <v>400</v>
      </c>
      <c r="C62" s="115">
        <v>400</v>
      </c>
      <c r="D62" s="115">
        <v>400</v>
      </c>
      <c r="E62" s="115">
        <v>400</v>
      </c>
      <c r="F62" s="115">
        <v>400</v>
      </c>
      <c r="G62" s="115">
        <v>400</v>
      </c>
      <c r="H62" s="115">
        <v>400</v>
      </c>
      <c r="I62" s="115">
        <v>400</v>
      </c>
      <c r="J62" s="115">
        <v>400</v>
      </c>
      <c r="K62" s="115">
        <v>400</v>
      </c>
      <c r="L62" s="115">
        <v>400</v>
      </c>
      <c r="M62" s="115">
        <v>400</v>
      </c>
      <c r="N62" s="115">
        <v>400</v>
      </c>
      <c r="O62" s="115">
        <v>400</v>
      </c>
      <c r="P62" s="115">
        <v>400</v>
      </c>
      <c r="Q62" s="115">
        <v>400</v>
      </c>
      <c r="R62" s="115">
        <v>400</v>
      </c>
      <c r="S62" s="115">
        <v>400</v>
      </c>
      <c r="T62" s="115">
        <v>400</v>
      </c>
      <c r="U62" s="115">
        <v>400</v>
      </c>
      <c r="V62" s="115">
        <v>400</v>
      </c>
      <c r="W62" s="115">
        <v>400</v>
      </c>
      <c r="X62" s="115">
        <v>400</v>
      </c>
      <c r="Y62" s="115">
        <v>400</v>
      </c>
      <c r="DA62" s="203" t="s">
        <v>1075</v>
      </c>
    </row>
    <row r="63" spans="1:105" ht="11.45" customHeight="1" x14ac:dyDescent="0.25">
      <c r="A63" s="109" t="s">
        <v>24</v>
      </c>
      <c r="B63" s="116">
        <f t="shared" ref="B63" si="94">IF(B28=0,0,(B64*B29+B65*B30)/(B29+B30))</f>
        <v>320</v>
      </c>
      <c r="C63" s="116">
        <f t="shared" ref="C63" si="95">IF(C28=0,0,(C64*C29+C65*C30)/(C29+C30))</f>
        <v>320</v>
      </c>
      <c r="D63" s="116">
        <f t="shared" ref="D63" si="96">IF(D28=0,0,(D64*D29+D65*D30)/(D29+D30))</f>
        <v>319.99999999999994</v>
      </c>
      <c r="E63" s="116">
        <f t="shared" ref="E63" si="97">IF(E28=0,0,(E64*E29+E65*E30)/(E29+E30))</f>
        <v>320.00000000000006</v>
      </c>
      <c r="F63" s="116">
        <f t="shared" ref="F63" si="98">IF(F28=0,0,(F64*F29+F65*F30)/(F29+F30))</f>
        <v>319.99999999999994</v>
      </c>
      <c r="G63" s="116">
        <f t="shared" ref="G63" si="99">IF(G28=0,0,(G64*G29+G65*G30)/(G29+G30))</f>
        <v>319.99999999999994</v>
      </c>
      <c r="H63" s="116">
        <f t="shared" ref="H63" si="100">IF(H28=0,0,(H64*H29+H65*H30)/(H29+H30))</f>
        <v>320</v>
      </c>
      <c r="I63" s="116">
        <f t="shared" ref="I63" si="101">IF(I28=0,0,(I64*I29+I65*I30)/(I29+I30))</f>
        <v>320</v>
      </c>
      <c r="J63" s="116">
        <f t="shared" ref="J63" si="102">IF(J28=0,0,(J64*J29+J65*J30)/(J29+J30))</f>
        <v>320</v>
      </c>
      <c r="K63" s="116">
        <f t="shared" ref="K63" si="103">IF(K28=0,0,(K64*K29+K65*K30)/(K29+K30))</f>
        <v>320</v>
      </c>
      <c r="L63" s="116">
        <f t="shared" ref="L63" si="104">IF(L28=0,0,(L64*L29+L65*L30)/(L29+L30))</f>
        <v>320</v>
      </c>
      <c r="M63" s="116">
        <f t="shared" ref="M63" si="105">IF(M28=0,0,(M64*M29+M65*M30)/(M29+M30))</f>
        <v>320</v>
      </c>
      <c r="N63" s="116">
        <f t="shared" ref="N63" si="106">IF(N28=0,0,(N64*N29+N65*N30)/(N29+N30))</f>
        <v>320</v>
      </c>
      <c r="O63" s="116">
        <f t="shared" ref="O63" si="107">IF(O28=0,0,(O64*O29+O65*O30)/(O29+O30))</f>
        <v>320</v>
      </c>
      <c r="P63" s="116">
        <f t="shared" ref="P63" si="108">IF(P28=0,0,(P64*P29+P65*P30)/(P29+P30))</f>
        <v>320</v>
      </c>
      <c r="Q63" s="116">
        <f t="shared" ref="Q63" si="109">IF(Q28=0,0,(Q64*Q29+Q65*Q30)/(Q29+Q30))</f>
        <v>319.99999999999994</v>
      </c>
      <c r="R63" s="116">
        <f t="shared" ref="R63" si="110">IF(R28=0,0,(R64*R29+R65*R30)/(R29+R30))</f>
        <v>320.00000000000006</v>
      </c>
      <c r="S63" s="116">
        <f t="shared" ref="S63" si="111">IF(S28=0,0,(S64*S29+S65*S30)/(S29+S30))</f>
        <v>320</v>
      </c>
      <c r="T63" s="116">
        <f t="shared" ref="T63" si="112">IF(T28=0,0,(T64*T29+T65*T30)/(T29+T30))</f>
        <v>320</v>
      </c>
      <c r="U63" s="116">
        <f t="shared" ref="U63" si="113">IF(U28=0,0,(U64*U29+U65*U30)/(U29+U30))</f>
        <v>319.99999999999994</v>
      </c>
      <c r="V63" s="116">
        <f t="shared" ref="V63" si="114">IF(V28=0,0,(V64*V29+V65*V30)/(V29+V30))</f>
        <v>320</v>
      </c>
      <c r="W63" s="116">
        <f t="shared" ref="W63:Y63" si="115">IF(W28=0,0,(W64*W29+W65*W30)/(W29+W30))</f>
        <v>319.99999999999994</v>
      </c>
      <c r="X63" s="116">
        <f t="shared" si="115"/>
        <v>320.00000000000006</v>
      </c>
      <c r="Y63" s="116">
        <f t="shared" si="115"/>
        <v>320</v>
      </c>
      <c r="DA63" s="176" t="s">
        <v>1076</v>
      </c>
    </row>
    <row r="64" spans="1:105" ht="11.45" customHeight="1" x14ac:dyDescent="0.25">
      <c r="A64" s="111" t="s">
        <v>92</v>
      </c>
      <c r="B64" s="87">
        <v>320</v>
      </c>
      <c r="C64" s="87">
        <v>320</v>
      </c>
      <c r="D64" s="87">
        <v>320</v>
      </c>
      <c r="E64" s="87">
        <v>320</v>
      </c>
      <c r="F64" s="87">
        <v>320</v>
      </c>
      <c r="G64" s="87">
        <v>320</v>
      </c>
      <c r="H64" s="87">
        <v>320</v>
      </c>
      <c r="I64" s="87">
        <v>320</v>
      </c>
      <c r="J64" s="87">
        <v>320</v>
      </c>
      <c r="K64" s="87">
        <v>320</v>
      </c>
      <c r="L64" s="87">
        <v>320</v>
      </c>
      <c r="M64" s="87">
        <v>320</v>
      </c>
      <c r="N64" s="87">
        <v>320</v>
      </c>
      <c r="O64" s="87">
        <v>320</v>
      </c>
      <c r="P64" s="87">
        <v>320</v>
      </c>
      <c r="Q64" s="87">
        <v>320</v>
      </c>
      <c r="R64" s="87">
        <v>320</v>
      </c>
      <c r="S64" s="87">
        <v>320</v>
      </c>
      <c r="T64" s="87">
        <v>320</v>
      </c>
      <c r="U64" s="87">
        <v>320</v>
      </c>
      <c r="V64" s="87">
        <v>320</v>
      </c>
      <c r="W64" s="87">
        <v>320</v>
      </c>
      <c r="X64" s="87">
        <v>320</v>
      </c>
      <c r="Y64" s="87">
        <v>320</v>
      </c>
      <c r="DA64" s="171" t="s">
        <v>1077</v>
      </c>
    </row>
    <row r="65" spans="1:105" ht="11.45" customHeight="1" x14ac:dyDescent="0.25">
      <c r="A65" s="111" t="s">
        <v>93</v>
      </c>
      <c r="B65" s="87">
        <v>320</v>
      </c>
      <c r="C65" s="87">
        <v>320</v>
      </c>
      <c r="D65" s="87">
        <v>320</v>
      </c>
      <c r="E65" s="87">
        <v>320</v>
      </c>
      <c r="F65" s="87">
        <v>320</v>
      </c>
      <c r="G65" s="87">
        <v>320</v>
      </c>
      <c r="H65" s="87">
        <v>320</v>
      </c>
      <c r="I65" s="87">
        <v>320</v>
      </c>
      <c r="J65" s="87">
        <v>320</v>
      </c>
      <c r="K65" s="87">
        <v>320</v>
      </c>
      <c r="L65" s="87">
        <v>320</v>
      </c>
      <c r="M65" s="87">
        <v>320</v>
      </c>
      <c r="N65" s="87">
        <v>320</v>
      </c>
      <c r="O65" s="87">
        <v>320</v>
      </c>
      <c r="P65" s="87">
        <v>320</v>
      </c>
      <c r="Q65" s="87">
        <v>320</v>
      </c>
      <c r="R65" s="87">
        <v>320</v>
      </c>
      <c r="S65" s="87">
        <v>320</v>
      </c>
      <c r="T65" s="87">
        <v>320</v>
      </c>
      <c r="U65" s="87">
        <v>320</v>
      </c>
      <c r="V65" s="87">
        <v>320</v>
      </c>
      <c r="W65" s="87">
        <v>320</v>
      </c>
      <c r="X65" s="87">
        <v>320</v>
      </c>
      <c r="Y65" s="87">
        <v>320</v>
      </c>
      <c r="DA65" s="171" t="s">
        <v>1078</v>
      </c>
    </row>
    <row r="66" spans="1:105" ht="11.45" customHeight="1" x14ac:dyDescent="0.25">
      <c r="A66" s="112" t="s">
        <v>25</v>
      </c>
      <c r="B66" s="117">
        <v>560</v>
      </c>
      <c r="C66" s="117">
        <v>560</v>
      </c>
      <c r="D66" s="117">
        <v>560</v>
      </c>
      <c r="E66" s="117">
        <v>560</v>
      </c>
      <c r="F66" s="117">
        <v>560</v>
      </c>
      <c r="G66" s="117">
        <v>560</v>
      </c>
      <c r="H66" s="117">
        <v>560</v>
      </c>
      <c r="I66" s="117">
        <v>560</v>
      </c>
      <c r="J66" s="117">
        <v>560</v>
      </c>
      <c r="K66" s="117">
        <v>560</v>
      </c>
      <c r="L66" s="117">
        <v>560</v>
      </c>
      <c r="M66" s="117">
        <v>560</v>
      </c>
      <c r="N66" s="117">
        <v>560</v>
      </c>
      <c r="O66" s="117">
        <v>560</v>
      </c>
      <c r="P66" s="117">
        <v>560</v>
      </c>
      <c r="Q66" s="117">
        <v>560</v>
      </c>
      <c r="R66" s="117">
        <v>560</v>
      </c>
      <c r="S66" s="117">
        <v>560</v>
      </c>
      <c r="T66" s="117">
        <v>560</v>
      </c>
      <c r="U66" s="117">
        <v>560</v>
      </c>
      <c r="V66" s="117">
        <v>560</v>
      </c>
      <c r="W66" s="117">
        <v>560</v>
      </c>
      <c r="X66" s="117">
        <v>560</v>
      </c>
      <c r="Y66" s="117">
        <v>560</v>
      </c>
      <c r="DA66" s="204" t="s">
        <v>1079</v>
      </c>
    </row>
    <row r="67" spans="1:105" ht="11.45" customHeight="1" x14ac:dyDescent="0.25">
      <c r="A67" s="27" t="s">
        <v>80</v>
      </c>
      <c r="B67" s="29">
        <f t="shared" ref="B67" si="116">IF(B32=0,0,(B68*B33+B69*B34)/(B33+B34))</f>
        <v>2100</v>
      </c>
      <c r="C67" s="29">
        <f t="shared" ref="C67" si="117">IF(C32=0,0,(C68*C33+C69*C34)/(C33+C34))</f>
        <v>2100</v>
      </c>
      <c r="D67" s="29">
        <f t="shared" ref="D67" si="118">IF(D32=0,0,(D68*D33+D69*D34)/(D33+D34))</f>
        <v>2100</v>
      </c>
      <c r="E67" s="29">
        <f t="shared" ref="E67" si="119">IF(E32=0,0,(E68*E33+E69*E34)/(E33+E34))</f>
        <v>2100</v>
      </c>
      <c r="F67" s="29">
        <f t="shared" ref="F67" si="120">IF(F32=0,0,(F68*F33+F69*F34)/(F33+F34))</f>
        <v>2100</v>
      </c>
      <c r="G67" s="29">
        <f t="shared" ref="G67" si="121">IF(G32=0,0,(G68*G33+G69*G34)/(G33+G34))</f>
        <v>2100</v>
      </c>
      <c r="H67" s="29">
        <f t="shared" ref="H67" si="122">IF(H32=0,0,(H68*H33+H69*H34)/(H33+H34))</f>
        <v>2099.9999999999995</v>
      </c>
      <c r="I67" s="29">
        <f t="shared" ref="I67" si="123">IF(I32=0,0,(I68*I33+I69*I34)/(I33+I34))</f>
        <v>2100</v>
      </c>
      <c r="J67" s="29">
        <f t="shared" ref="J67" si="124">IF(J32=0,0,(J68*J33+J69*J34)/(J33+J34))</f>
        <v>2100</v>
      </c>
      <c r="K67" s="29">
        <f t="shared" ref="K67" si="125">IF(K32=0,0,(K68*K33+K69*K34)/(K33+K34))</f>
        <v>2100</v>
      </c>
      <c r="L67" s="29">
        <f t="shared" ref="L67" si="126">IF(L32=0,0,(L68*L33+L69*L34)/(L33+L34))</f>
        <v>2100</v>
      </c>
      <c r="M67" s="29">
        <f t="shared" ref="M67" si="127">IF(M32=0,0,(M68*M33+M69*M34)/(M33+M34))</f>
        <v>2099.9999999999995</v>
      </c>
      <c r="N67" s="29">
        <f t="shared" ref="N67" si="128">IF(N32=0,0,(N68*N33+N69*N34)/(N33+N34))</f>
        <v>2099.9999999999995</v>
      </c>
      <c r="O67" s="29">
        <f t="shared" ref="O67" si="129">IF(O32=0,0,(O68*O33+O69*O34)/(O33+O34))</f>
        <v>2100</v>
      </c>
      <c r="P67" s="29">
        <f t="shared" ref="P67" si="130">IF(P32=0,0,(P68*P33+P69*P34)/(P33+P34))</f>
        <v>2100</v>
      </c>
      <c r="Q67" s="29">
        <f t="shared" ref="Q67" si="131">IF(Q32=0,0,(Q68*Q33+Q69*Q34)/(Q33+Q34))</f>
        <v>2100</v>
      </c>
      <c r="R67" s="29">
        <f t="shared" ref="R67" si="132">IF(R32=0,0,(R68*R33+R69*R34)/(R33+R34))</f>
        <v>2100</v>
      </c>
      <c r="S67" s="29">
        <f t="shared" ref="S67" si="133">IF(S32=0,0,(S68*S33+S69*S34)/(S33+S34))</f>
        <v>2100</v>
      </c>
      <c r="T67" s="29">
        <f t="shared" ref="T67" si="134">IF(T32=0,0,(T68*T33+T69*T34)/(T33+T34))</f>
        <v>2099.9999999999995</v>
      </c>
      <c r="U67" s="29">
        <f t="shared" ref="U67" si="135">IF(U32=0,0,(U68*U33+U69*U34)/(U33+U34))</f>
        <v>2100</v>
      </c>
      <c r="V67" s="29">
        <f t="shared" ref="V67" si="136">IF(V32=0,0,(V68*V33+V69*V34)/(V33+V34))</f>
        <v>2100</v>
      </c>
      <c r="W67" s="29">
        <f t="shared" ref="W67:Y67" si="137">IF(W32=0,0,(W68*W33+W69*W34)/(W33+W34))</f>
        <v>2100</v>
      </c>
      <c r="X67" s="29">
        <f t="shared" si="137"/>
        <v>2100</v>
      </c>
      <c r="Y67" s="29">
        <f t="shared" si="137"/>
        <v>2100</v>
      </c>
      <c r="DA67" s="173" t="s">
        <v>1080</v>
      </c>
    </row>
    <row r="68" spans="1:105" ht="11.45" customHeight="1" x14ac:dyDescent="0.25">
      <c r="A68" s="83" t="s">
        <v>92</v>
      </c>
      <c r="B68" s="87">
        <v>2100</v>
      </c>
      <c r="C68" s="87">
        <v>2100</v>
      </c>
      <c r="D68" s="87">
        <v>2100</v>
      </c>
      <c r="E68" s="87">
        <v>2100</v>
      </c>
      <c r="F68" s="87">
        <v>2100</v>
      </c>
      <c r="G68" s="87">
        <v>2100</v>
      </c>
      <c r="H68" s="87">
        <v>2100</v>
      </c>
      <c r="I68" s="87">
        <v>2100</v>
      </c>
      <c r="J68" s="87">
        <v>2100</v>
      </c>
      <c r="K68" s="87">
        <v>2100</v>
      </c>
      <c r="L68" s="87">
        <v>2100</v>
      </c>
      <c r="M68" s="87">
        <v>2100</v>
      </c>
      <c r="N68" s="87">
        <v>2100</v>
      </c>
      <c r="O68" s="87">
        <v>2100</v>
      </c>
      <c r="P68" s="87">
        <v>2100</v>
      </c>
      <c r="Q68" s="87">
        <v>2100</v>
      </c>
      <c r="R68" s="87">
        <v>2100</v>
      </c>
      <c r="S68" s="87">
        <v>2100</v>
      </c>
      <c r="T68" s="87">
        <v>2100</v>
      </c>
      <c r="U68" s="87">
        <v>2100</v>
      </c>
      <c r="V68" s="87">
        <v>2100</v>
      </c>
      <c r="W68" s="87">
        <v>2100</v>
      </c>
      <c r="X68" s="87">
        <v>2100</v>
      </c>
      <c r="Y68" s="87">
        <v>2100</v>
      </c>
      <c r="DA68" s="171" t="s">
        <v>1081</v>
      </c>
    </row>
    <row r="69" spans="1:105" ht="11.45" customHeight="1" x14ac:dyDescent="0.25">
      <c r="A69" s="85" t="s">
        <v>93</v>
      </c>
      <c r="B69" s="88">
        <v>2100</v>
      </c>
      <c r="C69" s="88">
        <v>2100</v>
      </c>
      <c r="D69" s="88">
        <v>2100</v>
      </c>
      <c r="E69" s="88">
        <v>2100</v>
      </c>
      <c r="F69" s="88">
        <v>2100</v>
      </c>
      <c r="G69" s="88">
        <v>2100</v>
      </c>
      <c r="H69" s="88">
        <v>2100</v>
      </c>
      <c r="I69" s="88">
        <v>2100</v>
      </c>
      <c r="J69" s="88">
        <v>2100</v>
      </c>
      <c r="K69" s="88">
        <v>2100</v>
      </c>
      <c r="L69" s="88">
        <v>2100</v>
      </c>
      <c r="M69" s="88">
        <v>2100</v>
      </c>
      <c r="N69" s="88">
        <v>2100</v>
      </c>
      <c r="O69" s="88">
        <v>2100</v>
      </c>
      <c r="P69" s="88">
        <v>2100</v>
      </c>
      <c r="Q69" s="88">
        <v>2100</v>
      </c>
      <c r="R69" s="88">
        <v>2100</v>
      </c>
      <c r="S69" s="88">
        <v>2100</v>
      </c>
      <c r="T69" s="88">
        <v>2100</v>
      </c>
      <c r="U69" s="88">
        <v>2100</v>
      </c>
      <c r="V69" s="88">
        <v>2100</v>
      </c>
      <c r="W69" s="88">
        <v>2100</v>
      </c>
      <c r="X69" s="88">
        <v>2100</v>
      </c>
      <c r="Y69" s="88">
        <v>2100</v>
      </c>
      <c r="DA69" s="178" t="s">
        <v>1082</v>
      </c>
    </row>
    <row r="70" spans="1:105" x14ac:dyDescent="0.25">
      <c r="A70" s="106"/>
      <c r="B70" s="106"/>
      <c r="C70" s="106"/>
      <c r="D70" s="106"/>
      <c r="E70" s="106"/>
      <c r="F70" s="106"/>
      <c r="G70" s="106"/>
      <c r="H70" s="106"/>
      <c r="I70" s="106"/>
      <c r="J70" s="106"/>
      <c r="K70" s="106"/>
      <c r="L70" s="114"/>
      <c r="M70" s="106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X70" s="106"/>
      <c r="Y70" s="106"/>
      <c r="DA70" s="171"/>
    </row>
    <row r="71" spans="1:105" ht="11.45" customHeight="1" x14ac:dyDescent="0.25">
      <c r="A71" s="53" t="s">
        <v>104</v>
      </c>
      <c r="B71" s="135"/>
      <c r="C71" s="135"/>
      <c r="D71" s="135"/>
      <c r="E71" s="135"/>
      <c r="F71" s="135"/>
      <c r="G71" s="135"/>
      <c r="H71" s="135"/>
      <c r="I71" s="135"/>
      <c r="J71" s="135"/>
      <c r="K71" s="135"/>
      <c r="L71" s="135"/>
      <c r="M71" s="135"/>
      <c r="N71" s="135"/>
      <c r="O71" s="135"/>
      <c r="P71" s="135"/>
      <c r="Q71" s="135"/>
      <c r="R71" s="135"/>
      <c r="S71" s="135"/>
      <c r="T71" s="135"/>
      <c r="U71" s="135"/>
      <c r="V71" s="135"/>
      <c r="W71" s="135"/>
      <c r="X71" s="135"/>
      <c r="Y71" s="135"/>
      <c r="DA71" s="172"/>
    </row>
    <row r="72" spans="1:105" ht="11.45" customHeight="1" x14ac:dyDescent="0.25">
      <c r="A72" s="27" t="s">
        <v>33</v>
      </c>
      <c r="B72" s="30">
        <f>IF(B50=0,0,B50/B61)</f>
        <v>0.36926162621573116</v>
      </c>
      <c r="C72" s="30">
        <f t="shared" ref="C72:J72" si="138">IF(C50=0,0,C50/C61)</f>
        <v>0.35270402352221986</v>
      </c>
      <c r="D72" s="30">
        <f t="shared" si="138"/>
        <v>0.33530178373629665</v>
      </c>
      <c r="E72" s="30">
        <f t="shared" si="138"/>
        <v>0.30094790823305817</v>
      </c>
      <c r="F72" s="30">
        <f t="shared" si="138"/>
        <v>0.27284226631646508</v>
      </c>
      <c r="G72" s="30">
        <f t="shared" si="138"/>
        <v>0.26020730576296458</v>
      </c>
      <c r="H72" s="30">
        <f t="shared" si="138"/>
        <v>0.32997568440392078</v>
      </c>
      <c r="I72" s="30">
        <f t="shared" si="138"/>
        <v>0.2983432354529888</v>
      </c>
      <c r="J72" s="30">
        <f t="shared" si="138"/>
        <v>0.3031209921981558</v>
      </c>
      <c r="K72" s="30">
        <f t="shared" ref="K72:V72" si="139">IF(K50=0,0,K50/K61)</f>
        <v>0.31125987663564075</v>
      </c>
      <c r="L72" s="30">
        <f t="shared" si="139"/>
        <v>0.29151647570330586</v>
      </c>
      <c r="M72" s="30">
        <f t="shared" si="139"/>
        <v>0.25868794816319207</v>
      </c>
      <c r="N72" s="30">
        <f t="shared" si="139"/>
        <v>0.24628307799875496</v>
      </c>
      <c r="O72" s="30">
        <f t="shared" si="139"/>
        <v>0.32252769481155164</v>
      </c>
      <c r="P72" s="30">
        <f t="shared" si="139"/>
        <v>0.32513531600031381</v>
      </c>
      <c r="Q72" s="30">
        <f t="shared" si="139"/>
        <v>0.32464979203007166</v>
      </c>
      <c r="R72" s="30">
        <f t="shared" si="139"/>
        <v>0.3209442764776797</v>
      </c>
      <c r="S72" s="30">
        <f t="shared" si="139"/>
        <v>0.33029306071689091</v>
      </c>
      <c r="T72" s="30">
        <f t="shared" si="139"/>
        <v>0.33454492954803405</v>
      </c>
      <c r="U72" s="30">
        <f t="shared" si="139"/>
        <v>0.34410005063983401</v>
      </c>
      <c r="V72" s="30">
        <f t="shared" si="139"/>
        <v>0.18916030127382721</v>
      </c>
      <c r="W72" s="30">
        <f t="shared" ref="W72:Y72" si="140">IF(W50=0,0,W50/W61)</f>
        <v>0.23727365281289042</v>
      </c>
      <c r="X72" s="30">
        <f t="shared" si="140"/>
        <v>0.33996267052898449</v>
      </c>
      <c r="Y72" s="30">
        <f t="shared" si="140"/>
        <v>0.40580303701333931</v>
      </c>
      <c r="DA72" s="173"/>
    </row>
    <row r="73" spans="1:105" ht="11.45" customHeight="1" x14ac:dyDescent="0.25">
      <c r="A73" s="107" t="s">
        <v>23</v>
      </c>
      <c r="B73" s="118">
        <f t="shared" ref="B73:J80" si="141">IF(B51=0,0,B51/B62)</f>
        <v>0.20630798191162392</v>
      </c>
      <c r="C73" s="118">
        <f t="shared" si="141"/>
        <v>0.20628255966594883</v>
      </c>
      <c r="D73" s="118">
        <f t="shared" si="141"/>
        <v>0.20679821932738257</v>
      </c>
      <c r="E73" s="118">
        <f t="shared" si="141"/>
        <v>0.19546725782247329</v>
      </c>
      <c r="F73" s="118">
        <f t="shared" si="141"/>
        <v>0.19546725782247329</v>
      </c>
      <c r="G73" s="118">
        <f t="shared" si="141"/>
        <v>0.19835142745591747</v>
      </c>
      <c r="H73" s="118">
        <f t="shared" si="141"/>
        <v>0.19875389359928761</v>
      </c>
      <c r="I73" s="118">
        <f t="shared" si="141"/>
        <v>0.197209815869544</v>
      </c>
      <c r="J73" s="118">
        <f t="shared" si="141"/>
        <v>0.19845669836218796</v>
      </c>
      <c r="K73" s="118">
        <f t="shared" ref="K73:V73" si="142">IF(K51=0,0,K51/K62)</f>
        <v>0.19549502074847422</v>
      </c>
      <c r="L73" s="118">
        <f t="shared" si="142"/>
        <v>0.19455904590799952</v>
      </c>
      <c r="M73" s="118">
        <f t="shared" si="142"/>
        <v>0.19666802552551363</v>
      </c>
      <c r="N73" s="118">
        <f t="shared" si="142"/>
        <v>0.19359354527477757</v>
      </c>
      <c r="O73" s="118">
        <f t="shared" si="142"/>
        <v>0.19651880449022205</v>
      </c>
      <c r="P73" s="118">
        <f t="shared" si="142"/>
        <v>0.19835426264271813</v>
      </c>
      <c r="Q73" s="118">
        <f t="shared" si="142"/>
        <v>0.20140252083176982</v>
      </c>
      <c r="R73" s="118">
        <f t="shared" si="142"/>
        <v>0.20338960579731535</v>
      </c>
      <c r="S73" s="118">
        <f t="shared" si="142"/>
        <v>0.20283224089347979</v>
      </c>
      <c r="T73" s="118">
        <f t="shared" si="142"/>
        <v>0.20499373416875574</v>
      </c>
      <c r="U73" s="118">
        <f t="shared" si="142"/>
        <v>0.18936387575525856</v>
      </c>
      <c r="V73" s="118">
        <f t="shared" si="142"/>
        <v>0.13291404304093224</v>
      </c>
      <c r="W73" s="118">
        <f t="shared" ref="W73:Y73" si="143">IF(W51=0,0,W51/W62)</f>
        <v>0.17157215610556836</v>
      </c>
      <c r="X73" s="118">
        <f t="shared" si="143"/>
        <v>0.19439219291422105</v>
      </c>
      <c r="Y73" s="118">
        <f t="shared" si="143"/>
        <v>0.22006852252929682</v>
      </c>
      <c r="DA73" s="203"/>
    </row>
    <row r="74" spans="1:105" ht="11.45" customHeight="1" x14ac:dyDescent="0.25">
      <c r="A74" s="109" t="s">
        <v>24</v>
      </c>
      <c r="B74" s="119">
        <f t="shared" si="141"/>
        <v>0.47974826269122472</v>
      </c>
      <c r="C74" s="119">
        <f t="shared" si="141"/>
        <v>0.44055753372276368</v>
      </c>
      <c r="D74" s="119">
        <f t="shared" si="141"/>
        <v>0.40611342481428064</v>
      </c>
      <c r="E74" s="119">
        <f t="shared" si="141"/>
        <v>0.35233000672726034</v>
      </c>
      <c r="F74" s="119">
        <f t="shared" si="141"/>
        <v>0.30474867935765099</v>
      </c>
      <c r="G74" s="119">
        <f t="shared" si="141"/>
        <v>0.27928218149817313</v>
      </c>
      <c r="H74" s="119">
        <f t="shared" si="141"/>
        <v>0.399206397984116</v>
      </c>
      <c r="I74" s="119">
        <f t="shared" si="141"/>
        <v>0.34758153408043019</v>
      </c>
      <c r="J74" s="119">
        <f t="shared" si="141"/>
        <v>0.33881654507658782</v>
      </c>
      <c r="K74" s="119">
        <f t="shared" ref="K74:V74" si="144">IF(K52=0,0,K52/K63)</f>
        <v>0.31609537189306591</v>
      </c>
      <c r="L74" s="119">
        <f t="shared" si="144"/>
        <v>0.29154157456483121</v>
      </c>
      <c r="M74" s="119">
        <f t="shared" si="144"/>
        <v>0.23064311038814847</v>
      </c>
      <c r="N74" s="119">
        <f t="shared" si="144"/>
        <v>0.20458810632983765</v>
      </c>
      <c r="O74" s="119">
        <f t="shared" si="144"/>
        <v>0.32595409145617343</v>
      </c>
      <c r="P74" s="119">
        <f t="shared" si="144"/>
        <v>0.33067692595792153</v>
      </c>
      <c r="Q74" s="119">
        <f t="shared" si="144"/>
        <v>0.2921660661461713</v>
      </c>
      <c r="R74" s="119">
        <f t="shared" si="144"/>
        <v>0.27044151249012932</v>
      </c>
      <c r="S74" s="119">
        <f t="shared" si="144"/>
        <v>0.29458402755101226</v>
      </c>
      <c r="T74" s="119">
        <f t="shared" si="144"/>
        <v>0.30795511198476222</v>
      </c>
      <c r="U74" s="119">
        <f t="shared" si="144"/>
        <v>0.35042661765773758</v>
      </c>
      <c r="V74" s="119">
        <f t="shared" si="144"/>
        <v>0.16881869428582222</v>
      </c>
      <c r="W74" s="119">
        <f t="shared" ref="W74:Y74" si="145">IF(W52=0,0,W52/W63)</f>
        <v>0.23228738222218198</v>
      </c>
      <c r="X74" s="119">
        <f t="shared" si="145"/>
        <v>0.36936576565999951</v>
      </c>
      <c r="Y74" s="119">
        <f t="shared" si="145"/>
        <v>0.47213912851171036</v>
      </c>
      <c r="DA74" s="176"/>
    </row>
    <row r="75" spans="1:105" ht="11.45" customHeight="1" x14ac:dyDescent="0.25">
      <c r="A75" s="111" t="s">
        <v>92</v>
      </c>
      <c r="B75" s="120">
        <f t="shared" si="141"/>
        <v>0.34618005078905789</v>
      </c>
      <c r="C75" s="120">
        <f t="shared" si="141"/>
        <v>0.35799980765763628</v>
      </c>
      <c r="D75" s="120">
        <f t="shared" si="141"/>
        <v>0.33425258287624604</v>
      </c>
      <c r="E75" s="120">
        <f t="shared" si="141"/>
        <v>0.25539481427023047</v>
      </c>
      <c r="F75" s="120">
        <f t="shared" si="141"/>
        <v>0.19169971465515784</v>
      </c>
      <c r="G75" s="120">
        <f t="shared" si="141"/>
        <v>0.1691095835815474</v>
      </c>
      <c r="H75" s="120">
        <f t="shared" si="141"/>
        <v>0.3660332825799259</v>
      </c>
      <c r="I75" s="120">
        <f t="shared" si="141"/>
        <v>0.29106704025128993</v>
      </c>
      <c r="J75" s="120">
        <f t="shared" si="141"/>
        <v>0.2675145558258521</v>
      </c>
      <c r="K75" s="120">
        <f t="shared" ref="K75:V75" si="146">IF(K53=0,0,K53/K64)</f>
        <v>0.32181232698904372</v>
      </c>
      <c r="L75" s="120">
        <f t="shared" si="146"/>
        <v>0.31151542605142735</v>
      </c>
      <c r="M75" s="120">
        <f t="shared" si="146"/>
        <v>0.15250451049877897</v>
      </c>
      <c r="N75" s="120">
        <f t="shared" si="146"/>
        <v>0.13986493723476784</v>
      </c>
      <c r="O75" s="120">
        <f t="shared" si="146"/>
        <v>0.31072930816097838</v>
      </c>
      <c r="P75" s="120">
        <f t="shared" si="146"/>
        <v>0.31589473234724574</v>
      </c>
      <c r="Q75" s="120">
        <f t="shared" si="146"/>
        <v>0.18724409997898583</v>
      </c>
      <c r="R75" s="120">
        <f t="shared" si="146"/>
        <v>0.13145852530825047</v>
      </c>
      <c r="S75" s="120">
        <f t="shared" si="146"/>
        <v>0.25382925434919967</v>
      </c>
      <c r="T75" s="120">
        <f t="shared" si="146"/>
        <v>0.26693474759651187</v>
      </c>
      <c r="U75" s="120">
        <f t="shared" si="146"/>
        <v>0.31274963593263727</v>
      </c>
      <c r="V75" s="120">
        <f t="shared" si="146"/>
        <v>0.16153307175798454</v>
      </c>
      <c r="W75" s="120">
        <f t="shared" ref="W75:Y75" si="147">IF(W53=0,0,W53/W64)</f>
        <v>5.8592979375344113E-2</v>
      </c>
      <c r="X75" s="120">
        <f t="shared" si="147"/>
        <v>8.862840239727246E-2</v>
      </c>
      <c r="Y75" s="120">
        <f t="shared" si="147"/>
        <v>0.11254835450678161</v>
      </c>
      <c r="DA75" s="171"/>
    </row>
    <row r="76" spans="1:105" ht="11.45" customHeight="1" x14ac:dyDescent="0.25">
      <c r="A76" s="111" t="s">
        <v>93</v>
      </c>
      <c r="B76" s="120">
        <f t="shared" si="141"/>
        <v>0.55401692224502486</v>
      </c>
      <c r="C76" s="120">
        <f t="shared" si="141"/>
        <v>0.48239259711062576</v>
      </c>
      <c r="D76" s="120">
        <f t="shared" si="141"/>
        <v>0.43956174595249209</v>
      </c>
      <c r="E76" s="120">
        <f t="shared" si="141"/>
        <v>0.40317687599536328</v>
      </c>
      <c r="F76" s="120">
        <f t="shared" si="141"/>
        <v>0.37441642116247137</v>
      </c>
      <c r="G76" s="120">
        <f t="shared" si="141"/>
        <v>0.34852801626606006</v>
      </c>
      <c r="H76" s="120">
        <f t="shared" si="141"/>
        <v>0.42863441670488395</v>
      </c>
      <c r="I76" s="120">
        <f t="shared" si="141"/>
        <v>0.39825751030319895</v>
      </c>
      <c r="J76" s="120">
        <f t="shared" si="141"/>
        <v>0.39945806020223518</v>
      </c>
      <c r="K76" s="120">
        <f t="shared" ref="K76:V76" si="148">IF(K54=0,0,K54/K65)</f>
        <v>0.30831394998461004</v>
      </c>
      <c r="L76" s="120">
        <f t="shared" si="148"/>
        <v>0.26509327862649967</v>
      </c>
      <c r="M76" s="120">
        <f t="shared" si="148"/>
        <v>0.28750220831231249</v>
      </c>
      <c r="N76" s="120">
        <f t="shared" si="148"/>
        <v>0.2564328007440605</v>
      </c>
      <c r="O76" s="120">
        <f t="shared" si="148"/>
        <v>0.32922004152884915</v>
      </c>
      <c r="P76" s="120">
        <f t="shared" si="148"/>
        <v>0.33364054675343258</v>
      </c>
      <c r="Q76" s="120">
        <f t="shared" si="148"/>
        <v>0.31892000310572582</v>
      </c>
      <c r="R76" s="120">
        <f t="shared" si="148"/>
        <v>0.31100526629892761</v>
      </c>
      <c r="S76" s="120">
        <f t="shared" si="148"/>
        <v>0.30277885282963768</v>
      </c>
      <c r="T76" s="120">
        <f t="shared" si="148"/>
        <v>0.31605908687498696</v>
      </c>
      <c r="U76" s="120">
        <f t="shared" si="148"/>
        <v>0.35775360692637509</v>
      </c>
      <c r="V76" s="120">
        <f t="shared" si="148"/>
        <v>0.16967212002941603</v>
      </c>
      <c r="W76" s="120">
        <f t="shared" ref="W76:Y76" si="149">IF(W54=0,0,W54/W65)</f>
        <v>0.25958556755934831</v>
      </c>
      <c r="X76" s="120">
        <f t="shared" si="149"/>
        <v>0.40806158706401963</v>
      </c>
      <c r="Y76" s="120">
        <f t="shared" si="149"/>
        <v>0.51469395556310027</v>
      </c>
      <c r="DA76" s="171"/>
    </row>
    <row r="77" spans="1:105" ht="11.45" customHeight="1" x14ac:dyDescent="0.25">
      <c r="A77" s="112" t="s">
        <v>25</v>
      </c>
      <c r="B77" s="121">
        <f t="shared" si="141"/>
        <v>0.33197404528414726</v>
      </c>
      <c r="C77" s="121">
        <f t="shared" si="141"/>
        <v>0.33478179230096233</v>
      </c>
      <c r="D77" s="121">
        <f t="shared" si="141"/>
        <v>0.32296764434144909</v>
      </c>
      <c r="E77" s="121">
        <f t="shared" si="141"/>
        <v>0.32433239801013369</v>
      </c>
      <c r="F77" s="121">
        <f t="shared" si="141"/>
        <v>0.31802501833469832</v>
      </c>
      <c r="G77" s="121">
        <f t="shared" si="141"/>
        <v>0.3223711112914332</v>
      </c>
      <c r="H77" s="121">
        <f t="shared" si="141"/>
        <v>0.32808921780528061</v>
      </c>
      <c r="I77" s="121">
        <f t="shared" si="141"/>
        <v>0.31220582321415447</v>
      </c>
      <c r="J77" s="121">
        <f t="shared" si="141"/>
        <v>0.33100463885545178</v>
      </c>
      <c r="K77" s="121">
        <f t="shared" ref="K77:V77" si="150">IF(K55=0,0,K55/K66)</f>
        <v>0.32310524548790737</v>
      </c>
      <c r="L77" s="121">
        <f t="shared" si="150"/>
        <v>0.31685640944599924</v>
      </c>
      <c r="M77" s="121">
        <f t="shared" si="150"/>
        <v>0.31578920239904773</v>
      </c>
      <c r="N77" s="121">
        <f t="shared" si="150"/>
        <v>0.32275217101792492</v>
      </c>
      <c r="O77" s="121">
        <f t="shared" si="150"/>
        <v>0.35550267468366731</v>
      </c>
      <c r="P77" s="121">
        <f t="shared" si="150"/>
        <v>0.36258706929675066</v>
      </c>
      <c r="Q77" s="121">
        <f t="shared" si="150"/>
        <v>0.41016284224149407</v>
      </c>
      <c r="R77" s="121">
        <f t="shared" si="150"/>
        <v>0.42962464558176505</v>
      </c>
      <c r="S77" s="121">
        <f t="shared" si="150"/>
        <v>0.41871422002623115</v>
      </c>
      <c r="T77" s="121">
        <f t="shared" si="150"/>
        <v>0.43061241793648097</v>
      </c>
      <c r="U77" s="121">
        <f t="shared" si="150"/>
        <v>0.43061241793648103</v>
      </c>
      <c r="V77" s="121">
        <f t="shared" si="150"/>
        <v>0.3107512294386976</v>
      </c>
      <c r="W77" s="121">
        <f t="shared" ref="W77:Y77" si="151">IF(W55=0,0,W55/W66)</f>
        <v>0.33279101536468092</v>
      </c>
      <c r="X77" s="121">
        <f t="shared" si="151"/>
        <v>0.49553644472046787</v>
      </c>
      <c r="Y77" s="121">
        <f t="shared" si="151"/>
        <v>0.55353019874283638</v>
      </c>
      <c r="DA77" s="204"/>
    </row>
    <row r="78" spans="1:105" ht="11.45" customHeight="1" x14ac:dyDescent="0.25">
      <c r="A78" s="27" t="s">
        <v>34</v>
      </c>
      <c r="B78" s="30">
        <f t="shared" si="141"/>
        <v>0.21389675026926222</v>
      </c>
      <c r="C78" s="30">
        <f t="shared" si="141"/>
        <v>0.17728874728927713</v>
      </c>
      <c r="D78" s="30">
        <f t="shared" si="141"/>
        <v>0.16005974239342804</v>
      </c>
      <c r="E78" s="30">
        <f t="shared" si="141"/>
        <v>0.15311826552049998</v>
      </c>
      <c r="F78" s="30">
        <f t="shared" si="141"/>
        <v>0.15312137061660736</v>
      </c>
      <c r="G78" s="30">
        <f t="shared" si="141"/>
        <v>0.14528463294239249</v>
      </c>
      <c r="H78" s="30">
        <f t="shared" si="141"/>
        <v>0.21580945539823529</v>
      </c>
      <c r="I78" s="30">
        <f t="shared" si="141"/>
        <v>0.14892101929972631</v>
      </c>
      <c r="J78" s="30">
        <f t="shared" si="141"/>
        <v>0.15764039232150542</v>
      </c>
      <c r="K78" s="30">
        <f t="shared" ref="K78:V78" si="152">IF(K56=0,0,K56/K67)</f>
        <v>0.1937279914140842</v>
      </c>
      <c r="L78" s="30">
        <f t="shared" si="152"/>
        <v>0.17015809075106883</v>
      </c>
      <c r="M78" s="30">
        <f t="shared" si="152"/>
        <v>0.17344658988979744</v>
      </c>
      <c r="N78" s="30">
        <f t="shared" si="152"/>
        <v>0.18940672161641431</v>
      </c>
      <c r="O78" s="30">
        <f t="shared" si="152"/>
        <v>0.18868682233779469</v>
      </c>
      <c r="P78" s="30">
        <f t="shared" si="152"/>
        <v>0.19143221117699744</v>
      </c>
      <c r="Q78" s="30">
        <f t="shared" si="152"/>
        <v>0.18006117325798279</v>
      </c>
      <c r="R78" s="30">
        <f t="shared" si="152"/>
        <v>0.20152881310925624</v>
      </c>
      <c r="S78" s="30">
        <f t="shared" si="152"/>
        <v>0.18951641177821388</v>
      </c>
      <c r="T78" s="30">
        <f t="shared" si="152"/>
        <v>0.19293050274666845</v>
      </c>
      <c r="U78" s="30">
        <f t="shared" si="152"/>
        <v>0.1926813191792579</v>
      </c>
      <c r="V78" s="30">
        <f t="shared" si="152"/>
        <v>0.11646697982570847</v>
      </c>
      <c r="W78" s="30">
        <f t="shared" ref="W78:Y78" si="153">IF(W56=0,0,W56/W67)</f>
        <v>0.17480224495573102</v>
      </c>
      <c r="X78" s="30">
        <f t="shared" si="153"/>
        <v>0.19531159082644661</v>
      </c>
      <c r="Y78" s="30">
        <f t="shared" si="153"/>
        <v>0.20481593994801905</v>
      </c>
      <c r="DA78" s="173"/>
    </row>
    <row r="79" spans="1:105" ht="11.45" customHeight="1" x14ac:dyDescent="0.25">
      <c r="A79" s="83" t="s">
        <v>92</v>
      </c>
      <c r="B79" s="120">
        <f t="shared" si="141"/>
        <v>0.16029815313148732</v>
      </c>
      <c r="C79" s="120">
        <f t="shared" si="141"/>
        <v>0.16262909461639849</v>
      </c>
      <c r="D79" s="120">
        <f t="shared" si="141"/>
        <v>0.16309827350015446</v>
      </c>
      <c r="E79" s="120">
        <f t="shared" si="141"/>
        <v>0.14942065071214072</v>
      </c>
      <c r="F79" s="120">
        <f t="shared" si="141"/>
        <v>0.14934120221593147</v>
      </c>
      <c r="G79" s="120">
        <f t="shared" si="141"/>
        <v>0.14948499509236618</v>
      </c>
      <c r="H79" s="120">
        <f t="shared" si="141"/>
        <v>0.23392866083026889</v>
      </c>
      <c r="I79" s="120">
        <f t="shared" si="141"/>
        <v>0.16108842463322609</v>
      </c>
      <c r="J79" s="120">
        <f t="shared" si="141"/>
        <v>0.16181904971329097</v>
      </c>
      <c r="K79" s="120">
        <f t="shared" ref="K79:V79" si="154">IF(K57=0,0,K57/K68)</f>
        <v>0.20906915689325883</v>
      </c>
      <c r="L79" s="120">
        <f t="shared" si="154"/>
        <v>0.18367466119351178</v>
      </c>
      <c r="M79" s="120">
        <f t="shared" si="154"/>
        <v>0.1688907853826285</v>
      </c>
      <c r="N79" s="120">
        <f t="shared" si="154"/>
        <v>0.18428959998199737</v>
      </c>
      <c r="O79" s="120">
        <f t="shared" si="154"/>
        <v>0.20634451368449053</v>
      </c>
      <c r="P79" s="120">
        <f t="shared" si="154"/>
        <v>0.20944461991700897</v>
      </c>
      <c r="Q79" s="120">
        <f t="shared" si="154"/>
        <v>0.22513386580025133</v>
      </c>
      <c r="R79" s="120">
        <f t="shared" si="154"/>
        <v>0.21931970951637061</v>
      </c>
      <c r="S79" s="120">
        <f t="shared" si="154"/>
        <v>0.15514415331679551</v>
      </c>
      <c r="T79" s="120">
        <f t="shared" si="154"/>
        <v>0.12757556897855732</v>
      </c>
      <c r="U79" s="120">
        <f t="shared" si="154"/>
        <v>0.11459371522037333</v>
      </c>
      <c r="V79" s="120">
        <f t="shared" si="154"/>
        <v>8.3610607775829626E-2</v>
      </c>
      <c r="W79" s="120">
        <f t="shared" ref="W79:Y79" si="155">IF(W57=0,0,W57/W68)</f>
        <v>7.5816341727148226E-2</v>
      </c>
      <c r="X79" s="120">
        <f t="shared" si="155"/>
        <v>7.0204421743693318E-2</v>
      </c>
      <c r="Y79" s="120">
        <f t="shared" si="155"/>
        <v>7.1354830647504114E-2</v>
      </c>
      <c r="DA79" s="171"/>
    </row>
    <row r="80" spans="1:105" ht="11.45" customHeight="1" x14ac:dyDescent="0.25">
      <c r="A80" s="85" t="s">
        <v>93</v>
      </c>
      <c r="B80" s="122">
        <f t="shared" si="141"/>
        <v>0.24998212683538348</v>
      </c>
      <c r="C80" s="122">
        <f t="shared" si="141"/>
        <v>0.1856376454325698</v>
      </c>
      <c r="D80" s="122">
        <f t="shared" si="141"/>
        <v>0.15876520341897732</v>
      </c>
      <c r="E80" s="122">
        <f t="shared" si="141"/>
        <v>0.15429758211413383</v>
      </c>
      <c r="F80" s="122">
        <f t="shared" si="141"/>
        <v>0.15427520966433797</v>
      </c>
      <c r="G80" s="122">
        <f t="shared" si="141"/>
        <v>0.14402993999490954</v>
      </c>
      <c r="H80" s="122">
        <f t="shared" si="141"/>
        <v>0.20304256047131775</v>
      </c>
      <c r="I80" s="122">
        <f t="shared" si="141"/>
        <v>0.14059994502002418</v>
      </c>
      <c r="J80" s="122">
        <f t="shared" si="141"/>
        <v>0.15412424622018078</v>
      </c>
      <c r="K80" s="122">
        <f t="shared" ref="K80:V80" si="156">IF(K58=0,0,K58/K69)</f>
        <v>0.14236157211342881</v>
      </c>
      <c r="L80" s="122">
        <f t="shared" si="156"/>
        <v>0.13783655813767134</v>
      </c>
      <c r="M80" s="122">
        <f t="shared" si="156"/>
        <v>0.17613686968841341</v>
      </c>
      <c r="N80" s="122">
        <f t="shared" si="156"/>
        <v>0.19321689291111707</v>
      </c>
      <c r="O80" s="122">
        <f t="shared" si="156"/>
        <v>0.18383772362134881</v>
      </c>
      <c r="P80" s="122">
        <f t="shared" si="156"/>
        <v>0.18665653914691088</v>
      </c>
      <c r="Q80" s="122">
        <f t="shared" si="156"/>
        <v>0.17214251003298833</v>
      </c>
      <c r="R80" s="122">
        <f t="shared" si="156"/>
        <v>0.19864476115725338</v>
      </c>
      <c r="S80" s="122">
        <f t="shared" si="156"/>
        <v>0.20074731435918283</v>
      </c>
      <c r="T80" s="122">
        <f t="shared" si="156"/>
        <v>0.21886915493609765</v>
      </c>
      <c r="U80" s="122">
        <f t="shared" si="156"/>
        <v>0.23188141646072519</v>
      </c>
      <c r="V80" s="122">
        <f t="shared" si="156"/>
        <v>0.12424763450052061</v>
      </c>
      <c r="W80" s="122">
        <f t="shared" ref="W80:Y80" si="157">IF(W58=0,0,W58/W69)</f>
        <v>0.19097852573827545</v>
      </c>
      <c r="X80" s="122">
        <f t="shared" si="157"/>
        <v>0.21880339639172403</v>
      </c>
      <c r="Y80" s="122">
        <f t="shared" si="157"/>
        <v>0.22728806343497321</v>
      </c>
      <c r="DA80" s="178"/>
    </row>
    <row r="81" spans="1:105" x14ac:dyDescent="0.25">
      <c r="A81" s="106"/>
      <c r="B81" s="106"/>
      <c r="C81" s="106"/>
      <c r="D81" s="106"/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X81" s="106"/>
      <c r="Y81" s="106"/>
      <c r="DA81" s="171"/>
    </row>
    <row r="82" spans="1:105" ht="11.45" customHeight="1" x14ac:dyDescent="0.25">
      <c r="A82" s="53" t="s">
        <v>105</v>
      </c>
      <c r="B82" s="54">
        <f t="shared" ref="B82:J82" si="158">IF(B14=0,0,B14/B25*1000000)</f>
        <v>143897.61868962346</v>
      </c>
      <c r="C82" s="54">
        <f t="shared" si="158"/>
        <v>145271.51808872214</v>
      </c>
      <c r="D82" s="54">
        <f t="shared" si="158"/>
        <v>146058.17597717699</v>
      </c>
      <c r="E82" s="54">
        <f t="shared" si="158"/>
        <v>145338.40602939899</v>
      </c>
      <c r="F82" s="54">
        <f t="shared" si="158"/>
        <v>145570.12349410579</v>
      </c>
      <c r="G82" s="54">
        <f t="shared" si="158"/>
        <v>145982.22649283751</v>
      </c>
      <c r="H82" s="54">
        <f t="shared" si="158"/>
        <v>117776.28352735394</v>
      </c>
      <c r="I82" s="54">
        <f t="shared" si="158"/>
        <v>132544.16319647673</v>
      </c>
      <c r="J82" s="54">
        <f t="shared" si="158"/>
        <v>139314.81887759082</v>
      </c>
      <c r="K82" s="54">
        <f t="shared" ref="K82:V82" si="159">IF(K14=0,0,K14/K25*1000000)</f>
        <v>124475.87825151868</v>
      </c>
      <c r="L82" s="54">
        <f t="shared" si="159"/>
        <v>130706.45827154811</v>
      </c>
      <c r="M82" s="54">
        <f t="shared" si="159"/>
        <v>152446.85930710263</v>
      </c>
      <c r="N82" s="54">
        <f t="shared" si="159"/>
        <v>152141.99975203976</v>
      </c>
      <c r="O82" s="54">
        <f t="shared" si="159"/>
        <v>129186.39970153828</v>
      </c>
      <c r="P82" s="54">
        <f t="shared" si="159"/>
        <v>132449.43464734542</v>
      </c>
      <c r="Q82" s="54">
        <f t="shared" si="159"/>
        <v>137469.6435889469</v>
      </c>
      <c r="R82" s="54">
        <f t="shared" si="159"/>
        <v>140177.77165340341</v>
      </c>
      <c r="S82" s="54">
        <f t="shared" si="159"/>
        <v>140320.1612780866</v>
      </c>
      <c r="T82" s="54">
        <f t="shared" si="159"/>
        <v>141200.61139899676</v>
      </c>
      <c r="U82" s="54">
        <f t="shared" si="159"/>
        <v>142046.53360010192</v>
      </c>
      <c r="V82" s="54">
        <f t="shared" si="159"/>
        <v>120202.56123099978</v>
      </c>
      <c r="W82" s="54">
        <f t="shared" ref="W82:Y82" si="160">IF(W14=0,0,W14/W25*1000000)</f>
        <v>126381.04952769833</v>
      </c>
      <c r="X82" s="54">
        <f t="shared" si="160"/>
        <v>135056.13427502694</v>
      </c>
      <c r="Y82" s="54">
        <f t="shared" si="160"/>
        <v>135363.31228517779</v>
      </c>
      <c r="DA82" s="172" t="s">
        <v>1083</v>
      </c>
    </row>
    <row r="83" spans="1:105" ht="11.45" customHeight="1" x14ac:dyDescent="0.25">
      <c r="A83" s="27" t="s">
        <v>33</v>
      </c>
      <c r="B83" s="28">
        <f t="shared" ref="B83:J91" si="161">IF(B15=0,0,B15/B26*1000000)</f>
        <v>138428.66553816467</v>
      </c>
      <c r="C83" s="28">
        <f t="shared" si="161"/>
        <v>139232.44642794342</v>
      </c>
      <c r="D83" s="28">
        <f t="shared" si="161"/>
        <v>139960.12240286433</v>
      </c>
      <c r="E83" s="28">
        <f t="shared" si="161"/>
        <v>139694.48255603711</v>
      </c>
      <c r="F83" s="28">
        <f t="shared" si="161"/>
        <v>140176.67442569311</v>
      </c>
      <c r="G83" s="28">
        <f t="shared" si="161"/>
        <v>141224.97376154381</v>
      </c>
      <c r="H83" s="28">
        <f t="shared" si="161"/>
        <v>116347.87925220402</v>
      </c>
      <c r="I83" s="28">
        <f t="shared" si="161"/>
        <v>128241.7339330696</v>
      </c>
      <c r="J83" s="28">
        <f t="shared" si="161"/>
        <v>136597.24548031058</v>
      </c>
      <c r="K83" s="28">
        <f t="shared" ref="K83:V83" si="162">IF(K15=0,0,K15/K26*1000000)</f>
        <v>126516.25215368398</v>
      </c>
      <c r="L83" s="28">
        <f t="shared" si="162"/>
        <v>130879.06196076424</v>
      </c>
      <c r="M83" s="28">
        <f t="shared" si="162"/>
        <v>153175.05919958354</v>
      </c>
      <c r="N83" s="28">
        <f t="shared" si="162"/>
        <v>152867.33804627421</v>
      </c>
      <c r="O83" s="28">
        <f t="shared" si="162"/>
        <v>128010.21567005308</v>
      </c>
      <c r="P83" s="28">
        <f t="shared" si="162"/>
        <v>130725.28363087837</v>
      </c>
      <c r="Q83" s="28">
        <f t="shared" si="162"/>
        <v>135638.61532180896</v>
      </c>
      <c r="R83" s="28">
        <f t="shared" si="162"/>
        <v>139725.66430139195</v>
      </c>
      <c r="S83" s="28">
        <f t="shared" si="162"/>
        <v>138214.12275171839</v>
      </c>
      <c r="T83" s="28">
        <f t="shared" si="162"/>
        <v>138440.49232830788</v>
      </c>
      <c r="U83" s="28">
        <f t="shared" si="162"/>
        <v>138571.84181145625</v>
      </c>
      <c r="V83" s="28">
        <f t="shared" si="162"/>
        <v>113309.41439931343</v>
      </c>
      <c r="W83" s="28">
        <f t="shared" ref="W83:Y83" si="163">IF(W15=0,0,W15/W26*1000000)</f>
        <v>123364.88864184632</v>
      </c>
      <c r="X83" s="28">
        <f t="shared" si="163"/>
        <v>132998.82975199379</v>
      </c>
      <c r="Y83" s="28">
        <f t="shared" si="163"/>
        <v>133741.85940057551</v>
      </c>
      <c r="DA83" s="173" t="s">
        <v>1084</v>
      </c>
    </row>
    <row r="84" spans="1:105" ht="11.45" customHeight="1" x14ac:dyDescent="0.25">
      <c r="A84" s="107" t="s">
        <v>23</v>
      </c>
      <c r="B84" s="108">
        <f t="shared" si="161"/>
        <v>109999.99982325787</v>
      </c>
      <c r="C84" s="108">
        <f t="shared" si="161"/>
        <v>109999.99985749282</v>
      </c>
      <c r="D84" s="108">
        <f t="shared" si="161"/>
        <v>109999.99990161047</v>
      </c>
      <c r="E84" s="108">
        <f t="shared" si="161"/>
        <v>109999.99996787493</v>
      </c>
      <c r="F84" s="108">
        <f t="shared" si="161"/>
        <v>109999.99988631792</v>
      </c>
      <c r="G84" s="108">
        <f t="shared" si="161"/>
        <v>109999.99992225057</v>
      </c>
      <c r="H84" s="108">
        <f t="shared" si="161"/>
        <v>109999.99986732472</v>
      </c>
      <c r="I84" s="108">
        <f t="shared" si="161"/>
        <v>109999.99997264404</v>
      </c>
      <c r="J84" s="108">
        <f t="shared" si="161"/>
        <v>109999.99999138124</v>
      </c>
      <c r="K84" s="108">
        <f t="shared" ref="K84:V84" si="164">IF(K16=0,0,K16/K27*1000000)</f>
        <v>109999.99989554514</v>
      </c>
      <c r="L84" s="108">
        <f t="shared" si="164"/>
        <v>109999.99988827581</v>
      </c>
      <c r="M84" s="108">
        <f t="shared" si="164"/>
        <v>109999.99995954658</v>
      </c>
      <c r="N84" s="108">
        <f t="shared" si="164"/>
        <v>109999.99991048125</v>
      </c>
      <c r="O84" s="108">
        <f t="shared" si="164"/>
        <v>109999.99990250915</v>
      </c>
      <c r="P84" s="108">
        <f t="shared" si="164"/>
        <v>109999.99996439298</v>
      </c>
      <c r="Q84" s="108">
        <f t="shared" si="164"/>
        <v>109999.99996405261</v>
      </c>
      <c r="R84" s="108">
        <f t="shared" si="164"/>
        <v>109999.99997876195</v>
      </c>
      <c r="S84" s="108">
        <f t="shared" si="164"/>
        <v>109999.99997351896</v>
      </c>
      <c r="T84" s="108">
        <f t="shared" si="164"/>
        <v>109999.99999301344</v>
      </c>
      <c r="U84" s="108">
        <f t="shared" si="164"/>
        <v>109999.9999562725</v>
      </c>
      <c r="V84" s="108">
        <f t="shared" si="164"/>
        <v>88847.438978261416</v>
      </c>
      <c r="W84" s="108">
        <f t="shared" ref="W84:Y84" si="165">IF(W16=0,0,W16/W27*1000000)</f>
        <v>92372.712226531221</v>
      </c>
      <c r="X84" s="108">
        <f t="shared" si="165"/>
        <v>109999.99993731013</v>
      </c>
      <c r="Y84" s="108">
        <f t="shared" si="165"/>
        <v>109999.99993581729</v>
      </c>
      <c r="DA84" s="203" t="s">
        <v>1085</v>
      </c>
    </row>
    <row r="85" spans="1:105" ht="11.45" customHeight="1" x14ac:dyDescent="0.25">
      <c r="A85" s="109" t="s">
        <v>24</v>
      </c>
      <c r="B85" s="110">
        <f t="shared" si="161"/>
        <v>149999.99967341369</v>
      </c>
      <c r="C85" s="110">
        <f t="shared" si="161"/>
        <v>149999.9998740147</v>
      </c>
      <c r="D85" s="110">
        <f t="shared" si="161"/>
        <v>149999.99990490856</v>
      </c>
      <c r="E85" s="110">
        <f t="shared" si="161"/>
        <v>149999.99980869531</v>
      </c>
      <c r="F85" s="110">
        <f t="shared" si="161"/>
        <v>149999.99992788178</v>
      </c>
      <c r="G85" s="110">
        <f t="shared" si="161"/>
        <v>149999.9998759155</v>
      </c>
      <c r="H85" s="110">
        <f t="shared" si="161"/>
        <v>111656.45226897974</v>
      </c>
      <c r="I85" s="110">
        <f t="shared" si="161"/>
        <v>130390.23669789062</v>
      </c>
      <c r="J85" s="110">
        <f t="shared" si="161"/>
        <v>135957.37957717734</v>
      </c>
      <c r="K85" s="110">
        <f t="shared" ref="K85:V85" si="166">IF(K17=0,0,K17/K28*1000000)</f>
        <v>97866.588641154842</v>
      </c>
      <c r="L85" s="110">
        <f t="shared" si="166"/>
        <v>105047.52767894544</v>
      </c>
      <c r="M85" s="110">
        <f t="shared" si="166"/>
        <v>149999.99980403724</v>
      </c>
      <c r="N85" s="110">
        <f t="shared" si="166"/>
        <v>149999.99992911957</v>
      </c>
      <c r="O85" s="110">
        <f t="shared" si="166"/>
        <v>98812.344560228754</v>
      </c>
      <c r="P85" s="110">
        <f t="shared" si="166"/>
        <v>105542.55337581583</v>
      </c>
      <c r="Q85" s="110">
        <f t="shared" si="166"/>
        <v>115803.6142251959</v>
      </c>
      <c r="R85" s="110">
        <f t="shared" si="166"/>
        <v>122962.80769818318</v>
      </c>
      <c r="S85" s="110">
        <f t="shared" si="166"/>
        <v>118106.26479140324</v>
      </c>
      <c r="T85" s="110">
        <f t="shared" si="166"/>
        <v>120331.78189115722</v>
      </c>
      <c r="U85" s="110">
        <f t="shared" si="166"/>
        <v>118963.49759737094</v>
      </c>
      <c r="V85" s="110">
        <f t="shared" si="166"/>
        <v>119606.80315106333</v>
      </c>
      <c r="W85" s="110">
        <f t="shared" ref="W85:Y85" si="167">IF(W17=0,0,W17/W28*1000000)</f>
        <v>132245.9690709007</v>
      </c>
      <c r="X85" s="110">
        <f t="shared" si="167"/>
        <v>135384.67425622346</v>
      </c>
      <c r="Y85" s="110">
        <f t="shared" si="167"/>
        <v>139063.9427721111</v>
      </c>
      <c r="DA85" s="176" t="s">
        <v>1086</v>
      </c>
    </row>
    <row r="86" spans="1:105" ht="11.45" customHeight="1" x14ac:dyDescent="0.25">
      <c r="A86" s="111" t="s">
        <v>92</v>
      </c>
      <c r="B86" s="84">
        <f t="shared" si="161"/>
        <v>149999.99947374483</v>
      </c>
      <c r="C86" s="84">
        <f t="shared" si="161"/>
        <v>149999.99967690816</v>
      </c>
      <c r="D86" s="84">
        <f t="shared" si="161"/>
        <v>149999.99982188904</v>
      </c>
      <c r="E86" s="84">
        <f t="shared" si="161"/>
        <v>149999.99980429831</v>
      </c>
      <c r="F86" s="84">
        <f t="shared" si="161"/>
        <v>149999.9998347557</v>
      </c>
      <c r="G86" s="84">
        <f t="shared" si="161"/>
        <v>149999.99984369188</v>
      </c>
      <c r="H86" s="84">
        <f t="shared" si="161"/>
        <v>135416.06359900298</v>
      </c>
      <c r="I86" s="84">
        <f t="shared" si="161"/>
        <v>149999.99982193238</v>
      </c>
      <c r="J86" s="84">
        <f t="shared" si="161"/>
        <v>149999.99972828093</v>
      </c>
      <c r="K86" s="84">
        <f t="shared" ref="K86:V86" si="168">IF(K18=0,0,K18/K29*1000000)</f>
        <v>134147.92328499671</v>
      </c>
      <c r="L86" s="84">
        <f t="shared" si="168"/>
        <v>140782.11779836274</v>
      </c>
      <c r="M86" s="84">
        <f t="shared" si="168"/>
        <v>149999.99987364624</v>
      </c>
      <c r="N86" s="84">
        <f t="shared" si="168"/>
        <v>149999.99989229807</v>
      </c>
      <c r="O86" s="84">
        <f t="shared" si="168"/>
        <v>38680.275455046671</v>
      </c>
      <c r="P86" s="84">
        <f t="shared" si="168"/>
        <v>42586.268272531786</v>
      </c>
      <c r="Q86" s="84">
        <f t="shared" si="168"/>
        <v>61140.348247716298</v>
      </c>
      <c r="R86" s="84">
        <f t="shared" si="168"/>
        <v>76016.482450928786</v>
      </c>
      <c r="S86" s="84">
        <f t="shared" si="168"/>
        <v>57404.6680012754</v>
      </c>
      <c r="T86" s="84">
        <f t="shared" si="168"/>
        <v>60131.143697580126</v>
      </c>
      <c r="U86" s="84">
        <f t="shared" si="168"/>
        <v>59070.545773934296</v>
      </c>
      <c r="V86" s="84">
        <f t="shared" si="168"/>
        <v>43815.85503174836</v>
      </c>
      <c r="W86" s="84">
        <f t="shared" ref="W86:Y86" si="169">IF(W18=0,0,W18/W29*1000000)</f>
        <v>75435.115452010999</v>
      </c>
      <c r="X86" s="84">
        <f t="shared" si="169"/>
        <v>79316.461365970972</v>
      </c>
      <c r="Y86" s="84">
        <f t="shared" si="169"/>
        <v>86050.755779079002</v>
      </c>
      <c r="DA86" s="171" t="s">
        <v>1087</v>
      </c>
    </row>
    <row r="87" spans="1:105" ht="11.45" customHeight="1" x14ac:dyDescent="0.25">
      <c r="A87" s="111" t="s">
        <v>93</v>
      </c>
      <c r="B87" s="84">
        <f t="shared" si="161"/>
        <v>149999.99978443666</v>
      </c>
      <c r="C87" s="84">
        <f t="shared" si="161"/>
        <v>149999.99997389587</v>
      </c>
      <c r="D87" s="84">
        <f t="shared" si="161"/>
        <v>149999.99994355082</v>
      </c>
      <c r="E87" s="84">
        <f t="shared" si="161"/>
        <v>149999.99981100173</v>
      </c>
      <c r="F87" s="84">
        <f t="shared" si="161"/>
        <v>149999.99998527183</v>
      </c>
      <c r="G87" s="84">
        <f t="shared" si="161"/>
        <v>149999.99989616871</v>
      </c>
      <c r="H87" s="84">
        <f t="shared" si="161"/>
        <v>96618.035581798875</v>
      </c>
      <c r="I87" s="84">
        <f t="shared" si="161"/>
        <v>116708.93340322442</v>
      </c>
      <c r="J87" s="84">
        <f t="shared" si="161"/>
        <v>125930.70495186686</v>
      </c>
      <c r="K87" s="84">
        <f t="shared" ref="K87:V87" si="170">IF(K19=0,0,K19/K30*1000000)</f>
        <v>71533.448728774034</v>
      </c>
      <c r="L87" s="84">
        <f t="shared" si="170"/>
        <v>78622.108873257428</v>
      </c>
      <c r="M87" s="84">
        <f t="shared" si="170"/>
        <v>149999.99975338491</v>
      </c>
      <c r="N87" s="84">
        <f t="shared" si="170"/>
        <v>149999.99995861441</v>
      </c>
      <c r="O87" s="84">
        <f t="shared" si="170"/>
        <v>148252.02337458471</v>
      </c>
      <c r="P87" s="84">
        <f t="shared" si="170"/>
        <v>149999.99978306028</v>
      </c>
      <c r="Q87" s="84">
        <f t="shared" si="170"/>
        <v>149999.99981922263</v>
      </c>
      <c r="R87" s="84">
        <f t="shared" si="170"/>
        <v>149999.9999517485</v>
      </c>
      <c r="S87" s="84">
        <f t="shared" si="170"/>
        <v>149999.99987061476</v>
      </c>
      <c r="T87" s="84">
        <f t="shared" si="170"/>
        <v>149999.99998151915</v>
      </c>
      <c r="U87" s="84">
        <f t="shared" si="170"/>
        <v>148181.30319834003</v>
      </c>
      <c r="V87" s="84">
        <f t="shared" si="170"/>
        <v>149999.99981377454</v>
      </c>
      <c r="W87" s="84">
        <f t="shared" ref="W87:Y87" si="171">IF(W19=0,0,W19/W30*1000000)</f>
        <v>149999.99984070269</v>
      </c>
      <c r="X87" s="84">
        <f t="shared" si="171"/>
        <v>149999.99986906265</v>
      </c>
      <c r="Y87" s="84">
        <f t="shared" si="171"/>
        <v>149999.99996062368</v>
      </c>
      <c r="DA87" s="171" t="s">
        <v>1088</v>
      </c>
    </row>
    <row r="88" spans="1:105" ht="11.45" customHeight="1" x14ac:dyDescent="0.25">
      <c r="A88" s="112" t="s">
        <v>25</v>
      </c>
      <c r="B88" s="113">
        <f t="shared" si="161"/>
        <v>449999.99950927019</v>
      </c>
      <c r="C88" s="113">
        <f t="shared" si="161"/>
        <v>449999.99500144192</v>
      </c>
      <c r="D88" s="113">
        <f t="shared" si="161"/>
        <v>449999.99792948092</v>
      </c>
      <c r="E88" s="113">
        <f t="shared" si="161"/>
        <v>449999.9860286254</v>
      </c>
      <c r="F88" s="113">
        <f t="shared" si="161"/>
        <v>449999.98516472004</v>
      </c>
      <c r="G88" s="113">
        <f t="shared" si="161"/>
        <v>449999.98449990206</v>
      </c>
      <c r="H88" s="113">
        <f t="shared" si="161"/>
        <v>449999.99047293206</v>
      </c>
      <c r="I88" s="113">
        <f t="shared" si="161"/>
        <v>449999.99029524415</v>
      </c>
      <c r="J88" s="113">
        <f t="shared" si="161"/>
        <v>449999.99950219179</v>
      </c>
      <c r="K88" s="113">
        <f t="shared" ref="K88:V88" si="172">IF(K20=0,0,K20/K31*1000000)</f>
        <v>449999.99767648248</v>
      </c>
      <c r="L88" s="113">
        <f t="shared" si="172"/>
        <v>449999.99844263942</v>
      </c>
      <c r="M88" s="113">
        <f t="shared" si="172"/>
        <v>439825.37034476298</v>
      </c>
      <c r="N88" s="113">
        <f t="shared" si="172"/>
        <v>435265.12844859372</v>
      </c>
      <c r="O88" s="113">
        <f t="shared" si="172"/>
        <v>449999.99945587257</v>
      </c>
      <c r="P88" s="113">
        <f t="shared" si="172"/>
        <v>449999.99689159729</v>
      </c>
      <c r="Q88" s="113">
        <f t="shared" si="172"/>
        <v>446931.68106827891</v>
      </c>
      <c r="R88" s="113">
        <f t="shared" si="172"/>
        <v>449999.99793882726</v>
      </c>
      <c r="S88" s="113">
        <f t="shared" si="172"/>
        <v>449999.99868722295</v>
      </c>
      <c r="T88" s="113">
        <f t="shared" si="172"/>
        <v>449999.99984044285</v>
      </c>
      <c r="U88" s="113">
        <f t="shared" si="172"/>
        <v>449999.99830669316</v>
      </c>
      <c r="V88" s="113">
        <f t="shared" si="172"/>
        <v>221100.60467937021</v>
      </c>
      <c r="W88" s="113">
        <f t="shared" ref="W88:Y88" si="173">IF(W20=0,0,W20/W31*1000000)</f>
        <v>238262.94688987755</v>
      </c>
      <c r="X88" s="113">
        <f t="shared" si="173"/>
        <v>248816.95332056071</v>
      </c>
      <c r="Y88" s="113">
        <f t="shared" si="173"/>
        <v>230842.30476724103</v>
      </c>
      <c r="DA88" s="204" t="s">
        <v>1089</v>
      </c>
    </row>
    <row r="89" spans="1:105" ht="11.45" customHeight="1" x14ac:dyDescent="0.25">
      <c r="A89" s="27" t="s">
        <v>34</v>
      </c>
      <c r="B89" s="28">
        <f t="shared" si="161"/>
        <v>199999.99790784021</v>
      </c>
      <c r="C89" s="28">
        <f t="shared" si="161"/>
        <v>199999.99879272029</v>
      </c>
      <c r="D89" s="28">
        <f t="shared" si="161"/>
        <v>199815.37760649124</v>
      </c>
      <c r="E89" s="28">
        <f t="shared" si="161"/>
        <v>197465.41829852271</v>
      </c>
      <c r="F89" s="28">
        <f t="shared" si="161"/>
        <v>199999.99803394458</v>
      </c>
      <c r="G89" s="28">
        <f t="shared" si="161"/>
        <v>199999.99902221805</v>
      </c>
      <c r="H89" s="28">
        <f t="shared" si="161"/>
        <v>133520.79566055606</v>
      </c>
      <c r="I89" s="28">
        <f t="shared" si="161"/>
        <v>177036.80794530033</v>
      </c>
      <c r="J89" s="28">
        <f t="shared" si="161"/>
        <v>167701.08978897511</v>
      </c>
      <c r="K89" s="28">
        <f t="shared" ref="K89:V89" si="174">IF(K21=0,0,K21/K32*1000000)</f>
        <v>102237.10054651261</v>
      </c>
      <c r="L89" s="28">
        <f t="shared" si="174"/>
        <v>128808.61629261084</v>
      </c>
      <c r="M89" s="28">
        <f t="shared" si="174"/>
        <v>144073.85449153499</v>
      </c>
      <c r="N89" s="28">
        <f t="shared" si="174"/>
        <v>142771.41570777658</v>
      </c>
      <c r="O89" s="28">
        <f t="shared" si="174"/>
        <v>143669.73384157591</v>
      </c>
      <c r="P89" s="28">
        <f t="shared" si="174"/>
        <v>153555.83500174538</v>
      </c>
      <c r="Q89" s="28">
        <f t="shared" si="174"/>
        <v>157888.53780914357</v>
      </c>
      <c r="R89" s="28">
        <f t="shared" si="174"/>
        <v>145636.69015202916</v>
      </c>
      <c r="S89" s="28">
        <f t="shared" si="174"/>
        <v>168163.12591816328</v>
      </c>
      <c r="T89" s="28">
        <f t="shared" si="174"/>
        <v>182450.99484435056</v>
      </c>
      <c r="U89" s="28">
        <f t="shared" si="174"/>
        <v>194797.445351492</v>
      </c>
      <c r="V89" s="28">
        <f t="shared" si="174"/>
        <v>195847.78218024943</v>
      </c>
      <c r="W89" s="28">
        <f t="shared" ref="W89:Y89" si="175">IF(W21=0,0,W21/W32*1000000)</f>
        <v>162483.42183061928</v>
      </c>
      <c r="X89" s="28">
        <f t="shared" si="175"/>
        <v>161893.64702244118</v>
      </c>
      <c r="Y89" s="28">
        <f t="shared" si="175"/>
        <v>159261.79928462542</v>
      </c>
      <c r="DA89" s="173" t="s">
        <v>1090</v>
      </c>
    </row>
    <row r="90" spans="1:105" ht="11.45" customHeight="1" x14ac:dyDescent="0.25">
      <c r="A90" s="83" t="s">
        <v>92</v>
      </c>
      <c r="B90" s="84">
        <f t="shared" si="161"/>
        <v>199999.99646732904</v>
      </c>
      <c r="C90" s="84">
        <f t="shared" si="161"/>
        <v>199999.99899416234</v>
      </c>
      <c r="D90" s="84">
        <f t="shared" si="161"/>
        <v>199383.37258428879</v>
      </c>
      <c r="E90" s="84">
        <f t="shared" si="161"/>
        <v>189919.08345249222</v>
      </c>
      <c r="F90" s="84">
        <f t="shared" si="161"/>
        <v>199999.99599127396</v>
      </c>
      <c r="G90" s="84">
        <f t="shared" si="161"/>
        <v>199999.99655119385</v>
      </c>
      <c r="H90" s="84">
        <f t="shared" si="161"/>
        <v>199999.99990112512</v>
      </c>
      <c r="I90" s="84">
        <f t="shared" si="161"/>
        <v>199999.99900208114</v>
      </c>
      <c r="J90" s="84">
        <f t="shared" si="161"/>
        <v>199999.99776398533</v>
      </c>
      <c r="K90" s="84">
        <f t="shared" ref="K90:V90" si="176">IF(K22=0,0,K22/K33*1000000)</f>
        <v>199999.99997288658</v>
      </c>
      <c r="L90" s="84">
        <f t="shared" si="176"/>
        <v>199999.99807581233</v>
      </c>
      <c r="M90" s="84">
        <f t="shared" si="176"/>
        <v>116785.96905973507</v>
      </c>
      <c r="N90" s="84">
        <f t="shared" si="176"/>
        <v>131736.21917625784</v>
      </c>
      <c r="O90" s="84">
        <f t="shared" si="176"/>
        <v>70926.448152753073</v>
      </c>
      <c r="P90" s="84">
        <f t="shared" si="176"/>
        <v>81858.567786249434</v>
      </c>
      <c r="Q90" s="84">
        <f t="shared" si="176"/>
        <v>71817.032035960379</v>
      </c>
      <c r="R90" s="84">
        <f t="shared" si="176"/>
        <v>62958.515880938605</v>
      </c>
      <c r="S90" s="84">
        <f t="shared" si="176"/>
        <v>131127.03710428119</v>
      </c>
      <c r="T90" s="84">
        <f t="shared" si="176"/>
        <v>168472.99334881079</v>
      </c>
      <c r="U90" s="84">
        <f t="shared" si="176"/>
        <v>199999.99913171641</v>
      </c>
      <c r="V90" s="84">
        <f t="shared" si="176"/>
        <v>180061.68376709716</v>
      </c>
      <c r="W90" s="84">
        <f t="shared" ref="W90:Y90" si="177">IF(W22=0,0,W22/W33*1000000)</f>
        <v>118241.0419030444</v>
      </c>
      <c r="X90" s="84">
        <f t="shared" si="177"/>
        <v>146081.90494030551</v>
      </c>
      <c r="Y90" s="84">
        <f t="shared" si="177"/>
        <v>148980.47815145701</v>
      </c>
      <c r="DA90" s="171" t="s">
        <v>1091</v>
      </c>
    </row>
    <row r="91" spans="1:105" ht="11.45" customHeight="1" x14ac:dyDescent="0.25">
      <c r="A91" s="85" t="s">
        <v>93</v>
      </c>
      <c r="B91" s="86">
        <f t="shared" si="161"/>
        <v>199999.99887766762</v>
      </c>
      <c r="C91" s="86">
        <f t="shared" si="161"/>
        <v>199999.99867799593</v>
      </c>
      <c r="D91" s="86">
        <f t="shared" si="161"/>
        <v>199999.99868941653</v>
      </c>
      <c r="E91" s="86">
        <f t="shared" si="161"/>
        <v>199999.99945943561</v>
      </c>
      <c r="F91" s="86">
        <f t="shared" si="161"/>
        <v>199999.99865743882</v>
      </c>
      <c r="G91" s="86">
        <f t="shared" si="161"/>
        <v>199999.9997603393</v>
      </c>
      <c r="H91" s="86">
        <f t="shared" si="161"/>
        <v>108183.37139846086</v>
      </c>
      <c r="I91" s="86">
        <f t="shared" si="161"/>
        <v>164147.82081322939</v>
      </c>
      <c r="J91" s="86">
        <f t="shared" si="161"/>
        <v>147638.4745162981</v>
      </c>
      <c r="K91" s="86">
        <f t="shared" ref="K91:V91" si="178">IF(K23=0,0,K23/K34*1000000)</f>
        <v>38774.868132301985</v>
      </c>
      <c r="L91" s="86">
        <f t="shared" si="178"/>
        <v>69581.789985714175</v>
      </c>
      <c r="M91" s="86">
        <f t="shared" si="178"/>
        <v>167134.88385411745</v>
      </c>
      <c r="N91" s="86">
        <f t="shared" si="178"/>
        <v>152268.81286347302</v>
      </c>
      <c r="O91" s="86">
        <f t="shared" si="178"/>
        <v>199999.99969886668</v>
      </c>
      <c r="P91" s="86">
        <f t="shared" si="178"/>
        <v>199999.99965857717</v>
      </c>
      <c r="Q91" s="86">
        <f t="shared" si="178"/>
        <v>199999.99908242677</v>
      </c>
      <c r="R91" s="86">
        <f t="shared" si="178"/>
        <v>185025.54289644418</v>
      </c>
      <c r="S91" s="86">
        <f t="shared" si="178"/>
        <v>185260.19111260393</v>
      </c>
      <c r="T91" s="86">
        <f t="shared" si="178"/>
        <v>188663.57310312201</v>
      </c>
      <c r="U91" s="86">
        <f t="shared" si="178"/>
        <v>192286.48193167537</v>
      </c>
      <c r="V91" s="86">
        <f t="shared" si="178"/>
        <v>199999.99902130186</v>
      </c>
      <c r="W91" s="86">
        <f t="shared" ref="W91:Y91" si="179">IF(W23=0,0,W23/W34*1000000)</f>
        <v>173065.89177969363</v>
      </c>
      <c r="X91" s="86">
        <f t="shared" si="179"/>
        <v>165252.29903268974</v>
      </c>
      <c r="Y91" s="86">
        <f t="shared" si="179"/>
        <v>161134.19071684472</v>
      </c>
      <c r="DA91" s="178" t="s">
        <v>1092</v>
      </c>
    </row>
    <row r="92" spans="1:105" x14ac:dyDescent="0.25">
      <c r="A92" s="106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DA92" s="171"/>
    </row>
    <row r="93" spans="1:105" ht="11.45" customHeight="1" x14ac:dyDescent="0.25">
      <c r="A93" s="53" t="s">
        <v>106</v>
      </c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DA93" s="172"/>
    </row>
    <row r="94" spans="1:105" ht="11.45" customHeight="1" x14ac:dyDescent="0.25">
      <c r="A94" s="27" t="s">
        <v>107</v>
      </c>
      <c r="B94" s="28">
        <f t="shared" ref="B94:J102" si="180">IF(B4=0,0,B4/B26*1000000)</f>
        <v>18257405.819971837</v>
      </c>
      <c r="C94" s="28">
        <f t="shared" si="180"/>
        <v>17449242.440585982</v>
      </c>
      <c r="D94" s="28">
        <f t="shared" si="180"/>
        <v>16616721.012383386</v>
      </c>
      <c r="E94" s="28">
        <f t="shared" si="180"/>
        <v>14804681.417630177</v>
      </c>
      <c r="F94" s="28">
        <f t="shared" si="180"/>
        <v>13418463.613874333</v>
      </c>
      <c r="G94" s="28">
        <f t="shared" si="180"/>
        <v>12813832.669299733</v>
      </c>
      <c r="H94" s="28">
        <f t="shared" si="180"/>
        <v>13464192.952801926</v>
      </c>
      <c r="I94" s="28">
        <f t="shared" si="180"/>
        <v>13462944.418974128</v>
      </c>
      <c r="J94" s="28">
        <f t="shared" si="180"/>
        <v>14760722.363563081</v>
      </c>
      <c r="K94" s="28">
        <f t="shared" ref="K94:V94" si="181">IF(K4=0,0,K4/K26*1000000)</f>
        <v>14377326.48872179</v>
      </c>
      <c r="L94" s="28">
        <f t="shared" si="181"/>
        <v>14110866.895734131</v>
      </c>
      <c r="M94" s="28">
        <f t="shared" si="181"/>
        <v>14692917.169178659</v>
      </c>
      <c r="N94" s="28">
        <f t="shared" si="181"/>
        <v>13846606.916858418</v>
      </c>
      <c r="O94" s="28">
        <f t="shared" si="181"/>
        <v>15227748.38700895</v>
      </c>
      <c r="P94" s="28">
        <f t="shared" si="181"/>
        <v>15647470.710037803</v>
      </c>
      <c r="Q94" s="28">
        <f t="shared" si="181"/>
        <v>16187226.371446116</v>
      </c>
      <c r="R94" s="28">
        <f t="shared" si="181"/>
        <v>16526535.94219186</v>
      </c>
      <c r="S94" s="28">
        <f t="shared" si="181"/>
        <v>16891491.310192205</v>
      </c>
      <c r="T94" s="28">
        <f t="shared" si="181"/>
        <v>17253244.965574075</v>
      </c>
      <c r="U94" s="28">
        <f t="shared" si="181"/>
        <v>17849753.772626258</v>
      </c>
      <c r="V94" s="28">
        <f t="shared" si="181"/>
        <v>7980375.0225262186</v>
      </c>
      <c r="W94" s="28">
        <f t="shared" ref="W94:Y94" si="182">IF(W4=0,0,W4/W26*1000000)</f>
        <v>10808144.079198819</v>
      </c>
      <c r="X94" s="28">
        <f t="shared" si="182"/>
        <v>16645468.400265096</v>
      </c>
      <c r="Y94" s="28">
        <f t="shared" si="182"/>
        <v>19892112.593587287</v>
      </c>
      <c r="DA94" s="173" t="s">
        <v>1093</v>
      </c>
    </row>
    <row r="95" spans="1:105" ht="11.45" customHeight="1" x14ac:dyDescent="0.25">
      <c r="A95" s="107" t="s">
        <v>23</v>
      </c>
      <c r="B95" s="108">
        <f t="shared" si="180"/>
        <v>9077551.1895261258</v>
      </c>
      <c r="C95" s="108">
        <f t="shared" si="180"/>
        <v>9076432.6135430504</v>
      </c>
      <c r="D95" s="108">
        <f t="shared" si="180"/>
        <v>9099121.6422661208</v>
      </c>
      <c r="E95" s="108">
        <f t="shared" si="180"/>
        <v>8600559.3416770659</v>
      </c>
      <c r="F95" s="108">
        <f t="shared" si="180"/>
        <v>8600559.3353003748</v>
      </c>
      <c r="G95" s="108">
        <f t="shared" si="180"/>
        <v>8727462.8018916845</v>
      </c>
      <c r="H95" s="108">
        <f t="shared" si="180"/>
        <v>8745171.3078207634</v>
      </c>
      <c r="I95" s="108">
        <f t="shared" si="180"/>
        <v>8677231.8961019907</v>
      </c>
      <c r="J95" s="108">
        <f t="shared" si="180"/>
        <v>8732094.7272520885</v>
      </c>
      <c r="K95" s="108">
        <f t="shared" ref="K95:V95" si="183">IF(K5=0,0,K5/K27*1000000)</f>
        <v>8601780.9047647044</v>
      </c>
      <c r="L95" s="108">
        <f t="shared" si="183"/>
        <v>8560598.0112571977</v>
      </c>
      <c r="M95" s="108">
        <f t="shared" si="183"/>
        <v>8653393.1199402418</v>
      </c>
      <c r="N95" s="108">
        <f t="shared" si="183"/>
        <v>8518115.9851581138</v>
      </c>
      <c r="O95" s="108">
        <f t="shared" si="183"/>
        <v>8646827.3899062574</v>
      </c>
      <c r="P95" s="108">
        <f t="shared" si="183"/>
        <v>8727587.5534544773</v>
      </c>
      <c r="Q95" s="108">
        <f t="shared" si="183"/>
        <v>8861710.9137019124</v>
      </c>
      <c r="R95" s="108">
        <f t="shared" si="183"/>
        <v>8949142.6533540338</v>
      </c>
      <c r="S95" s="108">
        <f t="shared" si="183"/>
        <v>8924618.5971646272</v>
      </c>
      <c r="T95" s="108">
        <f t="shared" si="183"/>
        <v>9019724.3028523717</v>
      </c>
      <c r="U95" s="108">
        <f t="shared" si="183"/>
        <v>8332010.5299192127</v>
      </c>
      <c r="V95" s="108">
        <f t="shared" si="183"/>
        <v>4723628.9313732954</v>
      </c>
      <c r="W95" s="108">
        <f t="shared" ref="W95:Y95" si="184">IF(W5=0,0,W5/W27*1000000)</f>
        <v>6339434.1608100627</v>
      </c>
      <c r="X95" s="108">
        <f t="shared" si="184"/>
        <v>8553256.483351158</v>
      </c>
      <c r="Y95" s="108">
        <f t="shared" si="184"/>
        <v>9683014.9856392238</v>
      </c>
      <c r="DA95" s="203" t="s">
        <v>1094</v>
      </c>
    </row>
    <row r="96" spans="1:105" ht="11.45" customHeight="1" x14ac:dyDescent="0.25">
      <c r="A96" s="109" t="s">
        <v>24</v>
      </c>
      <c r="B96" s="110">
        <f t="shared" si="180"/>
        <v>23027916.559041437</v>
      </c>
      <c r="C96" s="110">
        <f t="shared" si="180"/>
        <v>21146761.600931447</v>
      </c>
      <c r="D96" s="110">
        <f t="shared" si="180"/>
        <v>19493444.378727738</v>
      </c>
      <c r="E96" s="110">
        <f t="shared" si="180"/>
        <v>16911840.301339742</v>
      </c>
      <c r="F96" s="110">
        <f t="shared" si="180"/>
        <v>14627936.602134308</v>
      </c>
      <c r="G96" s="110">
        <f t="shared" si="180"/>
        <v>13405544.70082284</v>
      </c>
      <c r="H96" s="110">
        <f t="shared" si="180"/>
        <v>14263670.439035129</v>
      </c>
      <c r="I96" s="110">
        <f t="shared" si="180"/>
        <v>14502796.320180232</v>
      </c>
      <c r="J96" s="110">
        <f t="shared" si="180"/>
        <v>14740675.08032175</v>
      </c>
      <c r="K96" s="110">
        <f t="shared" ref="K96:V96" si="185">IF(K6=0,0,K6/K28*1000000)</f>
        <v>9899256.2343780939</v>
      </c>
      <c r="L96" s="110">
        <f t="shared" si="185"/>
        <v>9800230.9195719808</v>
      </c>
      <c r="M96" s="110">
        <f t="shared" si="185"/>
        <v>11070869.284167942</v>
      </c>
      <c r="N96" s="110">
        <f t="shared" si="185"/>
        <v>9820229.0991917923</v>
      </c>
      <c r="O96" s="110">
        <f t="shared" si="185"/>
        <v>10306652.158650789</v>
      </c>
      <c r="P96" s="110">
        <f t="shared" si="185"/>
        <v>11168155.874580681</v>
      </c>
      <c r="Q96" s="110">
        <f t="shared" si="185"/>
        <v>10826843.652378971</v>
      </c>
      <c r="R96" s="110">
        <f t="shared" si="185"/>
        <v>10641359.262057466</v>
      </c>
      <c r="S96" s="110">
        <f t="shared" si="185"/>
        <v>11133510.131602522</v>
      </c>
      <c r="T96" s="110">
        <f t="shared" si="185"/>
        <v>11858171.957637537</v>
      </c>
      <c r="U96" s="110">
        <f t="shared" si="185"/>
        <v>13340152.348089946</v>
      </c>
      <c r="V96" s="110">
        <f t="shared" si="185"/>
        <v>6461396.5874124402</v>
      </c>
      <c r="W96" s="110">
        <f t="shared" ref="W96:Y96" si="186">IF(W6=0,0,W6/W28*1000000)</f>
        <v>9830102.3887728527</v>
      </c>
      <c r="X96" s="110">
        <f t="shared" si="186"/>
        <v>16002068.436889477</v>
      </c>
      <c r="Y96" s="110">
        <f t="shared" si="186"/>
        <v>21010409.19930461</v>
      </c>
      <c r="DA96" s="176" t="s">
        <v>1095</v>
      </c>
    </row>
    <row r="97" spans="1:105" ht="11.45" customHeight="1" x14ac:dyDescent="0.25">
      <c r="A97" s="111" t="s">
        <v>92</v>
      </c>
      <c r="B97" s="84">
        <f t="shared" si="180"/>
        <v>16616642.37957748</v>
      </c>
      <c r="C97" s="84">
        <f t="shared" si="180"/>
        <v>17183990.730553161</v>
      </c>
      <c r="D97" s="84">
        <f t="shared" si="180"/>
        <v>16044123.959008917</v>
      </c>
      <c r="E97" s="84">
        <f t="shared" si="180"/>
        <v>12258951.06897708</v>
      </c>
      <c r="F97" s="84">
        <f t="shared" si="180"/>
        <v>9201586.2933108453</v>
      </c>
      <c r="G97" s="84">
        <f t="shared" si="180"/>
        <v>8117260.0034556519</v>
      </c>
      <c r="H97" s="84">
        <f t="shared" si="180"/>
        <v>15861371.607422426</v>
      </c>
      <c r="I97" s="84">
        <f t="shared" si="180"/>
        <v>13971217.91547644</v>
      </c>
      <c r="J97" s="84">
        <f t="shared" si="180"/>
        <v>12840698.656380482</v>
      </c>
      <c r="K97" s="84">
        <f t="shared" ref="K97:V97" si="187">IF(K7=0,0,K7/K29*1000000)</f>
        <v>13814545.7129896</v>
      </c>
      <c r="L97" s="84">
        <f t="shared" si="187"/>
        <v>14033856.450041343</v>
      </c>
      <c r="M97" s="84">
        <f t="shared" si="187"/>
        <v>7320216.4977751449</v>
      </c>
      <c r="N97" s="84">
        <f t="shared" si="187"/>
        <v>6713516.9824484643</v>
      </c>
      <c r="O97" s="84">
        <f t="shared" si="187"/>
        <v>3846110.4741192716</v>
      </c>
      <c r="P97" s="84">
        <f t="shared" si="187"/>
        <v>4304888.9016382182</v>
      </c>
      <c r="Q97" s="84">
        <f t="shared" si="187"/>
        <v>3663414.2336145286</v>
      </c>
      <c r="R97" s="84">
        <f t="shared" si="187"/>
        <v>3197764.6982782721</v>
      </c>
      <c r="S97" s="84">
        <f t="shared" si="187"/>
        <v>4662714.9039766714</v>
      </c>
      <c r="T97" s="84">
        <f t="shared" si="187"/>
        <v>5136349.3329930026</v>
      </c>
      <c r="U97" s="84">
        <f t="shared" si="187"/>
        <v>5911773.3392448444</v>
      </c>
      <c r="V97" s="84">
        <f t="shared" si="187"/>
        <v>2264867.0895938743</v>
      </c>
      <c r="W97" s="84">
        <f t="shared" ref="W97:Y97" si="188">IF(W7=0,0,W7/W29*1000000)</f>
        <v>1414389.8124340421</v>
      </c>
      <c r="X97" s="84">
        <f t="shared" si="188"/>
        <v>2249501.2014947166</v>
      </c>
      <c r="Y97" s="84">
        <f t="shared" si="188"/>
        <v>3099158.7094400865</v>
      </c>
      <c r="DA97" s="171" t="s">
        <v>1096</v>
      </c>
    </row>
    <row r="98" spans="1:105" ht="11.45" customHeight="1" x14ac:dyDescent="0.25">
      <c r="A98" s="111" t="s">
        <v>93</v>
      </c>
      <c r="B98" s="84">
        <f t="shared" si="180"/>
        <v>26592812.229544949</v>
      </c>
      <c r="C98" s="84">
        <f t="shared" si="180"/>
        <v>23154844.657280456</v>
      </c>
      <c r="D98" s="84">
        <f t="shared" si="180"/>
        <v>21098963.797779489</v>
      </c>
      <c r="E98" s="84">
        <f t="shared" si="180"/>
        <v>19352490.023393523</v>
      </c>
      <c r="F98" s="84">
        <f t="shared" si="180"/>
        <v>17971988.214033995</v>
      </c>
      <c r="G98" s="84">
        <f t="shared" si="180"/>
        <v>16729344.769190686</v>
      </c>
      <c r="H98" s="84">
        <f t="shared" si="180"/>
        <v>13252420.903928347</v>
      </c>
      <c r="I98" s="84">
        <f t="shared" si="180"/>
        <v>14873666.959139202</v>
      </c>
      <c r="J98" s="84">
        <f t="shared" si="180"/>
        <v>16097291.238391282</v>
      </c>
      <c r="K98" s="84">
        <f t="shared" ref="K98:V98" si="189">IF(K8=0,0,K8/K30*1000000)</f>
        <v>7057523.242748769</v>
      </c>
      <c r="L98" s="84">
        <f t="shared" si="189"/>
        <v>6669501.6363972574</v>
      </c>
      <c r="M98" s="84">
        <f t="shared" si="189"/>
        <v>13800105.976302236</v>
      </c>
      <c r="N98" s="84">
        <f t="shared" si="189"/>
        <v>12308774.432318864</v>
      </c>
      <c r="O98" s="84">
        <f t="shared" si="189"/>
        <v>15618411.933477342</v>
      </c>
      <c r="P98" s="84">
        <f t="shared" si="189"/>
        <v>16014746.221003201</v>
      </c>
      <c r="Q98" s="84">
        <f t="shared" si="189"/>
        <v>15308160.130625712</v>
      </c>
      <c r="R98" s="84">
        <f t="shared" si="189"/>
        <v>14928252.777546456</v>
      </c>
      <c r="S98" s="84">
        <f t="shared" si="189"/>
        <v>14533384.923286576</v>
      </c>
      <c r="T98" s="84">
        <f t="shared" si="189"/>
        <v>15170836.168130241</v>
      </c>
      <c r="U98" s="84">
        <f t="shared" si="189"/>
        <v>16963966.623442221</v>
      </c>
      <c r="V98" s="84">
        <f t="shared" si="189"/>
        <v>8144261.7513008444</v>
      </c>
      <c r="W98" s="84">
        <f t="shared" ref="W98:Y98" si="190">IF(W8=0,0,W8/W30*1000000)</f>
        <v>12460107.229616309</v>
      </c>
      <c r="X98" s="84">
        <f t="shared" si="190"/>
        <v>19586956.161975179</v>
      </c>
      <c r="Y98" s="84">
        <f t="shared" si="190"/>
        <v>24705309.860543452</v>
      </c>
      <c r="DA98" s="171" t="s">
        <v>1097</v>
      </c>
    </row>
    <row r="99" spans="1:105" ht="11.45" customHeight="1" x14ac:dyDescent="0.25">
      <c r="A99" s="112" t="s">
        <v>25</v>
      </c>
      <c r="B99" s="113">
        <f t="shared" si="180"/>
        <v>83657459.320375755</v>
      </c>
      <c r="C99" s="113">
        <f t="shared" si="180"/>
        <v>84365010.722723812</v>
      </c>
      <c r="D99" s="113">
        <f t="shared" si="180"/>
        <v>81387845.999567196</v>
      </c>
      <c r="E99" s="113">
        <f t="shared" si="180"/>
        <v>81731761.76098682</v>
      </c>
      <c r="F99" s="113">
        <f t="shared" si="180"/>
        <v>80142301.978269488</v>
      </c>
      <c r="G99" s="113">
        <f t="shared" si="180"/>
        <v>81237517.247242257</v>
      </c>
      <c r="H99" s="113">
        <f t="shared" si="180"/>
        <v>82678481.136522874</v>
      </c>
      <c r="I99" s="113">
        <f t="shared" si="180"/>
        <v>78675865.753233403</v>
      </c>
      <c r="J99" s="113">
        <f t="shared" si="180"/>
        <v>83413168.899298817</v>
      </c>
      <c r="K99" s="113">
        <f t="shared" ref="K99:V99" si="191">IF(K9=0,0,K9/K31*1000000)</f>
        <v>81422521.442537874</v>
      </c>
      <c r="L99" s="113">
        <f t="shared" si="191"/>
        <v>79847814.904054388</v>
      </c>
      <c r="M99" s="113">
        <f t="shared" si="191"/>
        <v>77779577.621781558</v>
      </c>
      <c r="N99" s="113">
        <f t="shared" si="191"/>
        <v>78670348.498100549</v>
      </c>
      <c r="O99" s="113">
        <f t="shared" si="191"/>
        <v>89586673.911958456</v>
      </c>
      <c r="P99" s="113">
        <f t="shared" si="191"/>
        <v>91371940.831623867</v>
      </c>
      <c r="Q99" s="113">
        <f t="shared" si="191"/>
        <v>102656270.41305116</v>
      </c>
      <c r="R99" s="113">
        <f t="shared" si="191"/>
        <v>108265410.19070765</v>
      </c>
      <c r="S99" s="113">
        <f t="shared" si="191"/>
        <v>105515983.13879034</v>
      </c>
      <c r="T99" s="113">
        <f t="shared" si="191"/>
        <v>108514329.28151712</v>
      </c>
      <c r="U99" s="113">
        <f t="shared" si="191"/>
        <v>108514328.91166422</v>
      </c>
      <c r="V99" s="113">
        <f t="shared" si="191"/>
        <v>38476079.450902097</v>
      </c>
      <c r="W99" s="113">
        <f t="shared" ref="W99:Y99" si="192">IF(W9=0,0,W9/W31*1000000)</f>
        <v>44403390.0907875</v>
      </c>
      <c r="X99" s="113">
        <f t="shared" si="192"/>
        <v>69046806.323403582</v>
      </c>
      <c r="Y99" s="113">
        <f t="shared" si="192"/>
        <v>71555784.628196597</v>
      </c>
      <c r="DA99" s="204" t="s">
        <v>1098</v>
      </c>
    </row>
    <row r="100" spans="1:105" ht="11.45" customHeight="1" x14ac:dyDescent="0.25">
      <c r="A100" s="27" t="s">
        <v>108</v>
      </c>
      <c r="B100" s="28">
        <f t="shared" si="180"/>
        <v>89836634.173327148</v>
      </c>
      <c r="C100" s="28">
        <f t="shared" si="180"/>
        <v>74461273.412018478</v>
      </c>
      <c r="D100" s="28">
        <f t="shared" si="180"/>
        <v>67163035.51847513</v>
      </c>
      <c r="E100" s="28">
        <f t="shared" si="180"/>
        <v>63494680.935314566</v>
      </c>
      <c r="F100" s="28">
        <f t="shared" si="180"/>
        <v>64310975.026780382</v>
      </c>
      <c r="G100" s="28">
        <f t="shared" si="180"/>
        <v>61019545.537485793</v>
      </c>
      <c r="H100" s="28">
        <f t="shared" si="180"/>
        <v>60511605.411271676</v>
      </c>
      <c r="I100" s="28">
        <f t="shared" si="180"/>
        <v>55365453.974846423</v>
      </c>
      <c r="J100" s="28">
        <f t="shared" si="180"/>
        <v>55516577.732863888</v>
      </c>
      <c r="K100" s="28">
        <f t="shared" ref="K100:V100" si="193">IF(K10=0,0,K10/K32*1000000)</f>
        <v>41592995.087438881</v>
      </c>
      <c r="L100" s="28">
        <f t="shared" si="193"/>
        <v>46027439.263339125</v>
      </c>
      <c r="M100" s="28">
        <f t="shared" si="193"/>
        <v>52477149.383054785</v>
      </c>
      <c r="N100" s="28">
        <f t="shared" si="193"/>
        <v>56787918.1584628</v>
      </c>
      <c r="O100" s="28">
        <f t="shared" si="193"/>
        <v>56928029.643835738</v>
      </c>
      <c r="P100" s="28">
        <f t="shared" si="193"/>
        <v>61730619.370380029</v>
      </c>
      <c r="Q100" s="28">
        <f t="shared" si="193"/>
        <v>59702150.25999371</v>
      </c>
      <c r="R100" s="28">
        <f t="shared" si="193"/>
        <v>61634977.554147772</v>
      </c>
      <c r="S100" s="28">
        <f t="shared" si="193"/>
        <v>66926311.656578347</v>
      </c>
      <c r="T100" s="28">
        <f t="shared" si="193"/>
        <v>73920760.540095761</v>
      </c>
      <c r="U100" s="28">
        <f t="shared" si="193"/>
        <v>78821040.360457227</v>
      </c>
      <c r="V100" s="28">
        <f t="shared" si="193"/>
        <v>47900579.361803398</v>
      </c>
      <c r="W100" s="28">
        <f t="shared" ref="W100:Y100" si="194">IF(W10=0,0,W10/W32*1000000)</f>
        <v>59645180.49857071</v>
      </c>
      <c r="X100" s="28">
        <f t="shared" si="194"/>
        <v>66401382.063761234</v>
      </c>
      <c r="Y100" s="28">
        <f t="shared" si="194"/>
        <v>68500645.748415932</v>
      </c>
      <c r="DA100" s="173" t="s">
        <v>1099</v>
      </c>
    </row>
    <row r="101" spans="1:105" ht="11.45" customHeight="1" x14ac:dyDescent="0.25">
      <c r="A101" s="83" t="s">
        <v>92</v>
      </c>
      <c r="B101" s="84">
        <f t="shared" si="180"/>
        <v>67325223.126035348</v>
      </c>
      <c r="C101" s="84">
        <f t="shared" si="180"/>
        <v>68304219.395372584</v>
      </c>
      <c r="D101" s="84">
        <f t="shared" si="180"/>
        <v>68290076.049584627</v>
      </c>
      <c r="E101" s="84">
        <f t="shared" si="180"/>
        <v>59593449.367461964</v>
      </c>
      <c r="F101" s="84">
        <f t="shared" si="180"/>
        <v>62723303.673488505</v>
      </c>
      <c r="G101" s="84">
        <f t="shared" si="180"/>
        <v>62783696.856149778</v>
      </c>
      <c r="H101" s="84">
        <f t="shared" si="180"/>
        <v>98250037.500140622</v>
      </c>
      <c r="I101" s="84">
        <f t="shared" si="180"/>
        <v>67657138.008373275</v>
      </c>
      <c r="J101" s="84">
        <f t="shared" si="180"/>
        <v>67964000.119739696</v>
      </c>
      <c r="K101" s="84">
        <f t="shared" ref="K101:V101" si="195">IF(K11=0,0,K11/K33*1000000)</f>
        <v>87809045.883264691</v>
      </c>
      <c r="L101" s="84">
        <f t="shared" si="195"/>
        <v>77143356.959083468</v>
      </c>
      <c r="M101" s="84">
        <f t="shared" si="195"/>
        <v>41420555.475957006</v>
      </c>
      <c r="N101" s="84">
        <f t="shared" si="195"/>
        <v>50982991.783779919</v>
      </c>
      <c r="O101" s="84">
        <f t="shared" si="195"/>
        <v>30734095.248040933</v>
      </c>
      <c r="P101" s="84">
        <f t="shared" si="195"/>
        <v>36004156.895577624</v>
      </c>
      <c r="Q101" s="84">
        <f t="shared" si="195"/>
        <v>33953736.710368127</v>
      </c>
      <c r="R101" s="84">
        <f t="shared" si="195"/>
        <v>28996891.170637447</v>
      </c>
      <c r="S101" s="84">
        <f t="shared" si="195"/>
        <v>42721545.61181584</v>
      </c>
      <c r="T101" s="84">
        <f t="shared" si="195"/>
        <v>45135379.766390011</v>
      </c>
      <c r="U101" s="84">
        <f t="shared" si="195"/>
        <v>48129360.183607124</v>
      </c>
      <c r="V101" s="84">
        <f t="shared" si="195"/>
        <v>31615640.315503079</v>
      </c>
      <c r="W101" s="84">
        <f t="shared" ref="W101:Y101" si="196">IF(W11=0,0,W11/W33*1000000)</f>
        <v>18825666.802100062</v>
      </c>
      <c r="X101" s="84">
        <f t="shared" si="196"/>
        <v>21536750.893457782</v>
      </c>
      <c r="Y101" s="84">
        <f t="shared" si="196"/>
        <v>22324001.255390942</v>
      </c>
      <c r="DA101" s="171" t="s">
        <v>1100</v>
      </c>
    </row>
    <row r="102" spans="1:105" ht="11.45" customHeight="1" x14ac:dyDescent="0.25">
      <c r="A102" s="85" t="s">
        <v>93</v>
      </c>
      <c r="B102" s="86">
        <f t="shared" si="180"/>
        <v>104992492.6816787</v>
      </c>
      <c r="C102" s="86">
        <f t="shared" si="180"/>
        <v>77967810.56631051</v>
      </c>
      <c r="D102" s="86">
        <f t="shared" si="180"/>
        <v>66681384.999012865</v>
      </c>
      <c r="E102" s="86">
        <f t="shared" si="180"/>
        <v>64804984.312779881</v>
      </c>
      <c r="F102" s="86">
        <f t="shared" si="180"/>
        <v>64795587.624061741</v>
      </c>
      <c r="G102" s="86">
        <f t="shared" si="180"/>
        <v>60492574.725373551</v>
      </c>
      <c r="H102" s="86">
        <f t="shared" si="180"/>
        <v>46128240.33124233</v>
      </c>
      <c r="I102" s="86">
        <f t="shared" si="180"/>
        <v>48466266.621143349</v>
      </c>
      <c r="J102" s="86">
        <f t="shared" si="180"/>
        <v>47784804.05563581</v>
      </c>
      <c r="K102" s="86">
        <f t="shared" ref="K102:V102" si="197">IF(K12=0,0,K12/K34*1000000)</f>
        <v>11592107.490191344</v>
      </c>
      <c r="L102" s="86">
        <f t="shared" si="197"/>
        <v>20140920.325447168</v>
      </c>
      <c r="M102" s="86">
        <f t="shared" si="197"/>
        <v>61821092.041381672</v>
      </c>
      <c r="N102" s="86">
        <f t="shared" si="197"/>
        <v>61783904.508363642</v>
      </c>
      <c r="O102" s="86">
        <f t="shared" si="197"/>
        <v>77211843.804711208</v>
      </c>
      <c r="P102" s="86">
        <f t="shared" si="197"/>
        <v>78395746.307872087</v>
      </c>
      <c r="Q102" s="86">
        <f t="shared" si="197"/>
        <v>72299853.882153049</v>
      </c>
      <c r="R102" s="86">
        <f t="shared" si="197"/>
        <v>77184145.030976117</v>
      </c>
      <c r="S102" s="86">
        <f t="shared" si="197"/>
        <v>78100020.229400814</v>
      </c>
      <c r="T102" s="86">
        <f t="shared" si="197"/>
        <v>86714537.305840492</v>
      </c>
      <c r="U102" s="86">
        <f t="shared" si="197"/>
        <v>93634089.772789702</v>
      </c>
      <c r="V102" s="86">
        <f t="shared" si="197"/>
        <v>52184006.234856702</v>
      </c>
      <c r="W102" s="86">
        <f t="shared" ref="W102:Y102" si="198">IF(W12=0,0,W12/W34*1000000)</f>
        <v>69408924.622098207</v>
      </c>
      <c r="X102" s="86">
        <f t="shared" si="198"/>
        <v>75931305.008775979</v>
      </c>
      <c r="Y102" s="86">
        <f t="shared" si="198"/>
        <v>76910144.138505876</v>
      </c>
      <c r="DA102" s="178" t="s">
        <v>1101</v>
      </c>
    </row>
    <row r="103" spans="1:105" x14ac:dyDescent="0.25">
      <c r="A103" s="106"/>
      <c r="B103" s="106"/>
      <c r="C103" s="106"/>
      <c r="D103" s="106"/>
      <c r="E103" s="106"/>
      <c r="F103" s="106"/>
      <c r="G103" s="106"/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X103" s="106"/>
      <c r="Y103" s="106"/>
      <c r="DA103" s="171"/>
    </row>
    <row r="104" spans="1:105" ht="11.45" customHeight="1" x14ac:dyDescent="0.25">
      <c r="A104" s="53" t="s">
        <v>37</v>
      </c>
      <c r="B104" s="65"/>
      <c r="C104" s="65"/>
      <c r="D104" s="65"/>
      <c r="E104" s="65"/>
      <c r="F104" s="65"/>
      <c r="G104" s="65"/>
      <c r="H104" s="65"/>
      <c r="I104" s="65"/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X104" s="65"/>
      <c r="Y104" s="65"/>
      <c r="DA104" s="172"/>
    </row>
    <row r="105" spans="1:105" ht="11.45" customHeight="1" x14ac:dyDescent="0.25">
      <c r="A105" s="27" t="s">
        <v>38</v>
      </c>
      <c r="B105" s="31">
        <f t="shared" ref="B105:J110" si="199">IF(B4=0,0,B4/B$4)</f>
        <v>1</v>
      </c>
      <c r="C105" s="31">
        <f t="shared" si="199"/>
        <v>1</v>
      </c>
      <c r="D105" s="31">
        <f t="shared" si="199"/>
        <v>1</v>
      </c>
      <c r="E105" s="31">
        <f t="shared" si="199"/>
        <v>1</v>
      </c>
      <c r="F105" s="31">
        <f t="shared" si="199"/>
        <v>1</v>
      </c>
      <c r="G105" s="31">
        <f t="shared" si="199"/>
        <v>1</v>
      </c>
      <c r="H105" s="31">
        <f t="shared" si="199"/>
        <v>1</v>
      </c>
      <c r="I105" s="31">
        <f t="shared" si="199"/>
        <v>1</v>
      </c>
      <c r="J105" s="31">
        <f t="shared" si="199"/>
        <v>1</v>
      </c>
      <c r="K105" s="31">
        <f t="shared" ref="K105:V105" si="200">IF(K4=0,0,K4/K$4)</f>
        <v>1</v>
      </c>
      <c r="L105" s="31">
        <f t="shared" si="200"/>
        <v>1</v>
      </c>
      <c r="M105" s="31">
        <f t="shared" si="200"/>
        <v>1</v>
      </c>
      <c r="N105" s="31">
        <f t="shared" si="200"/>
        <v>1</v>
      </c>
      <c r="O105" s="31">
        <f t="shared" si="200"/>
        <v>1</v>
      </c>
      <c r="P105" s="31">
        <f t="shared" si="200"/>
        <v>1</v>
      </c>
      <c r="Q105" s="31">
        <f t="shared" si="200"/>
        <v>1</v>
      </c>
      <c r="R105" s="31">
        <f t="shared" si="200"/>
        <v>1</v>
      </c>
      <c r="S105" s="31">
        <f t="shared" si="200"/>
        <v>1</v>
      </c>
      <c r="T105" s="31">
        <f t="shared" si="200"/>
        <v>1</v>
      </c>
      <c r="U105" s="31">
        <f t="shared" si="200"/>
        <v>1</v>
      </c>
      <c r="V105" s="31">
        <f t="shared" si="200"/>
        <v>1</v>
      </c>
      <c r="W105" s="31">
        <f t="shared" ref="W105:Y105" si="201">IF(W4=0,0,W4/W$4)</f>
        <v>1</v>
      </c>
      <c r="X105" s="31">
        <f t="shared" si="201"/>
        <v>1</v>
      </c>
      <c r="Y105" s="31">
        <f t="shared" si="201"/>
        <v>1</v>
      </c>
      <c r="DA105" s="173"/>
    </row>
    <row r="106" spans="1:105" ht="11.45" customHeight="1" x14ac:dyDescent="0.25">
      <c r="A106" s="107" t="s">
        <v>23</v>
      </c>
      <c r="B106" s="123">
        <f t="shared" si="199"/>
        <v>0.20611649720186018</v>
      </c>
      <c r="C106" s="123">
        <f t="shared" si="199"/>
        <v>0.20406603485172731</v>
      </c>
      <c r="D106" s="123">
        <f t="shared" si="199"/>
        <v>0.20590767848451949</v>
      </c>
      <c r="E106" s="123">
        <f t="shared" si="199"/>
        <v>0.20952594754368242</v>
      </c>
      <c r="F106" s="123">
        <f t="shared" si="199"/>
        <v>0.2214924005193615</v>
      </c>
      <c r="G106" s="123">
        <f t="shared" si="199"/>
        <v>0.21720243266724587</v>
      </c>
      <c r="H106" s="123">
        <f t="shared" si="199"/>
        <v>0.21904257198374846</v>
      </c>
      <c r="I106" s="123">
        <f t="shared" si="199"/>
        <v>0.2264925505184556</v>
      </c>
      <c r="J106" s="123">
        <f t="shared" si="199"/>
        <v>0.21333158292034526</v>
      </c>
      <c r="K106" s="123">
        <f t="shared" ref="K106:V106" si="202">IF(K5=0,0,K5/K$4)</f>
        <v>0.21328142266954556</v>
      </c>
      <c r="L106" s="123">
        <f t="shared" si="202"/>
        <v>0.25258529733831697</v>
      </c>
      <c r="M106" s="123">
        <f t="shared" si="202"/>
        <v>0.25080769470947645</v>
      </c>
      <c r="N106" s="123">
        <f t="shared" si="202"/>
        <v>0.24559207059400059</v>
      </c>
      <c r="O106" s="123">
        <f t="shared" si="202"/>
        <v>0.22660519736392931</v>
      </c>
      <c r="P106" s="123">
        <f t="shared" si="202"/>
        <v>0.22196327661700499</v>
      </c>
      <c r="Q106" s="123">
        <f t="shared" si="202"/>
        <v>0.21598853163547155</v>
      </c>
      <c r="R106" s="123">
        <f t="shared" si="202"/>
        <v>0.21917707955170923</v>
      </c>
      <c r="S106" s="123">
        <f t="shared" si="202"/>
        <v>0.21827546727046998</v>
      </c>
      <c r="T106" s="123">
        <f t="shared" si="202"/>
        <v>0.23498503348622873</v>
      </c>
      <c r="U106" s="123">
        <f t="shared" si="202"/>
        <v>0.2165569460739582</v>
      </c>
      <c r="V106" s="123">
        <f t="shared" si="202"/>
        <v>0.2605037894581933</v>
      </c>
      <c r="W106" s="123">
        <f t="shared" ref="W106:Y106" si="203">IF(W5=0,0,W5/W$4)</f>
        <v>0.23888908784872689</v>
      </c>
      <c r="X106" s="123">
        <f t="shared" si="203"/>
        <v>0.2044165316045381</v>
      </c>
      <c r="Y106" s="123">
        <f t="shared" si="203"/>
        <v>0.1885850846981092</v>
      </c>
      <c r="DA106" s="203"/>
    </row>
    <row r="107" spans="1:105" ht="11.45" customHeight="1" x14ac:dyDescent="0.25">
      <c r="A107" s="109" t="s">
        <v>24</v>
      </c>
      <c r="B107" s="124">
        <f t="shared" si="199"/>
        <v>0.71734846693465748</v>
      </c>
      <c r="C107" s="124">
        <f t="shared" si="199"/>
        <v>0.71656221339040049</v>
      </c>
      <c r="D107" s="124">
        <f t="shared" si="199"/>
        <v>0.71244056755643748</v>
      </c>
      <c r="E107" s="124">
        <f t="shared" si="199"/>
        <v>0.71463314251505972</v>
      </c>
      <c r="F107" s="124">
        <f t="shared" si="199"/>
        <v>0.69888490032841977</v>
      </c>
      <c r="G107" s="124">
        <f t="shared" si="199"/>
        <v>0.69866782507964087</v>
      </c>
      <c r="H107" s="124">
        <f t="shared" si="199"/>
        <v>0.68567390920332094</v>
      </c>
      <c r="I107" s="124">
        <f t="shared" si="199"/>
        <v>0.68177796652156986</v>
      </c>
      <c r="J107" s="124">
        <f t="shared" si="199"/>
        <v>0.606715021825462</v>
      </c>
      <c r="K107" s="124">
        <f t="shared" ref="K107:V107" si="204">IF(K6=0,0,K6/K$4)</f>
        <v>0.39551845492102894</v>
      </c>
      <c r="L107" s="124">
        <f t="shared" si="204"/>
        <v>0.35749827757789177</v>
      </c>
      <c r="M107" s="124">
        <f t="shared" si="204"/>
        <v>0.38006842809298597</v>
      </c>
      <c r="N107" s="124">
        <f t="shared" si="204"/>
        <v>0.37925143238825354</v>
      </c>
      <c r="O107" s="124">
        <f t="shared" si="204"/>
        <v>0.3590622246642326</v>
      </c>
      <c r="P107" s="124">
        <f t="shared" si="204"/>
        <v>0.38119827337415085</v>
      </c>
      <c r="Q107" s="124">
        <f t="shared" si="204"/>
        <v>0.36027579257375408</v>
      </c>
      <c r="R107" s="124">
        <f t="shared" si="204"/>
        <v>0.33993922076097016</v>
      </c>
      <c r="S107" s="124">
        <f t="shared" si="204"/>
        <v>0.34023597194246447</v>
      </c>
      <c r="T107" s="124">
        <f t="shared" si="204"/>
        <v>0.3309322307642612</v>
      </c>
      <c r="U107" s="124">
        <f t="shared" si="204"/>
        <v>0.34697779515925775</v>
      </c>
      <c r="V107" s="124">
        <f t="shared" si="204"/>
        <v>0.39556302273674915</v>
      </c>
      <c r="W107" s="124">
        <f t="shared" ref="W107:Y107" si="205">IF(W6=0,0,W6/W$4)</f>
        <v>0.47595172438491562</v>
      </c>
      <c r="X107" s="124">
        <f t="shared" si="205"/>
        <v>0.51354480203750863</v>
      </c>
      <c r="Y107" s="124">
        <f t="shared" si="205"/>
        <v>0.57868840936247978</v>
      </c>
      <c r="DA107" s="176"/>
    </row>
    <row r="108" spans="1:105" ht="11.45" customHeight="1" x14ac:dyDescent="0.25">
      <c r="A108" s="111" t="s">
        <v>92</v>
      </c>
      <c r="B108" s="125">
        <f t="shared" si="199"/>
        <v>0.18497021028160912</v>
      </c>
      <c r="C108" s="125">
        <f t="shared" si="199"/>
        <v>0.19583002904033275</v>
      </c>
      <c r="D108" s="125">
        <f t="shared" si="199"/>
        <v>0.18624483158487781</v>
      </c>
      <c r="E108" s="125">
        <f t="shared" si="199"/>
        <v>0.17823299004122672</v>
      </c>
      <c r="F108" s="125">
        <f t="shared" si="199"/>
        <v>0.16762499073884812</v>
      </c>
      <c r="G108" s="125">
        <f t="shared" si="199"/>
        <v>0.1632759924393406</v>
      </c>
      <c r="H108" s="125">
        <f t="shared" si="199"/>
        <v>0.29554221934968017</v>
      </c>
      <c r="I108" s="125">
        <f t="shared" si="199"/>
        <v>0.26991389608601046</v>
      </c>
      <c r="J108" s="125">
        <f t="shared" si="199"/>
        <v>0.22016566166230478</v>
      </c>
      <c r="K108" s="125">
        <f t="shared" ref="K108:V108" si="206">IF(K7=0,0,K7/K$4)</f>
        <v>0.23212862600699413</v>
      </c>
      <c r="L108" s="125">
        <f t="shared" si="206"/>
        <v>0.21763336922020005</v>
      </c>
      <c r="M108" s="125">
        <f t="shared" si="206"/>
        <v>0.1058467676599838</v>
      </c>
      <c r="N108" s="125">
        <f t="shared" si="206"/>
        <v>0.11531377355016628</v>
      </c>
      <c r="O108" s="125">
        <f t="shared" si="206"/>
        <v>6.0457600115644987E-2</v>
      </c>
      <c r="P108" s="125">
        <f t="shared" si="206"/>
        <v>6.0815756794937358E-2</v>
      </c>
      <c r="Q108" s="125">
        <f t="shared" si="206"/>
        <v>4.6913177021030109E-2</v>
      </c>
      <c r="R108" s="125">
        <f t="shared" si="206"/>
        <v>3.7331658657531026E-2</v>
      </c>
      <c r="S108" s="125">
        <f t="shared" si="206"/>
        <v>4.9079855027767086E-2</v>
      </c>
      <c r="T108" s="125">
        <f t="shared" si="206"/>
        <v>4.7321458807136861E-2</v>
      </c>
      <c r="U108" s="125">
        <f t="shared" si="206"/>
        <v>5.0416898814410013E-2</v>
      </c>
      <c r="V108" s="125">
        <f t="shared" si="206"/>
        <v>3.9687040724144654E-2</v>
      </c>
      <c r="W108" s="125">
        <f t="shared" ref="W108:Y108" si="207">IF(W7=0,0,W7/W$4)</f>
        <v>1.6305593163689878E-2</v>
      </c>
      <c r="X108" s="125">
        <f t="shared" si="207"/>
        <v>1.4927210476234562E-2</v>
      </c>
      <c r="Y108" s="125">
        <f t="shared" si="207"/>
        <v>1.4597532373190855E-2</v>
      </c>
      <c r="DA108" s="171"/>
    </row>
    <row r="109" spans="1:105" ht="11.45" customHeight="1" x14ac:dyDescent="0.25">
      <c r="A109" s="111" t="s">
        <v>93</v>
      </c>
      <c r="B109" s="125">
        <f t="shared" si="199"/>
        <v>0.53237825665304839</v>
      </c>
      <c r="C109" s="125">
        <f t="shared" si="199"/>
        <v>0.52073218435006774</v>
      </c>
      <c r="D109" s="125">
        <f t="shared" si="199"/>
        <v>0.52619573597155966</v>
      </c>
      <c r="E109" s="125">
        <f t="shared" si="199"/>
        <v>0.53640015247383288</v>
      </c>
      <c r="F109" s="125">
        <f t="shared" si="199"/>
        <v>0.5312599095895717</v>
      </c>
      <c r="G109" s="125">
        <f t="shared" si="199"/>
        <v>0.53539183264030032</v>
      </c>
      <c r="H109" s="125">
        <f t="shared" si="199"/>
        <v>0.39013168985364077</v>
      </c>
      <c r="I109" s="125">
        <f t="shared" si="199"/>
        <v>0.41186407043555939</v>
      </c>
      <c r="J109" s="125">
        <f t="shared" si="199"/>
        <v>0.38654936016315711</v>
      </c>
      <c r="K109" s="125">
        <f t="shared" ref="K109:V109" si="208">IF(K8=0,0,K8/K$4)</f>
        <v>0.16338982891403478</v>
      </c>
      <c r="L109" s="125">
        <f t="shared" si="208"/>
        <v>0.13986490835769169</v>
      </c>
      <c r="M109" s="125">
        <f t="shared" si="208"/>
        <v>0.27422166043300217</v>
      </c>
      <c r="N109" s="125">
        <f t="shared" si="208"/>
        <v>0.26393765883808729</v>
      </c>
      <c r="O109" s="125">
        <f t="shared" si="208"/>
        <v>0.2986046245485876</v>
      </c>
      <c r="P109" s="125">
        <f t="shared" si="208"/>
        <v>0.32038251657921352</v>
      </c>
      <c r="Q109" s="125">
        <f t="shared" si="208"/>
        <v>0.31336261555272399</v>
      </c>
      <c r="R109" s="125">
        <f t="shared" si="208"/>
        <v>0.30260756210343914</v>
      </c>
      <c r="S109" s="125">
        <f t="shared" si="208"/>
        <v>0.29115611691469739</v>
      </c>
      <c r="T109" s="125">
        <f t="shared" si="208"/>
        <v>0.28361077195712436</v>
      </c>
      <c r="U109" s="125">
        <f t="shared" si="208"/>
        <v>0.29656089634484778</v>
      </c>
      <c r="V109" s="125">
        <f t="shared" si="208"/>
        <v>0.35587598201260451</v>
      </c>
      <c r="W109" s="125">
        <f t="shared" ref="W109:Y109" si="209">IF(W8=0,0,W8/W$4)</f>
        <v>0.45964613122122577</v>
      </c>
      <c r="X109" s="125">
        <f t="shared" si="209"/>
        <v>0.49861759156127416</v>
      </c>
      <c r="Y109" s="125">
        <f t="shared" si="209"/>
        <v>0.56409087698928895</v>
      </c>
      <c r="DA109" s="171"/>
    </row>
    <row r="110" spans="1:105" ht="11.45" customHeight="1" x14ac:dyDescent="0.25">
      <c r="A110" s="112" t="s">
        <v>25</v>
      </c>
      <c r="B110" s="126">
        <f t="shared" si="199"/>
        <v>7.6535035863482301E-2</v>
      </c>
      <c r="C110" s="126">
        <f t="shared" si="199"/>
        <v>7.9371751757872214E-2</v>
      </c>
      <c r="D110" s="126">
        <f t="shared" si="199"/>
        <v>8.1651753959043089E-2</v>
      </c>
      <c r="E110" s="126">
        <f t="shared" si="199"/>
        <v>7.5840909941257917E-2</v>
      </c>
      <c r="F110" s="126">
        <f t="shared" si="199"/>
        <v>7.9622699152218743E-2</v>
      </c>
      <c r="G110" s="126">
        <f t="shared" si="199"/>
        <v>8.4129742253113232E-2</v>
      </c>
      <c r="H110" s="126">
        <f t="shared" si="199"/>
        <v>9.5283518812930582E-2</v>
      </c>
      <c r="I110" s="126">
        <f t="shared" si="199"/>
        <v>9.1729482959974518E-2</v>
      </c>
      <c r="J110" s="126">
        <f t="shared" si="199"/>
        <v>0.17995339525419279</v>
      </c>
      <c r="K110" s="126">
        <f t="shared" ref="K110:V110" si="210">IF(K9=0,0,K9/K$4)</f>
        <v>0.39120012240942553</v>
      </c>
      <c r="L110" s="126">
        <f t="shared" si="210"/>
        <v>0.38991642508379126</v>
      </c>
      <c r="M110" s="126">
        <f t="shared" si="210"/>
        <v>0.36912387719753764</v>
      </c>
      <c r="N110" s="126">
        <f t="shared" si="210"/>
        <v>0.37515649701774584</v>
      </c>
      <c r="O110" s="126">
        <f t="shared" si="210"/>
        <v>0.41433257797183809</v>
      </c>
      <c r="P110" s="126">
        <f t="shared" si="210"/>
        <v>0.39683845000884416</v>
      </c>
      <c r="Q110" s="126">
        <f t="shared" si="210"/>
        <v>0.42373567579077431</v>
      </c>
      <c r="R110" s="126">
        <f t="shared" si="210"/>
        <v>0.44088369968732066</v>
      </c>
      <c r="S110" s="126">
        <f t="shared" si="210"/>
        <v>0.44148856078706561</v>
      </c>
      <c r="T110" s="126">
        <f t="shared" si="210"/>
        <v>0.43408273574951017</v>
      </c>
      <c r="U110" s="126">
        <f t="shared" si="210"/>
        <v>0.4364652587667841</v>
      </c>
      <c r="V110" s="126">
        <f t="shared" si="210"/>
        <v>0.34393318780505755</v>
      </c>
      <c r="W110" s="126">
        <f t="shared" ref="W110:Y110" si="211">IF(W9=0,0,W9/W$4)</f>
        <v>0.28515918776635746</v>
      </c>
      <c r="X110" s="126">
        <f t="shared" si="211"/>
        <v>0.28203866635795322</v>
      </c>
      <c r="Y110" s="126">
        <f t="shared" si="211"/>
        <v>0.23272650593941097</v>
      </c>
      <c r="DA110" s="204"/>
    </row>
    <row r="111" spans="1:105" ht="11.45" customHeight="1" x14ac:dyDescent="0.25">
      <c r="A111" s="27" t="s">
        <v>39</v>
      </c>
      <c r="B111" s="31">
        <f t="shared" ref="B111:J113" si="212">IF(B10=0,0,B10/B$10)</f>
        <v>1</v>
      </c>
      <c r="C111" s="31">
        <f t="shared" si="212"/>
        <v>1</v>
      </c>
      <c r="D111" s="31">
        <f t="shared" si="212"/>
        <v>1</v>
      </c>
      <c r="E111" s="31">
        <f t="shared" si="212"/>
        <v>1</v>
      </c>
      <c r="F111" s="31">
        <f t="shared" si="212"/>
        <v>1</v>
      </c>
      <c r="G111" s="31">
        <f t="shared" si="212"/>
        <v>1</v>
      </c>
      <c r="H111" s="31">
        <f t="shared" si="212"/>
        <v>1</v>
      </c>
      <c r="I111" s="31">
        <f t="shared" si="212"/>
        <v>1</v>
      </c>
      <c r="J111" s="31">
        <f t="shared" si="212"/>
        <v>1</v>
      </c>
      <c r="K111" s="31">
        <f t="shared" ref="K111:V111" si="213">IF(K10=0,0,K10/K$10)</f>
        <v>1</v>
      </c>
      <c r="L111" s="31">
        <f t="shared" si="213"/>
        <v>1</v>
      </c>
      <c r="M111" s="31">
        <f t="shared" si="213"/>
        <v>1</v>
      </c>
      <c r="N111" s="31">
        <f t="shared" si="213"/>
        <v>1</v>
      </c>
      <c r="O111" s="31">
        <f t="shared" si="213"/>
        <v>1</v>
      </c>
      <c r="P111" s="31">
        <f t="shared" si="213"/>
        <v>1</v>
      </c>
      <c r="Q111" s="31">
        <f t="shared" si="213"/>
        <v>1</v>
      </c>
      <c r="R111" s="31">
        <f t="shared" si="213"/>
        <v>1</v>
      </c>
      <c r="S111" s="31">
        <f t="shared" si="213"/>
        <v>1</v>
      </c>
      <c r="T111" s="31">
        <f t="shared" si="213"/>
        <v>1</v>
      </c>
      <c r="U111" s="31">
        <f t="shared" si="213"/>
        <v>1</v>
      </c>
      <c r="V111" s="31">
        <f t="shared" si="213"/>
        <v>1</v>
      </c>
      <c r="W111" s="31">
        <f t="shared" ref="W111:Y111" si="214">IF(W10=0,0,W10/W$10)</f>
        <v>1</v>
      </c>
      <c r="X111" s="31">
        <f t="shared" si="214"/>
        <v>1</v>
      </c>
      <c r="Y111" s="31">
        <f t="shared" si="214"/>
        <v>1</v>
      </c>
      <c r="DA111" s="173"/>
    </row>
    <row r="112" spans="1:105" ht="11.45" customHeight="1" x14ac:dyDescent="0.25">
      <c r="A112" s="83" t="s">
        <v>92</v>
      </c>
      <c r="B112" s="125">
        <f t="shared" si="212"/>
        <v>0.30153708443756072</v>
      </c>
      <c r="C112" s="125">
        <f t="shared" si="212"/>
        <v>0.33285644454971058</v>
      </c>
      <c r="D112" s="125">
        <f t="shared" si="212"/>
        <v>0.30442945290631607</v>
      </c>
      <c r="E112" s="125">
        <f t="shared" si="212"/>
        <v>0.23597575533870221</v>
      </c>
      <c r="F112" s="125">
        <f t="shared" si="212"/>
        <v>0.22808108304005023</v>
      </c>
      <c r="G112" s="125">
        <f t="shared" si="212"/>
        <v>0.23665530072427174</v>
      </c>
      <c r="H112" s="125">
        <f t="shared" si="212"/>
        <v>0.44805896533569783</v>
      </c>
      <c r="I112" s="125">
        <f t="shared" si="212"/>
        <v>0.43931699179834111</v>
      </c>
      <c r="J112" s="125">
        <f t="shared" si="212"/>
        <v>0.46906336880452493</v>
      </c>
      <c r="K112" s="125">
        <f t="shared" ref="K112:V112" si="215">IF(K11=0,0,K11/K$10)</f>
        <v>0.83100123250924374</v>
      </c>
      <c r="L112" s="125">
        <f t="shared" si="215"/>
        <v>0.76113545507340596</v>
      </c>
      <c r="M112" s="125">
        <f t="shared" si="215"/>
        <v>0.36152160593618493</v>
      </c>
      <c r="N112" s="125">
        <f t="shared" si="215"/>
        <v>0.41526961541626956</v>
      </c>
      <c r="O112" s="125">
        <f t="shared" si="215"/>
        <v>0.23561276783204096</v>
      </c>
      <c r="P112" s="125">
        <f t="shared" si="215"/>
        <v>0.22928779455590587</v>
      </c>
      <c r="Q112" s="125">
        <f t="shared" si="215"/>
        <v>0.18683902628556356</v>
      </c>
      <c r="R112" s="125">
        <f t="shared" si="215"/>
        <v>0.15180957368866149</v>
      </c>
      <c r="S112" s="125">
        <f t="shared" si="215"/>
        <v>0.20160825065693116</v>
      </c>
      <c r="T112" s="125">
        <f t="shared" si="215"/>
        <v>0.18787706084130001</v>
      </c>
      <c r="U112" s="125">
        <f t="shared" si="215"/>
        <v>0.19877229823046919</v>
      </c>
      <c r="V112" s="125">
        <f t="shared" si="215"/>
        <v>0.1374525441702994</v>
      </c>
      <c r="W112" s="125">
        <f t="shared" ref="W112:Y112" si="216">IF(W11=0,0,W11/W$10)</f>
        <v>6.0923466070097333E-2</v>
      </c>
      <c r="X112" s="125">
        <f t="shared" si="216"/>
        <v>5.6824684619477671E-2</v>
      </c>
      <c r="Y112" s="125">
        <f t="shared" si="216"/>
        <v>5.0207090738359293E-2</v>
      </c>
      <c r="DA112" s="171"/>
    </row>
    <row r="113" spans="1:105" ht="11.45" customHeight="1" x14ac:dyDescent="0.25">
      <c r="A113" s="85" t="s">
        <v>93</v>
      </c>
      <c r="B113" s="127">
        <f t="shared" si="212"/>
        <v>0.69846291556243933</v>
      </c>
      <c r="C113" s="127">
        <f t="shared" si="212"/>
        <v>0.66714355545028947</v>
      </c>
      <c r="D113" s="127">
        <f t="shared" si="212"/>
        <v>0.69557054709368393</v>
      </c>
      <c r="E113" s="127">
        <f t="shared" si="212"/>
        <v>0.7640242446612977</v>
      </c>
      <c r="F113" s="127">
        <f t="shared" si="212"/>
        <v>0.77191891695994974</v>
      </c>
      <c r="G113" s="127">
        <f t="shared" si="212"/>
        <v>0.76334469927572823</v>
      </c>
      <c r="H113" s="127">
        <f t="shared" si="212"/>
        <v>0.55194103466430222</v>
      </c>
      <c r="I113" s="127">
        <f t="shared" si="212"/>
        <v>0.56068300820165884</v>
      </c>
      <c r="J113" s="127">
        <f t="shared" si="212"/>
        <v>0.53093663119547507</v>
      </c>
      <c r="K113" s="127">
        <f t="shared" ref="K113:V113" si="217">IF(K12=0,0,K12/K$10)</f>
        <v>0.16899876749075626</v>
      </c>
      <c r="L113" s="127">
        <f t="shared" si="217"/>
        <v>0.23886454492659409</v>
      </c>
      <c r="M113" s="127">
        <f t="shared" si="217"/>
        <v>0.63847839406381501</v>
      </c>
      <c r="N113" s="127">
        <f t="shared" si="217"/>
        <v>0.58473038458373039</v>
      </c>
      <c r="O113" s="127">
        <f t="shared" si="217"/>
        <v>0.76438723216795901</v>
      </c>
      <c r="P113" s="127">
        <f t="shared" si="217"/>
        <v>0.77071220544409413</v>
      </c>
      <c r="Q113" s="127">
        <f t="shared" si="217"/>
        <v>0.81316097371443652</v>
      </c>
      <c r="R113" s="127">
        <f t="shared" si="217"/>
        <v>0.84819042631133856</v>
      </c>
      <c r="S113" s="127">
        <f t="shared" si="217"/>
        <v>0.79839174934306889</v>
      </c>
      <c r="T113" s="127">
        <f t="shared" si="217"/>
        <v>0.81212293915870004</v>
      </c>
      <c r="U113" s="127">
        <f t="shared" si="217"/>
        <v>0.80122770176953084</v>
      </c>
      <c r="V113" s="127">
        <f t="shared" si="217"/>
        <v>0.8625474558297006</v>
      </c>
      <c r="W113" s="127">
        <f t="shared" ref="W113:Y113" si="218">IF(W12=0,0,W12/W$10)</f>
        <v>0.93907653392990265</v>
      </c>
      <c r="X113" s="127">
        <f t="shared" si="218"/>
        <v>0.94317531538052224</v>
      </c>
      <c r="Y113" s="127">
        <f t="shared" si="218"/>
        <v>0.94979290926164073</v>
      </c>
      <c r="DA113" s="178"/>
    </row>
    <row r="114" spans="1:105" ht="11.45" customHeight="1" x14ac:dyDescent="0.25">
      <c r="A114" s="106"/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X114" s="106"/>
      <c r="Y114" s="106"/>
      <c r="DA114" s="171"/>
    </row>
    <row r="115" spans="1:105" ht="11.45" customHeight="1" x14ac:dyDescent="0.25">
      <c r="A115" s="53" t="s">
        <v>66</v>
      </c>
      <c r="B115" s="65"/>
      <c r="C115" s="65"/>
      <c r="D115" s="65"/>
      <c r="E115" s="65"/>
      <c r="F115" s="65"/>
      <c r="G115" s="65"/>
      <c r="H115" s="65"/>
      <c r="I115" s="65"/>
      <c r="J115" s="65"/>
      <c r="K115" s="65"/>
      <c r="L115" s="65"/>
      <c r="M115" s="65"/>
      <c r="N115" s="65"/>
      <c r="O115" s="65"/>
      <c r="P115" s="65"/>
      <c r="Q115" s="65"/>
      <c r="R115" s="65"/>
      <c r="S115" s="65"/>
      <c r="T115" s="65"/>
      <c r="U115" s="65"/>
      <c r="V115" s="65"/>
      <c r="W115" s="65"/>
      <c r="X115" s="65"/>
      <c r="Y115" s="65"/>
      <c r="DA115" s="172"/>
    </row>
    <row r="116" spans="1:105" ht="11.45" customHeight="1" x14ac:dyDescent="0.25">
      <c r="A116" s="27" t="s">
        <v>33</v>
      </c>
      <c r="B116" s="31">
        <f t="shared" ref="B116:J121" si="219">IF(B15=0,0,B15/B$15)</f>
        <v>1</v>
      </c>
      <c r="C116" s="31">
        <f t="shared" si="219"/>
        <v>1</v>
      </c>
      <c r="D116" s="31">
        <f t="shared" si="219"/>
        <v>1</v>
      </c>
      <c r="E116" s="31">
        <f t="shared" si="219"/>
        <v>1</v>
      </c>
      <c r="F116" s="31">
        <f t="shared" si="219"/>
        <v>1</v>
      </c>
      <c r="G116" s="31">
        <f t="shared" si="219"/>
        <v>1</v>
      </c>
      <c r="H116" s="31">
        <f t="shared" si="219"/>
        <v>1</v>
      </c>
      <c r="I116" s="31">
        <f t="shared" si="219"/>
        <v>1</v>
      </c>
      <c r="J116" s="31">
        <f t="shared" si="219"/>
        <v>1</v>
      </c>
      <c r="K116" s="31">
        <f t="shared" ref="K116:V116" si="220">IF(K15=0,0,K15/K$15)</f>
        <v>1</v>
      </c>
      <c r="L116" s="31">
        <f t="shared" si="220"/>
        <v>1</v>
      </c>
      <c r="M116" s="31">
        <f t="shared" si="220"/>
        <v>1</v>
      </c>
      <c r="N116" s="31">
        <f t="shared" si="220"/>
        <v>1</v>
      </c>
      <c r="O116" s="31">
        <f t="shared" si="220"/>
        <v>1</v>
      </c>
      <c r="P116" s="31">
        <f t="shared" si="220"/>
        <v>1</v>
      </c>
      <c r="Q116" s="31">
        <f t="shared" si="220"/>
        <v>1</v>
      </c>
      <c r="R116" s="31">
        <f t="shared" si="220"/>
        <v>1</v>
      </c>
      <c r="S116" s="31">
        <f t="shared" si="220"/>
        <v>1</v>
      </c>
      <c r="T116" s="31">
        <f t="shared" si="220"/>
        <v>1</v>
      </c>
      <c r="U116" s="31">
        <f t="shared" si="220"/>
        <v>1</v>
      </c>
      <c r="V116" s="31">
        <f t="shared" si="220"/>
        <v>1</v>
      </c>
      <c r="W116" s="31">
        <f t="shared" ref="W116:Y116" si="221">IF(W15=0,0,W15/W$15)</f>
        <v>1</v>
      </c>
      <c r="X116" s="31">
        <f t="shared" si="221"/>
        <v>1</v>
      </c>
      <c r="Y116" s="31">
        <f t="shared" si="221"/>
        <v>1</v>
      </c>
      <c r="DA116" s="173"/>
    </row>
    <row r="117" spans="1:105" ht="11.45" customHeight="1" x14ac:dyDescent="0.25">
      <c r="A117" s="107" t="s">
        <v>23</v>
      </c>
      <c r="B117" s="123">
        <f t="shared" si="219"/>
        <v>0.32941985212581887</v>
      </c>
      <c r="C117" s="123">
        <f t="shared" si="219"/>
        <v>0.30994479359347488</v>
      </c>
      <c r="D117" s="123">
        <f t="shared" si="219"/>
        <v>0.29553353639166929</v>
      </c>
      <c r="E117" s="123">
        <f t="shared" si="219"/>
        <v>0.28400344920109233</v>
      </c>
      <c r="F117" s="123">
        <f t="shared" si="219"/>
        <v>0.27117637985575116</v>
      </c>
      <c r="G117" s="123">
        <f t="shared" si="219"/>
        <v>0.24839160238798494</v>
      </c>
      <c r="H117" s="123">
        <f t="shared" si="219"/>
        <v>0.31884143050887737</v>
      </c>
      <c r="I117" s="123">
        <f t="shared" si="219"/>
        <v>0.30142278269508033</v>
      </c>
      <c r="J117" s="123">
        <f t="shared" si="219"/>
        <v>0.29039897052172164</v>
      </c>
      <c r="K117" s="123">
        <f t="shared" ref="K117:V117" si="222">IF(K16=0,0,K16/K$15)</f>
        <v>0.30994822541961453</v>
      </c>
      <c r="L117" s="123">
        <f t="shared" si="222"/>
        <v>0.34992918854047428</v>
      </c>
      <c r="M117" s="123">
        <f t="shared" si="222"/>
        <v>0.30582084281458527</v>
      </c>
      <c r="N117" s="123">
        <f t="shared" si="222"/>
        <v>0.28727123179156888</v>
      </c>
      <c r="O117" s="123">
        <f t="shared" si="222"/>
        <v>0.34292316601146289</v>
      </c>
      <c r="P117" s="123">
        <f t="shared" si="222"/>
        <v>0.33486067820536369</v>
      </c>
      <c r="Q117" s="123">
        <f t="shared" si="222"/>
        <v>0.31995941287960949</v>
      </c>
      <c r="R117" s="123">
        <f t="shared" si="222"/>
        <v>0.31864861804419942</v>
      </c>
      <c r="S117" s="123">
        <f t="shared" si="222"/>
        <v>0.32879372387576111</v>
      </c>
      <c r="T117" s="123">
        <f t="shared" si="222"/>
        <v>0.35714722322379427</v>
      </c>
      <c r="U117" s="123">
        <f t="shared" si="222"/>
        <v>0.36827499595706098</v>
      </c>
      <c r="V117" s="123">
        <f t="shared" si="222"/>
        <v>0.34509644920036442</v>
      </c>
      <c r="W117" s="123">
        <f t="shared" ref="W117:Y117" si="223">IF(W16=0,0,W16/W$15)</f>
        <v>0.30496434475415912</v>
      </c>
      <c r="X117" s="123">
        <f t="shared" si="223"/>
        <v>0.32902235447744649</v>
      </c>
      <c r="Y117" s="123">
        <f t="shared" si="223"/>
        <v>0.3186419667453414</v>
      </c>
      <c r="DA117" s="203"/>
    </row>
    <row r="118" spans="1:105" ht="11.45" customHeight="1" x14ac:dyDescent="0.25">
      <c r="A118" s="109" t="s">
        <v>24</v>
      </c>
      <c r="B118" s="124">
        <f t="shared" si="219"/>
        <v>0.61628248094224347</v>
      </c>
      <c r="C118" s="124">
        <f t="shared" si="219"/>
        <v>0.63699704079149566</v>
      </c>
      <c r="D118" s="124">
        <f t="shared" si="219"/>
        <v>0.65086711767850036</v>
      </c>
      <c r="E118" s="124">
        <f t="shared" si="219"/>
        <v>0.67174331948553168</v>
      </c>
      <c r="F118" s="124">
        <f t="shared" si="219"/>
        <v>0.68602649242555436</v>
      </c>
      <c r="G118" s="124">
        <f t="shared" si="219"/>
        <v>0.70932469977010093</v>
      </c>
      <c r="H118" s="124">
        <f t="shared" si="219"/>
        <v>0.62114359064401614</v>
      </c>
      <c r="I118" s="124">
        <f t="shared" si="219"/>
        <v>0.64349764100124951</v>
      </c>
      <c r="J118" s="124">
        <f t="shared" si="219"/>
        <v>0.6046942372438413</v>
      </c>
      <c r="K118" s="124">
        <f t="shared" ref="K118:V118" si="224">IF(K17=0,0,K17/K$15)</f>
        <v>0.44435539149202624</v>
      </c>
      <c r="L118" s="124">
        <f t="shared" si="224"/>
        <v>0.41314928170199117</v>
      </c>
      <c r="M118" s="124">
        <f t="shared" si="224"/>
        <v>0.49395945593675272</v>
      </c>
      <c r="N118" s="124">
        <f t="shared" si="224"/>
        <v>0.52471747652110901</v>
      </c>
      <c r="O118" s="124">
        <f t="shared" si="224"/>
        <v>0.40950043287573307</v>
      </c>
      <c r="P118" s="124">
        <f t="shared" si="224"/>
        <v>0.43120283682413779</v>
      </c>
      <c r="Q118" s="124">
        <f t="shared" si="224"/>
        <v>0.4598798949311721</v>
      </c>
      <c r="R118" s="124">
        <f t="shared" si="224"/>
        <v>0.46460468997076776</v>
      </c>
      <c r="S118" s="124">
        <f t="shared" si="224"/>
        <v>0.44109956220792623</v>
      </c>
      <c r="T118" s="124">
        <f t="shared" si="224"/>
        <v>0.41851335807743428</v>
      </c>
      <c r="U118" s="124">
        <f t="shared" si="224"/>
        <v>0.39857665503285555</v>
      </c>
      <c r="V118" s="124">
        <f t="shared" si="224"/>
        <v>0.51570634799321258</v>
      </c>
      <c r="W118" s="124">
        <f t="shared" ref="W118:Y118" si="225">IF(W17=0,0,W17/W$15)</f>
        <v>0.56097933206054218</v>
      </c>
      <c r="X118" s="124">
        <f t="shared" si="225"/>
        <v>0.54377585465512246</v>
      </c>
      <c r="Y118" s="124">
        <f t="shared" si="225"/>
        <v>0.56968969468646158</v>
      </c>
      <c r="DA118" s="176"/>
    </row>
    <row r="119" spans="1:105" ht="11.45" customHeight="1" x14ac:dyDescent="0.25">
      <c r="A119" s="111" t="s">
        <v>92</v>
      </c>
      <c r="B119" s="125">
        <f t="shared" si="219"/>
        <v>0.22022306939780836</v>
      </c>
      <c r="C119" s="125">
        <f t="shared" si="219"/>
        <v>0.21423115999391504</v>
      </c>
      <c r="D119" s="125">
        <f t="shared" si="219"/>
        <v>0.20672856695908159</v>
      </c>
      <c r="E119" s="125">
        <f t="shared" si="219"/>
        <v>0.23112442977775466</v>
      </c>
      <c r="F119" s="125">
        <f t="shared" si="219"/>
        <v>0.2615738727955732</v>
      </c>
      <c r="G119" s="125">
        <f t="shared" si="219"/>
        <v>0.27376106357717206</v>
      </c>
      <c r="H119" s="125">
        <f t="shared" si="219"/>
        <v>0.29199191786638207</v>
      </c>
      <c r="I119" s="125">
        <f t="shared" si="219"/>
        <v>0.30422360438381485</v>
      </c>
      <c r="J119" s="125">
        <f t="shared" si="219"/>
        <v>0.27791875702808599</v>
      </c>
      <c r="K119" s="125">
        <f t="shared" ref="K119:V119" si="226">IF(K18=0,0,K18/K$15)</f>
        <v>0.25615796457313589</v>
      </c>
      <c r="L119" s="125">
        <f t="shared" si="226"/>
        <v>0.23538537261410175</v>
      </c>
      <c r="M119" s="125">
        <f t="shared" si="226"/>
        <v>0.20804865216641466</v>
      </c>
      <c r="N119" s="125">
        <f t="shared" si="226"/>
        <v>0.23337321629704907</v>
      </c>
      <c r="O119" s="125">
        <f t="shared" si="226"/>
        <v>7.232855192401938E-2</v>
      </c>
      <c r="P119" s="125">
        <f t="shared" si="226"/>
        <v>7.201256955836699E-2</v>
      </c>
      <c r="Q119" s="125">
        <f t="shared" si="226"/>
        <v>9.3438491218189965E-2</v>
      </c>
      <c r="R119" s="125">
        <f t="shared" si="226"/>
        <v>0.10496492533588135</v>
      </c>
      <c r="S119" s="125">
        <f t="shared" si="226"/>
        <v>7.3846036637393378E-2</v>
      </c>
      <c r="T119" s="125">
        <f t="shared" si="226"/>
        <v>6.9041574805857708E-2</v>
      </c>
      <c r="U119" s="125">
        <f t="shared" si="226"/>
        <v>6.4891315358849733E-2</v>
      </c>
      <c r="V119" s="125">
        <f t="shared" si="226"/>
        <v>5.4074758968686083E-2</v>
      </c>
      <c r="W119" s="125">
        <f t="shared" ref="W119:Y119" si="227">IF(W18=0,0,W18/W$15)</f>
        <v>7.619046013223682E-2</v>
      </c>
      <c r="X119" s="125">
        <f t="shared" si="227"/>
        <v>6.5872471507633631E-2</v>
      </c>
      <c r="Y119" s="125">
        <f t="shared" si="227"/>
        <v>6.0284251193254507E-2</v>
      </c>
      <c r="DA119" s="171"/>
    </row>
    <row r="120" spans="1:105" ht="11.45" customHeight="1" x14ac:dyDescent="0.25">
      <c r="A120" s="111" t="s">
        <v>93</v>
      </c>
      <c r="B120" s="125">
        <f t="shared" si="219"/>
        <v>0.39605941154443508</v>
      </c>
      <c r="C120" s="125">
        <f t="shared" si="219"/>
        <v>0.42276588079758065</v>
      </c>
      <c r="D120" s="125">
        <f t="shared" si="219"/>
        <v>0.44413855071941877</v>
      </c>
      <c r="E120" s="125">
        <f t="shared" si="219"/>
        <v>0.44061888970777702</v>
      </c>
      <c r="F120" s="125">
        <f t="shared" si="219"/>
        <v>0.42445261962998115</v>
      </c>
      <c r="G120" s="125">
        <f t="shared" si="219"/>
        <v>0.43556363619292882</v>
      </c>
      <c r="H120" s="125">
        <f t="shared" si="219"/>
        <v>0.32915167277763413</v>
      </c>
      <c r="I120" s="125">
        <f t="shared" si="219"/>
        <v>0.33927403661743466</v>
      </c>
      <c r="J120" s="125">
        <f t="shared" si="219"/>
        <v>0.32677548021575531</v>
      </c>
      <c r="K120" s="125">
        <f t="shared" ref="K120:V120" si="228">IF(K19=0,0,K19/K$15)</f>
        <v>0.18819742691889033</v>
      </c>
      <c r="L120" s="125">
        <f t="shared" si="228"/>
        <v>0.17776390908788939</v>
      </c>
      <c r="M120" s="125">
        <f t="shared" si="228"/>
        <v>0.28591080377033806</v>
      </c>
      <c r="N120" s="125">
        <f t="shared" si="228"/>
        <v>0.29134426022405985</v>
      </c>
      <c r="O120" s="125">
        <f t="shared" si="228"/>
        <v>0.33717188095171369</v>
      </c>
      <c r="P120" s="125">
        <f t="shared" si="228"/>
        <v>0.3591902672657708</v>
      </c>
      <c r="Q120" s="125">
        <f t="shared" si="228"/>
        <v>0.36644140371298212</v>
      </c>
      <c r="R120" s="125">
        <f t="shared" si="228"/>
        <v>0.35963976463488645</v>
      </c>
      <c r="S120" s="125">
        <f t="shared" si="228"/>
        <v>0.36725352557053287</v>
      </c>
      <c r="T120" s="125">
        <f t="shared" si="228"/>
        <v>0.34947178327157657</v>
      </c>
      <c r="U120" s="125">
        <f t="shared" si="228"/>
        <v>0.33368533967400577</v>
      </c>
      <c r="V120" s="125">
        <f t="shared" si="228"/>
        <v>0.46163158902452645</v>
      </c>
      <c r="W120" s="125">
        <f t="shared" ref="W120:Y120" si="229">IF(W19=0,0,W19/W$15)</f>
        <v>0.48478887192830539</v>
      </c>
      <c r="X120" s="125">
        <f t="shared" si="229"/>
        <v>0.47790338314748887</v>
      </c>
      <c r="Y120" s="125">
        <f t="shared" si="229"/>
        <v>0.50940544349320704</v>
      </c>
      <c r="DA120" s="171"/>
    </row>
    <row r="121" spans="1:105" ht="11.45" customHeight="1" x14ac:dyDescent="0.25">
      <c r="A121" s="112" t="s">
        <v>25</v>
      </c>
      <c r="B121" s="126">
        <f t="shared" si="219"/>
        <v>5.4297666931937626E-2</v>
      </c>
      <c r="C121" s="126">
        <f t="shared" si="219"/>
        <v>5.305816561502949E-2</v>
      </c>
      <c r="D121" s="126">
        <f t="shared" si="219"/>
        <v>5.3599345929830344E-2</v>
      </c>
      <c r="E121" s="126">
        <f t="shared" si="219"/>
        <v>4.4253231313375996E-2</v>
      </c>
      <c r="F121" s="126">
        <f t="shared" si="219"/>
        <v>4.2797127718694657E-2</v>
      </c>
      <c r="G121" s="126">
        <f t="shared" si="219"/>
        <v>4.2283697841914207E-2</v>
      </c>
      <c r="H121" s="126">
        <f t="shared" si="219"/>
        <v>6.0014978847106409E-2</v>
      </c>
      <c r="I121" s="126">
        <f t="shared" si="219"/>
        <v>5.5079576303670184E-2</v>
      </c>
      <c r="J121" s="126">
        <f t="shared" si="219"/>
        <v>0.10490679223443698</v>
      </c>
      <c r="K121" s="126">
        <f t="shared" ref="K121:V121" si="230">IF(K20=0,0,K20/K$15)</f>
        <v>0.24569638308835903</v>
      </c>
      <c r="L121" s="126">
        <f t="shared" si="230"/>
        <v>0.2369215297575345</v>
      </c>
      <c r="M121" s="126">
        <f t="shared" si="230"/>
        <v>0.20021970124866201</v>
      </c>
      <c r="N121" s="126">
        <f t="shared" si="230"/>
        <v>0.18801129168732231</v>
      </c>
      <c r="O121" s="126">
        <f t="shared" si="230"/>
        <v>0.24757640111280405</v>
      </c>
      <c r="P121" s="126">
        <f t="shared" si="230"/>
        <v>0.2339364849704986</v>
      </c>
      <c r="Q121" s="126">
        <f t="shared" si="230"/>
        <v>0.22016069218921835</v>
      </c>
      <c r="R121" s="126">
        <f t="shared" si="230"/>
        <v>0.21674669198503294</v>
      </c>
      <c r="S121" s="126">
        <f t="shared" si="230"/>
        <v>0.2301067139163126</v>
      </c>
      <c r="T121" s="126">
        <f t="shared" si="230"/>
        <v>0.22433941869877153</v>
      </c>
      <c r="U121" s="126">
        <f t="shared" si="230"/>
        <v>0.23314834901008355</v>
      </c>
      <c r="V121" s="126">
        <f t="shared" si="230"/>
        <v>0.139197202806423</v>
      </c>
      <c r="W121" s="126">
        <f t="shared" ref="W121:Y121" si="231">IF(W20=0,0,W20/W$15)</f>
        <v>0.1340563231852987</v>
      </c>
      <c r="X121" s="126">
        <f t="shared" si="231"/>
        <v>0.12720179086743089</v>
      </c>
      <c r="Y121" s="126">
        <f t="shared" si="231"/>
        <v>0.11166833856819686</v>
      </c>
      <c r="DA121" s="204"/>
    </row>
    <row r="122" spans="1:105" ht="11.45" customHeight="1" x14ac:dyDescent="0.25">
      <c r="A122" s="27" t="s">
        <v>34</v>
      </c>
      <c r="B122" s="31">
        <f t="shared" ref="B122:J124" si="232">IF(B21=0,0,B21/B$21)</f>
        <v>1</v>
      </c>
      <c r="C122" s="31">
        <f t="shared" si="232"/>
        <v>1</v>
      </c>
      <c r="D122" s="31">
        <f t="shared" si="232"/>
        <v>1</v>
      </c>
      <c r="E122" s="31">
        <f t="shared" si="232"/>
        <v>1</v>
      </c>
      <c r="F122" s="31">
        <f t="shared" si="232"/>
        <v>1</v>
      </c>
      <c r="G122" s="31">
        <f t="shared" si="232"/>
        <v>1</v>
      </c>
      <c r="H122" s="31">
        <f t="shared" si="232"/>
        <v>1</v>
      </c>
      <c r="I122" s="31">
        <f t="shared" si="232"/>
        <v>1</v>
      </c>
      <c r="J122" s="31">
        <f t="shared" si="232"/>
        <v>1</v>
      </c>
      <c r="K122" s="31">
        <f t="shared" ref="K122:V122" si="233">IF(K21=0,0,K21/K$21)</f>
        <v>1</v>
      </c>
      <c r="L122" s="31">
        <f t="shared" si="233"/>
        <v>1</v>
      </c>
      <c r="M122" s="31">
        <f t="shared" si="233"/>
        <v>1</v>
      </c>
      <c r="N122" s="31">
        <f t="shared" si="233"/>
        <v>1</v>
      </c>
      <c r="O122" s="31">
        <f t="shared" si="233"/>
        <v>1</v>
      </c>
      <c r="P122" s="31">
        <f t="shared" si="233"/>
        <v>1</v>
      </c>
      <c r="Q122" s="31">
        <f t="shared" si="233"/>
        <v>1</v>
      </c>
      <c r="R122" s="31">
        <f t="shared" si="233"/>
        <v>1</v>
      </c>
      <c r="S122" s="31">
        <f t="shared" si="233"/>
        <v>1</v>
      </c>
      <c r="T122" s="31">
        <f t="shared" si="233"/>
        <v>1</v>
      </c>
      <c r="U122" s="31">
        <f t="shared" si="233"/>
        <v>1</v>
      </c>
      <c r="V122" s="31">
        <f t="shared" si="233"/>
        <v>1</v>
      </c>
      <c r="W122" s="31">
        <f t="shared" ref="W122:Y122" si="234">IF(W21=0,0,W21/W$21)</f>
        <v>1</v>
      </c>
      <c r="X122" s="31">
        <f t="shared" si="234"/>
        <v>1</v>
      </c>
      <c r="Y122" s="31">
        <f t="shared" si="234"/>
        <v>1</v>
      </c>
      <c r="DA122" s="173"/>
    </row>
    <row r="123" spans="1:105" ht="11.45" customHeight="1" x14ac:dyDescent="0.25">
      <c r="A123" s="83" t="s">
        <v>92</v>
      </c>
      <c r="B123" s="125">
        <f t="shared" si="232"/>
        <v>0.40236148194394311</v>
      </c>
      <c r="C123" s="125">
        <f t="shared" si="232"/>
        <v>0.36286066906155279</v>
      </c>
      <c r="D123" s="125">
        <f t="shared" si="232"/>
        <v>0.29875791302665772</v>
      </c>
      <c r="E123" s="125">
        <f t="shared" si="232"/>
        <v>0.24181529253249417</v>
      </c>
      <c r="F123" s="125">
        <f t="shared" si="232"/>
        <v>0.23385433844516809</v>
      </c>
      <c r="G123" s="125">
        <f t="shared" si="232"/>
        <v>0.23000554991056188</v>
      </c>
      <c r="H123" s="125">
        <f t="shared" si="232"/>
        <v>0.41335405825091592</v>
      </c>
      <c r="I123" s="125">
        <f t="shared" si="232"/>
        <v>0.40613429775142396</v>
      </c>
      <c r="J123" s="125">
        <f t="shared" si="232"/>
        <v>0.45695073363120225</v>
      </c>
      <c r="K123" s="125">
        <f t="shared" ref="K123:V123" si="235">IF(K22=0,0,K22/K$21)</f>
        <v>0.77002367077434275</v>
      </c>
      <c r="L123" s="125">
        <f t="shared" si="235"/>
        <v>0.70512369532445718</v>
      </c>
      <c r="M123" s="125">
        <f t="shared" si="235"/>
        <v>0.37127359896547674</v>
      </c>
      <c r="N123" s="125">
        <f t="shared" si="235"/>
        <v>0.42680029936897312</v>
      </c>
      <c r="O123" s="125">
        <f t="shared" si="235"/>
        <v>0.21545047973709178</v>
      </c>
      <c r="P123" s="125">
        <f t="shared" si="235"/>
        <v>0.20956885655562082</v>
      </c>
      <c r="Q123" s="125">
        <f t="shared" si="235"/>
        <v>0.14943311244522728</v>
      </c>
      <c r="R123" s="125">
        <f t="shared" si="235"/>
        <v>0.13949500148236565</v>
      </c>
      <c r="S123" s="125">
        <f t="shared" si="235"/>
        <v>0.24627465123590975</v>
      </c>
      <c r="T123" s="125">
        <f t="shared" si="235"/>
        <v>0.28412348926126124</v>
      </c>
      <c r="U123" s="125">
        <f t="shared" si="235"/>
        <v>0.33422172032459302</v>
      </c>
      <c r="V123" s="125">
        <f t="shared" si="235"/>
        <v>0.19146712498246415</v>
      </c>
      <c r="W123" s="125">
        <f t="shared" ref="W123:Y123" si="236">IF(W22=0,0,W22/W$21)</f>
        <v>0.14046521365886402</v>
      </c>
      <c r="X123" s="125">
        <f t="shared" si="236"/>
        <v>0.15808861145186073</v>
      </c>
      <c r="Y123" s="125">
        <f t="shared" si="236"/>
        <v>0.14411375359339082</v>
      </c>
      <c r="DA123" s="171"/>
    </row>
    <row r="124" spans="1:105" ht="11.45" customHeight="1" x14ac:dyDescent="0.25">
      <c r="A124" s="85" t="s">
        <v>93</v>
      </c>
      <c r="B124" s="127">
        <f t="shared" si="232"/>
        <v>0.59763851805605694</v>
      </c>
      <c r="C124" s="127">
        <f t="shared" si="232"/>
        <v>0.63713933093844721</v>
      </c>
      <c r="D124" s="127">
        <f t="shared" si="232"/>
        <v>0.70124208697334223</v>
      </c>
      <c r="E124" s="127">
        <f t="shared" si="232"/>
        <v>0.75818470746750577</v>
      </c>
      <c r="F124" s="127">
        <f t="shared" si="232"/>
        <v>0.76614566155483188</v>
      </c>
      <c r="G124" s="127">
        <f t="shared" si="232"/>
        <v>0.76999445008943812</v>
      </c>
      <c r="H124" s="127">
        <f t="shared" si="232"/>
        <v>0.58664594174908402</v>
      </c>
      <c r="I124" s="127">
        <f t="shared" si="232"/>
        <v>0.59386570224857604</v>
      </c>
      <c r="J124" s="127">
        <f t="shared" si="232"/>
        <v>0.5430492663687978</v>
      </c>
      <c r="K124" s="127">
        <f t="shared" ref="K124:V124" si="237">IF(K23=0,0,K23/K$21)</f>
        <v>0.22997632922565719</v>
      </c>
      <c r="L124" s="127">
        <f t="shared" si="237"/>
        <v>0.29487630467554288</v>
      </c>
      <c r="M124" s="127">
        <f t="shared" si="237"/>
        <v>0.62872640103452326</v>
      </c>
      <c r="N124" s="127">
        <f t="shared" si="237"/>
        <v>0.57319970063102688</v>
      </c>
      <c r="O124" s="127">
        <f t="shared" si="237"/>
        <v>0.78454952026290814</v>
      </c>
      <c r="P124" s="127">
        <f t="shared" si="237"/>
        <v>0.79043114344437915</v>
      </c>
      <c r="Q124" s="127">
        <f t="shared" si="237"/>
        <v>0.85056688755477272</v>
      </c>
      <c r="R124" s="127">
        <f t="shared" si="237"/>
        <v>0.86050499851763429</v>
      </c>
      <c r="S124" s="127">
        <f t="shared" si="237"/>
        <v>0.75372534876409025</v>
      </c>
      <c r="T124" s="127">
        <f t="shared" si="237"/>
        <v>0.7158765107387387</v>
      </c>
      <c r="U124" s="127">
        <f t="shared" si="237"/>
        <v>0.66577827967540704</v>
      </c>
      <c r="V124" s="127">
        <f t="shared" si="237"/>
        <v>0.80853287501753579</v>
      </c>
      <c r="W124" s="127">
        <f t="shared" ref="W124:Y124" si="238">IF(W23=0,0,W23/W$21)</f>
        <v>0.85953478634113589</v>
      </c>
      <c r="X124" s="127">
        <f t="shared" si="238"/>
        <v>0.84191138854813918</v>
      </c>
      <c r="Y124" s="127">
        <f t="shared" si="238"/>
        <v>0.85588624640660915</v>
      </c>
      <c r="DA124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6:Y6 B17:Y17 B28:Y28 C39:Y39" formulaRange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DA65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1102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DA2" s="171"/>
    </row>
    <row r="3" spans="1:105" ht="11.45" customHeight="1" x14ac:dyDescent="0.25">
      <c r="A3" s="53" t="s">
        <v>32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X3" s="132"/>
      <c r="Y3" s="132"/>
      <c r="DA3" s="172"/>
    </row>
    <row r="4" spans="1:105" ht="11.45" customHeight="1" x14ac:dyDescent="0.25">
      <c r="A4" s="133" t="s">
        <v>45</v>
      </c>
      <c r="B4" s="146">
        <f>SUM(B5,B8)</f>
        <v>709.20988822012032</v>
      </c>
      <c r="C4" s="146">
        <f t="shared" ref="C4:V4" si="0">SUM(C5,C8)</f>
        <v>772.25563198624241</v>
      </c>
      <c r="D4" s="146">
        <f t="shared" si="0"/>
        <v>789.67231298366301</v>
      </c>
      <c r="E4" s="146">
        <f t="shared" si="0"/>
        <v>863.43748925193472</v>
      </c>
      <c r="F4" s="146">
        <f t="shared" si="0"/>
        <v>951.96328460877032</v>
      </c>
      <c r="G4" s="146">
        <f t="shared" si="0"/>
        <v>1030.8875322441961</v>
      </c>
      <c r="H4" s="146">
        <f t="shared" si="0"/>
        <v>846.13551160791053</v>
      </c>
      <c r="I4" s="146">
        <f t="shared" si="0"/>
        <v>988.32046431642289</v>
      </c>
      <c r="J4" s="146">
        <f t="shared" si="0"/>
        <v>980.63912295786758</v>
      </c>
      <c r="K4" s="146">
        <f t="shared" si="0"/>
        <v>862.22416165090283</v>
      </c>
      <c r="L4" s="146">
        <f t="shared" si="0"/>
        <v>899.96182287188299</v>
      </c>
      <c r="M4" s="146">
        <f t="shared" si="0"/>
        <v>844.42536543422193</v>
      </c>
      <c r="N4" s="146">
        <f t="shared" si="0"/>
        <v>890.43662940670674</v>
      </c>
      <c r="O4" s="146">
        <f t="shared" si="0"/>
        <v>385.52115219260531</v>
      </c>
      <c r="P4" s="146">
        <f t="shared" si="0"/>
        <v>391.20094582975065</v>
      </c>
      <c r="Q4" s="146">
        <f t="shared" si="0"/>
        <v>403.80240756663795</v>
      </c>
      <c r="R4" s="146">
        <f t="shared" si="0"/>
        <v>388.70739466895952</v>
      </c>
      <c r="S4" s="146">
        <f t="shared" si="0"/>
        <v>393.01134995700767</v>
      </c>
      <c r="T4" s="146">
        <f t="shared" si="0"/>
        <v>394.46354256233883</v>
      </c>
      <c r="U4" s="146">
        <f t="shared" si="0"/>
        <v>382.15821152192598</v>
      </c>
      <c r="V4" s="146">
        <f t="shared" si="0"/>
        <v>311.8419604471195</v>
      </c>
      <c r="W4" s="146">
        <f t="shared" ref="W4:Y4" si="1">SUM(W5,W8)</f>
        <v>320.73473774720554</v>
      </c>
      <c r="X4" s="146">
        <f t="shared" si="1"/>
        <v>330.42536543422187</v>
      </c>
      <c r="Y4" s="146">
        <f t="shared" si="1"/>
        <v>332.02734307824591</v>
      </c>
      <c r="DA4" s="206" t="s">
        <v>1103</v>
      </c>
    </row>
    <row r="5" spans="1:105" ht="11.45" customHeight="1" x14ac:dyDescent="0.25">
      <c r="A5" s="92" t="s">
        <v>150</v>
      </c>
      <c r="B5" s="101">
        <f>SUM(B6:B7)</f>
        <v>497.08607050730859</v>
      </c>
      <c r="C5" s="101">
        <f t="shared" ref="C5:V5" si="2">SUM(C6:C7)</f>
        <v>529.95124677558033</v>
      </c>
      <c r="D5" s="101">
        <f t="shared" si="2"/>
        <v>519.68091143594154</v>
      </c>
      <c r="E5" s="101">
        <f t="shared" si="2"/>
        <v>577.19501289767845</v>
      </c>
      <c r="F5" s="101">
        <f t="shared" si="2"/>
        <v>659.35795356835763</v>
      </c>
      <c r="G5" s="101">
        <f t="shared" si="2"/>
        <v>716.87205503009454</v>
      </c>
      <c r="H5" s="101">
        <f t="shared" si="2"/>
        <v>636.76319862424759</v>
      </c>
      <c r="I5" s="101">
        <f t="shared" si="2"/>
        <v>754.87248495270842</v>
      </c>
      <c r="J5" s="101">
        <f t="shared" si="2"/>
        <v>724.06130696474634</v>
      </c>
      <c r="K5" s="101">
        <f t="shared" si="2"/>
        <v>616.2224419604471</v>
      </c>
      <c r="L5" s="101">
        <f t="shared" si="2"/>
        <v>636.76319862424759</v>
      </c>
      <c r="M5" s="101">
        <f t="shared" si="2"/>
        <v>523.78907996560622</v>
      </c>
      <c r="N5" s="101">
        <f t="shared" si="2"/>
        <v>577.19501289767845</v>
      </c>
      <c r="O5" s="101">
        <f t="shared" si="2"/>
        <v>81.135941530524505</v>
      </c>
      <c r="P5" s="101">
        <f t="shared" si="2"/>
        <v>80.108942390369734</v>
      </c>
      <c r="Q5" s="101">
        <f t="shared" si="2"/>
        <v>88.325193465176255</v>
      </c>
      <c r="R5" s="101">
        <f t="shared" si="2"/>
        <v>80.108942390369734</v>
      </c>
      <c r="S5" s="101">
        <f t="shared" si="2"/>
        <v>79.081857265692165</v>
      </c>
      <c r="T5" s="101">
        <f t="shared" si="2"/>
        <v>81.135941530524505</v>
      </c>
      <c r="U5" s="101">
        <f t="shared" si="2"/>
        <v>83.190025795356831</v>
      </c>
      <c r="V5" s="101">
        <f t="shared" si="2"/>
        <v>60.595184866723983</v>
      </c>
      <c r="W5" s="101">
        <f t="shared" ref="W5:Y5" si="3">SUM(W6:W7)</f>
        <v>55.214531384350813</v>
      </c>
      <c r="X5" s="101">
        <f t="shared" si="3"/>
        <v>53.039294926913151</v>
      </c>
      <c r="Y5" s="101">
        <f t="shared" si="3"/>
        <v>47.066036113499571</v>
      </c>
      <c r="DA5" s="175"/>
    </row>
    <row r="6" spans="1:105" ht="11.45" customHeight="1" x14ac:dyDescent="0.25">
      <c r="A6" s="164" t="s">
        <v>175</v>
      </c>
      <c r="B6" s="165">
        <v>497.08607050730859</v>
      </c>
      <c r="C6" s="165">
        <v>529.95124677558033</v>
      </c>
      <c r="D6" s="165">
        <v>519.68091143594154</v>
      </c>
      <c r="E6" s="165">
        <v>577.19501289767845</v>
      </c>
      <c r="F6" s="165">
        <v>659.35795356835763</v>
      </c>
      <c r="G6" s="165">
        <v>716.87205503009454</v>
      </c>
      <c r="H6" s="165">
        <v>636.76319862424759</v>
      </c>
      <c r="I6" s="165">
        <v>754.87248495270842</v>
      </c>
      <c r="J6" s="165">
        <v>724.06130696474634</v>
      </c>
      <c r="K6" s="165">
        <v>616.2224419604471</v>
      </c>
      <c r="L6" s="165">
        <v>636.76319862424759</v>
      </c>
      <c r="M6" s="165">
        <v>523.78907996560622</v>
      </c>
      <c r="N6" s="165">
        <v>577.19501289767845</v>
      </c>
      <c r="O6" s="165">
        <v>81.135941530524505</v>
      </c>
      <c r="P6" s="165">
        <v>80.108942390369734</v>
      </c>
      <c r="Q6" s="165">
        <v>88.325193465176255</v>
      </c>
      <c r="R6" s="165">
        <v>80.108942390369734</v>
      </c>
      <c r="S6" s="165">
        <v>79.081857265692165</v>
      </c>
      <c r="T6" s="165">
        <v>81.135941530524505</v>
      </c>
      <c r="U6" s="165">
        <v>83.190025795356831</v>
      </c>
      <c r="V6" s="165">
        <v>60.595184866723983</v>
      </c>
      <c r="W6" s="165">
        <v>55.214531384350813</v>
      </c>
      <c r="X6" s="165">
        <v>53.039294926913151</v>
      </c>
      <c r="Y6" s="165">
        <v>47.066036113499571</v>
      </c>
      <c r="DA6" s="207" t="s">
        <v>1104</v>
      </c>
    </row>
    <row r="7" spans="1:105" ht="11.45" customHeight="1" x14ac:dyDescent="0.25">
      <c r="A7" s="166" t="s">
        <v>176</v>
      </c>
      <c r="B7" s="167">
        <v>0</v>
      </c>
      <c r="C7" s="167">
        <v>0</v>
      </c>
      <c r="D7" s="167">
        <v>0</v>
      </c>
      <c r="E7" s="167">
        <v>0</v>
      </c>
      <c r="F7" s="167">
        <v>0</v>
      </c>
      <c r="G7" s="167">
        <v>0</v>
      </c>
      <c r="H7" s="167">
        <v>0</v>
      </c>
      <c r="I7" s="167">
        <v>0</v>
      </c>
      <c r="J7" s="167">
        <v>0</v>
      </c>
      <c r="K7" s="167">
        <v>0</v>
      </c>
      <c r="L7" s="167">
        <v>0</v>
      </c>
      <c r="M7" s="167">
        <v>0</v>
      </c>
      <c r="N7" s="167">
        <v>0</v>
      </c>
      <c r="O7" s="167">
        <v>0</v>
      </c>
      <c r="P7" s="167">
        <v>0</v>
      </c>
      <c r="Q7" s="167">
        <v>0</v>
      </c>
      <c r="R7" s="167">
        <v>0</v>
      </c>
      <c r="S7" s="167">
        <v>0</v>
      </c>
      <c r="T7" s="167">
        <v>0</v>
      </c>
      <c r="U7" s="167">
        <v>0</v>
      </c>
      <c r="V7" s="167">
        <v>0</v>
      </c>
      <c r="W7" s="167">
        <v>0</v>
      </c>
      <c r="X7" s="167">
        <v>0</v>
      </c>
      <c r="Y7" s="167">
        <v>0</v>
      </c>
      <c r="DA7" s="177" t="s">
        <v>1105</v>
      </c>
    </row>
    <row r="8" spans="1:105" ht="11.45" customHeight="1" x14ac:dyDescent="0.25">
      <c r="A8" s="85" t="s">
        <v>91</v>
      </c>
      <c r="B8" s="88">
        <v>212.1238177128117</v>
      </c>
      <c r="C8" s="88">
        <v>242.3043852106621</v>
      </c>
      <c r="D8" s="88">
        <v>269.99140154772141</v>
      </c>
      <c r="E8" s="88">
        <v>286.24247635425621</v>
      </c>
      <c r="F8" s="88">
        <v>292.60533104041269</v>
      </c>
      <c r="G8" s="88">
        <v>314.01547721410151</v>
      </c>
      <c r="H8" s="88">
        <v>209.37231298366291</v>
      </c>
      <c r="I8" s="88">
        <v>233.4479793637145</v>
      </c>
      <c r="J8" s="88">
        <v>256.57781599312119</v>
      </c>
      <c r="K8" s="88">
        <v>246.0017196904557</v>
      </c>
      <c r="L8" s="88">
        <v>263.19862424763539</v>
      </c>
      <c r="M8" s="88">
        <v>320.63628546861571</v>
      </c>
      <c r="N8" s="88">
        <v>313.24161650902829</v>
      </c>
      <c r="O8" s="88">
        <v>304.38521066208079</v>
      </c>
      <c r="P8" s="88">
        <v>311.0920034393809</v>
      </c>
      <c r="Q8" s="88">
        <v>315.4772141014617</v>
      </c>
      <c r="R8" s="88">
        <v>308.59845227858978</v>
      </c>
      <c r="S8" s="88">
        <v>313.92949269131549</v>
      </c>
      <c r="T8" s="88">
        <v>313.32760103181431</v>
      </c>
      <c r="U8" s="88">
        <v>298.96818572656917</v>
      </c>
      <c r="V8" s="88">
        <v>251.24677558039551</v>
      </c>
      <c r="W8" s="88">
        <v>265.52020636285471</v>
      </c>
      <c r="X8" s="88">
        <v>277.38607050730872</v>
      </c>
      <c r="Y8" s="88">
        <v>284.96130696474631</v>
      </c>
      <c r="DA8" s="178" t="s">
        <v>1106</v>
      </c>
    </row>
    <row r="9" spans="1:105" x14ac:dyDescent="0.25">
      <c r="A9" s="106"/>
      <c r="B9" s="106"/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  <c r="P9" s="106"/>
      <c r="Q9" s="106"/>
      <c r="R9" s="106"/>
      <c r="S9" s="106"/>
      <c r="T9" s="106"/>
      <c r="U9" s="106"/>
      <c r="V9" s="106"/>
      <c r="W9" s="106"/>
      <c r="X9" s="106"/>
      <c r="Y9" s="106"/>
      <c r="DA9" s="171"/>
    </row>
    <row r="10" spans="1:105" ht="11.45" customHeight="1" x14ac:dyDescent="0.25">
      <c r="A10" s="53" t="s">
        <v>61</v>
      </c>
      <c r="B10" s="62">
        <f t="shared" ref="B10" si="4">SUM(B11,B17)</f>
        <v>709.20988822012032</v>
      </c>
      <c r="C10" s="62">
        <f t="shared" ref="C10:V10" si="5">SUM(C11,C17)</f>
        <v>772.25563198624241</v>
      </c>
      <c r="D10" s="62">
        <f t="shared" si="5"/>
        <v>789.67231298366301</v>
      </c>
      <c r="E10" s="62">
        <f t="shared" si="5"/>
        <v>863.43748925193461</v>
      </c>
      <c r="F10" s="62">
        <f t="shared" si="5"/>
        <v>951.96328460877044</v>
      </c>
      <c r="G10" s="62">
        <f t="shared" si="5"/>
        <v>1030.8875322441961</v>
      </c>
      <c r="H10" s="62">
        <f t="shared" si="5"/>
        <v>846.13551160791042</v>
      </c>
      <c r="I10" s="62">
        <f t="shared" si="5"/>
        <v>988.320464316423</v>
      </c>
      <c r="J10" s="62">
        <f t="shared" si="5"/>
        <v>980.63912295786747</v>
      </c>
      <c r="K10" s="62">
        <f t="shared" si="5"/>
        <v>862.22416165090272</v>
      </c>
      <c r="L10" s="62">
        <f t="shared" si="5"/>
        <v>899.96182287188299</v>
      </c>
      <c r="M10" s="62">
        <f t="shared" si="5"/>
        <v>844.42536543422193</v>
      </c>
      <c r="N10" s="62">
        <f t="shared" si="5"/>
        <v>890.43662940670663</v>
      </c>
      <c r="O10" s="62">
        <f t="shared" si="5"/>
        <v>385.52115219260531</v>
      </c>
      <c r="P10" s="62">
        <f t="shared" si="5"/>
        <v>391.20094582975059</v>
      </c>
      <c r="Q10" s="62">
        <f t="shared" si="5"/>
        <v>403.80240756663795</v>
      </c>
      <c r="R10" s="62">
        <f t="shared" si="5"/>
        <v>388.70739466895952</v>
      </c>
      <c r="S10" s="62">
        <f t="shared" si="5"/>
        <v>393.01134995700767</v>
      </c>
      <c r="T10" s="62">
        <f t="shared" si="5"/>
        <v>394.46354256233883</v>
      </c>
      <c r="U10" s="62">
        <f t="shared" si="5"/>
        <v>382.15821152192603</v>
      </c>
      <c r="V10" s="62">
        <f t="shared" si="5"/>
        <v>311.84196044711945</v>
      </c>
      <c r="W10" s="62">
        <f t="shared" ref="W10:Y10" si="6">SUM(W11,W17)</f>
        <v>320.73473774720549</v>
      </c>
      <c r="X10" s="62">
        <f t="shared" si="6"/>
        <v>330.42536543422187</v>
      </c>
      <c r="Y10" s="62">
        <f t="shared" si="6"/>
        <v>332.02734307824596</v>
      </c>
      <c r="DA10" s="172" t="s">
        <v>1107</v>
      </c>
    </row>
    <row r="11" spans="1:105" ht="11.45" customHeight="1" x14ac:dyDescent="0.25">
      <c r="A11" s="27" t="s">
        <v>33</v>
      </c>
      <c r="B11" s="29">
        <f t="shared" ref="B11" si="7">SUM(B12,B13,B16)</f>
        <v>502.79059147107421</v>
      </c>
      <c r="C11" s="29">
        <f t="shared" ref="C11:V11" si="8">SUM(C12,C13,C16)</f>
        <v>540.57577783006252</v>
      </c>
      <c r="D11" s="29">
        <f t="shared" si="8"/>
        <v>571.39196474407856</v>
      </c>
      <c r="E11" s="29">
        <f t="shared" si="8"/>
        <v>667.39253513144172</v>
      </c>
      <c r="F11" s="29">
        <f t="shared" si="8"/>
        <v>764.25123608008084</v>
      </c>
      <c r="G11" s="29">
        <f t="shared" si="8"/>
        <v>852.29780735937027</v>
      </c>
      <c r="H11" s="29">
        <f t="shared" si="8"/>
        <v>672.17427862749355</v>
      </c>
      <c r="I11" s="29">
        <f t="shared" si="8"/>
        <v>749.94175681594254</v>
      </c>
      <c r="J11" s="29">
        <f t="shared" si="8"/>
        <v>744.14373225902784</v>
      </c>
      <c r="K11" s="29">
        <f t="shared" si="8"/>
        <v>656.64304404753807</v>
      </c>
      <c r="L11" s="29">
        <f t="shared" si="8"/>
        <v>654.57336338430821</v>
      </c>
      <c r="M11" s="29">
        <f t="shared" si="8"/>
        <v>694.27560630025835</v>
      </c>
      <c r="N11" s="29">
        <f t="shared" si="8"/>
        <v>739.01076163951211</v>
      </c>
      <c r="O11" s="29">
        <f t="shared" si="8"/>
        <v>327.0499656307594</v>
      </c>
      <c r="P11" s="29">
        <f t="shared" si="8"/>
        <v>329.03358310294016</v>
      </c>
      <c r="Q11" s="29">
        <f t="shared" si="8"/>
        <v>343.2116747053098</v>
      </c>
      <c r="R11" s="29">
        <f t="shared" si="8"/>
        <v>339.39980915972291</v>
      </c>
      <c r="S11" s="29">
        <f t="shared" si="8"/>
        <v>329.05231611294039</v>
      </c>
      <c r="T11" s="29">
        <f t="shared" si="8"/>
        <v>327.57257537335147</v>
      </c>
      <c r="U11" s="29">
        <f t="shared" si="8"/>
        <v>309.87396340906116</v>
      </c>
      <c r="V11" s="29">
        <f t="shared" si="8"/>
        <v>234.59888601257467</v>
      </c>
      <c r="W11" s="29">
        <f t="shared" ref="W11:Y11" si="9">SUM(W12,W13,W16)</f>
        <v>267.49702356574966</v>
      </c>
      <c r="X11" s="29">
        <f t="shared" si="9"/>
        <v>279.84844624770346</v>
      </c>
      <c r="Y11" s="29">
        <f t="shared" si="9"/>
        <v>287.94856779859305</v>
      </c>
      <c r="DA11" s="173" t="s">
        <v>395</v>
      </c>
    </row>
    <row r="12" spans="1:105" ht="11.45" customHeight="1" x14ac:dyDescent="0.25">
      <c r="A12" s="107" t="s">
        <v>23</v>
      </c>
      <c r="B12" s="115">
        <v>28.913711748319191</v>
      </c>
      <c r="C12" s="115">
        <v>29.45801089683766</v>
      </c>
      <c r="D12" s="115">
        <v>29.485117589125331</v>
      </c>
      <c r="E12" s="115">
        <v>31.761299992753646</v>
      </c>
      <c r="F12" s="115">
        <v>32.12061192158815</v>
      </c>
      <c r="G12" s="115">
        <v>31.482022159180314</v>
      </c>
      <c r="H12" s="115">
        <v>32.109690131708298</v>
      </c>
      <c r="I12" s="115">
        <v>32.614018949336682</v>
      </c>
      <c r="J12" s="115">
        <v>32.270304238377626</v>
      </c>
      <c r="K12" s="115">
        <v>31.202828052495864</v>
      </c>
      <c r="L12" s="115">
        <v>37.943805322022513</v>
      </c>
      <c r="M12" s="115">
        <v>37.02254062874718</v>
      </c>
      <c r="N12" s="115">
        <v>35.751554702808349</v>
      </c>
      <c r="O12" s="115">
        <v>32.557854562077203</v>
      </c>
      <c r="P12" s="115">
        <v>32.410299445726459</v>
      </c>
      <c r="Q12" s="115">
        <v>31.535366341441708</v>
      </c>
      <c r="R12" s="115">
        <v>32.001844539637204</v>
      </c>
      <c r="S12" s="115">
        <v>32.583795286266408</v>
      </c>
      <c r="T12" s="115">
        <v>36.339600914247086</v>
      </c>
      <c r="U12" s="115">
        <v>35.718052289970444</v>
      </c>
      <c r="V12" s="115">
        <v>26.990999782440969</v>
      </c>
      <c r="W12" s="115">
        <v>26.175781934283265</v>
      </c>
      <c r="X12" s="115">
        <v>30.500624214527221</v>
      </c>
      <c r="Y12" s="115">
        <v>30.644851566629406</v>
      </c>
      <c r="DA12" s="203" t="s">
        <v>396</v>
      </c>
    </row>
    <row r="13" spans="1:105" ht="11.45" customHeight="1" x14ac:dyDescent="0.25">
      <c r="A13" s="109" t="s">
        <v>24</v>
      </c>
      <c r="B13" s="116">
        <f t="shared" ref="B13" si="10">SUM(B14:B15)</f>
        <v>448.40473170489065</v>
      </c>
      <c r="C13" s="116">
        <f t="shared" ref="C13:V13" si="11">SUM(C14:C15)</f>
        <v>484.24506026108065</v>
      </c>
      <c r="D13" s="116">
        <f t="shared" si="11"/>
        <v>512.7077233961005</v>
      </c>
      <c r="E13" s="116">
        <f t="shared" si="11"/>
        <v>609.37993097219669</v>
      </c>
      <c r="F13" s="116">
        <f t="shared" si="11"/>
        <v>704.79737994492416</v>
      </c>
      <c r="G13" s="116">
        <f t="shared" si="11"/>
        <v>791.79523301265147</v>
      </c>
      <c r="H13" s="116">
        <f t="shared" si="11"/>
        <v>607.17945682632603</v>
      </c>
      <c r="I13" s="116">
        <f t="shared" si="11"/>
        <v>684.76225640046562</v>
      </c>
      <c r="J13" s="116">
        <f t="shared" si="11"/>
        <v>646.05130832150292</v>
      </c>
      <c r="K13" s="116">
        <f t="shared" si="11"/>
        <v>484.8498458557292</v>
      </c>
      <c r="L13" s="116">
        <f t="shared" si="11"/>
        <v>470.09055711227728</v>
      </c>
      <c r="M13" s="116">
        <f t="shared" si="11"/>
        <v>518.87175406644576</v>
      </c>
      <c r="N13" s="116">
        <f t="shared" si="11"/>
        <v>571.22735970042083</v>
      </c>
      <c r="O13" s="116">
        <f t="shared" si="11"/>
        <v>159.21250228659432</v>
      </c>
      <c r="P13" s="116">
        <f t="shared" si="11"/>
        <v>166.97499023866791</v>
      </c>
      <c r="Q13" s="116">
        <f t="shared" si="11"/>
        <v>186.59990092445511</v>
      </c>
      <c r="R13" s="116">
        <f t="shared" si="11"/>
        <v>182.61928037343353</v>
      </c>
      <c r="S13" s="116">
        <f t="shared" si="11"/>
        <v>165.64293221540274</v>
      </c>
      <c r="T13" s="116">
        <f t="shared" si="11"/>
        <v>160.19597126323401</v>
      </c>
      <c r="U13" s="116">
        <f t="shared" si="11"/>
        <v>144.28674920210528</v>
      </c>
      <c r="V13" s="116">
        <f t="shared" si="11"/>
        <v>145.05906190057053</v>
      </c>
      <c r="W13" s="116">
        <f t="shared" ref="W13:Y13" si="12">SUM(W14:W15)</f>
        <v>175.19679262963453</v>
      </c>
      <c r="X13" s="116">
        <f t="shared" si="12"/>
        <v>181.57021765827184</v>
      </c>
      <c r="Y13" s="116">
        <f t="shared" si="12"/>
        <v>195.56488603730079</v>
      </c>
      <c r="DA13" s="176" t="s">
        <v>397</v>
      </c>
    </row>
    <row r="14" spans="1:105" ht="11.45" customHeight="1" x14ac:dyDescent="0.25">
      <c r="A14" s="111" t="s">
        <v>95</v>
      </c>
      <c r="B14" s="87">
        <v>324.29752638392551</v>
      </c>
      <c r="C14" s="87">
        <v>341.08772317833115</v>
      </c>
      <c r="D14" s="87">
        <v>352.40269460002429</v>
      </c>
      <c r="E14" s="87">
        <v>437.93254976783845</v>
      </c>
      <c r="F14" s="87">
        <v>527.4275018333866</v>
      </c>
      <c r="G14" s="87">
        <v>591.53380543769515</v>
      </c>
      <c r="H14" s="87">
        <v>488.86096542581851</v>
      </c>
      <c r="I14" s="87">
        <v>552.46343318614277</v>
      </c>
      <c r="J14" s="87">
        <v>516.85544727848878</v>
      </c>
      <c r="K14" s="87">
        <v>417.61232046365745</v>
      </c>
      <c r="L14" s="87">
        <v>402.85809788233189</v>
      </c>
      <c r="M14" s="87">
        <v>398.63216926485859</v>
      </c>
      <c r="N14" s="87">
        <v>446.3565947901065</v>
      </c>
      <c r="O14" s="87">
        <v>49.609770597724172</v>
      </c>
      <c r="P14" s="87">
        <v>47.195628049961861</v>
      </c>
      <c r="Q14" s="87">
        <v>62.296166463468261</v>
      </c>
      <c r="R14" s="87">
        <v>59.922705535579738</v>
      </c>
      <c r="S14" s="87">
        <v>41.988099311681829</v>
      </c>
      <c r="T14" s="87">
        <v>39.369839934876573</v>
      </c>
      <c r="U14" s="87">
        <v>34.308900413671672</v>
      </c>
      <c r="V14" s="87">
        <v>22.356376036447227</v>
      </c>
      <c r="W14" s="87">
        <v>33.779036769656727</v>
      </c>
      <c r="X14" s="87">
        <v>30.99981828406418</v>
      </c>
      <c r="Y14" s="87">
        <v>29.052742686213726</v>
      </c>
      <c r="DA14" s="171" t="s">
        <v>1108</v>
      </c>
    </row>
    <row r="15" spans="1:105" ht="11.45" customHeight="1" x14ac:dyDescent="0.25">
      <c r="A15" s="111" t="s">
        <v>93</v>
      </c>
      <c r="B15" s="87">
        <v>124.10720532096514</v>
      </c>
      <c r="C15" s="87">
        <v>143.15733708274954</v>
      </c>
      <c r="D15" s="87">
        <v>160.30502879607621</v>
      </c>
      <c r="E15" s="87">
        <v>171.44738120435829</v>
      </c>
      <c r="F15" s="87">
        <v>177.36987811153759</v>
      </c>
      <c r="G15" s="87">
        <v>200.26142757495629</v>
      </c>
      <c r="H15" s="87">
        <v>118.31849140050754</v>
      </c>
      <c r="I15" s="87">
        <v>132.29882321432285</v>
      </c>
      <c r="J15" s="87">
        <v>129.19586104301413</v>
      </c>
      <c r="K15" s="87">
        <v>67.237525392071746</v>
      </c>
      <c r="L15" s="87">
        <v>67.232459229945405</v>
      </c>
      <c r="M15" s="87">
        <v>120.23958480158714</v>
      </c>
      <c r="N15" s="87">
        <v>124.87076491031438</v>
      </c>
      <c r="O15" s="87">
        <v>109.60273168887014</v>
      </c>
      <c r="P15" s="87">
        <v>119.77936218870606</v>
      </c>
      <c r="Q15" s="87">
        <v>124.30373446098685</v>
      </c>
      <c r="R15" s="87">
        <v>122.69657483785377</v>
      </c>
      <c r="S15" s="87">
        <v>123.65483290372092</v>
      </c>
      <c r="T15" s="87">
        <v>120.82613132835745</v>
      </c>
      <c r="U15" s="87">
        <v>109.9778487884336</v>
      </c>
      <c r="V15" s="87">
        <v>122.70268586412331</v>
      </c>
      <c r="W15" s="87">
        <v>141.4177558599778</v>
      </c>
      <c r="X15" s="87">
        <v>150.57039937420765</v>
      </c>
      <c r="Y15" s="87">
        <v>166.51214335108708</v>
      </c>
      <c r="DA15" s="171" t="s">
        <v>1109</v>
      </c>
    </row>
    <row r="16" spans="1:105" ht="11.45" customHeight="1" x14ac:dyDescent="0.25">
      <c r="A16" s="112" t="s">
        <v>25</v>
      </c>
      <c r="B16" s="117">
        <v>25.472148017864356</v>
      </c>
      <c r="C16" s="117">
        <v>26.872706672144183</v>
      </c>
      <c r="D16" s="117">
        <v>29.199123758852647</v>
      </c>
      <c r="E16" s="117">
        <v>26.251304166491444</v>
      </c>
      <c r="F16" s="117">
        <v>27.333244213568516</v>
      </c>
      <c r="G16" s="117">
        <v>29.020552187538449</v>
      </c>
      <c r="H16" s="117">
        <v>32.885131669459255</v>
      </c>
      <c r="I16" s="117">
        <v>32.565481466140199</v>
      </c>
      <c r="J16" s="117">
        <v>65.822119699147308</v>
      </c>
      <c r="K16" s="117">
        <v>140.59037013931305</v>
      </c>
      <c r="L16" s="117">
        <v>146.53900095000844</v>
      </c>
      <c r="M16" s="117">
        <v>138.38131160506541</v>
      </c>
      <c r="N16" s="117">
        <v>132.03184723628297</v>
      </c>
      <c r="O16" s="117">
        <v>135.27960878208791</v>
      </c>
      <c r="P16" s="117">
        <v>129.64829341854582</v>
      </c>
      <c r="Q16" s="117">
        <v>125.07640743941298</v>
      </c>
      <c r="R16" s="117">
        <v>124.77868424665216</v>
      </c>
      <c r="S16" s="117">
        <v>130.82558861127126</v>
      </c>
      <c r="T16" s="117">
        <v>131.03700319587034</v>
      </c>
      <c r="U16" s="117">
        <v>129.86916191698546</v>
      </c>
      <c r="V16" s="117">
        <v>62.548824329563175</v>
      </c>
      <c r="W16" s="117">
        <v>66.124449001831863</v>
      </c>
      <c r="X16" s="117">
        <v>67.777604374904371</v>
      </c>
      <c r="Y16" s="117">
        <v>61.738830194662832</v>
      </c>
      <c r="DA16" s="204" t="s">
        <v>398</v>
      </c>
    </row>
    <row r="17" spans="1:105" ht="11.45" customHeight="1" x14ac:dyDescent="0.25">
      <c r="A17" s="27" t="s">
        <v>34</v>
      </c>
      <c r="B17" s="29">
        <f t="shared" ref="B17:W17" si="13">SUM(B18:B19)</f>
        <v>206.41929674904605</v>
      </c>
      <c r="C17" s="29">
        <f t="shared" si="13"/>
        <v>231.67985415617994</v>
      </c>
      <c r="D17" s="29">
        <f t="shared" si="13"/>
        <v>218.2803482395845</v>
      </c>
      <c r="E17" s="29">
        <f t="shared" si="13"/>
        <v>196.04495412049289</v>
      </c>
      <c r="F17" s="29">
        <f t="shared" si="13"/>
        <v>187.71204852868954</v>
      </c>
      <c r="G17" s="29">
        <f t="shared" si="13"/>
        <v>178.58972488482584</v>
      </c>
      <c r="H17" s="29">
        <f t="shared" si="13"/>
        <v>173.9612329804169</v>
      </c>
      <c r="I17" s="29">
        <f t="shared" si="13"/>
        <v>238.37870750048043</v>
      </c>
      <c r="J17" s="29">
        <f t="shared" si="13"/>
        <v>236.49539069883963</v>
      </c>
      <c r="K17" s="29">
        <f t="shared" si="13"/>
        <v>205.58111760336467</v>
      </c>
      <c r="L17" s="29">
        <f t="shared" si="13"/>
        <v>245.38845948757478</v>
      </c>
      <c r="M17" s="29">
        <f t="shared" si="13"/>
        <v>150.14975913396358</v>
      </c>
      <c r="N17" s="29">
        <f t="shared" si="13"/>
        <v>151.42586776719455</v>
      </c>
      <c r="O17" s="29">
        <f t="shared" si="13"/>
        <v>58.471186561845883</v>
      </c>
      <c r="P17" s="29">
        <f t="shared" si="13"/>
        <v>62.167362726810467</v>
      </c>
      <c r="Q17" s="29">
        <f t="shared" si="13"/>
        <v>60.590732861328171</v>
      </c>
      <c r="R17" s="29">
        <f t="shared" si="13"/>
        <v>49.307585509236631</v>
      </c>
      <c r="S17" s="29">
        <f t="shared" si="13"/>
        <v>63.959033844067264</v>
      </c>
      <c r="T17" s="29">
        <f t="shared" si="13"/>
        <v>66.890967188987332</v>
      </c>
      <c r="U17" s="29">
        <f t="shared" si="13"/>
        <v>72.284248112864859</v>
      </c>
      <c r="V17" s="29">
        <f t="shared" si="13"/>
        <v>77.243074434544795</v>
      </c>
      <c r="W17" s="29">
        <f t="shared" si="13"/>
        <v>53.237714181455857</v>
      </c>
      <c r="X17" s="29">
        <f t="shared" ref="X17:Y17" si="14">SUM(X18:X19)</f>
        <v>50.57691918651841</v>
      </c>
      <c r="Y17" s="29">
        <f t="shared" si="14"/>
        <v>44.078775279652909</v>
      </c>
      <c r="DA17" s="173" t="s">
        <v>402</v>
      </c>
    </row>
    <row r="18" spans="1:105" ht="11.45" customHeight="1" x14ac:dyDescent="0.25">
      <c r="A18" s="83" t="s">
        <v>95</v>
      </c>
      <c r="B18" s="87">
        <v>172.78854412338302</v>
      </c>
      <c r="C18" s="87">
        <v>188.86352359724918</v>
      </c>
      <c r="D18" s="87">
        <v>167.27821683591725</v>
      </c>
      <c r="E18" s="87">
        <v>139.26246312984006</v>
      </c>
      <c r="F18" s="87">
        <v>131.93045173497111</v>
      </c>
      <c r="G18" s="87">
        <v>125.33824959239938</v>
      </c>
      <c r="H18" s="87">
        <v>147.90223319842909</v>
      </c>
      <c r="I18" s="87">
        <v>202.40905176656568</v>
      </c>
      <c r="J18" s="87">
        <v>207.2058596862575</v>
      </c>
      <c r="K18" s="87">
        <v>198.61012149678965</v>
      </c>
      <c r="L18" s="87">
        <v>233.90510074191573</v>
      </c>
      <c r="M18" s="87">
        <v>125.15691070074755</v>
      </c>
      <c r="N18" s="87">
        <v>130.8384181075719</v>
      </c>
      <c r="O18" s="87">
        <v>31.526170932800337</v>
      </c>
      <c r="P18" s="87">
        <v>32.913314340407872</v>
      </c>
      <c r="Q18" s="87">
        <v>26.029027001707995</v>
      </c>
      <c r="R18" s="87">
        <v>20.186236854789989</v>
      </c>
      <c r="S18" s="87">
        <v>37.093757954010336</v>
      </c>
      <c r="T18" s="87">
        <v>41.766101595647925</v>
      </c>
      <c r="U18" s="87">
        <v>48.881125381685166</v>
      </c>
      <c r="V18" s="87">
        <v>38.23880883027676</v>
      </c>
      <c r="W18" s="87">
        <v>21.435494614694086</v>
      </c>
      <c r="X18" s="87">
        <v>22.039476642848975</v>
      </c>
      <c r="Y18" s="87">
        <v>18.013293427285852</v>
      </c>
      <c r="DA18" s="171" t="s">
        <v>1110</v>
      </c>
    </row>
    <row r="19" spans="1:105" ht="11.45" customHeight="1" x14ac:dyDescent="0.25">
      <c r="A19" s="85" t="s">
        <v>93</v>
      </c>
      <c r="B19" s="88">
        <v>33.630752625663042</v>
      </c>
      <c r="C19" s="88">
        <v>42.816330558930744</v>
      </c>
      <c r="D19" s="88">
        <v>51.002131403667242</v>
      </c>
      <c r="E19" s="88">
        <v>56.782490990652832</v>
      </c>
      <c r="F19" s="88">
        <v>55.781596793718421</v>
      </c>
      <c r="G19" s="88">
        <v>53.25147529242647</v>
      </c>
      <c r="H19" s="88">
        <v>26.058999781987797</v>
      </c>
      <c r="I19" s="88">
        <v>35.969655733914749</v>
      </c>
      <c r="J19" s="88">
        <v>29.289531012582117</v>
      </c>
      <c r="K19" s="88">
        <v>6.9709961065750186</v>
      </c>
      <c r="L19" s="88">
        <v>11.483358745659046</v>
      </c>
      <c r="M19" s="88">
        <v>24.992848433216036</v>
      </c>
      <c r="N19" s="88">
        <v>20.587449659622646</v>
      </c>
      <c r="O19" s="88">
        <v>26.94501562904555</v>
      </c>
      <c r="P19" s="88">
        <v>29.254048386402594</v>
      </c>
      <c r="Q19" s="88">
        <v>34.561705859620176</v>
      </c>
      <c r="R19" s="88">
        <v>29.121348654446642</v>
      </c>
      <c r="S19" s="88">
        <v>26.865275890056932</v>
      </c>
      <c r="T19" s="88">
        <v>25.124865593339401</v>
      </c>
      <c r="U19" s="88">
        <v>23.403122731179693</v>
      </c>
      <c r="V19" s="88">
        <v>39.004265604268035</v>
      </c>
      <c r="W19" s="88">
        <v>31.802219566761771</v>
      </c>
      <c r="X19" s="88">
        <v>28.537442543669439</v>
      </c>
      <c r="Y19" s="88">
        <v>26.065481852367057</v>
      </c>
      <c r="DA19" s="178" t="s">
        <v>1111</v>
      </c>
    </row>
    <row r="20" spans="1:10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X20" s="106"/>
      <c r="Y20" s="106"/>
      <c r="DA20" s="171"/>
    </row>
    <row r="21" spans="1:105" ht="11.45" customHeight="1" x14ac:dyDescent="0.25">
      <c r="A21" s="68" t="s">
        <v>36</v>
      </c>
      <c r="B21" s="69"/>
      <c r="C21" s="69"/>
      <c r="D21" s="69"/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X21" s="69"/>
      <c r="Y21" s="69"/>
      <c r="DA21" s="179"/>
    </row>
    <row r="22" spans="1:105" x14ac:dyDescent="0.25">
      <c r="A22" s="106"/>
      <c r="B22" s="106"/>
      <c r="C22" s="106"/>
      <c r="D22" s="106"/>
      <c r="E22" s="106"/>
      <c r="F22" s="106"/>
      <c r="G22" s="106"/>
      <c r="H22" s="106"/>
      <c r="I22" s="106"/>
      <c r="J22" s="106"/>
      <c r="K22" s="106"/>
      <c r="L22" s="106"/>
      <c r="M22" s="106"/>
      <c r="N22" s="106"/>
      <c r="O22" s="106"/>
      <c r="P22" s="106"/>
      <c r="Q22" s="106"/>
      <c r="R22" s="106"/>
      <c r="S22" s="106"/>
      <c r="T22" s="106"/>
      <c r="U22" s="106"/>
      <c r="V22" s="106"/>
      <c r="W22" s="106"/>
      <c r="X22" s="106"/>
      <c r="Y22" s="106"/>
      <c r="DA22" s="171"/>
    </row>
    <row r="23" spans="1:105" ht="11.45" customHeight="1" x14ac:dyDescent="0.25">
      <c r="A23" s="53" t="s">
        <v>62</v>
      </c>
      <c r="B23" s="62">
        <f>IF(B10=0,0,B10/TrRail_act!B14*100)</f>
        <v>323.12758627166687</v>
      </c>
      <c r="C23" s="62">
        <f>IF(C10=0,0,C10/TrRail_act!C14*100)</f>
        <v>319.24808667856649</v>
      </c>
      <c r="D23" s="62">
        <f>IF(D10=0,0,D10/TrRail_act!D14*100)</f>
        <v>302.07207985600985</v>
      </c>
      <c r="E23" s="62">
        <f>IF(E10=0,0,E10/TrRail_act!E14*100)</f>
        <v>296.92912077598186</v>
      </c>
      <c r="F23" s="62">
        <f>IF(F10=0,0,F10/TrRail_act!F14*100)</f>
        <v>304.89364581518169</v>
      </c>
      <c r="G23" s="62">
        <f>IF(G10=0,0,G10/TrRail_act!G14*100)</f>
        <v>301.05624078408641</v>
      </c>
      <c r="H23" s="62">
        <f>IF(H10=0,0,H10/TrRail_act!H14*100)</f>
        <v>313.31731496144562</v>
      </c>
      <c r="I23" s="62">
        <f>IF(I10=0,0,I10/TrRail_act!I14*100)</f>
        <v>323.93913827982226</v>
      </c>
      <c r="J23" s="62">
        <f>IF(J10=0,0,J10/TrRail_act!J14*100)</f>
        <v>311.21146330073594</v>
      </c>
      <c r="K23" s="62">
        <f>IF(K10=0,0,K10/TrRail_act!K14*100)</f>
        <v>310.17221420505615</v>
      </c>
      <c r="L23" s="62">
        <f>IF(L10=0,0,L10/TrRail_act!L14*100)</f>
        <v>296.41909882728066</v>
      </c>
      <c r="M23" s="62">
        <f>IF(M10=0,0,M10/TrRail_act!M14*100)</f>
        <v>246.08604647315485</v>
      </c>
      <c r="N23" s="62">
        <f>IF(N10=0,0,N10/TrRail_act!N14*100)</f>
        <v>252.46730276437751</v>
      </c>
      <c r="O23" s="62">
        <f>IF(O10=0,0,O10/TrRail_act!O14*100)</f>
        <v>136.64715149717102</v>
      </c>
      <c r="P23" s="62">
        <f>IF(P10=0,0,P10/TrRail_act!P14*100)</f>
        <v>132.5875737079503</v>
      </c>
      <c r="Q23" s="62">
        <f>IF(Q10=0,0,Q10/TrRail_act!Q14*100)</f>
        <v>130.86450283422653</v>
      </c>
      <c r="R23" s="62">
        <f>IF(R10=0,0,R10/TrRail_act!R14*100)</f>
        <v>123.90737144857312</v>
      </c>
      <c r="S23" s="62">
        <f>IF(S10=0,0,S10/TrRail_act!S14*100)</f>
        <v>124.95526404303942</v>
      </c>
      <c r="T23" s="62">
        <f>IF(T10=0,0,T10/TrRail_act!T14*100)</f>
        <v>121.607007802862</v>
      </c>
      <c r="U23" s="62">
        <f>IF(U10=0,0,U10/TrRail_act!U14*100)</f>
        <v>122.36223748948012</v>
      </c>
      <c r="V23" s="62">
        <f>IF(V10=0,0,V10/TrRail_act!V14*100)</f>
        <v>116.34785891457548</v>
      </c>
      <c r="W23" s="62">
        <f>IF(W10=0,0,W10/TrRail_act!W14*100)</f>
        <v>113.3225354354622</v>
      </c>
      <c r="X23" s="62">
        <f>IF(X10=0,0,X10/TrRail_act!X14*100)</f>
        <v>109.47229056726246</v>
      </c>
      <c r="Y23" s="62">
        <f>IF(Y10=0,0,Y10/TrRail_act!Y14*100)</f>
        <v>107.05574047235839</v>
      </c>
      <c r="DA23" s="172" t="s">
        <v>1112</v>
      </c>
    </row>
    <row r="24" spans="1:105" ht="11.45" customHeight="1" x14ac:dyDescent="0.25">
      <c r="A24" s="27" t="s">
        <v>33</v>
      </c>
      <c r="B24" s="29">
        <f>IF(B11=0,0,B11/TrRail_act!B15*100)</f>
        <v>261.34322348473893</v>
      </c>
      <c r="C24" s="29">
        <f>IF(C11=0,0,C11/TrRail_act!C15*100)</f>
        <v>258.89411201121106</v>
      </c>
      <c r="D24" s="29">
        <f>IF(D11=0,0,D11/TrRail_act!D15*100)</f>
        <v>253.97150709537951</v>
      </c>
      <c r="E24" s="29">
        <f>IF(E11=0,0,E11/TrRail_act!E15*100)</f>
        <v>264.63723114455064</v>
      </c>
      <c r="F24" s="29">
        <f>IF(F11=0,0,F11/TrRail_act!F15*100)</f>
        <v>279.37917248339505</v>
      </c>
      <c r="G24" s="29">
        <f>IF(G11=0,0,G11/TrRail_act!G15*100)</f>
        <v>279.94476562732996</v>
      </c>
      <c r="H24" s="29">
        <f>IF(H11=0,0,H11/TrRail_act!H15*100)</f>
        <v>274.81509621702116</v>
      </c>
      <c r="I24" s="29">
        <f>IF(I11=0,0,I11/TrRail_act!I15*100)</f>
        <v>278.61991515682564</v>
      </c>
      <c r="J24" s="29">
        <f>IF(J11=0,0,J11/TrRail_act!J15*100)</f>
        <v>263.9151352050298</v>
      </c>
      <c r="K24" s="29">
        <f>IF(K11=0,0,K11/TrRail_act!K15*100)</f>
        <v>253.73099584138927</v>
      </c>
      <c r="L24" s="29">
        <f>IF(L11=0,0,L11/TrRail_act!L15*100)</f>
        <v>234.89354771373087</v>
      </c>
      <c r="M24" s="29">
        <f>IF(M11=0,0,M11/TrRail_act!M15*100)</f>
        <v>218.87975378439242</v>
      </c>
      <c r="N24" s="29">
        <f>IF(N11=0,0,N11/TrRail_act!N15*100)</f>
        <v>224.68115317340045</v>
      </c>
      <c r="O24" s="29">
        <f>IF(O11=0,0,O11/TrRail_act!O15*100)</f>
        <v>126.48775665635587</v>
      </c>
      <c r="P24" s="29">
        <f>IF(P11=0,0,P11/TrRail_act!P15*100)</f>
        <v>122.21820427671608</v>
      </c>
      <c r="Q24" s="29">
        <f>IF(Q11=0,0,Q11/TrRail_act!Q15*100)</f>
        <v>122.83856947118643</v>
      </c>
      <c r="R24" s="29">
        <f>IF(R11=0,0,R11/TrRail_act!R15*100)</f>
        <v>117.52903013571428</v>
      </c>
      <c r="S24" s="29">
        <f>IF(S11=0,0,S11/TrRail_act!S15*100)</f>
        <v>114.24809448204525</v>
      </c>
      <c r="T24" s="29">
        <f>IF(T11=0,0,T11/TrRail_act!T15*100)</f>
        <v>109.89072703638161</v>
      </c>
      <c r="U24" s="29">
        <f>IF(U11=0,0,U11/TrRail_act!U15*100)</f>
        <v>108.40494841558683</v>
      </c>
      <c r="V24" s="29">
        <f>IF(V11=0,0,V11/TrRail_act!V15*100)</f>
        <v>101.31456782561912</v>
      </c>
      <c r="W24" s="29">
        <f>IF(W11=0,0,W11/TrRail_act!W15*100)</f>
        <v>104.91230891201209</v>
      </c>
      <c r="X24" s="29">
        <f>IF(X11=0,0,X11/TrRail_act!X15*100)</f>
        <v>101.36730725033709</v>
      </c>
      <c r="Y24" s="29">
        <f>IF(Y11=0,0,Y11/TrRail_act!Y15*100)</f>
        <v>100.3445728189659</v>
      </c>
      <c r="DA24" s="173" t="s">
        <v>1113</v>
      </c>
    </row>
    <row r="25" spans="1:105" ht="11.45" customHeight="1" x14ac:dyDescent="0.25">
      <c r="A25" s="107" t="s">
        <v>23</v>
      </c>
      <c r="B25" s="115">
        <f>IF(B12=0,0,B12/TrRail_act!B16*100)</f>
        <v>45.622405509523084</v>
      </c>
      <c r="C25" s="115">
        <f>IF(C12=0,0,C12/TrRail_act!C16*100)</f>
        <v>45.518156482899521</v>
      </c>
      <c r="D25" s="115">
        <f>IF(D12=0,0,D12/TrRail_act!D16*100)</f>
        <v>44.345235011560767</v>
      </c>
      <c r="E25" s="115">
        <f>IF(E12=0,0,E12/TrRail_act!E16*100)</f>
        <v>44.34495867471783</v>
      </c>
      <c r="F25" s="115">
        <f>IF(F12=0,0,F12/TrRail_act!F16*100)</f>
        <v>43.300192633742626</v>
      </c>
      <c r="G25" s="115">
        <f>IF(G12=0,0,G12/TrRail_act!G16*100)</f>
        <v>41.630026896481603</v>
      </c>
      <c r="H25" s="115">
        <f>IF(H12=0,0,H12/TrRail_act!H16*100)</f>
        <v>41.173715715765461</v>
      </c>
      <c r="I25" s="115">
        <f>IF(I12=0,0,I12/TrRail_act!I16*100)</f>
        <v>40.198779198528165</v>
      </c>
      <c r="J25" s="115">
        <f>IF(J12=0,0,J12/TrRail_act!J16*100)</f>
        <v>39.410818672564581</v>
      </c>
      <c r="K25" s="115">
        <f>IF(K12=0,0,K12/TrRail_act!K16*100)</f>
        <v>38.89994431269033</v>
      </c>
      <c r="L25" s="115">
        <f>IF(L12=0,0,L12/TrRail_act!L16*100)</f>
        <v>38.911096794379027</v>
      </c>
      <c r="M25" s="115">
        <f>IF(M12=0,0,M12/TrRail_act!M16*100)</f>
        <v>38.165664008563986</v>
      </c>
      <c r="N25" s="115">
        <f>IF(N12=0,0,N12/TrRail_act!N16*100)</f>
        <v>37.837172704297259</v>
      </c>
      <c r="O25" s="115">
        <f>IF(O12=0,0,O12/TrRail_act!O16*100)</f>
        <v>36.719210636054648</v>
      </c>
      <c r="P25" s="115">
        <f>IF(P12=0,0,P12/TrRail_act!P16*100)</f>
        <v>35.951296984840788</v>
      </c>
      <c r="Q25" s="115">
        <f>IF(Q12=0,0,Q12/TrRail_act!Q16*100)</f>
        <v>35.275703781056144</v>
      </c>
      <c r="R25" s="115">
        <f>IF(R12=0,0,R12/TrRail_act!R16*100)</f>
        <v>34.777353542891831</v>
      </c>
      <c r="S25" s="115">
        <f>IF(S12=0,0,S12/TrRail_act!S16*100)</f>
        <v>34.408216551797167</v>
      </c>
      <c r="T25" s="115">
        <f>IF(T12=0,0,T12/TrRail_act!T16*100)</f>
        <v>34.133937360767227</v>
      </c>
      <c r="U25" s="115">
        <f>IF(U12=0,0,U12/TrRail_act!U16*100)</f>
        <v>33.92966372900144</v>
      </c>
      <c r="V25" s="115">
        <f>IF(V12=0,0,V12/TrRail_act!V16*100)</f>
        <v>33.777261150561635</v>
      </c>
      <c r="W25" s="115">
        <f>IF(W12=0,0,W12/TrRail_act!W16*100)</f>
        <v>33.663408621648777</v>
      </c>
      <c r="X25" s="115">
        <f>IF(X12=0,0,X12/TrRail_act!X16*100)</f>
        <v>33.578271138691981</v>
      </c>
      <c r="Y25" s="115">
        <f>IF(Y12=0,0,Y12/TrRail_act!Y16*100)</f>
        <v>33.514559360903171</v>
      </c>
      <c r="DA25" s="203" t="s">
        <v>1114</v>
      </c>
    </row>
    <row r="26" spans="1:105" ht="11.45" customHeight="1" x14ac:dyDescent="0.25">
      <c r="A26" s="109" t="s">
        <v>24</v>
      </c>
      <c r="B26" s="116">
        <f>IF(B13=0,0,B13/TrRail_act!B17*100)</f>
        <v>378.19385301473864</v>
      </c>
      <c r="C26" s="116">
        <f>IF(C13=0,0,C13/TrRail_act!C17*100)</f>
        <v>364.07711070949222</v>
      </c>
      <c r="D26" s="116">
        <f>IF(D13=0,0,D13/TrRail_act!D17*100)</f>
        <v>350.12925187955562</v>
      </c>
      <c r="E26" s="116">
        <f>IF(E13=0,0,E13/TrRail_act!E17*100)</f>
        <v>359.71155632065603</v>
      </c>
      <c r="F26" s="116">
        <f>IF(F13=0,0,F13/TrRail_act!F17*100)</f>
        <v>375.56167772768384</v>
      </c>
      <c r="G26" s="116">
        <f>IF(G13=0,0,G13/TrRail_act!G17*100)</f>
        <v>366.64754400104056</v>
      </c>
      <c r="H26" s="116">
        <f>IF(H13=0,0,H13/TrRail_act!H17*100)</f>
        <v>399.65362553930697</v>
      </c>
      <c r="I26" s="116">
        <f>IF(I13=0,0,I13/TrRail_act!I17*100)</f>
        <v>395.34611460792229</v>
      </c>
      <c r="J26" s="116">
        <f>IF(J13=0,0,J13/TrRail_act!J17*100)</f>
        <v>378.91225312595657</v>
      </c>
      <c r="K26" s="116">
        <f>IF(K13=0,0,K13/TrRail_act!K17*100)</f>
        <v>421.61978634955267</v>
      </c>
      <c r="L26" s="116">
        <f>IF(L13=0,0,L13/TrRail_act!L17*100)</f>
        <v>408.30743121444044</v>
      </c>
      <c r="M26" s="116">
        <f>IF(M13=0,0,M13/TrRail_act!M17*100)</f>
        <v>331.16345970374124</v>
      </c>
      <c r="N26" s="116">
        <f>IF(N13=0,0,N13/TrRail_act!N17*100)</f>
        <v>330.97817167509226</v>
      </c>
      <c r="O26" s="116">
        <f>IF(O13=0,0,O13/TrRail_act!O17*100)</f>
        <v>150.36861001460565</v>
      </c>
      <c r="P26" s="116">
        <f>IF(P13=0,0,P13/TrRail_act!P17*100)</f>
        <v>143.8353018143319</v>
      </c>
      <c r="Q26" s="116">
        <f>IF(Q13=0,0,Q13/TrRail_act!Q17*100)</f>
        <v>145.22443085687399</v>
      </c>
      <c r="R26" s="116">
        <f>IF(R13=0,0,R13/TrRail_act!R17*100)</f>
        <v>136.11205661906379</v>
      </c>
      <c r="S26" s="116">
        <f>IF(S13=0,0,S13/TrRail_act!S17*100)</f>
        <v>130.38279788209127</v>
      </c>
      <c r="T26" s="116">
        <f>IF(T13=0,0,T13/TrRail_act!T17*100)</f>
        <v>128.4090926172168</v>
      </c>
      <c r="U26" s="116">
        <f>IF(U13=0,0,U13/TrRail_act!U17*100)</f>
        <v>126.64224795422425</v>
      </c>
      <c r="V26" s="116">
        <f>IF(V13=0,0,V13/TrRail_act!V17*100)</f>
        <v>121.47540002793032</v>
      </c>
      <c r="W26" s="116">
        <f>IF(W13=0,0,W13/TrRail_act!W17*100)</f>
        <v>122.48609280258921</v>
      </c>
      <c r="X26" s="116">
        <f>IF(X13=0,0,X13/TrRail_act!X17*100)</f>
        <v>120.94828217565438</v>
      </c>
      <c r="Y26" s="116">
        <f>IF(Y13=0,0,Y13/TrRail_act!Y17*100)</f>
        <v>119.62762523003285</v>
      </c>
      <c r="DA26" s="176" t="s">
        <v>1115</v>
      </c>
    </row>
    <row r="27" spans="1:105" ht="11.45" customHeight="1" x14ac:dyDescent="0.25">
      <c r="A27" s="111" t="s">
        <v>92</v>
      </c>
      <c r="B27" s="87">
        <f>IF(B14=0,0,B14/TrRail_act!B18*100)</f>
        <v>765.42902369357353</v>
      </c>
      <c r="C27" s="87">
        <f>IF(C14=0,0,C14/TrRail_act!C18*100)</f>
        <v>762.51613917963698</v>
      </c>
      <c r="D27" s="87">
        <f>IF(D14=0,0,D14/TrRail_act!D18*100)</f>
        <v>757.68657751887781</v>
      </c>
      <c r="E27" s="87">
        <f>IF(E14=0,0,E14/TrRail_act!E18*100)</f>
        <v>751.33041881208726</v>
      </c>
      <c r="F27" s="87">
        <f>IF(F14=0,0,F14/TrRail_act!F18*100)</f>
        <v>737.09978743671309</v>
      </c>
      <c r="G27" s="87">
        <f>IF(G14=0,0,G14/TrRail_act!G18*100)</f>
        <v>709.72298419340927</v>
      </c>
      <c r="H27" s="87">
        <f>IF(H14=0,0,H14/TrRail_act!H18*100)</f>
        <v>684.49964385772137</v>
      </c>
      <c r="I27" s="87">
        <f>IF(I14=0,0,I14/TrRail_act!I18*100)</f>
        <v>674.67598268408904</v>
      </c>
      <c r="J27" s="87">
        <f>IF(J14=0,0,J14/TrRail_act!J18*100)</f>
        <v>659.56668034157485</v>
      </c>
      <c r="K27" s="87">
        <f>IF(K14=0,0,K14/TrRail_act!K18*100)</f>
        <v>629.9551272583343</v>
      </c>
      <c r="L27" s="87">
        <f>IF(L14=0,0,L14/TrRail_act!L18*100)</f>
        <v>614.16545545999077</v>
      </c>
      <c r="M27" s="87">
        <f>IF(M14=0,0,M14/TrRail_act!M18*100)</f>
        <v>604.06145097143803</v>
      </c>
      <c r="N27" s="87">
        <f>IF(N14=0,0,N14/TrRail_act!N18*100)</f>
        <v>581.49612582851978</v>
      </c>
      <c r="O27" s="87">
        <f>IF(O14=0,0,O14/TrRail_act!O18*100)</f>
        <v>265.27225600861584</v>
      </c>
      <c r="P27" s="87">
        <f>IF(P14=0,0,P14/TrRail_act!P18*100)</f>
        <v>243.43842728763701</v>
      </c>
      <c r="Q27" s="87">
        <f>IF(Q14=0,0,Q14/TrRail_act!Q18*100)</f>
        <v>238.62074804094874</v>
      </c>
      <c r="R27" s="87">
        <f>IF(R14=0,0,R14/TrRail_act!R18*100)</f>
        <v>197.68821092061438</v>
      </c>
      <c r="S27" s="87">
        <f>IF(S14=0,0,S14/TrRail_act!S18*100)</f>
        <v>197.41631342956228</v>
      </c>
      <c r="T27" s="87">
        <f>IF(T14=0,0,T14/TrRail_act!T18*100)</f>
        <v>191.29625668059808</v>
      </c>
      <c r="U27" s="87">
        <f>IF(U14=0,0,U14/TrRail_act!U18*100)</f>
        <v>184.96273644076504</v>
      </c>
      <c r="V27" s="87">
        <f>IF(V14=0,0,V14/TrRail_act!V18*100)</f>
        <v>178.54708501936639</v>
      </c>
      <c r="W27" s="87">
        <f>IF(W14=0,0,W14/TrRail_act!W18*100)</f>
        <v>173.88181146858349</v>
      </c>
      <c r="X27" s="87">
        <f>IF(X14=0,0,X14/TrRail_act!X18*100)</f>
        <v>170.46302839302615</v>
      </c>
      <c r="Y27" s="87">
        <f>IF(Y14=0,0,Y14/TrRail_act!Y18*100)</f>
        <v>167.94312596305986</v>
      </c>
      <c r="DA27" s="171" t="s">
        <v>1116</v>
      </c>
    </row>
    <row r="28" spans="1:105" ht="11.45" customHeight="1" x14ac:dyDescent="0.25">
      <c r="A28" s="111" t="s">
        <v>93</v>
      </c>
      <c r="B28" s="87">
        <f>IF(B15=0,0,B15/TrRail_act!B19*100)</f>
        <v>162.87737427450386</v>
      </c>
      <c r="C28" s="87">
        <f>IF(C15=0,0,C15/TrRail_act!C19*100)</f>
        <v>162.17326952208836</v>
      </c>
      <c r="D28" s="87">
        <f>IF(D15=0,0,D15/TrRail_act!D19*100)</f>
        <v>160.42776853248287</v>
      </c>
      <c r="E28" s="87">
        <f>IF(E15=0,0,E15/TrRail_act!E19*100)</f>
        <v>154.28984518254788</v>
      </c>
      <c r="F28" s="87">
        <f>IF(F15=0,0,F15/TrRail_act!F19*100)</f>
        <v>152.75960478436554</v>
      </c>
      <c r="G28" s="87">
        <f>IF(G15=0,0,G15/TrRail_act!G19*100)</f>
        <v>151.01729025628566</v>
      </c>
      <c r="H28" s="87">
        <f>IF(H15=0,0,H15/TrRail_act!H19*100)</f>
        <v>146.96545147195042</v>
      </c>
      <c r="I28" s="87">
        <f>IF(I15=0,0,I15/TrRail_act!I19*100)</f>
        <v>144.87384114595696</v>
      </c>
      <c r="J28" s="87">
        <f>IF(J15=0,0,J15/TrRail_act!J19*100)</f>
        <v>140.21891691023225</v>
      </c>
      <c r="K28" s="87">
        <f>IF(K15=0,0,K15/TrRail_act!K19*100)</f>
        <v>138.05184522757352</v>
      </c>
      <c r="L28" s="87">
        <f>IF(L15=0,0,L15/TrRail_act!L19*100)</f>
        <v>135.72134784537909</v>
      </c>
      <c r="M28" s="87">
        <f>IF(M15=0,0,M15/TrRail_act!M19*100)</f>
        <v>132.58383797048023</v>
      </c>
      <c r="N28" s="87">
        <f>IF(N15=0,0,N15/TrRail_act!N19*100)</f>
        <v>130.30773232619325</v>
      </c>
      <c r="O28" s="87">
        <f>IF(O15=0,0,O15/TrRail_act!O19*100)</f>
        <v>125.72001149542163</v>
      </c>
      <c r="P28" s="87">
        <f>IF(P15=0,0,P15/TrRail_act!P19*100)</f>
        <v>123.8662835667691</v>
      </c>
      <c r="Q28" s="87">
        <f>IF(Q15=0,0,Q15/TrRail_act!Q19*100)</f>
        <v>121.40940647755798</v>
      </c>
      <c r="R28" s="87">
        <f>IF(R15=0,0,R15/TrRail_act!R19*100)</f>
        <v>118.14036084372401</v>
      </c>
      <c r="S28" s="87">
        <f>IF(S15=0,0,S15/TrRail_act!S19*100)</f>
        <v>116.90393627725932</v>
      </c>
      <c r="T28" s="87">
        <f>IF(T15=0,0,T15/TrRail_act!T19*100)</f>
        <v>115.98511720677254</v>
      </c>
      <c r="U28" s="87">
        <f>IF(U15=0,0,U15/TrRail_act!U19*100)</f>
        <v>115.3007451661199</v>
      </c>
      <c r="V28" s="87">
        <f>IF(V15=0,0,V15/TrRail_act!V19*100)</f>
        <v>114.79011747096752</v>
      </c>
      <c r="W28" s="87">
        <f>IF(W15=0,0,W15/TrRail_act!W19*100)</f>
        <v>114.40863129153331</v>
      </c>
      <c r="X28" s="87">
        <f>IF(X15=0,0,X15/TrRail_act!X19*100)</f>
        <v>114.12334888489144</v>
      </c>
      <c r="Y28" s="87">
        <f>IF(Y15=0,0,Y15/TrRail_act!Y19*100)</f>
        <v>113.90985401277942</v>
      </c>
      <c r="DA28" s="171" t="s">
        <v>1117</v>
      </c>
    </row>
    <row r="29" spans="1:105" ht="11.45" customHeight="1" x14ac:dyDescent="0.25">
      <c r="A29" s="112" t="s">
        <v>25</v>
      </c>
      <c r="B29" s="117">
        <f>IF(B16=0,0,B16/TrRail_act!B20*100)</f>
        <v>243.84199438504231</v>
      </c>
      <c r="C29" s="117">
        <f>IF(C16=0,0,C16/TrRail_act!C20*100)</f>
        <v>242.56312113913995</v>
      </c>
      <c r="D29" s="117">
        <f>IF(D16=0,0,D16/TrRail_act!D20*100)</f>
        <v>242.13702162537385</v>
      </c>
      <c r="E29" s="117">
        <f>IF(E16=0,0,E16/TrRail_act!E20*100)</f>
        <v>235.2206769352978</v>
      </c>
      <c r="F29" s="117">
        <f>IF(F16=0,0,F16/TrRail_act!F20*100)</f>
        <v>233.47180218769651</v>
      </c>
      <c r="G29" s="117">
        <f>IF(G16=0,0,G16/TrRail_act!G20*100)</f>
        <v>225.43102792741695</v>
      </c>
      <c r="H29" s="117">
        <f>IF(H16=0,0,H16/TrRail_act!H20*100)</f>
        <v>224.02610274526018</v>
      </c>
      <c r="I29" s="117">
        <f>IF(I16=0,0,I16/TrRail_act!I20*100)</f>
        <v>219.66027977318251</v>
      </c>
      <c r="J29" s="117">
        <f>IF(J16=0,0,J16/TrRail_act!J20*100)</f>
        <v>222.52341961410323</v>
      </c>
      <c r="K29" s="117">
        <f>IF(K16=0,0,K16/TrRail_act!K20*100)</f>
        <v>221.10623374163549</v>
      </c>
      <c r="L29" s="117">
        <f>IF(L16=0,0,L16/TrRail_act!L20*100)</f>
        <v>221.95322358942539</v>
      </c>
      <c r="M29" s="117">
        <f>IF(M16=0,0,M16/TrRail_act!M20*100)</f>
        <v>217.89352195237029</v>
      </c>
      <c r="N29" s="117">
        <f>IF(N16=0,0,N16/TrRail_act!N20*100)</f>
        <v>213.50627708553017</v>
      </c>
      <c r="O29" s="117">
        <f>IF(O16=0,0,O16/TrRail_act!O20*100)</f>
        <v>211.32821046161121</v>
      </c>
      <c r="P29" s="117">
        <f>IF(P16=0,0,P16/TrRail_act!P20*100)</f>
        <v>205.85646746930883</v>
      </c>
      <c r="Q29" s="117">
        <f>IF(Q16=0,0,Q16/TrRail_act!Q20*100)</f>
        <v>203.33320880964453</v>
      </c>
      <c r="R29" s="117">
        <f>IF(R16=0,0,R16/TrRail_act!R20*100)</f>
        <v>199.35240638522521</v>
      </c>
      <c r="S29" s="117">
        <f>IF(S16=0,0,S16/TrRail_act!S20*100)</f>
        <v>197.40012358501272</v>
      </c>
      <c r="T29" s="117">
        <f>IF(T16=0,0,T16/TrRail_act!T20*100)</f>
        <v>195.94846855873433</v>
      </c>
      <c r="U29" s="117">
        <f>IF(U16=0,0,U16/TrRail_act!U20*100)</f>
        <v>194.86673725304078</v>
      </c>
      <c r="V29" s="117">
        <f>IF(V16=0,0,V16/TrRail_act!V20*100)</f>
        <v>194.05935949010257</v>
      </c>
      <c r="W29" s="117">
        <f>IF(W16=0,0,W16/TrRail_act!W20*100)</f>
        <v>193.45602218681046</v>
      </c>
      <c r="X29" s="117">
        <f>IF(X16=0,0,X16/TrRail_act!X20*100)</f>
        <v>193.00475051843921</v>
      </c>
      <c r="Y29" s="117">
        <f>IF(Y16=0,0,Y16/TrRail_act!Y20*100)</f>
        <v>192.66698772545141</v>
      </c>
      <c r="DA29" s="204" t="s">
        <v>1118</v>
      </c>
    </row>
    <row r="30" spans="1:105" ht="11.45" customHeight="1" x14ac:dyDescent="0.25">
      <c r="A30" s="27" t="s">
        <v>34</v>
      </c>
      <c r="B30" s="29">
        <f>IF(B17=0,0,B17/TrRail_act!B21*100)</f>
        <v>761.81147984326356</v>
      </c>
      <c r="C30" s="29">
        <f>IF(C17=0,0,C17/TrRail_act!C21*100)</f>
        <v>700.01530062144377</v>
      </c>
      <c r="D30" s="29">
        <f>IF(D17=0,0,D17/TrRail_act!D21*100)</f>
        <v>599.08207927189426</v>
      </c>
      <c r="E30" s="29">
        <f>IF(E17=0,0,E17/TrRail_act!E21*100)</f>
        <v>507.91985345136828</v>
      </c>
      <c r="F30" s="29">
        <f>IF(F17=0,0,F17/TrRail_act!F21*100)</f>
        <v>485.36285718176674</v>
      </c>
      <c r="G30" s="29">
        <f>IF(G17=0,0,G17/TrRail_act!G21*100)</f>
        <v>470.32645245634041</v>
      </c>
      <c r="H30" s="29">
        <f>IF(H17=0,0,H17/TrRail_act!H21*100)</f>
        <v>683.12282986577873</v>
      </c>
      <c r="I30" s="29">
        <f>IF(I17=0,0,I17/TrRail_act!I21*100)</f>
        <v>663.42582727309787</v>
      </c>
      <c r="J30" s="29">
        <f>IF(J17=0,0,J17/TrRail_act!J21*100)</f>
        <v>713.61384523912909</v>
      </c>
      <c r="K30" s="29">
        <f>IF(K17=0,0,K17/TrRail_act!K21*100)</f>
        <v>1071.4362755639404</v>
      </c>
      <c r="L30" s="29">
        <f>IF(L17=0,0,L17/TrRail_act!L21*100)</f>
        <v>983.78937162996317</v>
      </c>
      <c r="M30" s="29">
        <f>IF(M17=0,0,M17/TrRail_act!M21*100)</f>
        <v>578.67129148848721</v>
      </c>
      <c r="N30" s="29">
        <f>IF(N17=0,0,N17/TrRail_act!N21*100)</f>
        <v>636.81816537936606</v>
      </c>
      <c r="O30" s="29">
        <f>IF(O17=0,0,O17/TrRail_act!O21*100)</f>
        <v>248.11264746645568</v>
      </c>
      <c r="P30" s="29">
        <f>IF(P17=0,0,P17/TrRail_act!P21*100)</f>
        <v>240.65243130144574</v>
      </c>
      <c r="Q30" s="29">
        <f>IF(Q17=0,0,Q17/TrRail_act!Q21*100)</f>
        <v>207.75372451850473</v>
      </c>
      <c r="R30" s="29">
        <f>IF(R17=0,0,R17/TrRail_act!R21*100)</f>
        <v>197.79609752052326</v>
      </c>
      <c r="S30" s="29">
        <f>IF(S17=0,0,S17/TrRail_act!S21*100)</f>
        <v>241.29966678690712</v>
      </c>
      <c r="T30" s="29">
        <f>IF(T17=0,0,T17/TrRail_act!T21*100)</f>
        <v>254.47086057148053</v>
      </c>
      <c r="U30" s="29">
        <f>IF(U17=0,0,U17/TrRail_act!U21*100)</f>
        <v>273.09459376995261</v>
      </c>
      <c r="V30" s="29">
        <f>IF(V17=0,0,V17/TrRail_act!V21*100)</f>
        <v>211.79553747614386</v>
      </c>
      <c r="W30" s="29">
        <f>IF(W17=0,0,W17/TrRail_act!W21*100)</f>
        <v>189.75387033676171</v>
      </c>
      <c r="X30" s="29">
        <f>IF(X17=0,0,X17/TrRail_act!X21*100)</f>
        <v>196.33108977267685</v>
      </c>
      <c r="Y30" s="29">
        <f>IF(Y17=0,0,Y17/TrRail_act!Y21*100)</f>
        <v>190.12109065769346</v>
      </c>
      <c r="DA30" s="173" t="s">
        <v>1119</v>
      </c>
    </row>
    <row r="31" spans="1:105" ht="11.45" customHeight="1" x14ac:dyDescent="0.25">
      <c r="A31" s="83" t="s">
        <v>92</v>
      </c>
      <c r="B31" s="87">
        <f>IF(B18=0,0,B18/TrRail_act!B22*100)</f>
        <v>1584.8777377060824</v>
      </c>
      <c r="C31" s="87">
        <f>IF(C18=0,0,C18/TrRail_act!C22*100)</f>
        <v>1572.6332460977501</v>
      </c>
      <c r="D31" s="87">
        <f>IF(D18=0,0,D18/TrRail_act!D22*100)</f>
        <v>1536.7091025320417</v>
      </c>
      <c r="E31" s="87">
        <f>IF(E18=0,0,E18/TrRail_act!E22*100)</f>
        <v>1492.0721694336696</v>
      </c>
      <c r="F31" s="87">
        <f>IF(F18=0,0,F18/TrRail_act!F22*100)</f>
        <v>1458.7269527003291</v>
      </c>
      <c r="G31" s="87">
        <f>IF(G18=0,0,G18/TrRail_act!G22*100)</f>
        <v>1435.1200994239982</v>
      </c>
      <c r="H31" s="87">
        <f>IF(H18=0,0,H18/TrRail_act!H22*100)</f>
        <v>1405.0728698504754</v>
      </c>
      <c r="I31" s="87">
        <f>IF(I18=0,0,I18/TrRail_act!I22*100)</f>
        <v>1387.0278375172352</v>
      </c>
      <c r="J31" s="87">
        <f>IF(J18=0,0,J18/TrRail_act!J22*100)</f>
        <v>1368.2745233806952</v>
      </c>
      <c r="K31" s="87">
        <f>IF(K18=0,0,K18/TrRail_act!K22*100)</f>
        <v>1344.2511752171122</v>
      </c>
      <c r="L31" s="87">
        <f>IF(L18=0,0,L18/TrRail_act!L22*100)</f>
        <v>1329.9103793704201</v>
      </c>
      <c r="M31" s="87">
        <f>IF(M18=0,0,M18/TrRail_act!M22*100)</f>
        <v>1299.1762240810481</v>
      </c>
      <c r="N31" s="87">
        <f>IF(N18=0,0,N18/TrRail_act!N22*100)</f>
        <v>1289.2167560181849</v>
      </c>
      <c r="O31" s="87">
        <f>IF(O18=0,0,O18/TrRail_act!O22*100)</f>
        <v>620.91300502591002</v>
      </c>
      <c r="P31" s="87">
        <f>IF(P18=0,0,P18/TrRail_act!P22*100)</f>
        <v>607.95674816034204</v>
      </c>
      <c r="Q31" s="87">
        <f>IF(Q18=0,0,Q18/TrRail_act!Q22*100)</f>
        <v>597.24662557309966</v>
      </c>
      <c r="R31" s="87">
        <f>IF(R18=0,0,R18/TrRail_act!R22*100)</f>
        <v>580.49796438312194</v>
      </c>
      <c r="S31" s="87">
        <f>IF(S18=0,0,S18/TrRail_act!S22*100)</f>
        <v>568.24542583523623</v>
      </c>
      <c r="T31" s="87">
        <f>IF(T18=0,0,T18/TrRail_act!T22*100)</f>
        <v>559.22603763809821</v>
      </c>
      <c r="U31" s="87">
        <f>IF(U18=0,0,U18/TrRail_act!U22*100)</f>
        <v>552.55556937300423</v>
      </c>
      <c r="V31" s="87">
        <f>IF(V18=0,0,V18/TrRail_act!V22*100)</f>
        <v>547.60498518568295</v>
      </c>
      <c r="W31" s="87">
        <f>IF(W18=0,0,W18/TrRail_act!W22*100)</f>
        <v>543.92117642907397</v>
      </c>
      <c r="X31" s="87">
        <f>IF(X18=0,0,X18/TrRail_act!X22*100)</f>
        <v>541.17459182591949</v>
      </c>
      <c r="Y31" s="87">
        <f>IF(Y18=0,0,Y18/TrRail_act!Y22*100)</f>
        <v>539.12375884240055</v>
      </c>
      <c r="DA31" s="171" t="s">
        <v>1120</v>
      </c>
    </row>
    <row r="32" spans="1:105" ht="11.45" customHeight="1" x14ac:dyDescent="0.25">
      <c r="A32" s="85" t="s">
        <v>93</v>
      </c>
      <c r="B32" s="88">
        <f>IF(B19=0,0,B19/TrRail_act!B23*100)</f>
        <v>207.68026298505492</v>
      </c>
      <c r="C32" s="88">
        <f>IF(C19=0,0,C19/TrRail_act!C23*100)</f>
        <v>203.04593119910629</v>
      </c>
      <c r="D32" s="88">
        <f>IF(D19=0,0,D19/TrRail_act!D23*100)</f>
        <v>199.61448046354147</v>
      </c>
      <c r="E32" s="88">
        <f>IF(E19=0,0,E19/TrRail_act!E23*100)</f>
        <v>194.03449300839034</v>
      </c>
      <c r="F32" s="88">
        <f>IF(F19=0,0,F19/TrRail_act!F23*100)</f>
        <v>188.25823589888299</v>
      </c>
      <c r="G32" s="88">
        <f>IF(G19=0,0,G19/TrRail_act!G23*100)</f>
        <v>182.13230599822364</v>
      </c>
      <c r="H32" s="88">
        <f>IF(H19=0,0,H19/TrRail_act!H23*100)</f>
        <v>174.4327364981441</v>
      </c>
      <c r="I32" s="88">
        <f>IF(I19=0,0,I19/TrRail_act!I23*100)</f>
        <v>168.56715271200744</v>
      </c>
      <c r="J32" s="88">
        <f>IF(J19=0,0,J19/TrRail_act!J23*100)</f>
        <v>162.74729282373414</v>
      </c>
      <c r="K32" s="88">
        <f>IF(K19=0,0,K19/TrRail_act!K23*100)</f>
        <v>157.97735055109288</v>
      </c>
      <c r="L32" s="88">
        <f>IF(L19=0,0,L19/TrRail_act!L23*100)</f>
        <v>156.12665293197517</v>
      </c>
      <c r="M32" s="88">
        <f>IF(M19=0,0,M19/TrRail_act!M23*100)</f>
        <v>153.20091366458917</v>
      </c>
      <c r="N32" s="88">
        <f>IF(N19=0,0,N19/TrRail_act!N23*100)</f>
        <v>151.04695250886158</v>
      </c>
      <c r="O32" s="88">
        <f>IF(O19=0,0,O19/TrRail_act!O23*100)</f>
        <v>145.73540573998324</v>
      </c>
      <c r="P32" s="88">
        <f>IF(P19=0,0,P19/TrRail_act!P23*100)</f>
        <v>143.2681792632049</v>
      </c>
      <c r="Q32" s="88">
        <f>IF(Q19=0,0,Q19/TrRail_act!Q23*100)</f>
        <v>139.32508318350912</v>
      </c>
      <c r="R32" s="88">
        <f>IF(R19=0,0,R19/TrRail_act!R23*100)</f>
        <v>135.75694890747974</v>
      </c>
      <c r="S32" s="88">
        <f>IF(S19=0,0,S19/TrRail_act!S23*100)</f>
        <v>134.47235506823409</v>
      </c>
      <c r="T32" s="88">
        <f>IF(T19=0,0,T19/TrRail_act!T23*100)</f>
        <v>133.51689298111</v>
      </c>
      <c r="U32" s="88">
        <f>IF(U19=0,0,U19/TrRail_act!U23*100)</f>
        <v>132.80475422280171</v>
      </c>
      <c r="V32" s="88">
        <f>IF(V19=0,0,V19/TrRail_act!V23*100)</f>
        <v>132.27314391422459</v>
      </c>
      <c r="W32" s="88">
        <f>IF(W19=0,0,W19/TrRail_act!W23*100)</f>
        <v>131.87583315689517</v>
      </c>
      <c r="X32" s="88">
        <f>IF(X19=0,0,X19/TrRail_act!X23*100)</f>
        <v>131.578633457998</v>
      </c>
      <c r="Y32" s="88">
        <f>IF(Y19=0,0,Y19/TrRail_act!Y23*100)</f>
        <v>131.35617331339438</v>
      </c>
      <c r="DA32" s="178" t="s">
        <v>1121</v>
      </c>
    </row>
    <row r="33" spans="1:105" x14ac:dyDescent="0.25">
      <c r="A33" s="106"/>
      <c r="B33" s="106"/>
      <c r="C33" s="106"/>
      <c r="D33" s="106"/>
      <c r="E33" s="106"/>
      <c r="F33" s="106"/>
      <c r="G33" s="106"/>
      <c r="H33" s="106"/>
      <c r="I33" s="106"/>
      <c r="J33" s="106"/>
      <c r="K33" s="106"/>
      <c r="L33" s="106"/>
      <c r="M33" s="106"/>
      <c r="N33" s="106"/>
      <c r="O33" s="106"/>
      <c r="P33" s="106"/>
      <c r="Q33" s="106"/>
      <c r="R33" s="106"/>
      <c r="S33" s="106"/>
      <c r="T33" s="106"/>
      <c r="U33" s="106"/>
      <c r="V33" s="106"/>
      <c r="W33" s="106"/>
      <c r="X33" s="106"/>
      <c r="Y33" s="106"/>
      <c r="DA33" s="171"/>
    </row>
    <row r="34" spans="1:105" ht="11.45" customHeight="1" x14ac:dyDescent="0.25">
      <c r="A34" s="53" t="s">
        <v>74</v>
      </c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DA34" s="172"/>
    </row>
    <row r="35" spans="1:105" ht="11.45" customHeight="1" x14ac:dyDescent="0.25">
      <c r="A35" s="27" t="s">
        <v>155</v>
      </c>
      <c r="B35" s="29">
        <f>IF(B11=0,0,B11/TrRail_act!B4*1000)</f>
        <v>19.815188439783803</v>
      </c>
      <c r="C35" s="29">
        <f>IF(C11=0,0,C11/TrRail_act!C4*1000)</f>
        <v>20.657894291885604</v>
      </c>
      <c r="D35" s="29">
        <f>IF(D11=0,0,D11/TrRail_act!D4*1000)</f>
        <v>21.39163508457484</v>
      </c>
      <c r="E35" s="29">
        <f>IF(E11=0,0,E11/TrRail_act!E4*1000)</f>
        <v>24.970723804820658</v>
      </c>
      <c r="F35" s="29">
        <f>IF(F11=0,0,F11/TrRail_act!F4*1000)</f>
        <v>29.185489806770061</v>
      </c>
      <c r="G35" s="29">
        <f>IF(G11=0,0,G11/TrRail_act!G4*1000)</f>
        <v>30.853526185902489</v>
      </c>
      <c r="H35" s="29">
        <f>IF(H11=0,0,H11/TrRail_act!H4*1000)</f>
        <v>23.747545614820474</v>
      </c>
      <c r="I35" s="29">
        <f>IF(I11=0,0,I11/TrRail_act!I4*1000)</f>
        <v>26.540034568989721</v>
      </c>
      <c r="J35" s="29">
        <f>IF(J11=0,0,J11/TrRail_act!J4*1000)</f>
        <v>24.422978511241848</v>
      </c>
      <c r="K35" s="29">
        <f>IF(K11=0,0,K11/TrRail_act!K4*1000)</f>
        <v>22.32758272148585</v>
      </c>
      <c r="L35" s="29">
        <f>IF(L11=0,0,L11/TrRail_act!L4*1000)</f>
        <v>21.786504977027988</v>
      </c>
      <c r="M35" s="29">
        <f>IF(M11=0,0,M11/TrRail_act!M4*1000)</f>
        <v>22.818422548412656</v>
      </c>
      <c r="N35" s="29">
        <f>IF(N11=0,0,N11/TrRail_act!N4*1000)</f>
        <v>24.804928746094273</v>
      </c>
      <c r="O35" s="29">
        <f>IF(O11=0,0,O11/TrRail_act!O4*1000)</f>
        <v>10.63303949979548</v>
      </c>
      <c r="P35" s="29">
        <f>IF(P11=0,0,P11/TrRail_act!P4*1000)</f>
        <v>10.210601901738112</v>
      </c>
      <c r="Q35" s="29">
        <f>IF(Q11=0,0,Q11/TrRail_act!Q4*1000)</f>
        <v>10.293087332474899</v>
      </c>
      <c r="R35" s="29">
        <f>IF(R11=0,0,R11/TrRail_act!R4*1000)</f>
        <v>9.93663878979409</v>
      </c>
      <c r="S35" s="29">
        <f>IF(S11=0,0,S11/TrRail_act!S4*1000)</f>
        <v>9.348316181747272</v>
      </c>
      <c r="T35" s="29">
        <f>IF(T11=0,0,T11/TrRail_act!T4*1000)</f>
        <v>8.8176609000729886</v>
      </c>
      <c r="U35" s="29">
        <f>IF(U11=0,0,U11/TrRail_act!U4*1000)</f>
        <v>8.4157314183575913</v>
      </c>
      <c r="V35" s="29">
        <f>IF(V11=0,0,V11/TrRail_act!V4*1000)</f>
        <v>14.385156484546288</v>
      </c>
      <c r="W35" s="29">
        <f>IF(W11=0,0,W11/TrRail_act!W4*1000)</f>
        <v>11.974762004698173</v>
      </c>
      <c r="X35" s="29">
        <f>IF(X11=0,0,X11/TrRail_act!X4*1000)</f>
        <v>8.0993414635246435</v>
      </c>
      <c r="Y35" s="29">
        <f>IF(Y11=0,0,Y11/TrRail_act!Y4*1000)</f>
        <v>6.7465281459804842</v>
      </c>
      <c r="DA35" s="173" t="s">
        <v>420</v>
      </c>
    </row>
    <row r="36" spans="1:105" ht="11.45" customHeight="1" x14ac:dyDescent="0.25">
      <c r="A36" s="107" t="s">
        <v>23</v>
      </c>
      <c r="B36" s="115">
        <f>IF(B12=0,0,B12/TrRail_act!B5*1000)</f>
        <v>5.5284343687034783</v>
      </c>
      <c r="C36" s="115">
        <f>IF(C12=0,0,C12/TrRail_act!C5*1000)</f>
        <v>5.5164814413553671</v>
      </c>
      <c r="D36" s="115">
        <f>IF(D12=0,0,D12/TrRail_act!D5*1000)</f>
        <v>5.36093047075006</v>
      </c>
      <c r="E36" s="115">
        <f>IF(E12=0,0,E12/TrRail_act!E5*1000)</f>
        <v>5.6716607129917227</v>
      </c>
      <c r="F36" s="115">
        <f>IF(F12=0,0,F12/TrRail_act!F5*1000)</f>
        <v>5.538036538204854</v>
      </c>
      <c r="G36" s="115">
        <f>IF(G12=0,0,G12/TrRail_act!G5*1000)</f>
        <v>5.247003693196719</v>
      </c>
      <c r="H36" s="115">
        <f>IF(H12=0,0,H12/TrRail_act!H5*1000)</f>
        <v>5.1789822793077898</v>
      </c>
      <c r="I36" s="115">
        <f>IF(I12=0,0,I12/TrRail_act!I5*1000)</f>
        <v>5.0959404608338561</v>
      </c>
      <c r="J36" s="115">
        <f>IF(J12=0,0,J12/TrRail_act!J5*1000)</f>
        <v>4.9646621905196344</v>
      </c>
      <c r="K36" s="115">
        <f>IF(K12=0,0,K12/TrRail_act!K5*1000)</f>
        <v>4.9745441295330197</v>
      </c>
      <c r="L36" s="115">
        <f>IF(L12=0,0,L12/TrRail_act!L5*1000)</f>
        <v>4.9999084613082934</v>
      </c>
      <c r="M36" s="115">
        <f>IF(M12=0,0,M12/TrRail_act!M5*1000)</f>
        <v>4.8515339372760389</v>
      </c>
      <c r="N36" s="115">
        <f>IF(N12=0,0,N12/TrRail_act!N5*1000)</f>
        <v>4.8861614485380898</v>
      </c>
      <c r="O36" s="115">
        <f>IF(O12=0,0,O12/TrRail_act!O5*1000)</f>
        <v>4.6712082758830391</v>
      </c>
      <c r="P36" s="115">
        <f>IF(P12=0,0,P12/TrRail_act!P5*1000)</f>
        <v>4.5311979316518878</v>
      </c>
      <c r="Q36" s="115">
        <f>IF(Q12=0,0,Q12/TrRail_act!Q5*1000)</f>
        <v>4.3787564866829181</v>
      </c>
      <c r="R36" s="115">
        <f>IF(R12=0,0,R12/TrRail_act!R5*1000)</f>
        <v>4.2747210958199915</v>
      </c>
      <c r="S36" s="115">
        <f>IF(S12=0,0,S12/TrRail_act!S5*1000)</f>
        <v>4.2409698280988684</v>
      </c>
      <c r="T36" s="115">
        <f>IF(T12=0,0,T12/TrRail_act!T5*1000)</f>
        <v>4.1628025240843884</v>
      </c>
      <c r="U36" s="115">
        <f>IF(U12=0,0,U12/TrRail_act!U5*1000)</f>
        <v>4.4794266585530673</v>
      </c>
      <c r="V36" s="115">
        <f>IF(V12=0,0,V12/TrRail_act!V5*1000)</f>
        <v>6.3532152769138897</v>
      </c>
      <c r="W36" s="115">
        <f>IF(W12=0,0,W12/TrRail_act!W5*1000)</f>
        <v>4.9051386579497898</v>
      </c>
      <c r="X36" s="115">
        <f>IF(X12=0,0,X12/TrRail_act!X5*1000)</f>
        <v>4.3183667300760611</v>
      </c>
      <c r="Y36" s="115">
        <f>IF(Y12=0,0,Y12/TrRail_act!Y5*1000)</f>
        <v>3.8072868140923606</v>
      </c>
      <c r="DA36" s="203" t="s">
        <v>421</v>
      </c>
    </row>
    <row r="37" spans="1:105" ht="11.45" customHeight="1" x14ac:dyDescent="0.25">
      <c r="A37" s="109" t="s">
        <v>24</v>
      </c>
      <c r="B37" s="116">
        <f>IF(B13=0,0,B13/TrRail_act!B6*1000)</f>
        <v>24.634915487577775</v>
      </c>
      <c r="C37" s="116">
        <f>IF(C13=0,0,C13/TrRail_act!C6*1000)</f>
        <v>25.825025879210745</v>
      </c>
      <c r="D37" s="116">
        <f>IF(D13=0,0,D13/TrRail_act!D6*1000)</f>
        <v>26.942076899427246</v>
      </c>
      <c r="E37" s="116">
        <f>IF(E13=0,0,E13/TrRail_act!E6*1000)</f>
        <v>31.904708427863699</v>
      </c>
      <c r="F37" s="116">
        <f>IF(F13=0,0,F13/TrRail_act!F6*1000)</f>
        <v>38.511413580947718</v>
      </c>
      <c r="G37" s="116">
        <f>IF(G13=0,0,G13/TrRail_act!G6*1000)</f>
        <v>41.025659741588157</v>
      </c>
      <c r="H37" s="116">
        <f>IF(H13=0,0,H13/TrRail_act!H6*1000)</f>
        <v>31.285009111001962</v>
      </c>
      <c r="I37" s="116">
        <f>IF(I13=0,0,I13/TrRail_act!I6*1000)</f>
        <v>35.544368357148493</v>
      </c>
      <c r="J37" s="116">
        <f>IF(J13=0,0,J13/TrRail_act!J6*1000)</f>
        <v>34.948139582467974</v>
      </c>
      <c r="K37" s="116">
        <f>IF(K13=0,0,K13/TrRail_act!K6*1000)</f>
        <v>41.682414533676855</v>
      </c>
      <c r="L37" s="116">
        <f>IF(L13=0,0,L13/TrRail_act!L6*1000)</f>
        <v>43.765995448494301</v>
      </c>
      <c r="M37" s="116">
        <f>IF(M13=0,0,M13/TrRail_act!M6*1000)</f>
        <v>44.869574028575386</v>
      </c>
      <c r="N37" s="116">
        <f>IF(N13=0,0,N13/TrRail_act!N6*1000)</f>
        <v>50.555567722844572</v>
      </c>
      <c r="O37" s="116">
        <f>IF(O13=0,0,O13/TrRail_act!O6*1000)</f>
        <v>14.416199048043673</v>
      </c>
      <c r="P37" s="116">
        <f>IF(P13=0,0,P13/TrRail_act!P6*1000)</f>
        <v>13.592884259090518</v>
      </c>
      <c r="Q37" s="116">
        <f>IF(Q13=0,0,Q13/TrRail_act!Q6*1000)</f>
        <v>15.533164149209615</v>
      </c>
      <c r="R37" s="116">
        <f>IF(R13=0,0,R13/TrRail_act!R6*1000)</f>
        <v>15.727991350813745</v>
      </c>
      <c r="S37" s="116">
        <f>IF(S13=0,0,S13/TrRail_act!S6*1000)</f>
        <v>13.831240164946788</v>
      </c>
      <c r="T37" s="116">
        <f>IF(T13=0,0,T13/TrRail_act!T6*1000)</f>
        <v>13.030419006282253</v>
      </c>
      <c r="U37" s="116">
        <f>IF(U13=0,0,U13/TrRail_act!U6*1000)</f>
        <v>11.293577739676371</v>
      </c>
      <c r="V37" s="116">
        <f>IF(V13=0,0,V13/TrRail_act!V6*1000)</f>
        <v>22.486290792213694</v>
      </c>
      <c r="W37" s="116">
        <f>IF(W13=0,0,W13/TrRail_act!W6*1000)</f>
        <v>16.478253633336578</v>
      </c>
      <c r="X37" s="116">
        <f>IF(X13=0,0,X13/TrRail_act!X6*1000)</f>
        <v>10.232767000578891</v>
      </c>
      <c r="Y37" s="116">
        <f>IF(Y13=0,0,Y13/TrRail_act!Y6*1000)</f>
        <v>7.9179272860156606</v>
      </c>
      <c r="DA37" s="176" t="s">
        <v>422</v>
      </c>
    </row>
    <row r="38" spans="1:105" ht="11.45" customHeight="1" x14ac:dyDescent="0.25">
      <c r="A38" s="111" t="s">
        <v>92</v>
      </c>
      <c r="B38" s="87">
        <f>IF(B14=0,0,B14/TrRail_act!B7*1000)</f>
        <v>69.096000580921498</v>
      </c>
      <c r="C38" s="87">
        <f>IF(C14=0,0,C14/TrRail_act!C7*1000)</f>
        <v>66.56045293787291</v>
      </c>
      <c r="D38" s="87">
        <f>IF(D14=0,0,D14/TrRail_act!D7*1000)</f>
        <v>70.837763896147308</v>
      </c>
      <c r="E38" s="87">
        <f>IF(E14=0,0,E14/TrRail_act!E7*1000)</f>
        <v>91.932467990656889</v>
      </c>
      <c r="F38" s="87">
        <f>IF(F14=0,0,F14/TrRail_act!F7*1000)</f>
        <v>120.15859490888151</v>
      </c>
      <c r="G38" s="87">
        <f>IF(G14=0,0,G14/TrRail_act!G7*1000)</f>
        <v>131.15071769630987</v>
      </c>
      <c r="H38" s="87">
        <f>IF(H14=0,0,H14/TrRail_act!H7*1000)</f>
        <v>58.438985984513593</v>
      </c>
      <c r="I38" s="87">
        <f>IF(I14=0,0,I14/TrRail_act!I7*1000)</f>
        <v>72.435630089464738</v>
      </c>
      <c r="J38" s="87">
        <f>IF(J14=0,0,J14/TrRail_act!J7*1000)</f>
        <v>77.047989770291082</v>
      </c>
      <c r="K38" s="87">
        <f>IF(K14=0,0,K14/TrRail_act!K7*1000)</f>
        <v>61.172603023044459</v>
      </c>
      <c r="L38" s="87">
        <f>IF(L14=0,0,L14/TrRail_act!L7*1000)</f>
        <v>61.610658343308629</v>
      </c>
      <c r="M38" s="87">
        <f>IF(M14=0,0,M14/TrRail_act!M7*1000)</f>
        <v>123.77942318636259</v>
      </c>
      <c r="N38" s="87">
        <f>IF(N14=0,0,N14/TrRail_act!N7*1000)</f>
        <v>129.92358407625326</v>
      </c>
      <c r="O38" s="87">
        <f>IF(O14=0,0,O14/TrRail_act!O7*1000)</f>
        <v>26.678391070772765</v>
      </c>
      <c r="P38" s="87">
        <f>IF(P14=0,0,P14/TrRail_act!P7*1000)</f>
        <v>24.082233965130524</v>
      </c>
      <c r="Q38" s="87">
        <f>IF(Q14=0,0,Q14/TrRail_act!Q7*1000)</f>
        <v>39.824477124334102</v>
      </c>
      <c r="R38" s="87">
        <f>IF(R14=0,0,R14/TrRail_act!R7*1000)</f>
        <v>46.993959325066889</v>
      </c>
      <c r="S38" s="87">
        <f>IF(S14=0,0,S14/TrRail_act!S7*1000)</f>
        <v>24.304762705509923</v>
      </c>
      <c r="T38" s="87">
        <f>IF(T14=0,0,T14/TrRail_act!T7*1000)</f>
        <v>22.395016291789837</v>
      </c>
      <c r="U38" s="87">
        <f>IF(U14=0,0,U14/TrRail_act!U7*1000)</f>
        <v>18.481509967349321</v>
      </c>
      <c r="V38" s="87">
        <f>IF(V14=0,0,V14/TrRail_act!V7*1000)</f>
        <v>34.541511197253641</v>
      </c>
      <c r="W38" s="87">
        <f>IF(W14=0,0,W14/TrRail_act!W7*1000)</f>
        <v>92.738185808652986</v>
      </c>
      <c r="X38" s="87">
        <f>IF(X14=0,0,X14/TrRail_act!X7*1000)</f>
        <v>60.104543162181677</v>
      </c>
      <c r="Y38" s="87">
        <f>IF(Y14=0,0,Y14/TrRail_act!Y7*1000)</f>
        <v>46.630825562442048</v>
      </c>
      <c r="DA38" s="171" t="s">
        <v>1122</v>
      </c>
    </row>
    <row r="39" spans="1:105" ht="11.45" customHeight="1" x14ac:dyDescent="0.25">
      <c r="A39" s="111" t="s">
        <v>93</v>
      </c>
      <c r="B39" s="87">
        <f>IF(B15=0,0,B15/TrRail_act!B8*1000)</f>
        <v>9.1872968887891293</v>
      </c>
      <c r="C39" s="87">
        <f>IF(C15=0,0,C15/TrRail_act!C8*1000)</f>
        <v>10.505788652065593</v>
      </c>
      <c r="D39" s="87">
        <f>IF(D15=0,0,D15/TrRail_act!D8*1000)</f>
        <v>11.405377771845359</v>
      </c>
      <c r="E39" s="87">
        <f>IF(E15=0,0,E15/TrRail_act!E8*1000)</f>
        <v>11.958914186363385</v>
      </c>
      <c r="F39" s="87">
        <f>IF(F15=0,0,F15/TrRail_act!F8*1000)</f>
        <v>12.749808447744186</v>
      </c>
      <c r="G39" s="87">
        <f>IF(G15=0,0,G15/TrRail_act!G8*1000)</f>
        <v>13.540634038746269</v>
      </c>
      <c r="H39" s="87">
        <f>IF(H15=0,0,H15/TrRail_act!H8*1000)</f>
        <v>10.714656078726682</v>
      </c>
      <c r="I39" s="87">
        <f>IF(I15=0,0,I15/TrRail_act!I8*1000)</f>
        <v>11.367789479637064</v>
      </c>
      <c r="J39" s="87">
        <f>IF(J15=0,0,J15/TrRail_act!J8*1000)</f>
        <v>10.969464857528084</v>
      </c>
      <c r="K39" s="87">
        <f>IF(K15=0,0,K15/TrRail_act!K8*1000)</f>
        <v>13.992620715270974</v>
      </c>
      <c r="L39" s="87">
        <f>IF(L15=0,0,L15/TrRail_act!L8*1000)</f>
        <v>15.999244274102546</v>
      </c>
      <c r="M39" s="87">
        <f>IF(M15=0,0,M15/TrRail_act!M8*1000)</f>
        <v>14.411176042434837</v>
      </c>
      <c r="N39" s="87">
        <f>IF(N15=0,0,N15/TrRail_act!N8*1000)</f>
        <v>15.87985867399944</v>
      </c>
      <c r="O39" s="87">
        <f>IF(O15=0,0,O15/TrRail_act!O8*1000)</f>
        <v>11.93350909315056</v>
      </c>
      <c r="P39" s="87">
        <f>IF(P15=0,0,P15/TrRail_act!P8*1000)</f>
        <v>11.601771424748781</v>
      </c>
      <c r="Q39" s="87">
        <f>IF(Q15=0,0,Q15/TrRail_act!Q8*1000)</f>
        <v>11.89653805178823</v>
      </c>
      <c r="R39" s="87">
        <f>IF(R15=0,0,R15/TrRail_act!R8*1000)</f>
        <v>11.87081595209343</v>
      </c>
      <c r="S39" s="87">
        <f>IF(S15=0,0,S15/TrRail_act!S8*1000)</f>
        <v>12.065730398681112</v>
      </c>
      <c r="T39" s="87">
        <f>IF(T15=0,0,T15/TrRail_act!T8*1000)</f>
        <v>11.467902880277823</v>
      </c>
      <c r="U39" s="87">
        <f>IF(U15=0,0,U15/TrRail_act!U8*1000)</f>
        <v>10.071591779039048</v>
      </c>
      <c r="V39" s="87">
        <f>IF(V15=0,0,V15/TrRail_act!V8*1000)</f>
        <v>21.141901040346664</v>
      </c>
      <c r="W39" s="87">
        <f>IF(W15=0,0,W15/TrRail_act!W8*1000)</f>
        <v>13.772991162318808</v>
      </c>
      <c r="X39" s="87">
        <f>IF(X15=0,0,X15/TrRail_act!X8*1000)</f>
        <v>8.7397460719411999</v>
      </c>
      <c r="Y39" s="87">
        <f>IF(Y15=0,0,Y15/TrRail_act!Y8*1000)</f>
        <v>6.9161156827748078</v>
      </c>
      <c r="DA39" s="171" t="s">
        <v>1123</v>
      </c>
    </row>
    <row r="40" spans="1:105" ht="11.45" customHeight="1" x14ac:dyDescent="0.25">
      <c r="A40" s="112" t="s">
        <v>25</v>
      </c>
      <c r="B40" s="117">
        <f>IF(B16=0,0,B16/TrRail_act!B9*1000)</f>
        <v>13.116451090558371</v>
      </c>
      <c r="C40" s="117">
        <f>IF(C16=0,0,C16/TrRail_act!C9*1000)</f>
        <v>12.93823142616475</v>
      </c>
      <c r="D40" s="117">
        <f>IF(D16=0,0,D16/TrRail_act!D9*1000)</f>
        <v>13.387952204884295</v>
      </c>
      <c r="E40" s="117">
        <f>IF(E16=0,0,E16/TrRail_act!E9*1000)</f>
        <v>12.950816066349995</v>
      </c>
      <c r="F40" s="117">
        <f>IF(F16=0,0,F16/TrRail_act!F9*1000)</f>
        <v>13.109469646795452</v>
      </c>
      <c r="G40" s="117">
        <f>IF(G16=0,0,G16/TrRail_act!G9*1000)</f>
        <v>12.487328824242017</v>
      </c>
      <c r="H40" s="117">
        <f>IF(H16=0,0,H16/TrRail_act!H9*1000)</f>
        <v>12.19322642545764</v>
      </c>
      <c r="I40" s="117">
        <f>IF(I16=0,0,I16/TrRail_act!I9*1000)</f>
        <v>12.563843158233102</v>
      </c>
      <c r="J40" s="117">
        <f>IF(J16=0,0,J16/TrRail_act!J9*1000)</f>
        <v>12.00476376055942</v>
      </c>
      <c r="K40" s="117">
        <f>IF(K16=0,0,K16/TrRail_act!K9*1000)</f>
        <v>12.219936561435293</v>
      </c>
      <c r="L40" s="117">
        <f>IF(L16=0,0,L16/TrRail_act!L9*1000)</f>
        <v>12.508664186940543</v>
      </c>
      <c r="M40" s="117">
        <f>IF(M16=0,0,M16/TrRail_act!M9*1000)</f>
        <v>12.321370457222455</v>
      </c>
      <c r="N40" s="117">
        <f>IF(N16=0,0,N16/TrRail_act!N9*1000)</f>
        <v>11.812816250897646</v>
      </c>
      <c r="O40" s="117">
        <f>IF(O16=0,0,O16/TrRail_act!O9*1000)</f>
        <v>10.615160764445065</v>
      </c>
      <c r="P40" s="117">
        <f>IF(P16=0,0,P16/TrRail_act!P9*1000)</f>
        <v>10.138277558535018</v>
      </c>
      <c r="Q40" s="117">
        <f>IF(Q16=0,0,Q16/TrRail_act!Q9*1000)</f>
        <v>8.8524600070360933</v>
      </c>
      <c r="R40" s="117">
        <f>IF(R16=0,0,R16/TrRail_act!R9*1000)</f>
        <v>8.2859873993394082</v>
      </c>
      <c r="S40" s="117">
        <f>IF(S16=0,0,S16/TrRail_act!S9*1000)</f>
        <v>8.4186350457703512</v>
      </c>
      <c r="T40" s="117">
        <f>IF(T16=0,0,T16/TrRail_act!T9*1000)</f>
        <v>8.1258218526522601</v>
      </c>
      <c r="U40" s="117">
        <f>IF(U16=0,0,U16/TrRail_act!U9*1000)</f>
        <v>8.0809633449682927</v>
      </c>
      <c r="V40" s="117">
        <f>IF(V16=0,0,V16/TrRail_act!V9*1000)</f>
        <v>11.151510844992544</v>
      </c>
      <c r="W40" s="117">
        <f>IF(W16=0,0,W16/TrRail_act!W9*1000)</f>
        <v>10.380604238906102</v>
      </c>
      <c r="X40" s="117">
        <f>IF(X16=0,0,X16/TrRail_act!X9*1000)</f>
        <v>6.9551158927557077</v>
      </c>
      <c r="Y40" s="117">
        <f>IF(Y16=0,0,Y16/TrRail_act!Y9*1000)</f>
        <v>6.2155270507060134</v>
      </c>
      <c r="DA40" s="204" t="s">
        <v>423</v>
      </c>
    </row>
    <row r="41" spans="1:105" ht="11.45" customHeight="1" x14ac:dyDescent="0.25">
      <c r="A41" s="27" t="s">
        <v>156</v>
      </c>
      <c r="B41" s="29">
        <f>IF(B17=0,0,B17/TrRail_act!B10*1000)</f>
        <v>16.959929073128425</v>
      </c>
      <c r="C41" s="29">
        <f>IF(C17=0,0,C17/TrRail_act!C10*1000)</f>
        <v>18.80213067328193</v>
      </c>
      <c r="D41" s="29">
        <f>IF(D17=0,0,D17/TrRail_act!D10*1000)</f>
        <v>17.823168795589492</v>
      </c>
      <c r="E41" s="29">
        <f>IF(E17=0,0,E17/TrRail_act!E10*1000)</f>
        <v>15.796064307508896</v>
      </c>
      <c r="F41" s="29">
        <f>IF(F17=0,0,F17/TrRail_act!F10*1000)</f>
        <v>15.094246423985972</v>
      </c>
      <c r="G41" s="29">
        <f>IF(G17=0,0,G17/TrRail_act!G10*1000)</f>
        <v>15.415599903739823</v>
      </c>
      <c r="H41" s="29">
        <f>IF(H17=0,0,H17/TrRail_act!H10*1000)</f>
        <v>15.073324060342856</v>
      </c>
      <c r="I41" s="29">
        <f>IF(I17=0,0,I17/TrRail_act!I10*1000)</f>
        <v>21.213732090458343</v>
      </c>
      <c r="J41" s="29">
        <f>IF(J17=0,0,J17/TrRail_act!J10*1000)</f>
        <v>21.556411512062677</v>
      </c>
      <c r="K41" s="29">
        <f>IF(K17=0,0,K17/TrRail_act!K10*1000)</f>
        <v>26.336294850546334</v>
      </c>
      <c r="L41" s="29">
        <f>IF(L17=0,0,L17/TrRail_act!L10*1000)</f>
        <v>27.531522437739795</v>
      </c>
      <c r="M41" s="29">
        <f>IF(M17=0,0,M17/TrRail_act!M10*1000)</f>
        <v>15.887182217116029</v>
      </c>
      <c r="N41" s="29">
        <f>IF(N17=0,0,N17/TrRail_act!N10*1000)</f>
        <v>16.010347617592995</v>
      </c>
      <c r="O41" s="29">
        <f>IF(O17=0,0,O17/TrRail_act!O10*1000)</f>
        <v>6.2616391691846092</v>
      </c>
      <c r="P41" s="29">
        <f>IF(P17=0,0,P17/TrRail_act!P10*1000)</f>
        <v>5.9862650675792457</v>
      </c>
      <c r="Q41" s="29">
        <f>IF(Q17=0,0,Q17/TrRail_act!Q10*1000)</f>
        <v>5.4942630450968597</v>
      </c>
      <c r="R41" s="29">
        <f>IF(R17=0,0,R17/TrRail_act!R10*1000)</f>
        <v>4.6737047876053683</v>
      </c>
      <c r="S41" s="29">
        <f>IF(S17=0,0,S17/TrRail_act!S10*1000)</f>
        <v>6.0630423589029547</v>
      </c>
      <c r="T41" s="29">
        <f>IF(T17=0,0,T17/TrRail_act!T10*1000)</f>
        <v>6.2808419895762757</v>
      </c>
      <c r="U41" s="29">
        <f>IF(U17=0,0,U17/TrRail_act!U10*1000)</f>
        <v>6.7492295156736564</v>
      </c>
      <c r="V41" s="29">
        <f>IF(V17=0,0,V17/TrRail_act!V10*1000)</f>
        <v>8.6595374926619719</v>
      </c>
      <c r="W41" s="29">
        <f>IF(W17=0,0,W17/TrRail_act!W10*1000)</f>
        <v>5.1692119799452243</v>
      </c>
      <c r="X41" s="29">
        <f>IF(X17=0,0,X17/TrRail_act!X10*1000)</f>
        <v>4.7867612328713243</v>
      </c>
      <c r="Y41" s="29">
        <f>IF(Y17=0,0,Y17/TrRail_act!Y10*1000)</f>
        <v>4.4202542398368339</v>
      </c>
      <c r="DA41" s="173" t="s">
        <v>428</v>
      </c>
    </row>
    <row r="42" spans="1:105" ht="11.45" customHeight="1" x14ac:dyDescent="0.25">
      <c r="A42" s="83" t="s">
        <v>92</v>
      </c>
      <c r="B42" s="87">
        <f>IF(B18=0,0,B18/TrRail_act!B11*1000)</f>
        <v>47.081246407304853</v>
      </c>
      <c r="C42" s="87">
        <f>IF(C18=0,0,C18/TrRail_act!C11*1000)</f>
        <v>46.047908961103587</v>
      </c>
      <c r="D42" s="87">
        <f>IF(D18=0,0,D18/TrRail_act!D11*1000)</f>
        <v>44.866584029185269</v>
      </c>
      <c r="E42" s="87">
        <f>IF(E18=0,0,E18/TrRail_act!E11*1000)</f>
        <v>47.551028153529899</v>
      </c>
      <c r="F42" s="87">
        <f>IF(F18=0,0,F18/TrRail_act!F11*1000)</f>
        <v>46.513076895811253</v>
      </c>
      <c r="G42" s="87">
        <f>IF(G18=0,0,G18/TrRail_act!G11*1000)</f>
        <v>45.716329128082251</v>
      </c>
      <c r="H42" s="87">
        <f>IF(H18=0,0,H18/TrRail_act!H11*1000)</f>
        <v>28.601981330619488</v>
      </c>
      <c r="I42" s="87">
        <f>IF(I18=0,0,I18/TrRail_act!I11*1000)</f>
        <v>41.001670228051026</v>
      </c>
      <c r="J42" s="87">
        <f>IF(J18=0,0,J18/TrRail_act!J11*1000)</f>
        <v>40.264684411530965</v>
      </c>
      <c r="K42" s="87">
        <f>IF(K18=0,0,K18/TrRail_act!K11*1000)</f>
        <v>30.617601216666301</v>
      </c>
      <c r="L42" s="87">
        <f>IF(L18=0,0,L18/TrRail_act!L11*1000)</f>
        <v>34.478934259519299</v>
      </c>
      <c r="M42" s="87">
        <f>IF(M18=0,0,M18/TrRail_act!M11*1000)</f>
        <v>36.630497241096478</v>
      </c>
      <c r="N42" s="87">
        <f>IF(N18=0,0,N18/TrRail_act!N11*1000)</f>
        <v>33.312392073183268</v>
      </c>
      <c r="O42" s="87">
        <f>IF(O18=0,0,O18/TrRail_act!O11*1000)</f>
        <v>14.329087517599033</v>
      </c>
      <c r="P42" s="87">
        <f>IF(P18=0,0,P18/TrRail_act!P11*1000)</f>
        <v>13.822423012078344</v>
      </c>
      <c r="Q42" s="87">
        <f>IF(Q18=0,0,Q18/TrRail_act!Q11*1000)</f>
        <v>12.632624328813526</v>
      </c>
      <c r="R42" s="87">
        <f>IF(R18=0,0,R18/TrRail_act!R11*1000)</f>
        <v>12.60386504691078</v>
      </c>
      <c r="S42" s="87">
        <f>IF(S18=0,0,S18/TrRail_act!S11*1000)</f>
        <v>17.44139589772394</v>
      </c>
      <c r="T42" s="87">
        <f>IF(T18=0,0,T18/TrRail_act!T11*1000)</f>
        <v>20.873754692464516</v>
      </c>
      <c r="U42" s="87">
        <f>IF(U18=0,0,U18/TrRail_act!U11*1000)</f>
        <v>22.961267919049966</v>
      </c>
      <c r="V42" s="87">
        <f>IF(V18=0,0,V18/TrRail_act!V11*1000)</f>
        <v>31.187942008386099</v>
      </c>
      <c r="W42" s="87">
        <f>IF(W18=0,0,W18/TrRail_act!W11*1000)</f>
        <v>34.162830613218404</v>
      </c>
      <c r="X42" s="87">
        <f>IF(X18=0,0,X18/TrRail_act!X11*1000)</f>
        <v>36.707401070064556</v>
      </c>
      <c r="Y42" s="87">
        <f>IF(Y18=0,0,Y18/TrRail_act!Y11*1000)</f>
        <v>35.978727315183107</v>
      </c>
      <c r="DA42" s="171" t="s">
        <v>1124</v>
      </c>
    </row>
    <row r="43" spans="1:105" ht="11.45" customHeight="1" x14ac:dyDescent="0.25">
      <c r="A43" s="85" t="s">
        <v>93</v>
      </c>
      <c r="B43" s="88">
        <f>IF(B19=0,0,B19/TrRail_act!B12*1000)</f>
        <v>3.9560973649664368</v>
      </c>
      <c r="C43" s="88">
        <f>IF(C19=0,0,C19/TrRail_act!C12*1000)</f>
        <v>5.2084553454090106</v>
      </c>
      <c r="D43" s="88">
        <f>IF(D19=0,0,D19/TrRail_act!D12*1000)</f>
        <v>5.9871125699755439</v>
      </c>
      <c r="E43" s="88">
        <f>IF(E19=0,0,E19/TrRail_act!E12*1000)</f>
        <v>5.9882582965361513</v>
      </c>
      <c r="F43" s="88">
        <f>IF(F19=0,0,F19/TrRail_act!F12*1000)</f>
        <v>5.8108350132542839</v>
      </c>
      <c r="G43" s="88">
        <f>IF(G19=0,0,G19/TrRail_act!G12*1000)</f>
        <v>6.0216417174115966</v>
      </c>
      <c r="H43" s="88">
        <f>IF(H19=0,0,H19/TrRail_act!H12*1000)</f>
        <v>4.0909259449568838</v>
      </c>
      <c r="I43" s="88">
        <f>IF(I19=0,0,I19/TrRail_act!I12*1000)</f>
        <v>5.7091112452833128</v>
      </c>
      <c r="J43" s="88">
        <f>IF(J19=0,0,J19/TrRail_act!J12*1000)</f>
        <v>5.0283270003949108</v>
      </c>
      <c r="K43" s="88">
        <f>IF(K19=0,0,K19/TrRail_act!K12*1000)</f>
        <v>5.2842426976218109</v>
      </c>
      <c r="L43" s="88">
        <f>IF(L19=0,0,L19/TrRail_act!L12*1000)</f>
        <v>5.3937813168147706</v>
      </c>
      <c r="M43" s="88">
        <f>IF(M19=0,0,M19/TrRail_act!M12*1000)</f>
        <v>4.1418253974770005</v>
      </c>
      <c r="N43" s="88">
        <f>IF(N19=0,0,N19/TrRail_act!N12*1000)</f>
        <v>3.7226103348739121</v>
      </c>
      <c r="O43" s="88">
        <f>IF(O19=0,0,O19/TrRail_act!O12*1000)</f>
        <v>3.7749494983996743</v>
      </c>
      <c r="P43" s="88">
        <f>IF(P19=0,0,P19/TrRail_act!P12*1000)</f>
        <v>3.654998791796527</v>
      </c>
      <c r="Q43" s="88">
        <f>IF(Q19=0,0,Q19/TrRail_act!Q12*1000)</f>
        <v>3.8540902937757155</v>
      </c>
      <c r="R43" s="88">
        <f>IF(R19=0,0,R19/TrRail_act!R12*1000)</f>
        <v>3.2543604860156878</v>
      </c>
      <c r="S43" s="88">
        <f>IF(S19=0,0,S19/TrRail_act!S12*1000)</f>
        <v>3.1898038087734966</v>
      </c>
      <c r="T43" s="88">
        <f>IF(T19=0,0,T19/TrRail_act!T12*1000)</f>
        <v>2.9049078599819449</v>
      </c>
      <c r="U43" s="88">
        <f>IF(U19=0,0,U19/TrRail_act!U12*1000)</f>
        <v>2.7272715562536853</v>
      </c>
      <c r="V43" s="88">
        <f>IF(V19=0,0,V19/TrRail_act!V12*1000)</f>
        <v>5.0694897847300338</v>
      </c>
      <c r="W43" s="88">
        <f>IF(W19=0,0,W19/TrRail_act!W12*1000)</f>
        <v>3.2882239270743243</v>
      </c>
      <c r="X43" s="88">
        <f>IF(X19=0,0,X19/TrRail_act!X12*1000)</f>
        <v>2.8635977848662906</v>
      </c>
      <c r="Y43" s="88">
        <f>IF(Y19=0,0,Y19/TrRail_act!Y12*1000)</f>
        <v>2.7520388785643206</v>
      </c>
      <c r="DA43" s="178" t="s">
        <v>1125</v>
      </c>
    </row>
    <row r="44" spans="1:105" x14ac:dyDescent="0.25">
      <c r="A44" s="106"/>
      <c r="B44" s="106"/>
      <c r="C44" s="106"/>
      <c r="D44" s="106"/>
      <c r="E44" s="106"/>
      <c r="F44" s="106"/>
      <c r="G44" s="106"/>
      <c r="H44" s="106"/>
      <c r="I44" s="106"/>
      <c r="J44" s="106"/>
      <c r="K44" s="106"/>
      <c r="L44" s="106"/>
      <c r="M44" s="106"/>
      <c r="N44" s="106"/>
      <c r="O44" s="106"/>
      <c r="P44" s="106"/>
      <c r="Q44" s="106"/>
      <c r="R44" s="106"/>
      <c r="S44" s="106"/>
      <c r="T44" s="106"/>
      <c r="U44" s="106"/>
      <c r="V44" s="106"/>
      <c r="W44" s="106"/>
      <c r="X44" s="106"/>
      <c r="Y44" s="106"/>
      <c r="DA44" s="171"/>
    </row>
    <row r="45" spans="1:105" ht="11.45" customHeight="1" x14ac:dyDescent="0.25">
      <c r="A45" s="53" t="s">
        <v>96</v>
      </c>
      <c r="B45" s="54">
        <f>IF(B10=0,0,1000000*B10/TrRail_act!B25)</f>
        <v>464972.90197418723</v>
      </c>
      <c r="C45" s="54">
        <f>IF(C10=0,0,1000000*C10/TrRail_act!C25)</f>
        <v>463776.541987153</v>
      </c>
      <c r="D45" s="54">
        <f>IF(D10=0,0,1000000*D10/TrRail_act!D25)</f>
        <v>441200.96997400949</v>
      </c>
      <c r="E45" s="54">
        <f>IF(E10=0,0,1000000*E10/TrRail_act!E25)</f>
        <v>431552.05117292103</v>
      </c>
      <c r="F45" s="54">
        <f>IF(F10=0,0,1000000*F10/TrRail_act!F25)</f>
        <v>443834.05673884146</v>
      </c>
      <c r="G45" s="54">
        <f>IF(G10=0,0,1000000*G10/TrRail_act!G25)</f>
        <v>439488.60329224728</v>
      </c>
      <c r="H45" s="54">
        <f>IF(H10=0,0,1000000*H10/TrRail_act!H25)</f>
        <v>369013.48920928471</v>
      </c>
      <c r="I45" s="54">
        <f>IF(I10=0,0,1000000*I10/TrRail_act!I25)</f>
        <v>429362.42009886802</v>
      </c>
      <c r="J45" s="54">
        <f>IF(J10=0,0,1000000*J10/TrRail_act!J25)</f>
        <v>433563.68642372027</v>
      </c>
      <c r="K45" s="54">
        <f>IF(K10=0,0,1000000*K10/TrRail_act!K25)</f>
        <v>386089.58772392542</v>
      </c>
      <c r="L45" s="54">
        <f>IF(L10=0,0,1000000*L10/TrRail_act!L25)</f>
        <v>387438.9057175786</v>
      </c>
      <c r="M45" s="54">
        <f>IF(M10=0,0,1000000*M10/TrRail_act!M25)</f>
        <v>375150.44904134161</v>
      </c>
      <c r="N45" s="54">
        <f>IF(N10=0,0,1000000*N10/TrRail_act!N25)</f>
        <v>384108.80314576073</v>
      </c>
      <c r="O45" s="54">
        <f>IF(O10=0,0,1000000*O10/TrRail_act!O25)</f>
        <v>176529.5353139019</v>
      </c>
      <c r="P45" s="54">
        <f>IF(P10=0,0,1000000*P10/TrRail_act!P25)</f>
        <v>175611.49178881259</v>
      </c>
      <c r="Q45" s="54">
        <f>IF(Q10=0,0,1000000*Q10/TrRail_act!Q25)</f>
        <v>179898.96563065852</v>
      </c>
      <c r="R45" s="54">
        <f>IF(R10=0,0,1000000*R10/TrRail_act!R25)</f>
        <v>173690.59221091517</v>
      </c>
      <c r="S45" s="54">
        <f>IF(S10=0,0,1000000*S10/TrRail_act!S25)</f>
        <v>175337.42803065188</v>
      </c>
      <c r="T45" s="54">
        <f>IF(T10=0,0,1000000*T10/TrRail_act!T25)</f>
        <v>171709.83852166682</v>
      </c>
      <c r="U45" s="54">
        <f>IF(U10=0,0,1000000*U10/TrRail_act!U25)</f>
        <v>173811.31678933089</v>
      </c>
      <c r="V45" s="54">
        <f>IF(V10=0,0,1000000*V10/TrRail_act!V25)</f>
        <v>139853.10635274986</v>
      </c>
      <c r="W45" s="54">
        <f>IF(W10=0,0,1000000*W10/TrRail_act!W25)</f>
        <v>143218.20963473499</v>
      </c>
      <c r="X45" s="54">
        <f>IF(X10=0,0,1000000*X10/TrRail_act!X25)</f>
        <v>147849.04374246963</v>
      </c>
      <c r="Y45" s="54">
        <f>IF(Y10=0,0,1000000*Y10/TrRail_act!Y25)</f>
        <v>144914.19629480795</v>
      </c>
      <c r="DA45" s="172" t="s">
        <v>1126</v>
      </c>
    </row>
    <row r="46" spans="1:105" ht="11.45" customHeight="1" x14ac:dyDescent="0.25">
      <c r="A46" s="27" t="s">
        <v>33</v>
      </c>
      <c r="B46" s="28">
        <f>IF(B11=0,0,1000000*B11/TrRail_act!B26)</f>
        <v>361773.93674434751</v>
      </c>
      <c r="C46" s="28">
        <f>IF(C11=0,0,1000000*C11/TrRail_act!C26)</f>
        <v>360464.60581110924</v>
      </c>
      <c r="D46" s="28">
        <f>IF(D11=0,0,1000000*D11/TrRail_act!D26)</f>
        <v>355458.83219909243</v>
      </c>
      <c r="E46" s="28">
        <f>IF(E11=0,0,1000000*E11/TrRail_act!E26)</f>
        <v>369683.61069800385</v>
      </c>
      <c r="F46" s="28">
        <f>IF(F11=0,0,1000000*F11/TrRail_act!F26)</f>
        <v>391624.43302524433</v>
      </c>
      <c r="G46" s="28">
        <f>IF(G11=0,0,1000000*G11/TrRail_act!G26)</f>
        <v>395351.92180401203</v>
      </c>
      <c r="H46" s="28">
        <f>IF(H11=0,0,1000000*H11/TrRail_act!H26)</f>
        <v>319741.53631340811</v>
      </c>
      <c r="I46" s="28">
        <f>IF(I11=0,0,1000000*I11/TrRail_act!I26)</f>
        <v>357307.01027996058</v>
      </c>
      <c r="J46" s="28">
        <f>IF(J11=0,0,1000000*J11/TrRail_act!J26)</f>
        <v>360500.80509570811</v>
      </c>
      <c r="K46" s="28">
        <f>IF(K11=0,0,1000000*K11/TrRail_act!K26)</f>
        <v>321010.94649074547</v>
      </c>
      <c r="L46" s="28">
        <f>IF(L11=0,0,1000000*L11/TrRail_act!L26)</f>
        <v>307426.47185409116</v>
      </c>
      <c r="M46" s="28">
        <f>IF(M11=0,0,1000000*M11/TrRail_act!M26)</f>
        <v>335269.19243514584</v>
      </c>
      <c r="N46" s="28">
        <f>IF(N11=0,0,1000000*N11/TrRail_act!N26)</f>
        <v>343464.09794784914</v>
      </c>
      <c r="O46" s="28">
        <f>IF(O11=0,0,1000000*O11/TrRail_act!O26)</f>
        <v>161917.25009201307</v>
      </c>
      <c r="P46" s="28">
        <f>IF(P11=0,0,1000000*P11/TrRail_act!P26)</f>
        <v>159770.0941893034</v>
      </c>
      <c r="Q46" s="28">
        <f>IF(Q11=0,0,1000000*Q11/TrRail_act!Q26)</f>
        <v>166616.53471183561</v>
      </c>
      <c r="R46" s="28">
        <f>IF(R11=0,0,1000000*R11/TrRail_act!R26)</f>
        <v>164218.2181041099</v>
      </c>
      <c r="S46" s="28">
        <f>IF(S11=0,0,1000000*S11/TrRail_act!S26)</f>
        <v>157907.00154891322</v>
      </c>
      <c r="T46" s="28">
        <f>IF(T11=0,0,1000000*T11/TrRail_act!T26)</f>
        <v>152133.26353232362</v>
      </c>
      <c r="U46" s="28">
        <f>IF(U11=0,0,1000000*U11/TrRail_act!U26)</f>
        <v>150218.73363423772</v>
      </c>
      <c r="V46" s="28">
        <f>IF(V11=0,0,1000000*V11/TrRail_act!V26)</f>
        <v>114798.94350440426</v>
      </c>
      <c r="W46" s="28">
        <f>IF(W11=0,0,1000000*W11/TrRail_act!W26)</f>
        <v>129424.95306089352</v>
      </c>
      <c r="X46" s="28">
        <f>IF(X11=0,0,1000000*X11/TrRail_act!X26)</f>
        <v>134817.33239405631</v>
      </c>
      <c r="Y46" s="28">
        <f>IF(Y11=0,0,1000000*Y11/TrRail_act!Y26)</f>
        <v>134202.69749564945</v>
      </c>
      <c r="DA46" s="173" t="s">
        <v>1127</v>
      </c>
    </row>
    <row r="47" spans="1:105" ht="11.45" customHeight="1" x14ac:dyDescent="0.25">
      <c r="A47" s="107" t="s">
        <v>23</v>
      </c>
      <c r="B47" s="108">
        <f>IF(B12=0,0,1000000*B12/TrRail_act!B27)</f>
        <v>50184.645979841378</v>
      </c>
      <c r="C47" s="108">
        <f>IF(C12=0,0,1000000*C12/TrRail_act!C27)</f>
        <v>50069.972066322822</v>
      </c>
      <c r="D47" s="108">
        <f>IF(D12=0,0,1000000*D12/TrRail_act!D27)</f>
        <v>48779.758469085777</v>
      </c>
      <c r="E47" s="108">
        <f>IF(E12=0,0,1000000*E12/TrRail_act!E27)</f>
        <v>48779.454527943766</v>
      </c>
      <c r="F47" s="108">
        <f>IF(F12=0,0,1000000*F12/TrRail_act!F27)</f>
        <v>47630.211847892322</v>
      </c>
      <c r="G47" s="108">
        <f>IF(G12=0,0,1000000*G12/TrRail_act!G27)</f>
        <v>45793.029553762652</v>
      </c>
      <c r="H47" s="108">
        <f>IF(H12=0,0,1000000*H12/TrRail_act!H27)</f>
        <v>45291.087232714664</v>
      </c>
      <c r="I47" s="108">
        <f>IF(I12=0,0,1000000*I12/TrRail_act!I27)</f>
        <v>44218.657107384228</v>
      </c>
      <c r="J47" s="108">
        <f>IF(J12=0,0,1000000*J12/TrRail_act!J27)</f>
        <v>43351.900536424306</v>
      </c>
      <c r="K47" s="108">
        <f>IF(K12=0,0,1000000*K12/TrRail_act!K27)</f>
        <v>42789.938703326479</v>
      </c>
      <c r="L47" s="108">
        <f>IF(L12=0,0,1000000*L12/TrRail_act!L27)</f>
        <v>42802.206430343824</v>
      </c>
      <c r="M47" s="108">
        <f>IF(M12=0,0,1000000*M12/TrRail_act!M27)</f>
        <v>41982.230393981074</v>
      </c>
      <c r="N47" s="108">
        <f>IF(N12=0,0,1000000*N12/TrRail_act!N27)</f>
        <v>41620.889940855617</v>
      </c>
      <c r="O47" s="108">
        <f>IF(O12=0,0,1000000*O12/TrRail_act!O27)</f>
        <v>40391.131663862245</v>
      </c>
      <c r="P47" s="108">
        <f>IF(P12=0,0,1000000*P12/TrRail_act!P27)</f>
        <v>39546.426670523681</v>
      </c>
      <c r="Q47" s="108">
        <f>IF(Q12=0,0,1000000*Q12/TrRail_act!Q27)</f>
        <v>38803.274146481068</v>
      </c>
      <c r="R47" s="108">
        <f>IF(R12=0,0,1000000*R12/TrRail_act!R27)</f>
        <v>38255.088889794984</v>
      </c>
      <c r="S47" s="108">
        <f>IF(S12=0,0,1000000*S12/TrRail_act!S27)</f>
        <v>37849.038197865229</v>
      </c>
      <c r="T47" s="108">
        <f>IF(T12=0,0,1000000*T12/TrRail_act!T27)</f>
        <v>37547.331094459158</v>
      </c>
      <c r="U47" s="108">
        <f>IF(U12=0,0,1000000*U12/TrRail_act!U27)</f>
        <v>37322.630087064987</v>
      </c>
      <c r="V47" s="108">
        <f>IF(V12=0,0,1000000*V12/TrRail_act!V27)</f>
        <v>30010.231489273254</v>
      </c>
      <c r="W47" s="108">
        <f>IF(W12=0,0,1000000*W12/TrRail_act!W27)</f>
        <v>31095.803571716922</v>
      </c>
      <c r="X47" s="108">
        <f>IF(X12=0,0,1000000*X12/TrRail_act!X27)</f>
        <v>36936.098231511009</v>
      </c>
      <c r="Y47" s="108">
        <f>IF(Y12=0,0,1000000*Y12/TrRail_act!Y27)</f>
        <v>36866.015275482947</v>
      </c>
      <c r="DA47" s="203" t="s">
        <v>1128</v>
      </c>
    </row>
    <row r="48" spans="1:105" ht="11.45" customHeight="1" x14ac:dyDescent="0.25">
      <c r="A48" s="109" t="s">
        <v>24</v>
      </c>
      <c r="B48" s="110">
        <f>IF(B13=0,0,1000000*B13/TrRail_act!B28)</f>
        <v>567290.7782869786</v>
      </c>
      <c r="C48" s="110">
        <f>IF(C13=0,0,1000000*C13/TrRail_act!C28)</f>
        <v>546115.66560555471</v>
      </c>
      <c r="D48" s="110">
        <f>IF(D13=0,0,1000000*D13/TrRail_act!D28)</f>
        <v>525193.87748639053</v>
      </c>
      <c r="E48" s="110">
        <f>IF(E13=0,0,1000000*E13/TrRail_act!E28)</f>
        <v>539567.33379283897</v>
      </c>
      <c r="F48" s="110">
        <f>IF(F13=0,0,1000000*F13/TrRail_act!F28)</f>
        <v>563342.51632067736</v>
      </c>
      <c r="G48" s="110">
        <f>IF(G13=0,0,1000000*G13/TrRail_act!G28)</f>
        <v>549971.31554660806</v>
      </c>
      <c r="H48" s="110">
        <f>IF(H13=0,0,1000000*H13/TrRail_act!H28)</f>
        <v>446239.05964154331</v>
      </c>
      <c r="I48" s="110">
        <f>IF(I13=0,0,1000000*I13/TrRail_act!I28)</f>
        <v>515492.73461318383</v>
      </c>
      <c r="J48" s="110">
        <f>IF(J13=0,0,1000000*J13/TrRail_act!J28)</f>
        <v>515159.17024689179</v>
      </c>
      <c r="K48" s="110">
        <f>IF(K13=0,0,1000000*K13/TrRail_act!K28)</f>
        <v>412624.90193643264</v>
      </c>
      <c r="L48" s="110">
        <f>IF(L13=0,0,1000000*L13/TrRail_act!L28)</f>
        <v>428916.86182018038</v>
      </c>
      <c r="M48" s="110">
        <f>IF(M13=0,0,1000000*M13/TrRail_act!M28)</f>
        <v>496745.18890665483</v>
      </c>
      <c r="N48" s="110">
        <f>IF(N13=0,0,1000000*N13/TrRail_act!N28)</f>
        <v>496467.25727803964</v>
      </c>
      <c r="O48" s="110">
        <f>IF(O13=0,0,1000000*O13/TrRail_act!O28)</f>
        <v>148582.74903805877</v>
      </c>
      <c r="P48" s="110">
        <f>IF(P13=0,0,1000000*P13/TrRail_act!P28)</f>
        <v>151807.45019065702</v>
      </c>
      <c r="Q48" s="110">
        <f>IF(Q13=0,0,1000000*Q13/TrRail_act!Q28)</f>
        <v>168175.13967023071</v>
      </c>
      <c r="R48" s="110">
        <f>IF(R13=0,0,1000000*R13/TrRail_act!R28)</f>
        <v>167367.20643454159</v>
      </c>
      <c r="S48" s="110">
        <f>IF(S13=0,0,1000000*S13/TrRail_act!S28)</f>
        <v>153990.25250906282</v>
      </c>
      <c r="T48" s="110">
        <f>IF(T13=0,0,1000000*T13/TrRail_act!T28)</f>
        <v>154516.94925656341</v>
      </c>
      <c r="U48" s="110">
        <f>IF(U13=0,0,1000000*U13/TrRail_act!U28)</f>
        <v>150658.0476022801</v>
      </c>
      <c r="V48" s="110">
        <f>IF(V13=0,0,1000000*V13/TrRail_act!V28)</f>
        <v>145292.84258837331</v>
      </c>
      <c r="W48" s="110">
        <f>IF(W13=0,0,1000000*W13/TrRail_act!W28)</f>
        <v>161982.92040386685</v>
      </c>
      <c r="X48" s="110">
        <f>IF(X13=0,0,1000000*X13/TrRail_act!X28)</f>
        <v>163745.43784200767</v>
      </c>
      <c r="Y48" s="110">
        <f>IF(Y13=0,0,1000000*Y13/TrRail_act!Y28)</f>
        <v>166358.89228952842</v>
      </c>
      <c r="DA48" s="176" t="s">
        <v>1129</v>
      </c>
    </row>
    <row r="49" spans="1:105" ht="11.45" customHeight="1" x14ac:dyDescent="0.25">
      <c r="A49" s="111" t="s">
        <v>92</v>
      </c>
      <c r="B49" s="84">
        <f>IF(B14=0,0,1000000*B14/TrRail_act!B29)</f>
        <v>1148143.5315122504</v>
      </c>
      <c r="C49" s="84">
        <f>IF(C14=0,0,1000000*C14/TrRail_act!C29)</f>
        <v>1143774.2063058282</v>
      </c>
      <c r="D49" s="84">
        <f>IF(D14=0,0,1000000*D14/TrRail_act!D29)</f>
        <v>1136529.8649287939</v>
      </c>
      <c r="E49" s="84">
        <f>IF(E14=0,0,1000000*E14/TrRail_act!E29)</f>
        <v>1126995.6267477646</v>
      </c>
      <c r="F49" s="84">
        <f>IF(F14=0,0,1000000*F14/TrRail_act!F29)</f>
        <v>1105649.6799370544</v>
      </c>
      <c r="G49" s="84">
        <f>IF(G14=0,0,1000000*G14/TrRail_act!G29)</f>
        <v>1064584.4751807593</v>
      </c>
      <c r="H49" s="84">
        <f>IF(H14=0,0,1000000*H14/TrRail_act!H29)</f>
        <v>926922.47306132107</v>
      </c>
      <c r="I49" s="84">
        <f>IF(I14=0,0,1000000*I14/TrRail_act!I29)</f>
        <v>1012013.972824754</v>
      </c>
      <c r="J49" s="84">
        <f>IF(J14=0,0,1000000*J14/TrRail_act!J29)</f>
        <v>989350.01872019377</v>
      </c>
      <c r="K49" s="84">
        <f>IF(K14=0,0,1000000*K14/TrRail_act!K29)</f>
        <v>845071.7208444135</v>
      </c>
      <c r="L49" s="84">
        <f>IF(L14=0,0,1000000*L14/TrRail_act!L29)</f>
        <v>864635.13498253538</v>
      </c>
      <c r="M49" s="84">
        <f>IF(M14=0,0,1000000*M14/TrRail_act!M29)</f>
        <v>906092.17569390265</v>
      </c>
      <c r="N49" s="84">
        <f>IF(N14=0,0,1000000*N14/TrRail_act!N29)</f>
        <v>872244.18811649701</v>
      </c>
      <c r="O49" s="84">
        <f>IF(O14=0,0,1000000*O14/TrRail_act!O29)</f>
        <v>102608.03932994918</v>
      </c>
      <c r="P49" s="84">
        <f>IF(P14=0,0,1000000*P14/TrRail_act!P29)</f>
        <v>103671.34172314533</v>
      </c>
      <c r="Q49" s="84">
        <f>IF(Q14=0,0,1000000*Q14/TrRail_act!Q29)</f>
        <v>145893.55634354174</v>
      </c>
      <c r="R49" s="84">
        <f>IF(R14=0,0,1000000*R14/TrRail_act!R29)</f>
        <v>150275.62416202392</v>
      </c>
      <c r="S49" s="84">
        <f>IF(S14=0,0,1000000*S14/TrRail_act!S29)</f>
        <v>113326.17930459749</v>
      </c>
      <c r="T49" s="84">
        <f>IF(T14=0,0,1000000*T14/TrRail_act!T29)</f>
        <v>115028.62699270216</v>
      </c>
      <c r="U49" s="84">
        <f>IF(U14=0,0,1000000*U14/TrRail_act!U29)</f>
        <v>109258.49789396356</v>
      </c>
      <c r="V49" s="84">
        <f>IF(V14=0,0,1000000*V14/TrRail_act!V29)</f>
        <v>78231.931935498083</v>
      </c>
      <c r="W49" s="84">
        <f>IF(W14=0,0,1000000*W14/TrRail_act!W29)</f>
        <v>131167.94523137406</v>
      </c>
      <c r="X49" s="84">
        <f>IF(X14=0,0,1000000*X14/TrRail_act!X29)</f>
        <v>135205.24205861875</v>
      </c>
      <c r="Y49" s="84">
        <f>IF(Y14=0,0,1000000*Y14/TrRail_act!Y29)</f>
        <v>144516.32917022367</v>
      </c>
      <c r="DA49" s="171" t="s">
        <v>1130</v>
      </c>
    </row>
    <row r="50" spans="1:105" ht="11.45" customHeight="1" x14ac:dyDescent="0.25">
      <c r="A50" s="111" t="s">
        <v>93</v>
      </c>
      <c r="B50" s="84">
        <f>IF(B15=0,0,1000000*B15/TrRail_act!B30)</f>
        <v>244316.06106065187</v>
      </c>
      <c r="C50" s="84">
        <f>IF(C15=0,0,1000000*C15/TrRail_act!C30)</f>
        <v>243259.90424079867</v>
      </c>
      <c r="D50" s="84">
        <f>IF(D15=0,0,1000000*D15/TrRail_act!D30)</f>
        <v>240641.65270816415</v>
      </c>
      <c r="E50" s="84">
        <f>IF(E15=0,0,1000000*E15/TrRail_act!E30)</f>
        <v>231434.76748221664</v>
      </c>
      <c r="F50" s="84">
        <f>IF(F15=0,0,1000000*F15/TrRail_act!F30)</f>
        <v>229139.40715404958</v>
      </c>
      <c r="G50" s="84">
        <f>IF(G15=0,0,1000000*G15/TrRail_act!G30)</f>
        <v>226525.93522762528</v>
      </c>
      <c r="H50" s="84">
        <f>IF(H15=0,0,1000000*H15/TrRail_act!H30)</f>
        <v>141995.13219612039</v>
      </c>
      <c r="I50" s="84">
        <f>IF(I15=0,0,1000000*I15/TrRail_act!I30)</f>
        <v>169080.71478172805</v>
      </c>
      <c r="J50" s="84">
        <f>IF(J15=0,0,1000000*J15/TrRail_act!J30)</f>
        <v>176578.67054092791</v>
      </c>
      <c r="K50" s="84">
        <f>IF(K15=0,0,1000000*K15/TrRail_act!K30)</f>
        <v>98753.245924992792</v>
      </c>
      <c r="L50" s="84">
        <f>IF(L15=0,0,1000000*L15/TrRail_act!L30)</f>
        <v>106706.98586724637</v>
      </c>
      <c r="M50" s="84">
        <f>IF(M15=0,0,1000000*M15/TrRail_act!M30)</f>
        <v>198875.75662874858</v>
      </c>
      <c r="N50" s="84">
        <f>IF(N15=0,0,1000000*N15/TrRail_act!N30)</f>
        <v>195461.59843536129</v>
      </c>
      <c r="O50" s="84">
        <f>IF(O15=0,0,1000000*O15/TrRail_act!O30)</f>
        <v>186382.46082872307</v>
      </c>
      <c r="P50" s="84">
        <f>IF(P15=0,0,1000000*P15/TrRail_act!P30)</f>
        <v>185799.42508143847</v>
      </c>
      <c r="Q50" s="84">
        <f>IF(Q15=0,0,1000000*Q15/TrRail_act!Q30)</f>
        <v>182114.10949685625</v>
      </c>
      <c r="R50" s="84">
        <f>IF(R15=0,0,1000000*R15/TrRail_act!R30)</f>
        <v>177210.54120858153</v>
      </c>
      <c r="S50" s="84">
        <f>IF(S15=0,0,1000000*S15/TrRail_act!S30)</f>
        <v>175355.90426463258</v>
      </c>
      <c r="T50" s="84">
        <f>IF(T15=0,0,1000000*T15/TrRail_act!T30)</f>
        <v>173977.67578872375</v>
      </c>
      <c r="U50" s="84">
        <f>IF(U15=0,0,1000000*U15/TrRail_act!U30)</f>
        <v>170854.14678455351</v>
      </c>
      <c r="V50" s="84">
        <f>IF(V15=0,0,1000000*V15/TrRail_act!V30)</f>
        <v>172185.17599268287</v>
      </c>
      <c r="W50" s="84">
        <f>IF(W15=0,0,1000000*W15/TrRail_act!W30)</f>
        <v>171612.9467550501</v>
      </c>
      <c r="X50" s="84">
        <f>IF(X15=0,0,1000000*X15/TrRail_act!X30)</f>
        <v>171185.02317790707</v>
      </c>
      <c r="Y50" s="84">
        <f>IF(Y15=0,0,1000000*Y15/TrRail_act!Y30)</f>
        <v>170864.78097431562</v>
      </c>
      <c r="DA50" s="171" t="s">
        <v>1131</v>
      </c>
    </row>
    <row r="51" spans="1:105" ht="11.45" customHeight="1" x14ac:dyDescent="0.25">
      <c r="A51" s="112" t="s">
        <v>25</v>
      </c>
      <c r="B51" s="113">
        <f>IF(B16=0,0,1000000*B16/TrRail_act!B31)</f>
        <v>1097288.9735360851</v>
      </c>
      <c r="C51" s="113">
        <f>IF(C16=0,0,1000000*C16/TrRail_act!C31)</f>
        <v>1091534.0330014711</v>
      </c>
      <c r="D51" s="113">
        <f>IF(D16=0,0,1000000*D16/TrRail_act!D31)</f>
        <v>1089616.5923006891</v>
      </c>
      <c r="E51" s="113">
        <f>IF(E16=0,0,1000000*E16/TrRail_act!E31)</f>
        <v>1058493.0133452783</v>
      </c>
      <c r="F51" s="113">
        <f>IF(F16=0,0,1000000*F16/TrRail_act!F31)</f>
        <v>1050623.0752084388</v>
      </c>
      <c r="G51" s="113">
        <f>IF(G16=0,0,1000000*G16/TrRail_act!G31)</f>
        <v>1014439.5907313463</v>
      </c>
      <c r="H51" s="113">
        <f>IF(H16=0,0,1000000*H16/TrRail_act!H31)</f>
        <v>1008117.4410105518</v>
      </c>
      <c r="I51" s="113">
        <f>IF(I16=0,0,1000000*I16/TrRail_act!I31)</f>
        <v>988471.23766182747</v>
      </c>
      <c r="J51" s="113">
        <f>IF(J16=0,0,1000000*J16/TrRail_act!J31)</f>
        <v>1001355.3871557246</v>
      </c>
      <c r="K51" s="113">
        <f>IF(K16=0,0,1000000*K16/TrRail_act!K31)</f>
        <v>994978.04669991753</v>
      </c>
      <c r="L51" s="113">
        <f>IF(L16=0,0,1000000*L16/TrRail_act!L31)</f>
        <v>998789.50269580237</v>
      </c>
      <c r="M51" s="113">
        <f>IF(M16=0,0,1000000*M16/TrRail_act!M31)</f>
        <v>958350.98988426011</v>
      </c>
      <c r="N51" s="113">
        <f>IF(N16=0,0,1000000*N16/TrRail_act!N31)</f>
        <v>929318.37120214337</v>
      </c>
      <c r="O51" s="113">
        <f>IF(O16=0,0,1000000*O16/TrRail_act!O31)</f>
        <v>950976.94592735555</v>
      </c>
      <c r="P51" s="113">
        <f>IF(P16=0,0,1000000*P16/TrRail_act!P31)</f>
        <v>926354.09721304162</v>
      </c>
      <c r="Q51" s="113">
        <f>IF(Q16=0,0,1000000*Q16/TrRail_act!Q31)</f>
        <v>908760.52830301807</v>
      </c>
      <c r="R51" s="113">
        <f>IF(R16=0,0,1000000*R16/TrRail_act!R31)</f>
        <v>897085.82462451607</v>
      </c>
      <c r="S51" s="113">
        <f>IF(S16=0,0,1000000*S16/TrRail_act!S31)</f>
        <v>888300.55354113388</v>
      </c>
      <c r="T51" s="113">
        <f>IF(T16=0,0,1000000*T16/TrRail_act!T31)</f>
        <v>881768.10820165474</v>
      </c>
      <c r="U51" s="113">
        <f>IF(U16=0,0,1000000*U16/TrRail_act!U31)</f>
        <v>876900.31433899177</v>
      </c>
      <c r="V51" s="113">
        <f>IF(V16=0,0,1000000*V16/TrRail_act!V31)</f>
        <v>429066.41726952954</v>
      </c>
      <c r="W51" s="113">
        <f>IF(W16=0,0,1000000*W16/TrRail_act!W31)</f>
        <v>460934.0193982299</v>
      </c>
      <c r="X51" s="113">
        <f>IF(X16=0,0,1000000*X16/TrRail_act!X31)</f>
        <v>480228.54000392958</v>
      </c>
      <c r="Y51" s="113">
        <f>IF(Y16=0,0,1000000*Y16/TrRail_act!Y31)</f>
        <v>444756.9149910495</v>
      </c>
      <c r="DA51" s="204" t="s">
        <v>1132</v>
      </c>
    </row>
    <row r="52" spans="1:105" ht="11.45" customHeight="1" x14ac:dyDescent="0.25">
      <c r="A52" s="27" t="s">
        <v>34</v>
      </c>
      <c r="B52" s="28">
        <f>IF(B17=0,0,1000000*B17/TrRail_act!B32)</f>
        <v>1523622.9437482136</v>
      </c>
      <c r="C52" s="28">
        <f>IF(C17=0,0,1000000*C17/TrRail_act!C32)</f>
        <v>1400030.5927917447</v>
      </c>
      <c r="D52" s="28">
        <f>IF(D17=0,0,1000000*D17/TrRail_act!D32)</f>
        <v>1197058.1188699547</v>
      </c>
      <c r="E52" s="28">
        <f>IF(E17=0,0,1000000*E17/TrRail_act!E32)</f>
        <v>1002966.0632389878</v>
      </c>
      <c r="F52" s="28">
        <f>IF(F17=0,0,1000000*F17/TrRail_act!F32)</f>
        <v>970725.70482103084</v>
      </c>
      <c r="G52" s="28">
        <f>IF(G17=0,0,1000000*G17/TrRail_act!G32)</f>
        <v>940652.90031391371</v>
      </c>
      <c r="H52" s="28">
        <f>IF(H17=0,0,1000000*H17/TrRail_act!H32)</f>
        <v>912111.03777569428</v>
      </c>
      <c r="I52" s="28">
        <f>IF(I17=0,0,1000000*I17/TrRail_act!I32)</f>
        <v>1174507.9076889942</v>
      </c>
      <c r="J52" s="28">
        <f>IF(J17=0,0,1000000*J17/TrRail_act!J32)</f>
        <v>1196738.1953510295</v>
      </c>
      <c r="K52" s="28">
        <f>IF(K17=0,0,1000000*K17/TrRail_act!K32)</f>
        <v>1095405.3823401155</v>
      </c>
      <c r="L52" s="28">
        <f>IF(L17=0,0,1000000*L17/TrRail_act!L32)</f>
        <v>1267205.4768303267</v>
      </c>
      <c r="M52" s="28">
        <f>IF(M17=0,0,1000000*M17/TrRail_act!M32)</f>
        <v>833714.03448340937</v>
      </c>
      <c r="N52" s="28">
        <f>IF(N17=0,0,1000000*N17/TrRail_act!N32)</f>
        <v>909194.31019641086</v>
      </c>
      <c r="O52" s="28">
        <f>IF(O17=0,0,1000000*O17/TrRail_act!O32)</f>
        <v>356462.78024234442</v>
      </c>
      <c r="P52" s="28">
        <f>IF(P17=0,0,1000000*P17/TrRail_act!P32)</f>
        <v>369535.85033693671</v>
      </c>
      <c r="Q52" s="28">
        <f>IF(Q17=0,0,1000000*Q17/TrRail_act!Q32)</f>
        <v>328019.3178863033</v>
      </c>
      <c r="R52" s="28">
        <f>IF(R17=0,0,1000000*R17/TrRail_act!R32)</f>
        <v>288063.68967876985</v>
      </c>
      <c r="S52" s="28">
        <f>IF(S17=0,0,1000000*S17/TrRail_act!S32)</f>
        <v>405777.06249897508</v>
      </c>
      <c r="T52" s="28">
        <f>IF(T17=0,0,1000000*T17/TrRail_act!T32)</f>
        <v>464284.61670164642</v>
      </c>
      <c r="U52" s="28">
        <f>IF(U17=0,0,1000000*U17/TrRail_act!U32)</f>
        <v>531981.29205690243</v>
      </c>
      <c r="V52" s="28">
        <f>IF(V17=0,0,1000000*V17/TrRail_act!V32)</f>
        <v>414796.86290376686</v>
      </c>
      <c r="W52" s="28">
        <f>IF(W17=0,0,1000000*W17/TrRail_act!W32)</f>
        <v>308318.58157920692</v>
      </c>
      <c r="X52" s="28">
        <f>IF(X17=0,0,1000000*X17/TrRail_act!X32)</f>
        <v>317847.56147188955</v>
      </c>
      <c r="Y52" s="28">
        <f>IF(Y17=0,0,1000000*Y17/TrRail_act!Y32)</f>
        <v>302790.26980099652</v>
      </c>
      <c r="DA52" s="173" t="s">
        <v>1133</v>
      </c>
    </row>
    <row r="53" spans="1:105" ht="11.45" customHeight="1" x14ac:dyDescent="0.25">
      <c r="A53" s="83" t="s">
        <v>92</v>
      </c>
      <c r="B53" s="84">
        <f>IF(B18=0,0,1000000*B18/TrRail_act!B33)</f>
        <v>3169755.4194236491</v>
      </c>
      <c r="C53" s="84">
        <f>IF(C18=0,0,1000000*C18/TrRail_act!C33)</f>
        <v>3145266.4763773624</v>
      </c>
      <c r="D53" s="84">
        <f>IF(D18=0,0,1000000*D18/TrRail_act!D33)</f>
        <v>3063942.4354381403</v>
      </c>
      <c r="E53" s="84">
        <f>IF(E18=0,0,1000000*E18/TrRail_act!E33)</f>
        <v>2833729.7886381424</v>
      </c>
      <c r="F53" s="84">
        <f>IF(F18=0,0,1000000*F18/TrRail_act!F33)</f>
        <v>2917453.846924291</v>
      </c>
      <c r="G53" s="84">
        <f>IF(G18=0,0,1000000*G18/TrRail_act!G33)</f>
        <v>2870240.149353486</v>
      </c>
      <c r="H53" s="84">
        <f>IF(H18=0,0,1000000*H18/TrRail_act!H33)</f>
        <v>2810145.7383116866</v>
      </c>
      <c r="I53" s="84">
        <f>IF(I18=0,0,1000000*I18/TrRail_act!I33)</f>
        <v>2774055.6611930584</v>
      </c>
      <c r="J53" s="84">
        <f>IF(J18=0,0,1000000*J18/TrRail_act!J33)</f>
        <v>2736549.0161665715</v>
      </c>
      <c r="K53" s="84">
        <f>IF(K18=0,0,1000000*K18/TrRail_act!K33)</f>
        <v>2688502.350069752</v>
      </c>
      <c r="L53" s="84">
        <f>IF(L18=0,0,1000000*L18/TrRail_act!L33)</f>
        <v>2659820.7331508691</v>
      </c>
      <c r="M53" s="84">
        <f>IF(M18=0,0,1000000*M18/TrRail_act!M33)</f>
        <v>1517255.5430867271</v>
      </c>
      <c r="N53" s="84">
        <f>IF(N18=0,0,1000000*N18/TrRail_act!N33)</f>
        <v>1698365.4113651577</v>
      </c>
      <c r="O53" s="84">
        <f>IF(O18=0,0,1000000*O18/TrRail_act!O33)</f>
        <v>440391.54058340314</v>
      </c>
      <c r="P53" s="84">
        <f>IF(P18=0,0,1000000*P18/TrRail_act!P33)</f>
        <v>497664.68680391135</v>
      </c>
      <c r="Q53" s="84">
        <f>IF(Q18=0,0,1000000*Q18/TrRail_act!Q33)</f>
        <v>428924.80042152532</v>
      </c>
      <c r="R53" s="84">
        <f>IF(R18=0,0,1000000*R18/TrRail_act!R33)</f>
        <v>365472.90309467318</v>
      </c>
      <c r="S53" s="84">
        <f>IF(S18=0,0,1000000*S18/TrRail_act!S33)</f>
        <v>745123.39037835097</v>
      </c>
      <c r="T53" s="84">
        <f>IF(T18=0,0,1000000*T18/TrRail_act!T33)</f>
        <v>942144.8451948514</v>
      </c>
      <c r="U53" s="84">
        <f>IF(U18=0,0,1000000*U18/TrRail_act!U33)</f>
        <v>1105111.1339482591</v>
      </c>
      <c r="V53" s="84">
        <f>IF(V18=0,0,1000000*V18/TrRail_act!V33)</f>
        <v>986026.75671790354</v>
      </c>
      <c r="W53" s="84">
        <f>IF(W18=0,0,1000000*W18/TrRail_act!W33)</f>
        <v>643138.06614103343</v>
      </c>
      <c r="X53" s="84">
        <f>IF(X18=0,0,1000000*X18/TrRail_act!X33)</f>
        <v>790558.15279222606</v>
      </c>
      <c r="Y53" s="84">
        <f>IF(Y18=0,0,1000000*Y18/TrRail_act!Y33)</f>
        <v>803189.15375151637</v>
      </c>
      <c r="DA53" s="171" t="s">
        <v>1134</v>
      </c>
    </row>
    <row r="54" spans="1:105" ht="11.45" customHeight="1" x14ac:dyDescent="0.25">
      <c r="A54" s="85" t="s">
        <v>93</v>
      </c>
      <c r="B54" s="86">
        <f>IF(B19=0,0,1000000*B19/TrRail_act!B34)</f>
        <v>415360.523639247</v>
      </c>
      <c r="C54" s="86">
        <f>IF(C19=0,0,1000000*C19/TrRail_act!C34)</f>
        <v>406091.85971393704</v>
      </c>
      <c r="D54" s="86">
        <f>IF(D19=0,0,1000000*D19/TrRail_act!D34)</f>
        <v>399228.95831096859</v>
      </c>
      <c r="E54" s="86">
        <f>IF(E19=0,0,1000000*E19/TrRail_act!E34)</f>
        <v>388068.98496789928</v>
      </c>
      <c r="F54" s="86">
        <f>IF(F19=0,0,1000000*F19/TrRail_act!F34)</f>
        <v>376516.46927028394</v>
      </c>
      <c r="G54" s="86">
        <f>IF(G19=0,0,1000000*G19/TrRail_act!G34)</f>
        <v>364264.61155994772</v>
      </c>
      <c r="H54" s="86">
        <f>IF(H19=0,0,1000000*H19/TrRail_act!H34)</f>
        <v>188707.21516628581</v>
      </c>
      <c r="I54" s="86">
        <f>IF(I19=0,0,1000000*I19/TrRail_act!I34)</f>
        <v>276699.30778366874</v>
      </c>
      <c r="J54" s="86">
        <f>IF(J19=0,0,1000000*J19/TrRail_act!J34)</f>
        <v>240277.62044153377</v>
      </c>
      <c r="K54" s="86">
        <f>IF(K19=0,0,1000000*K19/TrRail_act!K34)</f>
        <v>61255.509355090711</v>
      </c>
      <c r="L54" s="86">
        <f>IF(L19=0,0,1000000*L19/TrRail_act!L34)</f>
        <v>108635.71975485182</v>
      </c>
      <c r="M54" s="86">
        <f>IF(M19=0,0,1000000*M19/TrRail_act!M34)</f>
        <v>256052.16911675784</v>
      </c>
      <c r="N54" s="86">
        <f>IF(N19=0,0,1000000*N19/TrRail_act!N34)</f>
        <v>229997.4014516974</v>
      </c>
      <c r="O54" s="86">
        <f>IF(O19=0,0,1000000*O19/TrRail_act!O34)</f>
        <v>291470.81104110857</v>
      </c>
      <c r="P54" s="86">
        <f>IF(P19=0,0,1000000*P19/TrRail_act!P34)</f>
        <v>286536.35803725949</v>
      </c>
      <c r="Q54" s="86">
        <f>IF(Q19=0,0,1000000*Q19/TrRail_act!Q34)</f>
        <v>278650.16508860857</v>
      </c>
      <c r="R54" s="86">
        <f>IF(R19=0,0,1000000*R19/TrRail_act!R34)</f>
        <v>251185.03173571275</v>
      </c>
      <c r="S54" s="86">
        <f>IF(S19=0,0,1000000*S19/TrRail_act!S34)</f>
        <v>249123.74199302983</v>
      </c>
      <c r="T54" s="86">
        <f>IF(T19=0,0,1000000*T19/TrRail_act!T34)</f>
        <v>251897.74099443367</v>
      </c>
      <c r="U54" s="86">
        <f>IF(U19=0,0,1000000*U19/TrRail_act!U34)</f>
        <v>255365.58973303347</v>
      </c>
      <c r="V54" s="86">
        <f>IF(V19=0,0,1000000*V19/TrRail_act!V34)</f>
        <v>264546.28653389442</v>
      </c>
      <c r="W54" s="86">
        <f>IF(W19=0,0,1000000*W19/TrRail_act!W34)</f>
        <v>228232.08669488152</v>
      </c>
      <c r="X54" s="86">
        <f>IF(X19=0,0,1000000*X19/TrRail_act!X34)</f>
        <v>217436.71682513758</v>
      </c>
      <c r="Y54" s="86">
        <f>IF(Y19=0,0,1000000*Y19/TrRail_act!Y34)</f>
        <v>211659.70682515399</v>
      </c>
      <c r="DA54" s="178" t="s">
        <v>1135</v>
      </c>
    </row>
    <row r="55" spans="1:105" x14ac:dyDescent="0.25">
      <c r="A55" s="106"/>
      <c r="B55" s="106"/>
      <c r="C55" s="106"/>
      <c r="D55" s="106"/>
      <c r="E55" s="106"/>
      <c r="F55" s="106"/>
      <c r="G55" s="106"/>
      <c r="H55" s="106"/>
      <c r="I55" s="106"/>
      <c r="J55" s="106"/>
      <c r="K55" s="106"/>
      <c r="L55" s="106"/>
      <c r="M55" s="106"/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X55" s="106"/>
      <c r="Y55" s="106"/>
      <c r="DA55" s="171"/>
    </row>
    <row r="56" spans="1:105" ht="11.45" customHeight="1" x14ac:dyDescent="0.25">
      <c r="A56" s="53" t="s">
        <v>40</v>
      </c>
      <c r="B56" s="65">
        <f t="shared" ref="B56:B65" si="15">IF(B10=0,0,B10/B$10)</f>
        <v>1</v>
      </c>
      <c r="C56" s="65">
        <f t="shared" ref="C56:V56" si="16">IF(C10=0,0,C10/C$10)</f>
        <v>1</v>
      </c>
      <c r="D56" s="65">
        <f t="shared" si="16"/>
        <v>1</v>
      </c>
      <c r="E56" s="65">
        <f t="shared" si="16"/>
        <v>1</v>
      </c>
      <c r="F56" s="65">
        <f t="shared" si="16"/>
        <v>1</v>
      </c>
      <c r="G56" s="65">
        <f t="shared" si="16"/>
        <v>1</v>
      </c>
      <c r="H56" s="65">
        <f t="shared" si="16"/>
        <v>1</v>
      </c>
      <c r="I56" s="65">
        <f t="shared" si="16"/>
        <v>1</v>
      </c>
      <c r="J56" s="65">
        <f t="shared" si="16"/>
        <v>1</v>
      </c>
      <c r="K56" s="65">
        <f t="shared" si="16"/>
        <v>1</v>
      </c>
      <c r="L56" s="65">
        <f t="shared" si="16"/>
        <v>1</v>
      </c>
      <c r="M56" s="65">
        <f t="shared" si="16"/>
        <v>1</v>
      </c>
      <c r="N56" s="65">
        <f t="shared" si="16"/>
        <v>1</v>
      </c>
      <c r="O56" s="65">
        <f t="shared" si="16"/>
        <v>1</v>
      </c>
      <c r="P56" s="65">
        <f t="shared" si="16"/>
        <v>1</v>
      </c>
      <c r="Q56" s="65">
        <f t="shared" si="16"/>
        <v>1</v>
      </c>
      <c r="R56" s="65">
        <f t="shared" si="16"/>
        <v>1</v>
      </c>
      <c r="S56" s="65">
        <f t="shared" si="16"/>
        <v>1</v>
      </c>
      <c r="T56" s="65">
        <f t="shared" si="16"/>
        <v>1</v>
      </c>
      <c r="U56" s="65">
        <f t="shared" si="16"/>
        <v>1</v>
      </c>
      <c r="V56" s="65">
        <f t="shared" si="16"/>
        <v>1</v>
      </c>
      <c r="W56" s="65">
        <f t="shared" ref="W56:Y56" si="17">IF(W10=0,0,W10/W$10)</f>
        <v>1</v>
      </c>
      <c r="X56" s="65">
        <f t="shared" si="17"/>
        <v>1</v>
      </c>
      <c r="Y56" s="65">
        <f t="shared" si="17"/>
        <v>1</v>
      </c>
      <c r="DA56" s="172"/>
    </row>
    <row r="57" spans="1:105" ht="11.45" customHeight="1" x14ac:dyDescent="0.25">
      <c r="A57" s="27" t="s">
        <v>33</v>
      </c>
      <c r="B57" s="31">
        <f t="shared" si="15"/>
        <v>0.70894470004205734</v>
      </c>
      <c r="C57" s="31">
        <f t="shared" ref="C57:V57" si="18">IF(C11=0,0,C11/C$10)</f>
        <v>0.69999590218552499</v>
      </c>
      <c r="D57" s="31">
        <f t="shared" si="18"/>
        <v>0.72358110490813132</v>
      </c>
      <c r="E57" s="31">
        <f t="shared" si="18"/>
        <v>0.77294829497113637</v>
      </c>
      <c r="F57" s="31">
        <f t="shared" si="18"/>
        <v>0.80281587371740515</v>
      </c>
      <c r="G57" s="31">
        <f t="shared" si="18"/>
        <v>0.82676119431181405</v>
      </c>
      <c r="H57" s="31">
        <f t="shared" si="18"/>
        <v>0.79440499707920487</v>
      </c>
      <c r="I57" s="31">
        <f t="shared" si="18"/>
        <v>0.75880423799040086</v>
      </c>
      <c r="J57" s="31">
        <f t="shared" si="18"/>
        <v>0.75883545214318304</v>
      </c>
      <c r="K57" s="31">
        <f t="shared" si="18"/>
        <v>0.76156882775154666</v>
      </c>
      <c r="L57" s="31">
        <f t="shared" si="18"/>
        <v>0.72733458992236844</v>
      </c>
      <c r="M57" s="31">
        <f t="shared" si="18"/>
        <v>0.82218705728154751</v>
      </c>
      <c r="N57" s="31">
        <f t="shared" si="18"/>
        <v>0.8299420051170977</v>
      </c>
      <c r="O57" s="31">
        <f t="shared" si="18"/>
        <v>0.84833209220999151</v>
      </c>
      <c r="P57" s="31">
        <f t="shared" si="18"/>
        <v>0.84108585781930734</v>
      </c>
      <c r="Q57" s="31">
        <f t="shared" si="18"/>
        <v>0.84994955026034835</v>
      </c>
      <c r="R57" s="31">
        <f t="shared" si="18"/>
        <v>0.87314986494859681</v>
      </c>
      <c r="S57" s="31">
        <f t="shared" si="18"/>
        <v>0.83725906681559226</v>
      </c>
      <c r="T57" s="31">
        <f t="shared" si="18"/>
        <v>0.83042547670063505</v>
      </c>
      <c r="U57" s="31">
        <f t="shared" si="18"/>
        <v>0.81085255809368462</v>
      </c>
      <c r="V57" s="31">
        <f t="shared" si="18"/>
        <v>0.75230057454810262</v>
      </c>
      <c r="W57" s="31">
        <f t="shared" ref="W57:Y57" si="19">IF(W11=0,0,W11/W$10)</f>
        <v>0.8340132579483287</v>
      </c>
      <c r="X57" s="31">
        <f t="shared" si="19"/>
        <v>0.84693390859974149</v>
      </c>
      <c r="Y57" s="31">
        <f t="shared" si="19"/>
        <v>0.86724353822490685</v>
      </c>
      <c r="DA57" s="173"/>
    </row>
    <row r="58" spans="1:105" ht="11.45" customHeight="1" x14ac:dyDescent="0.25">
      <c r="A58" s="107" t="s">
        <v>23</v>
      </c>
      <c r="B58" s="123">
        <f t="shared" si="15"/>
        <v>4.0768906678505204E-2</v>
      </c>
      <c r="C58" s="123">
        <f t="shared" ref="C58:V58" si="20">IF(C12=0,0,C12/C$10)</f>
        <v>3.8145414130644303E-2</v>
      </c>
      <c r="D58" s="123">
        <f t="shared" si="20"/>
        <v>3.733842139876991E-2</v>
      </c>
      <c r="E58" s="123">
        <f t="shared" si="20"/>
        <v>3.6784712718775987E-2</v>
      </c>
      <c r="F58" s="123">
        <f t="shared" si="20"/>
        <v>3.3741439865287243E-2</v>
      </c>
      <c r="G58" s="123">
        <f t="shared" si="20"/>
        <v>3.0538755368051992E-2</v>
      </c>
      <c r="H58" s="123">
        <f t="shared" si="20"/>
        <v>3.7948637885071489E-2</v>
      </c>
      <c r="I58" s="123">
        <f t="shared" si="20"/>
        <v>3.2999437051922563E-2</v>
      </c>
      <c r="J58" s="123">
        <f t="shared" si="20"/>
        <v>3.2907420765594012E-2</v>
      </c>
      <c r="K58" s="123">
        <f t="shared" si="20"/>
        <v>3.6188765567357485E-2</v>
      </c>
      <c r="L58" s="123">
        <f t="shared" si="20"/>
        <v>4.2161572144182084E-2</v>
      </c>
      <c r="M58" s="123">
        <f t="shared" si="20"/>
        <v>4.3843472903859752E-2</v>
      </c>
      <c r="N58" s="123">
        <f t="shared" si="20"/>
        <v>4.0150588511424362E-2</v>
      </c>
      <c r="O58" s="123">
        <f t="shared" si="20"/>
        <v>8.4451538850484106E-2</v>
      </c>
      <c r="P58" s="123">
        <f t="shared" si="20"/>
        <v>8.2848213408541496E-2</v>
      </c>
      <c r="Q58" s="123">
        <f t="shared" si="20"/>
        <v>7.809603348201323E-2</v>
      </c>
      <c r="R58" s="123">
        <f t="shared" si="20"/>
        <v>8.232888022851069E-2</v>
      </c>
      <c r="S58" s="123">
        <f t="shared" si="20"/>
        <v>8.2908026167261631E-2</v>
      </c>
      <c r="T58" s="123">
        <f t="shared" si="20"/>
        <v>9.2124105254934113E-2</v>
      </c>
      <c r="U58" s="123">
        <f t="shared" si="20"/>
        <v>9.3464045029217305E-2</v>
      </c>
      <c r="V58" s="123">
        <f t="shared" si="20"/>
        <v>8.6553457218333393E-2</v>
      </c>
      <c r="W58" s="123">
        <f t="shared" ref="W58:Y58" si="21">IF(W12=0,0,W12/W$10)</f>
        <v>8.1611933020221572E-2</v>
      </c>
      <c r="X58" s="123">
        <f t="shared" si="21"/>
        <v>9.2307151342468627E-2</v>
      </c>
      <c r="Y58" s="123">
        <f t="shared" si="21"/>
        <v>9.2296168389383537E-2</v>
      </c>
      <c r="DA58" s="203"/>
    </row>
    <row r="59" spans="1:105" ht="11.45" customHeight="1" x14ac:dyDescent="0.25">
      <c r="A59" s="109" t="s">
        <v>24</v>
      </c>
      <c r="B59" s="124">
        <f t="shared" si="15"/>
        <v>0.63225955976197201</v>
      </c>
      <c r="C59" s="124">
        <f t="shared" ref="C59:V59" si="22">IF(C13=0,0,C13/C$10)</f>
        <v>0.62705280506093786</v>
      </c>
      <c r="D59" s="124">
        <f t="shared" si="22"/>
        <v>0.64926642984215599</v>
      </c>
      <c r="E59" s="124">
        <f t="shared" si="22"/>
        <v>0.70576033419645878</v>
      </c>
      <c r="F59" s="124">
        <f t="shared" si="22"/>
        <v>0.7403619355284019</v>
      </c>
      <c r="G59" s="124">
        <f t="shared" si="22"/>
        <v>0.76807140279303665</v>
      </c>
      <c r="H59" s="124">
        <f t="shared" si="22"/>
        <v>0.71759127054306415</v>
      </c>
      <c r="I59" s="124">
        <f t="shared" si="22"/>
        <v>0.69285447496433761</v>
      </c>
      <c r="J59" s="124">
        <f t="shared" si="22"/>
        <v>0.65880637759264693</v>
      </c>
      <c r="K59" s="124">
        <f t="shared" si="22"/>
        <v>0.56232458729454537</v>
      </c>
      <c r="L59" s="124">
        <f t="shared" si="22"/>
        <v>0.52234499860467809</v>
      </c>
      <c r="M59" s="124">
        <f t="shared" si="22"/>
        <v>0.61446727597960138</v>
      </c>
      <c r="N59" s="124">
        <f t="shared" si="22"/>
        <v>0.64151377070036608</v>
      </c>
      <c r="O59" s="124">
        <f t="shared" si="22"/>
        <v>0.41297993996202881</v>
      </c>
      <c r="P59" s="124">
        <f t="shared" si="22"/>
        <v>0.4268266526925395</v>
      </c>
      <c r="Q59" s="124">
        <f t="shared" si="22"/>
        <v>0.46210695485677916</v>
      </c>
      <c r="R59" s="124">
        <f t="shared" si="22"/>
        <v>0.46981169609330486</v>
      </c>
      <c r="S59" s="124">
        <f t="shared" si="22"/>
        <v>0.42147111586859454</v>
      </c>
      <c r="T59" s="124">
        <f t="shared" si="22"/>
        <v>0.40611096838668564</v>
      </c>
      <c r="U59" s="124">
        <f t="shared" si="22"/>
        <v>0.37755763150421523</v>
      </c>
      <c r="V59" s="124">
        <f t="shared" si="22"/>
        <v>0.46516851578467705</v>
      </c>
      <c r="W59" s="124">
        <f t="shared" ref="W59:Y59" si="23">IF(W13=0,0,W13/W$10)</f>
        <v>0.54623578930112626</v>
      </c>
      <c r="X59" s="124">
        <f t="shared" si="23"/>
        <v>0.54950447711441575</v>
      </c>
      <c r="Y59" s="124">
        <f t="shared" si="23"/>
        <v>0.58900235210813268</v>
      </c>
      <c r="DA59" s="176"/>
    </row>
    <row r="60" spans="1:105" ht="11.45" customHeight="1" x14ac:dyDescent="0.25">
      <c r="A60" s="111" t="s">
        <v>92</v>
      </c>
      <c r="B60" s="125">
        <f t="shared" si="15"/>
        <v>0.45726594026742051</v>
      </c>
      <c r="C60" s="125">
        <f t="shared" ref="C60:V60" si="24">IF(C14=0,0,C14/C$10)</f>
        <v>0.44167722325449815</v>
      </c>
      <c r="D60" s="125">
        <f t="shared" si="24"/>
        <v>0.4462644679392665</v>
      </c>
      <c r="E60" s="125">
        <f t="shared" si="24"/>
        <v>0.50719658946851454</v>
      </c>
      <c r="F60" s="125">
        <f t="shared" si="24"/>
        <v>0.55404185262265038</v>
      </c>
      <c r="G60" s="125">
        <f t="shared" si="24"/>
        <v>0.57381022365257683</v>
      </c>
      <c r="H60" s="125">
        <f t="shared" si="24"/>
        <v>0.57775729622414329</v>
      </c>
      <c r="I60" s="125">
        <f t="shared" si="24"/>
        <v>0.55899220256281645</v>
      </c>
      <c r="J60" s="125">
        <f t="shared" si="24"/>
        <v>0.52705978700861511</v>
      </c>
      <c r="K60" s="125">
        <f t="shared" si="24"/>
        <v>0.48434309665372183</v>
      </c>
      <c r="L60" s="125">
        <f t="shared" si="24"/>
        <v>0.44763909717499434</v>
      </c>
      <c r="M60" s="125">
        <f t="shared" si="24"/>
        <v>0.47207507683035227</v>
      </c>
      <c r="N60" s="125">
        <f t="shared" si="24"/>
        <v>0.50127833924297527</v>
      </c>
      <c r="O60" s="125">
        <f t="shared" si="24"/>
        <v>0.12868235715621451</v>
      </c>
      <c r="P60" s="125">
        <f t="shared" si="24"/>
        <v>0.12064292930033264</v>
      </c>
      <c r="Q60" s="125">
        <f t="shared" si="24"/>
        <v>0.15427388568303116</v>
      </c>
      <c r="R60" s="125">
        <f t="shared" si="24"/>
        <v>0.15415890296250365</v>
      </c>
      <c r="S60" s="125">
        <f t="shared" si="24"/>
        <v>0.10683686187758953</v>
      </c>
      <c r="T60" s="125">
        <f t="shared" si="24"/>
        <v>9.9806029421983355E-2</v>
      </c>
      <c r="U60" s="125">
        <f t="shared" si="24"/>
        <v>8.9776692948813491E-2</v>
      </c>
      <c r="V60" s="125">
        <f t="shared" si="24"/>
        <v>7.1691365730232784E-2</v>
      </c>
      <c r="W60" s="125">
        <f t="shared" ref="W60:Y60" si="25">IF(W14=0,0,W14/W$10)</f>
        <v>0.10531767468318463</v>
      </c>
      <c r="X60" s="125">
        <f t="shared" si="25"/>
        <v>9.3817913292844182E-2</v>
      </c>
      <c r="Y60" s="125">
        <f t="shared" si="25"/>
        <v>8.7501054632621394E-2</v>
      </c>
      <c r="DA60" s="171"/>
    </row>
    <row r="61" spans="1:105" ht="11.45" customHeight="1" x14ac:dyDescent="0.25">
      <c r="A61" s="111" t="s">
        <v>93</v>
      </c>
      <c r="B61" s="125">
        <f t="shared" si="15"/>
        <v>0.1749936194945515</v>
      </c>
      <c r="C61" s="125">
        <f t="shared" ref="C61:V61" si="26">IF(C15=0,0,C15/C$10)</f>
        <v>0.18537558180643979</v>
      </c>
      <c r="D61" s="125">
        <f t="shared" si="26"/>
        <v>0.20300196190288952</v>
      </c>
      <c r="E61" s="125">
        <f t="shared" si="26"/>
        <v>0.1985637447279443</v>
      </c>
      <c r="F61" s="125">
        <f t="shared" si="26"/>
        <v>0.18632008290575147</v>
      </c>
      <c r="G61" s="125">
        <f t="shared" si="26"/>
        <v>0.19426117914045979</v>
      </c>
      <c r="H61" s="125">
        <f t="shared" si="26"/>
        <v>0.13983397431892089</v>
      </c>
      <c r="I61" s="125">
        <f t="shared" si="26"/>
        <v>0.13386227240152113</v>
      </c>
      <c r="J61" s="125">
        <f t="shared" si="26"/>
        <v>0.13174659058403174</v>
      </c>
      <c r="K61" s="125">
        <f t="shared" si="26"/>
        <v>7.7981490640823478E-2</v>
      </c>
      <c r="L61" s="125">
        <f t="shared" si="26"/>
        <v>7.4705901429683766E-2</v>
      </c>
      <c r="M61" s="125">
        <f t="shared" si="26"/>
        <v>0.14239219914924905</v>
      </c>
      <c r="N61" s="125">
        <f t="shared" si="26"/>
        <v>0.1402354314573909</v>
      </c>
      <c r="O61" s="125">
        <f t="shared" si="26"/>
        <v>0.2842975828058143</v>
      </c>
      <c r="P61" s="125">
        <f t="shared" si="26"/>
        <v>0.3061837233922069</v>
      </c>
      <c r="Q61" s="125">
        <f t="shared" si="26"/>
        <v>0.30783306917374803</v>
      </c>
      <c r="R61" s="125">
        <f t="shared" si="26"/>
        <v>0.31565279313080119</v>
      </c>
      <c r="S61" s="125">
        <f t="shared" si="26"/>
        <v>0.31463425399100503</v>
      </c>
      <c r="T61" s="125">
        <f t="shared" si="26"/>
        <v>0.30630493896470229</v>
      </c>
      <c r="U61" s="125">
        <f t="shared" si="26"/>
        <v>0.28778093855540171</v>
      </c>
      <c r="V61" s="125">
        <f t="shared" si="26"/>
        <v>0.39347715005444434</v>
      </c>
      <c r="W61" s="125">
        <f t="shared" ref="W61:Y61" si="27">IF(W15=0,0,W15/W$10)</f>
        <v>0.44091811461794167</v>
      </c>
      <c r="X61" s="125">
        <f t="shared" si="27"/>
        <v>0.45568656382157158</v>
      </c>
      <c r="Y61" s="125">
        <f t="shared" si="27"/>
        <v>0.50150129747551131</v>
      </c>
      <c r="DA61" s="171"/>
    </row>
    <row r="62" spans="1:105" ht="11.45" customHeight="1" x14ac:dyDescent="0.25">
      <c r="A62" s="112" t="s">
        <v>25</v>
      </c>
      <c r="B62" s="126">
        <f t="shared" si="15"/>
        <v>3.5916233601580104E-2</v>
      </c>
      <c r="C62" s="126">
        <f t="shared" ref="C62:V62" si="28">IF(C16=0,0,C16/C$10)</f>
        <v>3.4797682993942758E-2</v>
      </c>
      <c r="D62" s="126">
        <f t="shared" si="28"/>
        <v>3.6976253667205285E-2</v>
      </c>
      <c r="E62" s="126">
        <f t="shared" si="28"/>
        <v>3.0403248055901604E-2</v>
      </c>
      <c r="F62" s="126">
        <f t="shared" si="28"/>
        <v>2.8712498323716019E-2</v>
      </c>
      <c r="G62" s="126">
        <f t="shared" si="28"/>
        <v>2.8151036150725388E-2</v>
      </c>
      <c r="H62" s="126">
        <f t="shared" si="28"/>
        <v>3.8865088651069232E-2</v>
      </c>
      <c r="I62" s="126">
        <f t="shared" si="28"/>
        <v>3.2950325974140666E-2</v>
      </c>
      <c r="J62" s="126">
        <f t="shared" si="28"/>
        <v>6.7121653784942156E-2</v>
      </c>
      <c r="K62" s="126">
        <f t="shared" si="28"/>
        <v>0.16305547488964392</v>
      </c>
      <c r="L62" s="126">
        <f t="shared" si="28"/>
        <v>0.16282801917350831</v>
      </c>
      <c r="M62" s="126">
        <f t="shared" si="28"/>
        <v>0.16387630839808645</v>
      </c>
      <c r="N62" s="126">
        <f t="shared" si="28"/>
        <v>0.14827764590530729</v>
      </c>
      <c r="O62" s="126">
        <f t="shared" si="28"/>
        <v>0.35090061339747858</v>
      </c>
      <c r="P62" s="126">
        <f t="shared" si="28"/>
        <v>0.33141099171822641</v>
      </c>
      <c r="Q62" s="126">
        <f t="shared" si="28"/>
        <v>0.30974656192155592</v>
      </c>
      <c r="R62" s="126">
        <f t="shared" si="28"/>
        <v>0.32100928862678113</v>
      </c>
      <c r="S62" s="126">
        <f t="shared" si="28"/>
        <v>0.3328799247797361</v>
      </c>
      <c r="T62" s="126">
        <f t="shared" si="28"/>
        <v>0.3321904030590152</v>
      </c>
      <c r="U62" s="126">
        <f t="shared" si="28"/>
        <v>0.33983088156025221</v>
      </c>
      <c r="V62" s="126">
        <f t="shared" si="28"/>
        <v>0.20057860154509222</v>
      </c>
      <c r="W62" s="126">
        <f t="shared" ref="W62:Y62" si="29">IF(W16=0,0,W16/W$10)</f>
        <v>0.20616553562698089</v>
      </c>
      <c r="X62" s="126">
        <f t="shared" si="29"/>
        <v>0.20512228014285705</v>
      </c>
      <c r="Y62" s="126">
        <f t="shared" si="29"/>
        <v>0.18594501772739055</v>
      </c>
      <c r="DA62" s="204"/>
    </row>
    <row r="63" spans="1:105" ht="11.45" customHeight="1" x14ac:dyDescent="0.25">
      <c r="A63" s="27" t="s">
        <v>34</v>
      </c>
      <c r="B63" s="31">
        <f t="shared" si="15"/>
        <v>0.2910552999579426</v>
      </c>
      <c r="C63" s="31">
        <f t="shared" ref="C63:V63" si="30">IF(C17=0,0,C17/C$10)</f>
        <v>0.30000409781447507</v>
      </c>
      <c r="D63" s="31">
        <f t="shared" si="30"/>
        <v>0.27641889509186879</v>
      </c>
      <c r="E63" s="31">
        <f t="shared" si="30"/>
        <v>0.22705170502886365</v>
      </c>
      <c r="F63" s="31">
        <f t="shared" si="30"/>
        <v>0.19718412628259482</v>
      </c>
      <c r="G63" s="31">
        <f t="shared" si="30"/>
        <v>0.17323880568818598</v>
      </c>
      <c r="H63" s="31">
        <f t="shared" si="30"/>
        <v>0.20559500292079522</v>
      </c>
      <c r="I63" s="31">
        <f t="shared" si="30"/>
        <v>0.24119576200959908</v>
      </c>
      <c r="J63" s="31">
        <f t="shared" si="30"/>
        <v>0.24116454785681696</v>
      </c>
      <c r="K63" s="31">
        <f t="shared" si="30"/>
        <v>0.23843117224845337</v>
      </c>
      <c r="L63" s="31">
        <f t="shared" si="30"/>
        <v>0.27266541007763156</v>
      </c>
      <c r="M63" s="31">
        <f t="shared" si="30"/>
        <v>0.17781294271845247</v>
      </c>
      <c r="N63" s="31">
        <f t="shared" si="30"/>
        <v>0.17005799488290235</v>
      </c>
      <c r="O63" s="31">
        <f t="shared" si="30"/>
        <v>0.15166790779000847</v>
      </c>
      <c r="P63" s="31">
        <f t="shared" si="30"/>
        <v>0.15891414218069275</v>
      </c>
      <c r="Q63" s="31">
        <f t="shared" si="30"/>
        <v>0.15005044973965173</v>
      </c>
      <c r="R63" s="31">
        <f t="shared" si="30"/>
        <v>0.12685013505140327</v>
      </c>
      <c r="S63" s="31">
        <f t="shared" si="30"/>
        <v>0.16274093318440772</v>
      </c>
      <c r="T63" s="31">
        <f t="shared" si="30"/>
        <v>0.16957452329936487</v>
      </c>
      <c r="U63" s="31">
        <f t="shared" si="30"/>
        <v>0.1891474419063153</v>
      </c>
      <c r="V63" s="31">
        <f t="shared" si="30"/>
        <v>0.24769942545189738</v>
      </c>
      <c r="W63" s="31">
        <f t="shared" ref="W63:Y63" si="31">IF(W17=0,0,W17/W$10)</f>
        <v>0.16598674205167135</v>
      </c>
      <c r="X63" s="31">
        <f t="shared" si="31"/>
        <v>0.15306609140025845</v>
      </c>
      <c r="Y63" s="31">
        <f t="shared" si="31"/>
        <v>0.13275646177509318</v>
      </c>
      <c r="DA63" s="173"/>
    </row>
    <row r="64" spans="1:105" ht="11.45" customHeight="1" x14ac:dyDescent="0.25">
      <c r="A64" s="83" t="s">
        <v>92</v>
      </c>
      <c r="B64" s="125">
        <f t="shared" si="15"/>
        <v>0.24363527214351804</v>
      </c>
      <c r="C64" s="125">
        <f t="shared" ref="C64:V64" si="32">IF(C18=0,0,C18/C$10)</f>
        <v>0.24456088861597808</v>
      </c>
      <c r="D64" s="125">
        <f t="shared" si="32"/>
        <v>0.21183244503518253</v>
      </c>
      <c r="E64" s="125">
        <f t="shared" si="32"/>
        <v>0.16128841388447743</v>
      </c>
      <c r="F64" s="125">
        <f t="shared" si="32"/>
        <v>0.13858775214129265</v>
      </c>
      <c r="G64" s="125">
        <f t="shared" si="32"/>
        <v>0.12158285523110712</v>
      </c>
      <c r="H64" s="125">
        <f t="shared" si="32"/>
        <v>0.1747973358515241</v>
      </c>
      <c r="I64" s="125">
        <f t="shared" si="32"/>
        <v>0.2048010327364444</v>
      </c>
      <c r="J64" s="125">
        <f t="shared" si="32"/>
        <v>0.21129675008403673</v>
      </c>
      <c r="K64" s="125">
        <f t="shared" si="32"/>
        <v>0.23034627226927898</v>
      </c>
      <c r="L64" s="125">
        <f t="shared" si="32"/>
        <v>0.25990558132288022</v>
      </c>
      <c r="M64" s="125">
        <f t="shared" si="32"/>
        <v>0.14821547980902863</v>
      </c>
      <c r="N64" s="125">
        <f t="shared" si="32"/>
        <v>0.14693737183155736</v>
      </c>
      <c r="O64" s="125">
        <f t="shared" si="32"/>
        <v>8.1775463560167891E-2</v>
      </c>
      <c r="P64" s="125">
        <f t="shared" si="32"/>
        <v>8.4134035695127493E-2</v>
      </c>
      <c r="Q64" s="125">
        <f t="shared" si="32"/>
        <v>6.4459811318516039E-2</v>
      </c>
      <c r="R64" s="125">
        <f t="shared" si="32"/>
        <v>5.1931702693697103E-2</v>
      </c>
      <c r="S64" s="125">
        <f t="shared" si="32"/>
        <v>9.4383426733268896E-2</v>
      </c>
      <c r="T64" s="125">
        <f t="shared" si="32"/>
        <v>0.10588076485939747</v>
      </c>
      <c r="U64" s="125">
        <f t="shared" si="32"/>
        <v>0.12790808599144976</v>
      </c>
      <c r="V64" s="125">
        <f t="shared" si="32"/>
        <v>0.12262239749727682</v>
      </c>
      <c r="W64" s="125">
        <f t="shared" ref="W64:Y64" si="33">IF(W18=0,0,W18/W$10)</f>
        <v>6.683246961415501E-2</v>
      </c>
      <c r="X64" s="125">
        <f t="shared" si="33"/>
        <v>6.6700317071258244E-2</v>
      </c>
      <c r="Y64" s="125">
        <f t="shared" si="33"/>
        <v>5.4252439754760851E-2</v>
      </c>
      <c r="DA64" s="171"/>
    </row>
    <row r="65" spans="1:105" ht="11.45" customHeight="1" x14ac:dyDescent="0.25">
      <c r="A65" s="85" t="s">
        <v>93</v>
      </c>
      <c r="B65" s="127">
        <f t="shared" si="15"/>
        <v>4.7420027814424566E-2</v>
      </c>
      <c r="C65" s="127">
        <f t="shared" ref="C65:V65" si="34">IF(C19=0,0,C19/C$10)</f>
        <v>5.5443209198496997E-2</v>
      </c>
      <c r="D65" s="127">
        <f t="shared" si="34"/>
        <v>6.4586450056686229E-2</v>
      </c>
      <c r="E65" s="127">
        <f t="shared" si="34"/>
        <v>6.5763291144386227E-2</v>
      </c>
      <c r="F65" s="127">
        <f t="shared" si="34"/>
        <v>5.8596374141302157E-2</v>
      </c>
      <c r="G65" s="127">
        <f t="shared" si="34"/>
        <v>5.1655950457078853E-2</v>
      </c>
      <c r="H65" s="127">
        <f t="shared" si="34"/>
        <v>3.07976670692711E-2</v>
      </c>
      <c r="I65" s="127">
        <f t="shared" si="34"/>
        <v>3.639472927315468E-2</v>
      </c>
      <c r="J65" s="127">
        <f t="shared" si="34"/>
        <v>2.9867797772780195E-2</v>
      </c>
      <c r="K65" s="127">
        <f t="shared" si="34"/>
        <v>8.0848999791743661E-3</v>
      </c>
      <c r="L65" s="127">
        <f t="shared" si="34"/>
        <v>1.2759828754751297E-2</v>
      </c>
      <c r="M65" s="127">
        <f t="shared" si="34"/>
        <v>2.9597462909423815E-2</v>
      </c>
      <c r="N65" s="127">
        <f t="shared" si="34"/>
        <v>2.3120623051344998E-2</v>
      </c>
      <c r="O65" s="127">
        <f t="shared" si="34"/>
        <v>6.9892444229840575E-2</v>
      </c>
      <c r="P65" s="127">
        <f t="shared" si="34"/>
        <v>7.4780106485565254E-2</v>
      </c>
      <c r="Q65" s="127">
        <f t="shared" si="34"/>
        <v>8.5590638421135692E-2</v>
      </c>
      <c r="R65" s="127">
        <f t="shared" si="34"/>
        <v>7.4918432357706177E-2</v>
      </c>
      <c r="S65" s="127">
        <f t="shared" si="34"/>
        <v>6.8357506451138833E-2</v>
      </c>
      <c r="T65" s="127">
        <f t="shared" si="34"/>
        <v>6.3693758439967385E-2</v>
      </c>
      <c r="U65" s="127">
        <f t="shared" si="34"/>
        <v>6.1239355914865526E-2</v>
      </c>
      <c r="V65" s="127">
        <f t="shared" si="34"/>
        <v>0.12507702795462056</v>
      </c>
      <c r="W65" s="127">
        <f t="shared" ref="W65:Y65" si="35">IF(W19=0,0,W19/W$10)</f>
        <v>9.9154272437516344E-2</v>
      </c>
      <c r="X65" s="127">
        <f t="shared" si="35"/>
        <v>8.6365774329000222E-2</v>
      </c>
      <c r="Y65" s="127">
        <f t="shared" si="35"/>
        <v>7.8504022020332326E-2</v>
      </c>
      <c r="DA65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Y5 B13:Y13" formulaRange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DA68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1136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DA2" s="171"/>
    </row>
    <row r="3" spans="1:105" ht="11.45" customHeight="1" x14ac:dyDescent="0.25">
      <c r="A3" s="53" t="s">
        <v>44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X3" s="132"/>
      <c r="Y3" s="132"/>
      <c r="DA3" s="172"/>
    </row>
    <row r="4" spans="1:105" ht="11.45" customHeight="1" x14ac:dyDescent="0.25">
      <c r="A4" s="20" t="s">
        <v>45</v>
      </c>
      <c r="B4" s="26">
        <f>SUM(B5:B6)</f>
        <v>1542.1691703599997</v>
      </c>
      <c r="C4" s="26">
        <f t="shared" ref="C4:W4" si="0">SUM(C5:C6)</f>
        <v>1644.1307110799999</v>
      </c>
      <c r="D4" s="26">
        <f t="shared" si="0"/>
        <v>1612.2678296400002</v>
      </c>
      <c r="E4" s="26">
        <f t="shared" si="0"/>
        <v>1790.7006592800001</v>
      </c>
      <c r="F4" s="26">
        <f t="shared" si="0"/>
        <v>2045.6045110799998</v>
      </c>
      <c r="G4" s="26">
        <f t="shared" si="0"/>
        <v>2224.03734072</v>
      </c>
      <c r="H4" s="26">
        <f t="shared" si="0"/>
        <v>1975.50611856</v>
      </c>
      <c r="I4" s="26">
        <f t="shared" si="0"/>
        <v>2341.93058892</v>
      </c>
      <c r="J4" s="26">
        <f t="shared" si="0"/>
        <v>2246.3414110799999</v>
      </c>
      <c r="K4" s="26">
        <f t="shared" si="0"/>
        <v>1911.78008892</v>
      </c>
      <c r="L4" s="26">
        <f t="shared" si="0"/>
        <v>1975.50611856</v>
      </c>
      <c r="M4" s="26">
        <f t="shared" si="0"/>
        <v>1625.0130889200002</v>
      </c>
      <c r="N4" s="26">
        <f t="shared" si="0"/>
        <v>1790.7006592800001</v>
      </c>
      <c r="O4" s="26">
        <f t="shared" si="0"/>
        <v>251.71767036</v>
      </c>
      <c r="P4" s="26">
        <f t="shared" si="0"/>
        <v>248.53148892000002</v>
      </c>
      <c r="Q4" s="26">
        <f t="shared" si="0"/>
        <v>274.02174071999997</v>
      </c>
      <c r="R4" s="26">
        <f t="shared" si="0"/>
        <v>248.53148892000002</v>
      </c>
      <c r="S4" s="26">
        <f t="shared" si="0"/>
        <v>245.34504071999999</v>
      </c>
      <c r="T4" s="26">
        <f t="shared" si="0"/>
        <v>251.71767036</v>
      </c>
      <c r="U4" s="26">
        <f t="shared" si="0"/>
        <v>258.09030000000001</v>
      </c>
      <c r="V4" s="26">
        <f t="shared" si="0"/>
        <v>187.99164071999999</v>
      </c>
      <c r="W4" s="26">
        <f t="shared" si="0"/>
        <v>171.29860020000001</v>
      </c>
      <c r="X4" s="26">
        <f t="shared" ref="X4:Y4" si="1">SUM(X5:X6)</f>
        <v>164.55010572</v>
      </c>
      <c r="Y4" s="26">
        <f t="shared" si="1"/>
        <v>146.01855528000002</v>
      </c>
      <c r="DA4" s="202" t="s">
        <v>1137</v>
      </c>
    </row>
    <row r="5" spans="1:105" ht="11.45" customHeight="1" x14ac:dyDescent="0.25">
      <c r="A5" s="107" t="s">
        <v>92</v>
      </c>
      <c r="B5" s="129">
        <v>1542.1691703599997</v>
      </c>
      <c r="C5" s="129">
        <v>1644.1307110799999</v>
      </c>
      <c r="D5" s="129">
        <v>1612.2678296400002</v>
      </c>
      <c r="E5" s="129">
        <v>1790.7006592800001</v>
      </c>
      <c r="F5" s="129">
        <v>2045.6045110799998</v>
      </c>
      <c r="G5" s="129">
        <v>2224.03734072</v>
      </c>
      <c r="H5" s="129">
        <v>1975.50611856</v>
      </c>
      <c r="I5" s="129">
        <v>2341.93058892</v>
      </c>
      <c r="J5" s="129">
        <v>2246.3414110799999</v>
      </c>
      <c r="K5" s="129">
        <v>1911.78008892</v>
      </c>
      <c r="L5" s="129">
        <v>1975.50611856</v>
      </c>
      <c r="M5" s="129">
        <v>1625.0130889200002</v>
      </c>
      <c r="N5" s="129">
        <v>1790.7006592800001</v>
      </c>
      <c r="O5" s="129">
        <v>251.71767036</v>
      </c>
      <c r="P5" s="129">
        <v>248.53148892000002</v>
      </c>
      <c r="Q5" s="129">
        <v>274.02174071999997</v>
      </c>
      <c r="R5" s="129">
        <v>248.53148892000002</v>
      </c>
      <c r="S5" s="129">
        <v>245.34504071999999</v>
      </c>
      <c r="T5" s="129">
        <v>251.71767036</v>
      </c>
      <c r="U5" s="129">
        <v>258.09030000000001</v>
      </c>
      <c r="V5" s="129">
        <v>187.99164071999999</v>
      </c>
      <c r="W5" s="129">
        <v>171.29860020000001</v>
      </c>
      <c r="X5" s="129">
        <v>164.55010572</v>
      </c>
      <c r="Y5" s="129">
        <v>146.01855528000002</v>
      </c>
      <c r="DA5" s="203" t="s">
        <v>1138</v>
      </c>
    </row>
    <row r="6" spans="1:105" ht="11.45" customHeight="1" x14ac:dyDescent="0.25">
      <c r="A6" s="85" t="s">
        <v>91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X6" s="98">
        <v>0</v>
      </c>
      <c r="Y6" s="98">
        <v>0</v>
      </c>
      <c r="DA6" s="178" t="s">
        <v>1139</v>
      </c>
    </row>
    <row r="7" spans="1:105" x14ac:dyDescent="0.25">
      <c r="A7" s="106"/>
      <c r="B7" s="106"/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  <c r="P7" s="106"/>
      <c r="Q7" s="106"/>
      <c r="R7" s="106"/>
      <c r="S7" s="106"/>
      <c r="T7" s="106"/>
      <c r="U7" s="106"/>
      <c r="V7" s="106"/>
      <c r="W7" s="106"/>
      <c r="X7" s="106"/>
      <c r="Y7" s="106"/>
      <c r="DA7" s="171"/>
    </row>
    <row r="8" spans="1:105" ht="11.45" customHeight="1" x14ac:dyDescent="0.25">
      <c r="A8" s="53" t="s">
        <v>47</v>
      </c>
      <c r="B8" s="79">
        <f t="shared" ref="B8:W8" si="2">SUM(B9,B15)</f>
        <v>1542.1691703599995</v>
      </c>
      <c r="C8" s="79">
        <f t="shared" si="2"/>
        <v>1644.1307110799999</v>
      </c>
      <c r="D8" s="79">
        <f t="shared" si="2"/>
        <v>1612.2678296400002</v>
      </c>
      <c r="E8" s="79">
        <f t="shared" si="2"/>
        <v>1790.7006592800003</v>
      </c>
      <c r="F8" s="79">
        <f t="shared" si="2"/>
        <v>2045.6045110800001</v>
      </c>
      <c r="G8" s="79">
        <f t="shared" si="2"/>
        <v>2224.03734072</v>
      </c>
      <c r="H8" s="79">
        <f t="shared" si="2"/>
        <v>1975.50611856</v>
      </c>
      <c r="I8" s="79">
        <f t="shared" si="2"/>
        <v>2341.9305889200004</v>
      </c>
      <c r="J8" s="79">
        <f t="shared" si="2"/>
        <v>2246.3414110799999</v>
      </c>
      <c r="K8" s="79">
        <f t="shared" si="2"/>
        <v>1911.78008892</v>
      </c>
      <c r="L8" s="79">
        <f t="shared" si="2"/>
        <v>1975.50611856</v>
      </c>
      <c r="M8" s="79">
        <f t="shared" si="2"/>
        <v>1625.01308892</v>
      </c>
      <c r="N8" s="79">
        <f t="shared" si="2"/>
        <v>1790.7006592799999</v>
      </c>
      <c r="O8" s="79">
        <f t="shared" si="2"/>
        <v>251.71767036</v>
      </c>
      <c r="P8" s="79">
        <f t="shared" si="2"/>
        <v>248.53148892000002</v>
      </c>
      <c r="Q8" s="79">
        <f t="shared" si="2"/>
        <v>274.02174071999997</v>
      </c>
      <c r="R8" s="79">
        <f t="shared" si="2"/>
        <v>248.53148891999999</v>
      </c>
      <c r="S8" s="79">
        <f t="shared" si="2"/>
        <v>245.34504071999999</v>
      </c>
      <c r="T8" s="79">
        <f t="shared" si="2"/>
        <v>251.71767036</v>
      </c>
      <c r="U8" s="79">
        <f t="shared" si="2"/>
        <v>258.09030000000001</v>
      </c>
      <c r="V8" s="79">
        <f t="shared" si="2"/>
        <v>187.99164072000002</v>
      </c>
      <c r="W8" s="79">
        <f t="shared" si="2"/>
        <v>171.29860020000001</v>
      </c>
      <c r="X8" s="79">
        <f t="shared" ref="X8:Y8" si="3">SUM(X9,X15)</f>
        <v>164.55010572000003</v>
      </c>
      <c r="Y8" s="79">
        <f t="shared" si="3"/>
        <v>146.01855528000004</v>
      </c>
      <c r="DA8" s="172" t="s">
        <v>1140</v>
      </c>
    </row>
    <row r="9" spans="1:105" ht="11.45" customHeight="1" x14ac:dyDescent="0.25">
      <c r="A9" s="27" t="s">
        <v>33</v>
      </c>
      <c r="B9" s="32">
        <f t="shared" ref="B9:W9" si="4">SUM(B10,B11,B14)</f>
        <v>1006.1067426469866</v>
      </c>
      <c r="C9" s="32">
        <f t="shared" si="4"/>
        <v>1058.1969648376503</v>
      </c>
      <c r="D9" s="32">
        <f t="shared" si="4"/>
        <v>1093.3007448977739</v>
      </c>
      <c r="E9" s="32">
        <f t="shared" si="4"/>
        <v>1358.6501755316776</v>
      </c>
      <c r="F9" s="32">
        <f t="shared" si="4"/>
        <v>1636.3009973249332</v>
      </c>
      <c r="G9" s="32">
        <f t="shared" si="4"/>
        <v>1835.1855988254476</v>
      </c>
      <c r="H9" s="32">
        <f t="shared" si="4"/>
        <v>1516.6514497232095</v>
      </c>
      <c r="I9" s="32">
        <f t="shared" si="4"/>
        <v>1713.9729414292335</v>
      </c>
      <c r="J9" s="32">
        <f t="shared" si="4"/>
        <v>1603.5020565191926</v>
      </c>
      <c r="K9" s="32">
        <f t="shared" si="4"/>
        <v>1295.6083141180757</v>
      </c>
      <c r="L9" s="32">
        <f t="shared" si="4"/>
        <v>1249.8345366023866</v>
      </c>
      <c r="M9" s="32">
        <f t="shared" si="4"/>
        <v>1236.7239362120795</v>
      </c>
      <c r="N9" s="32">
        <f t="shared" si="4"/>
        <v>1384.7850911808084</v>
      </c>
      <c r="O9" s="32">
        <f t="shared" si="4"/>
        <v>153.91028496606671</v>
      </c>
      <c r="P9" s="32">
        <f t="shared" si="4"/>
        <v>146.42060374000903</v>
      </c>
      <c r="Q9" s="32">
        <f t="shared" si="4"/>
        <v>193.26879800419346</v>
      </c>
      <c r="R9" s="32">
        <f t="shared" si="4"/>
        <v>185.90532820044666</v>
      </c>
      <c r="S9" s="32">
        <f t="shared" si="4"/>
        <v>130.26466868082878</v>
      </c>
      <c r="T9" s="32">
        <f t="shared" si="4"/>
        <v>122.14173156695186</v>
      </c>
      <c r="U9" s="32">
        <f t="shared" si="4"/>
        <v>106.44057765070278</v>
      </c>
      <c r="V9" s="32">
        <f t="shared" si="4"/>
        <v>69.358841315343369</v>
      </c>
      <c r="W9" s="32">
        <f t="shared" si="4"/>
        <v>104.79671872007432</v>
      </c>
      <c r="X9" s="32">
        <f t="shared" ref="X9:Y9" si="5">SUM(X10,X11,X14)</f>
        <v>96.174419041064468</v>
      </c>
      <c r="Y9" s="32">
        <f t="shared" si="5"/>
        <v>90.133775101271965</v>
      </c>
      <c r="DA9" s="173" t="s">
        <v>407</v>
      </c>
    </row>
    <row r="10" spans="1:105" ht="11.45" customHeight="1" x14ac:dyDescent="0.25">
      <c r="A10" s="107" t="s">
        <v>23</v>
      </c>
      <c r="B10" s="129">
        <v>0</v>
      </c>
      <c r="C10" s="129">
        <v>0</v>
      </c>
      <c r="D10" s="129">
        <v>0</v>
      </c>
      <c r="E10" s="129">
        <v>0</v>
      </c>
      <c r="F10" s="129">
        <v>0</v>
      </c>
      <c r="G10" s="129">
        <v>0</v>
      </c>
      <c r="H10" s="129">
        <v>0</v>
      </c>
      <c r="I10" s="129">
        <v>0</v>
      </c>
      <c r="J10" s="129">
        <v>0</v>
      </c>
      <c r="K10" s="129">
        <v>0</v>
      </c>
      <c r="L10" s="129">
        <v>0</v>
      </c>
      <c r="M10" s="129">
        <v>0</v>
      </c>
      <c r="N10" s="129">
        <v>0</v>
      </c>
      <c r="O10" s="129">
        <v>0</v>
      </c>
      <c r="P10" s="129">
        <v>0</v>
      </c>
      <c r="Q10" s="129">
        <v>0</v>
      </c>
      <c r="R10" s="129">
        <v>0</v>
      </c>
      <c r="S10" s="129">
        <v>0</v>
      </c>
      <c r="T10" s="129">
        <v>0</v>
      </c>
      <c r="U10" s="129">
        <v>0</v>
      </c>
      <c r="V10" s="129">
        <v>0</v>
      </c>
      <c r="W10" s="129">
        <v>0</v>
      </c>
      <c r="X10" s="129">
        <v>0</v>
      </c>
      <c r="Y10" s="129">
        <v>0</v>
      </c>
      <c r="DA10" s="203" t="s">
        <v>408</v>
      </c>
    </row>
    <row r="11" spans="1:105" ht="11.45" customHeight="1" x14ac:dyDescent="0.25">
      <c r="A11" s="109" t="s">
        <v>24</v>
      </c>
      <c r="B11" s="130">
        <f t="shared" ref="B11:W11" si="6">SUM(B12:B13)</f>
        <v>1006.1067426469866</v>
      </c>
      <c r="C11" s="130">
        <f t="shared" si="6"/>
        <v>1058.1969648376503</v>
      </c>
      <c r="D11" s="130">
        <f t="shared" si="6"/>
        <v>1093.3007448977739</v>
      </c>
      <c r="E11" s="130">
        <f t="shared" si="6"/>
        <v>1358.6501755316776</v>
      </c>
      <c r="F11" s="130">
        <f t="shared" si="6"/>
        <v>1636.3009973249332</v>
      </c>
      <c r="G11" s="130">
        <f t="shared" si="6"/>
        <v>1835.1855988254476</v>
      </c>
      <c r="H11" s="130">
        <f t="shared" si="6"/>
        <v>1516.6514497232095</v>
      </c>
      <c r="I11" s="130">
        <f t="shared" si="6"/>
        <v>1713.9729414292335</v>
      </c>
      <c r="J11" s="130">
        <f t="shared" si="6"/>
        <v>1603.5020565191926</v>
      </c>
      <c r="K11" s="130">
        <f t="shared" si="6"/>
        <v>1295.6083141180757</v>
      </c>
      <c r="L11" s="130">
        <f t="shared" si="6"/>
        <v>1249.8345366023866</v>
      </c>
      <c r="M11" s="130">
        <f t="shared" si="6"/>
        <v>1236.7239362120795</v>
      </c>
      <c r="N11" s="130">
        <f t="shared" si="6"/>
        <v>1384.7850911808084</v>
      </c>
      <c r="O11" s="130">
        <f t="shared" si="6"/>
        <v>153.91028496606671</v>
      </c>
      <c r="P11" s="130">
        <f t="shared" si="6"/>
        <v>146.42060374000903</v>
      </c>
      <c r="Q11" s="130">
        <f t="shared" si="6"/>
        <v>193.26879800419346</v>
      </c>
      <c r="R11" s="130">
        <f t="shared" si="6"/>
        <v>185.90532820044666</v>
      </c>
      <c r="S11" s="130">
        <f t="shared" si="6"/>
        <v>130.26466868082878</v>
      </c>
      <c r="T11" s="130">
        <f t="shared" si="6"/>
        <v>122.14173156695186</v>
      </c>
      <c r="U11" s="130">
        <f t="shared" si="6"/>
        <v>106.44057765070278</v>
      </c>
      <c r="V11" s="130">
        <f t="shared" si="6"/>
        <v>69.358841315343369</v>
      </c>
      <c r="W11" s="130">
        <f t="shared" si="6"/>
        <v>104.79671872007432</v>
      </c>
      <c r="X11" s="130">
        <f t="shared" ref="X11:Y11" si="7">SUM(X12:X13)</f>
        <v>96.174419041064468</v>
      </c>
      <c r="Y11" s="130">
        <f t="shared" si="7"/>
        <v>90.133775101271965</v>
      </c>
      <c r="DA11" s="176" t="s">
        <v>409</v>
      </c>
    </row>
    <row r="12" spans="1:105" ht="11.45" customHeight="1" x14ac:dyDescent="0.25">
      <c r="A12" s="111" t="s">
        <v>92</v>
      </c>
      <c r="B12" s="96">
        <v>1006.1067426469866</v>
      </c>
      <c r="C12" s="96">
        <v>1058.1969648376503</v>
      </c>
      <c r="D12" s="96">
        <v>1093.3007448977739</v>
      </c>
      <c r="E12" s="96">
        <v>1358.6501755316776</v>
      </c>
      <c r="F12" s="96">
        <v>1636.3009973249332</v>
      </c>
      <c r="G12" s="96">
        <v>1835.1855988254476</v>
      </c>
      <c r="H12" s="96">
        <v>1516.6514497232095</v>
      </c>
      <c r="I12" s="96">
        <v>1713.9729414292335</v>
      </c>
      <c r="J12" s="96">
        <v>1603.5020565191926</v>
      </c>
      <c r="K12" s="96">
        <v>1295.6083141180757</v>
      </c>
      <c r="L12" s="96">
        <v>1249.8345366023866</v>
      </c>
      <c r="M12" s="96">
        <v>1236.7239362120795</v>
      </c>
      <c r="N12" s="96">
        <v>1384.7850911808084</v>
      </c>
      <c r="O12" s="96">
        <v>153.91028496606671</v>
      </c>
      <c r="P12" s="96">
        <v>146.42060374000903</v>
      </c>
      <c r="Q12" s="96">
        <v>193.26879800419346</v>
      </c>
      <c r="R12" s="96">
        <v>185.90532820044666</v>
      </c>
      <c r="S12" s="96">
        <v>130.26466868082878</v>
      </c>
      <c r="T12" s="96">
        <v>122.14173156695186</v>
      </c>
      <c r="U12" s="96">
        <v>106.44057765070278</v>
      </c>
      <c r="V12" s="96">
        <v>69.358841315343369</v>
      </c>
      <c r="W12" s="96">
        <v>104.79671872007432</v>
      </c>
      <c r="X12" s="96">
        <v>96.174419041064468</v>
      </c>
      <c r="Y12" s="96">
        <v>90.133775101271965</v>
      </c>
      <c r="DA12" s="171" t="s">
        <v>1141</v>
      </c>
    </row>
    <row r="13" spans="1:105" ht="11.45" customHeight="1" x14ac:dyDescent="0.25">
      <c r="A13" s="111" t="s">
        <v>93</v>
      </c>
      <c r="B13" s="96">
        <v>0</v>
      </c>
      <c r="C13" s="96">
        <v>0</v>
      </c>
      <c r="D13" s="96">
        <v>0</v>
      </c>
      <c r="E13" s="96">
        <v>0</v>
      </c>
      <c r="F13" s="96">
        <v>0</v>
      </c>
      <c r="G13" s="96">
        <v>0</v>
      </c>
      <c r="H13" s="96">
        <v>0</v>
      </c>
      <c r="I13" s="96">
        <v>0</v>
      </c>
      <c r="J13" s="96">
        <v>0</v>
      </c>
      <c r="K13" s="96">
        <v>0</v>
      </c>
      <c r="L13" s="96">
        <v>0</v>
      </c>
      <c r="M13" s="96">
        <v>0</v>
      </c>
      <c r="N13" s="96">
        <v>0</v>
      </c>
      <c r="O13" s="96">
        <v>0</v>
      </c>
      <c r="P13" s="96">
        <v>0</v>
      </c>
      <c r="Q13" s="96">
        <v>0</v>
      </c>
      <c r="R13" s="96">
        <v>0</v>
      </c>
      <c r="S13" s="96">
        <v>0</v>
      </c>
      <c r="T13" s="96">
        <v>0</v>
      </c>
      <c r="U13" s="96">
        <v>0</v>
      </c>
      <c r="V13" s="96">
        <v>0</v>
      </c>
      <c r="W13" s="96">
        <v>0</v>
      </c>
      <c r="X13" s="96">
        <v>0</v>
      </c>
      <c r="Y13" s="96">
        <v>0</v>
      </c>
      <c r="DA13" s="171" t="s">
        <v>1142</v>
      </c>
    </row>
    <row r="14" spans="1:105" ht="11.45" customHeight="1" x14ac:dyDescent="0.25">
      <c r="A14" s="112" t="s">
        <v>25</v>
      </c>
      <c r="B14" s="131">
        <v>0</v>
      </c>
      <c r="C14" s="131">
        <v>0</v>
      </c>
      <c r="D14" s="131">
        <v>0</v>
      </c>
      <c r="E14" s="131">
        <v>0</v>
      </c>
      <c r="F14" s="131">
        <v>0</v>
      </c>
      <c r="G14" s="131">
        <v>0</v>
      </c>
      <c r="H14" s="131">
        <v>0</v>
      </c>
      <c r="I14" s="131">
        <v>0</v>
      </c>
      <c r="J14" s="131">
        <v>0</v>
      </c>
      <c r="K14" s="131">
        <v>0</v>
      </c>
      <c r="L14" s="131">
        <v>0</v>
      </c>
      <c r="M14" s="131">
        <v>0</v>
      </c>
      <c r="N14" s="131">
        <v>0</v>
      </c>
      <c r="O14" s="131">
        <v>0</v>
      </c>
      <c r="P14" s="131">
        <v>0</v>
      </c>
      <c r="Q14" s="131">
        <v>0</v>
      </c>
      <c r="R14" s="131">
        <v>0</v>
      </c>
      <c r="S14" s="131">
        <v>0</v>
      </c>
      <c r="T14" s="131">
        <v>0</v>
      </c>
      <c r="U14" s="131">
        <v>0</v>
      </c>
      <c r="V14" s="131">
        <v>0</v>
      </c>
      <c r="W14" s="131">
        <v>0</v>
      </c>
      <c r="X14" s="131">
        <v>0</v>
      </c>
      <c r="Y14" s="131">
        <v>0</v>
      </c>
      <c r="DA14" s="204" t="s">
        <v>410</v>
      </c>
    </row>
    <row r="15" spans="1:105" ht="11.45" customHeight="1" x14ac:dyDescent="0.25">
      <c r="A15" s="27" t="s">
        <v>34</v>
      </c>
      <c r="B15" s="32">
        <f t="shared" ref="B15:W15" si="8">SUM(B16:B17)</f>
        <v>536.06242771301299</v>
      </c>
      <c r="C15" s="32">
        <f t="shared" si="8"/>
        <v>585.93374624234957</v>
      </c>
      <c r="D15" s="32">
        <f t="shared" si="8"/>
        <v>518.96708474222623</v>
      </c>
      <c r="E15" s="32">
        <f t="shared" si="8"/>
        <v>432.05048374832268</v>
      </c>
      <c r="F15" s="32">
        <f t="shared" si="8"/>
        <v>409.303513755067</v>
      </c>
      <c r="G15" s="32">
        <f t="shared" si="8"/>
        <v>388.85174189455216</v>
      </c>
      <c r="H15" s="32">
        <f t="shared" si="8"/>
        <v>458.85466883679055</v>
      </c>
      <c r="I15" s="32">
        <f t="shared" si="8"/>
        <v>627.9576474907667</v>
      </c>
      <c r="J15" s="32">
        <f t="shared" si="8"/>
        <v>642.83935456080735</v>
      </c>
      <c r="K15" s="32">
        <f t="shared" si="8"/>
        <v>616.17177480192436</v>
      </c>
      <c r="L15" s="32">
        <f t="shared" si="8"/>
        <v>725.6715819576134</v>
      </c>
      <c r="M15" s="32">
        <f t="shared" si="8"/>
        <v>388.28915270792038</v>
      </c>
      <c r="N15" s="32">
        <f t="shared" si="8"/>
        <v>405.91556809919149</v>
      </c>
      <c r="O15" s="32">
        <f t="shared" si="8"/>
        <v>97.807385393933302</v>
      </c>
      <c r="P15" s="32">
        <f t="shared" si="8"/>
        <v>102.11088517999099</v>
      </c>
      <c r="Q15" s="32">
        <f t="shared" si="8"/>
        <v>80.752942715806512</v>
      </c>
      <c r="R15" s="32">
        <f t="shared" si="8"/>
        <v>62.626160719553333</v>
      </c>
      <c r="S15" s="32">
        <f t="shared" si="8"/>
        <v>115.08037203917121</v>
      </c>
      <c r="T15" s="32">
        <f t="shared" si="8"/>
        <v>129.57593879304812</v>
      </c>
      <c r="U15" s="32">
        <f t="shared" si="8"/>
        <v>151.64972234929724</v>
      </c>
      <c r="V15" s="32">
        <f t="shared" si="8"/>
        <v>118.63279940465664</v>
      </c>
      <c r="W15" s="32">
        <f t="shared" si="8"/>
        <v>66.5018814799257</v>
      </c>
      <c r="X15" s="32">
        <f t="shared" ref="X15:Y15" si="9">SUM(X16:X17)</f>
        <v>68.375686678935551</v>
      </c>
      <c r="Y15" s="32">
        <f t="shared" si="9"/>
        <v>55.884780178728064</v>
      </c>
      <c r="DA15" s="173" t="s">
        <v>414</v>
      </c>
    </row>
    <row r="16" spans="1:105" ht="11.45" customHeight="1" x14ac:dyDescent="0.25">
      <c r="A16" s="83" t="s">
        <v>92</v>
      </c>
      <c r="B16" s="96">
        <v>536.06242771301299</v>
      </c>
      <c r="C16" s="96">
        <v>585.93374624234957</v>
      </c>
      <c r="D16" s="96">
        <v>518.96708474222623</v>
      </c>
      <c r="E16" s="96">
        <v>432.05048374832268</v>
      </c>
      <c r="F16" s="96">
        <v>409.303513755067</v>
      </c>
      <c r="G16" s="96">
        <v>388.85174189455216</v>
      </c>
      <c r="H16" s="96">
        <v>458.85466883679055</v>
      </c>
      <c r="I16" s="96">
        <v>627.9576474907667</v>
      </c>
      <c r="J16" s="96">
        <v>642.83935456080735</v>
      </c>
      <c r="K16" s="96">
        <v>616.17177480192436</v>
      </c>
      <c r="L16" s="96">
        <v>725.6715819576134</v>
      </c>
      <c r="M16" s="96">
        <v>388.28915270792038</v>
      </c>
      <c r="N16" s="96">
        <v>405.91556809919149</v>
      </c>
      <c r="O16" s="96">
        <v>97.807385393933302</v>
      </c>
      <c r="P16" s="96">
        <v>102.11088517999099</v>
      </c>
      <c r="Q16" s="96">
        <v>80.752942715806512</v>
      </c>
      <c r="R16" s="96">
        <v>62.626160719553333</v>
      </c>
      <c r="S16" s="96">
        <v>115.08037203917121</v>
      </c>
      <c r="T16" s="96">
        <v>129.57593879304812</v>
      </c>
      <c r="U16" s="96">
        <v>151.64972234929724</v>
      </c>
      <c r="V16" s="96">
        <v>118.63279940465664</v>
      </c>
      <c r="W16" s="96">
        <v>66.5018814799257</v>
      </c>
      <c r="X16" s="96">
        <v>68.375686678935551</v>
      </c>
      <c r="Y16" s="96">
        <v>55.884780178728064</v>
      </c>
      <c r="DA16" s="171" t="s">
        <v>1143</v>
      </c>
    </row>
    <row r="17" spans="1:105" ht="11.45" customHeight="1" x14ac:dyDescent="0.25">
      <c r="A17" s="85" t="s">
        <v>93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X17" s="98">
        <v>0</v>
      </c>
      <c r="Y17" s="98">
        <v>0</v>
      </c>
      <c r="DA17" s="178" t="s">
        <v>1144</v>
      </c>
    </row>
    <row r="18" spans="1:105" x14ac:dyDescent="0.25">
      <c r="A18" s="106"/>
      <c r="B18" s="106"/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  <c r="P18" s="106"/>
      <c r="Q18" s="106"/>
      <c r="R18" s="106"/>
      <c r="S18" s="106"/>
      <c r="T18" s="106"/>
      <c r="U18" s="106"/>
      <c r="V18" s="106"/>
      <c r="W18" s="106"/>
      <c r="X18" s="106"/>
      <c r="Y18" s="106"/>
      <c r="DA18" s="171"/>
    </row>
    <row r="19" spans="1:105" ht="11.45" customHeight="1" x14ac:dyDescent="0.25">
      <c r="A19" s="68" t="s">
        <v>36</v>
      </c>
      <c r="B19" s="69"/>
      <c r="C19" s="69"/>
      <c r="D19" s="69"/>
      <c r="E19" s="69"/>
      <c r="F19" s="69"/>
      <c r="G19" s="69"/>
      <c r="H19" s="69"/>
      <c r="I19" s="69"/>
      <c r="J19" s="69"/>
      <c r="K19" s="69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X19" s="69"/>
      <c r="Y19" s="69"/>
      <c r="DA19" s="179"/>
    </row>
    <row r="20" spans="1:10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X20" s="106"/>
      <c r="Y20" s="106"/>
      <c r="DA20" s="171"/>
    </row>
    <row r="21" spans="1:105" ht="11.45" customHeight="1" x14ac:dyDescent="0.25">
      <c r="A21" s="53" t="s">
        <v>48</v>
      </c>
      <c r="B21" s="132"/>
      <c r="C21" s="132"/>
      <c r="D21" s="132"/>
      <c r="E21" s="132"/>
      <c r="F21" s="132"/>
      <c r="G21" s="132"/>
      <c r="H21" s="132"/>
      <c r="I21" s="132"/>
      <c r="J21" s="132"/>
      <c r="K21" s="132"/>
      <c r="L21" s="132"/>
      <c r="M21" s="132"/>
      <c r="N21" s="132"/>
      <c r="O21" s="132"/>
      <c r="P21" s="132"/>
      <c r="Q21" s="132"/>
      <c r="R21" s="132"/>
      <c r="S21" s="132"/>
      <c r="T21" s="132"/>
      <c r="U21" s="132"/>
      <c r="V21" s="132"/>
      <c r="W21" s="132"/>
      <c r="X21" s="132"/>
      <c r="Y21" s="132"/>
      <c r="DA21" s="172"/>
    </row>
    <row r="22" spans="1:105" ht="11.45" customHeight="1" x14ac:dyDescent="0.25">
      <c r="A22" s="133" t="s">
        <v>45</v>
      </c>
      <c r="B22" s="134">
        <f>IF(B4=0,0,B4/TrRail_ene!B4)</f>
        <v>2.1744890983264895</v>
      </c>
      <c r="C22" s="134">
        <f>IF(C4=0,0,C4/TrRail_ene!C4)</f>
        <v>2.1289980195434688</v>
      </c>
      <c r="D22" s="134">
        <f>IF(D4=0,0,D4/TrRail_ene!D4)</f>
        <v>2.0416922350338949</v>
      </c>
      <c r="E22" s="134">
        <f>IF(E4=0,0,E4/TrRail_ene!E4)</f>
        <v>2.0739204419203849</v>
      </c>
      <c r="F22" s="134">
        <f>IF(F4=0,0,F4/TrRail_ene!F4)</f>
        <v>2.1488271072562264</v>
      </c>
      <c r="G22" s="134">
        <f>IF(G4=0,0,G4/TrRail_ene!G4)</f>
        <v>2.157400561318624</v>
      </c>
      <c r="H22" s="134">
        <f>IF(H4=0,0,H4/TrRail_ene!H4)</f>
        <v>2.3347396385786334</v>
      </c>
      <c r="I22" s="134">
        <f>IF(I4=0,0,I4/TrRail_ene!I4)</f>
        <v>2.3696064925052509</v>
      </c>
      <c r="J22" s="134">
        <f>IF(J4=0,0,J4/TrRail_ene!J4)</f>
        <v>2.2906912017791403</v>
      </c>
      <c r="K22" s="134">
        <f>IF(K4=0,0,K4/TrRail_ene!K4)</f>
        <v>2.2172657343068534</v>
      </c>
      <c r="L22" s="134">
        <f>IF(L4=0,0,L4/TrRail_ene!L4)</f>
        <v>2.1950999124117621</v>
      </c>
      <c r="M22" s="134">
        <f>IF(M4=0,0,M4/TrRail_ene!M4)</f>
        <v>1.9244010843804804</v>
      </c>
      <c r="N22" s="134">
        <f>IF(N4=0,0,N4/TrRail_ene!N4)</f>
        <v>2.011036608492998</v>
      </c>
      <c r="O22" s="134">
        <f>IF(O4=0,0,O4/TrRail_ene!O4)</f>
        <v>0.65292829959753429</v>
      </c>
      <c r="P22" s="134">
        <f>IF(P4=0,0,P4/TrRail_ene!P4)</f>
        <v>0.63530390600885733</v>
      </c>
      <c r="Q22" s="134">
        <f>IF(Q4=0,0,Q4/TrRail_ene!Q4)</f>
        <v>0.67860353377110372</v>
      </c>
      <c r="R22" s="134">
        <f>IF(R4=0,0,R4/TrRail_ene!R4)</f>
        <v>0.63937936949118368</v>
      </c>
      <c r="S22" s="134">
        <f>IF(S4=0,0,S4/TrRail_ene!S4)</f>
        <v>0.62426960632775308</v>
      </c>
      <c r="T22" s="134">
        <f>IF(T4=0,0,T4/TrRail_ene!T4)</f>
        <v>0.63812657749028845</v>
      </c>
      <c r="U22" s="134">
        <f>IF(U4=0,0,U4/TrRail_ene!U4)</f>
        <v>0.67534935065811696</v>
      </c>
      <c r="V22" s="134">
        <f>IF(V4=0,0,V4/TrRail_ene!V4)</f>
        <v>0.60284267213577436</v>
      </c>
      <c r="W22" s="134">
        <f>IF(W4=0,0,W4/TrRail_ene!W4)</f>
        <v>0.5340818440907793</v>
      </c>
      <c r="X22" s="134">
        <f>IF(X4=0,0,X4/TrRail_ene!X4)</f>
        <v>0.49799477562432226</v>
      </c>
      <c r="Y22" s="134">
        <f>IF(Y4=0,0,Y4/TrRail_ene!Y4)</f>
        <v>0.43977870595310919</v>
      </c>
      <c r="DA22" s="205"/>
    </row>
    <row r="23" spans="1:105" ht="11.45" customHeight="1" x14ac:dyDescent="0.25">
      <c r="A23" s="107" t="s">
        <v>90</v>
      </c>
      <c r="B23" s="129">
        <f>IF(B5=0,0,B5/SUM(TrRail_ene!B5:B7))</f>
        <v>1.5512094000000001</v>
      </c>
      <c r="C23" s="129">
        <f>IF(C5=0,0,C5/SUM(TrRail_ene!C5:C7))</f>
        <v>1.5512094000000001</v>
      </c>
      <c r="D23" s="129">
        <f>IF(D5=0,0,D5/SUM(TrRail_ene!D5:D7))</f>
        <v>1.5512094000000001</v>
      </c>
      <c r="E23" s="129">
        <f>IF(E5=0,0,E5/SUM(TrRail_ene!E5:E7))</f>
        <v>1.5512094000000001</v>
      </c>
      <c r="F23" s="129">
        <f>IF(F5=0,0,F5/SUM(TrRail_ene!F5:F7))</f>
        <v>1.5512094000000001</v>
      </c>
      <c r="G23" s="129">
        <f>IF(G5=0,0,G5/SUM(TrRail_ene!G5:G7))</f>
        <v>1.5512094000000001</v>
      </c>
      <c r="H23" s="129">
        <f>IF(H5=0,0,H5/SUM(TrRail_ene!H5:H7))</f>
        <v>1.5512094000000001</v>
      </c>
      <c r="I23" s="129">
        <f>IF(I5=0,0,I5/SUM(TrRail_ene!I5:I7))</f>
        <v>1.5512094000000003</v>
      </c>
      <c r="J23" s="129">
        <f>IF(J5=0,0,J5/SUM(TrRail_ene!J5:J7))</f>
        <v>1.5512094000000001</v>
      </c>
      <c r="K23" s="129">
        <f>IF(K5=0,0,K5/SUM(TrRail_ene!K5:K7))</f>
        <v>1.5512094000000001</v>
      </c>
      <c r="L23" s="129">
        <f>IF(L5=0,0,L5/SUM(TrRail_ene!L5:L7))</f>
        <v>1.5512094000000001</v>
      </c>
      <c r="M23" s="129">
        <f>IF(M5=0,0,M5/SUM(TrRail_ene!M5:M7))</f>
        <v>1.5512094000000001</v>
      </c>
      <c r="N23" s="129">
        <f>IF(N5=0,0,N5/SUM(TrRail_ene!N5:N7))</f>
        <v>1.5512094000000001</v>
      </c>
      <c r="O23" s="129">
        <f>IF(O5=0,0,O5/SUM(TrRail_ene!O5:O7))</f>
        <v>1.5512094000000001</v>
      </c>
      <c r="P23" s="129">
        <f>IF(P5=0,0,P5/SUM(TrRail_ene!P5:P7))</f>
        <v>1.5512094000000001</v>
      </c>
      <c r="Q23" s="129">
        <f>IF(Q5=0,0,Q5/SUM(TrRail_ene!Q5:Q7))</f>
        <v>1.5512094000000001</v>
      </c>
      <c r="R23" s="129">
        <f>IF(R5=0,0,R5/SUM(TrRail_ene!R5:R7))</f>
        <v>1.5512094000000001</v>
      </c>
      <c r="S23" s="129">
        <f>IF(S5=0,0,S5/SUM(TrRail_ene!S5:S7))</f>
        <v>1.5512094000000001</v>
      </c>
      <c r="T23" s="129">
        <f>IF(T5=0,0,T5/SUM(TrRail_ene!T5:T7))</f>
        <v>1.5512094000000001</v>
      </c>
      <c r="U23" s="129">
        <f>IF(U5=0,0,U5/SUM(TrRail_ene!U5:U7))</f>
        <v>1.5512094000000001</v>
      </c>
      <c r="V23" s="129">
        <f>IF(V5=0,0,V5/SUM(TrRail_ene!V5:V7))</f>
        <v>1.5512094000000001</v>
      </c>
      <c r="W23" s="129">
        <f>IF(W5=0,0,W5/SUM(TrRail_ene!W5:W7))</f>
        <v>1.5512094000000003</v>
      </c>
      <c r="X23" s="129">
        <f>IF(X5=0,0,X5/SUM(TrRail_ene!X5:X7))</f>
        <v>1.5512094000000003</v>
      </c>
      <c r="Y23" s="129">
        <f>IF(Y5=0,0,Y5/SUM(TrRail_ene!Y5:Y7))</f>
        <v>1.5512094000000001</v>
      </c>
      <c r="DA23" s="203"/>
    </row>
    <row r="24" spans="1:105" ht="11.45" customHeight="1" x14ac:dyDescent="0.25">
      <c r="A24" s="85" t="s">
        <v>91</v>
      </c>
      <c r="B24" s="98">
        <f>IF(B6=0,0,B6/TrRail_ene!B8)</f>
        <v>0</v>
      </c>
      <c r="C24" s="98">
        <f>IF(C6=0,0,C6/TrRail_ene!C8)</f>
        <v>0</v>
      </c>
      <c r="D24" s="98">
        <f>IF(D6=0,0,D6/TrRail_ene!D8)</f>
        <v>0</v>
      </c>
      <c r="E24" s="98">
        <f>IF(E6=0,0,E6/TrRail_ene!E8)</f>
        <v>0</v>
      </c>
      <c r="F24" s="98">
        <f>IF(F6=0,0,F6/TrRail_ene!F8)</f>
        <v>0</v>
      </c>
      <c r="G24" s="98">
        <f>IF(G6=0,0,G6/TrRail_ene!G8)</f>
        <v>0</v>
      </c>
      <c r="H24" s="98">
        <f>IF(H6=0,0,H6/TrRail_ene!H8)</f>
        <v>0</v>
      </c>
      <c r="I24" s="98">
        <f>IF(I6=0,0,I6/TrRail_ene!I8)</f>
        <v>0</v>
      </c>
      <c r="J24" s="98">
        <f>IF(J6=0,0,J6/TrRail_ene!J8)</f>
        <v>0</v>
      </c>
      <c r="K24" s="98">
        <f>IF(K6=0,0,K6/TrRail_ene!K8)</f>
        <v>0</v>
      </c>
      <c r="L24" s="98">
        <f>IF(L6=0,0,L6/TrRail_ene!L8)</f>
        <v>0</v>
      </c>
      <c r="M24" s="98">
        <f>IF(M6=0,0,M6/TrRail_ene!M8)</f>
        <v>0</v>
      </c>
      <c r="N24" s="98">
        <f>IF(N6=0,0,N6/TrRail_ene!N8)</f>
        <v>0</v>
      </c>
      <c r="O24" s="98">
        <f>IF(O6=0,0,O6/TrRail_ene!O8)</f>
        <v>0</v>
      </c>
      <c r="P24" s="98">
        <f>IF(P6=0,0,P6/TrRail_ene!P8)</f>
        <v>0</v>
      </c>
      <c r="Q24" s="98">
        <f>IF(Q6=0,0,Q6/TrRail_ene!Q8)</f>
        <v>0</v>
      </c>
      <c r="R24" s="98">
        <f>IF(R6=0,0,R6/TrRail_ene!R8)</f>
        <v>0</v>
      </c>
      <c r="S24" s="98">
        <f>IF(S6=0,0,S6/TrRail_ene!S8)</f>
        <v>0</v>
      </c>
      <c r="T24" s="98">
        <f>IF(T6=0,0,T6/TrRail_ene!T8)</f>
        <v>0</v>
      </c>
      <c r="U24" s="98">
        <f>IF(U6=0,0,U6/TrRail_ene!U8)</f>
        <v>0</v>
      </c>
      <c r="V24" s="98">
        <f>IF(V6=0,0,V6/TrRail_ene!V8)</f>
        <v>0</v>
      </c>
      <c r="W24" s="98">
        <f>IF(W6=0,0,W6/TrRail_ene!W8)</f>
        <v>0</v>
      </c>
      <c r="X24" s="98">
        <f>IF(X6=0,0,X6/TrRail_ene!X8)</f>
        <v>0</v>
      </c>
      <c r="Y24" s="98">
        <f>IF(Y6=0,0,Y6/TrRail_ene!Y8)</f>
        <v>0</v>
      </c>
      <c r="DA24" s="178"/>
    </row>
    <row r="25" spans="1:105" x14ac:dyDescent="0.25">
      <c r="A25" s="106"/>
      <c r="B25" s="106"/>
      <c r="C25" s="106"/>
      <c r="D25" s="106"/>
      <c r="E25" s="106"/>
      <c r="F25" s="106"/>
      <c r="G25" s="106"/>
      <c r="H25" s="106"/>
      <c r="I25" s="106"/>
      <c r="J25" s="106"/>
      <c r="K25" s="106"/>
      <c r="L25" s="106"/>
      <c r="M25" s="106"/>
      <c r="N25" s="106"/>
      <c r="O25" s="106"/>
      <c r="P25" s="106"/>
      <c r="Q25" s="106"/>
      <c r="R25" s="106"/>
      <c r="S25" s="106"/>
      <c r="T25" s="106"/>
      <c r="U25" s="106"/>
      <c r="V25" s="106"/>
      <c r="W25" s="106"/>
      <c r="X25" s="106"/>
      <c r="Y25" s="106"/>
      <c r="DA25" s="171"/>
    </row>
    <row r="26" spans="1:105" ht="11.45" customHeight="1" x14ac:dyDescent="0.25">
      <c r="A26" s="53" t="s">
        <v>129</v>
      </c>
      <c r="B26" s="54">
        <f>IF(B8=0,0,B8/TrRail_act!B14*1000)</f>
        <v>7026.3741371629167</v>
      </c>
      <c r="C26" s="54">
        <f>IF(C8=0,0,C8/TrRail_act!C14*1000)</f>
        <v>6796.7854428170967</v>
      </c>
      <c r="D26" s="54">
        <f>IF(D8=0,0,D8/TrRail_act!D14*1000)</f>
        <v>6167.3821986255398</v>
      </c>
      <c r="E26" s="54">
        <f>IF(E8=0,0,E8/TrRail_act!E14*1000)</f>
        <v>6158.0737337875589</v>
      </c>
      <c r="F26" s="54">
        <f>IF(F8=0,0,F8/TrRail_act!F14*1000)</f>
        <v>6551.6373095784138</v>
      </c>
      <c r="G26" s="54">
        <f>IF(G8=0,0,G8/TrRail_act!G14*1000)</f>
        <v>6494.9890285606289</v>
      </c>
      <c r="H26" s="54">
        <f>IF(H8=0,0,H8/TrRail_act!H14*1000)</f>
        <v>7315.1435469351345</v>
      </c>
      <c r="I26" s="54">
        <f>IF(I8=0,0,I8/TrRail_act!I14*1000)</f>
        <v>7676.0828524442313</v>
      </c>
      <c r="J26" s="54">
        <f>IF(J8=0,0,J8/TrRail_act!J14*1000)</f>
        <v>7128.8936087580787</v>
      </c>
      <c r="K26" s="54">
        <f>IF(K8=0,0,K8/TrRail_act!K14*1000)</f>
        <v>6877.342222909565</v>
      </c>
      <c r="L26" s="54">
        <f>IF(L8=0,0,L8/TrRail_act!L14*1000)</f>
        <v>6506.6953787293724</v>
      </c>
      <c r="M26" s="54">
        <f>IF(M8=0,0,M8/TrRail_act!M14*1000)</f>
        <v>4735.6825468384441</v>
      </c>
      <c r="N26" s="54">
        <f>IF(N8=0,0,N8/TrRail_act!N14*1000)</f>
        <v>5077.2098830664863</v>
      </c>
      <c r="O26" s="54">
        <f>IF(O8=0,0,O8/TrRail_act!O14*1000)</f>
        <v>892.2079227189455</v>
      </c>
      <c r="P26" s="54">
        <f>IF(P8=0,0,P8/TrRail_act!P14*1000)</f>
        <v>842.33403464898129</v>
      </c>
      <c r="Q26" s="54">
        <f>IF(Q8=0,0,Q8/TrRail_act!Q14*1000)</f>
        <v>888.05114068504747</v>
      </c>
      <c r="R26" s="54">
        <f>IF(R8=0,0,R8/TrRail_act!R14*1000)</f>
        <v>792.23817032098555</v>
      </c>
      <c r="S26" s="54">
        <f>IF(S8=0,0,S8/TrRail_act!S14*1000)</f>
        <v>780.05773492728656</v>
      </c>
      <c r="T26" s="54">
        <f>IF(T8=0,0,T8/TrRail_act!T14*1000)</f>
        <v>776.00663688075122</v>
      </c>
      <c r="U26" s="54">
        <f>IF(U8=0,0,U8/TrRail_act!U14*1000)</f>
        <v>826.37257633594675</v>
      </c>
      <c r="V26" s="54">
        <f>IF(V8=0,0,V8/TrRail_act!V14*1000)</f>
        <v>701.39454165338805</v>
      </c>
      <c r="W26" s="54">
        <f>IF(W8=0,0,W8/TrRail_act!W14*1000)</f>
        <v>605.23508702414347</v>
      </c>
      <c r="X26" s="54">
        <f>IF(X8=0,0,X8/TrRail_act!X14*1000)</f>
        <v>545.16628778124482</v>
      </c>
      <c r="Y26" s="54">
        <f>IF(Y8=0,0,Y8/TrRail_act!Y14*1000)</f>
        <v>470.8083500978567</v>
      </c>
      <c r="DA26" s="172" t="s">
        <v>1145</v>
      </c>
    </row>
    <row r="27" spans="1:105" ht="11.45" customHeight="1" x14ac:dyDescent="0.25">
      <c r="A27" s="27" t="s">
        <v>33</v>
      </c>
      <c r="B27" s="28">
        <f>IF(B9=0,0,B9/TrRail_act!B15*1000)</f>
        <v>5229.5962524633114</v>
      </c>
      <c r="C27" s="28">
        <f>IF(C9=0,0,C9/TrRail_act!C15*1000)</f>
        <v>5067.947451221642</v>
      </c>
      <c r="D27" s="28">
        <f>IF(D9=0,0,D9/TrRail_act!D15*1000)</f>
        <v>4859.4879701284108</v>
      </c>
      <c r="E27" s="28">
        <f>IF(E9=0,0,E9/TrRail_act!E15*1000)</f>
        <v>5387.375519205475</v>
      </c>
      <c r="F27" s="28">
        <f>IF(F9=0,0,F9/TrRail_act!F15*1000)</f>
        <v>5981.6510197765938</v>
      </c>
      <c r="G27" s="28">
        <f>IF(G9=0,0,G9/TrRail_act!G15*1000)</f>
        <v>6027.8296847620404</v>
      </c>
      <c r="H27" s="28">
        <f>IF(H9=0,0,H9/TrRail_act!H15*1000)</f>
        <v>6200.7536934383443</v>
      </c>
      <c r="I27" s="28">
        <f>IF(I9=0,0,I9/TrRail_act!I15*1000)</f>
        <v>6367.7877806090992</v>
      </c>
      <c r="J27" s="28">
        <f>IF(J9=0,0,J9/TrRail_act!J15*1000)</f>
        <v>5686.9183156742502</v>
      </c>
      <c r="K27" s="28">
        <f>IF(K9=0,0,K9/TrRail_act!K15*1000)</f>
        <v>5006.3118880425354</v>
      </c>
      <c r="L27" s="28">
        <f>IF(L9=0,0,L9/TrRail_act!L15*1000)</f>
        <v>4485.0292538610074</v>
      </c>
      <c r="M27" s="28">
        <f>IF(M9=0,0,M9/TrRail_act!M15*1000)</f>
        <v>3898.9390985500895</v>
      </c>
      <c r="N27" s="28">
        <f>IF(N9=0,0,N9/TrRail_act!N15*1000)</f>
        <v>4210.1567031794802</v>
      </c>
      <c r="O27" s="28">
        <f>IF(O9=0,0,O9/TrRail_act!O15*1000)</f>
        <v>595.25359173030506</v>
      </c>
      <c r="P27" s="28">
        <f>IF(P9=0,0,P9/TrRail_act!P15*1000)</f>
        <v>543.87345782323621</v>
      </c>
      <c r="Q27" s="28">
        <f>IF(Q9=0,0,Q9/TrRail_act!Q15*1000)</f>
        <v>691.72654719963475</v>
      </c>
      <c r="R27" s="28">
        <f>IF(R9=0,0,R9/TrRail_act!R15*1000)</f>
        <v>643.76208621195167</v>
      </c>
      <c r="S27" s="28">
        <f>IF(S9=0,0,S9/TrRail_act!S15*1000)</f>
        <v>452.28340438155556</v>
      </c>
      <c r="T27" s="28">
        <f>IF(T9=0,0,T9/TrRail_act!T15*1000)</f>
        <v>409.7486997523182</v>
      </c>
      <c r="U27" s="28">
        <f>IF(U9=0,0,U9/TrRail_act!U15*1000)</f>
        <v>372.36704893200749</v>
      </c>
      <c r="V27" s="28">
        <f>IF(V9=0,0,V9/TrRail_act!V15*1000)</f>
        <v>299.53514069001392</v>
      </c>
      <c r="W27" s="28">
        <f>IF(W9=0,0,W9/TrRail_act!W15*1000)</f>
        <v>411.01263785177349</v>
      </c>
      <c r="X27" s="28">
        <f>IF(X9=0,0,X9/TrRail_act!X15*1000)</f>
        <v>348.36505313054801</v>
      </c>
      <c r="Y27" s="28">
        <f>IF(Y9=0,0,Y9/TrRail_act!Y15*1000)</f>
        <v>314.098980531275</v>
      </c>
      <c r="DA27" s="173" t="s">
        <v>1146</v>
      </c>
    </row>
    <row r="28" spans="1:105" ht="11.45" customHeight="1" x14ac:dyDescent="0.25">
      <c r="A28" s="107" t="s">
        <v>23</v>
      </c>
      <c r="B28" s="108">
        <f>IF(B10=0,0,B10/TrRail_act!B16*1000)</f>
        <v>0</v>
      </c>
      <c r="C28" s="108">
        <f>IF(C10=0,0,C10/TrRail_act!C16*1000)</f>
        <v>0</v>
      </c>
      <c r="D28" s="108">
        <f>IF(D10=0,0,D10/TrRail_act!D16*1000)</f>
        <v>0</v>
      </c>
      <c r="E28" s="108">
        <f>IF(E10=0,0,E10/TrRail_act!E16*1000)</f>
        <v>0</v>
      </c>
      <c r="F28" s="108">
        <f>IF(F10=0,0,F10/TrRail_act!F16*1000)</f>
        <v>0</v>
      </c>
      <c r="G28" s="108">
        <f>IF(G10=0,0,G10/TrRail_act!G16*1000)</f>
        <v>0</v>
      </c>
      <c r="H28" s="108">
        <f>IF(H10=0,0,H10/TrRail_act!H16*1000)</f>
        <v>0</v>
      </c>
      <c r="I28" s="108">
        <f>IF(I10=0,0,I10/TrRail_act!I16*1000)</f>
        <v>0</v>
      </c>
      <c r="J28" s="108">
        <f>IF(J10=0,0,J10/TrRail_act!J16*1000)</f>
        <v>0</v>
      </c>
      <c r="K28" s="108">
        <f>IF(K10=0,0,K10/TrRail_act!K16*1000)</f>
        <v>0</v>
      </c>
      <c r="L28" s="108">
        <f>IF(L10=0,0,L10/TrRail_act!L16*1000)</f>
        <v>0</v>
      </c>
      <c r="M28" s="108">
        <f>IF(M10=0,0,M10/TrRail_act!M16*1000)</f>
        <v>0</v>
      </c>
      <c r="N28" s="108">
        <f>IF(N10=0,0,N10/TrRail_act!N16*1000)</f>
        <v>0</v>
      </c>
      <c r="O28" s="108">
        <f>IF(O10=0,0,O10/TrRail_act!O16*1000)</f>
        <v>0</v>
      </c>
      <c r="P28" s="108">
        <f>IF(P10=0,0,P10/TrRail_act!P16*1000)</f>
        <v>0</v>
      </c>
      <c r="Q28" s="108">
        <f>IF(Q10=0,0,Q10/TrRail_act!Q16*1000)</f>
        <v>0</v>
      </c>
      <c r="R28" s="108">
        <f>IF(R10=0,0,R10/TrRail_act!R16*1000)</f>
        <v>0</v>
      </c>
      <c r="S28" s="108">
        <f>IF(S10=0,0,S10/TrRail_act!S16*1000)</f>
        <v>0</v>
      </c>
      <c r="T28" s="108">
        <f>IF(T10=0,0,T10/TrRail_act!T16*1000)</f>
        <v>0</v>
      </c>
      <c r="U28" s="108">
        <f>IF(U10=0,0,U10/TrRail_act!U16*1000)</f>
        <v>0</v>
      </c>
      <c r="V28" s="108">
        <f>IF(V10=0,0,V10/TrRail_act!V16*1000)</f>
        <v>0</v>
      </c>
      <c r="W28" s="108">
        <f>IF(W10=0,0,W10/TrRail_act!W16*1000)</f>
        <v>0</v>
      </c>
      <c r="X28" s="108">
        <f>IF(X10=0,0,X10/TrRail_act!X16*1000)</f>
        <v>0</v>
      </c>
      <c r="Y28" s="108">
        <f>IF(Y10=0,0,Y10/TrRail_act!Y16*1000)</f>
        <v>0</v>
      </c>
      <c r="DA28" s="203" t="s">
        <v>1147</v>
      </c>
    </row>
    <row r="29" spans="1:105" ht="11.45" customHeight="1" x14ac:dyDescent="0.25">
      <c r="A29" s="109" t="s">
        <v>24</v>
      </c>
      <c r="B29" s="110">
        <f>IF(B11=0,0,B11/TrRail_act!B17*1000)</f>
        <v>8485.7129874399543</v>
      </c>
      <c r="C29" s="110">
        <f>IF(C11=0,0,C11/TrRail_act!C17*1000)</f>
        <v>7955.9984217893762</v>
      </c>
      <c r="D29" s="110">
        <f>IF(D11=0,0,D11/TrRail_act!D17*1000)</f>
        <v>7466.1752578024434</v>
      </c>
      <c r="E29" s="110">
        <f>IF(E11=0,0,E11/TrRail_act!E17*1000)</f>
        <v>8019.9912123153026</v>
      </c>
      <c r="F29" s="110">
        <f>IF(F11=0,0,F11/TrRail_act!F17*1000)</f>
        <v>8719.2711736649235</v>
      </c>
      <c r="G29" s="110">
        <f>IF(G11=0,0,G11/TrRail_act!G17*1000)</f>
        <v>8497.9836268435593</v>
      </c>
      <c r="H29" s="110">
        <f>IF(H11=0,0,H11/TrRail_act!H17*1000)</f>
        <v>9982.8023452826055</v>
      </c>
      <c r="I29" s="110">
        <f>IF(I11=0,0,I11/TrRail_act!I17*1000)</f>
        <v>9895.5883827346224</v>
      </c>
      <c r="J29" s="110">
        <f>IF(J11=0,0,J11/TrRail_act!J17*1000)</f>
        <v>9404.6180125593219</v>
      </c>
      <c r="K29" s="110">
        <f>IF(K11=0,0,K11/TrRail_act!K17*1000)</f>
        <v>11266.459198869361</v>
      </c>
      <c r="L29" s="110">
        <f>IF(L11=0,0,L11/TrRail_act!L17*1000)</f>
        <v>10855.711125491212</v>
      </c>
      <c r="M29" s="110">
        <f>IF(M11=0,0,M11/TrRail_act!M17*1000)</f>
        <v>7893.237089987635</v>
      </c>
      <c r="N29" s="110">
        <f>IF(N11=0,0,N11/TrRail_act!N17*1000)</f>
        <v>8023.663955492646</v>
      </c>
      <c r="O29" s="110">
        <f>IF(O11=0,0,O11/TrRail_act!O17*1000)</f>
        <v>1453.6091880296999</v>
      </c>
      <c r="P29" s="110">
        <f>IF(P11=0,0,P11/TrRail_act!P17*1000)</f>
        <v>1261.2937842174961</v>
      </c>
      <c r="Q29" s="110">
        <f>IF(Q11=0,0,Q11/TrRail_act!Q17*1000)</f>
        <v>1504.1460929775196</v>
      </c>
      <c r="R29" s="110">
        <f>IF(R11=0,0,R11/TrRail_act!R17*1000)</f>
        <v>1385.6125435420297</v>
      </c>
      <c r="S29" s="110">
        <f>IF(S11=0,0,S11/TrRail_act!S17*1000)</f>
        <v>1025.3544621936339</v>
      </c>
      <c r="T29" s="110">
        <f>IF(T11=0,0,T11/TrRail_act!T17*1000)</f>
        <v>979.05763781261567</v>
      </c>
      <c r="U29" s="110">
        <f>IF(U11=0,0,U11/TrRail_act!U17*1000)</f>
        <v>934.2419939304084</v>
      </c>
      <c r="V29" s="110">
        <f>IF(V11=0,0,V11/TrRail_act!V17*1000)</f>
        <v>580.82500216568258</v>
      </c>
      <c r="W29" s="110">
        <f>IF(W11=0,0,W11/TrRail_act!W17*1000)</f>
        <v>732.66984069105774</v>
      </c>
      <c r="X29" s="110">
        <f>IF(X11=0,0,X11/TrRail_act!X17*1000)</f>
        <v>640.64090037887149</v>
      </c>
      <c r="Y29" s="110">
        <f>IF(Y11=0,0,Y11/TrRail_act!Y17*1000)</f>
        <v>551.35099592093673</v>
      </c>
      <c r="DA29" s="176" t="s">
        <v>1148</v>
      </c>
    </row>
    <row r="30" spans="1:105" ht="11.45" customHeight="1" x14ac:dyDescent="0.25">
      <c r="A30" s="111" t="s">
        <v>92</v>
      </c>
      <c r="B30" s="84">
        <f>IF(B12=0,0,B12/TrRail_act!B18*1000)</f>
        <v>23746.813931725883</v>
      </c>
      <c r="C30" s="84">
        <f>IF(C12=0,0,C12/TrRail_act!C18*1000)</f>
        <v>23656.444054943222</v>
      </c>
      <c r="D30" s="84">
        <f>IF(D12=0,0,D12/TrRail_act!D18*1000)</f>
        <v>23506.610826022239</v>
      </c>
      <c r="E30" s="84">
        <f>IF(E12=0,0,E12/TrRail_act!E18*1000)</f>
        <v>23309.416163344929</v>
      </c>
      <c r="F30" s="84">
        <f>IF(F12=0,0,F12/TrRail_act!F18*1000)</f>
        <v>22867.922380196629</v>
      </c>
      <c r="G30" s="84">
        <f>IF(G12=0,0,G12/TrRail_act!G18*1000)</f>
        <v>22018.579289537356</v>
      </c>
      <c r="H30" s="84">
        <f>IF(H12=0,0,H12/TrRail_act!H18*1000)</f>
        <v>21236.045636974995</v>
      </c>
      <c r="I30" s="84">
        <f>IF(I12=0,0,I12/TrRail_act!I18*1000)</f>
        <v>20931.274525875924</v>
      </c>
      <c r="J30" s="84">
        <f>IF(J12=0,0,J12/TrRail_act!J18*1000)</f>
        <v>20462.520689452922</v>
      </c>
      <c r="K30" s="84">
        <f>IF(K12=0,0,K12/TrRail_act!K18*1000)</f>
        <v>19543.846299626486</v>
      </c>
      <c r="L30" s="84">
        <f>IF(L12=0,0,L12/TrRail_act!L18*1000)</f>
        <v>19053.984553296381</v>
      </c>
      <c r="M30" s="84">
        <f>IF(M12=0,0,M12/TrRail_act!M18*1000)</f>
        <v>18740.516018490678</v>
      </c>
      <c r="N30" s="84">
        <f>IF(N12=0,0,N12/TrRail_act!N18*1000)</f>
        <v>18040.445128975651</v>
      </c>
      <c r="O30" s="84">
        <f>IF(O12=0,0,O12/TrRail_act!O18*1000)</f>
        <v>8229.8563415954268</v>
      </c>
      <c r="P30" s="84">
        <f>IF(P12=0,0,P12/TrRail_act!P18*1000)</f>
        <v>7552.479534595981</v>
      </c>
      <c r="Q30" s="84">
        <f>IF(Q12=0,0,Q12/TrRail_act!Q18*1000)</f>
        <v>7403.0149479230258</v>
      </c>
      <c r="R30" s="84">
        <f>IF(R12=0,0,R12/TrRail_act!R18*1000)</f>
        <v>6133.1162209847935</v>
      </c>
      <c r="S30" s="84">
        <f>IF(S12=0,0,S12/TrRail_act!S18*1000)</f>
        <v>6124.6808221056663</v>
      </c>
      <c r="T30" s="84">
        <f>IF(T12=0,0,T12/TrRail_act!T18*1000)</f>
        <v>5934.8110309551312</v>
      </c>
      <c r="U30" s="84">
        <f>IF(U12=0,0,U12/TrRail_act!U18*1000)</f>
        <v>5738.3187083327457</v>
      </c>
      <c r="V30" s="84">
        <f>IF(V12=0,0,V12/TrRail_act!V18*1000)</f>
        <v>5539.2783324928068</v>
      </c>
      <c r="W30" s="84">
        <f>IF(W12=0,0,W12/TrRail_act!W18*1000)</f>
        <v>5394.542008781892</v>
      </c>
      <c r="X30" s="84">
        <f>IF(X12=0,0,X12/TrRail_act!X18*1000)</f>
        <v>5288.4770399145827</v>
      </c>
      <c r="Y30" s="84">
        <f>IF(Y12=0,0,Y12/TrRail_act!Y18*1000)</f>
        <v>5210.2991131856506</v>
      </c>
      <c r="DA30" s="171" t="s">
        <v>1149</v>
      </c>
    </row>
    <row r="31" spans="1:105" ht="11.45" customHeight="1" x14ac:dyDescent="0.25">
      <c r="A31" s="111" t="s">
        <v>93</v>
      </c>
      <c r="B31" s="84">
        <f>IF(B13=0,0,B13/TrRail_act!B19*1000)</f>
        <v>0</v>
      </c>
      <c r="C31" s="84">
        <f>IF(C13=0,0,C13/TrRail_act!C19*1000)</f>
        <v>0</v>
      </c>
      <c r="D31" s="84">
        <f>IF(D13=0,0,D13/TrRail_act!D19*1000)</f>
        <v>0</v>
      </c>
      <c r="E31" s="84">
        <f>IF(E13=0,0,E13/TrRail_act!E19*1000)</f>
        <v>0</v>
      </c>
      <c r="F31" s="84">
        <f>IF(F13=0,0,F13/TrRail_act!F19*1000)</f>
        <v>0</v>
      </c>
      <c r="G31" s="84">
        <f>IF(G13=0,0,G13/TrRail_act!G19*1000)</f>
        <v>0</v>
      </c>
      <c r="H31" s="84">
        <f>IF(H13=0,0,H13/TrRail_act!H19*1000)</f>
        <v>0</v>
      </c>
      <c r="I31" s="84">
        <f>IF(I13=0,0,I13/TrRail_act!I19*1000)</f>
        <v>0</v>
      </c>
      <c r="J31" s="84">
        <f>IF(J13=0,0,J13/TrRail_act!J19*1000)</f>
        <v>0</v>
      </c>
      <c r="K31" s="84">
        <f>IF(K13=0,0,K13/TrRail_act!K19*1000)</f>
        <v>0</v>
      </c>
      <c r="L31" s="84">
        <f>IF(L13=0,0,L13/TrRail_act!L19*1000)</f>
        <v>0</v>
      </c>
      <c r="M31" s="84">
        <f>IF(M13=0,0,M13/TrRail_act!M19*1000)</f>
        <v>0</v>
      </c>
      <c r="N31" s="84">
        <f>IF(N13=0,0,N13/TrRail_act!N19*1000)</f>
        <v>0</v>
      </c>
      <c r="O31" s="84">
        <f>IF(O13=0,0,O13/TrRail_act!O19*1000)</f>
        <v>0</v>
      </c>
      <c r="P31" s="84">
        <f>IF(P13=0,0,P13/TrRail_act!P19*1000)</f>
        <v>0</v>
      </c>
      <c r="Q31" s="84">
        <f>IF(Q13=0,0,Q13/TrRail_act!Q19*1000)</f>
        <v>0</v>
      </c>
      <c r="R31" s="84">
        <f>IF(R13=0,0,R13/TrRail_act!R19*1000)</f>
        <v>0</v>
      </c>
      <c r="S31" s="84">
        <f>IF(S13=0,0,S13/TrRail_act!S19*1000)</f>
        <v>0</v>
      </c>
      <c r="T31" s="84">
        <f>IF(T13=0,0,T13/TrRail_act!T19*1000)</f>
        <v>0</v>
      </c>
      <c r="U31" s="84">
        <f>IF(U13=0,0,U13/TrRail_act!U19*1000)</f>
        <v>0</v>
      </c>
      <c r="V31" s="84">
        <f>IF(V13=0,0,V13/TrRail_act!V19*1000)</f>
        <v>0</v>
      </c>
      <c r="W31" s="84">
        <f>IF(W13=0,0,W13/TrRail_act!W19*1000)</f>
        <v>0</v>
      </c>
      <c r="X31" s="84">
        <f>IF(X13=0,0,X13/TrRail_act!X19*1000)</f>
        <v>0</v>
      </c>
      <c r="Y31" s="84">
        <f>IF(Y13=0,0,Y13/TrRail_act!Y19*1000)</f>
        <v>0</v>
      </c>
      <c r="DA31" s="171" t="s">
        <v>1150</v>
      </c>
    </row>
    <row r="32" spans="1:105" ht="11.45" customHeight="1" x14ac:dyDescent="0.25">
      <c r="A32" s="112" t="s">
        <v>25</v>
      </c>
      <c r="B32" s="113">
        <f>IF(B14=0,0,B14/TrRail_act!B20*1000)</f>
        <v>0</v>
      </c>
      <c r="C32" s="113">
        <f>IF(C14=0,0,C14/TrRail_act!C20*1000)</f>
        <v>0</v>
      </c>
      <c r="D32" s="113">
        <f>IF(D14=0,0,D14/TrRail_act!D20*1000)</f>
        <v>0</v>
      </c>
      <c r="E32" s="113">
        <f>IF(E14=0,0,E14/TrRail_act!E20*1000)</f>
        <v>0</v>
      </c>
      <c r="F32" s="113">
        <f>IF(F14=0,0,F14/TrRail_act!F20*1000)</f>
        <v>0</v>
      </c>
      <c r="G32" s="113">
        <f>IF(G14=0,0,G14/TrRail_act!G20*1000)</f>
        <v>0</v>
      </c>
      <c r="H32" s="113">
        <f>IF(H14=0,0,H14/TrRail_act!H20*1000)</f>
        <v>0</v>
      </c>
      <c r="I32" s="113">
        <f>IF(I14=0,0,I14/TrRail_act!I20*1000)</f>
        <v>0</v>
      </c>
      <c r="J32" s="113">
        <f>IF(J14=0,0,J14/TrRail_act!J20*1000)</f>
        <v>0</v>
      </c>
      <c r="K32" s="113">
        <f>IF(K14=0,0,K14/TrRail_act!K20*1000)</f>
        <v>0</v>
      </c>
      <c r="L32" s="113">
        <f>IF(L14=0,0,L14/TrRail_act!L20*1000)</f>
        <v>0</v>
      </c>
      <c r="M32" s="113">
        <f>IF(M14=0,0,M14/TrRail_act!M20*1000)</f>
        <v>0</v>
      </c>
      <c r="N32" s="113">
        <f>IF(N14=0,0,N14/TrRail_act!N20*1000)</f>
        <v>0</v>
      </c>
      <c r="O32" s="113">
        <f>IF(O14=0,0,O14/TrRail_act!O20*1000)</f>
        <v>0</v>
      </c>
      <c r="P32" s="113">
        <f>IF(P14=0,0,P14/TrRail_act!P20*1000)</f>
        <v>0</v>
      </c>
      <c r="Q32" s="113">
        <f>IF(Q14=0,0,Q14/TrRail_act!Q20*1000)</f>
        <v>0</v>
      </c>
      <c r="R32" s="113">
        <f>IF(R14=0,0,R14/TrRail_act!R20*1000)</f>
        <v>0</v>
      </c>
      <c r="S32" s="113">
        <f>IF(S14=0,0,S14/TrRail_act!S20*1000)</f>
        <v>0</v>
      </c>
      <c r="T32" s="113">
        <f>IF(T14=0,0,T14/TrRail_act!T20*1000)</f>
        <v>0</v>
      </c>
      <c r="U32" s="113">
        <f>IF(U14=0,0,U14/TrRail_act!U20*1000)</f>
        <v>0</v>
      </c>
      <c r="V32" s="113">
        <f>IF(V14=0,0,V14/TrRail_act!V20*1000)</f>
        <v>0</v>
      </c>
      <c r="W32" s="113">
        <f>IF(W14=0,0,W14/TrRail_act!W20*1000)</f>
        <v>0</v>
      </c>
      <c r="X32" s="113">
        <f>IF(X14=0,0,X14/TrRail_act!X20*1000)</f>
        <v>0</v>
      </c>
      <c r="Y32" s="113">
        <f>IF(Y14=0,0,Y14/TrRail_act!Y20*1000)</f>
        <v>0</v>
      </c>
      <c r="DA32" s="204" t="s">
        <v>1151</v>
      </c>
    </row>
    <row r="33" spans="1:105" ht="11.45" customHeight="1" x14ac:dyDescent="0.25">
      <c r="A33" s="27" t="s">
        <v>34</v>
      </c>
      <c r="B33" s="28">
        <f>IF(B15=0,0,B15/TrRail_act!B21*1000)</f>
        <v>19783.930949096706</v>
      </c>
      <c r="C33" s="28">
        <f>IF(C15=0,0,C15/TrRail_act!C21*1000)</f>
        <v>17703.852111525779</v>
      </c>
      <c r="D33" s="28">
        <f>IF(D15=0,0,D15/TrRail_act!D21*1000)</f>
        <v>14243.328944106235</v>
      </c>
      <c r="E33" s="28">
        <f>IF(E15=0,0,E15/TrRail_act!E21*1000)</f>
        <v>11193.709084405438</v>
      </c>
      <c r="F33" s="28">
        <f>IF(F15=0,0,F15/TrRail_act!F21*1000)</f>
        <v>10583.269664777697</v>
      </c>
      <c r="G33" s="28">
        <f>IF(G15=0,0,G15/TrRail_act!G21*1000)</f>
        <v>10240.637327521441</v>
      </c>
      <c r="H33" s="28">
        <f>IF(H15=0,0,H15/TrRail_act!H21*1000)</f>
        <v>18018.617970372696</v>
      </c>
      <c r="I33" s="28">
        <f>IF(I15=0,0,I15/TrRail_act!I21*1000)</f>
        <v>17476.532453226369</v>
      </c>
      <c r="J33" s="28">
        <f>IF(J15=0,0,J15/TrRail_act!J21*1000)</f>
        <v>19397.378626433769</v>
      </c>
      <c r="K33" s="28">
        <f>IF(K15=0,0,K15/TrRail_act!K21*1000)</f>
        <v>32113.299081052945</v>
      </c>
      <c r="L33" s="28">
        <f>IF(L15=0,0,L15/TrRail_act!L21*1000)</f>
        <v>29092.973284668689</v>
      </c>
      <c r="M33" s="28">
        <f>IF(M15=0,0,M15/TrRail_act!M21*1000)</f>
        <v>14964.511882299641</v>
      </c>
      <c r="N33" s="28">
        <f>IF(N15=0,0,N15/TrRail_act!N21*1000)</f>
        <v>17070.69017912219</v>
      </c>
      <c r="O33" s="28">
        <f>IF(O15=0,0,O15/TrRail_act!O21*1000)</f>
        <v>4150.2919230470707</v>
      </c>
      <c r="P33" s="28">
        <f>IF(P15=0,0,P15/TrRail_act!P21*1000)</f>
        <v>3952.7545810319657</v>
      </c>
      <c r="Q33" s="28">
        <f>IF(Q15=0,0,Q15/TrRail_act!Q21*1000)</f>
        <v>2768.8598276958533</v>
      </c>
      <c r="R33" s="28">
        <f>IF(R15=0,0,R15/TrRail_act!R21*1000)</f>
        <v>2512.232157605908</v>
      </c>
      <c r="S33" s="28">
        <f>IF(S15=0,0,S15/TrRail_act!S21*1000)</f>
        <v>4341.6627421962075</v>
      </c>
      <c r="T33" s="28">
        <f>IF(T15=0,0,T15/TrRail_act!T21*1000)</f>
        <v>4929.4100593380326</v>
      </c>
      <c r="U33" s="28">
        <f>IF(U15=0,0,U15/TrRail_act!U21*1000)</f>
        <v>5729.4252069472113</v>
      </c>
      <c r="V33" s="28">
        <f>IF(V15=0,0,V15/TrRail_act!V21*1000)</f>
        <v>3252.8349882681473</v>
      </c>
      <c r="W33" s="28">
        <f>IF(W15=0,0,W15/TrRail_act!W21*1000)</f>
        <v>2370.3101437604646</v>
      </c>
      <c r="X33" s="28">
        <f>IF(X15=0,0,X15/TrRail_act!X21*1000)</f>
        <v>2654.2291020384732</v>
      </c>
      <c r="Y33" s="28">
        <f>IF(Y15=0,0,Y15/TrRail_act!Y21*1000)</f>
        <v>2410.4288949356883</v>
      </c>
      <c r="DA33" s="173" t="s">
        <v>1152</v>
      </c>
    </row>
    <row r="34" spans="1:105" ht="11.45" customHeight="1" x14ac:dyDescent="0.25">
      <c r="A34" s="83" t="s">
        <v>92</v>
      </c>
      <c r="B34" s="84">
        <f>IF(B16=0,0,B16/TrRail_act!B22*1000)</f>
        <v>49169.54489160818</v>
      </c>
      <c r="C34" s="84">
        <f>IF(C16=0,0,C16/TrRail_act!C22*1000)</f>
        <v>48789.669481986872</v>
      </c>
      <c r="D34" s="84">
        <f>IF(D16=0,0,D16/TrRail_act!D22*1000)</f>
        <v>47675.152098265338</v>
      </c>
      <c r="E34" s="84">
        <f>IF(E16=0,0,E16/TrRail_act!E22*1000)</f>
        <v>46290.327494078025</v>
      </c>
      <c r="F34" s="84">
        <f>IF(F16=0,0,F16/TrRail_act!F22*1000)</f>
        <v>45255.819221242113</v>
      </c>
      <c r="G34" s="84">
        <f>IF(G16=0,0,G16/TrRail_act!G22*1000)</f>
        <v>44523.435767108807</v>
      </c>
      <c r="H34" s="84">
        <f>IF(H16=0,0,H16/TrRail_act!H22*1000)</f>
        <v>43591.244867940681</v>
      </c>
      <c r="I34" s="84">
        <f>IF(I16=0,0,I16/TrRail_act!I22*1000)</f>
        <v>43031.412392368169</v>
      </c>
      <c r="J34" s="84">
        <f>IF(J16=0,0,J16/TrRail_act!J22*1000)</f>
        <v>42449.606048973081</v>
      </c>
      <c r="K34" s="84">
        <f>IF(K16=0,0,K16/TrRail_act!K22*1000)</f>
        <v>41704.301179156631</v>
      </c>
      <c r="L34" s="84">
        <f>IF(L16=0,0,L16/TrRail_act!L22*1000)</f>
        <v>41259.389632739243</v>
      </c>
      <c r="M34" s="84">
        <f>IF(M16=0,0,M16/TrRail_act!M22*1000)</f>
        <v>40305.887421020561</v>
      </c>
      <c r="N34" s="84">
        <f>IF(N16=0,0,N16/TrRail_act!N22*1000)</f>
        <v>39996.9030114583</v>
      </c>
      <c r="O34" s="84">
        <f>IF(O16=0,0,O16/TrRail_act!O22*1000)</f>
        <v>19263.321799568774</v>
      </c>
      <c r="P34" s="84">
        <f>IF(P16=0,0,P16/TrRail_act!P22*1000)</f>
        <v>18861.364450795107</v>
      </c>
      <c r="Q34" s="84">
        <f>IF(Q16=0,0,Q16/TrRail_act!Q22*1000)</f>
        <v>18529.091594145451</v>
      </c>
      <c r="R34" s="84">
        <f>IF(R16=0,0,R16/TrRail_act!R22*1000)</f>
        <v>18009.47798063928</v>
      </c>
      <c r="S34" s="84">
        <f>IF(S16=0,0,S16/TrRail_act!S22*1000)</f>
        <v>17629.352921252426</v>
      </c>
      <c r="T34" s="84">
        <f>IF(T16=0,0,T16/TrRail_act!T22*1000)</f>
        <v>17349.533726179434</v>
      </c>
      <c r="U34" s="84">
        <f>IF(U16=0,0,U16/TrRail_act!U22*1000)</f>
        <v>17142.587864675126</v>
      </c>
      <c r="V34" s="84">
        <f>IF(V16=0,0,V16/TrRail_act!V22*1000)</f>
        <v>16989.000010137843</v>
      </c>
      <c r="W34" s="84">
        <f>IF(W16=0,0,W16/TrRail_act!W22*1000)</f>
        <v>16874.71283471676</v>
      </c>
      <c r="X34" s="84">
        <f>IF(X16=0,0,X16/TrRail_act!X22*1000)</f>
        <v>16789.502277630589</v>
      </c>
      <c r="Y34" s="84">
        <f>IF(Y16=0,0,Y16/TrRail_act!Y22*1000)</f>
        <v>16725.8768495933</v>
      </c>
      <c r="DA34" s="171" t="s">
        <v>1153</v>
      </c>
    </row>
    <row r="35" spans="1:105" ht="11.45" customHeight="1" x14ac:dyDescent="0.25">
      <c r="A35" s="85" t="s">
        <v>93</v>
      </c>
      <c r="B35" s="86">
        <f>IF(B17=0,0,B17/TrRail_act!B23*1000)</f>
        <v>0</v>
      </c>
      <c r="C35" s="86">
        <f>IF(C17=0,0,C17/TrRail_act!C23*1000)</f>
        <v>0</v>
      </c>
      <c r="D35" s="86">
        <f>IF(D17=0,0,D17/TrRail_act!D23*1000)</f>
        <v>0</v>
      </c>
      <c r="E35" s="86">
        <f>IF(E17=0,0,E17/TrRail_act!E23*1000)</f>
        <v>0</v>
      </c>
      <c r="F35" s="86">
        <f>IF(F17=0,0,F17/TrRail_act!F23*1000)</f>
        <v>0</v>
      </c>
      <c r="G35" s="86">
        <f>IF(G17=0,0,G17/TrRail_act!G23*1000)</f>
        <v>0</v>
      </c>
      <c r="H35" s="86">
        <f>IF(H17=0,0,H17/TrRail_act!H23*1000)</f>
        <v>0</v>
      </c>
      <c r="I35" s="86">
        <f>IF(I17=0,0,I17/TrRail_act!I23*1000)</f>
        <v>0</v>
      </c>
      <c r="J35" s="86">
        <f>IF(J17=0,0,J17/TrRail_act!J23*1000)</f>
        <v>0</v>
      </c>
      <c r="K35" s="86">
        <f>IF(K17=0,0,K17/TrRail_act!K23*1000)</f>
        <v>0</v>
      </c>
      <c r="L35" s="86">
        <f>IF(L17=0,0,L17/TrRail_act!L23*1000)</f>
        <v>0</v>
      </c>
      <c r="M35" s="86">
        <f>IF(M17=0,0,M17/TrRail_act!M23*1000)</f>
        <v>0</v>
      </c>
      <c r="N35" s="86">
        <f>IF(N17=0,0,N17/TrRail_act!N23*1000)</f>
        <v>0</v>
      </c>
      <c r="O35" s="86">
        <f>IF(O17=0,0,O17/TrRail_act!O23*1000)</f>
        <v>0</v>
      </c>
      <c r="P35" s="86">
        <f>IF(P17=0,0,P17/TrRail_act!P23*1000)</f>
        <v>0</v>
      </c>
      <c r="Q35" s="86">
        <f>IF(Q17=0,0,Q17/TrRail_act!Q23*1000)</f>
        <v>0</v>
      </c>
      <c r="R35" s="86">
        <f>IF(R17=0,0,R17/TrRail_act!R23*1000)</f>
        <v>0</v>
      </c>
      <c r="S35" s="86">
        <f>IF(S17=0,0,S17/TrRail_act!S23*1000)</f>
        <v>0</v>
      </c>
      <c r="T35" s="86">
        <f>IF(T17=0,0,T17/TrRail_act!T23*1000)</f>
        <v>0</v>
      </c>
      <c r="U35" s="86">
        <f>IF(U17=0,0,U17/TrRail_act!U23*1000)</f>
        <v>0</v>
      </c>
      <c r="V35" s="86">
        <f>IF(V17=0,0,V17/TrRail_act!V23*1000)</f>
        <v>0</v>
      </c>
      <c r="W35" s="86">
        <f>IF(W17=0,0,W17/TrRail_act!W23*1000)</f>
        <v>0</v>
      </c>
      <c r="X35" s="86">
        <f>IF(X17=0,0,X17/TrRail_act!X23*1000)</f>
        <v>0</v>
      </c>
      <c r="Y35" s="86">
        <f>IF(Y17=0,0,Y17/TrRail_act!Y23*1000)</f>
        <v>0</v>
      </c>
      <c r="DA35" s="178" t="s">
        <v>1154</v>
      </c>
    </row>
    <row r="36" spans="1:105" x14ac:dyDescent="0.25">
      <c r="A36" s="106"/>
      <c r="B36" s="106"/>
      <c r="C36" s="106"/>
      <c r="D36" s="106"/>
      <c r="E36" s="106"/>
      <c r="F36" s="106"/>
      <c r="G36" s="106"/>
      <c r="H36" s="106"/>
      <c r="I36" s="106"/>
      <c r="J36" s="106"/>
      <c r="K36" s="106"/>
      <c r="L36" s="106"/>
      <c r="M36" s="106"/>
      <c r="N36" s="106"/>
      <c r="O36" s="106"/>
      <c r="P36" s="106"/>
      <c r="Q36" s="106"/>
      <c r="R36" s="106"/>
      <c r="S36" s="106"/>
      <c r="T36" s="106"/>
      <c r="U36" s="106"/>
      <c r="V36" s="106"/>
      <c r="W36" s="106"/>
      <c r="X36" s="106"/>
      <c r="Y36" s="106"/>
      <c r="DA36" s="171"/>
    </row>
    <row r="37" spans="1:105" ht="11.45" customHeight="1" x14ac:dyDescent="0.25">
      <c r="A37" s="53" t="s">
        <v>71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DA37" s="172"/>
    </row>
    <row r="38" spans="1:105" ht="11.45" customHeight="1" x14ac:dyDescent="0.25">
      <c r="A38" s="27" t="s">
        <v>160</v>
      </c>
      <c r="B38" s="29">
        <f>IF(B9=0,0,B9/TrRail_act!B4*1000)</f>
        <v>39.651089408330833</v>
      </c>
      <c r="C38" s="29">
        <f>IF(C9=0,0,C9/TrRail_act!C4*1000)</f>
        <v>40.438587772762546</v>
      </c>
      <c r="D38" s="29">
        <f>IF(D9=0,0,D9/TrRail_act!D4*1000)</f>
        <v>40.930730594053905</v>
      </c>
      <c r="E38" s="29">
        <f>IF(E9=0,0,E9/TrRail_act!E4*1000)</f>
        <v>50.834368822975925</v>
      </c>
      <c r="F38" s="29">
        <f>IF(F9=0,0,F9/TrRail_act!F4*1000)</f>
        <v>62.487626874090481</v>
      </c>
      <c r="G38" s="29">
        <f>IF(G9=0,0,G9/TrRail_act!G4*1000)</f>
        <v>66.434462743463925</v>
      </c>
      <c r="H38" s="29">
        <f>IF(H9=0,0,H9/TrRail_act!H4*1000)</f>
        <v>53.582457153266539</v>
      </c>
      <c r="I38" s="29">
        <f>IF(I9=0,0,I9/TrRail_act!I4*1000)</f>
        <v>60.656578597488533</v>
      </c>
      <c r="J38" s="29">
        <f>IF(J9=0,0,J9/TrRail_act!J4*1000)</f>
        <v>52.62732798973358</v>
      </c>
      <c r="K38" s="29">
        <f>IF(K9=0,0,K9/TrRail_act!K4*1000)</f>
        <v>44.054074843777549</v>
      </c>
      <c r="L38" s="29">
        <f>IF(L9=0,0,L9/TrRail_act!L4*1000)</f>
        <v>41.598891545732769</v>
      </c>
      <c r="M38" s="29">
        <f>IF(M9=0,0,M9/TrRail_act!M4*1000)</f>
        <v>40.646811001478319</v>
      </c>
      <c r="N38" s="29">
        <f>IF(N9=0,0,N9/TrRail_act!N4*1000)</f>
        <v>46.480372544492425</v>
      </c>
      <c r="O38" s="29">
        <f>IF(O9=0,0,O9/TrRail_act!O4*1000)</f>
        <v>5.0039269574992673</v>
      </c>
      <c r="P38" s="29">
        <f>IF(P9=0,0,P9/TrRail_act!P4*1000)</f>
        <v>4.5437383044685911</v>
      </c>
      <c r="Q38" s="29">
        <f>IF(Q9=0,0,Q9/TrRail_act!Q4*1000)</f>
        <v>5.7962265363137915</v>
      </c>
      <c r="R38" s="29">
        <f>IF(R9=0,0,R9/TrRail_act!R4*1000)</f>
        <v>5.442767042207219</v>
      </c>
      <c r="S38" s="29">
        <f>IF(S9=0,0,S9/TrRail_act!S4*1000)</f>
        <v>3.7007954374068879</v>
      </c>
      <c r="T38" s="29">
        <f>IF(T9=0,0,T9/TrRail_act!T4*1000)</f>
        <v>3.2878343661022424</v>
      </c>
      <c r="U38" s="29">
        <f>IF(U9=0,0,U9/TrRail_act!U4*1000)</f>
        <v>2.8907730861551837</v>
      </c>
      <c r="V38" s="29">
        <f>IF(V9=0,0,V9/TrRail_act!V4*1000)</f>
        <v>4.2529519336871413</v>
      </c>
      <c r="W38" s="29">
        <f>IF(W9=0,0,W9/TrRail_act!W4*1000)</f>
        <v>4.6913260896068794</v>
      </c>
      <c r="X38" s="29">
        <f>IF(X9=0,0,X9/TrRail_act!X4*1000)</f>
        <v>2.7834689465462046</v>
      </c>
      <c r="Y38" s="29">
        <f>IF(Y9=0,0,Y9/TrRail_act!Y4*1000)</f>
        <v>2.1118009208142259</v>
      </c>
      <c r="DA38" s="173" t="s">
        <v>440</v>
      </c>
    </row>
    <row r="39" spans="1:105" ht="11.45" customHeight="1" x14ac:dyDescent="0.25">
      <c r="A39" s="107" t="s">
        <v>23</v>
      </c>
      <c r="B39" s="115">
        <f>IF(B10=0,0,B10/TrRail_act!B5*1000)</f>
        <v>0</v>
      </c>
      <c r="C39" s="115">
        <f>IF(C10=0,0,C10/TrRail_act!C5*1000)</f>
        <v>0</v>
      </c>
      <c r="D39" s="115">
        <f>IF(D10=0,0,D10/TrRail_act!D5*1000)</f>
        <v>0</v>
      </c>
      <c r="E39" s="115">
        <f>IF(E10=0,0,E10/TrRail_act!E5*1000)</f>
        <v>0</v>
      </c>
      <c r="F39" s="115">
        <f>IF(F10=0,0,F10/TrRail_act!F5*1000)</f>
        <v>0</v>
      </c>
      <c r="G39" s="115">
        <f>IF(G10=0,0,G10/TrRail_act!G5*1000)</f>
        <v>0</v>
      </c>
      <c r="H39" s="115">
        <f>IF(H10=0,0,H10/TrRail_act!H5*1000)</f>
        <v>0</v>
      </c>
      <c r="I39" s="115">
        <f>IF(I10=0,0,I10/TrRail_act!I5*1000)</f>
        <v>0</v>
      </c>
      <c r="J39" s="115">
        <f>IF(J10=0,0,J10/TrRail_act!J5*1000)</f>
        <v>0</v>
      </c>
      <c r="K39" s="115">
        <f>IF(K10=0,0,K10/TrRail_act!K5*1000)</f>
        <v>0</v>
      </c>
      <c r="L39" s="115">
        <f>IF(L10=0,0,L10/TrRail_act!L5*1000)</f>
        <v>0</v>
      </c>
      <c r="M39" s="115">
        <f>IF(M10=0,0,M10/TrRail_act!M5*1000)</f>
        <v>0</v>
      </c>
      <c r="N39" s="115">
        <f>IF(N10=0,0,N10/TrRail_act!N5*1000)</f>
        <v>0</v>
      </c>
      <c r="O39" s="115">
        <f>IF(O10=0,0,O10/TrRail_act!O5*1000)</f>
        <v>0</v>
      </c>
      <c r="P39" s="115">
        <f>IF(P10=0,0,P10/TrRail_act!P5*1000)</f>
        <v>0</v>
      </c>
      <c r="Q39" s="115">
        <f>IF(Q10=0,0,Q10/TrRail_act!Q5*1000)</f>
        <v>0</v>
      </c>
      <c r="R39" s="115">
        <f>IF(R10=0,0,R10/TrRail_act!R5*1000)</f>
        <v>0</v>
      </c>
      <c r="S39" s="115">
        <f>IF(S10=0,0,S10/TrRail_act!S5*1000)</f>
        <v>0</v>
      </c>
      <c r="T39" s="115">
        <f>IF(T10=0,0,T10/TrRail_act!T5*1000)</f>
        <v>0</v>
      </c>
      <c r="U39" s="115">
        <f>IF(U10=0,0,U10/TrRail_act!U5*1000)</f>
        <v>0</v>
      </c>
      <c r="V39" s="115">
        <f>IF(V10=0,0,V10/TrRail_act!V5*1000)</f>
        <v>0</v>
      </c>
      <c r="W39" s="115">
        <f>IF(W10=0,0,W10/TrRail_act!W5*1000)</f>
        <v>0</v>
      </c>
      <c r="X39" s="115">
        <f>IF(X10=0,0,X10/TrRail_act!X5*1000)</f>
        <v>0</v>
      </c>
      <c r="Y39" s="115">
        <f>IF(Y10=0,0,Y10/TrRail_act!Y5*1000)</f>
        <v>0</v>
      </c>
      <c r="DA39" s="203" t="s">
        <v>441</v>
      </c>
    </row>
    <row r="40" spans="1:105" ht="11.45" customHeight="1" x14ac:dyDescent="0.25">
      <c r="A40" s="109" t="s">
        <v>24</v>
      </c>
      <c r="B40" s="116">
        <f>IF(B11=0,0,B11/TrRail_act!B6*1000)</f>
        <v>55.274516132676993</v>
      </c>
      <c r="C40" s="116">
        <f>IF(C11=0,0,C11/TrRail_act!C6*1000)</f>
        <v>56.434161636054093</v>
      </c>
      <c r="D40" s="116">
        <f>IF(D11=0,0,D11/TrRail_act!D6*1000)</f>
        <v>57.451431681438464</v>
      </c>
      <c r="E40" s="116">
        <f>IF(E11=0,0,E11/TrRail_act!E6*1000)</f>
        <v>71.133517043543335</v>
      </c>
      <c r="F40" s="116">
        <f>IF(F11=0,0,F11/TrRail_act!F6*1000)</f>
        <v>89.410469227087759</v>
      </c>
      <c r="G40" s="116">
        <f>IF(G11=0,0,G11/TrRail_act!G6*1000)</f>
        <v>95.087336726707136</v>
      </c>
      <c r="H40" s="116">
        <f>IF(H11=0,0,H11/TrRail_act!H6*1000)</f>
        <v>78.145684754905687</v>
      </c>
      <c r="I40" s="116">
        <f>IF(I11=0,0,I11/TrRail_act!I6*1000)</f>
        <v>88.968229505799812</v>
      </c>
      <c r="J40" s="116">
        <f>IF(J11=0,0,J11/TrRail_act!J6*1000)</f>
        <v>86.741429001362789</v>
      </c>
      <c r="K40" s="116">
        <f>IF(K11=0,0,K11/TrRail_act!K6*1000)</f>
        <v>111.38310816008216</v>
      </c>
      <c r="L40" s="116">
        <f>IF(L11=0,0,L11/TrRail_act!L6*1000)</f>
        <v>116.36109641582595</v>
      </c>
      <c r="M40" s="116">
        <f>IF(M11=0,0,M11/TrRail_act!M6*1000)</f>
        <v>106.94603391664471</v>
      </c>
      <c r="N40" s="116">
        <f>IF(N11=0,0,N11/TrRail_act!N6*1000)</f>
        <v>122.55819906016536</v>
      </c>
      <c r="O40" s="116">
        <f>IF(O11=0,0,O11/TrRail_act!O6*1000)</f>
        <v>13.936099689067975</v>
      </c>
      <c r="P40" s="116">
        <f>IF(P11=0,0,P11/TrRail_act!P6*1000)</f>
        <v>11.91961932106879</v>
      </c>
      <c r="Q40" s="116">
        <f>IF(Q11=0,0,Q11/TrRail_act!Q6*1000)</f>
        <v>16.088304170831055</v>
      </c>
      <c r="R40" s="116">
        <f>IF(R11=0,0,R11/TrRail_act!R6*1000)</f>
        <v>16.011000525397819</v>
      </c>
      <c r="S40" s="116">
        <f>IF(S11=0,0,S11/TrRail_act!S6*1000)</f>
        <v>10.877143343422578</v>
      </c>
      <c r="T40" s="116">
        <f>IF(T11=0,0,T11/TrRail_act!T6*1000)</f>
        <v>9.9350684534693254</v>
      </c>
      <c r="U40" s="116">
        <f>IF(U11=0,0,U11/TrRail_act!U6*1000)</f>
        <v>8.331291300148937</v>
      </c>
      <c r="V40" s="116">
        <f>IF(V11=0,0,V11/TrRail_act!V6*1000)</f>
        <v>10.751641809850158</v>
      </c>
      <c r="W40" s="116">
        <f>IF(W11=0,0,W11/TrRail_act!W6*1000)</f>
        <v>9.8567267419182016</v>
      </c>
      <c r="X40" s="116">
        <f>IF(X11=0,0,X11/TrRail_act!X6*1000)</f>
        <v>5.4201092786893863</v>
      </c>
      <c r="Y40" s="116">
        <f>IF(Y11=0,0,Y11/TrRail_act!Y6*1000)</f>
        <v>3.6492884368303153</v>
      </c>
      <c r="DA40" s="176" t="s">
        <v>442</v>
      </c>
    </row>
    <row r="41" spans="1:105" ht="11.45" customHeight="1" x14ac:dyDescent="0.25">
      <c r="A41" s="111" t="s">
        <v>92</v>
      </c>
      <c r="B41" s="87">
        <f>IF(B12=0,0,B12/TrRail_act!B7*1000)</f>
        <v>214.36473120706179</v>
      </c>
      <c r="C41" s="87">
        <f>IF(C12=0,0,C12/TrRail_act!C7*1000)</f>
        <v>206.49840053097216</v>
      </c>
      <c r="D41" s="87">
        <f>IF(D12=0,0,D12/TrRail_act!D7*1000)</f>
        <v>219.76841046136866</v>
      </c>
      <c r="E41" s="87">
        <f>IF(E12=0,0,E12/TrRail_act!E7*1000)</f>
        <v>285.21301702461216</v>
      </c>
      <c r="F41" s="87">
        <f>IF(F12=0,0,F12/TrRail_act!F7*1000)</f>
        <v>372.78228382689827</v>
      </c>
      <c r="G41" s="87">
        <f>IF(G12=0,0,G12/TrRail_act!G7*1000)</f>
        <v>406.8844522145244</v>
      </c>
      <c r="H41" s="87">
        <f>IF(H12=0,0,H12/TrRail_act!H7*1000)</f>
        <v>181.3022087712915</v>
      </c>
      <c r="I41" s="87">
        <f>IF(I12=0,0,I12/TrRail_act!I7*1000)</f>
        <v>224.72566057940111</v>
      </c>
      <c r="J41" s="87">
        <f>IF(J12=0,0,J12/TrRail_act!J7*1000)</f>
        <v>239.03513196555875</v>
      </c>
      <c r="K41" s="87">
        <f>IF(K12=0,0,K12/TrRail_act!K7*1000)</f>
        <v>189.78303366362996</v>
      </c>
      <c r="L41" s="87">
        <f>IF(L12=0,0,L12/TrRail_act!L7*1000)</f>
        <v>191.14206472465756</v>
      </c>
      <c r="M41" s="87">
        <f>IF(M12=0,0,M12/TrRail_act!M7*1000)</f>
        <v>384.01560954652717</v>
      </c>
      <c r="N41" s="87">
        <f>IF(N12=0,0,N12/TrRail_act!N7*1000)</f>
        <v>403.07736980154874</v>
      </c>
      <c r="O41" s="87">
        <f>IF(O12=0,0,O12/TrRail_act!O7*1000)</f>
        <v>82.767542011717552</v>
      </c>
      <c r="P41" s="87">
        <f>IF(P12=0,0,P12/TrRail_act!P7*1000)</f>
        <v>74.71317539941947</v>
      </c>
      <c r="Q41" s="87">
        <f>IF(Q12=0,0,Q12/TrRail_act!Q7*1000)</f>
        <v>123.55220653070405</v>
      </c>
      <c r="R41" s="87">
        <f>IF(R12=0,0,R12/TrRail_act!R7*1000)</f>
        <v>145.79494289652285</v>
      </c>
      <c r="S41" s="87">
        <f>IF(S12=0,0,S12/TrRail_act!S7*1000)</f>
        <v>75.403552747112855</v>
      </c>
      <c r="T41" s="87">
        <f>IF(T12=0,0,T12/TrRail_act!T7*1000)</f>
        <v>69.478719569955061</v>
      </c>
      <c r="U41" s="87">
        <f>IF(U12=0,0,U12/TrRail_act!U7*1000)</f>
        <v>57.337383975091932</v>
      </c>
      <c r="V41" s="87">
        <f>IF(V12=0,0,V12/TrRail_act!V7*1000)</f>
        <v>107.16223371877022</v>
      </c>
      <c r="W41" s="87">
        <f>IF(W12=0,0,W12/TrRail_act!W7*1000)</f>
        <v>287.7126911306583</v>
      </c>
      <c r="X41" s="87">
        <f>IF(X12=0,0,X12/TrRail_act!X7*1000)</f>
        <v>186.46946467176389</v>
      </c>
      <c r="Y41" s="87">
        <f>IF(Y12=0,0,Y12/TrRail_act!Y7*1000)</f>
        <v>144.66834988444077</v>
      </c>
      <c r="DA41" s="171" t="s">
        <v>1155</v>
      </c>
    </row>
    <row r="42" spans="1:105" ht="11.45" customHeight="1" x14ac:dyDescent="0.25">
      <c r="A42" s="111" t="s">
        <v>93</v>
      </c>
      <c r="B42" s="87">
        <f>IF(B13=0,0,B13/TrRail_act!B8*1000)</f>
        <v>0</v>
      </c>
      <c r="C42" s="87">
        <f>IF(C13=0,0,C13/TrRail_act!C8*1000)</f>
        <v>0</v>
      </c>
      <c r="D42" s="87">
        <f>IF(D13=0,0,D13/TrRail_act!D8*1000)</f>
        <v>0</v>
      </c>
      <c r="E42" s="87">
        <f>IF(E13=0,0,E13/TrRail_act!E8*1000)</f>
        <v>0</v>
      </c>
      <c r="F42" s="87">
        <f>IF(F13=0,0,F13/TrRail_act!F8*1000)</f>
        <v>0</v>
      </c>
      <c r="G42" s="87">
        <f>IF(G13=0,0,G13/TrRail_act!G8*1000)</f>
        <v>0</v>
      </c>
      <c r="H42" s="87">
        <f>IF(H13=0,0,H13/TrRail_act!H8*1000)</f>
        <v>0</v>
      </c>
      <c r="I42" s="87">
        <f>IF(I13=0,0,I13/TrRail_act!I8*1000)</f>
        <v>0</v>
      </c>
      <c r="J42" s="87">
        <f>IF(J13=0,0,J13/TrRail_act!J8*1000)</f>
        <v>0</v>
      </c>
      <c r="K42" s="87">
        <f>IF(K13=0,0,K13/TrRail_act!K8*1000)</f>
        <v>0</v>
      </c>
      <c r="L42" s="87">
        <f>IF(L13=0,0,L13/TrRail_act!L8*1000)</f>
        <v>0</v>
      </c>
      <c r="M42" s="87">
        <f>IF(M13=0,0,M13/TrRail_act!M8*1000)</f>
        <v>0</v>
      </c>
      <c r="N42" s="87">
        <f>IF(N13=0,0,N13/TrRail_act!N8*1000)</f>
        <v>0</v>
      </c>
      <c r="O42" s="87">
        <f>IF(O13=0,0,O13/TrRail_act!O8*1000)</f>
        <v>0</v>
      </c>
      <c r="P42" s="87">
        <f>IF(P13=0,0,P13/TrRail_act!P8*1000)</f>
        <v>0</v>
      </c>
      <c r="Q42" s="87">
        <f>IF(Q13=0,0,Q13/TrRail_act!Q8*1000)</f>
        <v>0</v>
      </c>
      <c r="R42" s="87">
        <f>IF(R13=0,0,R13/TrRail_act!R8*1000)</f>
        <v>0</v>
      </c>
      <c r="S42" s="87">
        <f>IF(S13=0,0,S13/TrRail_act!S8*1000)</f>
        <v>0</v>
      </c>
      <c r="T42" s="87">
        <f>IF(T13=0,0,T13/TrRail_act!T8*1000)</f>
        <v>0</v>
      </c>
      <c r="U42" s="87">
        <f>IF(U13=0,0,U13/TrRail_act!U8*1000)</f>
        <v>0</v>
      </c>
      <c r="V42" s="87">
        <f>IF(V13=0,0,V13/TrRail_act!V8*1000)</f>
        <v>0</v>
      </c>
      <c r="W42" s="87">
        <f>IF(W13=0,0,W13/TrRail_act!W8*1000)</f>
        <v>0</v>
      </c>
      <c r="X42" s="87">
        <f>IF(X13=0,0,X13/TrRail_act!X8*1000)</f>
        <v>0</v>
      </c>
      <c r="Y42" s="87">
        <f>IF(Y13=0,0,Y13/TrRail_act!Y8*1000)</f>
        <v>0</v>
      </c>
      <c r="DA42" s="171" t="s">
        <v>1156</v>
      </c>
    </row>
    <row r="43" spans="1:105" ht="11.45" customHeight="1" x14ac:dyDescent="0.25">
      <c r="A43" s="112" t="s">
        <v>25</v>
      </c>
      <c r="B43" s="117">
        <f>IF(B14=0,0,B14/TrRail_act!B9*1000)</f>
        <v>0</v>
      </c>
      <c r="C43" s="117">
        <f>IF(C14=0,0,C14/TrRail_act!C9*1000)</f>
        <v>0</v>
      </c>
      <c r="D43" s="117">
        <f>IF(D14=0,0,D14/TrRail_act!D9*1000)</f>
        <v>0</v>
      </c>
      <c r="E43" s="117">
        <f>IF(E14=0,0,E14/TrRail_act!E9*1000)</f>
        <v>0</v>
      </c>
      <c r="F43" s="117">
        <f>IF(F14=0,0,F14/TrRail_act!F9*1000)</f>
        <v>0</v>
      </c>
      <c r="G43" s="117">
        <f>IF(G14=0,0,G14/TrRail_act!G9*1000)</f>
        <v>0</v>
      </c>
      <c r="H43" s="117">
        <f>IF(H14=0,0,H14/TrRail_act!H9*1000)</f>
        <v>0</v>
      </c>
      <c r="I43" s="117">
        <f>IF(I14=0,0,I14/TrRail_act!I9*1000)</f>
        <v>0</v>
      </c>
      <c r="J43" s="117">
        <f>IF(J14=0,0,J14/TrRail_act!J9*1000)</f>
        <v>0</v>
      </c>
      <c r="K43" s="117">
        <f>IF(K14=0,0,K14/TrRail_act!K9*1000)</f>
        <v>0</v>
      </c>
      <c r="L43" s="117">
        <f>IF(L14=0,0,L14/TrRail_act!L9*1000)</f>
        <v>0</v>
      </c>
      <c r="M43" s="117">
        <f>IF(M14=0,0,M14/TrRail_act!M9*1000)</f>
        <v>0</v>
      </c>
      <c r="N43" s="117">
        <f>IF(N14=0,0,N14/TrRail_act!N9*1000)</f>
        <v>0</v>
      </c>
      <c r="O43" s="117">
        <f>IF(O14=0,0,O14/TrRail_act!O9*1000)</f>
        <v>0</v>
      </c>
      <c r="P43" s="117">
        <f>IF(P14=0,0,P14/TrRail_act!P9*1000)</f>
        <v>0</v>
      </c>
      <c r="Q43" s="117">
        <f>IF(Q14=0,0,Q14/TrRail_act!Q9*1000)</f>
        <v>0</v>
      </c>
      <c r="R43" s="117">
        <f>IF(R14=0,0,R14/TrRail_act!R9*1000)</f>
        <v>0</v>
      </c>
      <c r="S43" s="117">
        <f>IF(S14=0,0,S14/TrRail_act!S9*1000)</f>
        <v>0</v>
      </c>
      <c r="T43" s="117">
        <f>IF(T14=0,0,T14/TrRail_act!T9*1000)</f>
        <v>0</v>
      </c>
      <c r="U43" s="117">
        <f>IF(U14=0,0,U14/TrRail_act!U9*1000)</f>
        <v>0</v>
      </c>
      <c r="V43" s="117">
        <f>IF(V14=0,0,V14/TrRail_act!V9*1000)</f>
        <v>0</v>
      </c>
      <c r="W43" s="117">
        <f>IF(W14=0,0,W14/TrRail_act!W9*1000)</f>
        <v>0</v>
      </c>
      <c r="X43" s="117">
        <f>IF(X14=0,0,X14/TrRail_act!X9*1000)</f>
        <v>0</v>
      </c>
      <c r="Y43" s="117">
        <f>IF(Y14=0,0,Y14/TrRail_act!Y9*1000)</f>
        <v>0</v>
      </c>
      <c r="DA43" s="204" t="s">
        <v>443</v>
      </c>
    </row>
    <row r="44" spans="1:105" ht="11.45" customHeight="1" x14ac:dyDescent="0.25">
      <c r="A44" s="27" t="s">
        <v>159</v>
      </c>
      <c r="B44" s="29">
        <f>IF(B15=0,0,B15/TrRail_act!B10*1000)</f>
        <v>44.044238576371129</v>
      </c>
      <c r="C44" s="29">
        <f>IF(C15=0,0,C15/TrRail_act!C10*1000)</f>
        <v>47.551837870666255</v>
      </c>
      <c r="D44" s="29">
        <f>IF(D15=0,0,D15/TrRail_act!D10*1000)</f>
        <v>42.375037539170918</v>
      </c>
      <c r="E44" s="29">
        <f>IF(E15=0,0,E15/TrRail_act!E10*1000)</f>
        <v>34.811899423763002</v>
      </c>
      <c r="F44" s="29">
        <f>IF(F15=0,0,F15/TrRail_act!F10*1000)</f>
        <v>32.912794608802429</v>
      </c>
      <c r="G44" s="29">
        <f>IF(G15=0,0,G15/TrRail_act!G10*1000)</f>
        <v>33.565105040531051</v>
      </c>
      <c r="H44" s="29">
        <f>IF(H15=0,0,H15/TrRail_act!H10*1000)</f>
        <v>39.758657727821728</v>
      </c>
      <c r="I44" s="29">
        <f>IF(I15=0,0,I15/TrRail_act!I10*1000)</f>
        <v>55.883033504562313</v>
      </c>
      <c r="J44" s="29">
        <f>IF(J15=0,0,J15/TrRail_act!J10*1000)</f>
        <v>58.594417515341114</v>
      </c>
      <c r="K44" s="29">
        <f>IF(K15=0,0,K15/TrRail_act!K10*1000)</f>
        <v>78.93566164513507</v>
      </c>
      <c r="L44" s="29">
        <f>IF(L15=0,0,L15/TrRail_act!L10*1000)</f>
        <v>81.41720879138488</v>
      </c>
      <c r="M44" s="29">
        <f>IF(M15=0,0,M15/TrRail_act!M10*1000)</f>
        <v>41.084451667328366</v>
      </c>
      <c r="N44" s="29">
        <f>IF(N15=0,0,N15/TrRail_act!N10*1000)</f>
        <v>42.917695929286474</v>
      </c>
      <c r="O44" s="29">
        <f>IF(O15=0,0,O15/TrRail_act!O10*1000)</f>
        <v>10.474125657949592</v>
      </c>
      <c r="P44" s="29">
        <f>IF(P15=0,0,P15/TrRail_act!P10*1000)</f>
        <v>9.8325358863737105</v>
      </c>
      <c r="Q44" s="29">
        <f>IF(Q15=0,0,Q15/TrRail_act!Q10*1000)</f>
        <v>7.3225374243567751</v>
      </c>
      <c r="R44" s="29">
        <f>IF(R15=0,0,R15/TrRail_act!R10*1000)</f>
        <v>5.9361289781567139</v>
      </c>
      <c r="S44" s="29">
        <f>IF(S15=0,0,S15/TrRail_act!S10*1000)</f>
        <v>10.909126176810238</v>
      </c>
      <c r="T44" s="29">
        <f>IF(T15=0,0,T15/TrRail_act!T10*1000)</f>
        <v>12.16675481624865</v>
      </c>
      <c r="U44" s="29">
        <f>IF(U15=0,0,U15/TrRail_act!U10*1000)</f>
        <v>14.159637941110853</v>
      </c>
      <c r="V44" s="29">
        <f>IF(V15=0,0,V15/TrRail_act!V10*1000)</f>
        <v>13.299641188862852</v>
      </c>
      <c r="W44" s="29">
        <f>IF(W15=0,0,W15/TrRail_act!W10*1000)</f>
        <v>6.4571202524444802</v>
      </c>
      <c r="X44" s="29">
        <f>IF(X15=0,0,X15/TrRail_act!X10*1000)</f>
        <v>6.4712934581616084</v>
      </c>
      <c r="Y44" s="29">
        <f>IF(Y15=0,0,Y15/TrRail_act!Y10*1000)</f>
        <v>5.604169693013243</v>
      </c>
      <c r="DA44" s="173" t="s">
        <v>448</v>
      </c>
    </row>
    <row r="45" spans="1:105" ht="11.45" customHeight="1" x14ac:dyDescent="0.25">
      <c r="A45" s="83" t="s">
        <v>92</v>
      </c>
      <c r="B45" s="87">
        <f>IF(B16=0,0,B16/TrRail_act!B11*1000)</f>
        <v>146.06574398145503</v>
      </c>
      <c r="C45" s="87">
        <f>IF(C16=0,0,C16/TrRail_act!C11*1000)</f>
        <v>142.85989846161627</v>
      </c>
      <c r="D45" s="87">
        <f>IF(D16=0,0,D16/TrRail_act!D11*1000)</f>
        <v>139.19493378392414</v>
      </c>
      <c r="E45" s="87">
        <f>IF(E16=0,0,E16/TrRail_act!E11*1000)</f>
        <v>147.52320370284045</v>
      </c>
      <c r="F45" s="87">
        <f>IF(F16=0,0,F16/TrRail_act!F11*1000)</f>
        <v>144.30304420741047</v>
      </c>
      <c r="G45" s="87">
        <f>IF(G16=0,0,G16/TrRail_act!G11*1000)</f>
        <v>141.83119895394998</v>
      </c>
      <c r="H45" s="87">
        <f>IF(H16=0,0,H16/TrRail_act!H11*1000)</f>
        <v>88.735324597362933</v>
      </c>
      <c r="I45" s="87">
        <f>IF(I16=0,0,I16/TrRail_act!I11*1000)</f>
        <v>127.20435254690582</v>
      </c>
      <c r="J45" s="87">
        <f>IF(J16=0,0,J16/TrRail_act!J11*1000)</f>
        <v>124.9179138944006</v>
      </c>
      <c r="K45" s="87">
        <f>IF(K16=0,0,K16/TrRail_act!K11*1000)</f>
        <v>94.988621625488406</v>
      </c>
      <c r="L45" s="87">
        <f>IF(L16=0,0,L16/TrRail_act!L11*1000)</f>
        <v>106.96809385069676</v>
      </c>
      <c r="M45" s="87">
        <f>IF(M16=0,0,M16/TrRail_act!M11*1000)</f>
        <v>113.64314329412586</v>
      </c>
      <c r="N45" s="87">
        <f>IF(N16=0,0,N16/TrRail_act!N11*1000)</f>
        <v>103.34899144081476</v>
      </c>
      <c r="O45" s="87">
        <f>IF(O16=0,0,O16/TrRail_act!O11*1000)</f>
        <v>44.454830501444576</v>
      </c>
      <c r="P45" s="87">
        <f>IF(P16=0,0,P16/TrRail_act!P11*1000)</f>
        <v>42.882945014224482</v>
      </c>
      <c r="Q45" s="87">
        <f>IF(Q16=0,0,Q16/TrRail_act!Q11*1000)</f>
        <v>39.191691211048465</v>
      </c>
      <c r="R45" s="87">
        <f>IF(R16=0,0,R16/TrRail_act!R11*1000)</f>
        <v>39.102467874198886</v>
      </c>
      <c r="S45" s="87">
        <f>IF(S16=0,0,S16/TrRail_act!S11*1000)</f>
        <v>54.110514531341629</v>
      </c>
      <c r="T45" s="87">
        <f>IF(T16=0,0,T16/TrRail_act!T11*1000)</f>
        <v>64.759128984490147</v>
      </c>
      <c r="U45" s="87">
        <f>IF(U16=0,0,U16/TrRail_act!U11*1000)</f>
        <v>71.235469263897485</v>
      </c>
      <c r="V45" s="87">
        <f>IF(V16=0,0,V16/TrRail_act!V11*1000)</f>
        <v>96.758057620126792</v>
      </c>
      <c r="W45" s="87">
        <f>IF(W16=0,0,W16/TrRail_act!W11*1000)</f>
        <v>105.98740795566434</v>
      </c>
      <c r="X45" s="87">
        <f>IF(X16=0,0,X16/TrRail_act!X11*1000)</f>
        <v>113.88173117890841</v>
      </c>
      <c r="Y45" s="87">
        <f>IF(Y16=0,0,Y16/TrRail_act!Y11*1000)</f>
        <v>111.62108002269763</v>
      </c>
      <c r="DA45" s="171" t="s">
        <v>1157</v>
      </c>
    </row>
    <row r="46" spans="1:105" ht="11.45" customHeight="1" x14ac:dyDescent="0.25">
      <c r="A46" s="85" t="s">
        <v>93</v>
      </c>
      <c r="B46" s="88">
        <f>IF(B17=0,0,B17/TrRail_act!B12*1000)</f>
        <v>0</v>
      </c>
      <c r="C46" s="88">
        <f>IF(C17=0,0,C17/TrRail_act!C12*1000)</f>
        <v>0</v>
      </c>
      <c r="D46" s="88">
        <f>IF(D17=0,0,D17/TrRail_act!D12*1000)</f>
        <v>0</v>
      </c>
      <c r="E46" s="88">
        <f>IF(E17=0,0,E17/TrRail_act!E12*1000)</f>
        <v>0</v>
      </c>
      <c r="F46" s="88">
        <f>IF(F17=0,0,F17/TrRail_act!F12*1000)</f>
        <v>0</v>
      </c>
      <c r="G46" s="88">
        <f>IF(G17=0,0,G17/TrRail_act!G12*1000)</f>
        <v>0</v>
      </c>
      <c r="H46" s="88">
        <f>IF(H17=0,0,H17/TrRail_act!H12*1000)</f>
        <v>0</v>
      </c>
      <c r="I46" s="88">
        <f>IF(I17=0,0,I17/TrRail_act!I12*1000)</f>
        <v>0</v>
      </c>
      <c r="J46" s="88">
        <f>IF(J17=0,0,J17/TrRail_act!J12*1000)</f>
        <v>0</v>
      </c>
      <c r="K46" s="88">
        <f>IF(K17=0,0,K17/TrRail_act!K12*1000)</f>
        <v>0</v>
      </c>
      <c r="L46" s="88">
        <f>IF(L17=0,0,L17/TrRail_act!L12*1000)</f>
        <v>0</v>
      </c>
      <c r="M46" s="88">
        <f>IF(M17=0,0,M17/TrRail_act!M12*1000)</f>
        <v>0</v>
      </c>
      <c r="N46" s="88">
        <f>IF(N17=0,0,N17/TrRail_act!N12*1000)</f>
        <v>0</v>
      </c>
      <c r="O46" s="88">
        <f>IF(O17=0,0,O17/TrRail_act!O12*1000)</f>
        <v>0</v>
      </c>
      <c r="P46" s="88">
        <f>IF(P17=0,0,P17/TrRail_act!P12*1000)</f>
        <v>0</v>
      </c>
      <c r="Q46" s="88">
        <f>IF(Q17=0,0,Q17/TrRail_act!Q12*1000)</f>
        <v>0</v>
      </c>
      <c r="R46" s="88">
        <f>IF(R17=0,0,R17/TrRail_act!R12*1000)</f>
        <v>0</v>
      </c>
      <c r="S46" s="88">
        <f>IF(S17=0,0,S17/TrRail_act!S12*1000)</f>
        <v>0</v>
      </c>
      <c r="T46" s="88">
        <f>IF(T17=0,0,T17/TrRail_act!T12*1000)</f>
        <v>0</v>
      </c>
      <c r="U46" s="88">
        <f>IF(U17=0,0,U17/TrRail_act!U12*1000)</f>
        <v>0</v>
      </c>
      <c r="V46" s="88">
        <f>IF(V17=0,0,V17/TrRail_act!V12*1000)</f>
        <v>0</v>
      </c>
      <c r="W46" s="88">
        <f>IF(W17=0,0,W17/TrRail_act!W12*1000)</f>
        <v>0</v>
      </c>
      <c r="X46" s="88">
        <f>IF(X17=0,0,X17/TrRail_act!X12*1000)</f>
        <v>0</v>
      </c>
      <c r="Y46" s="88">
        <f>IF(Y17=0,0,Y17/TrRail_act!Y12*1000)</f>
        <v>0</v>
      </c>
      <c r="DA46" s="178" t="s">
        <v>1158</v>
      </c>
    </row>
    <row r="47" spans="1:105" x14ac:dyDescent="0.25">
      <c r="A47" s="106"/>
      <c r="B47" s="106"/>
      <c r="C47" s="106"/>
      <c r="D47" s="106"/>
      <c r="E47" s="106"/>
      <c r="F47" s="106"/>
      <c r="G47" s="106"/>
      <c r="H47" s="106"/>
      <c r="I47" s="106"/>
      <c r="J47" s="106"/>
      <c r="K47" s="106"/>
      <c r="L47" s="106"/>
      <c r="M47" s="106"/>
      <c r="N47" s="106"/>
      <c r="O47" s="106"/>
      <c r="P47" s="106"/>
      <c r="Q47" s="106"/>
      <c r="R47" s="106"/>
      <c r="S47" s="106"/>
      <c r="T47" s="106"/>
      <c r="U47" s="106"/>
      <c r="V47" s="106"/>
      <c r="W47" s="106"/>
      <c r="X47" s="106"/>
      <c r="Y47" s="106"/>
      <c r="DA47" s="171"/>
    </row>
    <row r="48" spans="1:105" ht="11.45" customHeight="1" x14ac:dyDescent="0.25">
      <c r="A48" s="53" t="s">
        <v>94</v>
      </c>
      <c r="B48" s="62">
        <f>IF(B8=0,0,1000000*B8/TrRail_act!B25/1000)</f>
        <v>1011.0785063601013</v>
      </c>
      <c r="C48" s="62">
        <f>IF(C8=0,0,1000000*C8/TrRail_act!C25/1000)</f>
        <v>987.37933940136713</v>
      </c>
      <c r="D48" s="62">
        <f>IF(D8=0,0,1000000*D8/TrRail_act!D25/1000)</f>
        <v>900.79659448535779</v>
      </c>
      <c r="E48" s="62">
        <f>IF(E8=0,0,1000000*E8/TrRail_act!E25/1000)</f>
        <v>895.00462068019306</v>
      </c>
      <c r="F48" s="62">
        <f>IF(F8=0,0,1000000*F8/TrRail_act!F25/1000)</f>
        <v>953.72265224392061</v>
      </c>
      <c r="G48" s="62">
        <f>IF(G8=0,0,1000000*G8/TrRail_act!G25/1000)</f>
        <v>948.15295943583237</v>
      </c>
      <c r="H48" s="62">
        <f>IF(H8=0,0,1000000*H8/TrRail_act!H25/1000)</f>
        <v>861.55042042712591</v>
      </c>
      <c r="I48" s="62">
        <f>IF(I8=0,0,1000000*I8/TrRail_act!I25/1000)</f>
        <v>1017.4199783040449</v>
      </c>
      <c r="J48" s="62">
        <f>IF(J8=0,0,1000000*J8/TrRail_act!J25/1000)</f>
        <v>993.16052190174628</v>
      </c>
      <c r="K48" s="62">
        <f>IF(K8=0,0,1000000*K8/TrRail_act!K25/1000)</f>
        <v>856.06321323291991</v>
      </c>
      <c r="L48" s="62">
        <f>IF(L8=0,0,1000000*L8/TrRail_act!L25/1000)</f>
        <v>850.46710800556559</v>
      </c>
      <c r="M48" s="62">
        <f>IF(M8=0,0,1000000*M8/TrRail_act!M25/1000)</f>
        <v>721.93993094098198</v>
      </c>
      <c r="N48" s="62">
        <f>IF(N8=0,0,1000000*N8/TrRail_act!N25/1000)</f>
        <v>772.45686477055528</v>
      </c>
      <c r="O48" s="62">
        <f>IF(O8=0,0,1000000*O8/TrRail_act!O25/1000)</f>
        <v>115.26112932124886</v>
      </c>
      <c r="P48" s="62">
        <f>IF(P8=0,0,1000000*P8/TrRail_act!P25/1000)</f>
        <v>111.56666667347503</v>
      </c>
      <c r="Q48" s="62">
        <f>IF(Q8=0,0,1000000*Q8/TrRail_act!Q25/1000)</f>
        <v>122.08007379873121</v>
      </c>
      <c r="R48" s="62">
        <f>IF(R8=0,0,1000000*R8/TrRail_act!R25/1000)</f>
        <v>111.05418133436523</v>
      </c>
      <c r="S48" s="62">
        <f>IF(S8=0,0,1000000*S8/TrRail_act!S25/1000)</f>
        <v>109.4578271712158</v>
      </c>
      <c r="T48" s="62">
        <f>IF(T8=0,0,1000000*T8/TrRail_act!T25/1000)</f>
        <v>109.57261157724135</v>
      </c>
      <c r="U48" s="62">
        <f>IF(U8=0,0,1000000*U8/TrRail_act!U25/1000)</f>
        <v>117.38335993070685</v>
      </c>
      <c r="V48" s="62">
        <f>IF(V8=0,0,1000000*V8/TrRail_act!V25/1000)</f>
        <v>84.309420340180395</v>
      </c>
      <c r="W48" s="62">
        <f>IF(W8=0,0,1000000*W8/TrRail_act!W25/1000)</f>
        <v>76.490245509099083</v>
      </c>
      <c r="X48" s="62">
        <f>IF(X8=0,0,1000000*X8/TrRail_act!X25/1000)</f>
        <v>73.628051364801777</v>
      </c>
      <c r="Y48" s="62">
        <f>IF(Y8=0,0,1000000*Y8/TrRail_act!Y25/1000)</f>
        <v>63.730177720765489</v>
      </c>
      <c r="DA48" s="172" t="s">
        <v>1159</v>
      </c>
    </row>
    <row r="49" spans="1:105" ht="11.45" customHeight="1" x14ac:dyDescent="0.25">
      <c r="A49" s="27" t="s">
        <v>33</v>
      </c>
      <c r="B49" s="29">
        <f>IF(B9=0,0,1000000*B9/TrRail_act!B26/1000)</f>
        <v>723.92603053188304</v>
      </c>
      <c r="C49" s="29">
        <f>IF(C9=0,0,1000000*C9/TrRail_act!C26/1000)</f>
        <v>705.62272200184964</v>
      </c>
      <c r="D49" s="29">
        <f>IF(D9=0,0,1000000*D9/TrRail_act!D26/1000)</f>
        <v>680.13453111441925</v>
      </c>
      <c r="E49" s="29">
        <f>IF(E9=0,0,1000000*E9/TrRail_act!E26/1000)</f>
        <v>752.5866354904706</v>
      </c>
      <c r="F49" s="29">
        <f>IF(F9=0,0,1000000*F9/TrRail_act!F26/1000)</f>
        <v>838.48794752733897</v>
      </c>
      <c r="G49" s="29">
        <f>IF(G9=0,0,1000000*G9/TrRail_act!G26/1000)</f>
        <v>851.28008906957405</v>
      </c>
      <c r="H49" s="29">
        <f>IF(H9=0,0,1000000*H9/TrRail_act!H26/1000)</f>
        <v>721.44454199682241</v>
      </c>
      <c r="I49" s="29">
        <f>IF(I9=0,0,1000000*I9/TrRail_act!I26/1000)</f>
        <v>816.61614630312374</v>
      </c>
      <c r="J49" s="29">
        <f>IF(J9=0,0,1000000*J9/TrRail_act!J26/1000)</f>
        <v>776.81737719262981</v>
      </c>
      <c r="K49" s="29">
        <f>IF(K9=0,0,1000000*K9/TrRail_act!K26/1000)</f>
        <v>633.37981718757521</v>
      </c>
      <c r="L49" s="29">
        <f>IF(L9=0,0,1000000*L9/TrRail_act!L26/1000)</f>
        <v>586.99642161191514</v>
      </c>
      <c r="M49" s="29">
        <f>IF(M9=0,0,1000000*M9/TrRail_act!M26/1000)</f>
        <v>597.22022723598093</v>
      </c>
      <c r="N49" s="29">
        <f>IF(N9=0,0,1000000*N9/TrRail_act!N26/1000)</f>
        <v>643.59544797272497</v>
      </c>
      <c r="O49" s="29">
        <f>IF(O9=0,0,1000000*O9/TrRail_act!O26/1000)</f>
        <v>76.19854065577006</v>
      </c>
      <c r="P49" s="29">
        <f>IF(P9=0,0,1000000*P9/TrRail_act!P26/1000)</f>
        <v>71.09801203324912</v>
      </c>
      <c r="Q49" s="29">
        <f>IF(Q9=0,0,1000000*Q9/TrRail_act!Q26/1000)</f>
        <v>93.824831043494385</v>
      </c>
      <c r="R49" s="29">
        <f>IF(R9=0,0,1000000*R9/TrRail_act!R26/1000)</f>
        <v>89.950085148014878</v>
      </c>
      <c r="S49" s="29">
        <f>IF(S9=0,0,1000000*S9/TrRail_act!S26/1000)</f>
        <v>62.511953971757407</v>
      </c>
      <c r="T49" s="29">
        <f>IF(T9=0,0,1000000*T9/TrRail_act!T26/1000)</f>
        <v>56.725811724594934</v>
      </c>
      <c r="U49" s="29">
        <f>IF(U9=0,0,1000000*U9/TrRail_act!U26/1000)</f>
        <v>51.59958780040494</v>
      </c>
      <c r="V49" s="29">
        <f>IF(V9=0,0,1000000*V9/TrRail_act!V26/1000)</f>
        <v>33.940151383601439</v>
      </c>
      <c r="W49" s="29">
        <f>IF(W9=0,0,1000000*W9/TrRail_act!W26/1000)</f>
        <v>50.704528298975546</v>
      </c>
      <c r="X49" s="29">
        <f>IF(X9=0,0,1000000*X9/TrRail_act!X26/1000)</f>
        <v>46.332144392854026</v>
      </c>
      <c r="Y49" s="29">
        <f>IF(Y9=0,0,1000000*Y9/TrRail_act!Y26/1000)</f>
        <v>42.008181692077891</v>
      </c>
      <c r="DA49" s="173" t="s">
        <v>1160</v>
      </c>
    </row>
    <row r="50" spans="1:105" ht="11.45" customHeight="1" x14ac:dyDescent="0.25">
      <c r="A50" s="107" t="s">
        <v>23</v>
      </c>
      <c r="B50" s="115">
        <f>IF(B10=0,0,1000000*B10/TrRail_act!B27/1000)</f>
        <v>0</v>
      </c>
      <c r="C50" s="115">
        <f>IF(C10=0,0,1000000*C10/TrRail_act!C27/1000)</f>
        <v>0</v>
      </c>
      <c r="D50" s="115">
        <f>IF(D10=0,0,1000000*D10/TrRail_act!D27/1000)</f>
        <v>0</v>
      </c>
      <c r="E50" s="115">
        <f>IF(E10=0,0,1000000*E10/TrRail_act!E27/1000)</f>
        <v>0</v>
      </c>
      <c r="F50" s="115">
        <f>IF(F10=0,0,1000000*F10/TrRail_act!F27/1000)</f>
        <v>0</v>
      </c>
      <c r="G50" s="115">
        <f>IF(G10=0,0,1000000*G10/TrRail_act!G27/1000)</f>
        <v>0</v>
      </c>
      <c r="H50" s="115">
        <f>IF(H10=0,0,1000000*H10/TrRail_act!H27/1000)</f>
        <v>0</v>
      </c>
      <c r="I50" s="115">
        <f>IF(I10=0,0,1000000*I10/TrRail_act!I27/1000)</f>
        <v>0</v>
      </c>
      <c r="J50" s="115">
        <f>IF(J10=0,0,1000000*J10/TrRail_act!J27/1000)</f>
        <v>0</v>
      </c>
      <c r="K50" s="115">
        <f>IF(K10=0,0,1000000*K10/TrRail_act!K27/1000)</f>
        <v>0</v>
      </c>
      <c r="L50" s="115">
        <f>IF(L10=0,0,1000000*L10/TrRail_act!L27/1000)</f>
        <v>0</v>
      </c>
      <c r="M50" s="115">
        <f>IF(M10=0,0,1000000*M10/TrRail_act!M27/1000)</f>
        <v>0</v>
      </c>
      <c r="N50" s="115">
        <f>IF(N10=0,0,1000000*N10/TrRail_act!N27/1000)</f>
        <v>0</v>
      </c>
      <c r="O50" s="115">
        <f>IF(O10=0,0,1000000*O10/TrRail_act!O27/1000)</f>
        <v>0</v>
      </c>
      <c r="P50" s="115">
        <f>IF(P10=0,0,1000000*P10/TrRail_act!P27/1000)</f>
        <v>0</v>
      </c>
      <c r="Q50" s="115">
        <f>IF(Q10=0,0,1000000*Q10/TrRail_act!Q27/1000)</f>
        <v>0</v>
      </c>
      <c r="R50" s="115">
        <f>IF(R10=0,0,1000000*R10/TrRail_act!R27/1000)</f>
        <v>0</v>
      </c>
      <c r="S50" s="115">
        <f>IF(S10=0,0,1000000*S10/TrRail_act!S27/1000)</f>
        <v>0</v>
      </c>
      <c r="T50" s="115">
        <f>IF(T10=0,0,1000000*T10/TrRail_act!T27/1000)</f>
        <v>0</v>
      </c>
      <c r="U50" s="115">
        <f>IF(U10=0,0,1000000*U10/TrRail_act!U27/1000)</f>
        <v>0</v>
      </c>
      <c r="V50" s="115">
        <f>IF(V10=0,0,1000000*V10/TrRail_act!V27/1000)</f>
        <v>0</v>
      </c>
      <c r="W50" s="115">
        <f>IF(W10=0,0,1000000*W10/TrRail_act!W27/1000)</f>
        <v>0</v>
      </c>
      <c r="X50" s="115">
        <f>IF(X10=0,0,1000000*X10/TrRail_act!X27/1000)</f>
        <v>0</v>
      </c>
      <c r="Y50" s="115">
        <f>IF(Y10=0,0,1000000*Y10/TrRail_act!Y27/1000)</f>
        <v>0</v>
      </c>
      <c r="DA50" s="203" t="s">
        <v>1161</v>
      </c>
    </row>
    <row r="51" spans="1:105" ht="11.45" customHeight="1" x14ac:dyDescent="0.25">
      <c r="A51" s="109" t="s">
        <v>24</v>
      </c>
      <c r="B51" s="116">
        <f>IF(B11=0,0,1000000*B11/TrRail_act!B28/1000)</f>
        <v>1272.8569453446753</v>
      </c>
      <c r="C51" s="116">
        <f>IF(C11=0,0,1000000*C11/TrRail_act!C28/1000)</f>
        <v>1193.3997622660672</v>
      </c>
      <c r="D51" s="116">
        <f>IF(D11=0,0,1000000*D11/TrRail_act!D28/1000)</f>
        <v>1119.9262879603973</v>
      </c>
      <c r="E51" s="116">
        <f>IF(E11=0,0,1000000*E11/TrRail_act!E28/1000)</f>
        <v>1202.9986803130334</v>
      </c>
      <c r="F51" s="116">
        <f>IF(F11=0,0,1000000*F11/TrRail_act!F28/1000)</f>
        <v>1307.8906754209204</v>
      </c>
      <c r="G51" s="116">
        <f>IF(G11=0,0,1000000*G11/TrRail_act!G28/1000)</f>
        <v>1274.6975429720658</v>
      </c>
      <c r="H51" s="116">
        <f>IF(H11=0,0,1000000*H11/TrRail_act!H28/1000)</f>
        <v>1114.6442935767061</v>
      </c>
      <c r="I51" s="116">
        <f>IF(I11=0,0,1000000*I11/TrRail_act!I28/1000)</f>
        <v>1290.2881114896641</v>
      </c>
      <c r="J51" s="116">
        <f>IF(J11=0,0,1000000*J11/TrRail_act!J28/1000)</f>
        <v>1278.6272209118868</v>
      </c>
      <c r="K51" s="116">
        <f>IF(K11=0,0,1000000*K11/TrRail_act!K28/1000)</f>
        <v>1102.6099278581025</v>
      </c>
      <c r="L51" s="116">
        <f>IF(L11=0,0,1000000*L11/TrRail_act!L28/1000)</f>
        <v>1140.3656149296739</v>
      </c>
      <c r="M51" s="116">
        <f>IF(M11=0,0,1000000*M11/TrRail_act!M28/1000)</f>
        <v>1183.9855619513648</v>
      </c>
      <c r="N51" s="116">
        <f>IF(N11=0,0,1000000*N11/TrRail_act!N28/1000)</f>
        <v>1203.5495927551758</v>
      </c>
      <c r="O51" s="116">
        <f>IF(O11=0,0,1000000*O11/TrRail_act!O28/1000)</f>
        <v>143.63453194350504</v>
      </c>
      <c r="P51" s="116">
        <f>IF(P11=0,0,1000000*P11/TrRail_act!P28/1000)</f>
        <v>133.1201665433598</v>
      </c>
      <c r="Q51" s="116">
        <f>IF(Q11=0,0,1000000*Q11/TrRail_act!Q28/1000)</f>
        <v>174.18555388950432</v>
      </c>
      <c r="R51" s="116">
        <f>IF(R11=0,0,1000000*R11/TrRail_act!R28/1000)</f>
        <v>170.37880873574906</v>
      </c>
      <c r="S51" s="116">
        <f>IF(S11=0,0,1000000*S11/TrRail_act!S28/1000)</f>
        <v>121.1007856168882</v>
      </c>
      <c r="T51" s="116">
        <f>IF(T11=0,0,1000000*T11/TrRail_act!T28/1000)</f>
        <v>117.81175013213928</v>
      </c>
      <c r="U51" s="116">
        <f>IF(U11=0,0,1000000*U11/TrRail_act!U28/1000)</f>
        <v>111.14069520030316</v>
      </c>
      <c r="V51" s="116">
        <f>IF(V11=0,0,1000000*V11/TrRail_act!V28/1000)</f>
        <v>69.47062169924672</v>
      </c>
      <c r="W51" s="116">
        <f>IF(W11=0,0,1000000*W11/TrRail_act!W28/1000)</f>
        <v>96.892633091211366</v>
      </c>
      <c r="X51" s="116">
        <f>IF(X11=0,0,1000000*X11/TrRail_act!X28/1000)</f>
        <v>86.73295961300721</v>
      </c>
      <c r="Y51" s="116">
        <f>IF(Y11=0,0,1000000*Y11/TrRail_act!Y28/1000)</f>
        <v>76.673043344095618</v>
      </c>
      <c r="DA51" s="176" t="s">
        <v>1162</v>
      </c>
    </row>
    <row r="52" spans="1:105" ht="11.45" customHeight="1" x14ac:dyDescent="0.25">
      <c r="A52" s="111" t="s">
        <v>92</v>
      </c>
      <c r="B52" s="87">
        <f>IF(B12=0,0,1000000*B12/TrRail_act!B29/1000)</f>
        <v>3562.0220772619982</v>
      </c>
      <c r="C52" s="87">
        <f>IF(C12=0,0,1000000*C12/TrRail_act!C29/1000)</f>
        <v>3548.4666005982799</v>
      </c>
      <c r="D52" s="87">
        <f>IF(D12=0,0,1000000*D12/TrRail_act!D29/1000)</f>
        <v>3525.9916197165512</v>
      </c>
      <c r="E52" s="87">
        <f>IF(E12=0,0,1000000*E12/TrRail_act!E29/1000)</f>
        <v>3496.412419940048</v>
      </c>
      <c r="F52" s="87">
        <f>IF(F12=0,0,1000000*F12/TrRail_act!F29/1000)</f>
        <v>3430.1883532507004</v>
      </c>
      <c r="G52" s="87">
        <f>IF(G12=0,0,1000000*G12/TrRail_act!G29/1000)</f>
        <v>3302.7868899889213</v>
      </c>
      <c r="H52" s="87">
        <f>IF(H12=0,0,1000000*H12/TrRail_act!H29/1000)</f>
        <v>2875.7017065679361</v>
      </c>
      <c r="I52" s="87">
        <f>IF(I12=0,0,1000000*I12/TrRail_act!I29/1000)</f>
        <v>3139.6911751542061</v>
      </c>
      <c r="J52" s="87">
        <f>IF(J12=0,0,1000000*J12/TrRail_act!J29/1000)</f>
        <v>3069.3780978578816</v>
      </c>
      <c r="K52" s="87">
        <f>IF(K12=0,0,1000000*K12/TrRail_act!K29/1000)</f>
        <v>2621.7663940960606</v>
      </c>
      <c r="L52" s="87">
        <f>IF(L12=0,0,1000000*L12/TrRail_act!L29/1000)</f>
        <v>2682.4602979103556</v>
      </c>
      <c r="M52" s="87">
        <f>IF(M12=0,0,1000000*M12/TrRail_act!M29/1000)</f>
        <v>2811.0774004056666</v>
      </c>
      <c r="N52" s="87">
        <f>IF(N12=0,0,1000000*N12/TrRail_act!N29/1000)</f>
        <v>2706.0667674033566</v>
      </c>
      <c r="O52" s="87">
        <f>IF(O12=0,0,1000000*O12/TrRail_act!O29/1000)</f>
        <v>318.33311024837377</v>
      </c>
      <c r="P52" s="87">
        <f>IF(P12=0,0,1000000*P12/TrRail_act!P29/1000)</f>
        <v>321.63191958311052</v>
      </c>
      <c r="Q52" s="87">
        <f>IF(Q12=0,0,1000000*Q12/TrRail_act!Q29/1000)</f>
        <v>452.62291199906315</v>
      </c>
      <c r="R52" s="87">
        <f>IF(R12=0,0,1000000*R12/TrRail_act!R29/1000)</f>
        <v>466.2179215819973</v>
      </c>
      <c r="S52" s="87">
        <f>IF(S12=0,0,1000000*S12/TrRail_act!S29/1000)</f>
        <v>351.58526920675422</v>
      </c>
      <c r="T52" s="87">
        <f>IF(T12=0,0,1000000*T12/TrRail_act!T29/1000)</f>
        <v>356.86697492034665</v>
      </c>
      <c r="U52" s="87">
        <f>IF(U12=0,0,1000000*U12/TrRail_act!U29/1000)</f>
        <v>338.965617925993</v>
      </c>
      <c r="V52" s="87">
        <f>IF(V12=0,0,1000000*V12/TrRail_act!V29/1000)</f>
        <v>242.70821639700964</v>
      </c>
      <c r="W52" s="87">
        <f>IF(W12=0,0,1000000*W12/TrRail_act!W29/1000)</f>
        <v>406.93789924318537</v>
      </c>
      <c r="X52" s="87">
        <f>IF(X12=0,0,1000000*X12/TrRail_act!X29/1000)</f>
        <v>419.46328482120958</v>
      </c>
      <c r="Y52" s="87">
        <f>IF(Y12=0,0,1000000*Y12/TrRail_act!Y29/1000)</f>
        <v>448.35017652469037</v>
      </c>
      <c r="DA52" s="171" t="s">
        <v>1163</v>
      </c>
    </row>
    <row r="53" spans="1:105" ht="11.45" customHeight="1" x14ac:dyDescent="0.25">
      <c r="A53" s="111" t="s">
        <v>93</v>
      </c>
      <c r="B53" s="87">
        <f>IF(B13=0,0,1000000*B13/TrRail_act!B30/1000)</f>
        <v>0</v>
      </c>
      <c r="C53" s="87">
        <f>IF(C13=0,0,1000000*C13/TrRail_act!C30/1000)</f>
        <v>0</v>
      </c>
      <c r="D53" s="87">
        <f>IF(D13=0,0,1000000*D13/TrRail_act!D30/1000)</f>
        <v>0</v>
      </c>
      <c r="E53" s="87">
        <f>IF(E13=0,0,1000000*E13/TrRail_act!E30/1000)</f>
        <v>0</v>
      </c>
      <c r="F53" s="87">
        <f>IF(F13=0,0,1000000*F13/TrRail_act!F30/1000)</f>
        <v>0</v>
      </c>
      <c r="G53" s="87">
        <f>IF(G13=0,0,1000000*G13/TrRail_act!G30/1000)</f>
        <v>0</v>
      </c>
      <c r="H53" s="87">
        <f>IF(H13=0,0,1000000*H13/TrRail_act!H30/1000)</f>
        <v>0</v>
      </c>
      <c r="I53" s="87">
        <f>IF(I13=0,0,1000000*I13/TrRail_act!I30/1000)</f>
        <v>0</v>
      </c>
      <c r="J53" s="87">
        <f>IF(J13=0,0,1000000*J13/TrRail_act!J30/1000)</f>
        <v>0</v>
      </c>
      <c r="K53" s="87">
        <f>IF(K13=0,0,1000000*K13/TrRail_act!K30/1000)</f>
        <v>0</v>
      </c>
      <c r="L53" s="87">
        <f>IF(L13=0,0,1000000*L13/TrRail_act!L30/1000)</f>
        <v>0</v>
      </c>
      <c r="M53" s="87">
        <f>IF(M13=0,0,1000000*M13/TrRail_act!M30/1000)</f>
        <v>0</v>
      </c>
      <c r="N53" s="87">
        <f>IF(N13=0,0,1000000*N13/TrRail_act!N30/1000)</f>
        <v>0</v>
      </c>
      <c r="O53" s="87">
        <f>IF(O13=0,0,1000000*O13/TrRail_act!O30/1000)</f>
        <v>0</v>
      </c>
      <c r="P53" s="87">
        <f>IF(P13=0,0,1000000*P13/TrRail_act!P30/1000)</f>
        <v>0</v>
      </c>
      <c r="Q53" s="87">
        <f>IF(Q13=0,0,1000000*Q13/TrRail_act!Q30/1000)</f>
        <v>0</v>
      </c>
      <c r="R53" s="87">
        <f>IF(R13=0,0,1000000*R13/TrRail_act!R30/1000)</f>
        <v>0</v>
      </c>
      <c r="S53" s="87">
        <f>IF(S13=0,0,1000000*S13/TrRail_act!S30/1000)</f>
        <v>0</v>
      </c>
      <c r="T53" s="87">
        <f>IF(T13=0,0,1000000*T13/TrRail_act!T30/1000)</f>
        <v>0</v>
      </c>
      <c r="U53" s="87">
        <f>IF(U13=0,0,1000000*U13/TrRail_act!U30/1000)</f>
        <v>0</v>
      </c>
      <c r="V53" s="87">
        <f>IF(V13=0,0,1000000*V13/TrRail_act!V30/1000)</f>
        <v>0</v>
      </c>
      <c r="W53" s="87">
        <f>IF(W13=0,0,1000000*W13/TrRail_act!W30/1000)</f>
        <v>0</v>
      </c>
      <c r="X53" s="87">
        <f>IF(X13=0,0,1000000*X13/TrRail_act!X30/1000)</f>
        <v>0</v>
      </c>
      <c r="Y53" s="87">
        <f>IF(Y13=0,0,1000000*Y13/TrRail_act!Y30/1000)</f>
        <v>0</v>
      </c>
      <c r="DA53" s="171" t="s">
        <v>1164</v>
      </c>
    </row>
    <row r="54" spans="1:105" ht="11.45" customHeight="1" x14ac:dyDescent="0.25">
      <c r="A54" s="112" t="s">
        <v>25</v>
      </c>
      <c r="B54" s="117">
        <f>IF(B14=0,0,1000000*B14/TrRail_act!B31/1000)</f>
        <v>0</v>
      </c>
      <c r="C54" s="117">
        <f>IF(C14=0,0,1000000*C14/TrRail_act!C31/1000)</f>
        <v>0</v>
      </c>
      <c r="D54" s="117">
        <f>IF(D14=0,0,1000000*D14/TrRail_act!D31/1000)</f>
        <v>0</v>
      </c>
      <c r="E54" s="117">
        <f>IF(E14=0,0,1000000*E14/TrRail_act!E31/1000)</f>
        <v>0</v>
      </c>
      <c r="F54" s="117">
        <f>IF(F14=0,0,1000000*F14/TrRail_act!F31/1000)</f>
        <v>0</v>
      </c>
      <c r="G54" s="117">
        <f>IF(G14=0,0,1000000*G14/TrRail_act!G31/1000)</f>
        <v>0</v>
      </c>
      <c r="H54" s="117">
        <f>IF(H14=0,0,1000000*H14/TrRail_act!H31/1000)</f>
        <v>0</v>
      </c>
      <c r="I54" s="117">
        <f>IF(I14=0,0,1000000*I14/TrRail_act!I31/1000)</f>
        <v>0</v>
      </c>
      <c r="J54" s="117">
        <f>IF(J14=0,0,1000000*J14/TrRail_act!J31/1000)</f>
        <v>0</v>
      </c>
      <c r="K54" s="117">
        <f>IF(K14=0,0,1000000*K14/TrRail_act!K31/1000)</f>
        <v>0</v>
      </c>
      <c r="L54" s="117">
        <f>IF(L14=0,0,1000000*L14/TrRail_act!L31/1000)</f>
        <v>0</v>
      </c>
      <c r="M54" s="117">
        <f>IF(M14=0,0,1000000*M14/TrRail_act!M31/1000)</f>
        <v>0</v>
      </c>
      <c r="N54" s="117">
        <f>IF(N14=0,0,1000000*N14/TrRail_act!N31/1000)</f>
        <v>0</v>
      </c>
      <c r="O54" s="117">
        <f>IF(O14=0,0,1000000*O14/TrRail_act!O31/1000)</f>
        <v>0</v>
      </c>
      <c r="P54" s="117">
        <f>IF(P14=0,0,1000000*P14/TrRail_act!P31/1000)</f>
        <v>0</v>
      </c>
      <c r="Q54" s="117">
        <f>IF(Q14=0,0,1000000*Q14/TrRail_act!Q31/1000)</f>
        <v>0</v>
      </c>
      <c r="R54" s="117">
        <f>IF(R14=0,0,1000000*R14/TrRail_act!R31/1000)</f>
        <v>0</v>
      </c>
      <c r="S54" s="117">
        <f>IF(S14=0,0,1000000*S14/TrRail_act!S31/1000)</f>
        <v>0</v>
      </c>
      <c r="T54" s="117">
        <f>IF(T14=0,0,1000000*T14/TrRail_act!T31/1000)</f>
        <v>0</v>
      </c>
      <c r="U54" s="117">
        <f>IF(U14=0,0,1000000*U14/TrRail_act!U31/1000)</f>
        <v>0</v>
      </c>
      <c r="V54" s="117">
        <f>IF(V14=0,0,1000000*V14/TrRail_act!V31/1000)</f>
        <v>0</v>
      </c>
      <c r="W54" s="117">
        <f>IF(W14=0,0,1000000*W14/TrRail_act!W31/1000)</f>
        <v>0</v>
      </c>
      <c r="X54" s="117">
        <f>IF(X14=0,0,1000000*X14/TrRail_act!X31/1000)</f>
        <v>0</v>
      </c>
      <c r="Y54" s="117">
        <f>IF(Y14=0,0,1000000*Y14/TrRail_act!Y31/1000)</f>
        <v>0</v>
      </c>
      <c r="DA54" s="204" t="s">
        <v>1165</v>
      </c>
    </row>
    <row r="55" spans="1:105" ht="11.45" customHeight="1" x14ac:dyDescent="0.25">
      <c r="A55" s="27" t="s">
        <v>34</v>
      </c>
      <c r="B55" s="29">
        <f>IF(B15=0,0,1000000*B15/TrRail_act!B32/1000)</f>
        <v>3956.7861484281962</v>
      </c>
      <c r="C55" s="29">
        <f>IF(C15=0,0,1000000*C15/TrRail_act!C32/1000)</f>
        <v>3540.7704009316544</v>
      </c>
      <c r="D55" s="29">
        <f>IF(D15=0,0,1000000*D15/TrRail_act!D32/1000)</f>
        <v>2846.0361513400535</v>
      </c>
      <c r="E55" s="29">
        <f>IF(E15=0,0,1000000*E15/TrRail_act!E32/1000)</f>
        <v>2210.3704466640929</v>
      </c>
      <c r="F55" s="29">
        <f>IF(F15=0,0,1000000*F15/TrRail_act!F32/1000)</f>
        <v>2116.6539121482447</v>
      </c>
      <c r="G55" s="29">
        <f>IF(G15=0,0,1000000*G15/TrRail_act!G32/1000)</f>
        <v>2048.1274554911779</v>
      </c>
      <c r="H55" s="29">
        <f>IF(H15=0,0,1000000*H15/TrRail_act!H32/1000)</f>
        <v>2405.8602081077561</v>
      </c>
      <c r="I55" s="29">
        <f>IF(I15=0,0,1000000*I15/TrRail_act!I32/1000)</f>
        <v>3093.9895194716451</v>
      </c>
      <c r="J55" s="29">
        <f>IF(J15=0,0,1000000*J15/TrRail_act!J32/1000)</f>
        <v>3252.9615347023159</v>
      </c>
      <c r="K55" s="29">
        <f>IF(K15=0,0,1000000*K15/TrRail_act!K32/1000)</f>
        <v>3283.1705870298401</v>
      </c>
      <c r="L55" s="29">
        <f>IF(L15=0,0,1000000*L15/TrRail_act!L32/1000)</f>
        <v>3747.4256326360673</v>
      </c>
      <c r="M55" s="29">
        <f>IF(M15=0,0,1000000*M15/TrRail_act!M32/1000)</f>
        <v>2155.9949074672845</v>
      </c>
      <c r="N55" s="29">
        <f>IF(N15=0,0,1000000*N15/TrRail_act!N32/1000)</f>
        <v>2437.2066039821125</v>
      </c>
      <c r="O55" s="29">
        <f>IF(O15=0,0,1000000*O15/TrRail_act!O32/1000)</f>
        <v>596.27133594901488</v>
      </c>
      <c r="P55" s="29">
        <f>IF(P15=0,0,1000000*P15/TrRail_act!P32/1000)</f>
        <v>606.96853024733775</v>
      </c>
      <c r="Q55" s="29">
        <f>IF(Q15=0,0,1000000*Q15/TrRail_act!Q32/1000)</f>
        <v>437.17122959337553</v>
      </c>
      <c r="R55" s="29">
        <f>IF(R15=0,0,1000000*R15/TrRail_act!R32/1000)</f>
        <v>365.87317632721528</v>
      </c>
      <c r="S55" s="29">
        <f>IF(S15=0,0,1000000*S15/TrRail_act!S32/1000)</f>
        <v>730.10757841013913</v>
      </c>
      <c r="T55" s="29">
        <f>IF(T15=0,0,1000000*T15/TrRail_act!T32/1000)</f>
        <v>899.37576932197317</v>
      </c>
      <c r="U55" s="29">
        <f>IF(U15=0,0,1000000*U15/TrRail_act!U32/1000)</f>
        <v>1116.0773936457601</v>
      </c>
      <c r="V55" s="29">
        <f>IF(V15=0,0,1000000*V15/TrRail_act!V32/1000)</f>
        <v>637.06051825063435</v>
      </c>
      <c r="W55" s="29">
        <f>IF(W15=0,0,1000000*W15/TrRail_act!W32/1000)</f>
        <v>385.13610295802744</v>
      </c>
      <c r="X55" s="29">
        <f>IF(X15=0,0,1000000*X15/TrRail_act!X32/1000)</f>
        <v>429.70282936210765</v>
      </c>
      <c r="Y55" s="29">
        <f>IF(Y15=0,0,1000000*Y15/TrRail_act!Y32/1000)</f>
        <v>383.88924285510905</v>
      </c>
      <c r="DA55" s="173" t="s">
        <v>1166</v>
      </c>
    </row>
    <row r="56" spans="1:105" ht="11.45" customHeight="1" x14ac:dyDescent="0.25">
      <c r="A56" s="83" t="s">
        <v>92</v>
      </c>
      <c r="B56" s="87">
        <f>IF(B16=0,0,1000000*B16/TrRail_act!B33/1000)</f>
        <v>9833.908804621813</v>
      </c>
      <c r="C56" s="87">
        <f>IF(C16=0,0,1000000*C16/TrRail_act!C33/1000)</f>
        <v>9757.9338473228891</v>
      </c>
      <c r="D56" s="87">
        <f>IF(D16=0,0,1000000*D16/TrRail_act!D33/1000)</f>
        <v>9505.6326138210752</v>
      </c>
      <c r="E56" s="87">
        <f>IF(E16=0,0,1000000*E16/TrRail_act!E33/1000)</f>
        <v>8791.4165703909985</v>
      </c>
      <c r="F56" s="87">
        <f>IF(F16=0,0,1000000*F16/TrRail_act!F33/1000)</f>
        <v>9051.1636628302422</v>
      </c>
      <c r="G56" s="87">
        <f>IF(G16=0,0,1000000*G16/TrRail_act!G33/1000)</f>
        <v>8904.6869998690636</v>
      </c>
      <c r="H56" s="87">
        <f>IF(H16=0,0,1000000*H16/TrRail_act!H33/1000)</f>
        <v>8718.2489692780582</v>
      </c>
      <c r="I56" s="87">
        <f>IF(I16=0,0,1000000*I16/TrRail_act!I33/1000)</f>
        <v>8606.2824355317771</v>
      </c>
      <c r="J56" s="87">
        <f>IF(J16=0,0,1000000*J16/TrRail_act!J33/1000)</f>
        <v>8489.9211148766753</v>
      </c>
      <c r="K56" s="87">
        <f>IF(K16=0,0,1000000*K16/TrRail_act!K33/1000)</f>
        <v>8340.8602347005799</v>
      </c>
      <c r="L56" s="87">
        <f>IF(L16=0,0,1000000*L16/TrRail_act!L33/1000)</f>
        <v>8251.8778471570404</v>
      </c>
      <c r="M56" s="87">
        <f>IF(M16=0,0,1000000*M16/TrRail_act!M33/1000)</f>
        <v>4707.1621212764721</v>
      </c>
      <c r="N56" s="87">
        <f>IF(N16=0,0,1000000*N16/TrRail_act!N33/1000)</f>
        <v>5269.0407814889986</v>
      </c>
      <c r="O56" s="87">
        <f>IF(O16=0,0,1000000*O16/TrRail_act!O33/1000)</f>
        <v>1366.2789948669126</v>
      </c>
      <c r="P56" s="87">
        <f>IF(P16=0,0,1000000*P16/TrRail_act!P33/1000)</f>
        <v>1543.9642804365665</v>
      </c>
      <c r="Q56" s="87">
        <f>IF(Q16=0,0,1000000*Q16/TrRail_act!Q33/1000)</f>
        <v>1330.7043646139882</v>
      </c>
      <c r="R56" s="87">
        <f>IF(R16=0,0,1000000*R16/TrRail_act!R33/1000)</f>
        <v>1133.8500054514923</v>
      </c>
      <c r="S56" s="87">
        <f>IF(S16=0,0,1000000*S16/TrRail_act!S33/1000)</f>
        <v>2311.6848146295351</v>
      </c>
      <c r="T56" s="87">
        <f>IF(T16=0,0,1000000*T16/TrRail_act!T33/1000)</f>
        <v>2922.9278800555971</v>
      </c>
      <c r="U56" s="87">
        <f>IF(U16=0,0,1000000*U16/TrRail_act!U33/1000)</f>
        <v>3428.5175580503965</v>
      </c>
      <c r="V56" s="87">
        <f>IF(V16=0,0,1000000*V16/TrRail_act!V33/1000)</f>
        <v>3059.0679473446503</v>
      </c>
      <c r="W56" s="87">
        <f>IF(W16=0,0,1000000*W16/TrRail_act!W33/1000)</f>
        <v>1995.2836273915859</v>
      </c>
      <c r="X56" s="87">
        <f>IF(X16=0,0,1000000*X16/TrRail_act!X33/1000)</f>
        <v>2452.6424757158748</v>
      </c>
      <c r="Y56" s="87">
        <f>IF(Y16=0,0,1000000*Y16/TrRail_act!Y33/1000)</f>
        <v>2491.8291305547946</v>
      </c>
      <c r="DA56" s="171" t="s">
        <v>1167</v>
      </c>
    </row>
    <row r="57" spans="1:105" ht="11.45" customHeight="1" x14ac:dyDescent="0.25">
      <c r="A57" s="85" t="s">
        <v>93</v>
      </c>
      <c r="B57" s="88">
        <f>IF(B17=0,0,1000000*B17/TrRail_act!B34/1000)</f>
        <v>0</v>
      </c>
      <c r="C57" s="88">
        <f>IF(C17=0,0,1000000*C17/TrRail_act!C34/1000)</f>
        <v>0</v>
      </c>
      <c r="D57" s="88">
        <f>IF(D17=0,0,1000000*D17/TrRail_act!D34/1000)</f>
        <v>0</v>
      </c>
      <c r="E57" s="88">
        <f>IF(E17=0,0,1000000*E17/TrRail_act!E34/1000)</f>
        <v>0</v>
      </c>
      <c r="F57" s="88">
        <f>IF(F17=0,0,1000000*F17/TrRail_act!F34/1000)</f>
        <v>0</v>
      </c>
      <c r="G57" s="88">
        <f>IF(G17=0,0,1000000*G17/TrRail_act!G34/1000)</f>
        <v>0</v>
      </c>
      <c r="H57" s="88">
        <f>IF(H17=0,0,1000000*H17/TrRail_act!H34/1000)</f>
        <v>0</v>
      </c>
      <c r="I57" s="88">
        <f>IF(I17=0,0,1000000*I17/TrRail_act!I34/1000)</f>
        <v>0</v>
      </c>
      <c r="J57" s="88">
        <f>IF(J17=0,0,1000000*J17/TrRail_act!J34/1000)</f>
        <v>0</v>
      </c>
      <c r="K57" s="88">
        <f>IF(K17=0,0,1000000*K17/TrRail_act!K34/1000)</f>
        <v>0</v>
      </c>
      <c r="L57" s="88">
        <f>IF(L17=0,0,1000000*L17/TrRail_act!L34/1000)</f>
        <v>0</v>
      </c>
      <c r="M57" s="88">
        <f>IF(M17=0,0,1000000*M17/TrRail_act!M34/1000)</f>
        <v>0</v>
      </c>
      <c r="N57" s="88">
        <f>IF(N17=0,0,1000000*N17/TrRail_act!N34/1000)</f>
        <v>0</v>
      </c>
      <c r="O57" s="88">
        <f>IF(O17=0,0,1000000*O17/TrRail_act!O34/1000)</f>
        <v>0</v>
      </c>
      <c r="P57" s="88">
        <f>IF(P17=0,0,1000000*P17/TrRail_act!P34/1000)</f>
        <v>0</v>
      </c>
      <c r="Q57" s="88">
        <f>IF(Q17=0,0,1000000*Q17/TrRail_act!Q34/1000)</f>
        <v>0</v>
      </c>
      <c r="R57" s="88">
        <f>IF(R17=0,0,1000000*R17/TrRail_act!R34/1000)</f>
        <v>0</v>
      </c>
      <c r="S57" s="88">
        <f>IF(S17=0,0,1000000*S17/TrRail_act!S34/1000)</f>
        <v>0</v>
      </c>
      <c r="T57" s="88">
        <f>IF(T17=0,0,1000000*T17/TrRail_act!T34/1000)</f>
        <v>0</v>
      </c>
      <c r="U57" s="88">
        <f>IF(U17=0,0,1000000*U17/TrRail_act!U34/1000)</f>
        <v>0</v>
      </c>
      <c r="V57" s="88">
        <f>IF(V17=0,0,1000000*V17/TrRail_act!V34/1000)</f>
        <v>0</v>
      </c>
      <c r="W57" s="88">
        <f>IF(W17=0,0,1000000*W17/TrRail_act!W34/1000)</f>
        <v>0</v>
      </c>
      <c r="X57" s="88">
        <f>IF(X17=0,0,1000000*X17/TrRail_act!X34/1000)</f>
        <v>0</v>
      </c>
      <c r="Y57" s="88">
        <f>IF(Y17=0,0,1000000*Y17/TrRail_act!Y34/1000)</f>
        <v>0</v>
      </c>
      <c r="DA57" s="178" t="s">
        <v>1168</v>
      </c>
    </row>
    <row r="58" spans="1:105" x14ac:dyDescent="0.25">
      <c r="A58" s="106"/>
      <c r="B58" s="106"/>
      <c r="C58" s="106"/>
      <c r="D58" s="106"/>
      <c r="E58" s="106"/>
      <c r="F58" s="106"/>
      <c r="G58" s="106"/>
      <c r="H58" s="106"/>
      <c r="I58" s="106"/>
      <c r="J58" s="106"/>
      <c r="K58" s="106"/>
      <c r="L58" s="106"/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X58" s="106"/>
      <c r="Y58" s="106"/>
      <c r="DA58" s="171"/>
    </row>
    <row r="59" spans="1:105" ht="11.45" customHeight="1" x14ac:dyDescent="0.25">
      <c r="A59" s="53" t="s">
        <v>41</v>
      </c>
      <c r="B59" s="65">
        <f t="shared" ref="B59:B68" si="10">IF(B8=0,0,B8/B$8)</f>
        <v>1</v>
      </c>
      <c r="C59" s="65">
        <f t="shared" ref="C59:V59" si="11">IF(C8=0,0,C8/C$8)</f>
        <v>1</v>
      </c>
      <c r="D59" s="65">
        <f t="shared" si="11"/>
        <v>1</v>
      </c>
      <c r="E59" s="65">
        <f t="shared" si="11"/>
        <v>1</v>
      </c>
      <c r="F59" s="65">
        <f t="shared" si="11"/>
        <v>1</v>
      </c>
      <c r="G59" s="65">
        <f t="shared" si="11"/>
        <v>1</v>
      </c>
      <c r="H59" s="65">
        <f t="shared" si="11"/>
        <v>1</v>
      </c>
      <c r="I59" s="65">
        <f t="shared" si="11"/>
        <v>1</v>
      </c>
      <c r="J59" s="65">
        <f t="shared" si="11"/>
        <v>1</v>
      </c>
      <c r="K59" s="65">
        <f t="shared" si="11"/>
        <v>1</v>
      </c>
      <c r="L59" s="65">
        <f t="shared" si="11"/>
        <v>1</v>
      </c>
      <c r="M59" s="65">
        <f t="shared" si="11"/>
        <v>1</v>
      </c>
      <c r="N59" s="65">
        <f t="shared" si="11"/>
        <v>1</v>
      </c>
      <c r="O59" s="65">
        <f t="shared" si="11"/>
        <v>1</v>
      </c>
      <c r="P59" s="65">
        <f t="shared" si="11"/>
        <v>1</v>
      </c>
      <c r="Q59" s="65">
        <f t="shared" si="11"/>
        <v>1</v>
      </c>
      <c r="R59" s="65">
        <f t="shared" si="11"/>
        <v>1</v>
      </c>
      <c r="S59" s="65">
        <f t="shared" si="11"/>
        <v>1</v>
      </c>
      <c r="T59" s="65">
        <f t="shared" si="11"/>
        <v>1</v>
      </c>
      <c r="U59" s="65">
        <f t="shared" si="11"/>
        <v>1</v>
      </c>
      <c r="V59" s="65">
        <f t="shared" si="11"/>
        <v>1</v>
      </c>
      <c r="W59" s="65">
        <f t="shared" ref="W59:Y59" si="12">IF(W8=0,0,W8/W$8)</f>
        <v>1</v>
      </c>
      <c r="X59" s="65">
        <f t="shared" si="12"/>
        <v>1</v>
      </c>
      <c r="Y59" s="65">
        <f t="shared" si="12"/>
        <v>1</v>
      </c>
      <c r="DA59" s="172"/>
    </row>
    <row r="60" spans="1:105" ht="11.45" customHeight="1" x14ac:dyDescent="0.25">
      <c r="A60" s="27" t="s">
        <v>33</v>
      </c>
      <c r="B60" s="31">
        <f t="shared" si="10"/>
        <v>0.65239713125125176</v>
      </c>
      <c r="C60" s="31">
        <f t="shared" ref="C60:V60" si="13">IF(C9=0,0,C9/C$8)</f>
        <v>0.6436209467448849</v>
      </c>
      <c r="D60" s="31">
        <f t="shared" si="13"/>
        <v>0.6781136017220506</v>
      </c>
      <c r="E60" s="31">
        <f t="shared" si="13"/>
        <v>0.75872545670361213</v>
      </c>
      <c r="F60" s="31">
        <f t="shared" si="13"/>
        <v>0.79991072979254896</v>
      </c>
      <c r="G60" s="31">
        <f t="shared" si="13"/>
        <v>0.82515952642743529</v>
      </c>
      <c r="H60" s="31">
        <f t="shared" si="13"/>
        <v>0.76772804471430234</v>
      </c>
      <c r="I60" s="31">
        <f t="shared" si="13"/>
        <v>0.73186325399150509</v>
      </c>
      <c r="J60" s="31">
        <f t="shared" si="13"/>
        <v>0.7138282936912328</v>
      </c>
      <c r="K60" s="31">
        <f t="shared" si="13"/>
        <v>0.67769735736184422</v>
      </c>
      <c r="L60" s="31">
        <f t="shared" si="13"/>
        <v>0.6326654849914739</v>
      </c>
      <c r="M60" s="31">
        <f t="shared" si="13"/>
        <v>0.76105475373987208</v>
      </c>
      <c r="N60" s="31">
        <f t="shared" si="13"/>
        <v>0.77332025540081006</v>
      </c>
      <c r="O60" s="31">
        <f t="shared" si="13"/>
        <v>0.61144012951473869</v>
      </c>
      <c r="P60" s="31">
        <f t="shared" si="13"/>
        <v>0.58914306744905254</v>
      </c>
      <c r="Q60" s="31">
        <f t="shared" si="13"/>
        <v>0.70530461377398068</v>
      </c>
      <c r="R60" s="31">
        <f t="shared" si="13"/>
        <v>0.74801518716321647</v>
      </c>
      <c r="S60" s="31">
        <f t="shared" si="13"/>
        <v>0.53094478004751411</v>
      </c>
      <c r="T60" s="31">
        <f t="shared" si="13"/>
        <v>0.4852330445942391</v>
      </c>
      <c r="U60" s="31">
        <f t="shared" si="13"/>
        <v>0.41241603287958817</v>
      </c>
      <c r="V60" s="31">
        <f t="shared" si="13"/>
        <v>0.3689464119239661</v>
      </c>
      <c r="W60" s="31">
        <f t="shared" ref="W60:Y60" si="14">IF(W9=0,0,W9/W$8)</f>
        <v>0.61177802152334415</v>
      </c>
      <c r="X60" s="31">
        <f t="shared" si="14"/>
        <v>0.58446889851724393</v>
      </c>
      <c r="Y60" s="31">
        <f t="shared" si="14"/>
        <v>0.61727617376048272</v>
      </c>
      <c r="DA60" s="173"/>
    </row>
    <row r="61" spans="1:105" ht="11.45" customHeight="1" x14ac:dyDescent="0.25">
      <c r="A61" s="107" t="s">
        <v>23</v>
      </c>
      <c r="B61" s="123">
        <f t="shared" si="10"/>
        <v>0</v>
      </c>
      <c r="C61" s="123">
        <f t="shared" ref="C61:V61" si="15">IF(C10=0,0,C10/C$8)</f>
        <v>0</v>
      </c>
      <c r="D61" s="123">
        <f t="shared" si="15"/>
        <v>0</v>
      </c>
      <c r="E61" s="123">
        <f t="shared" si="15"/>
        <v>0</v>
      </c>
      <c r="F61" s="123">
        <f t="shared" si="15"/>
        <v>0</v>
      </c>
      <c r="G61" s="123">
        <f t="shared" si="15"/>
        <v>0</v>
      </c>
      <c r="H61" s="123">
        <f t="shared" si="15"/>
        <v>0</v>
      </c>
      <c r="I61" s="123">
        <f t="shared" si="15"/>
        <v>0</v>
      </c>
      <c r="J61" s="123">
        <f t="shared" si="15"/>
        <v>0</v>
      </c>
      <c r="K61" s="123">
        <f t="shared" si="15"/>
        <v>0</v>
      </c>
      <c r="L61" s="123">
        <f t="shared" si="15"/>
        <v>0</v>
      </c>
      <c r="M61" s="123">
        <f t="shared" si="15"/>
        <v>0</v>
      </c>
      <c r="N61" s="123">
        <f t="shared" si="15"/>
        <v>0</v>
      </c>
      <c r="O61" s="123">
        <f t="shared" si="15"/>
        <v>0</v>
      </c>
      <c r="P61" s="123">
        <f t="shared" si="15"/>
        <v>0</v>
      </c>
      <c r="Q61" s="123">
        <f t="shared" si="15"/>
        <v>0</v>
      </c>
      <c r="R61" s="123">
        <f t="shared" si="15"/>
        <v>0</v>
      </c>
      <c r="S61" s="123">
        <f t="shared" si="15"/>
        <v>0</v>
      </c>
      <c r="T61" s="123">
        <f t="shared" si="15"/>
        <v>0</v>
      </c>
      <c r="U61" s="123">
        <f t="shared" si="15"/>
        <v>0</v>
      </c>
      <c r="V61" s="123">
        <f t="shared" si="15"/>
        <v>0</v>
      </c>
      <c r="W61" s="123">
        <f t="shared" ref="W61:Y61" si="16">IF(W10=0,0,W10/W$8)</f>
        <v>0</v>
      </c>
      <c r="X61" s="123">
        <f t="shared" si="16"/>
        <v>0</v>
      </c>
      <c r="Y61" s="123">
        <f t="shared" si="16"/>
        <v>0</v>
      </c>
      <c r="DA61" s="203"/>
    </row>
    <row r="62" spans="1:105" ht="11.45" customHeight="1" x14ac:dyDescent="0.25">
      <c r="A62" s="109" t="s">
        <v>24</v>
      </c>
      <c r="B62" s="124">
        <f t="shared" si="10"/>
        <v>0.65239713125125176</v>
      </c>
      <c r="C62" s="124">
        <f t="shared" ref="C62:V62" si="17">IF(C11=0,0,C11/C$8)</f>
        <v>0.6436209467448849</v>
      </c>
      <c r="D62" s="124">
        <f t="shared" si="17"/>
        <v>0.6781136017220506</v>
      </c>
      <c r="E62" s="124">
        <f t="shared" si="17"/>
        <v>0.75872545670361213</v>
      </c>
      <c r="F62" s="124">
        <f t="shared" si="17"/>
        <v>0.79991072979254896</v>
      </c>
      <c r="G62" s="124">
        <f t="shared" si="17"/>
        <v>0.82515952642743529</v>
      </c>
      <c r="H62" s="124">
        <f t="shared" si="17"/>
        <v>0.76772804471430234</v>
      </c>
      <c r="I62" s="124">
        <f t="shared" si="17"/>
        <v>0.73186325399150509</v>
      </c>
      <c r="J62" s="124">
        <f t="shared" si="17"/>
        <v>0.7138282936912328</v>
      </c>
      <c r="K62" s="124">
        <f t="shared" si="17"/>
        <v>0.67769735736184422</v>
      </c>
      <c r="L62" s="124">
        <f t="shared" si="17"/>
        <v>0.6326654849914739</v>
      </c>
      <c r="M62" s="124">
        <f t="shared" si="17"/>
        <v>0.76105475373987208</v>
      </c>
      <c r="N62" s="124">
        <f t="shared" si="17"/>
        <v>0.77332025540081006</v>
      </c>
      <c r="O62" s="124">
        <f t="shared" si="17"/>
        <v>0.61144012951473869</v>
      </c>
      <c r="P62" s="124">
        <f t="shared" si="17"/>
        <v>0.58914306744905254</v>
      </c>
      <c r="Q62" s="124">
        <f t="shared" si="17"/>
        <v>0.70530461377398068</v>
      </c>
      <c r="R62" s="124">
        <f t="shared" si="17"/>
        <v>0.74801518716321647</v>
      </c>
      <c r="S62" s="124">
        <f t="shared" si="17"/>
        <v>0.53094478004751411</v>
      </c>
      <c r="T62" s="124">
        <f t="shared" si="17"/>
        <v>0.4852330445942391</v>
      </c>
      <c r="U62" s="124">
        <f t="shared" si="17"/>
        <v>0.41241603287958817</v>
      </c>
      <c r="V62" s="124">
        <f t="shared" si="17"/>
        <v>0.3689464119239661</v>
      </c>
      <c r="W62" s="124">
        <f t="shared" ref="W62:Y62" si="18">IF(W11=0,0,W11/W$8)</f>
        <v>0.61177802152334415</v>
      </c>
      <c r="X62" s="124">
        <f t="shared" si="18"/>
        <v>0.58446889851724393</v>
      </c>
      <c r="Y62" s="124">
        <f t="shared" si="18"/>
        <v>0.61727617376048272</v>
      </c>
      <c r="DA62" s="176"/>
    </row>
    <row r="63" spans="1:105" ht="11.45" customHeight="1" x14ac:dyDescent="0.25">
      <c r="A63" s="111" t="s">
        <v>92</v>
      </c>
      <c r="B63" s="125">
        <f t="shared" si="10"/>
        <v>0.65239713125125176</v>
      </c>
      <c r="C63" s="125">
        <f t="shared" ref="C63:V63" si="19">IF(C12=0,0,C12/C$8)</f>
        <v>0.6436209467448849</v>
      </c>
      <c r="D63" s="125">
        <f t="shared" si="19"/>
        <v>0.6781136017220506</v>
      </c>
      <c r="E63" s="125">
        <f t="shared" si="19"/>
        <v>0.75872545670361213</v>
      </c>
      <c r="F63" s="125">
        <f t="shared" si="19"/>
        <v>0.79991072979254896</v>
      </c>
      <c r="G63" s="125">
        <f t="shared" si="19"/>
        <v>0.82515952642743529</v>
      </c>
      <c r="H63" s="125">
        <f t="shared" si="19"/>
        <v>0.76772804471430234</v>
      </c>
      <c r="I63" s="125">
        <f t="shared" si="19"/>
        <v>0.73186325399150509</v>
      </c>
      <c r="J63" s="125">
        <f t="shared" si="19"/>
        <v>0.7138282936912328</v>
      </c>
      <c r="K63" s="125">
        <f t="shared" si="19"/>
        <v>0.67769735736184422</v>
      </c>
      <c r="L63" s="125">
        <f t="shared" si="19"/>
        <v>0.6326654849914739</v>
      </c>
      <c r="M63" s="125">
        <f t="shared" si="19"/>
        <v>0.76105475373987208</v>
      </c>
      <c r="N63" s="125">
        <f t="shared" si="19"/>
        <v>0.77332025540081006</v>
      </c>
      <c r="O63" s="125">
        <f t="shared" si="19"/>
        <v>0.61144012951473869</v>
      </c>
      <c r="P63" s="125">
        <f t="shared" si="19"/>
        <v>0.58914306744905254</v>
      </c>
      <c r="Q63" s="125">
        <f t="shared" si="19"/>
        <v>0.70530461377398068</v>
      </c>
      <c r="R63" s="125">
        <f t="shared" si="19"/>
        <v>0.74801518716321647</v>
      </c>
      <c r="S63" s="125">
        <f t="shared" si="19"/>
        <v>0.53094478004751411</v>
      </c>
      <c r="T63" s="125">
        <f t="shared" si="19"/>
        <v>0.4852330445942391</v>
      </c>
      <c r="U63" s="125">
        <f t="shared" si="19"/>
        <v>0.41241603287958817</v>
      </c>
      <c r="V63" s="125">
        <f t="shared" si="19"/>
        <v>0.3689464119239661</v>
      </c>
      <c r="W63" s="125">
        <f t="shared" ref="W63:Y63" si="20">IF(W12=0,0,W12/W$8)</f>
        <v>0.61177802152334415</v>
      </c>
      <c r="X63" s="125">
        <f t="shared" si="20"/>
        <v>0.58446889851724393</v>
      </c>
      <c r="Y63" s="125">
        <f t="shared" si="20"/>
        <v>0.61727617376048272</v>
      </c>
      <c r="DA63" s="171"/>
    </row>
    <row r="64" spans="1:105" ht="11.45" customHeight="1" x14ac:dyDescent="0.25">
      <c r="A64" s="111" t="s">
        <v>93</v>
      </c>
      <c r="B64" s="125">
        <f t="shared" si="10"/>
        <v>0</v>
      </c>
      <c r="C64" s="125">
        <f t="shared" ref="C64:V64" si="21">IF(C13=0,0,C13/C$8)</f>
        <v>0</v>
      </c>
      <c r="D64" s="125">
        <f t="shared" si="21"/>
        <v>0</v>
      </c>
      <c r="E64" s="125">
        <f t="shared" si="21"/>
        <v>0</v>
      </c>
      <c r="F64" s="125">
        <f t="shared" si="21"/>
        <v>0</v>
      </c>
      <c r="G64" s="125">
        <f t="shared" si="21"/>
        <v>0</v>
      </c>
      <c r="H64" s="125">
        <f t="shared" si="21"/>
        <v>0</v>
      </c>
      <c r="I64" s="125">
        <f t="shared" si="21"/>
        <v>0</v>
      </c>
      <c r="J64" s="125">
        <f t="shared" si="21"/>
        <v>0</v>
      </c>
      <c r="K64" s="125">
        <f t="shared" si="21"/>
        <v>0</v>
      </c>
      <c r="L64" s="125">
        <f t="shared" si="21"/>
        <v>0</v>
      </c>
      <c r="M64" s="125">
        <f t="shared" si="21"/>
        <v>0</v>
      </c>
      <c r="N64" s="125">
        <f t="shared" si="21"/>
        <v>0</v>
      </c>
      <c r="O64" s="125">
        <f t="shared" si="21"/>
        <v>0</v>
      </c>
      <c r="P64" s="125">
        <f t="shared" si="21"/>
        <v>0</v>
      </c>
      <c r="Q64" s="125">
        <f t="shared" si="21"/>
        <v>0</v>
      </c>
      <c r="R64" s="125">
        <f t="shared" si="21"/>
        <v>0</v>
      </c>
      <c r="S64" s="125">
        <f t="shared" si="21"/>
        <v>0</v>
      </c>
      <c r="T64" s="125">
        <f t="shared" si="21"/>
        <v>0</v>
      </c>
      <c r="U64" s="125">
        <f t="shared" si="21"/>
        <v>0</v>
      </c>
      <c r="V64" s="125">
        <f t="shared" si="21"/>
        <v>0</v>
      </c>
      <c r="W64" s="125">
        <f t="shared" ref="W64:Y64" si="22">IF(W13=0,0,W13/W$8)</f>
        <v>0</v>
      </c>
      <c r="X64" s="125">
        <f t="shared" si="22"/>
        <v>0</v>
      </c>
      <c r="Y64" s="125">
        <f t="shared" si="22"/>
        <v>0</v>
      </c>
      <c r="DA64" s="171"/>
    </row>
    <row r="65" spans="1:105" ht="11.45" customHeight="1" x14ac:dyDescent="0.25">
      <c r="A65" s="112" t="s">
        <v>25</v>
      </c>
      <c r="B65" s="126">
        <f t="shared" si="10"/>
        <v>0</v>
      </c>
      <c r="C65" s="126">
        <f t="shared" ref="C65:V65" si="23">IF(C14=0,0,C14/C$8)</f>
        <v>0</v>
      </c>
      <c r="D65" s="126">
        <f t="shared" si="23"/>
        <v>0</v>
      </c>
      <c r="E65" s="126">
        <f t="shared" si="23"/>
        <v>0</v>
      </c>
      <c r="F65" s="126">
        <f t="shared" si="23"/>
        <v>0</v>
      </c>
      <c r="G65" s="126">
        <f t="shared" si="23"/>
        <v>0</v>
      </c>
      <c r="H65" s="126">
        <f t="shared" si="23"/>
        <v>0</v>
      </c>
      <c r="I65" s="126">
        <f t="shared" si="23"/>
        <v>0</v>
      </c>
      <c r="J65" s="126">
        <f t="shared" si="23"/>
        <v>0</v>
      </c>
      <c r="K65" s="126">
        <f t="shared" si="23"/>
        <v>0</v>
      </c>
      <c r="L65" s="126">
        <f t="shared" si="23"/>
        <v>0</v>
      </c>
      <c r="M65" s="126">
        <f t="shared" si="23"/>
        <v>0</v>
      </c>
      <c r="N65" s="126">
        <f t="shared" si="23"/>
        <v>0</v>
      </c>
      <c r="O65" s="126">
        <f t="shared" si="23"/>
        <v>0</v>
      </c>
      <c r="P65" s="126">
        <f t="shared" si="23"/>
        <v>0</v>
      </c>
      <c r="Q65" s="126">
        <f t="shared" si="23"/>
        <v>0</v>
      </c>
      <c r="R65" s="126">
        <f t="shared" si="23"/>
        <v>0</v>
      </c>
      <c r="S65" s="126">
        <f t="shared" si="23"/>
        <v>0</v>
      </c>
      <c r="T65" s="126">
        <f t="shared" si="23"/>
        <v>0</v>
      </c>
      <c r="U65" s="126">
        <f t="shared" si="23"/>
        <v>0</v>
      </c>
      <c r="V65" s="126">
        <f t="shared" si="23"/>
        <v>0</v>
      </c>
      <c r="W65" s="126">
        <f t="shared" ref="W65:Y65" si="24">IF(W14=0,0,W14/W$8)</f>
        <v>0</v>
      </c>
      <c r="X65" s="126">
        <f t="shared" si="24"/>
        <v>0</v>
      </c>
      <c r="Y65" s="126">
        <f t="shared" si="24"/>
        <v>0</v>
      </c>
      <c r="DA65" s="204"/>
    </row>
    <row r="66" spans="1:105" ht="11.45" customHeight="1" x14ac:dyDescent="0.25">
      <c r="A66" s="27" t="s">
        <v>34</v>
      </c>
      <c r="B66" s="31">
        <f t="shared" si="10"/>
        <v>0.34760286874874829</v>
      </c>
      <c r="C66" s="31">
        <f t="shared" ref="C66:V66" si="25">IF(C15=0,0,C15/C$8)</f>
        <v>0.35637905325511515</v>
      </c>
      <c r="D66" s="31">
        <f t="shared" si="25"/>
        <v>0.32188639827794946</v>
      </c>
      <c r="E66" s="31">
        <f t="shared" si="25"/>
        <v>0.24127454329638784</v>
      </c>
      <c r="F66" s="31">
        <f t="shared" si="25"/>
        <v>0.2000892702074511</v>
      </c>
      <c r="G66" s="31">
        <f t="shared" si="25"/>
        <v>0.17484047357256466</v>
      </c>
      <c r="H66" s="31">
        <f t="shared" si="25"/>
        <v>0.23227195528569772</v>
      </c>
      <c r="I66" s="31">
        <f t="shared" si="25"/>
        <v>0.26813674600849474</v>
      </c>
      <c r="J66" s="31">
        <f t="shared" si="25"/>
        <v>0.28617170630876715</v>
      </c>
      <c r="K66" s="31">
        <f t="shared" si="25"/>
        <v>0.32230264263815572</v>
      </c>
      <c r="L66" s="31">
        <f t="shared" si="25"/>
        <v>0.36733451500852604</v>
      </c>
      <c r="M66" s="31">
        <f t="shared" si="25"/>
        <v>0.23894524626012781</v>
      </c>
      <c r="N66" s="31">
        <f t="shared" si="25"/>
        <v>0.22667974459918999</v>
      </c>
      <c r="O66" s="31">
        <f t="shared" si="25"/>
        <v>0.38855987048526131</v>
      </c>
      <c r="P66" s="31">
        <f t="shared" si="25"/>
        <v>0.41085693255094746</v>
      </c>
      <c r="Q66" s="31">
        <f t="shared" si="25"/>
        <v>0.29469538622601932</v>
      </c>
      <c r="R66" s="31">
        <f t="shared" si="25"/>
        <v>0.25198481283678353</v>
      </c>
      <c r="S66" s="31">
        <f t="shared" si="25"/>
        <v>0.46905521995248595</v>
      </c>
      <c r="T66" s="31">
        <f t="shared" si="25"/>
        <v>0.51476695540576078</v>
      </c>
      <c r="U66" s="31">
        <f t="shared" si="25"/>
        <v>0.58758396712041183</v>
      </c>
      <c r="V66" s="31">
        <f t="shared" si="25"/>
        <v>0.63105358807603384</v>
      </c>
      <c r="W66" s="31">
        <f t="shared" ref="W66:Y66" si="26">IF(W15=0,0,W15/W$8)</f>
        <v>0.38822197847665596</v>
      </c>
      <c r="X66" s="31">
        <f t="shared" si="26"/>
        <v>0.41553110148275596</v>
      </c>
      <c r="Y66" s="31">
        <f t="shared" si="26"/>
        <v>0.38272382623951712</v>
      </c>
      <c r="DA66" s="173"/>
    </row>
    <row r="67" spans="1:105" ht="11.45" customHeight="1" x14ac:dyDescent="0.25">
      <c r="A67" s="83" t="s">
        <v>92</v>
      </c>
      <c r="B67" s="125">
        <f t="shared" si="10"/>
        <v>0.34760286874874829</v>
      </c>
      <c r="C67" s="125">
        <f t="shared" ref="C67:V67" si="27">IF(C16=0,0,C16/C$8)</f>
        <v>0.35637905325511515</v>
      </c>
      <c r="D67" s="125">
        <f t="shared" si="27"/>
        <v>0.32188639827794946</v>
      </c>
      <c r="E67" s="125">
        <f t="shared" si="27"/>
        <v>0.24127454329638784</v>
      </c>
      <c r="F67" s="125">
        <f t="shared" si="27"/>
        <v>0.2000892702074511</v>
      </c>
      <c r="G67" s="125">
        <f t="shared" si="27"/>
        <v>0.17484047357256466</v>
      </c>
      <c r="H67" s="125">
        <f t="shared" si="27"/>
        <v>0.23227195528569772</v>
      </c>
      <c r="I67" s="125">
        <f t="shared" si="27"/>
        <v>0.26813674600849474</v>
      </c>
      <c r="J67" s="125">
        <f t="shared" si="27"/>
        <v>0.28617170630876715</v>
      </c>
      <c r="K67" s="125">
        <f t="shared" si="27"/>
        <v>0.32230264263815572</v>
      </c>
      <c r="L67" s="125">
        <f t="shared" si="27"/>
        <v>0.36733451500852604</v>
      </c>
      <c r="M67" s="125">
        <f t="shared" si="27"/>
        <v>0.23894524626012781</v>
      </c>
      <c r="N67" s="125">
        <f t="shared" si="27"/>
        <v>0.22667974459918999</v>
      </c>
      <c r="O67" s="125">
        <f t="shared" si="27"/>
        <v>0.38855987048526131</v>
      </c>
      <c r="P67" s="125">
        <f t="shared" si="27"/>
        <v>0.41085693255094746</v>
      </c>
      <c r="Q67" s="125">
        <f t="shared" si="27"/>
        <v>0.29469538622601932</v>
      </c>
      <c r="R67" s="125">
        <f t="shared" si="27"/>
        <v>0.25198481283678353</v>
      </c>
      <c r="S67" s="125">
        <f t="shared" si="27"/>
        <v>0.46905521995248595</v>
      </c>
      <c r="T67" s="125">
        <f t="shared" si="27"/>
        <v>0.51476695540576078</v>
      </c>
      <c r="U67" s="125">
        <f t="shared" si="27"/>
        <v>0.58758396712041183</v>
      </c>
      <c r="V67" s="125">
        <f t="shared" si="27"/>
        <v>0.63105358807603384</v>
      </c>
      <c r="W67" s="125">
        <f t="shared" ref="W67:Y67" si="28">IF(W16=0,0,W16/W$8)</f>
        <v>0.38822197847665596</v>
      </c>
      <c r="X67" s="125">
        <f t="shared" si="28"/>
        <v>0.41553110148275596</v>
      </c>
      <c r="Y67" s="125">
        <f t="shared" si="28"/>
        <v>0.38272382623951712</v>
      </c>
      <c r="DA67" s="171"/>
    </row>
    <row r="68" spans="1:105" ht="11.45" customHeight="1" x14ac:dyDescent="0.25">
      <c r="A68" s="85" t="s">
        <v>93</v>
      </c>
      <c r="B68" s="127">
        <f t="shared" si="10"/>
        <v>0</v>
      </c>
      <c r="C68" s="127">
        <f t="shared" ref="C68:V68" si="29">IF(C17=0,0,C17/C$8)</f>
        <v>0</v>
      </c>
      <c r="D68" s="127">
        <f t="shared" si="29"/>
        <v>0</v>
      </c>
      <c r="E68" s="127">
        <f t="shared" si="29"/>
        <v>0</v>
      </c>
      <c r="F68" s="127">
        <f t="shared" si="29"/>
        <v>0</v>
      </c>
      <c r="G68" s="127">
        <f t="shared" si="29"/>
        <v>0</v>
      </c>
      <c r="H68" s="127">
        <f t="shared" si="29"/>
        <v>0</v>
      </c>
      <c r="I68" s="127">
        <f t="shared" si="29"/>
        <v>0</v>
      </c>
      <c r="J68" s="127">
        <f t="shared" si="29"/>
        <v>0</v>
      </c>
      <c r="K68" s="127">
        <f t="shared" si="29"/>
        <v>0</v>
      </c>
      <c r="L68" s="127">
        <f t="shared" si="29"/>
        <v>0</v>
      </c>
      <c r="M68" s="127">
        <f t="shared" si="29"/>
        <v>0</v>
      </c>
      <c r="N68" s="127">
        <f t="shared" si="29"/>
        <v>0</v>
      </c>
      <c r="O68" s="127">
        <f t="shared" si="29"/>
        <v>0</v>
      </c>
      <c r="P68" s="127">
        <f t="shared" si="29"/>
        <v>0</v>
      </c>
      <c r="Q68" s="127">
        <f t="shared" si="29"/>
        <v>0</v>
      </c>
      <c r="R68" s="127">
        <f t="shared" si="29"/>
        <v>0</v>
      </c>
      <c r="S68" s="127">
        <f t="shared" si="29"/>
        <v>0</v>
      </c>
      <c r="T68" s="127">
        <f t="shared" si="29"/>
        <v>0</v>
      </c>
      <c r="U68" s="127">
        <f t="shared" si="29"/>
        <v>0</v>
      </c>
      <c r="V68" s="127">
        <f t="shared" si="29"/>
        <v>0</v>
      </c>
      <c r="W68" s="127">
        <f t="shared" ref="W68:Y68" si="30">IF(W17=0,0,W17/W$8)</f>
        <v>0</v>
      </c>
      <c r="X68" s="127">
        <f t="shared" si="30"/>
        <v>0</v>
      </c>
      <c r="Y68" s="127">
        <f t="shared" si="30"/>
        <v>0</v>
      </c>
      <c r="DA68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11:Y11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DA125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189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Z1" s="49"/>
      <c r="AA1" s="49"/>
      <c r="AB1" s="49"/>
      <c r="AC1" s="49"/>
      <c r="AD1" s="49"/>
      <c r="AE1" s="49"/>
      <c r="AF1" s="49"/>
      <c r="DA1" s="170" t="s">
        <v>152</v>
      </c>
    </row>
    <row r="2" spans="1:105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DA2" s="181"/>
    </row>
    <row r="3" spans="1:105" ht="11.45" customHeight="1" x14ac:dyDescent="0.25">
      <c r="A3" s="53" t="s">
        <v>17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DA3" s="172"/>
    </row>
    <row r="4" spans="1:105" ht="11.45" customHeight="1" x14ac:dyDescent="0.25">
      <c r="A4" s="10" t="s">
        <v>18</v>
      </c>
      <c r="B4" s="11">
        <f t="shared" ref="B4:C4" si="0">SUM(B5:B7)</f>
        <v>135961.55777597235</v>
      </c>
      <c r="C4" s="11">
        <f t="shared" si="0"/>
        <v>128425.70872053553</v>
      </c>
      <c r="D4" s="11">
        <f t="shared" ref="D4:V4" si="1">SUM(D5:D7)</f>
        <v>125835.35814380331</v>
      </c>
      <c r="E4" s="11">
        <f t="shared" si="1"/>
        <v>130623.95361296408</v>
      </c>
      <c r="F4" s="11">
        <f t="shared" si="1"/>
        <v>143717.05946056347</v>
      </c>
      <c r="G4" s="11">
        <f t="shared" si="1"/>
        <v>155076.17815025878</v>
      </c>
      <c r="H4" s="11">
        <f t="shared" si="1"/>
        <v>160719.79456534254</v>
      </c>
      <c r="I4" s="11">
        <f t="shared" si="1"/>
        <v>172701.56757419911</v>
      </c>
      <c r="J4" s="11">
        <f t="shared" si="1"/>
        <v>174022.30857637586</v>
      </c>
      <c r="K4" s="11">
        <f t="shared" si="1"/>
        <v>160027.40054701004</v>
      </c>
      <c r="L4" s="11">
        <f t="shared" si="1"/>
        <v>167456.81043747382</v>
      </c>
      <c r="M4" s="11">
        <f t="shared" si="1"/>
        <v>183291.55700573884</v>
      </c>
      <c r="N4" s="11">
        <f t="shared" si="1"/>
        <v>178948.61726410268</v>
      </c>
      <c r="O4" s="11">
        <f t="shared" si="1"/>
        <v>178983.68495101668</v>
      </c>
      <c r="P4" s="11">
        <f t="shared" si="1"/>
        <v>185673.64561736112</v>
      </c>
      <c r="Q4" s="11">
        <f t="shared" si="1"/>
        <v>192006.13561329606</v>
      </c>
      <c r="R4" s="11">
        <f t="shared" si="1"/>
        <v>214574.74655115779</v>
      </c>
      <c r="S4" s="11">
        <f t="shared" si="1"/>
        <v>231859.52521008367</v>
      </c>
      <c r="T4" s="11">
        <f t="shared" si="1"/>
        <v>243551.95394687157</v>
      </c>
      <c r="U4" s="11">
        <f t="shared" si="1"/>
        <v>253655.04966778809</v>
      </c>
      <c r="V4" s="11">
        <f t="shared" si="1"/>
        <v>65700.703329444339</v>
      </c>
      <c r="W4" s="11">
        <f t="shared" ref="W4:Y4" si="2">SUM(W5:W7)</f>
        <v>96632.169153039809</v>
      </c>
      <c r="X4" s="11">
        <f t="shared" si="2"/>
        <v>222668.95396478969</v>
      </c>
      <c r="Y4" s="11">
        <f t="shared" si="2"/>
        <v>268066.22283001</v>
      </c>
      <c r="DA4" s="189" t="s">
        <v>190</v>
      </c>
    </row>
    <row r="5" spans="1:105" ht="11.45" customHeight="1" x14ac:dyDescent="0.25">
      <c r="A5" s="83" t="s">
        <v>27</v>
      </c>
      <c r="B5" s="84">
        <v>24843.192925534193</v>
      </c>
      <c r="C5" s="84">
        <v>22916.863899829783</v>
      </c>
      <c r="D5" s="84">
        <v>22621.265990776854</v>
      </c>
      <c r="E5" s="84">
        <v>24434.770529235549</v>
      </c>
      <c r="F5" s="84">
        <v>27174.766588658989</v>
      </c>
      <c r="G5" s="84">
        <v>30528.36975634838</v>
      </c>
      <c r="H5" s="84">
        <v>32394.214343428655</v>
      </c>
      <c r="I5" s="84">
        <v>35075.956761181842</v>
      </c>
      <c r="J5" s="84">
        <v>32068.22441312833</v>
      </c>
      <c r="K5" s="84">
        <v>29166.133369335912</v>
      </c>
      <c r="L5" s="84">
        <v>29980.699673039704</v>
      </c>
      <c r="M5" s="84">
        <v>30171.505838112545</v>
      </c>
      <c r="N5" s="84">
        <v>26290.414241557297</v>
      </c>
      <c r="O5" s="84">
        <v>22799.461357155687</v>
      </c>
      <c r="P5" s="84">
        <v>22922.693756234974</v>
      </c>
      <c r="Q5" s="84">
        <v>24373.491231108128</v>
      </c>
      <c r="R5" s="84">
        <v>26712.952339132815</v>
      </c>
      <c r="S5" s="84">
        <v>28710.672383547335</v>
      </c>
      <c r="T5" s="84">
        <v>31831.073566013674</v>
      </c>
      <c r="U5" s="84">
        <v>33800.883474707131</v>
      </c>
      <c r="V5" s="84">
        <v>12728.484362913834</v>
      </c>
      <c r="W5" s="84">
        <v>21364.363715420848</v>
      </c>
      <c r="X5" s="84">
        <v>34767.616182722631</v>
      </c>
      <c r="Y5" s="84">
        <v>38920.261575163197</v>
      </c>
      <c r="DA5" s="171" t="s">
        <v>191</v>
      </c>
    </row>
    <row r="6" spans="1:105" ht="11.45" customHeight="1" x14ac:dyDescent="0.25">
      <c r="A6" s="83" t="s">
        <v>181</v>
      </c>
      <c r="B6" s="84">
        <v>82403.624846208404</v>
      </c>
      <c r="C6" s="84">
        <v>83061.055453009729</v>
      </c>
      <c r="D6" s="84">
        <v>81104.807013332786</v>
      </c>
      <c r="E6" s="84">
        <v>83702.335535878388</v>
      </c>
      <c r="F6" s="84">
        <v>88492.433755601305</v>
      </c>
      <c r="G6" s="84">
        <v>93007.152604769435</v>
      </c>
      <c r="H6" s="84">
        <v>93253.884552932985</v>
      </c>
      <c r="I6" s="84">
        <v>98034.37071478492</v>
      </c>
      <c r="J6" s="84">
        <v>98159.696511458431</v>
      </c>
      <c r="K6" s="84">
        <v>89158.698935804568</v>
      </c>
      <c r="L6" s="84">
        <v>92489.832925242343</v>
      </c>
      <c r="M6" s="84">
        <v>103941.74919313869</v>
      </c>
      <c r="N6" s="84">
        <v>103656.12293438017</v>
      </c>
      <c r="O6" s="84">
        <v>106748.90601983288</v>
      </c>
      <c r="P6" s="84">
        <v>112096.33028249478</v>
      </c>
      <c r="Q6" s="84">
        <v>115240.71256496264</v>
      </c>
      <c r="R6" s="84">
        <v>131844.66360533115</v>
      </c>
      <c r="S6" s="84">
        <v>141972.48932550426</v>
      </c>
      <c r="T6" s="84">
        <v>143593.47855022328</v>
      </c>
      <c r="U6" s="84">
        <v>143884.01040774983</v>
      </c>
      <c r="V6" s="84">
        <v>35363.862304322633</v>
      </c>
      <c r="W6" s="84">
        <v>53305.641121362394</v>
      </c>
      <c r="X6" s="84">
        <v>125818.83075595569</v>
      </c>
      <c r="Y6" s="84">
        <v>145805.92317967408</v>
      </c>
      <c r="DA6" s="171" t="s">
        <v>192</v>
      </c>
    </row>
    <row r="7" spans="1:105" ht="11.45" customHeight="1" x14ac:dyDescent="0.25">
      <c r="A7" s="83" t="s">
        <v>182</v>
      </c>
      <c r="B7" s="84">
        <v>28714.740004229763</v>
      </c>
      <c r="C7" s="84">
        <v>22447.789367696016</v>
      </c>
      <c r="D7" s="84">
        <v>22109.285139693682</v>
      </c>
      <c r="E7" s="84">
        <v>22486.847547850128</v>
      </c>
      <c r="F7" s="84">
        <v>28049.859116303185</v>
      </c>
      <c r="G7" s="84">
        <v>31540.655789140957</v>
      </c>
      <c r="H7" s="84">
        <v>35071.695668980901</v>
      </c>
      <c r="I7" s="84">
        <v>39591.240098232338</v>
      </c>
      <c r="J7" s="84">
        <v>43794.387651789089</v>
      </c>
      <c r="K7" s="84">
        <v>41702.568241869572</v>
      </c>
      <c r="L7" s="84">
        <v>44986.277839191753</v>
      </c>
      <c r="M7" s="84">
        <v>49178.3019744876</v>
      </c>
      <c r="N7" s="84">
        <v>49002.080088165196</v>
      </c>
      <c r="O7" s="84">
        <v>49435.317574028122</v>
      </c>
      <c r="P7" s="84">
        <v>50654.621578631362</v>
      </c>
      <c r="Q7" s="84">
        <v>52391.93181722529</v>
      </c>
      <c r="R7" s="84">
        <v>56017.130606693841</v>
      </c>
      <c r="S7" s="84">
        <v>61176.363501032094</v>
      </c>
      <c r="T7" s="84">
        <v>68127.401830634612</v>
      </c>
      <c r="U7" s="84">
        <v>75970.15578533111</v>
      </c>
      <c r="V7" s="84">
        <v>17608.356662207865</v>
      </c>
      <c r="W7" s="84">
        <v>21962.164316256563</v>
      </c>
      <c r="X7" s="84">
        <v>62082.507026111358</v>
      </c>
      <c r="Y7" s="84">
        <v>83340.03807517275</v>
      </c>
      <c r="DA7" s="171" t="s">
        <v>193</v>
      </c>
    </row>
    <row r="8" spans="1:105" ht="11.45" customHeight="1" x14ac:dyDescent="0.25">
      <c r="A8" s="12" t="s">
        <v>28</v>
      </c>
      <c r="B8" s="13">
        <f t="shared" ref="B8:C8" si="3">SUM(B9:B11)</f>
        <v>902.19035164746538</v>
      </c>
      <c r="C8" s="13">
        <f t="shared" si="3"/>
        <v>903.87984408782711</v>
      </c>
      <c r="D8" s="13">
        <f t="shared" ref="D8:V8" si="4">SUM(D9:D11)</f>
        <v>817.30164269686907</v>
      </c>
      <c r="E8" s="13">
        <f t="shared" si="4"/>
        <v>767.63848193730712</v>
      </c>
      <c r="F8" s="13">
        <f t="shared" si="4"/>
        <v>919.21607071261985</v>
      </c>
      <c r="G8" s="13">
        <f t="shared" si="4"/>
        <v>851.42312427356683</v>
      </c>
      <c r="H8" s="13">
        <f t="shared" si="4"/>
        <v>886.00645264583829</v>
      </c>
      <c r="I8" s="13">
        <f t="shared" si="4"/>
        <v>979.61765612225929</v>
      </c>
      <c r="J8" s="13">
        <f t="shared" si="4"/>
        <v>1029.4687696656374</v>
      </c>
      <c r="K8" s="13">
        <f t="shared" si="4"/>
        <v>985.63751342142598</v>
      </c>
      <c r="L8" s="13">
        <f t="shared" si="4"/>
        <v>1278.3430052631099</v>
      </c>
      <c r="M8" s="13">
        <f t="shared" si="4"/>
        <v>1349.5159933304246</v>
      </c>
      <c r="N8" s="13">
        <f t="shared" si="4"/>
        <v>1294.1656120346354</v>
      </c>
      <c r="O8" s="13">
        <f t="shared" si="4"/>
        <v>1300.3409451176979</v>
      </c>
      <c r="P8" s="13">
        <f t="shared" si="4"/>
        <v>1397.2806725222626</v>
      </c>
      <c r="Q8" s="13">
        <f t="shared" si="4"/>
        <v>1519.899303184256</v>
      </c>
      <c r="R8" s="13">
        <f t="shared" si="4"/>
        <v>1635.9500257099949</v>
      </c>
      <c r="S8" s="13">
        <f t="shared" si="4"/>
        <v>2080.0174024885259</v>
      </c>
      <c r="T8" s="13">
        <f t="shared" si="4"/>
        <v>2366.6575320694992</v>
      </c>
      <c r="U8" s="13">
        <f t="shared" si="4"/>
        <v>2386.0318610516661</v>
      </c>
      <c r="V8" s="13">
        <f t="shared" si="4"/>
        <v>1182.1076011480166</v>
      </c>
      <c r="W8" s="13">
        <f t="shared" ref="W8:Y8" si="5">SUM(W9:W11)</f>
        <v>1560.2755000744455</v>
      </c>
      <c r="X8" s="13">
        <f t="shared" si="5"/>
        <v>2081.9232659335744</v>
      </c>
      <c r="Y8" s="13">
        <f t="shared" si="5"/>
        <v>2653.89049372403</v>
      </c>
      <c r="DA8" s="193" t="s">
        <v>194</v>
      </c>
    </row>
    <row r="9" spans="1:105" ht="11.45" customHeight="1" x14ac:dyDescent="0.25">
      <c r="A9" s="92" t="s">
        <v>27</v>
      </c>
      <c r="B9" s="102">
        <v>101.70827179641714</v>
      </c>
      <c r="C9" s="102">
        <v>96.087719092546379</v>
      </c>
      <c r="D9" s="102">
        <v>92.487522718016621</v>
      </c>
      <c r="E9" s="102">
        <v>83.028132467280201</v>
      </c>
      <c r="F9" s="102">
        <v>105.862481250977</v>
      </c>
      <c r="G9" s="102">
        <v>102.35592551616276</v>
      </c>
      <c r="H9" s="102">
        <v>100.16214205647076</v>
      </c>
      <c r="I9" s="102">
        <v>97.143611112726276</v>
      </c>
      <c r="J9" s="102">
        <v>90.894496040711189</v>
      </c>
      <c r="K9" s="102">
        <v>72.562790295691528</v>
      </c>
      <c r="L9" s="102">
        <v>72.056631811434599</v>
      </c>
      <c r="M9" s="102">
        <v>66.533321318850653</v>
      </c>
      <c r="N9" s="102">
        <v>56.184942680653926</v>
      </c>
      <c r="O9" s="102">
        <v>53.147104470754329</v>
      </c>
      <c r="P9" s="102">
        <v>54.264714549165909</v>
      </c>
      <c r="Q9" s="102">
        <v>51.823279417346285</v>
      </c>
      <c r="R9" s="102">
        <v>54.451523155579324</v>
      </c>
      <c r="S9" s="102">
        <v>55.362580224664875</v>
      </c>
      <c r="T9" s="102">
        <v>54.596388550013096</v>
      </c>
      <c r="U9" s="102">
        <v>53.030952839619104</v>
      </c>
      <c r="V9" s="102">
        <v>36.562455390428077</v>
      </c>
      <c r="W9" s="102">
        <v>38.023797793679599</v>
      </c>
      <c r="X9" s="102">
        <v>27.499556478127317</v>
      </c>
      <c r="Y9" s="102">
        <v>27.397207515441856</v>
      </c>
      <c r="DA9" s="175" t="s">
        <v>195</v>
      </c>
    </row>
    <row r="10" spans="1:105" ht="11.45" customHeight="1" x14ac:dyDescent="0.25">
      <c r="A10" s="92" t="s">
        <v>181</v>
      </c>
      <c r="B10" s="102">
        <v>168.78561359556977</v>
      </c>
      <c r="C10" s="102">
        <v>165.62685562740288</v>
      </c>
      <c r="D10" s="102">
        <v>152.83683706572359</v>
      </c>
      <c r="E10" s="102">
        <v>148.60107622313285</v>
      </c>
      <c r="F10" s="102">
        <v>167.26162040665091</v>
      </c>
      <c r="G10" s="102">
        <v>155.48771233068135</v>
      </c>
      <c r="H10" s="102">
        <v>133.0125052212386</v>
      </c>
      <c r="I10" s="102">
        <v>113.30202899969186</v>
      </c>
      <c r="J10" s="102">
        <v>113.54019955989382</v>
      </c>
      <c r="K10" s="102">
        <v>106.33318393123342</v>
      </c>
      <c r="L10" s="102">
        <v>117.95610488025004</v>
      </c>
      <c r="M10" s="102">
        <v>119.14324984695021</v>
      </c>
      <c r="N10" s="102">
        <v>113.07522898408995</v>
      </c>
      <c r="O10" s="102">
        <v>114.18328796503582</v>
      </c>
      <c r="P10" s="102">
        <v>121.05055633367328</v>
      </c>
      <c r="Q10" s="102">
        <v>127.47614318977023</v>
      </c>
      <c r="R10" s="102">
        <v>129.98238934995854</v>
      </c>
      <c r="S10" s="102">
        <v>141.34751630682018</v>
      </c>
      <c r="T10" s="102">
        <v>143.5736438992603</v>
      </c>
      <c r="U10" s="102">
        <v>161.97247429908964</v>
      </c>
      <c r="V10" s="102">
        <v>144.33036890737782</v>
      </c>
      <c r="W10" s="102">
        <v>166.07029358641211</v>
      </c>
      <c r="X10" s="102">
        <v>179.69742476866054</v>
      </c>
      <c r="Y10" s="102">
        <v>161.34609917171679</v>
      </c>
      <c r="DA10" s="175" t="s">
        <v>196</v>
      </c>
    </row>
    <row r="11" spans="1:105" ht="11.45" customHeight="1" x14ac:dyDescent="0.25">
      <c r="A11" s="85" t="s">
        <v>182</v>
      </c>
      <c r="B11" s="86">
        <v>631.69646625547853</v>
      </c>
      <c r="C11" s="86">
        <v>642.16526936787784</v>
      </c>
      <c r="D11" s="86">
        <v>571.97728291312887</v>
      </c>
      <c r="E11" s="86">
        <v>536.00927324689405</v>
      </c>
      <c r="F11" s="86">
        <v>646.09196905499198</v>
      </c>
      <c r="G11" s="86">
        <v>593.57948642672272</v>
      </c>
      <c r="H11" s="86">
        <v>652.83180536812893</v>
      </c>
      <c r="I11" s="86">
        <v>769.17201600984117</v>
      </c>
      <c r="J11" s="86">
        <v>825.03407406503231</v>
      </c>
      <c r="K11" s="86">
        <v>806.741539194501</v>
      </c>
      <c r="L11" s="86">
        <v>1088.3302685714252</v>
      </c>
      <c r="M11" s="86">
        <v>1163.8394221646238</v>
      </c>
      <c r="N11" s="86">
        <v>1124.9054403698915</v>
      </c>
      <c r="O11" s="86">
        <v>1133.0105526819077</v>
      </c>
      <c r="P11" s="86">
        <v>1221.9654016394234</v>
      </c>
      <c r="Q11" s="86">
        <v>1340.5998805771394</v>
      </c>
      <c r="R11" s="86">
        <v>1451.516113204457</v>
      </c>
      <c r="S11" s="86">
        <v>1883.3073059570409</v>
      </c>
      <c r="T11" s="86">
        <v>2168.4874996202257</v>
      </c>
      <c r="U11" s="86">
        <v>2171.0284339129576</v>
      </c>
      <c r="V11" s="86">
        <v>1001.2147768502106</v>
      </c>
      <c r="W11" s="86">
        <v>1356.1814086943539</v>
      </c>
      <c r="X11" s="86">
        <v>1874.7262846867866</v>
      </c>
      <c r="Y11" s="86">
        <v>2465.1471870368714</v>
      </c>
      <c r="DA11" s="178" t="s">
        <v>197</v>
      </c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DA12" s="181"/>
    </row>
    <row r="13" spans="1:105" ht="11.45" customHeight="1" x14ac:dyDescent="0.25">
      <c r="A13" s="53" t="s">
        <v>64</v>
      </c>
      <c r="B13" s="54">
        <f t="shared" ref="B13:C13" si="6">SUM(B14,B18)</f>
        <v>998.44481555376069</v>
      </c>
      <c r="C13" s="54">
        <f t="shared" si="6"/>
        <v>932.82007100755607</v>
      </c>
      <c r="D13" s="54">
        <f t="shared" ref="D13:V13" si="7">SUM(D14,D18)</f>
        <v>968.86981118199606</v>
      </c>
      <c r="E13" s="54">
        <f t="shared" si="7"/>
        <v>933.52768866965073</v>
      </c>
      <c r="F13" s="54">
        <f t="shared" si="7"/>
        <v>1039.6169719304451</v>
      </c>
      <c r="G13" s="54">
        <f t="shared" si="7"/>
        <v>1117.7723594513368</v>
      </c>
      <c r="H13" s="54">
        <f t="shared" si="7"/>
        <v>1172.3003241454671</v>
      </c>
      <c r="I13" s="54">
        <f t="shared" si="7"/>
        <v>1278.1928143010346</v>
      </c>
      <c r="J13" s="54">
        <f t="shared" si="7"/>
        <v>1283.2745701644287</v>
      </c>
      <c r="K13" s="54">
        <f t="shared" si="7"/>
        <v>1147.9498803301803</v>
      </c>
      <c r="L13" s="54">
        <f t="shared" si="7"/>
        <v>1177.2371112542635</v>
      </c>
      <c r="M13" s="54">
        <f t="shared" si="7"/>
        <v>1246.2637050268456</v>
      </c>
      <c r="N13" s="54">
        <f t="shared" si="7"/>
        <v>1167.2755406784693</v>
      </c>
      <c r="O13" s="54">
        <f t="shared" si="7"/>
        <v>1157.6691007517056</v>
      </c>
      <c r="P13" s="54">
        <f t="shared" si="7"/>
        <v>1202.4206858968471</v>
      </c>
      <c r="Q13" s="54">
        <f t="shared" si="7"/>
        <v>1225.7265325215051</v>
      </c>
      <c r="R13" s="54">
        <f t="shared" si="7"/>
        <v>1333.1878284513814</v>
      </c>
      <c r="S13" s="54">
        <f t="shared" si="7"/>
        <v>1430.8447531201139</v>
      </c>
      <c r="T13" s="54">
        <f t="shared" si="7"/>
        <v>1498.048923760429</v>
      </c>
      <c r="U13" s="54">
        <f t="shared" si="7"/>
        <v>1528.1315121775713</v>
      </c>
      <c r="V13" s="54">
        <f t="shared" si="7"/>
        <v>534.14959592586024</v>
      </c>
      <c r="W13" s="54">
        <f t="shared" ref="W13:Y13" si="8">SUM(W14,W18)</f>
        <v>772.11196857819914</v>
      </c>
      <c r="X13" s="54">
        <f t="shared" si="8"/>
        <v>1398.4601714200091</v>
      </c>
      <c r="Y13" s="54">
        <f t="shared" si="8"/>
        <v>1581.9815213731351</v>
      </c>
      <c r="DA13" s="172" t="s">
        <v>198</v>
      </c>
    </row>
    <row r="14" spans="1:105" ht="11.45" customHeight="1" x14ac:dyDescent="0.25">
      <c r="A14" s="10" t="s">
        <v>33</v>
      </c>
      <c r="B14" s="11">
        <f t="shared" ref="B14:C14" si="9">SUM(B15:B17)</f>
        <v>975.59378888928109</v>
      </c>
      <c r="C14" s="11">
        <f t="shared" si="9"/>
        <v>911.03005569955849</v>
      </c>
      <c r="D14" s="11">
        <f t="shared" ref="D14:V14" si="10">SUM(D15:D17)</f>
        <v>948.14606550220219</v>
      </c>
      <c r="E14" s="11">
        <f t="shared" si="10"/>
        <v>913.97715245609015</v>
      </c>
      <c r="F14" s="11">
        <f t="shared" si="10"/>
        <v>1014.641147372353</v>
      </c>
      <c r="G14" s="11">
        <f t="shared" si="10"/>
        <v>1093.5223436842621</v>
      </c>
      <c r="H14" s="11">
        <f t="shared" si="10"/>
        <v>1146.6494229962941</v>
      </c>
      <c r="I14" s="11">
        <f t="shared" si="10"/>
        <v>1251.522289316822</v>
      </c>
      <c r="J14" s="11">
        <f t="shared" si="10"/>
        <v>1255.4767359403891</v>
      </c>
      <c r="K14" s="11">
        <f t="shared" si="10"/>
        <v>1124.1542161287466</v>
      </c>
      <c r="L14" s="11">
        <f t="shared" si="10"/>
        <v>1149.4419314738736</v>
      </c>
      <c r="M14" s="11">
        <f t="shared" si="10"/>
        <v>1219.1686422382652</v>
      </c>
      <c r="N14" s="11">
        <f t="shared" si="10"/>
        <v>1143.4953579396818</v>
      </c>
      <c r="O14" s="11">
        <f t="shared" si="10"/>
        <v>1134.4047287339008</v>
      </c>
      <c r="P14" s="11">
        <f t="shared" si="10"/>
        <v>1180.6918110165118</v>
      </c>
      <c r="Q14" s="11">
        <f t="shared" si="10"/>
        <v>1202.6126641594046</v>
      </c>
      <c r="R14" s="11">
        <f t="shared" si="10"/>
        <v>1310.6814361221898</v>
      </c>
      <c r="S14" s="11">
        <f t="shared" si="10"/>
        <v>1402.1522222451388</v>
      </c>
      <c r="T14" s="11">
        <f t="shared" si="10"/>
        <v>1466.9036914625099</v>
      </c>
      <c r="U14" s="11">
        <f t="shared" si="10"/>
        <v>1497.9325495338303</v>
      </c>
      <c r="V14" s="11">
        <f t="shared" si="10"/>
        <v>511.35139452828037</v>
      </c>
      <c r="W14" s="11">
        <f t="shared" ref="W14:Y14" si="11">SUM(W15:W17)</f>
        <v>743.16740245929464</v>
      </c>
      <c r="X14" s="11">
        <f t="shared" si="11"/>
        <v>1364.6208853600265</v>
      </c>
      <c r="Y14" s="11">
        <f t="shared" si="11"/>
        <v>1542.3085598066759</v>
      </c>
      <c r="DA14" s="189" t="s">
        <v>199</v>
      </c>
    </row>
    <row r="15" spans="1:105" ht="11.45" customHeight="1" x14ac:dyDescent="0.25">
      <c r="A15" s="83" t="s">
        <v>27</v>
      </c>
      <c r="B15" s="84">
        <v>259.40674679572612</v>
      </c>
      <c r="C15" s="84">
        <v>237.38595306131438</v>
      </c>
      <c r="D15" s="84">
        <v>225.17833622247394</v>
      </c>
      <c r="E15" s="84">
        <v>230.9949977043249</v>
      </c>
      <c r="F15" s="84">
        <v>256.8078656671326</v>
      </c>
      <c r="G15" s="84">
        <v>288.30058157222152</v>
      </c>
      <c r="H15" s="84">
        <v>302.4480478881527</v>
      </c>
      <c r="I15" s="84">
        <v>320.39951202212922</v>
      </c>
      <c r="J15" s="84">
        <v>305.68864022801125</v>
      </c>
      <c r="K15" s="84">
        <v>268.97322484498994</v>
      </c>
      <c r="L15" s="84">
        <v>264.6434119857368</v>
      </c>
      <c r="M15" s="84">
        <v>256.03260762565816</v>
      </c>
      <c r="N15" s="84">
        <v>209.9015224657883</v>
      </c>
      <c r="O15" s="84">
        <v>180.25923967960648</v>
      </c>
      <c r="P15" s="84">
        <v>182.7545780567541</v>
      </c>
      <c r="Q15" s="84">
        <v>188.57892966283194</v>
      </c>
      <c r="R15" s="84">
        <v>198.43717797722644</v>
      </c>
      <c r="S15" s="84">
        <v>208.24864070885903</v>
      </c>
      <c r="T15" s="84">
        <v>228.89502242776769</v>
      </c>
      <c r="U15" s="84">
        <v>242.14314821753788</v>
      </c>
      <c r="V15" s="84">
        <v>118.83126160641342</v>
      </c>
      <c r="W15" s="84">
        <v>173.55678323882566</v>
      </c>
      <c r="X15" s="84">
        <v>244.9766534597905</v>
      </c>
      <c r="Y15" s="84">
        <v>262.37229624540453</v>
      </c>
      <c r="DA15" s="171" t="s">
        <v>200</v>
      </c>
    </row>
    <row r="16" spans="1:105" ht="11.45" customHeight="1" x14ac:dyDescent="0.25">
      <c r="A16" s="83" t="s">
        <v>181</v>
      </c>
      <c r="B16" s="84">
        <v>531.22127291456889</v>
      </c>
      <c r="C16" s="84">
        <v>533.52621935057175</v>
      </c>
      <c r="D16" s="84">
        <v>546.55774825205071</v>
      </c>
      <c r="E16" s="84">
        <v>564.50782282382738</v>
      </c>
      <c r="F16" s="84">
        <v>609.97889179830418</v>
      </c>
      <c r="G16" s="84">
        <v>638.82284902121899</v>
      </c>
      <c r="H16" s="84">
        <v>654.62531450471431</v>
      </c>
      <c r="I16" s="84">
        <v>713.72842826001306</v>
      </c>
      <c r="J16" s="84">
        <v>712.72752567736359</v>
      </c>
      <c r="K16" s="84">
        <v>634.05655413965007</v>
      </c>
      <c r="L16" s="84">
        <v>653.62543024280922</v>
      </c>
      <c r="M16" s="84">
        <v>711.00261822068853</v>
      </c>
      <c r="N16" s="84">
        <v>687.12200078769456</v>
      </c>
      <c r="O16" s="84">
        <v>701.27497796900184</v>
      </c>
      <c r="P16" s="84">
        <v>738.80408239515486</v>
      </c>
      <c r="Q16" s="84">
        <v>755.28556099379807</v>
      </c>
      <c r="R16" s="84">
        <v>844.99094036655765</v>
      </c>
      <c r="S16" s="84">
        <v>906.06322512942165</v>
      </c>
      <c r="T16" s="84">
        <v>928.1859348139759</v>
      </c>
      <c r="U16" s="84">
        <v>918.15265812858843</v>
      </c>
      <c r="V16" s="84">
        <v>302.56897400515555</v>
      </c>
      <c r="W16" s="84">
        <v>447.52126241643998</v>
      </c>
      <c r="X16" s="84">
        <v>852.01185607625348</v>
      </c>
      <c r="Y16" s="84">
        <v>932.61203700819681</v>
      </c>
      <c r="DA16" s="171" t="s">
        <v>201</v>
      </c>
    </row>
    <row r="17" spans="1:105" ht="11.45" customHeight="1" x14ac:dyDescent="0.25">
      <c r="A17" s="83" t="s">
        <v>182</v>
      </c>
      <c r="B17" s="84">
        <v>184.96576917898611</v>
      </c>
      <c r="C17" s="84">
        <v>140.11788328767241</v>
      </c>
      <c r="D17" s="84">
        <v>176.40998102767756</v>
      </c>
      <c r="E17" s="84">
        <v>118.47433192793794</v>
      </c>
      <c r="F17" s="84">
        <v>147.85438990691625</v>
      </c>
      <c r="G17" s="84">
        <v>166.39891309082157</v>
      </c>
      <c r="H17" s="84">
        <v>189.57606060342707</v>
      </c>
      <c r="I17" s="84">
        <v>217.39434903467972</v>
      </c>
      <c r="J17" s="84">
        <v>237.06057003501439</v>
      </c>
      <c r="K17" s="84">
        <v>221.12443714410674</v>
      </c>
      <c r="L17" s="84">
        <v>231.17308924532773</v>
      </c>
      <c r="M17" s="84">
        <v>252.1334163919185</v>
      </c>
      <c r="N17" s="84">
        <v>246.471834686199</v>
      </c>
      <c r="O17" s="84">
        <v>252.87051108529261</v>
      </c>
      <c r="P17" s="84">
        <v>259.13315056460277</v>
      </c>
      <c r="Q17" s="84">
        <v>258.74817350277476</v>
      </c>
      <c r="R17" s="84">
        <v>267.25331777840569</v>
      </c>
      <c r="S17" s="84">
        <v>287.84035640685806</v>
      </c>
      <c r="T17" s="84">
        <v>309.82273422076639</v>
      </c>
      <c r="U17" s="84">
        <v>337.63674318770398</v>
      </c>
      <c r="V17" s="84">
        <v>89.951158916711364</v>
      </c>
      <c r="W17" s="84">
        <v>122.08935680402891</v>
      </c>
      <c r="X17" s="84">
        <v>267.63237582398267</v>
      </c>
      <c r="Y17" s="84">
        <v>347.32422655307448</v>
      </c>
      <c r="DA17" s="171" t="s">
        <v>202</v>
      </c>
    </row>
    <row r="18" spans="1:105" ht="11.45" customHeight="1" x14ac:dyDescent="0.25">
      <c r="A18" s="12" t="s">
        <v>34</v>
      </c>
      <c r="B18" s="13">
        <f t="shared" ref="B18:C18" si="12">SUM(B19:B21)</f>
        <v>22.851026664479587</v>
      </c>
      <c r="C18" s="13">
        <f t="shared" si="12"/>
        <v>21.790015307997621</v>
      </c>
      <c r="D18" s="13">
        <f t="shared" ref="D18:V18" si="13">SUM(D19:D21)</f>
        <v>20.7237456797939</v>
      </c>
      <c r="E18" s="13">
        <f t="shared" si="13"/>
        <v>19.550536213560548</v>
      </c>
      <c r="F18" s="13">
        <f t="shared" si="13"/>
        <v>24.975824558092132</v>
      </c>
      <c r="G18" s="13">
        <f t="shared" si="13"/>
        <v>24.250015767074714</v>
      </c>
      <c r="H18" s="13">
        <f t="shared" si="13"/>
        <v>25.65090114917308</v>
      </c>
      <c r="I18" s="13">
        <f t="shared" si="13"/>
        <v>26.67052498421252</v>
      </c>
      <c r="J18" s="13">
        <f t="shared" si="13"/>
        <v>27.797834224039562</v>
      </c>
      <c r="K18" s="13">
        <f t="shared" si="13"/>
        <v>23.795664201433816</v>
      </c>
      <c r="L18" s="13">
        <f t="shared" si="13"/>
        <v>27.795179780389873</v>
      </c>
      <c r="M18" s="13">
        <f t="shared" si="13"/>
        <v>27.09506278858035</v>
      </c>
      <c r="N18" s="13">
        <f t="shared" si="13"/>
        <v>23.780182738787552</v>
      </c>
      <c r="O18" s="13">
        <f t="shared" si="13"/>
        <v>23.264372017804909</v>
      </c>
      <c r="P18" s="13">
        <f t="shared" si="13"/>
        <v>21.728874880335276</v>
      </c>
      <c r="Q18" s="13">
        <f t="shared" si="13"/>
        <v>23.113868362100469</v>
      </c>
      <c r="R18" s="13">
        <f t="shared" si="13"/>
        <v>22.506392329191591</v>
      </c>
      <c r="S18" s="13">
        <f t="shared" si="13"/>
        <v>28.692530874975116</v>
      </c>
      <c r="T18" s="13">
        <f t="shared" si="13"/>
        <v>31.145232297919158</v>
      </c>
      <c r="U18" s="13">
        <f t="shared" si="13"/>
        <v>30.198962643740927</v>
      </c>
      <c r="V18" s="13">
        <f t="shared" si="13"/>
        <v>22.798201397579831</v>
      </c>
      <c r="W18" s="13">
        <f t="shared" ref="W18:Y18" si="14">SUM(W19:W21)</f>
        <v>28.944566118904447</v>
      </c>
      <c r="X18" s="13">
        <f t="shared" si="14"/>
        <v>33.839286059982591</v>
      </c>
      <c r="Y18" s="13">
        <f t="shared" si="14"/>
        <v>39.6729615664592</v>
      </c>
      <c r="DA18" s="193" t="s">
        <v>203</v>
      </c>
    </row>
    <row r="19" spans="1:105" ht="11.45" customHeight="1" x14ac:dyDescent="0.25">
      <c r="A19" s="92" t="s">
        <v>27</v>
      </c>
      <c r="B19" s="102">
        <v>8.0554071052389329</v>
      </c>
      <c r="C19" s="102">
        <v>7.66873689742311</v>
      </c>
      <c r="D19" s="102">
        <v>7.1780657371602734</v>
      </c>
      <c r="E19" s="102">
        <v>6.0580554800385817</v>
      </c>
      <c r="F19" s="102">
        <v>8.2027417878722027</v>
      </c>
      <c r="G19" s="102">
        <v>8.1041939129383316</v>
      </c>
      <c r="H19" s="102">
        <v>8.244690792906443</v>
      </c>
      <c r="I19" s="102">
        <v>8.0260255115620645</v>
      </c>
      <c r="J19" s="102">
        <v>7.8056124692192288</v>
      </c>
      <c r="K19" s="102">
        <v>6.1780061828317185</v>
      </c>
      <c r="L19" s="102">
        <v>5.7359159116546046</v>
      </c>
      <c r="M19" s="102">
        <v>4.7605351979245034</v>
      </c>
      <c r="N19" s="102">
        <v>3.8725556838583324</v>
      </c>
      <c r="O19" s="102">
        <v>3.6374117881181474</v>
      </c>
      <c r="P19" s="102">
        <v>3.3383619361338388</v>
      </c>
      <c r="Q19" s="102">
        <v>3.102721884752337</v>
      </c>
      <c r="R19" s="102">
        <v>2.8544616820310571</v>
      </c>
      <c r="S19" s="102">
        <v>3.1590981375609788</v>
      </c>
      <c r="T19" s="102">
        <v>3.0038558881167474</v>
      </c>
      <c r="U19" s="102">
        <v>2.6677009278350519</v>
      </c>
      <c r="V19" s="102">
        <v>2.0674094327617332</v>
      </c>
      <c r="W19" s="102">
        <v>2.0803641350840336</v>
      </c>
      <c r="X19" s="102">
        <v>1.4771256166935784</v>
      </c>
      <c r="Y19" s="102">
        <v>1.4725062716475923</v>
      </c>
      <c r="DA19" s="175" t="s">
        <v>204</v>
      </c>
    </row>
    <row r="20" spans="1:105" ht="11.45" customHeight="1" x14ac:dyDescent="0.25">
      <c r="A20" s="92" t="s">
        <v>181</v>
      </c>
      <c r="B20" s="102">
        <v>6.7839620356239738</v>
      </c>
      <c r="C20" s="102">
        <v>6.3492858556130276</v>
      </c>
      <c r="D20" s="102">
        <v>6.2138883505082294</v>
      </c>
      <c r="E20" s="102">
        <v>5.930806416359947</v>
      </c>
      <c r="F20" s="102">
        <v>7.3821288963835281</v>
      </c>
      <c r="G20" s="102">
        <v>6.9715716986011609</v>
      </c>
      <c r="H20" s="102">
        <v>6.9686889271558483</v>
      </c>
      <c r="I20" s="102">
        <v>6.1382936394601471</v>
      </c>
      <c r="J20" s="102">
        <v>6.3019037591885567</v>
      </c>
      <c r="K20" s="102">
        <v>5.7478568544842226</v>
      </c>
      <c r="L20" s="102">
        <v>6.3076273831949319</v>
      </c>
      <c r="M20" s="102">
        <v>6.0839002582911865</v>
      </c>
      <c r="N20" s="102">
        <v>5.2727888475747742</v>
      </c>
      <c r="O20" s="102">
        <v>5.3368264047282441</v>
      </c>
      <c r="P20" s="102">
        <v>4.9151830335698428</v>
      </c>
      <c r="Q20" s="102">
        <v>5.2441747712162128</v>
      </c>
      <c r="R20" s="102">
        <v>4.9417080276012761</v>
      </c>
      <c r="S20" s="102">
        <v>5.8725317964813453</v>
      </c>
      <c r="T20" s="102">
        <v>5.9385983665207585</v>
      </c>
      <c r="U20" s="102">
        <v>6.3766918677750395</v>
      </c>
      <c r="V20" s="102">
        <v>6.5447298921034154</v>
      </c>
      <c r="W20" s="102">
        <v>7.7280767887849517</v>
      </c>
      <c r="X20" s="102">
        <v>8.4554393030816986</v>
      </c>
      <c r="Y20" s="102">
        <v>7.6321973297970302</v>
      </c>
      <c r="DA20" s="175" t="s">
        <v>205</v>
      </c>
    </row>
    <row r="21" spans="1:105" ht="11.45" customHeight="1" x14ac:dyDescent="0.25">
      <c r="A21" s="85" t="s">
        <v>182</v>
      </c>
      <c r="B21" s="86">
        <v>8.0116575236166803</v>
      </c>
      <c r="C21" s="86">
        <v>7.7719925549614803</v>
      </c>
      <c r="D21" s="86">
        <v>7.3317915921253993</v>
      </c>
      <c r="E21" s="86">
        <v>7.5616743171620193</v>
      </c>
      <c r="F21" s="86">
        <v>9.390953873836402</v>
      </c>
      <c r="G21" s="86">
        <v>9.1742501555352245</v>
      </c>
      <c r="H21" s="86">
        <v>10.437521429110786</v>
      </c>
      <c r="I21" s="86">
        <v>12.506205833190307</v>
      </c>
      <c r="J21" s="86">
        <v>13.690317995631778</v>
      </c>
      <c r="K21" s="86">
        <v>11.869801164117876</v>
      </c>
      <c r="L21" s="86">
        <v>15.751636485540335</v>
      </c>
      <c r="M21" s="86">
        <v>16.250627332364658</v>
      </c>
      <c r="N21" s="86">
        <v>14.634838207354445</v>
      </c>
      <c r="O21" s="86">
        <v>14.290133824958517</v>
      </c>
      <c r="P21" s="86">
        <v>13.475329910631592</v>
      </c>
      <c r="Q21" s="86">
        <v>14.766971706131919</v>
      </c>
      <c r="R21" s="86">
        <v>14.710222619559257</v>
      </c>
      <c r="S21" s="86">
        <v>19.660900940932791</v>
      </c>
      <c r="T21" s="86">
        <v>22.202778043281651</v>
      </c>
      <c r="U21" s="86">
        <v>21.154569848130837</v>
      </c>
      <c r="V21" s="86">
        <v>14.186062072714682</v>
      </c>
      <c r="W21" s="86">
        <v>19.136125195035461</v>
      </c>
      <c r="X21" s="86">
        <v>23.906721140207313</v>
      </c>
      <c r="Y21" s="86">
        <v>30.568257965014578</v>
      </c>
      <c r="DA21" s="178" t="s">
        <v>206</v>
      </c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DA22" s="181"/>
    </row>
    <row r="23" spans="1:105" ht="11.45" customHeight="1" x14ac:dyDescent="0.25">
      <c r="A23" s="53" t="s">
        <v>138</v>
      </c>
      <c r="B23" s="54">
        <f t="shared" ref="B23:C23" si="15">SUM(B24,B28)</f>
        <v>783711</v>
      </c>
      <c r="C23" s="54">
        <f t="shared" si="15"/>
        <v>738333</v>
      </c>
      <c r="D23" s="54">
        <f t="shared" ref="D23:V23" si="16">SUM(D24,D28)</f>
        <v>731433</v>
      </c>
      <c r="E23" s="54">
        <f t="shared" si="16"/>
        <v>736121</v>
      </c>
      <c r="F23" s="54">
        <f t="shared" si="16"/>
        <v>814335</v>
      </c>
      <c r="G23" s="54">
        <f t="shared" si="16"/>
        <v>881817</v>
      </c>
      <c r="H23" s="54">
        <f t="shared" si="16"/>
        <v>916788</v>
      </c>
      <c r="I23" s="54">
        <f t="shared" si="16"/>
        <v>990518</v>
      </c>
      <c r="J23" s="54">
        <f t="shared" si="16"/>
        <v>969609</v>
      </c>
      <c r="K23" s="54">
        <f t="shared" si="16"/>
        <v>866919</v>
      </c>
      <c r="L23" s="54">
        <f t="shared" si="16"/>
        <v>866603</v>
      </c>
      <c r="M23" s="54">
        <f t="shared" si="16"/>
        <v>888104</v>
      </c>
      <c r="N23" s="54">
        <f t="shared" si="16"/>
        <v>802455</v>
      </c>
      <c r="O23" s="54">
        <f t="shared" si="16"/>
        <v>749647</v>
      </c>
      <c r="P23" s="54">
        <f t="shared" si="16"/>
        <v>772936</v>
      </c>
      <c r="Q23" s="54">
        <f t="shared" si="16"/>
        <v>792630</v>
      </c>
      <c r="R23" s="54">
        <f t="shared" si="16"/>
        <v>842256</v>
      </c>
      <c r="S23" s="54">
        <f t="shared" si="16"/>
        <v>893847</v>
      </c>
      <c r="T23" s="54">
        <f t="shared" si="16"/>
        <v>953342</v>
      </c>
      <c r="U23" s="54">
        <f t="shared" si="16"/>
        <v>978818</v>
      </c>
      <c r="V23" s="54">
        <f t="shared" si="16"/>
        <v>384895</v>
      </c>
      <c r="W23" s="54">
        <f t="shared" ref="W23:Y23" si="17">SUM(W24,W28)</f>
        <v>547753</v>
      </c>
      <c r="X23" s="54">
        <f t="shared" si="17"/>
        <v>898016</v>
      </c>
      <c r="Y23" s="54">
        <f t="shared" si="17"/>
        <v>989286</v>
      </c>
      <c r="DA23" s="172" t="s">
        <v>207</v>
      </c>
    </row>
    <row r="24" spans="1:105" ht="11.45" customHeight="1" x14ac:dyDescent="0.25">
      <c r="A24" s="10" t="s">
        <v>33</v>
      </c>
      <c r="B24" s="11">
        <f t="shared" ref="B24:C24" si="18">SUM(B25:B27)</f>
        <v>764785</v>
      </c>
      <c r="C24" s="11">
        <f t="shared" si="18"/>
        <v>720367</v>
      </c>
      <c r="D24" s="11">
        <f t="shared" ref="D24:V24" si="19">SUM(D25:D27)</f>
        <v>714401</v>
      </c>
      <c r="E24" s="11">
        <f t="shared" si="19"/>
        <v>720955</v>
      </c>
      <c r="F24" s="11">
        <f t="shared" si="19"/>
        <v>794465</v>
      </c>
      <c r="G24" s="11">
        <f t="shared" si="19"/>
        <v>862528</v>
      </c>
      <c r="H24" s="11">
        <f t="shared" si="19"/>
        <v>897319</v>
      </c>
      <c r="I24" s="11">
        <f t="shared" si="19"/>
        <v>971716</v>
      </c>
      <c r="J24" s="11">
        <f t="shared" si="19"/>
        <v>950978</v>
      </c>
      <c r="K24" s="11">
        <f t="shared" si="19"/>
        <v>851401</v>
      </c>
      <c r="L24" s="11">
        <f t="shared" si="19"/>
        <v>850693</v>
      </c>
      <c r="M24" s="11">
        <f t="shared" si="19"/>
        <v>873267</v>
      </c>
      <c r="N24" s="11">
        <f t="shared" si="19"/>
        <v>789337</v>
      </c>
      <c r="O24" s="11">
        <f t="shared" si="19"/>
        <v>737119</v>
      </c>
      <c r="P24" s="11">
        <f t="shared" si="19"/>
        <v>761484</v>
      </c>
      <c r="Q24" s="11">
        <f t="shared" si="19"/>
        <v>781132</v>
      </c>
      <c r="R24" s="11">
        <f t="shared" si="19"/>
        <v>831689</v>
      </c>
      <c r="S24" s="11">
        <f t="shared" si="19"/>
        <v>881405</v>
      </c>
      <c r="T24" s="11">
        <f t="shared" si="19"/>
        <v>940648</v>
      </c>
      <c r="U24" s="11">
        <f t="shared" si="19"/>
        <v>966254</v>
      </c>
      <c r="V24" s="11">
        <f t="shared" si="19"/>
        <v>373072</v>
      </c>
      <c r="W24" s="11">
        <f t="shared" ref="W24:Y24" si="20">SUM(W25:W27)</f>
        <v>533623</v>
      </c>
      <c r="X24" s="11">
        <f t="shared" si="20"/>
        <v>882982</v>
      </c>
      <c r="Y24" s="11">
        <f t="shared" si="20"/>
        <v>974844</v>
      </c>
      <c r="DA24" s="189" t="s">
        <v>208</v>
      </c>
    </row>
    <row r="25" spans="1:105" ht="11.45" customHeight="1" x14ac:dyDescent="0.25">
      <c r="A25" s="83" t="s">
        <v>27</v>
      </c>
      <c r="B25" s="84">
        <v>418723</v>
      </c>
      <c r="C25" s="84">
        <v>383178</v>
      </c>
      <c r="D25" s="84">
        <v>363473</v>
      </c>
      <c r="E25" s="84">
        <v>372862</v>
      </c>
      <c r="F25" s="84">
        <v>414528</v>
      </c>
      <c r="G25" s="84">
        <v>460415</v>
      </c>
      <c r="H25" s="84">
        <v>482782</v>
      </c>
      <c r="I25" s="84">
        <v>509248</v>
      </c>
      <c r="J25" s="84">
        <v>487677</v>
      </c>
      <c r="K25" s="84">
        <v>434313</v>
      </c>
      <c r="L25" s="84">
        <v>423434</v>
      </c>
      <c r="M25" s="84">
        <v>411753</v>
      </c>
      <c r="N25" s="84">
        <v>342877</v>
      </c>
      <c r="O25" s="84">
        <v>287238</v>
      </c>
      <c r="P25" s="84">
        <v>293485</v>
      </c>
      <c r="Q25" s="84">
        <v>300978</v>
      </c>
      <c r="R25" s="84">
        <v>309983</v>
      </c>
      <c r="S25" s="84">
        <v>326721</v>
      </c>
      <c r="T25" s="84">
        <v>364654</v>
      </c>
      <c r="U25" s="84">
        <v>382847</v>
      </c>
      <c r="V25" s="84">
        <v>190227</v>
      </c>
      <c r="W25" s="84">
        <v>260658</v>
      </c>
      <c r="X25" s="84">
        <v>360802</v>
      </c>
      <c r="Y25" s="84">
        <v>391184</v>
      </c>
      <c r="DA25" s="171" t="s">
        <v>209</v>
      </c>
    </row>
    <row r="26" spans="1:105" ht="11.45" customHeight="1" x14ac:dyDescent="0.25">
      <c r="A26" s="83" t="s">
        <v>181</v>
      </c>
      <c r="B26" s="84">
        <v>310391</v>
      </c>
      <c r="C26" s="84">
        <v>310167</v>
      </c>
      <c r="D26" s="84">
        <v>316907</v>
      </c>
      <c r="E26" s="84">
        <v>325245</v>
      </c>
      <c r="F26" s="84">
        <v>351423</v>
      </c>
      <c r="G26" s="84">
        <v>370050</v>
      </c>
      <c r="H26" s="84">
        <v>378232</v>
      </c>
      <c r="I26" s="84">
        <v>419510</v>
      </c>
      <c r="J26" s="84">
        <v>416959</v>
      </c>
      <c r="K26" s="84">
        <v>372659</v>
      </c>
      <c r="L26" s="84">
        <v>378670</v>
      </c>
      <c r="M26" s="84">
        <v>409743</v>
      </c>
      <c r="N26" s="84">
        <v>396045</v>
      </c>
      <c r="O26" s="84">
        <v>396087</v>
      </c>
      <c r="P26" s="84">
        <v>412536</v>
      </c>
      <c r="Q26" s="84">
        <v>425546</v>
      </c>
      <c r="R26" s="84">
        <v>465998</v>
      </c>
      <c r="S26" s="84">
        <v>495583</v>
      </c>
      <c r="T26" s="84">
        <v>512756</v>
      </c>
      <c r="U26" s="84">
        <v>516405</v>
      </c>
      <c r="V26" s="84">
        <v>165647</v>
      </c>
      <c r="W26" s="84">
        <v>248904</v>
      </c>
      <c r="X26" s="84">
        <v>470489</v>
      </c>
      <c r="Y26" s="84">
        <v>516576</v>
      </c>
      <c r="DA26" s="171" t="s">
        <v>210</v>
      </c>
    </row>
    <row r="27" spans="1:105" ht="11.45" customHeight="1" x14ac:dyDescent="0.25">
      <c r="A27" s="83" t="s">
        <v>182</v>
      </c>
      <c r="B27" s="84">
        <v>35671</v>
      </c>
      <c r="C27" s="84">
        <v>27022</v>
      </c>
      <c r="D27" s="84">
        <v>34021</v>
      </c>
      <c r="E27" s="84">
        <v>22848</v>
      </c>
      <c r="F27" s="84">
        <v>28514</v>
      </c>
      <c r="G27" s="84">
        <v>32063</v>
      </c>
      <c r="H27" s="84">
        <v>36305</v>
      </c>
      <c r="I27" s="84">
        <v>42958</v>
      </c>
      <c r="J27" s="84">
        <v>46342</v>
      </c>
      <c r="K27" s="84">
        <v>44429</v>
      </c>
      <c r="L27" s="84">
        <v>48589</v>
      </c>
      <c r="M27" s="84">
        <v>51771</v>
      </c>
      <c r="N27" s="84">
        <v>50415</v>
      </c>
      <c r="O27" s="84">
        <v>53794</v>
      </c>
      <c r="P27" s="84">
        <v>55463</v>
      </c>
      <c r="Q27" s="84">
        <v>54608</v>
      </c>
      <c r="R27" s="84">
        <v>55708</v>
      </c>
      <c r="S27" s="84">
        <v>59101</v>
      </c>
      <c r="T27" s="84">
        <v>63238</v>
      </c>
      <c r="U27" s="84">
        <v>67002</v>
      </c>
      <c r="V27" s="84">
        <v>17198</v>
      </c>
      <c r="W27" s="84">
        <v>24061</v>
      </c>
      <c r="X27" s="84">
        <v>51691</v>
      </c>
      <c r="Y27" s="84">
        <v>67084</v>
      </c>
      <c r="DA27" s="171" t="s">
        <v>211</v>
      </c>
    </row>
    <row r="28" spans="1:105" ht="11.45" customHeight="1" x14ac:dyDescent="0.25">
      <c r="A28" s="12" t="s">
        <v>34</v>
      </c>
      <c r="B28" s="13">
        <f t="shared" ref="B28:C28" si="21">SUM(B29:B31)</f>
        <v>18926</v>
      </c>
      <c r="C28" s="13">
        <f t="shared" si="21"/>
        <v>17966</v>
      </c>
      <c r="D28" s="13">
        <f t="shared" ref="D28:V28" si="22">SUM(D29:D31)</f>
        <v>17032</v>
      </c>
      <c r="E28" s="13">
        <f t="shared" si="22"/>
        <v>15166</v>
      </c>
      <c r="F28" s="13">
        <f t="shared" si="22"/>
        <v>19870</v>
      </c>
      <c r="G28" s="13">
        <f t="shared" si="22"/>
        <v>19289</v>
      </c>
      <c r="H28" s="13">
        <f t="shared" si="22"/>
        <v>19469</v>
      </c>
      <c r="I28" s="13">
        <f t="shared" si="22"/>
        <v>18802</v>
      </c>
      <c r="J28" s="13">
        <f t="shared" si="22"/>
        <v>18631</v>
      </c>
      <c r="K28" s="13">
        <f t="shared" si="22"/>
        <v>15518</v>
      </c>
      <c r="L28" s="13">
        <f t="shared" si="22"/>
        <v>15910</v>
      </c>
      <c r="M28" s="13">
        <f t="shared" si="22"/>
        <v>14837</v>
      </c>
      <c r="N28" s="13">
        <f t="shared" si="22"/>
        <v>13118</v>
      </c>
      <c r="O28" s="13">
        <f t="shared" si="22"/>
        <v>12528</v>
      </c>
      <c r="P28" s="13">
        <f t="shared" si="22"/>
        <v>11452</v>
      </c>
      <c r="Q28" s="13">
        <f t="shared" si="22"/>
        <v>11498</v>
      </c>
      <c r="R28" s="13">
        <f t="shared" si="22"/>
        <v>10567</v>
      </c>
      <c r="S28" s="13">
        <f t="shared" si="22"/>
        <v>12442</v>
      </c>
      <c r="T28" s="13">
        <f t="shared" si="22"/>
        <v>12694</v>
      </c>
      <c r="U28" s="13">
        <f t="shared" si="22"/>
        <v>12564</v>
      </c>
      <c r="V28" s="13">
        <f t="shared" si="22"/>
        <v>11823</v>
      </c>
      <c r="W28" s="13">
        <f t="shared" ref="W28:Y28" si="23">SUM(W29:W31)</f>
        <v>14130</v>
      </c>
      <c r="X28" s="13">
        <f t="shared" si="23"/>
        <v>15034</v>
      </c>
      <c r="Y28" s="13">
        <f t="shared" si="23"/>
        <v>14442</v>
      </c>
      <c r="DA28" s="193" t="s">
        <v>212</v>
      </c>
    </row>
    <row r="29" spans="1:105" ht="11.45" customHeight="1" x14ac:dyDescent="0.25">
      <c r="A29" s="92" t="s">
        <v>27</v>
      </c>
      <c r="B29" s="102">
        <v>12083</v>
      </c>
      <c r="C29" s="102">
        <v>11503</v>
      </c>
      <c r="D29" s="102">
        <v>10767</v>
      </c>
      <c r="E29" s="102">
        <v>9087</v>
      </c>
      <c r="F29" s="102">
        <v>12304</v>
      </c>
      <c r="G29" s="102">
        <v>12036</v>
      </c>
      <c r="H29" s="102">
        <v>12051</v>
      </c>
      <c r="I29" s="102">
        <v>11509</v>
      </c>
      <c r="J29" s="102">
        <v>11063</v>
      </c>
      <c r="K29" s="102">
        <v>8719</v>
      </c>
      <c r="L29" s="102">
        <v>7914</v>
      </c>
      <c r="M29" s="102">
        <v>6718</v>
      </c>
      <c r="N29" s="102">
        <v>5645</v>
      </c>
      <c r="O29" s="102">
        <v>5152</v>
      </c>
      <c r="P29" s="102">
        <v>4730</v>
      </c>
      <c r="Q29" s="102">
        <v>4344</v>
      </c>
      <c r="R29" s="102">
        <v>3897</v>
      </c>
      <c r="S29" s="102">
        <v>4302</v>
      </c>
      <c r="T29" s="102">
        <v>4119</v>
      </c>
      <c r="U29" s="102">
        <v>3608</v>
      </c>
      <c r="V29" s="102">
        <v>3089</v>
      </c>
      <c r="W29" s="102">
        <v>3329</v>
      </c>
      <c r="X29" s="102">
        <v>3412</v>
      </c>
      <c r="Y29" s="102">
        <v>3264</v>
      </c>
      <c r="DA29" s="175" t="s">
        <v>213</v>
      </c>
    </row>
    <row r="30" spans="1:105" ht="11.45" customHeight="1" x14ac:dyDescent="0.25">
      <c r="A30" s="92" t="s">
        <v>181</v>
      </c>
      <c r="B30" s="102">
        <v>5205</v>
      </c>
      <c r="C30" s="102">
        <v>4874</v>
      </c>
      <c r="D30" s="102">
        <v>4766</v>
      </c>
      <c r="E30" s="102">
        <v>4533</v>
      </c>
      <c r="F30" s="102">
        <v>5646</v>
      </c>
      <c r="G30" s="102">
        <v>5379</v>
      </c>
      <c r="H30" s="102">
        <v>5342</v>
      </c>
      <c r="I30" s="102">
        <v>4775</v>
      </c>
      <c r="J30" s="102">
        <v>4895</v>
      </c>
      <c r="K30" s="102">
        <v>4464</v>
      </c>
      <c r="L30" s="102">
        <v>4823</v>
      </c>
      <c r="M30" s="102">
        <v>4665</v>
      </c>
      <c r="N30" s="102">
        <v>4110</v>
      </c>
      <c r="O30" s="102">
        <v>4114</v>
      </c>
      <c r="P30" s="102">
        <v>3773</v>
      </c>
      <c r="Q30" s="102">
        <v>4111</v>
      </c>
      <c r="R30" s="102">
        <v>3802</v>
      </c>
      <c r="S30" s="102">
        <v>4512</v>
      </c>
      <c r="T30" s="102">
        <v>4656</v>
      </c>
      <c r="U30" s="102">
        <v>4957</v>
      </c>
      <c r="V30" s="102">
        <v>5057</v>
      </c>
      <c r="W30" s="102">
        <v>5902</v>
      </c>
      <c r="X30" s="102">
        <v>6427</v>
      </c>
      <c r="Y30" s="102">
        <v>5590</v>
      </c>
      <c r="DA30" s="175" t="s">
        <v>214</v>
      </c>
    </row>
    <row r="31" spans="1:105" ht="11.45" customHeight="1" x14ac:dyDescent="0.25">
      <c r="A31" s="85" t="s">
        <v>182</v>
      </c>
      <c r="B31" s="86">
        <v>1638</v>
      </c>
      <c r="C31" s="86">
        <v>1589</v>
      </c>
      <c r="D31" s="86">
        <v>1499</v>
      </c>
      <c r="E31" s="86">
        <v>1546</v>
      </c>
      <c r="F31" s="86">
        <v>1920</v>
      </c>
      <c r="G31" s="86">
        <v>1874</v>
      </c>
      <c r="H31" s="86">
        <v>2076</v>
      </c>
      <c r="I31" s="86">
        <v>2518</v>
      </c>
      <c r="J31" s="86">
        <v>2673</v>
      </c>
      <c r="K31" s="86">
        <v>2335</v>
      </c>
      <c r="L31" s="86">
        <v>3173</v>
      </c>
      <c r="M31" s="86">
        <v>3454</v>
      </c>
      <c r="N31" s="86">
        <v>3363</v>
      </c>
      <c r="O31" s="86">
        <v>3262</v>
      </c>
      <c r="P31" s="86">
        <v>2949</v>
      </c>
      <c r="Q31" s="86">
        <v>3043</v>
      </c>
      <c r="R31" s="86">
        <v>2868</v>
      </c>
      <c r="S31" s="86">
        <v>3628</v>
      </c>
      <c r="T31" s="86">
        <v>3919</v>
      </c>
      <c r="U31" s="86">
        <v>3999</v>
      </c>
      <c r="V31" s="86">
        <v>3677</v>
      </c>
      <c r="W31" s="86">
        <v>4899</v>
      </c>
      <c r="X31" s="86">
        <v>5195</v>
      </c>
      <c r="Y31" s="86">
        <v>5588</v>
      </c>
      <c r="DA31" s="178" t="s">
        <v>215</v>
      </c>
    </row>
    <row r="32" spans="1:105" x14ac:dyDescent="0.25">
      <c r="A32" s="50"/>
      <c r="B32" s="50"/>
      <c r="C32" s="50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DA32" s="181"/>
    </row>
    <row r="33" spans="1:105" ht="11.45" customHeight="1" x14ac:dyDescent="0.25">
      <c r="A33" s="53" t="s">
        <v>140</v>
      </c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DA33" s="172"/>
    </row>
    <row r="34" spans="1:105" ht="11.45" customHeight="1" x14ac:dyDescent="0.25">
      <c r="A34" s="10" t="s">
        <v>79</v>
      </c>
      <c r="B34" s="11">
        <f t="shared" ref="B34:C34" si="24">SUM(B35:B37)</f>
        <v>74294086</v>
      </c>
      <c r="C34" s="11">
        <f t="shared" si="24"/>
        <v>71271201</v>
      </c>
      <c r="D34" s="11">
        <f t="shared" ref="D34:V34" si="25">SUM(D35:D37)</f>
        <v>70636796</v>
      </c>
      <c r="E34" s="11">
        <f t="shared" si="25"/>
        <v>75272740</v>
      </c>
      <c r="F34" s="11">
        <f t="shared" si="25"/>
        <v>82581281</v>
      </c>
      <c r="G34" s="11">
        <f t="shared" si="25"/>
        <v>89850213</v>
      </c>
      <c r="H34" s="11">
        <f t="shared" si="25"/>
        <v>94117241</v>
      </c>
      <c r="I34" s="11">
        <f t="shared" si="25"/>
        <v>103268931</v>
      </c>
      <c r="J34" s="11">
        <f t="shared" si="25"/>
        <v>101086618</v>
      </c>
      <c r="K34" s="11">
        <f t="shared" si="25"/>
        <v>92962074</v>
      </c>
      <c r="L34" s="11">
        <f t="shared" si="25"/>
        <v>95713470</v>
      </c>
      <c r="M34" s="11">
        <f t="shared" si="25"/>
        <v>101541005</v>
      </c>
      <c r="N34" s="11">
        <f t="shared" si="25"/>
        <v>96593018</v>
      </c>
      <c r="O34" s="11">
        <f t="shared" si="25"/>
        <v>93176874</v>
      </c>
      <c r="P34" s="11">
        <f t="shared" si="25"/>
        <v>97341556</v>
      </c>
      <c r="Q34" s="11">
        <f t="shared" si="25"/>
        <v>102816202</v>
      </c>
      <c r="R34" s="11">
        <f t="shared" si="25"/>
        <v>113634401</v>
      </c>
      <c r="S34" s="11">
        <f t="shared" si="25"/>
        <v>122945525</v>
      </c>
      <c r="T34" s="11">
        <f t="shared" si="25"/>
        <v>130105432</v>
      </c>
      <c r="U34" s="11">
        <f t="shared" si="25"/>
        <v>135290521</v>
      </c>
      <c r="V34" s="11">
        <f t="shared" si="25"/>
        <v>37626967</v>
      </c>
      <c r="W34" s="11">
        <f t="shared" ref="W34:Y34" si="26">SUM(W35:W37)</f>
        <v>58486454</v>
      </c>
      <c r="X34" s="11">
        <f t="shared" si="26"/>
        <v>120626541</v>
      </c>
      <c r="Y34" s="11">
        <f t="shared" si="26"/>
        <v>140827567</v>
      </c>
      <c r="DA34" s="189" t="s">
        <v>216</v>
      </c>
    </row>
    <row r="35" spans="1:105" ht="11.45" customHeight="1" x14ac:dyDescent="0.25">
      <c r="A35" s="83" t="s">
        <v>27</v>
      </c>
      <c r="B35" s="84">
        <v>31834222</v>
      </c>
      <c r="C35" s="84">
        <v>29365812</v>
      </c>
      <c r="D35" s="84">
        <v>28987031</v>
      </c>
      <c r="E35" s="84">
        <v>31310867</v>
      </c>
      <c r="F35" s="84">
        <v>34821915</v>
      </c>
      <c r="G35" s="84">
        <v>38703375</v>
      </c>
      <c r="H35" s="84">
        <v>41049608</v>
      </c>
      <c r="I35" s="84">
        <v>44257644</v>
      </c>
      <c r="J35" s="84">
        <v>40613383</v>
      </c>
      <c r="K35" s="84">
        <v>37386423</v>
      </c>
      <c r="L35" s="84">
        <v>38080942</v>
      </c>
      <c r="M35" s="84">
        <v>37826810</v>
      </c>
      <c r="N35" s="84">
        <v>33126814</v>
      </c>
      <c r="O35" s="84">
        <v>28526199</v>
      </c>
      <c r="P35" s="84">
        <v>29139344</v>
      </c>
      <c r="Q35" s="84">
        <v>30837209</v>
      </c>
      <c r="R35" s="84">
        <v>33384149</v>
      </c>
      <c r="S35" s="84">
        <v>36080449</v>
      </c>
      <c r="T35" s="84">
        <v>39863513</v>
      </c>
      <c r="U35" s="84">
        <v>42485389</v>
      </c>
      <c r="V35" s="84">
        <v>16781708</v>
      </c>
      <c r="W35" s="84">
        <v>25865486</v>
      </c>
      <c r="X35" s="84">
        <v>40990998</v>
      </c>
      <c r="Y35" s="84">
        <v>46131475</v>
      </c>
      <c r="DA35" s="171" t="s">
        <v>217</v>
      </c>
    </row>
    <row r="36" spans="1:105" ht="11.45" customHeight="1" x14ac:dyDescent="0.25">
      <c r="A36" s="83" t="s">
        <v>181</v>
      </c>
      <c r="B36" s="84">
        <v>37887788</v>
      </c>
      <c r="C36" s="84">
        <v>38331162</v>
      </c>
      <c r="D36" s="84">
        <v>38129436</v>
      </c>
      <c r="E36" s="84">
        <v>40381427</v>
      </c>
      <c r="F36" s="84">
        <v>43293155</v>
      </c>
      <c r="G36" s="84">
        <v>46129088</v>
      </c>
      <c r="H36" s="84">
        <v>47522342</v>
      </c>
      <c r="I36" s="84">
        <v>52552075</v>
      </c>
      <c r="J36" s="84">
        <v>53404877</v>
      </c>
      <c r="K36" s="84">
        <v>48657704</v>
      </c>
      <c r="L36" s="84">
        <v>49825866</v>
      </c>
      <c r="M36" s="84">
        <v>55326565</v>
      </c>
      <c r="N36" s="84">
        <v>55007647</v>
      </c>
      <c r="O36" s="84">
        <v>55967663</v>
      </c>
      <c r="P36" s="84">
        <v>59211148</v>
      </c>
      <c r="Q36" s="84">
        <v>62839218</v>
      </c>
      <c r="R36" s="84">
        <v>70585456</v>
      </c>
      <c r="S36" s="84">
        <v>76210259</v>
      </c>
      <c r="T36" s="84">
        <v>78464070</v>
      </c>
      <c r="U36" s="84">
        <v>80133074</v>
      </c>
      <c r="V36" s="84">
        <v>18150264</v>
      </c>
      <c r="W36" s="84">
        <v>29044498</v>
      </c>
      <c r="X36" s="84">
        <v>69642805</v>
      </c>
      <c r="Y36" s="84">
        <v>81165910</v>
      </c>
      <c r="DA36" s="171" t="s">
        <v>218</v>
      </c>
    </row>
    <row r="37" spans="1:105" ht="11.45" customHeight="1" x14ac:dyDescent="0.25">
      <c r="A37" s="83" t="s">
        <v>182</v>
      </c>
      <c r="B37" s="84">
        <v>4572076</v>
      </c>
      <c r="C37" s="84">
        <v>3574227</v>
      </c>
      <c r="D37" s="84">
        <v>3520329</v>
      </c>
      <c r="E37" s="84">
        <v>3580446</v>
      </c>
      <c r="F37" s="84">
        <v>4466211</v>
      </c>
      <c r="G37" s="84">
        <v>5017750</v>
      </c>
      <c r="H37" s="84">
        <v>5545291</v>
      </c>
      <c r="I37" s="84">
        <v>6459212</v>
      </c>
      <c r="J37" s="84">
        <v>7068358</v>
      </c>
      <c r="K37" s="84">
        <v>6917947</v>
      </c>
      <c r="L37" s="84">
        <v>7806662</v>
      </c>
      <c r="M37" s="84">
        <v>8387630</v>
      </c>
      <c r="N37" s="84">
        <v>8458557</v>
      </c>
      <c r="O37" s="84">
        <v>8683012</v>
      </c>
      <c r="P37" s="84">
        <v>8991064</v>
      </c>
      <c r="Q37" s="84">
        <v>9139775</v>
      </c>
      <c r="R37" s="84">
        <v>9664796</v>
      </c>
      <c r="S37" s="84">
        <v>10654817</v>
      </c>
      <c r="T37" s="84">
        <v>11777849</v>
      </c>
      <c r="U37" s="84">
        <v>12672058</v>
      </c>
      <c r="V37" s="84">
        <v>2694995</v>
      </c>
      <c r="W37" s="84">
        <v>3576470</v>
      </c>
      <c r="X37" s="84">
        <v>9992738</v>
      </c>
      <c r="Y37" s="84">
        <v>13530182</v>
      </c>
      <c r="DA37" s="171" t="s">
        <v>219</v>
      </c>
    </row>
    <row r="38" spans="1:105" ht="11.45" customHeight="1" x14ac:dyDescent="0.25">
      <c r="A38" s="12" t="s">
        <v>80</v>
      </c>
      <c r="B38" s="13">
        <f t="shared" ref="B38:C38" si="27">SUM(B39:B41)</f>
        <v>290667.35944916215</v>
      </c>
      <c r="C38" s="13">
        <f t="shared" si="27"/>
        <v>279691.69131972257</v>
      </c>
      <c r="D38" s="13">
        <f t="shared" ref="D38:V38" si="28">SUM(D39:D41)</f>
        <v>267429.69434154342</v>
      </c>
      <c r="E38" s="13">
        <f t="shared" si="28"/>
        <v>252264.84561349411</v>
      </c>
      <c r="F38" s="13">
        <f t="shared" si="28"/>
        <v>309040.90809963597</v>
      </c>
      <c r="G38" s="13">
        <f t="shared" si="28"/>
        <v>285311.63086916477</v>
      </c>
      <c r="H38" s="13">
        <f t="shared" si="28"/>
        <v>284867.48811833834</v>
      </c>
      <c r="I38" s="13">
        <f t="shared" si="28"/>
        <v>290194.15081775445</v>
      </c>
      <c r="J38" s="13">
        <f t="shared" si="28"/>
        <v>289413.06572372757</v>
      </c>
      <c r="K38" s="13">
        <f t="shared" si="28"/>
        <v>258965.03502535794</v>
      </c>
      <c r="L38" s="13">
        <f t="shared" si="28"/>
        <v>315551.52952834417</v>
      </c>
      <c r="M38" s="13">
        <f t="shared" si="28"/>
        <v>336140.90750810492</v>
      </c>
      <c r="N38" s="13">
        <f t="shared" si="28"/>
        <v>330374.61838571285</v>
      </c>
      <c r="O38" s="13">
        <f t="shared" si="28"/>
        <v>322671.41638958809</v>
      </c>
      <c r="P38" s="13">
        <f t="shared" si="28"/>
        <v>326466.87470315967</v>
      </c>
      <c r="Q38" s="13">
        <f t="shared" si="28"/>
        <v>335119.95575798251</v>
      </c>
      <c r="R38" s="13">
        <f t="shared" si="28"/>
        <v>349369.34878636489</v>
      </c>
      <c r="S38" s="13">
        <f t="shared" si="28"/>
        <v>413846.79714302474</v>
      </c>
      <c r="T38" s="13">
        <f t="shared" si="28"/>
        <v>436775.02604646905</v>
      </c>
      <c r="U38" s="13">
        <f t="shared" si="28"/>
        <v>456215.17122084851</v>
      </c>
      <c r="V38" s="13">
        <f t="shared" si="28"/>
        <v>319993.34310134139</v>
      </c>
      <c r="W38" s="13">
        <f t="shared" ref="W38:Y38" si="29">SUM(W39:W41)</f>
        <v>416440.95498450031</v>
      </c>
      <c r="X38" s="13">
        <f t="shared" si="29"/>
        <v>480137.76626347052</v>
      </c>
      <c r="Y38" s="13">
        <f t="shared" si="29"/>
        <v>501152.31340750109</v>
      </c>
      <c r="DA38" s="193" t="s">
        <v>220</v>
      </c>
    </row>
    <row r="39" spans="1:105" ht="11.45" customHeight="1" x14ac:dyDescent="0.25">
      <c r="A39" s="92" t="s">
        <v>27</v>
      </c>
      <c r="B39" s="102">
        <v>121111.34735562131</v>
      </c>
      <c r="C39" s="102">
        <v>114418.55139295265</v>
      </c>
      <c r="D39" s="102">
        <v>110131.53888194583</v>
      </c>
      <c r="E39" s="102">
        <v>98867.563217090676</v>
      </c>
      <c r="F39" s="102">
        <v>126058.06304897486</v>
      </c>
      <c r="G39" s="102">
        <v>120677.58863781644</v>
      </c>
      <c r="H39" s="102">
        <v>116223.40546400052</v>
      </c>
      <c r="I39" s="102">
        <v>110584.07170485034</v>
      </c>
      <c r="J39" s="102">
        <v>102269.18421664368</v>
      </c>
      <c r="K39" s="102">
        <v>81296.826451739573</v>
      </c>
      <c r="L39" s="102">
        <v>78923.894377025252</v>
      </c>
      <c r="M39" s="102">
        <v>73195.547238590691</v>
      </c>
      <c r="N39" s="102">
        <v>63175.064226305571</v>
      </c>
      <c r="O39" s="102">
        <v>59106.868984639041</v>
      </c>
      <c r="P39" s="102">
        <v>60861.369045398082</v>
      </c>
      <c r="Q39" s="102">
        <v>57515.857208193622</v>
      </c>
      <c r="R39" s="102">
        <v>59472.994620681326</v>
      </c>
      <c r="S39" s="102">
        <v>60388.926130637745</v>
      </c>
      <c r="T39" s="102">
        <v>58851.327491577998</v>
      </c>
      <c r="U39" s="102">
        <v>57018.698892125823</v>
      </c>
      <c r="V39" s="102">
        <v>44992.98266479501</v>
      </c>
      <c r="W39" s="102">
        <v>49049.111238132224</v>
      </c>
      <c r="X39" s="102">
        <v>50849.492279580845</v>
      </c>
      <c r="Y39" s="102">
        <v>48278.945927281631</v>
      </c>
      <c r="DA39" s="175" t="s">
        <v>221</v>
      </c>
    </row>
    <row r="40" spans="1:105" ht="11.45" customHeight="1" x14ac:dyDescent="0.25">
      <c r="A40" s="92" t="s">
        <v>181</v>
      </c>
      <c r="B40" s="102">
        <v>84153.439419071365</v>
      </c>
      <c r="C40" s="102">
        <v>79677.869896915348</v>
      </c>
      <c r="D40" s="102">
        <v>77996.27599457388</v>
      </c>
      <c r="E40" s="102">
        <v>78065.951038240339</v>
      </c>
      <c r="F40" s="102">
        <v>90708.338039796698</v>
      </c>
      <c r="G40" s="102">
        <v>81774.11783405907</v>
      </c>
      <c r="H40" s="102">
        <v>74883.34317338586</v>
      </c>
      <c r="I40" s="102">
        <v>65832.178965014129</v>
      </c>
      <c r="J40" s="102">
        <v>67091.112379112965</v>
      </c>
      <c r="K40" s="102">
        <v>61151.863951210435</v>
      </c>
      <c r="L40" s="102">
        <v>69956.527117252626</v>
      </c>
      <c r="M40" s="102">
        <v>72745.967907553495</v>
      </c>
      <c r="N40" s="102">
        <v>68506.599747714819</v>
      </c>
      <c r="O40" s="102">
        <v>68938.325090899467</v>
      </c>
      <c r="P40" s="102">
        <v>69609.634036601201</v>
      </c>
      <c r="Q40" s="102">
        <v>75961.44056196716</v>
      </c>
      <c r="R40" s="102">
        <v>79263.789570293651</v>
      </c>
      <c r="S40" s="102">
        <v>87431.393635067318</v>
      </c>
      <c r="T40" s="102">
        <v>89513.7473300118</v>
      </c>
      <c r="U40" s="102">
        <v>97665.781347601602</v>
      </c>
      <c r="V40" s="102">
        <v>89208.039420969551</v>
      </c>
      <c r="W40" s="102">
        <v>104869.07174878275</v>
      </c>
      <c r="X40" s="102">
        <v>114982.07723441636</v>
      </c>
      <c r="Y40" s="102">
        <v>100452.50819028571</v>
      </c>
      <c r="DA40" s="175" t="s">
        <v>222</v>
      </c>
    </row>
    <row r="41" spans="1:105" ht="11.45" customHeight="1" x14ac:dyDescent="0.25">
      <c r="A41" s="85" t="s">
        <v>182</v>
      </c>
      <c r="B41" s="86">
        <v>85402.572674469455</v>
      </c>
      <c r="C41" s="86">
        <v>85595.270029854524</v>
      </c>
      <c r="D41" s="86">
        <v>79301.879465023681</v>
      </c>
      <c r="E41" s="86">
        <v>75331.331358163094</v>
      </c>
      <c r="F41" s="86">
        <v>92274.507010864385</v>
      </c>
      <c r="G41" s="86">
        <v>82859.924397289258</v>
      </c>
      <c r="H41" s="86">
        <v>93760.739480951976</v>
      </c>
      <c r="I41" s="86">
        <v>113777.90014788994</v>
      </c>
      <c r="J41" s="86">
        <v>120052.76912797088</v>
      </c>
      <c r="K41" s="86">
        <v>116516.34462240792</v>
      </c>
      <c r="L41" s="86">
        <v>166671.10803406624</v>
      </c>
      <c r="M41" s="86">
        <v>190199.39236196072</v>
      </c>
      <c r="N41" s="86">
        <v>198692.95441169242</v>
      </c>
      <c r="O41" s="86">
        <v>194626.22231404958</v>
      </c>
      <c r="P41" s="86">
        <v>195995.87162116039</v>
      </c>
      <c r="Q41" s="86">
        <v>201642.65798782173</v>
      </c>
      <c r="R41" s="86">
        <v>210632.56459538988</v>
      </c>
      <c r="S41" s="86">
        <v>266026.47737731965</v>
      </c>
      <c r="T41" s="86">
        <v>288409.95122487925</v>
      </c>
      <c r="U41" s="86">
        <v>301530.69098112109</v>
      </c>
      <c r="V41" s="86">
        <v>185792.32101557683</v>
      </c>
      <c r="W41" s="86">
        <v>262522.77199758537</v>
      </c>
      <c r="X41" s="86">
        <v>314306.19674947334</v>
      </c>
      <c r="Y41" s="86">
        <v>352420.85928993375</v>
      </c>
      <c r="DA41" s="178" t="s">
        <v>223</v>
      </c>
    </row>
    <row r="42" spans="1:105" x14ac:dyDescent="0.25">
      <c r="A42" s="50"/>
      <c r="B42" s="50"/>
      <c r="C42" s="50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DA42" s="181"/>
    </row>
    <row r="43" spans="1:105" ht="11.45" customHeight="1" x14ac:dyDescent="0.25">
      <c r="A43" s="53" t="s">
        <v>81</v>
      </c>
      <c r="B43" s="54">
        <f t="shared" ref="B43:C43" si="30">SUM(B44,B48)</f>
        <v>627.62930196580714</v>
      </c>
      <c r="C43" s="54">
        <f t="shared" si="30"/>
        <v>598.96146052896461</v>
      </c>
      <c r="D43" s="54">
        <f t="shared" ref="D43:V43" si="31">SUM(D44,D48)</f>
        <v>599.86933604051137</v>
      </c>
      <c r="E43" s="54">
        <f t="shared" si="31"/>
        <v>602.57424439690794</v>
      </c>
      <c r="F43" s="54">
        <f t="shared" si="31"/>
        <v>647.65733089668402</v>
      </c>
      <c r="G43" s="54">
        <f t="shared" si="31"/>
        <v>698.20046402200933</v>
      </c>
      <c r="H43" s="54">
        <f t="shared" si="31"/>
        <v>731.6094351042733</v>
      </c>
      <c r="I43" s="54">
        <f t="shared" si="31"/>
        <v>796.94846437708884</v>
      </c>
      <c r="J43" s="54">
        <f t="shared" si="31"/>
        <v>794.62690958052519</v>
      </c>
      <c r="K43" s="54">
        <f t="shared" si="31"/>
        <v>734.06174732105524</v>
      </c>
      <c r="L43" s="54">
        <f t="shared" si="31"/>
        <v>729.52532394778143</v>
      </c>
      <c r="M43" s="54">
        <f t="shared" si="31"/>
        <v>758.83126460017672</v>
      </c>
      <c r="N43" s="54">
        <f t="shared" si="31"/>
        <v>719.20381380877154</v>
      </c>
      <c r="O43" s="54">
        <f t="shared" si="31"/>
        <v>705.07473252794205</v>
      </c>
      <c r="P43" s="54">
        <f t="shared" si="31"/>
        <v>708.83314315624068</v>
      </c>
      <c r="Q43" s="54">
        <f t="shared" si="31"/>
        <v>723.0642280959629</v>
      </c>
      <c r="R43" s="54">
        <f t="shared" si="31"/>
        <v>776.35759022955529</v>
      </c>
      <c r="S43" s="54">
        <f t="shared" si="31"/>
        <v>830.60540284917818</v>
      </c>
      <c r="T43" s="54">
        <f t="shared" si="31"/>
        <v>876.12592215732855</v>
      </c>
      <c r="U43" s="54">
        <f t="shared" si="31"/>
        <v>899.57915583179715</v>
      </c>
      <c r="V43" s="54">
        <f t="shared" si="31"/>
        <v>868.63447341890856</v>
      </c>
      <c r="W43" s="54">
        <f t="shared" ref="W43:Y43" si="32">SUM(W44,W48)</f>
        <v>839.32025843153963</v>
      </c>
      <c r="X43" s="54">
        <f t="shared" si="32"/>
        <v>843.51996478510841</v>
      </c>
      <c r="Y43" s="54">
        <f t="shared" si="32"/>
        <v>923.26122622067385</v>
      </c>
      <c r="DA43" s="172" t="s">
        <v>224</v>
      </c>
    </row>
    <row r="44" spans="1:105" ht="11.45" customHeight="1" x14ac:dyDescent="0.25">
      <c r="A44" s="10" t="s">
        <v>33</v>
      </c>
      <c r="B44" s="11">
        <f t="shared" ref="B44:C44" si="33">SUM(B45:B47)</f>
        <v>607.77422878892855</v>
      </c>
      <c r="C44" s="11">
        <f t="shared" si="33"/>
        <v>580.06320698125455</v>
      </c>
      <c r="D44" s="11">
        <f t="shared" ref="D44:V44" si="34">SUM(D45:D47)</f>
        <v>581.92806754966034</v>
      </c>
      <c r="E44" s="11">
        <f t="shared" si="34"/>
        <v>585.70111051808976</v>
      </c>
      <c r="F44" s="11">
        <f t="shared" si="34"/>
        <v>626.37194345581702</v>
      </c>
      <c r="G44" s="11">
        <f t="shared" si="34"/>
        <v>677.46119936228808</v>
      </c>
      <c r="H44" s="11">
        <f t="shared" si="34"/>
        <v>710.18366964492054</v>
      </c>
      <c r="I44" s="11">
        <f t="shared" si="34"/>
        <v>775.25991896393623</v>
      </c>
      <c r="J44" s="11">
        <f t="shared" si="34"/>
        <v>772.55864173045143</v>
      </c>
      <c r="K44" s="11">
        <f t="shared" si="34"/>
        <v>713.80008186340933</v>
      </c>
      <c r="L44" s="11">
        <f t="shared" si="34"/>
        <v>708.17322022990834</v>
      </c>
      <c r="M44" s="11">
        <f t="shared" si="34"/>
        <v>738.41291482599718</v>
      </c>
      <c r="N44" s="11">
        <f t="shared" si="34"/>
        <v>700.59218846752788</v>
      </c>
      <c r="O44" s="11">
        <f t="shared" si="34"/>
        <v>688.10471770460686</v>
      </c>
      <c r="P44" s="11">
        <f t="shared" si="34"/>
        <v>692.96648523361046</v>
      </c>
      <c r="Q44" s="11">
        <f t="shared" si="34"/>
        <v>706.77924122834781</v>
      </c>
      <c r="R44" s="11">
        <f t="shared" si="34"/>
        <v>760.82154955555279</v>
      </c>
      <c r="S44" s="11">
        <f t="shared" si="34"/>
        <v>811.36232275793043</v>
      </c>
      <c r="T44" s="11">
        <f t="shared" si="34"/>
        <v>855.62263413310905</v>
      </c>
      <c r="U44" s="11">
        <f t="shared" si="34"/>
        <v>879.57233213141853</v>
      </c>
      <c r="V44" s="11">
        <f t="shared" si="34"/>
        <v>849.18362069197212</v>
      </c>
      <c r="W44" s="11">
        <f t="shared" ref="W44:Y44" si="35">SUM(W45:W47)</f>
        <v>818.7949092525256</v>
      </c>
      <c r="X44" s="11">
        <f t="shared" si="35"/>
        <v>820.45896074760287</v>
      </c>
      <c r="Y44" s="11">
        <f t="shared" si="35"/>
        <v>897.36859530436107</v>
      </c>
      <c r="DA44" s="189" t="s">
        <v>225</v>
      </c>
    </row>
    <row r="45" spans="1:105" ht="11.45" customHeight="1" x14ac:dyDescent="0.25">
      <c r="A45" s="83" t="s">
        <v>27</v>
      </c>
      <c r="B45" s="84">
        <v>216.61821003621313</v>
      </c>
      <c r="C45" s="84">
        <v>198.22969477496119</v>
      </c>
      <c r="D45" s="84">
        <v>188.03569580962235</v>
      </c>
      <c r="E45" s="84">
        <v>192.89291257113297</v>
      </c>
      <c r="F45" s="84">
        <v>214.44800827728918</v>
      </c>
      <c r="G45" s="84">
        <v>239.17662337662338</v>
      </c>
      <c r="H45" s="84">
        <v>250.92619542619542</v>
      </c>
      <c r="I45" s="84">
        <v>265.09526288391464</v>
      </c>
      <c r="J45" s="84">
        <v>253.47037422037423</v>
      </c>
      <c r="K45" s="84">
        <v>231.8085532167529</v>
      </c>
      <c r="L45" s="84">
        <v>219.85150571131879</v>
      </c>
      <c r="M45" s="84">
        <v>213.34352331606217</v>
      </c>
      <c r="N45" s="84">
        <v>191.68170231244085</v>
      </c>
      <c r="O45" s="84">
        <v>170.01988130881955</v>
      </c>
      <c r="P45" s="84">
        <v>152.14359771902539</v>
      </c>
      <c r="Q45" s="84">
        <v>156.43347193347194</v>
      </c>
      <c r="R45" s="84">
        <v>162.55007865757736</v>
      </c>
      <c r="S45" s="84">
        <v>170.96860282574568</v>
      </c>
      <c r="T45" s="84">
        <v>189.62766510660427</v>
      </c>
      <c r="U45" s="84">
        <v>199.7115284298383</v>
      </c>
      <c r="V45" s="84">
        <v>188.88061792802765</v>
      </c>
      <c r="W45" s="84">
        <v>178.049707426217</v>
      </c>
      <c r="X45" s="84">
        <v>193.97956989247311</v>
      </c>
      <c r="Y45" s="84">
        <v>209.18930481283422</v>
      </c>
      <c r="DA45" s="171" t="s">
        <v>226</v>
      </c>
    </row>
    <row r="46" spans="1:105" ht="11.45" customHeight="1" x14ac:dyDescent="0.25">
      <c r="A46" s="83" t="s">
        <v>181</v>
      </c>
      <c r="B46" s="84">
        <v>290.10502725129902</v>
      </c>
      <c r="C46" s="84">
        <v>290.88761985501856</v>
      </c>
      <c r="D46" s="84">
        <v>297.51560120179437</v>
      </c>
      <c r="E46" s="84">
        <v>306.5365265588548</v>
      </c>
      <c r="F46" s="84">
        <v>331.14773121252216</v>
      </c>
      <c r="G46" s="84">
        <v>347.45454765705284</v>
      </c>
      <c r="H46" s="84">
        <v>355.82442578567674</v>
      </c>
      <c r="I46" s="84">
        <v>390.8368783022438</v>
      </c>
      <c r="J46" s="84">
        <v>389.27874370055343</v>
      </c>
      <c r="K46" s="84">
        <v>360.26824097542351</v>
      </c>
      <c r="L46" s="84">
        <v>360.11854829167663</v>
      </c>
      <c r="M46" s="84">
        <v>385.90003667122534</v>
      </c>
      <c r="N46" s="84">
        <v>373.02099828446705</v>
      </c>
      <c r="O46" s="84">
        <v>377.63052830179254</v>
      </c>
      <c r="P46" s="84">
        <v>396.7631472548448</v>
      </c>
      <c r="Q46" s="84">
        <v>407.01768530537458</v>
      </c>
      <c r="R46" s="84">
        <v>450.50489264863859</v>
      </c>
      <c r="S46" s="84">
        <v>481.52006401820626</v>
      </c>
      <c r="T46" s="84">
        <v>495.08145551299128</v>
      </c>
      <c r="U46" s="84">
        <v>494.25969566833925</v>
      </c>
      <c r="V46" s="84">
        <v>479.75444430577426</v>
      </c>
      <c r="W46" s="84">
        <v>465.24919294320932</v>
      </c>
      <c r="X46" s="84">
        <v>456.0359315471012</v>
      </c>
      <c r="Y46" s="84">
        <v>498.13963043486962</v>
      </c>
      <c r="DA46" s="171" t="s">
        <v>227</v>
      </c>
    </row>
    <row r="47" spans="1:105" ht="11.45" customHeight="1" x14ac:dyDescent="0.25">
      <c r="A47" s="83" t="s">
        <v>182</v>
      </c>
      <c r="B47" s="84">
        <v>101.05099150141643</v>
      </c>
      <c r="C47" s="84">
        <v>90.945892351274793</v>
      </c>
      <c r="D47" s="84">
        <v>96.376770538243619</v>
      </c>
      <c r="E47" s="84">
        <v>86.271671388101979</v>
      </c>
      <c r="F47" s="84">
        <v>80.776203966005667</v>
      </c>
      <c r="G47" s="84">
        <v>90.830028328611903</v>
      </c>
      <c r="H47" s="84">
        <v>103.43304843304843</v>
      </c>
      <c r="I47" s="84">
        <v>119.32777777777778</v>
      </c>
      <c r="J47" s="84">
        <v>129.8095238095238</v>
      </c>
      <c r="K47" s="84">
        <v>121.72328767123288</v>
      </c>
      <c r="L47" s="84">
        <v>128.20316622691294</v>
      </c>
      <c r="M47" s="84">
        <v>139.16935483870967</v>
      </c>
      <c r="N47" s="84">
        <v>135.88948787061994</v>
      </c>
      <c r="O47" s="84">
        <v>140.45430809399477</v>
      </c>
      <c r="P47" s="84">
        <v>144.05974025974027</v>
      </c>
      <c r="Q47" s="84">
        <v>143.32808398950132</v>
      </c>
      <c r="R47" s="84">
        <v>147.76657824933687</v>
      </c>
      <c r="S47" s="84">
        <v>158.8736559139785</v>
      </c>
      <c r="T47" s="84">
        <v>170.91351351351352</v>
      </c>
      <c r="U47" s="84">
        <v>185.60110803324099</v>
      </c>
      <c r="V47" s="84">
        <v>180.54855845817016</v>
      </c>
      <c r="W47" s="84">
        <v>175.49600888309934</v>
      </c>
      <c r="X47" s="84">
        <v>170.44345930802851</v>
      </c>
      <c r="Y47" s="84">
        <v>190.03966005665723</v>
      </c>
      <c r="DA47" s="171" t="s">
        <v>228</v>
      </c>
    </row>
    <row r="48" spans="1:105" ht="11.45" customHeight="1" x14ac:dyDescent="0.25">
      <c r="A48" s="12" t="s">
        <v>34</v>
      </c>
      <c r="B48" s="13">
        <f t="shared" ref="B48:C48" si="36">SUM(B49:B51)</f>
        <v>19.855073176878612</v>
      </c>
      <c r="C48" s="13">
        <f t="shared" si="36"/>
        <v>18.898253547710091</v>
      </c>
      <c r="D48" s="13">
        <f t="shared" ref="D48:V48" si="37">SUM(D49:D51)</f>
        <v>17.941268490851002</v>
      </c>
      <c r="E48" s="13">
        <f t="shared" si="37"/>
        <v>16.873133878818191</v>
      </c>
      <c r="F48" s="13">
        <f t="shared" si="37"/>
        <v>21.285387440866948</v>
      </c>
      <c r="G48" s="13">
        <f t="shared" si="37"/>
        <v>20.739264659721229</v>
      </c>
      <c r="H48" s="13">
        <f t="shared" si="37"/>
        <v>21.425765459352768</v>
      </c>
      <c r="I48" s="13">
        <f t="shared" si="37"/>
        <v>21.688545413152621</v>
      </c>
      <c r="J48" s="13">
        <f t="shared" si="37"/>
        <v>22.068267850073767</v>
      </c>
      <c r="K48" s="13">
        <f t="shared" si="37"/>
        <v>20.261665457645943</v>
      </c>
      <c r="L48" s="13">
        <f t="shared" si="37"/>
        <v>21.352103717873085</v>
      </c>
      <c r="M48" s="13">
        <f t="shared" si="37"/>
        <v>20.418349774179585</v>
      </c>
      <c r="N48" s="13">
        <f t="shared" si="37"/>
        <v>18.611625341243688</v>
      </c>
      <c r="O48" s="13">
        <f t="shared" si="37"/>
        <v>16.970014823335156</v>
      </c>
      <c r="P48" s="13">
        <f t="shared" si="37"/>
        <v>15.866657922630218</v>
      </c>
      <c r="Q48" s="13">
        <f t="shared" si="37"/>
        <v>16.284986867615093</v>
      </c>
      <c r="R48" s="13">
        <f t="shared" si="37"/>
        <v>15.536040674002457</v>
      </c>
      <c r="S48" s="13">
        <f t="shared" si="37"/>
        <v>19.243080091247698</v>
      </c>
      <c r="T48" s="13">
        <f t="shared" si="37"/>
        <v>20.503288024219529</v>
      </c>
      <c r="U48" s="13">
        <f t="shared" si="37"/>
        <v>20.0068237003786</v>
      </c>
      <c r="V48" s="13">
        <f t="shared" si="37"/>
        <v>19.450852726936404</v>
      </c>
      <c r="W48" s="13">
        <f t="shared" ref="W48:Y48" si="38">SUM(W49:W51)</f>
        <v>20.52534917901399</v>
      </c>
      <c r="X48" s="13">
        <f t="shared" si="38"/>
        <v>23.061004037505533</v>
      </c>
      <c r="Y48" s="13">
        <f t="shared" si="38"/>
        <v>25.892630916312804</v>
      </c>
      <c r="DA48" s="193" t="s">
        <v>229</v>
      </c>
    </row>
    <row r="49" spans="1:105" ht="11.45" customHeight="1" x14ac:dyDescent="0.25">
      <c r="A49" s="92" t="s">
        <v>27</v>
      </c>
      <c r="B49" s="102">
        <v>9.8878887070376429</v>
      </c>
      <c r="C49" s="102">
        <v>9.413256955810148</v>
      </c>
      <c r="D49" s="102">
        <v>8.8109656301145662</v>
      </c>
      <c r="E49" s="102">
        <v>7.8221767594108016</v>
      </c>
      <c r="F49" s="102">
        <v>10.068739770867431</v>
      </c>
      <c r="G49" s="102">
        <v>9.8736669401148482</v>
      </c>
      <c r="H49" s="102">
        <v>9.9348722176422086</v>
      </c>
      <c r="I49" s="102">
        <v>9.5431177446102815</v>
      </c>
      <c r="J49" s="102">
        <v>9.2038269550748755</v>
      </c>
      <c r="K49" s="102">
        <v>8.2150380843711108</v>
      </c>
      <c r="L49" s="102">
        <v>7.2262492136673462</v>
      </c>
      <c r="M49" s="102">
        <v>6.2374603429635815</v>
      </c>
      <c r="N49" s="102">
        <v>5.2486714722598169</v>
      </c>
      <c r="O49" s="102">
        <v>4.2861896838602327</v>
      </c>
      <c r="P49" s="102">
        <v>3.9351081530782031</v>
      </c>
      <c r="Q49" s="102">
        <v>3.626043405676127</v>
      </c>
      <c r="R49" s="102">
        <v>3.2803030303030303</v>
      </c>
      <c r="S49" s="102">
        <v>3.6212121212121211</v>
      </c>
      <c r="T49" s="102">
        <v>3.4613445378151262</v>
      </c>
      <c r="U49" s="102">
        <v>3.0447257383966244</v>
      </c>
      <c r="V49" s="102">
        <v>2.5503313030447421</v>
      </c>
      <c r="W49" s="102">
        <v>2.6738955823293171</v>
      </c>
      <c r="X49" s="102">
        <v>2.5106696100073584</v>
      </c>
      <c r="Y49" s="102">
        <v>2.4213649851632049</v>
      </c>
      <c r="DA49" s="175" t="s">
        <v>230</v>
      </c>
    </row>
    <row r="50" spans="1:105" ht="11.45" customHeight="1" x14ac:dyDescent="0.25">
      <c r="A50" s="92" t="s">
        <v>181</v>
      </c>
      <c r="B50" s="102">
        <v>5.4297883479573121</v>
      </c>
      <c r="C50" s="102">
        <v>5.0833345420384468</v>
      </c>
      <c r="D50" s="102">
        <v>4.9779482900993175</v>
      </c>
      <c r="E50" s="102">
        <v>4.7684086429530943</v>
      </c>
      <c r="F50" s="102">
        <v>5.8980881132128147</v>
      </c>
      <c r="G50" s="102">
        <v>5.6600421640508234</v>
      </c>
      <c r="H50" s="102">
        <v>5.6098734116822317</v>
      </c>
      <c r="I50" s="102">
        <v>5.0723939606771697</v>
      </c>
      <c r="J50" s="102">
        <v>5.1834064122402692</v>
      </c>
      <c r="K50" s="102">
        <v>4.8193325027045786</v>
      </c>
      <c r="L50" s="102">
        <v>5.2129331558911307</v>
      </c>
      <c r="M50" s="102">
        <v>4.8959431946568648</v>
      </c>
      <c r="N50" s="102">
        <v>4.5317472446130989</v>
      </c>
      <c r="O50" s="102">
        <v>4.3063581272925155</v>
      </c>
      <c r="P50" s="102">
        <v>4.0078223695579718</v>
      </c>
      <c r="Q50" s="102">
        <v>4.2760233517461277</v>
      </c>
      <c r="R50" s="102">
        <v>3.9906079607023082</v>
      </c>
      <c r="S50" s="102">
        <v>4.7269730751406822</v>
      </c>
      <c r="T50" s="102">
        <v>4.8332207449713813</v>
      </c>
      <c r="U50" s="102">
        <v>5.1656377849908246</v>
      </c>
      <c r="V50" s="102">
        <v>5.3309310529946936</v>
      </c>
      <c r="W50" s="102">
        <v>6.3783856809938069</v>
      </c>
      <c r="X50" s="102">
        <v>6.8069481841119304</v>
      </c>
      <c r="Y50" s="102">
        <v>6.5379325978162646</v>
      </c>
      <c r="DA50" s="175" t="s">
        <v>231</v>
      </c>
    </row>
    <row r="51" spans="1:105" ht="11.45" customHeight="1" x14ac:dyDescent="0.25">
      <c r="A51" s="85" t="s">
        <v>182</v>
      </c>
      <c r="B51" s="86">
        <v>4.5373961218836563</v>
      </c>
      <c r="C51" s="86">
        <v>4.4016620498614962</v>
      </c>
      <c r="D51" s="86">
        <v>4.1523545706371188</v>
      </c>
      <c r="E51" s="86">
        <v>4.282548476454294</v>
      </c>
      <c r="F51" s="86">
        <v>5.3185595567867034</v>
      </c>
      <c r="G51" s="86">
        <v>5.2055555555555557</v>
      </c>
      <c r="H51" s="86">
        <v>5.881019830028329</v>
      </c>
      <c r="I51" s="86">
        <v>7.0730337078651688</v>
      </c>
      <c r="J51" s="86">
        <v>7.681034482758621</v>
      </c>
      <c r="K51" s="86">
        <v>7.2272948705702555</v>
      </c>
      <c r="L51" s="86">
        <v>8.9129213483146064</v>
      </c>
      <c r="M51" s="86">
        <v>9.28494623655914</v>
      </c>
      <c r="N51" s="86">
        <v>8.8312066243707736</v>
      </c>
      <c r="O51" s="86">
        <v>8.3774670121824073</v>
      </c>
      <c r="P51" s="86">
        <v>7.9237273999940419</v>
      </c>
      <c r="Q51" s="86">
        <v>8.3829201101928383</v>
      </c>
      <c r="R51" s="86">
        <v>8.2651296829971184</v>
      </c>
      <c r="S51" s="86">
        <v>10.894894894894895</v>
      </c>
      <c r="T51" s="86">
        <v>12.208722741433021</v>
      </c>
      <c r="U51" s="86">
        <v>11.79646017699115</v>
      </c>
      <c r="V51" s="86">
        <v>11.569590370896968</v>
      </c>
      <c r="W51" s="86">
        <v>11.473067915690866</v>
      </c>
      <c r="X51" s="86">
        <v>13.743386243386244</v>
      </c>
      <c r="Y51" s="86">
        <v>16.933333333333334</v>
      </c>
      <c r="DA51" s="178" t="s">
        <v>232</v>
      </c>
    </row>
    <row r="52" spans="1:105" x14ac:dyDescent="0.25">
      <c r="A52" s="50"/>
      <c r="B52" s="50"/>
      <c r="C52" s="50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DA52" s="181"/>
    </row>
    <row r="53" spans="1:105" ht="11.45" customHeight="1" x14ac:dyDescent="0.25">
      <c r="A53" s="53" t="s">
        <v>82</v>
      </c>
      <c r="B53" s="54">
        <f t="shared" ref="B53:C53" si="39">SUM(B54,B58)</f>
        <v>61.718587514985636</v>
      </c>
      <c r="C53" s="54">
        <f t="shared" si="39"/>
        <v>11.371658649438029</v>
      </c>
      <c r="D53" s="54">
        <f t="shared" ref="D53:V53" si="40">SUM(D54,D58)</f>
        <v>24.88729670881067</v>
      </c>
      <c r="E53" s="54">
        <f t="shared" si="40"/>
        <v>31.411909249207469</v>
      </c>
      <c r="F53" s="54">
        <f t="shared" si="40"/>
        <v>67.512406194462301</v>
      </c>
      <c r="G53" s="54">
        <f t="shared" si="40"/>
        <v>70.592376385702011</v>
      </c>
      <c r="H53" s="54">
        <f t="shared" si="40"/>
        <v>53.449378951865</v>
      </c>
      <c r="I53" s="54">
        <f t="shared" si="40"/>
        <v>85.755358309443224</v>
      </c>
      <c r="J53" s="54">
        <f t="shared" si="40"/>
        <v>22.821684825624455</v>
      </c>
      <c r="K53" s="54">
        <f t="shared" si="40"/>
        <v>2.7640647993519389E-2</v>
      </c>
      <c r="L53" s="54">
        <f t="shared" si="40"/>
        <v>26.75996917266594</v>
      </c>
      <c r="M53" s="54">
        <f t="shared" si="40"/>
        <v>50.25628513540105</v>
      </c>
      <c r="N53" s="54">
        <f t="shared" si="40"/>
        <v>2.0740514259896279</v>
      </c>
      <c r="O53" s="54">
        <f t="shared" si="40"/>
        <v>21.914903800042399</v>
      </c>
      <c r="P53" s="54">
        <f t="shared" si="40"/>
        <v>36.595732343884791</v>
      </c>
      <c r="Q53" s="54">
        <f t="shared" si="40"/>
        <v>34.847238157048466</v>
      </c>
      <c r="R53" s="54">
        <f t="shared" si="40"/>
        <v>73.448117158680049</v>
      </c>
      <c r="S53" s="54">
        <f t="shared" si="40"/>
        <v>74.218806964110044</v>
      </c>
      <c r="T53" s="54">
        <f t="shared" si="40"/>
        <v>68.884054783908695</v>
      </c>
      <c r="U53" s="54">
        <f t="shared" si="40"/>
        <v>44.04057492399842</v>
      </c>
      <c r="V53" s="54">
        <f t="shared" si="40"/>
        <v>0.33771365334481696</v>
      </c>
      <c r="W53" s="54">
        <f t="shared" ref="W53:Y53" si="41">SUM(W54,W58)</f>
        <v>1.7247280534655909</v>
      </c>
      <c r="X53" s="54">
        <f t="shared" si="41"/>
        <v>27.382286895212907</v>
      </c>
      <c r="Y53" s="54">
        <f t="shared" si="41"/>
        <v>99.811356120145589</v>
      </c>
      <c r="DA53" s="172" t="s">
        <v>233</v>
      </c>
    </row>
    <row r="54" spans="1:105" ht="11.45" customHeight="1" x14ac:dyDescent="0.25">
      <c r="A54" s="10" t="s">
        <v>33</v>
      </c>
      <c r="B54" s="11">
        <f t="shared" ref="B54:C54" si="42">SUM(B55:B57)</f>
        <v>59.227412676543992</v>
      </c>
      <c r="C54" s="11">
        <f t="shared" si="42"/>
        <v>11.355735487775934</v>
      </c>
      <c r="D54" s="11">
        <f t="shared" ref="D54:V54" si="43">SUM(D55:D57)</f>
        <v>24.786643273954631</v>
      </c>
      <c r="E54" s="11">
        <f t="shared" si="43"/>
        <v>31.058941495126469</v>
      </c>
      <c r="F54" s="11">
        <f t="shared" si="43"/>
        <v>62.470210847490534</v>
      </c>
      <c r="G54" s="11">
        <f t="shared" si="43"/>
        <v>70.424696139180099</v>
      </c>
      <c r="H54" s="11">
        <f t="shared" si="43"/>
        <v>52.057910515341447</v>
      </c>
      <c r="I54" s="11">
        <f t="shared" si="43"/>
        <v>84.411689551724649</v>
      </c>
      <c r="J54" s="11">
        <f t="shared" si="43"/>
        <v>21.72272380288485</v>
      </c>
      <c r="K54" s="11">
        <f t="shared" si="43"/>
        <v>0</v>
      </c>
      <c r="L54" s="11">
        <f t="shared" si="43"/>
        <v>24.289549636703029</v>
      </c>
      <c r="M54" s="11">
        <f t="shared" si="43"/>
        <v>49.575134828797786</v>
      </c>
      <c r="N54" s="11">
        <f t="shared" si="43"/>
        <v>1.9697278209687319</v>
      </c>
      <c r="O54" s="11">
        <f t="shared" si="43"/>
        <v>21.902133980910278</v>
      </c>
      <c r="P54" s="11">
        <f t="shared" si="43"/>
        <v>36.595732343884791</v>
      </c>
      <c r="Q54" s="11">
        <f t="shared" si="43"/>
        <v>33.792500521453576</v>
      </c>
      <c r="R54" s="11">
        <f t="shared" si="43"/>
        <v>73.377748559913925</v>
      </c>
      <c r="S54" s="11">
        <f t="shared" si="43"/>
        <v>69.876213435086612</v>
      </c>
      <c r="T54" s="11">
        <f t="shared" si="43"/>
        <v>66.986224872335399</v>
      </c>
      <c r="U54" s="11">
        <f t="shared" si="43"/>
        <v>43.53814682700704</v>
      </c>
      <c r="V54" s="11">
        <f t="shared" si="43"/>
        <v>0</v>
      </c>
      <c r="W54" s="11">
        <f t="shared" ref="W54:Y54" si="44">SUM(W55:W57)</f>
        <v>0</v>
      </c>
      <c r="X54" s="11">
        <f t="shared" si="44"/>
        <v>24.196400435333359</v>
      </c>
      <c r="Y54" s="11">
        <f t="shared" si="44"/>
        <v>96.250216354853649</v>
      </c>
      <c r="DA54" s="189" t="s">
        <v>234</v>
      </c>
    </row>
    <row r="55" spans="1:105" ht="11.45" customHeight="1" x14ac:dyDescent="0.25">
      <c r="A55" s="83" t="s">
        <v>27</v>
      </c>
      <c r="B55" s="84">
        <v>19.011174340403784</v>
      </c>
      <c r="C55" s="84">
        <v>0</v>
      </c>
      <c r="D55" s="84">
        <v>0</v>
      </c>
      <c r="E55" s="84">
        <v>11.464873254009603</v>
      </c>
      <c r="F55" s="84">
        <v>28.162752198655198</v>
      </c>
      <c r="G55" s="84">
        <v>31.336271591833196</v>
      </c>
      <c r="H55" s="84">
        <v>18.357228542071056</v>
      </c>
      <c r="I55" s="84">
        <v>20.776723950218241</v>
      </c>
      <c r="J55" s="84">
        <v>0</v>
      </c>
      <c r="K55" s="84">
        <v>0</v>
      </c>
      <c r="L55" s="84">
        <v>0</v>
      </c>
      <c r="M55" s="84">
        <v>9.9674097242370863E-2</v>
      </c>
      <c r="N55" s="84">
        <v>0</v>
      </c>
      <c r="O55" s="84">
        <v>0</v>
      </c>
      <c r="P55" s="84">
        <v>0</v>
      </c>
      <c r="Q55" s="84">
        <v>10.897530706945531</v>
      </c>
      <c r="R55" s="84">
        <v>12.724263216604413</v>
      </c>
      <c r="S55" s="84">
        <v>15.026180660667308</v>
      </c>
      <c r="T55" s="84">
        <v>25.266718773357582</v>
      </c>
      <c r="U55" s="84">
        <v>16.691519815733017</v>
      </c>
      <c r="V55" s="84">
        <v>0</v>
      </c>
      <c r="W55" s="84">
        <v>0</v>
      </c>
      <c r="X55" s="84">
        <v>22.537518958755101</v>
      </c>
      <c r="Y55" s="84">
        <v>21.817391412860104</v>
      </c>
      <c r="DA55" s="171" t="s">
        <v>235</v>
      </c>
    </row>
    <row r="56" spans="1:105" ht="11.45" customHeight="1" x14ac:dyDescent="0.25">
      <c r="A56" s="83" t="s">
        <v>181</v>
      </c>
      <c r="B56" s="84">
        <v>30.082725588265351</v>
      </c>
      <c r="C56" s="84">
        <v>11.355735487775934</v>
      </c>
      <c r="D56" s="84">
        <v>16.324235341943812</v>
      </c>
      <c r="E56" s="84">
        <v>19.594068241116865</v>
      </c>
      <c r="F56" s="84">
        <v>34.307458648835336</v>
      </c>
      <c r="G56" s="84">
        <v>26.003070439698678</v>
      </c>
      <c r="H56" s="84">
        <v>18.066132123791871</v>
      </c>
      <c r="I56" s="84">
        <v>44.708706511735059</v>
      </c>
      <c r="J56" s="84">
        <v>8.2094480260968314</v>
      </c>
      <c r="K56" s="84">
        <v>0</v>
      </c>
      <c r="L56" s="84">
        <v>14.778141335980964</v>
      </c>
      <c r="M56" s="84">
        <v>35.477742374716684</v>
      </c>
      <c r="N56" s="84">
        <v>1.9697278209687319</v>
      </c>
      <c r="O56" s="84">
        <v>14.305784012493449</v>
      </c>
      <c r="P56" s="84">
        <v>29.958770433097285</v>
      </c>
      <c r="Q56" s="84">
        <v>20.59509633970498</v>
      </c>
      <c r="R56" s="84">
        <v>53.183461338431961</v>
      </c>
      <c r="S56" s="84">
        <v>40.711425364735668</v>
      </c>
      <c r="T56" s="84">
        <v>26.648118754400784</v>
      </c>
      <c r="U56" s="84">
        <v>9.1275027465045486</v>
      </c>
      <c r="V56" s="84">
        <v>0</v>
      </c>
      <c r="W56" s="84">
        <v>0</v>
      </c>
      <c r="X56" s="84">
        <v>1.6588814765782587</v>
      </c>
      <c r="Y56" s="84">
        <v>51.805094448322812</v>
      </c>
      <c r="DA56" s="171" t="s">
        <v>236</v>
      </c>
    </row>
    <row r="57" spans="1:105" ht="11.45" customHeight="1" x14ac:dyDescent="0.25">
      <c r="A57" s="83" t="s">
        <v>182</v>
      </c>
      <c r="B57" s="84">
        <v>10.13351274787486</v>
      </c>
      <c r="C57" s="84">
        <v>0</v>
      </c>
      <c r="D57" s="84">
        <v>8.4624079320108194</v>
      </c>
      <c r="E57" s="84">
        <v>0</v>
      </c>
      <c r="F57" s="84">
        <v>0</v>
      </c>
      <c r="G57" s="84">
        <v>13.085354107648229</v>
      </c>
      <c r="H57" s="84">
        <v>15.634549849478518</v>
      </c>
      <c r="I57" s="84">
        <v>18.926259089771349</v>
      </c>
      <c r="J57" s="84">
        <v>13.513275776788021</v>
      </c>
      <c r="K57" s="84">
        <v>0</v>
      </c>
      <c r="L57" s="84">
        <v>9.5114083007220671</v>
      </c>
      <c r="M57" s="84">
        <v>13.997718356838732</v>
      </c>
      <c r="N57" s="84">
        <v>0</v>
      </c>
      <c r="O57" s="84">
        <v>7.5963499684168312</v>
      </c>
      <c r="P57" s="84">
        <v>6.6369619107875053</v>
      </c>
      <c r="Q57" s="84">
        <v>2.2998734748030643</v>
      </c>
      <c r="R57" s="84">
        <v>7.4700240048775584</v>
      </c>
      <c r="S57" s="84">
        <v>14.13860740968363</v>
      </c>
      <c r="T57" s="84">
        <v>15.071387344577033</v>
      </c>
      <c r="U57" s="84">
        <v>17.719124264769476</v>
      </c>
      <c r="V57" s="84">
        <v>0</v>
      </c>
      <c r="W57" s="84">
        <v>0</v>
      </c>
      <c r="X57" s="84">
        <v>0</v>
      </c>
      <c r="Y57" s="84">
        <v>22.627730493670725</v>
      </c>
      <c r="DA57" s="171" t="s">
        <v>237</v>
      </c>
    </row>
    <row r="58" spans="1:105" ht="11.45" customHeight="1" x14ac:dyDescent="0.25">
      <c r="A58" s="12" t="s">
        <v>34</v>
      </c>
      <c r="B58" s="13">
        <f t="shared" ref="B58:C58" si="45">SUM(B59:B61)</f>
        <v>2.4911748384416472</v>
      </c>
      <c r="C58" s="13">
        <f t="shared" si="45"/>
        <v>1.592316166209487E-2</v>
      </c>
      <c r="D58" s="13">
        <f t="shared" ref="D58:V58" si="46">SUM(D59:D61)</f>
        <v>0.10065343485603837</v>
      </c>
      <c r="E58" s="13">
        <f t="shared" si="46"/>
        <v>0.35296775408099923</v>
      </c>
      <c r="F58" s="13">
        <f t="shared" si="46"/>
        <v>5.0421953469717593</v>
      </c>
      <c r="G58" s="13">
        <f t="shared" si="46"/>
        <v>0.16768024652191382</v>
      </c>
      <c r="H58" s="13">
        <f t="shared" si="46"/>
        <v>1.3914684365235512</v>
      </c>
      <c r="I58" s="13">
        <f t="shared" si="46"/>
        <v>1.3436687577185698</v>
      </c>
      <c r="J58" s="13">
        <f t="shared" si="46"/>
        <v>1.0989610227396034</v>
      </c>
      <c r="K58" s="13">
        <f t="shared" si="46"/>
        <v>2.7640647993519389E-2</v>
      </c>
      <c r="L58" s="13">
        <f t="shared" si="46"/>
        <v>2.4704195359629129</v>
      </c>
      <c r="M58" s="13">
        <f t="shared" si="46"/>
        <v>0.68115030660326692</v>
      </c>
      <c r="N58" s="13">
        <f t="shared" si="46"/>
        <v>0.10432360502089619</v>
      </c>
      <c r="O58" s="13">
        <f t="shared" si="46"/>
        <v>1.2769819132122481E-2</v>
      </c>
      <c r="P58" s="13">
        <f t="shared" si="46"/>
        <v>0</v>
      </c>
      <c r="Q58" s="13">
        <f t="shared" si="46"/>
        <v>1.0547376355948885</v>
      </c>
      <c r="R58" s="13">
        <f t="shared" si="46"/>
        <v>7.0368598766124626E-2</v>
      </c>
      <c r="S58" s="13">
        <f t="shared" si="46"/>
        <v>4.3425935290234321</v>
      </c>
      <c r="T58" s="13">
        <f t="shared" si="46"/>
        <v>1.8978299115732971</v>
      </c>
      <c r="U58" s="13">
        <f t="shared" si="46"/>
        <v>0.50242809699138313</v>
      </c>
      <c r="V58" s="13">
        <f t="shared" si="46"/>
        <v>0.33771365334481696</v>
      </c>
      <c r="W58" s="13">
        <f t="shared" ref="W58:Y58" si="47">SUM(W59:W61)</f>
        <v>1.7247280534655909</v>
      </c>
      <c r="X58" s="13">
        <f t="shared" si="47"/>
        <v>3.1858864598795487</v>
      </c>
      <c r="Y58" s="13">
        <f t="shared" si="47"/>
        <v>3.5611397652919381</v>
      </c>
      <c r="DA58" s="193" t="s">
        <v>238</v>
      </c>
    </row>
    <row r="59" spans="1:105" ht="11.45" customHeight="1" x14ac:dyDescent="0.25">
      <c r="A59" s="92" t="s">
        <v>27</v>
      </c>
      <c r="B59" s="102">
        <v>1.3375068194213746</v>
      </c>
      <c r="C59" s="102">
        <v>0</v>
      </c>
      <c r="D59" s="102">
        <v>0</v>
      </c>
      <c r="E59" s="102">
        <v>0</v>
      </c>
      <c r="F59" s="102">
        <v>2.5603382433166288</v>
      </c>
      <c r="G59" s="102">
        <v>0.11870240110741648</v>
      </c>
      <c r="H59" s="102">
        <v>0.37498050938735972</v>
      </c>
      <c r="I59" s="102">
        <v>0</v>
      </c>
      <c r="J59" s="102">
        <v>0</v>
      </c>
      <c r="K59" s="102">
        <v>0</v>
      </c>
      <c r="L59" s="102">
        <v>0</v>
      </c>
      <c r="M59" s="102">
        <v>0</v>
      </c>
      <c r="N59" s="102">
        <v>0</v>
      </c>
      <c r="O59" s="102">
        <v>0</v>
      </c>
      <c r="P59" s="102">
        <v>0</v>
      </c>
      <c r="Q59" s="102">
        <v>4.7104844579237692E-3</v>
      </c>
      <c r="R59" s="102">
        <v>0</v>
      </c>
      <c r="S59" s="102">
        <v>0.65468432276909105</v>
      </c>
      <c r="T59" s="102">
        <v>0.15390764846300531</v>
      </c>
      <c r="U59" s="102">
        <v>0</v>
      </c>
      <c r="V59" s="102">
        <v>0</v>
      </c>
      <c r="W59" s="102">
        <v>0.43733951114457525</v>
      </c>
      <c r="X59" s="102">
        <v>0.15054925953804155</v>
      </c>
      <c r="Y59" s="102">
        <v>0.22447060701584665</v>
      </c>
      <c r="DA59" s="175" t="s">
        <v>239</v>
      </c>
    </row>
    <row r="60" spans="1:105" ht="11.45" customHeight="1" x14ac:dyDescent="0.25">
      <c r="A60" s="92" t="s">
        <v>181</v>
      </c>
      <c r="B60" s="102">
        <v>0.86013154625913957</v>
      </c>
      <c r="C60" s="102">
        <v>4.9351653552550962E-3</v>
      </c>
      <c r="D60" s="102">
        <v>0.10065343485603837</v>
      </c>
      <c r="E60" s="102">
        <v>7.6051779934824149E-2</v>
      </c>
      <c r="F60" s="102">
        <v>1.2991239549937208</v>
      </c>
      <c r="G60" s="102">
        <v>1.5259778316645276E-2</v>
      </c>
      <c r="H60" s="102">
        <v>0.19430158433441846</v>
      </c>
      <c r="I60" s="102">
        <v>4.9328115527299717E-3</v>
      </c>
      <c r="J60" s="102">
        <v>0.34423817951715135</v>
      </c>
      <c r="K60" s="102">
        <v>2.7640647993519389E-2</v>
      </c>
      <c r="L60" s="102">
        <v>0.63807098988956223</v>
      </c>
      <c r="M60" s="102">
        <v>0.1624033500297335</v>
      </c>
      <c r="N60" s="102">
        <v>0.10432360502089619</v>
      </c>
      <c r="O60" s="102">
        <v>1.2769819132122481E-2</v>
      </c>
      <c r="P60" s="102">
        <v>0</v>
      </c>
      <c r="Q60" s="102">
        <v>0.44411237260916858</v>
      </c>
      <c r="R60" s="102">
        <v>4.1436957632844787E-2</v>
      </c>
      <c r="S60" s="102">
        <v>0.911421926027565</v>
      </c>
      <c r="T60" s="102">
        <v>0.28337234824316526</v>
      </c>
      <c r="U60" s="102">
        <v>0.50242809699138313</v>
      </c>
      <c r="V60" s="102">
        <v>0.33771365334481696</v>
      </c>
      <c r="W60" s="102">
        <v>1.2371889291981182</v>
      </c>
      <c r="X60" s="102">
        <v>0.6182968043171293</v>
      </c>
      <c r="Y60" s="102">
        <v>0</v>
      </c>
      <c r="DA60" s="175" t="s">
        <v>240</v>
      </c>
    </row>
    <row r="61" spans="1:105" ht="11.45" customHeight="1" x14ac:dyDescent="0.25">
      <c r="A61" s="85" t="s">
        <v>182</v>
      </c>
      <c r="B61" s="86">
        <v>0.29353647276113293</v>
      </c>
      <c r="C61" s="86">
        <v>1.0987996306839776E-2</v>
      </c>
      <c r="D61" s="86">
        <v>0</v>
      </c>
      <c r="E61" s="86">
        <v>0.27691597414617508</v>
      </c>
      <c r="F61" s="86">
        <v>1.1827331486614092</v>
      </c>
      <c r="G61" s="86">
        <v>3.3718067097852078E-2</v>
      </c>
      <c r="H61" s="86">
        <v>0.82218634280177305</v>
      </c>
      <c r="I61" s="86">
        <v>1.3387359461658397</v>
      </c>
      <c r="J61" s="86">
        <v>0.75472284322245198</v>
      </c>
      <c r="K61" s="86">
        <v>0</v>
      </c>
      <c r="L61" s="86">
        <v>1.8323485460733506</v>
      </c>
      <c r="M61" s="86">
        <v>0.51874695657353342</v>
      </c>
      <c r="N61" s="86">
        <v>0</v>
      </c>
      <c r="O61" s="86">
        <v>0</v>
      </c>
      <c r="P61" s="86">
        <v>0</v>
      </c>
      <c r="Q61" s="86">
        <v>0.60591477852779629</v>
      </c>
      <c r="R61" s="86">
        <v>2.893164113327984E-2</v>
      </c>
      <c r="S61" s="86">
        <v>2.7764872802267764</v>
      </c>
      <c r="T61" s="86">
        <v>1.4605499148671264</v>
      </c>
      <c r="U61" s="86">
        <v>0</v>
      </c>
      <c r="V61" s="86">
        <v>0</v>
      </c>
      <c r="W61" s="86">
        <v>5.0199613122897446E-2</v>
      </c>
      <c r="X61" s="86">
        <v>2.4170403960243778</v>
      </c>
      <c r="Y61" s="86">
        <v>3.3366691582760915</v>
      </c>
      <c r="DA61" s="178" t="s">
        <v>241</v>
      </c>
    </row>
    <row r="62" spans="1:105" x14ac:dyDescent="0.25">
      <c r="A62" s="50"/>
      <c r="B62" s="50"/>
      <c r="C62" s="50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DA62" s="181"/>
    </row>
    <row r="63" spans="1:105" ht="11.45" customHeight="1" x14ac:dyDescent="0.25">
      <c r="A63" s="68" t="s">
        <v>36</v>
      </c>
      <c r="B63" s="69"/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DA63" s="179"/>
    </row>
    <row r="64" spans="1:105" x14ac:dyDescent="0.25">
      <c r="A64" s="50"/>
      <c r="B64" s="50"/>
      <c r="C64" s="50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DA64" s="181"/>
    </row>
    <row r="65" spans="1:105" ht="11.45" customHeight="1" x14ac:dyDescent="0.25">
      <c r="A65" s="53" t="s">
        <v>83</v>
      </c>
      <c r="B65" s="62"/>
      <c r="C65" s="62"/>
      <c r="D65" s="62"/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DA65" s="172"/>
    </row>
    <row r="66" spans="1:105" ht="11.45" customHeight="1" x14ac:dyDescent="0.25">
      <c r="A66" s="10" t="s">
        <v>84</v>
      </c>
      <c r="B66" s="14">
        <f t="shared" ref="B66:C73" si="48">IF(B34=0,0,B34/B24)</f>
        <v>97.143754126976859</v>
      </c>
      <c r="C66" s="14">
        <f t="shared" si="48"/>
        <v>98.937348601476742</v>
      </c>
      <c r="D66" s="14">
        <f t="shared" ref="D66:V66" si="49">IF(D34=0,0,D34/D24)</f>
        <v>98.875555885280122</v>
      </c>
      <c r="E66" s="14">
        <f t="shared" si="49"/>
        <v>104.40698795347838</v>
      </c>
      <c r="F66" s="14">
        <f t="shared" si="49"/>
        <v>103.94577608831101</v>
      </c>
      <c r="G66" s="14">
        <f t="shared" si="49"/>
        <v>104.17077822401127</v>
      </c>
      <c r="H66" s="14">
        <f t="shared" si="49"/>
        <v>104.88715941599364</v>
      </c>
      <c r="I66" s="14">
        <f t="shared" si="49"/>
        <v>106.27480765985123</v>
      </c>
      <c r="J66" s="14">
        <f t="shared" si="49"/>
        <v>106.29753579998696</v>
      </c>
      <c r="K66" s="14">
        <f t="shared" si="49"/>
        <v>109.18717971907479</v>
      </c>
      <c r="L66" s="14">
        <f t="shared" si="49"/>
        <v>112.51235169444206</v>
      </c>
      <c r="M66" s="14">
        <f t="shared" si="49"/>
        <v>116.27715807422014</v>
      </c>
      <c r="N66" s="14">
        <f t="shared" si="49"/>
        <v>122.37234286496135</v>
      </c>
      <c r="O66" s="14">
        <f t="shared" si="49"/>
        <v>126.40682712018005</v>
      </c>
      <c r="P66" s="14">
        <f t="shared" si="49"/>
        <v>127.8313871335445</v>
      </c>
      <c r="Q66" s="14">
        <f t="shared" si="49"/>
        <v>131.62461914247527</v>
      </c>
      <c r="R66" s="14">
        <f t="shared" si="49"/>
        <v>136.63088125489216</v>
      </c>
      <c r="S66" s="14">
        <f t="shared" si="49"/>
        <v>139.48811840186974</v>
      </c>
      <c r="T66" s="14">
        <f t="shared" si="49"/>
        <v>138.31468519573741</v>
      </c>
      <c r="U66" s="14">
        <f t="shared" si="49"/>
        <v>140.01548350640721</v>
      </c>
      <c r="V66" s="14">
        <f t="shared" si="49"/>
        <v>100.85711873311318</v>
      </c>
      <c r="W66" s="14">
        <f t="shared" ref="W66:Y66" si="50">IF(W34=0,0,W34/W24)</f>
        <v>109.602573352348</v>
      </c>
      <c r="X66" s="14">
        <f t="shared" si="50"/>
        <v>136.61268406377479</v>
      </c>
      <c r="Y66" s="14">
        <f t="shared" si="50"/>
        <v>144.46164411946938</v>
      </c>
      <c r="DA66" s="189" t="s">
        <v>242</v>
      </c>
    </row>
    <row r="67" spans="1:105" ht="11.45" customHeight="1" x14ac:dyDescent="0.25">
      <c r="A67" s="83" t="s">
        <v>27</v>
      </c>
      <c r="B67" s="87">
        <f t="shared" si="48"/>
        <v>76.026924721116345</v>
      </c>
      <c r="C67" s="87">
        <f t="shared" si="48"/>
        <v>76.63752094326918</v>
      </c>
      <c r="D67" s="87">
        <f t="shared" ref="D67:V67" si="51">IF(D35=0,0,D35/D25)</f>
        <v>79.750163010732578</v>
      </c>
      <c r="E67" s="87">
        <f t="shared" si="51"/>
        <v>83.97441144444862</v>
      </c>
      <c r="F67" s="87">
        <f t="shared" si="51"/>
        <v>84.003770553496992</v>
      </c>
      <c r="G67" s="87">
        <f t="shared" si="51"/>
        <v>84.06193325586699</v>
      </c>
      <c r="H67" s="87">
        <f t="shared" si="51"/>
        <v>85.027213110679355</v>
      </c>
      <c r="I67" s="87">
        <f t="shared" si="51"/>
        <v>86.907840580620842</v>
      </c>
      <c r="J67" s="87">
        <f t="shared" si="51"/>
        <v>83.279266809794194</v>
      </c>
      <c r="K67" s="87">
        <f t="shared" si="51"/>
        <v>86.081749797956775</v>
      </c>
      <c r="L67" s="87">
        <f t="shared" si="51"/>
        <v>89.933595318278648</v>
      </c>
      <c r="M67" s="87">
        <f t="shared" si="51"/>
        <v>91.867721668087427</v>
      </c>
      <c r="N67" s="87">
        <f t="shared" si="51"/>
        <v>96.614278589698344</v>
      </c>
      <c r="O67" s="87">
        <f t="shared" si="51"/>
        <v>99.312065255989808</v>
      </c>
      <c r="P67" s="87">
        <f t="shared" si="51"/>
        <v>99.28733666115815</v>
      </c>
      <c r="Q67" s="87">
        <f t="shared" si="51"/>
        <v>102.45668786422928</v>
      </c>
      <c r="R67" s="87">
        <f t="shared" si="51"/>
        <v>107.69670917437408</v>
      </c>
      <c r="S67" s="87">
        <f t="shared" si="51"/>
        <v>110.43198631248067</v>
      </c>
      <c r="T67" s="87">
        <f t="shared" si="51"/>
        <v>109.3187322777208</v>
      </c>
      <c r="U67" s="87">
        <f t="shared" si="51"/>
        <v>110.97223956306306</v>
      </c>
      <c r="V67" s="87">
        <f t="shared" si="51"/>
        <v>88.219380003890095</v>
      </c>
      <c r="W67" s="87">
        <f t="shared" ref="W67:Y67" si="52">IF(W35=0,0,W35/W25)</f>
        <v>99.231506418371964</v>
      </c>
      <c r="X67" s="87">
        <f t="shared" si="52"/>
        <v>113.61078375397032</v>
      </c>
      <c r="Y67" s="87">
        <f t="shared" si="52"/>
        <v>117.92781657736512</v>
      </c>
      <c r="DA67" s="171" t="s">
        <v>243</v>
      </c>
    </row>
    <row r="68" spans="1:105" ht="11.45" customHeight="1" x14ac:dyDescent="0.25">
      <c r="A68" s="83" t="s">
        <v>181</v>
      </c>
      <c r="B68" s="87">
        <f t="shared" si="48"/>
        <v>122.06471192785874</v>
      </c>
      <c r="C68" s="87">
        <f t="shared" si="48"/>
        <v>123.58233467777036</v>
      </c>
      <c r="D68" s="87">
        <f t="shared" ref="D68:V68" si="53">IF(D36=0,0,D36/D26)</f>
        <v>120.31743066577891</v>
      </c>
      <c r="E68" s="87">
        <f t="shared" si="53"/>
        <v>124.15694937662377</v>
      </c>
      <c r="F68" s="87">
        <f t="shared" si="53"/>
        <v>123.19385754489603</v>
      </c>
      <c r="G68" s="87">
        <f t="shared" si="53"/>
        <v>124.65636535603296</v>
      </c>
      <c r="H68" s="87">
        <f t="shared" si="53"/>
        <v>125.64336703398972</v>
      </c>
      <c r="I68" s="87">
        <f t="shared" si="53"/>
        <v>125.270136587924</v>
      </c>
      <c r="J68" s="87">
        <f t="shared" si="53"/>
        <v>128.0818425792464</v>
      </c>
      <c r="K68" s="87">
        <f t="shared" si="53"/>
        <v>130.56897592705397</v>
      </c>
      <c r="L68" s="87">
        <f t="shared" si="53"/>
        <v>131.58123432012042</v>
      </c>
      <c r="M68" s="87">
        <f t="shared" si="53"/>
        <v>135.02748064030379</v>
      </c>
      <c r="N68" s="87">
        <f t="shared" si="53"/>
        <v>138.89241626582839</v>
      </c>
      <c r="O68" s="87">
        <f t="shared" si="53"/>
        <v>141.30143882530859</v>
      </c>
      <c r="P68" s="87">
        <f t="shared" si="53"/>
        <v>143.5296507456319</v>
      </c>
      <c r="Q68" s="87">
        <f t="shared" si="53"/>
        <v>147.66727451321361</v>
      </c>
      <c r="R68" s="87">
        <f t="shared" si="53"/>
        <v>151.47158571496016</v>
      </c>
      <c r="S68" s="87">
        <f t="shared" si="53"/>
        <v>153.77900170102689</v>
      </c>
      <c r="T68" s="87">
        <f t="shared" si="53"/>
        <v>153.02418694271739</v>
      </c>
      <c r="U68" s="87">
        <f t="shared" si="53"/>
        <v>155.17486081660712</v>
      </c>
      <c r="V68" s="87">
        <f t="shared" si="53"/>
        <v>109.57194516049189</v>
      </c>
      <c r="W68" s="87">
        <f t="shared" ref="W68:Y68" si="54">IF(W36=0,0,W36/W26)</f>
        <v>116.68955902677338</v>
      </c>
      <c r="X68" s="87">
        <f t="shared" si="54"/>
        <v>148.02217480111119</v>
      </c>
      <c r="Y68" s="87">
        <f t="shared" si="54"/>
        <v>157.122882209007</v>
      </c>
      <c r="DA68" s="171" t="s">
        <v>244</v>
      </c>
    </row>
    <row r="69" spans="1:105" ht="11.45" customHeight="1" x14ac:dyDescent="0.25">
      <c r="A69" s="83" t="s">
        <v>182</v>
      </c>
      <c r="B69" s="87">
        <f t="shared" si="48"/>
        <v>128.17347425079197</v>
      </c>
      <c r="C69" s="87">
        <f t="shared" si="48"/>
        <v>132.27100140626158</v>
      </c>
      <c r="D69" s="87">
        <f t="shared" ref="D69:V69" si="55">IF(D37=0,0,D37/D27)</f>
        <v>103.47517709649922</v>
      </c>
      <c r="E69" s="87">
        <f t="shared" si="55"/>
        <v>156.70719537815125</v>
      </c>
      <c r="F69" s="87">
        <f t="shared" si="55"/>
        <v>156.63221575366487</v>
      </c>
      <c r="G69" s="87">
        <f t="shared" si="55"/>
        <v>156.49658484857935</v>
      </c>
      <c r="H69" s="87">
        <f t="shared" si="55"/>
        <v>152.74179865032366</v>
      </c>
      <c r="I69" s="87">
        <f t="shared" si="55"/>
        <v>150.36109688532986</v>
      </c>
      <c r="J69" s="87">
        <f t="shared" si="55"/>
        <v>152.5259591731043</v>
      </c>
      <c r="K69" s="87">
        <f t="shared" si="55"/>
        <v>155.70791600081029</v>
      </c>
      <c r="L69" s="87">
        <f t="shared" si="55"/>
        <v>160.66727036983679</v>
      </c>
      <c r="M69" s="87">
        <f t="shared" si="55"/>
        <v>162.0140619265612</v>
      </c>
      <c r="N69" s="87">
        <f t="shared" si="55"/>
        <v>167.77857780422494</v>
      </c>
      <c r="O69" s="87">
        <f t="shared" si="55"/>
        <v>161.41227646205897</v>
      </c>
      <c r="P69" s="87">
        <f t="shared" si="55"/>
        <v>162.10922597046681</v>
      </c>
      <c r="Q69" s="87">
        <f t="shared" si="55"/>
        <v>167.37062335188983</v>
      </c>
      <c r="R69" s="87">
        <f t="shared" si="55"/>
        <v>173.49027069720685</v>
      </c>
      <c r="S69" s="87">
        <f t="shared" si="55"/>
        <v>180.28150115903284</v>
      </c>
      <c r="T69" s="87">
        <f t="shared" si="55"/>
        <v>186.24638666624497</v>
      </c>
      <c r="U69" s="87">
        <f t="shared" si="55"/>
        <v>189.12954837169039</v>
      </c>
      <c r="V69" s="87">
        <f t="shared" si="55"/>
        <v>156.70397720665193</v>
      </c>
      <c r="W69" s="87">
        <f t="shared" ref="W69:Y69" si="56">IF(W37=0,0,W37/W27)</f>
        <v>148.64178546195089</v>
      </c>
      <c r="X69" s="87">
        <f t="shared" si="56"/>
        <v>193.31678628774836</v>
      </c>
      <c r="Y69" s="87">
        <f t="shared" si="56"/>
        <v>201.69014966310894</v>
      </c>
      <c r="DA69" s="171" t="s">
        <v>245</v>
      </c>
    </row>
    <row r="70" spans="1:105" ht="11.45" customHeight="1" x14ac:dyDescent="0.25">
      <c r="A70" s="12" t="s">
        <v>85</v>
      </c>
      <c r="B70" s="15">
        <f t="shared" si="48"/>
        <v>15.358097825698096</v>
      </c>
      <c r="C70" s="15">
        <f t="shared" si="48"/>
        <v>15.5678332027008</v>
      </c>
      <c r="D70" s="15">
        <f t="shared" ref="D70:V70" si="57">IF(D38=0,0,D38/D28)</f>
        <v>15.701602532969906</v>
      </c>
      <c r="E70" s="15">
        <f t="shared" si="57"/>
        <v>16.633578109817627</v>
      </c>
      <c r="F70" s="15">
        <f t="shared" si="57"/>
        <v>15.553140820313839</v>
      </c>
      <c r="G70" s="15">
        <f t="shared" si="57"/>
        <v>14.791416396348426</v>
      </c>
      <c r="H70" s="15">
        <f t="shared" si="57"/>
        <v>14.631850024055593</v>
      </c>
      <c r="I70" s="15">
        <f t="shared" si="57"/>
        <v>15.434217148056295</v>
      </c>
      <c r="J70" s="15">
        <f t="shared" si="57"/>
        <v>15.533952322673372</v>
      </c>
      <c r="K70" s="15">
        <f t="shared" si="57"/>
        <v>16.688041952916482</v>
      </c>
      <c r="L70" s="15">
        <f t="shared" si="57"/>
        <v>19.833534225540173</v>
      </c>
      <c r="M70" s="15">
        <f t="shared" si="57"/>
        <v>22.655584518979911</v>
      </c>
      <c r="N70" s="15">
        <f t="shared" si="57"/>
        <v>25.184831406137587</v>
      </c>
      <c r="O70" s="15">
        <f t="shared" si="57"/>
        <v>25.756019826755114</v>
      </c>
      <c r="P70" s="15">
        <f t="shared" si="57"/>
        <v>28.507411343272761</v>
      </c>
      <c r="Q70" s="15">
        <f t="shared" si="57"/>
        <v>29.145934576272612</v>
      </c>
      <c r="R70" s="15">
        <f t="shared" si="57"/>
        <v>33.06230233617535</v>
      </c>
      <c r="S70" s="15">
        <f t="shared" si="57"/>
        <v>33.262079821815199</v>
      </c>
      <c r="T70" s="15">
        <f t="shared" si="57"/>
        <v>34.407990077711446</v>
      </c>
      <c r="U70" s="15">
        <f t="shared" si="57"/>
        <v>36.311299842474412</v>
      </c>
      <c r="V70" s="15">
        <f t="shared" si="57"/>
        <v>27.065325475881028</v>
      </c>
      <c r="W70" s="15">
        <f t="shared" ref="W70:Y70" si="58">IF(W38=0,0,W38/W28)</f>
        <v>29.472112879299385</v>
      </c>
      <c r="X70" s="15">
        <f t="shared" si="58"/>
        <v>31.93679435037053</v>
      </c>
      <c r="Y70" s="15">
        <f t="shared" si="58"/>
        <v>34.701032641427858</v>
      </c>
      <c r="DA70" s="193" t="s">
        <v>246</v>
      </c>
    </row>
    <row r="71" spans="1:105" ht="11.45" customHeight="1" x14ac:dyDescent="0.25">
      <c r="A71" s="42" t="s">
        <v>27</v>
      </c>
      <c r="B71" s="41">
        <f t="shared" si="48"/>
        <v>10.023284561418631</v>
      </c>
      <c r="C71" s="41">
        <f t="shared" si="48"/>
        <v>9.9468444225812966</v>
      </c>
      <c r="D71" s="41">
        <f t="shared" ref="D71:V71" si="59">IF(D39=0,0,D39/D29)</f>
        <v>10.228618824365732</v>
      </c>
      <c r="E71" s="41">
        <f t="shared" si="59"/>
        <v>10.880110401352557</v>
      </c>
      <c r="F71" s="41">
        <f t="shared" si="59"/>
        <v>10.245291210092235</v>
      </c>
      <c r="G71" s="41">
        <f t="shared" si="59"/>
        <v>10.026386560137624</v>
      </c>
      <c r="H71" s="41">
        <f t="shared" si="59"/>
        <v>9.6442955326529347</v>
      </c>
      <c r="I71" s="41">
        <f t="shared" si="59"/>
        <v>9.6084865500782293</v>
      </c>
      <c r="J71" s="41">
        <f t="shared" si="59"/>
        <v>9.2442542001847308</v>
      </c>
      <c r="K71" s="41">
        <f t="shared" si="59"/>
        <v>9.3240998338960406</v>
      </c>
      <c r="L71" s="41">
        <f t="shared" si="59"/>
        <v>9.9726932495609368</v>
      </c>
      <c r="M71" s="41">
        <f t="shared" si="59"/>
        <v>10.895437219200758</v>
      </c>
      <c r="N71" s="41">
        <f t="shared" si="59"/>
        <v>11.19133112954926</v>
      </c>
      <c r="O71" s="41">
        <f t="shared" si="59"/>
        <v>11.472606557577453</v>
      </c>
      <c r="P71" s="41">
        <f t="shared" si="59"/>
        <v>12.867097049767036</v>
      </c>
      <c r="Q71" s="41">
        <f t="shared" si="59"/>
        <v>13.240298620670723</v>
      </c>
      <c r="R71" s="41">
        <f t="shared" si="59"/>
        <v>15.261225204177913</v>
      </c>
      <c r="S71" s="41">
        <f t="shared" si="59"/>
        <v>14.037407282807472</v>
      </c>
      <c r="T71" s="41">
        <f t="shared" si="59"/>
        <v>14.28777069472639</v>
      </c>
      <c r="U71" s="41">
        <f t="shared" si="59"/>
        <v>15.803408783848621</v>
      </c>
      <c r="V71" s="41">
        <f t="shared" si="59"/>
        <v>14.565549583941408</v>
      </c>
      <c r="W71" s="41">
        <f t="shared" ref="W71:Y71" si="60">IF(W39=0,0,W39/W29)</f>
        <v>14.733887425092288</v>
      </c>
      <c r="X71" s="41">
        <f t="shared" si="60"/>
        <v>14.903133727895909</v>
      </c>
      <c r="Y71" s="41">
        <f t="shared" si="60"/>
        <v>14.791343727721088</v>
      </c>
      <c r="DA71" s="196" t="s">
        <v>247</v>
      </c>
    </row>
    <row r="72" spans="1:105" ht="11.45" customHeight="1" x14ac:dyDescent="0.25">
      <c r="A72" s="42" t="s">
        <v>181</v>
      </c>
      <c r="B72" s="41">
        <f t="shared" si="48"/>
        <v>16.167807765431579</v>
      </c>
      <c r="C72" s="41">
        <f t="shared" si="48"/>
        <v>16.347531780245252</v>
      </c>
      <c r="D72" s="41">
        <f t="shared" ref="D72:V72" si="61">IF(D40=0,0,D40/D30)</f>
        <v>16.36514393507635</v>
      </c>
      <c r="E72" s="41">
        <f t="shared" si="61"/>
        <v>17.221696677308699</v>
      </c>
      <c r="F72" s="41">
        <f t="shared" si="61"/>
        <v>16.065947226318933</v>
      </c>
      <c r="G72" s="41">
        <f t="shared" si="61"/>
        <v>15.20247589404333</v>
      </c>
      <c r="H72" s="41">
        <f t="shared" si="61"/>
        <v>14.017847842266166</v>
      </c>
      <c r="I72" s="41">
        <f t="shared" si="61"/>
        <v>13.786843762306624</v>
      </c>
      <c r="J72" s="41">
        <f t="shared" si="61"/>
        <v>13.706049515651269</v>
      </c>
      <c r="K72" s="41">
        <f t="shared" si="61"/>
        <v>13.698894254303413</v>
      </c>
      <c r="L72" s="41">
        <f t="shared" si="61"/>
        <v>14.504774438576121</v>
      </c>
      <c r="M72" s="41">
        <f t="shared" si="61"/>
        <v>15.593990976967524</v>
      </c>
      <c r="N72" s="41">
        <f t="shared" si="61"/>
        <v>16.668272444699468</v>
      </c>
      <c r="O72" s="41">
        <f t="shared" si="61"/>
        <v>16.757006585050917</v>
      </c>
      <c r="P72" s="41">
        <f t="shared" si="61"/>
        <v>18.449412678664512</v>
      </c>
      <c r="Q72" s="41">
        <f t="shared" si="61"/>
        <v>18.477606558493594</v>
      </c>
      <c r="R72" s="41">
        <f t="shared" si="61"/>
        <v>20.847919403023052</v>
      </c>
      <c r="S72" s="41">
        <f t="shared" si="61"/>
        <v>19.377525185076976</v>
      </c>
      <c r="T72" s="41">
        <f t="shared" si="61"/>
        <v>19.225461196308377</v>
      </c>
      <c r="U72" s="41">
        <f t="shared" si="61"/>
        <v>19.702598617631956</v>
      </c>
      <c r="V72" s="41">
        <f t="shared" si="61"/>
        <v>17.640506114488737</v>
      </c>
      <c r="W72" s="41">
        <f t="shared" ref="W72:Y72" si="62">IF(W40=0,0,W40/W30)</f>
        <v>17.768395755469797</v>
      </c>
      <c r="X72" s="41">
        <f t="shared" si="62"/>
        <v>17.890474130141023</v>
      </c>
      <c r="Y72" s="41">
        <f t="shared" si="62"/>
        <v>17.970037243342702</v>
      </c>
      <c r="DA72" s="196" t="s">
        <v>248</v>
      </c>
    </row>
    <row r="73" spans="1:105" ht="11.45" customHeight="1" x14ac:dyDescent="0.25">
      <c r="A73" s="38" t="s">
        <v>182</v>
      </c>
      <c r="B73" s="40">
        <f t="shared" si="48"/>
        <v>52.13832275608636</v>
      </c>
      <c r="C73" s="40">
        <f t="shared" si="48"/>
        <v>53.867382020046897</v>
      </c>
      <c r="D73" s="40">
        <f t="shared" ref="D73:V73" si="63">IF(D41=0,0,D41/D31)</f>
        <v>52.903188435639549</v>
      </c>
      <c r="E73" s="40">
        <f t="shared" si="63"/>
        <v>48.726605018216752</v>
      </c>
      <c r="F73" s="40">
        <f t="shared" si="63"/>
        <v>48.059639068158532</v>
      </c>
      <c r="G73" s="40">
        <f t="shared" si="63"/>
        <v>44.215541300581251</v>
      </c>
      <c r="H73" s="40">
        <f t="shared" si="63"/>
        <v>45.164132697953747</v>
      </c>
      <c r="I73" s="40">
        <f t="shared" si="63"/>
        <v>45.185822139749781</v>
      </c>
      <c r="J73" s="40">
        <f t="shared" si="63"/>
        <v>44.913119763550647</v>
      </c>
      <c r="K73" s="40">
        <f t="shared" si="63"/>
        <v>49.899933457134011</v>
      </c>
      <c r="L73" s="40">
        <f t="shared" si="63"/>
        <v>52.52792563317562</v>
      </c>
      <c r="M73" s="40">
        <f t="shared" si="63"/>
        <v>55.066413538494707</v>
      </c>
      <c r="N73" s="40">
        <f t="shared" si="63"/>
        <v>59.082056024886242</v>
      </c>
      <c r="O73" s="40">
        <f t="shared" si="63"/>
        <v>59.664691083399624</v>
      </c>
      <c r="P73" s="40">
        <f t="shared" si="63"/>
        <v>66.461807942068631</v>
      </c>
      <c r="Q73" s="40">
        <f t="shared" si="63"/>
        <v>66.264429177726498</v>
      </c>
      <c r="R73" s="40">
        <f t="shared" si="63"/>
        <v>73.442316804529241</v>
      </c>
      <c r="S73" s="40">
        <f t="shared" si="63"/>
        <v>73.32593091987863</v>
      </c>
      <c r="T73" s="40">
        <f t="shared" si="63"/>
        <v>73.592740807573165</v>
      </c>
      <c r="U73" s="40">
        <f t="shared" si="63"/>
        <v>75.40152312606179</v>
      </c>
      <c r="V73" s="40">
        <f t="shared" si="63"/>
        <v>50.528235250360844</v>
      </c>
      <c r="W73" s="40">
        <f t="shared" ref="W73:Y73" si="64">IF(W41=0,0,W41/W31)</f>
        <v>53.587012042781254</v>
      </c>
      <c r="X73" s="40">
        <f t="shared" si="64"/>
        <v>60.50167406149631</v>
      </c>
      <c r="Y73" s="40">
        <f t="shared" si="64"/>
        <v>63.067440817812056</v>
      </c>
      <c r="DA73" s="197" t="s">
        <v>249</v>
      </c>
    </row>
    <row r="74" spans="1:105" x14ac:dyDescent="0.25">
      <c r="A74" s="50"/>
      <c r="B74" s="50"/>
      <c r="C74" s="50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DA74" s="181"/>
    </row>
    <row r="75" spans="1:105" ht="11.45" customHeight="1" x14ac:dyDescent="0.25">
      <c r="A75" s="53" t="s">
        <v>139</v>
      </c>
      <c r="B75" s="62">
        <f t="shared" ref="B75:C83" si="65">IF(B13=0,0,B13*1000000/B23)</f>
        <v>1273.996174040891</v>
      </c>
      <c r="C75" s="62">
        <f t="shared" si="65"/>
        <v>1263.4137591135113</v>
      </c>
      <c r="D75" s="62">
        <f t="shared" ref="D75:V75" si="66">IF(D13=0,0,D13*1000000/D23)</f>
        <v>1324.6186748232526</v>
      </c>
      <c r="E75" s="62">
        <f t="shared" si="66"/>
        <v>1268.171521624367</v>
      </c>
      <c r="F75" s="62">
        <f t="shared" si="66"/>
        <v>1276.645326469383</v>
      </c>
      <c r="G75" s="62">
        <f t="shared" si="66"/>
        <v>1267.5786012872704</v>
      </c>
      <c r="H75" s="62">
        <f t="shared" si="66"/>
        <v>1278.7038269975906</v>
      </c>
      <c r="I75" s="62">
        <f t="shared" si="66"/>
        <v>1290.4286588441951</v>
      </c>
      <c r="J75" s="62">
        <f t="shared" si="66"/>
        <v>1323.4969664724943</v>
      </c>
      <c r="K75" s="62">
        <f t="shared" si="66"/>
        <v>1324.1720164515721</v>
      </c>
      <c r="L75" s="62">
        <f t="shared" si="66"/>
        <v>1358.4503068351521</v>
      </c>
      <c r="M75" s="62">
        <f t="shared" si="66"/>
        <v>1403.2857694896609</v>
      </c>
      <c r="N75" s="62">
        <f t="shared" si="66"/>
        <v>1454.630528414016</v>
      </c>
      <c r="O75" s="62">
        <f t="shared" si="66"/>
        <v>1544.2856447790834</v>
      </c>
      <c r="P75" s="62">
        <f t="shared" si="66"/>
        <v>1555.6536193123973</v>
      </c>
      <c r="Q75" s="62">
        <f t="shared" si="66"/>
        <v>1546.4044163373896</v>
      </c>
      <c r="R75" s="62">
        <f t="shared" si="66"/>
        <v>1582.8772112651991</v>
      </c>
      <c r="S75" s="62">
        <f t="shared" si="66"/>
        <v>1600.7714442405847</v>
      </c>
      <c r="T75" s="62">
        <f t="shared" si="66"/>
        <v>1571.3657048157211</v>
      </c>
      <c r="U75" s="62">
        <f t="shared" si="66"/>
        <v>1561.2008689843988</v>
      </c>
      <c r="V75" s="62">
        <f t="shared" si="66"/>
        <v>1387.7800333230107</v>
      </c>
      <c r="W75" s="62">
        <f t="shared" ref="W75:Y75" si="67">IF(W13=0,0,W13*1000000/W23)</f>
        <v>1409.5987946724147</v>
      </c>
      <c r="X75" s="62">
        <f t="shared" si="67"/>
        <v>1557.2775667916931</v>
      </c>
      <c r="Y75" s="62">
        <f t="shared" si="67"/>
        <v>1599.1144334127189</v>
      </c>
      <c r="DA75" s="172" t="s">
        <v>250</v>
      </c>
    </row>
    <row r="76" spans="1:105" ht="11.45" customHeight="1" x14ac:dyDescent="0.25">
      <c r="A76" s="10" t="s">
        <v>33</v>
      </c>
      <c r="B76" s="14">
        <f t="shared" si="65"/>
        <v>1275.6445130190591</v>
      </c>
      <c r="C76" s="14">
        <f t="shared" si="65"/>
        <v>1264.6748889101784</v>
      </c>
      <c r="D76" s="14">
        <f t="shared" ref="D76:V76" si="68">IF(D14=0,0,D14*1000000/D24)</f>
        <v>1327.190283191376</v>
      </c>
      <c r="E76" s="14">
        <f t="shared" si="68"/>
        <v>1267.7312071572985</v>
      </c>
      <c r="F76" s="14">
        <f t="shared" si="68"/>
        <v>1277.1376301943483</v>
      </c>
      <c r="G76" s="14">
        <f t="shared" si="68"/>
        <v>1267.8108347604507</v>
      </c>
      <c r="H76" s="14">
        <f t="shared" si="68"/>
        <v>1277.8615219295411</v>
      </c>
      <c r="I76" s="14">
        <f t="shared" si="68"/>
        <v>1287.9506865347714</v>
      </c>
      <c r="J76" s="14">
        <f t="shared" si="68"/>
        <v>1320.1953525111928</v>
      </c>
      <c r="K76" s="14">
        <f t="shared" si="68"/>
        <v>1320.3581110766213</v>
      </c>
      <c r="L76" s="14">
        <f t="shared" si="68"/>
        <v>1351.1830137004461</v>
      </c>
      <c r="M76" s="14">
        <f t="shared" si="68"/>
        <v>1396.1006682243406</v>
      </c>
      <c r="N76" s="14">
        <f t="shared" si="68"/>
        <v>1448.6782678877105</v>
      </c>
      <c r="O76" s="14">
        <f t="shared" si="68"/>
        <v>1538.9709514120525</v>
      </c>
      <c r="P76" s="14">
        <f t="shared" si="68"/>
        <v>1550.5142734666936</v>
      </c>
      <c r="Q76" s="14">
        <f t="shared" si="68"/>
        <v>1539.5767477960248</v>
      </c>
      <c r="R76" s="14">
        <f t="shared" si="68"/>
        <v>1575.927343180191</v>
      </c>
      <c r="S76" s="14">
        <f t="shared" si="68"/>
        <v>1590.8149173707193</v>
      </c>
      <c r="T76" s="14">
        <f t="shared" si="68"/>
        <v>1559.4608094234079</v>
      </c>
      <c r="U76" s="14">
        <f t="shared" si="68"/>
        <v>1550.2471912497442</v>
      </c>
      <c r="V76" s="14">
        <f t="shared" si="68"/>
        <v>1370.6506908271872</v>
      </c>
      <c r="W76" s="14">
        <f t="shared" ref="W76:Y76" si="69">IF(W14=0,0,W14*1000000/W24)</f>
        <v>1392.6824789398033</v>
      </c>
      <c r="X76" s="14">
        <f t="shared" si="69"/>
        <v>1545.4685207173266</v>
      </c>
      <c r="Y76" s="14">
        <f t="shared" si="69"/>
        <v>1582.1080704263204</v>
      </c>
      <c r="DA76" s="189" t="s">
        <v>251</v>
      </c>
    </row>
    <row r="77" spans="1:105" ht="11.45" customHeight="1" x14ac:dyDescent="0.25">
      <c r="A77" s="37" t="s">
        <v>27</v>
      </c>
      <c r="B77" s="39">
        <f t="shared" si="65"/>
        <v>619.51874340727909</v>
      </c>
      <c r="C77" s="39">
        <f t="shared" si="65"/>
        <v>619.51874340727909</v>
      </c>
      <c r="D77" s="39">
        <f t="shared" ref="D77:V77" si="70">IF(D15=0,0,D15*1000000/D25)</f>
        <v>619.51874340727909</v>
      </c>
      <c r="E77" s="39">
        <f t="shared" si="70"/>
        <v>619.51874340727909</v>
      </c>
      <c r="F77" s="39">
        <f t="shared" si="70"/>
        <v>619.5187434072792</v>
      </c>
      <c r="G77" s="39">
        <f t="shared" si="70"/>
        <v>626.17547554319799</v>
      </c>
      <c r="H77" s="39">
        <f t="shared" si="70"/>
        <v>626.46918876046061</v>
      </c>
      <c r="I77" s="39">
        <f t="shared" si="70"/>
        <v>629.16204289880227</v>
      </c>
      <c r="J77" s="39">
        <f t="shared" si="70"/>
        <v>626.82603491247539</v>
      </c>
      <c r="K77" s="39">
        <f t="shared" si="70"/>
        <v>619.30733099168106</v>
      </c>
      <c r="L77" s="39">
        <f t="shared" si="70"/>
        <v>624.9932976230931</v>
      </c>
      <c r="M77" s="39">
        <f t="shared" si="70"/>
        <v>621.81115286508702</v>
      </c>
      <c r="N77" s="39">
        <f t="shared" si="70"/>
        <v>612.17731858884758</v>
      </c>
      <c r="O77" s="39">
        <f t="shared" si="70"/>
        <v>627.56055842056571</v>
      </c>
      <c r="P77" s="39">
        <f t="shared" si="70"/>
        <v>622.70500385625883</v>
      </c>
      <c r="Q77" s="39">
        <f t="shared" si="70"/>
        <v>626.55386660430975</v>
      </c>
      <c r="R77" s="39">
        <f t="shared" si="70"/>
        <v>640.15503423486587</v>
      </c>
      <c r="S77" s="39">
        <f t="shared" si="70"/>
        <v>637.3898240665859</v>
      </c>
      <c r="T77" s="39">
        <f t="shared" si="70"/>
        <v>627.70468012902006</v>
      </c>
      <c r="U77" s="39">
        <f t="shared" si="70"/>
        <v>632.4802028422265</v>
      </c>
      <c r="V77" s="39">
        <f t="shared" si="70"/>
        <v>624.68136282658838</v>
      </c>
      <c r="W77" s="39">
        <f t="shared" ref="W77:Y77" si="71">IF(W15=0,0,W15*1000000/W25)</f>
        <v>665.84099946606534</v>
      </c>
      <c r="X77" s="39">
        <f t="shared" si="71"/>
        <v>678.97809175057375</v>
      </c>
      <c r="Y77" s="39">
        <f t="shared" si="71"/>
        <v>670.71326088338105</v>
      </c>
      <c r="DA77" s="198" t="s">
        <v>252</v>
      </c>
    </row>
    <row r="78" spans="1:105" ht="11.45" customHeight="1" x14ac:dyDescent="0.25">
      <c r="A78" s="37" t="s">
        <v>181</v>
      </c>
      <c r="B78" s="39">
        <f t="shared" si="65"/>
        <v>1711.4583635304145</v>
      </c>
      <c r="C78" s="39">
        <f t="shared" si="65"/>
        <v>1720.1256721397563</v>
      </c>
      <c r="D78" s="39">
        <f t="shared" ref="D78:V78" si="72">IF(D16=0,0,D16*1000000/D26)</f>
        <v>1724.6629082098243</v>
      </c>
      <c r="E78" s="39">
        <f t="shared" si="72"/>
        <v>1735.6387425596931</v>
      </c>
      <c r="F78" s="39">
        <f t="shared" si="72"/>
        <v>1735.7398115612928</v>
      </c>
      <c r="G78" s="39">
        <f t="shared" si="72"/>
        <v>1726.3149547931876</v>
      </c>
      <c r="H78" s="39">
        <f t="shared" si="72"/>
        <v>1730.7507416207893</v>
      </c>
      <c r="I78" s="39">
        <f t="shared" si="72"/>
        <v>1701.3382952969253</v>
      </c>
      <c r="J78" s="39">
        <f t="shared" si="72"/>
        <v>1709.346783922073</v>
      </c>
      <c r="K78" s="39">
        <f t="shared" si="72"/>
        <v>1701.438994200194</v>
      </c>
      <c r="L78" s="39">
        <f t="shared" si="72"/>
        <v>1726.1083007442078</v>
      </c>
      <c r="M78" s="39">
        <f t="shared" si="72"/>
        <v>1735.2404268546102</v>
      </c>
      <c r="N78" s="39">
        <f t="shared" si="72"/>
        <v>1734.9594131669244</v>
      </c>
      <c r="O78" s="39">
        <f t="shared" si="72"/>
        <v>1770.5074338945785</v>
      </c>
      <c r="P78" s="39">
        <f t="shared" si="72"/>
        <v>1790.883904423262</v>
      </c>
      <c r="Q78" s="39">
        <f t="shared" si="72"/>
        <v>1774.8623203926204</v>
      </c>
      <c r="R78" s="39">
        <f t="shared" si="72"/>
        <v>1813.2930621302187</v>
      </c>
      <c r="S78" s="39">
        <f t="shared" si="72"/>
        <v>1828.2774532811288</v>
      </c>
      <c r="T78" s="39">
        <f t="shared" si="72"/>
        <v>1810.1902948263423</v>
      </c>
      <c r="U78" s="39">
        <f t="shared" si="72"/>
        <v>1777.9701167273524</v>
      </c>
      <c r="V78" s="39">
        <f t="shared" si="72"/>
        <v>1826.5889150129829</v>
      </c>
      <c r="W78" s="39">
        <f t="shared" ref="W78:Y78" si="73">IF(W16=0,0,W16*1000000/W26)</f>
        <v>1797.9673384776461</v>
      </c>
      <c r="X78" s="39">
        <f t="shared" si="73"/>
        <v>1810.9070691902543</v>
      </c>
      <c r="Y78" s="39">
        <f t="shared" si="73"/>
        <v>1805.3723692316269</v>
      </c>
      <c r="DA78" s="198" t="s">
        <v>253</v>
      </c>
    </row>
    <row r="79" spans="1:105" ht="11.45" customHeight="1" x14ac:dyDescent="0.25">
      <c r="A79" s="37" t="s">
        <v>182</v>
      </c>
      <c r="B79" s="39">
        <f t="shared" si="65"/>
        <v>5185.3261523082083</v>
      </c>
      <c r="C79" s="39">
        <f t="shared" si="65"/>
        <v>5185.3261523082083</v>
      </c>
      <c r="D79" s="39">
        <f t="shared" ref="D79:V79" si="74">IF(D17=0,0,D17*1000000/D27)</f>
        <v>5185.3261523082083</v>
      </c>
      <c r="E79" s="39">
        <f t="shared" si="74"/>
        <v>5185.3261523082083</v>
      </c>
      <c r="F79" s="39">
        <f t="shared" si="74"/>
        <v>5185.3261523082083</v>
      </c>
      <c r="G79" s="39">
        <f t="shared" si="74"/>
        <v>5189.7487163029527</v>
      </c>
      <c r="H79" s="39">
        <f t="shared" si="74"/>
        <v>5221.7617574280966</v>
      </c>
      <c r="I79" s="39">
        <f t="shared" si="74"/>
        <v>5060.625472197954</v>
      </c>
      <c r="J79" s="39">
        <f t="shared" si="74"/>
        <v>5115.4583322906738</v>
      </c>
      <c r="K79" s="39">
        <f t="shared" si="74"/>
        <v>4977.0293534427228</v>
      </c>
      <c r="L79" s="39">
        <f t="shared" si="74"/>
        <v>4757.72477814583</v>
      </c>
      <c r="M79" s="39">
        <f t="shared" si="74"/>
        <v>4870.1670122639798</v>
      </c>
      <c r="N79" s="39">
        <f t="shared" si="74"/>
        <v>4888.859162673788</v>
      </c>
      <c r="O79" s="39">
        <f t="shared" si="74"/>
        <v>4700.7196171560508</v>
      </c>
      <c r="P79" s="39">
        <f t="shared" si="74"/>
        <v>4672.1805629807759</v>
      </c>
      <c r="Q79" s="39">
        <f t="shared" si="74"/>
        <v>4738.2832827200182</v>
      </c>
      <c r="R79" s="39">
        <f t="shared" si="74"/>
        <v>4797.3956663029676</v>
      </c>
      <c r="S79" s="39">
        <f t="shared" si="74"/>
        <v>4870.3127934697904</v>
      </c>
      <c r="T79" s="39">
        <f t="shared" si="74"/>
        <v>4899.3126636004672</v>
      </c>
      <c r="U79" s="39">
        <f t="shared" si="74"/>
        <v>5039.2039519373147</v>
      </c>
      <c r="V79" s="39">
        <f t="shared" si="74"/>
        <v>5230.3267191947525</v>
      </c>
      <c r="W79" s="39">
        <f t="shared" ref="W79:Y79" si="75">IF(W17=0,0,W17*1000000/W27)</f>
        <v>5074.1597109026607</v>
      </c>
      <c r="X79" s="39">
        <f t="shared" si="75"/>
        <v>5177.5430118199038</v>
      </c>
      <c r="Y79" s="39">
        <f t="shared" si="75"/>
        <v>5177.45254536215</v>
      </c>
      <c r="DA79" s="198" t="s">
        <v>254</v>
      </c>
    </row>
    <row r="80" spans="1:105" ht="11.45" customHeight="1" x14ac:dyDescent="0.25">
      <c r="A80" s="12" t="s">
        <v>34</v>
      </c>
      <c r="B80" s="15">
        <f t="shared" si="65"/>
        <v>1207.3880727295566</v>
      </c>
      <c r="C80" s="15">
        <f t="shared" si="65"/>
        <v>1212.8473398640556</v>
      </c>
      <c r="D80" s="15">
        <f t="shared" ref="D80:V80" si="76">IF(D18=0,0,D18*1000000/D28)</f>
        <v>1216.753503980384</v>
      </c>
      <c r="E80" s="15">
        <f t="shared" si="76"/>
        <v>1289.1030076197117</v>
      </c>
      <c r="F80" s="15">
        <f t="shared" si="76"/>
        <v>1256.9614775084112</v>
      </c>
      <c r="G80" s="15">
        <f t="shared" si="76"/>
        <v>1257.19403634583</v>
      </c>
      <c r="H80" s="15">
        <f t="shared" si="76"/>
        <v>1317.5253556511932</v>
      </c>
      <c r="I80" s="15">
        <f t="shared" si="76"/>
        <v>1418.4940423472249</v>
      </c>
      <c r="J80" s="15">
        <f t="shared" si="76"/>
        <v>1492.020515487068</v>
      </c>
      <c r="K80" s="15">
        <f t="shared" si="76"/>
        <v>1533.423392282112</v>
      </c>
      <c r="L80" s="15">
        <f t="shared" si="76"/>
        <v>1747.025756152726</v>
      </c>
      <c r="M80" s="15">
        <f t="shared" si="76"/>
        <v>1826.1820306382929</v>
      </c>
      <c r="N80" s="15">
        <f t="shared" si="76"/>
        <v>1812.7902682411611</v>
      </c>
      <c r="O80" s="15">
        <f t="shared" si="76"/>
        <v>1856.9901035923458</v>
      </c>
      <c r="P80" s="15">
        <f t="shared" si="76"/>
        <v>1897.3869088661609</v>
      </c>
      <c r="Q80" s="15">
        <f t="shared" si="76"/>
        <v>2010.2512056097119</v>
      </c>
      <c r="R80" s="15">
        <f t="shared" si="76"/>
        <v>2129.8753032262316</v>
      </c>
      <c r="S80" s="15">
        <f t="shared" si="76"/>
        <v>2306.1027869293616</v>
      </c>
      <c r="T80" s="15">
        <f t="shared" si="76"/>
        <v>2453.5396484889834</v>
      </c>
      <c r="U80" s="15">
        <f t="shared" si="76"/>
        <v>2403.6105256081605</v>
      </c>
      <c r="V80" s="15">
        <f t="shared" si="76"/>
        <v>1928.2924298046037</v>
      </c>
      <c r="W80" s="15">
        <f t="shared" ref="W80:Y80" si="77">IF(W18=0,0,W18*1000000/W28)</f>
        <v>2048.4477083442639</v>
      </c>
      <c r="X80" s="15">
        <f t="shared" si="77"/>
        <v>2250.8504762526668</v>
      </c>
      <c r="Y80" s="15">
        <f t="shared" si="77"/>
        <v>2747.0545330604627</v>
      </c>
      <c r="DA80" s="193" t="s">
        <v>255</v>
      </c>
    </row>
    <row r="81" spans="1:105" ht="11.45" customHeight="1" x14ac:dyDescent="0.25">
      <c r="A81" s="42" t="s">
        <v>27</v>
      </c>
      <c r="B81" s="41">
        <f t="shared" si="65"/>
        <v>666.67277209624535</v>
      </c>
      <c r="C81" s="41">
        <f t="shared" si="65"/>
        <v>666.67277209624535</v>
      </c>
      <c r="D81" s="41">
        <f t="shared" ref="D81:V81" si="78">IF(D19=0,0,D19*1000000/D29)</f>
        <v>666.67277209624535</v>
      </c>
      <c r="E81" s="41">
        <f t="shared" si="78"/>
        <v>666.67277209624535</v>
      </c>
      <c r="F81" s="41">
        <f t="shared" si="78"/>
        <v>666.67277209624535</v>
      </c>
      <c r="G81" s="41">
        <f t="shared" si="78"/>
        <v>673.32950423216448</v>
      </c>
      <c r="H81" s="41">
        <f t="shared" si="78"/>
        <v>684.14992887780625</v>
      </c>
      <c r="I81" s="41">
        <f t="shared" si="78"/>
        <v>697.36949444452728</v>
      </c>
      <c r="J81" s="41">
        <f t="shared" si="78"/>
        <v>705.56019788657954</v>
      </c>
      <c r="K81" s="41">
        <f t="shared" si="78"/>
        <v>708.56820539416435</v>
      </c>
      <c r="L81" s="41">
        <f t="shared" si="78"/>
        <v>724.78088345395565</v>
      </c>
      <c r="M81" s="41">
        <f t="shared" si="78"/>
        <v>708.62387584467149</v>
      </c>
      <c r="N81" s="41">
        <f t="shared" si="78"/>
        <v>686.01517871715362</v>
      </c>
      <c r="O81" s="41">
        <f t="shared" si="78"/>
        <v>706.0193688117522</v>
      </c>
      <c r="P81" s="41">
        <f t="shared" si="78"/>
        <v>705.78476451032532</v>
      </c>
      <c r="Q81" s="41">
        <f t="shared" si="78"/>
        <v>714.25457752125624</v>
      </c>
      <c r="R81" s="41">
        <f t="shared" si="78"/>
        <v>732.4766954146927</v>
      </c>
      <c r="S81" s="41">
        <f t="shared" si="78"/>
        <v>734.33243550929308</v>
      </c>
      <c r="T81" s="41">
        <f t="shared" si="78"/>
        <v>729.26824183460735</v>
      </c>
      <c r="U81" s="41">
        <f t="shared" si="78"/>
        <v>739.38495782567952</v>
      </c>
      <c r="V81" s="41">
        <f t="shared" si="78"/>
        <v>669.28113718411566</v>
      </c>
      <c r="W81" s="41">
        <f t="shared" ref="W81:Y81" si="79">IF(W19=0,0,W19*1000000/W29)</f>
        <v>624.92163865546217</v>
      </c>
      <c r="X81" s="41">
        <f t="shared" si="79"/>
        <v>432.92075518569123</v>
      </c>
      <c r="Y81" s="41">
        <f t="shared" si="79"/>
        <v>451.13549989203193</v>
      </c>
      <c r="DA81" s="196" t="s">
        <v>256</v>
      </c>
    </row>
    <row r="82" spans="1:105" ht="11.45" customHeight="1" x14ac:dyDescent="0.25">
      <c r="A82" s="42" t="s">
        <v>181</v>
      </c>
      <c r="B82" s="41">
        <f t="shared" si="65"/>
        <v>1303.3548579488904</v>
      </c>
      <c r="C82" s="41">
        <f t="shared" si="65"/>
        <v>1302.6848288085819</v>
      </c>
      <c r="D82" s="41">
        <f t="shared" ref="D82:V82" si="80">IF(D20=0,0,D20*1000000/D30)</f>
        <v>1303.7952896576228</v>
      </c>
      <c r="E82" s="41">
        <f t="shared" si="80"/>
        <v>1308.3623243679565</v>
      </c>
      <c r="F82" s="41">
        <f t="shared" si="80"/>
        <v>1307.4971477831257</v>
      </c>
      <c r="G82" s="41">
        <f t="shared" si="80"/>
        <v>1296.0720763341069</v>
      </c>
      <c r="H82" s="41">
        <f t="shared" si="80"/>
        <v>1304.509346154221</v>
      </c>
      <c r="I82" s="41">
        <f t="shared" si="80"/>
        <v>1285.5065213529103</v>
      </c>
      <c r="J82" s="41">
        <f t="shared" si="80"/>
        <v>1287.4164983020546</v>
      </c>
      <c r="K82" s="41">
        <f t="shared" si="80"/>
        <v>1287.602341954351</v>
      </c>
      <c r="L82" s="41">
        <f t="shared" si="80"/>
        <v>1307.822389217278</v>
      </c>
      <c r="M82" s="41">
        <f t="shared" si="80"/>
        <v>1304.1586834493435</v>
      </c>
      <c r="N82" s="41">
        <f t="shared" si="80"/>
        <v>1282.9169945437407</v>
      </c>
      <c r="O82" s="41">
        <f t="shared" si="80"/>
        <v>1297.235392495927</v>
      </c>
      <c r="P82" s="41">
        <f t="shared" si="80"/>
        <v>1302.7254263370905</v>
      </c>
      <c r="Q82" s="41">
        <f t="shared" si="80"/>
        <v>1275.6445563649265</v>
      </c>
      <c r="R82" s="41">
        <f t="shared" si="80"/>
        <v>1299.7653938982842</v>
      </c>
      <c r="S82" s="41">
        <f t="shared" si="80"/>
        <v>1301.5363024116455</v>
      </c>
      <c r="T82" s="41">
        <f t="shared" si="80"/>
        <v>1275.4721577578948</v>
      </c>
      <c r="U82" s="41">
        <f t="shared" si="80"/>
        <v>1286.4014258170344</v>
      </c>
      <c r="V82" s="41">
        <f t="shared" si="80"/>
        <v>1294.1921874833724</v>
      </c>
      <c r="W82" s="41">
        <f t="shared" ref="W82:Y82" si="81">IF(W20=0,0,W20*1000000/W30)</f>
        <v>1309.3996592316082</v>
      </c>
      <c r="X82" s="41">
        <f t="shared" si="81"/>
        <v>1315.612152338836</v>
      </c>
      <c r="Y82" s="41">
        <f t="shared" si="81"/>
        <v>1365.3304704466959</v>
      </c>
      <c r="DA82" s="196" t="s">
        <v>257</v>
      </c>
    </row>
    <row r="83" spans="1:105" ht="11.45" customHeight="1" x14ac:dyDescent="0.25">
      <c r="A83" s="38" t="s">
        <v>182</v>
      </c>
      <c r="B83" s="40">
        <f t="shared" si="65"/>
        <v>4891.1218092897925</v>
      </c>
      <c r="C83" s="40">
        <f t="shared" si="65"/>
        <v>4891.1218092897925</v>
      </c>
      <c r="D83" s="40">
        <f t="shared" ref="D83:V83" si="82">IF(D21=0,0,D21*1000000/D31)</f>
        <v>4891.1218092897925</v>
      </c>
      <c r="E83" s="40">
        <f t="shared" si="82"/>
        <v>4891.1218092897925</v>
      </c>
      <c r="F83" s="40">
        <f t="shared" si="82"/>
        <v>4891.1218092897925</v>
      </c>
      <c r="G83" s="40">
        <f t="shared" si="82"/>
        <v>4895.5443732845388</v>
      </c>
      <c r="H83" s="40">
        <f t="shared" si="82"/>
        <v>5027.7078174907447</v>
      </c>
      <c r="I83" s="40">
        <f t="shared" si="82"/>
        <v>4966.7219353416631</v>
      </c>
      <c r="J83" s="40">
        <f t="shared" si="82"/>
        <v>5121.705198515443</v>
      </c>
      <c r="K83" s="40">
        <f t="shared" si="82"/>
        <v>5083.426622748555</v>
      </c>
      <c r="L83" s="40">
        <f t="shared" si="82"/>
        <v>4964.2724505327242</v>
      </c>
      <c r="M83" s="40">
        <f t="shared" si="82"/>
        <v>4704.8718391327902</v>
      </c>
      <c r="N83" s="40">
        <f t="shared" si="82"/>
        <v>4351.7211440245155</v>
      </c>
      <c r="O83" s="40">
        <f t="shared" si="82"/>
        <v>4380.7890327892446</v>
      </c>
      <c r="P83" s="40">
        <f t="shared" si="82"/>
        <v>4569.4574128964368</v>
      </c>
      <c r="Q83" s="40">
        <f t="shared" si="82"/>
        <v>4852.7675669181463</v>
      </c>
      <c r="R83" s="40">
        <f t="shared" si="82"/>
        <v>5129.0873847835619</v>
      </c>
      <c r="S83" s="40">
        <f t="shared" si="82"/>
        <v>5419.2119462328528</v>
      </c>
      <c r="T83" s="40">
        <f t="shared" si="82"/>
        <v>5665.419250645994</v>
      </c>
      <c r="U83" s="40">
        <f t="shared" si="82"/>
        <v>5289.9649532710273</v>
      </c>
      <c r="V83" s="40">
        <f t="shared" si="82"/>
        <v>3858.0533240997233</v>
      </c>
      <c r="W83" s="40">
        <f t="shared" ref="W83:Y83" si="83">IF(W21=0,0,W21*1000000/W31)</f>
        <v>3906.1288416075649</v>
      </c>
      <c r="X83" s="40">
        <f t="shared" si="83"/>
        <v>4601.8712493180583</v>
      </c>
      <c r="Y83" s="40">
        <f t="shared" si="83"/>
        <v>5470.3396501457728</v>
      </c>
      <c r="DA83" s="197" t="s">
        <v>258</v>
      </c>
    </row>
    <row r="84" spans="1:105" x14ac:dyDescent="0.25">
      <c r="A84" s="50"/>
      <c r="B84" s="50"/>
      <c r="C84" s="50"/>
      <c r="D84" s="51"/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  <c r="DA84" s="181"/>
    </row>
    <row r="85" spans="1:105" ht="11.45" customHeight="1" x14ac:dyDescent="0.25">
      <c r="A85" s="53" t="s">
        <v>86</v>
      </c>
      <c r="B85" s="62"/>
      <c r="C85" s="62"/>
      <c r="D85" s="62"/>
      <c r="E85" s="62"/>
      <c r="F85" s="62"/>
      <c r="G85" s="62"/>
      <c r="H85" s="62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DA85" s="172"/>
    </row>
    <row r="86" spans="1:105" ht="11.45" customHeight="1" x14ac:dyDescent="0.25">
      <c r="A86" s="10" t="s">
        <v>87</v>
      </c>
      <c r="B86" s="11">
        <f t="shared" ref="B86:C93" si="84">IF(B4=0,0,B4*1000000/B24)</f>
        <v>177777.4901128714</v>
      </c>
      <c r="C86" s="11">
        <f t="shared" si="84"/>
        <v>178278.16754589748</v>
      </c>
      <c r="D86" s="11">
        <f t="shared" ref="D86:V86" si="85">IF(D4=0,0,D4*1000000/D24)</f>
        <v>176141.07223226636</v>
      </c>
      <c r="E86" s="11">
        <f t="shared" si="85"/>
        <v>181181.84021605243</v>
      </c>
      <c r="F86" s="11">
        <f t="shared" si="85"/>
        <v>180897.91175264295</v>
      </c>
      <c r="G86" s="11">
        <f t="shared" si="85"/>
        <v>179792.63067431873</v>
      </c>
      <c r="H86" s="11">
        <f t="shared" si="85"/>
        <v>179111.10158744274</v>
      </c>
      <c r="I86" s="11">
        <f t="shared" si="85"/>
        <v>177728.43873539093</v>
      </c>
      <c r="J86" s="11">
        <f t="shared" si="85"/>
        <v>182992.9909802076</v>
      </c>
      <c r="K86" s="11">
        <f t="shared" si="85"/>
        <v>187957.73148846434</v>
      </c>
      <c r="L86" s="11">
        <f t="shared" si="85"/>
        <v>196847.52365127468</v>
      </c>
      <c r="M86" s="11">
        <f t="shared" si="85"/>
        <v>209891.77079374215</v>
      </c>
      <c r="N86" s="11">
        <f t="shared" si="85"/>
        <v>226707.49915955123</v>
      </c>
      <c r="O86" s="11">
        <f t="shared" si="85"/>
        <v>242815.18309935939</v>
      </c>
      <c r="P86" s="11">
        <f t="shared" si="85"/>
        <v>243831.31571689111</v>
      </c>
      <c r="Q86" s="11">
        <f t="shared" si="85"/>
        <v>245804.97996919349</v>
      </c>
      <c r="R86" s="11">
        <f t="shared" si="85"/>
        <v>257998.77905221516</v>
      </c>
      <c r="S86" s="11">
        <f t="shared" si="85"/>
        <v>263056.73919490323</v>
      </c>
      <c r="T86" s="11">
        <f t="shared" si="85"/>
        <v>258919.3342747463</v>
      </c>
      <c r="U86" s="11">
        <f t="shared" si="85"/>
        <v>262513.84177223389</v>
      </c>
      <c r="V86" s="11">
        <f t="shared" si="85"/>
        <v>176107.30188661796</v>
      </c>
      <c r="W86" s="11">
        <f t="shared" ref="W86:Y86" si="86">IF(W4=0,0,W4*1000000/W24)</f>
        <v>181086.96430446178</v>
      </c>
      <c r="X86" s="11">
        <f t="shared" si="86"/>
        <v>252178.36146692652</v>
      </c>
      <c r="Y86" s="11">
        <f t="shared" si="86"/>
        <v>274983.71311718592</v>
      </c>
      <c r="DA86" s="189" t="s">
        <v>259</v>
      </c>
    </row>
    <row r="87" spans="1:105" ht="11.45" customHeight="1" x14ac:dyDescent="0.25">
      <c r="A87" s="37" t="s">
        <v>27</v>
      </c>
      <c r="B87" s="36">
        <f t="shared" si="84"/>
        <v>59330.853393613892</v>
      </c>
      <c r="C87" s="36">
        <f t="shared" si="84"/>
        <v>59807.358198617309</v>
      </c>
      <c r="D87" s="36">
        <f t="shared" ref="D87:V87" si="87">IF(D5=0,0,D5*1000000/D25)</f>
        <v>62236.441195843589</v>
      </c>
      <c r="E87" s="36">
        <f t="shared" si="87"/>
        <v>65533.013633021197</v>
      </c>
      <c r="F87" s="36">
        <f t="shared" si="87"/>
        <v>65555.925265986836</v>
      </c>
      <c r="G87" s="36">
        <f t="shared" si="87"/>
        <v>66306.201484200952</v>
      </c>
      <c r="H87" s="36">
        <f t="shared" si="87"/>
        <v>67099.051628744768</v>
      </c>
      <c r="I87" s="36">
        <f t="shared" si="87"/>
        <v>68877.947014385602</v>
      </c>
      <c r="J87" s="36">
        <f t="shared" si="87"/>
        <v>65757.098270224611</v>
      </c>
      <c r="K87" s="36">
        <f t="shared" si="87"/>
        <v>67154.640476651432</v>
      </c>
      <c r="L87" s="36">
        <f t="shared" si="87"/>
        <v>70803.71362016206</v>
      </c>
      <c r="M87" s="36">
        <f t="shared" si="87"/>
        <v>73275.740160029309</v>
      </c>
      <c r="N87" s="36">
        <f t="shared" si="87"/>
        <v>76675.934056694663</v>
      </c>
      <c r="O87" s="36">
        <f t="shared" si="87"/>
        <v>79374.808894212081</v>
      </c>
      <c r="P87" s="36">
        <f t="shared" si="87"/>
        <v>78105.162976761931</v>
      </c>
      <c r="Q87" s="36">
        <f t="shared" si="87"/>
        <v>80980.972799035575</v>
      </c>
      <c r="R87" s="36">
        <f t="shared" si="87"/>
        <v>86175.539752608427</v>
      </c>
      <c r="S87" s="36">
        <f t="shared" si="87"/>
        <v>87875.197442305012</v>
      </c>
      <c r="T87" s="36">
        <f t="shared" si="87"/>
        <v>87291.167972965268</v>
      </c>
      <c r="U87" s="36">
        <f t="shared" si="87"/>
        <v>88288.228651934405</v>
      </c>
      <c r="V87" s="36">
        <f t="shared" si="87"/>
        <v>66912.080634788086</v>
      </c>
      <c r="W87" s="36">
        <f t="shared" ref="W87:Y87" si="88">IF(W5=0,0,W5*1000000/W25)</f>
        <v>81963.199730761567</v>
      </c>
      <c r="X87" s="36">
        <f t="shared" si="88"/>
        <v>96362.03841088085</v>
      </c>
      <c r="Y87" s="36">
        <f t="shared" si="88"/>
        <v>99493.490467818701</v>
      </c>
      <c r="DA87" s="198" t="s">
        <v>260</v>
      </c>
    </row>
    <row r="88" spans="1:105" ht="11.45" customHeight="1" x14ac:dyDescent="0.25">
      <c r="A88" s="37" t="s">
        <v>181</v>
      </c>
      <c r="B88" s="36">
        <f t="shared" si="84"/>
        <v>265483.29315672297</v>
      </c>
      <c r="C88" s="36">
        <f t="shared" si="84"/>
        <v>267794.62500204641</v>
      </c>
      <c r="D88" s="36">
        <f t="shared" ref="D88:V88" si="89">IF(D6=0,0,D6*1000000/D26)</f>
        <v>255926.20867741256</v>
      </c>
      <c r="E88" s="36">
        <f t="shared" si="89"/>
        <v>257351.64425549473</v>
      </c>
      <c r="F88" s="36">
        <f t="shared" si="89"/>
        <v>251811.73046613712</v>
      </c>
      <c r="G88" s="36">
        <f t="shared" si="89"/>
        <v>251336.71829420197</v>
      </c>
      <c r="H88" s="36">
        <f t="shared" si="89"/>
        <v>246552.07532131861</v>
      </c>
      <c r="I88" s="36">
        <f t="shared" si="89"/>
        <v>233687.80414003224</v>
      </c>
      <c r="J88" s="36">
        <f t="shared" si="89"/>
        <v>235418.10228693573</v>
      </c>
      <c r="K88" s="36">
        <f t="shared" si="89"/>
        <v>239250.08905139702</v>
      </c>
      <c r="L88" s="36">
        <f t="shared" si="89"/>
        <v>244249.16926411478</v>
      </c>
      <c r="M88" s="36">
        <f t="shared" si="89"/>
        <v>253675.47265758947</v>
      </c>
      <c r="N88" s="36">
        <f t="shared" si="89"/>
        <v>261728.14436334299</v>
      </c>
      <c r="O88" s="36">
        <f t="shared" si="89"/>
        <v>269508.7342423076</v>
      </c>
      <c r="P88" s="36">
        <f t="shared" si="89"/>
        <v>271724.96529392531</v>
      </c>
      <c r="Q88" s="36">
        <f t="shared" si="89"/>
        <v>270806.7108255339</v>
      </c>
      <c r="R88" s="36">
        <f t="shared" si="89"/>
        <v>282929.67696284351</v>
      </c>
      <c r="S88" s="36">
        <f t="shared" si="89"/>
        <v>286475.70502923673</v>
      </c>
      <c r="T88" s="36">
        <f t="shared" si="89"/>
        <v>280042.51252101059</v>
      </c>
      <c r="U88" s="36">
        <f t="shared" si="89"/>
        <v>278626.29216942092</v>
      </c>
      <c r="V88" s="36">
        <f t="shared" si="89"/>
        <v>213489.30137172801</v>
      </c>
      <c r="W88" s="36">
        <f t="shared" ref="W88:Y88" si="90">IF(W6=0,0,W6*1000000/W26)</f>
        <v>214161.4482746858</v>
      </c>
      <c r="X88" s="36">
        <f t="shared" si="90"/>
        <v>267421.40784578532</v>
      </c>
      <c r="Y88" s="36">
        <f t="shared" si="90"/>
        <v>282254.54372575204</v>
      </c>
      <c r="DA88" s="198" t="s">
        <v>261</v>
      </c>
    </row>
    <row r="89" spans="1:105" ht="11.45" customHeight="1" x14ac:dyDescent="0.25">
      <c r="A89" s="37" t="s">
        <v>182</v>
      </c>
      <c r="B89" s="36">
        <f t="shared" si="84"/>
        <v>804988.36601804721</v>
      </c>
      <c r="C89" s="36">
        <f t="shared" si="84"/>
        <v>830722.72103086428</v>
      </c>
      <c r="D89" s="36">
        <f t="shared" ref="D89:V89" si="91">IF(D7=0,0,D7*1000000/D27)</f>
        <v>649871.70099919708</v>
      </c>
      <c r="E89" s="36">
        <f t="shared" si="91"/>
        <v>984193.25752145168</v>
      </c>
      <c r="F89" s="36">
        <f t="shared" si="91"/>
        <v>983722.35099611362</v>
      </c>
      <c r="G89" s="36">
        <f t="shared" si="91"/>
        <v>983708.8166778204</v>
      </c>
      <c r="H89" s="36">
        <f t="shared" si="91"/>
        <v>966029.35322905669</v>
      </c>
      <c r="I89" s="36">
        <f t="shared" si="91"/>
        <v>921626.70744057768</v>
      </c>
      <c r="J89" s="36">
        <f t="shared" si="91"/>
        <v>945025.84376567893</v>
      </c>
      <c r="K89" s="36">
        <f t="shared" si="91"/>
        <v>938633.96074342378</v>
      </c>
      <c r="L89" s="36">
        <f t="shared" si="91"/>
        <v>925853.13217377907</v>
      </c>
      <c r="M89" s="36">
        <f t="shared" si="91"/>
        <v>949919.87743114098</v>
      </c>
      <c r="N89" s="36">
        <f t="shared" si="91"/>
        <v>971974.21577239316</v>
      </c>
      <c r="O89" s="36">
        <f t="shared" si="91"/>
        <v>918974.56173603225</v>
      </c>
      <c r="P89" s="36">
        <f t="shared" si="91"/>
        <v>913304.75413575466</v>
      </c>
      <c r="Q89" s="36">
        <f t="shared" si="91"/>
        <v>959418.61663538835</v>
      </c>
      <c r="R89" s="36">
        <f t="shared" si="91"/>
        <v>1005549.1241238932</v>
      </c>
      <c r="S89" s="36">
        <f t="shared" si="91"/>
        <v>1035115.539517641</v>
      </c>
      <c r="T89" s="36">
        <f t="shared" si="91"/>
        <v>1077317.4646673617</v>
      </c>
      <c r="U89" s="36">
        <f t="shared" si="91"/>
        <v>1133849.0759280487</v>
      </c>
      <c r="V89" s="36">
        <f t="shared" si="91"/>
        <v>1023860.7199795247</v>
      </c>
      <c r="W89" s="36">
        <f t="shared" ref="W89:Y89" si="92">IF(W7=0,0,W7*1000000/W27)</f>
        <v>912770.22219594219</v>
      </c>
      <c r="X89" s="36">
        <f t="shared" si="92"/>
        <v>1201031.2632007769</v>
      </c>
      <c r="Y89" s="36">
        <f t="shared" si="92"/>
        <v>1242323.6252336286</v>
      </c>
      <c r="DA89" s="198" t="s">
        <v>262</v>
      </c>
    </row>
    <row r="90" spans="1:105" ht="11.45" customHeight="1" x14ac:dyDescent="0.25">
      <c r="A90" s="12" t="s">
        <v>88</v>
      </c>
      <c r="B90" s="13">
        <f t="shared" si="84"/>
        <v>47669.36234003304</v>
      </c>
      <c r="C90" s="13">
        <f t="shared" si="84"/>
        <v>50310.577985518597</v>
      </c>
      <c r="D90" s="13">
        <f t="shared" ref="D90:V90" si="93">IF(D8=0,0,D8*1000000/D28)</f>
        <v>47986.240177129461</v>
      </c>
      <c r="E90" s="13">
        <f t="shared" si="93"/>
        <v>50615.751149763099</v>
      </c>
      <c r="F90" s="13">
        <f t="shared" si="93"/>
        <v>46261.503307127321</v>
      </c>
      <c r="G90" s="13">
        <f t="shared" si="93"/>
        <v>44140.345496063397</v>
      </c>
      <c r="H90" s="13">
        <f t="shared" si="93"/>
        <v>45508.575306684383</v>
      </c>
      <c r="I90" s="13">
        <f t="shared" si="93"/>
        <v>52101.779391674252</v>
      </c>
      <c r="J90" s="13">
        <f t="shared" si="93"/>
        <v>55255.690497860414</v>
      </c>
      <c r="K90" s="13">
        <f t="shared" si="93"/>
        <v>63515.756761272452</v>
      </c>
      <c r="L90" s="13">
        <f t="shared" si="93"/>
        <v>80348.397565248888</v>
      </c>
      <c r="M90" s="13">
        <f t="shared" si="93"/>
        <v>90956.122755976583</v>
      </c>
      <c r="N90" s="13">
        <f t="shared" si="93"/>
        <v>98655.710629260197</v>
      </c>
      <c r="O90" s="13">
        <f t="shared" si="93"/>
        <v>103794.77531271536</v>
      </c>
      <c r="P90" s="13">
        <f t="shared" si="93"/>
        <v>122011.93438021853</v>
      </c>
      <c r="Q90" s="13">
        <f t="shared" si="93"/>
        <v>132188.14604142078</v>
      </c>
      <c r="R90" s="13">
        <f t="shared" si="93"/>
        <v>154816.88518122406</v>
      </c>
      <c r="S90" s="13">
        <f t="shared" si="93"/>
        <v>167177.09391484695</v>
      </c>
      <c r="T90" s="13">
        <f t="shared" si="93"/>
        <v>186439.06822668182</v>
      </c>
      <c r="U90" s="13">
        <f t="shared" si="93"/>
        <v>189910.20861601928</v>
      </c>
      <c r="V90" s="13">
        <f t="shared" si="93"/>
        <v>99983.726731626186</v>
      </c>
      <c r="W90" s="13">
        <f t="shared" ref="W90:Y90" si="94">IF(W8=0,0,W8*1000000/W28)</f>
        <v>110422.89455587017</v>
      </c>
      <c r="X90" s="13">
        <f t="shared" si="94"/>
        <v>138480.9941421827</v>
      </c>
      <c r="Y90" s="13">
        <f t="shared" si="94"/>
        <v>183761.97851572011</v>
      </c>
      <c r="DA90" s="193" t="s">
        <v>263</v>
      </c>
    </row>
    <row r="91" spans="1:105" ht="11.45" customHeight="1" x14ac:dyDescent="0.25">
      <c r="A91" s="42" t="s">
        <v>27</v>
      </c>
      <c r="B91" s="34">
        <f t="shared" si="84"/>
        <v>8417.4684926274222</v>
      </c>
      <c r="C91" s="34">
        <f t="shared" si="84"/>
        <v>8353.2747189903821</v>
      </c>
      <c r="D91" s="34">
        <f t="shared" ref="D91:V91" si="95">IF(D9=0,0,D9*1000000/D29)</f>
        <v>8589.9064472941973</v>
      </c>
      <c r="E91" s="34">
        <f t="shared" si="95"/>
        <v>9137.0234915021665</v>
      </c>
      <c r="F91" s="34">
        <f t="shared" si="95"/>
        <v>8603.9077739740733</v>
      </c>
      <c r="G91" s="34">
        <f t="shared" si="95"/>
        <v>8504.1480156333291</v>
      </c>
      <c r="H91" s="34">
        <f t="shared" si="95"/>
        <v>8311.5212062460178</v>
      </c>
      <c r="I91" s="34">
        <f t="shared" si="95"/>
        <v>8440.6647938766419</v>
      </c>
      <c r="J91" s="34">
        <f t="shared" si="95"/>
        <v>8216.0802712384702</v>
      </c>
      <c r="K91" s="34">
        <f t="shared" si="95"/>
        <v>8322.3753063070926</v>
      </c>
      <c r="L91" s="34">
        <f t="shared" si="95"/>
        <v>9104.9572670501129</v>
      </c>
      <c r="M91" s="34">
        <f t="shared" si="95"/>
        <v>9903.7394044136126</v>
      </c>
      <c r="N91" s="34">
        <f t="shared" si="95"/>
        <v>9953.0456475914834</v>
      </c>
      <c r="O91" s="34">
        <f t="shared" si="95"/>
        <v>10315.81996714952</v>
      </c>
      <c r="P91" s="34">
        <f t="shared" si="95"/>
        <v>11472.455507223238</v>
      </c>
      <c r="Q91" s="34">
        <f t="shared" si="95"/>
        <v>11929.85253622152</v>
      </c>
      <c r="R91" s="34">
        <f t="shared" si="95"/>
        <v>13972.677227503033</v>
      </c>
      <c r="S91" s="34">
        <f t="shared" si="95"/>
        <v>12869.033060126656</v>
      </c>
      <c r="T91" s="34">
        <f t="shared" si="95"/>
        <v>13254.76779558463</v>
      </c>
      <c r="U91" s="34">
        <f t="shared" si="95"/>
        <v>14698.157660648312</v>
      </c>
      <c r="V91" s="34">
        <f t="shared" si="95"/>
        <v>11836.340365952759</v>
      </c>
      <c r="W91" s="34">
        <f t="shared" ref="W91:Y91" si="96">IF(W9=0,0,W9*1000000/W29)</f>
        <v>11421.987922403003</v>
      </c>
      <c r="X91" s="34">
        <f t="shared" si="96"/>
        <v>8059.6589912448171</v>
      </c>
      <c r="Y91" s="34">
        <f t="shared" si="96"/>
        <v>8393.7523025250794</v>
      </c>
      <c r="DA91" s="196" t="s">
        <v>264</v>
      </c>
    </row>
    <row r="92" spans="1:105" ht="11.45" customHeight="1" x14ac:dyDescent="0.25">
      <c r="A92" s="42" t="s">
        <v>181</v>
      </c>
      <c r="B92" s="34">
        <f t="shared" si="84"/>
        <v>32427.591468889485</v>
      </c>
      <c r="C92" s="34">
        <f t="shared" si="84"/>
        <v>33981.710223102767</v>
      </c>
      <c r="D92" s="34">
        <f t="shared" ref="D92:V92" si="97">IF(D10=0,0,D10*1000000/D30)</f>
        <v>32068.157168636928</v>
      </c>
      <c r="E92" s="34">
        <f t="shared" si="97"/>
        <v>32782.059612427278</v>
      </c>
      <c r="F92" s="34">
        <f t="shared" si="97"/>
        <v>29624.799930331366</v>
      </c>
      <c r="G92" s="34">
        <f t="shared" si="97"/>
        <v>28906.434714757641</v>
      </c>
      <c r="H92" s="34">
        <f t="shared" si="97"/>
        <v>24899.383231231484</v>
      </c>
      <c r="I92" s="34">
        <f t="shared" si="97"/>
        <v>23728.173612500912</v>
      </c>
      <c r="J92" s="34">
        <f t="shared" si="97"/>
        <v>23195.137805902719</v>
      </c>
      <c r="K92" s="34">
        <f t="shared" si="97"/>
        <v>23820.157690688491</v>
      </c>
      <c r="L92" s="34">
        <f t="shared" si="97"/>
        <v>24456.998731132084</v>
      </c>
      <c r="M92" s="34">
        <f t="shared" si="97"/>
        <v>25539.817759260495</v>
      </c>
      <c r="N92" s="34">
        <f t="shared" si="97"/>
        <v>27512.22116401215</v>
      </c>
      <c r="O92" s="34">
        <f t="shared" si="97"/>
        <v>27754.80990885654</v>
      </c>
      <c r="P92" s="34">
        <f t="shared" si="97"/>
        <v>32083.370350827798</v>
      </c>
      <c r="Q92" s="34">
        <f t="shared" si="97"/>
        <v>31008.548574500175</v>
      </c>
      <c r="R92" s="34">
        <f t="shared" si="97"/>
        <v>34187.898303513553</v>
      </c>
      <c r="S92" s="34">
        <f t="shared" si="97"/>
        <v>31327.020458071849</v>
      </c>
      <c r="T92" s="34">
        <f t="shared" si="97"/>
        <v>30836.263724067936</v>
      </c>
      <c r="U92" s="34">
        <f t="shared" si="97"/>
        <v>32675.504195902693</v>
      </c>
      <c r="V92" s="34">
        <f t="shared" si="97"/>
        <v>28540.709690998181</v>
      </c>
      <c r="W92" s="34">
        <f t="shared" ref="W92:Y92" si="98">IF(W10=0,0,W10*1000000/W30)</f>
        <v>28137.969092919706</v>
      </c>
      <c r="X92" s="34">
        <f t="shared" si="98"/>
        <v>27959.767351588696</v>
      </c>
      <c r="Y92" s="34">
        <f t="shared" si="98"/>
        <v>28863.34511121946</v>
      </c>
      <c r="DA92" s="196" t="s">
        <v>265</v>
      </c>
    </row>
    <row r="93" spans="1:105" ht="11.45" customHeight="1" x14ac:dyDescent="0.25">
      <c r="A93" s="38" t="s">
        <v>182</v>
      </c>
      <c r="B93" s="35">
        <f t="shared" si="84"/>
        <v>385651.0783000479</v>
      </c>
      <c r="C93" s="35">
        <f t="shared" si="84"/>
        <v>404131.69878406409</v>
      </c>
      <c r="D93" s="35">
        <f t="shared" ref="D93:V93" si="99">IF(D11=0,0,D11*1000000/D31)</f>
        <v>381572.57032230077</v>
      </c>
      <c r="E93" s="35">
        <f t="shared" si="99"/>
        <v>346707.16251416173</v>
      </c>
      <c r="F93" s="35">
        <f t="shared" si="99"/>
        <v>336506.2338828083</v>
      </c>
      <c r="G93" s="35">
        <f t="shared" si="99"/>
        <v>316744.6565777603</v>
      </c>
      <c r="H93" s="35">
        <f t="shared" si="99"/>
        <v>314466.18755690218</v>
      </c>
      <c r="I93" s="35">
        <f t="shared" si="99"/>
        <v>305469.42653289961</v>
      </c>
      <c r="J93" s="35">
        <f t="shared" si="99"/>
        <v>308654.72280771879</v>
      </c>
      <c r="K93" s="35">
        <f t="shared" si="99"/>
        <v>345499.58852012892</v>
      </c>
      <c r="L93" s="35">
        <f t="shared" si="99"/>
        <v>342997.24821034516</v>
      </c>
      <c r="M93" s="35">
        <f t="shared" si="99"/>
        <v>336954.08864059747</v>
      </c>
      <c r="N93" s="35">
        <f t="shared" si="99"/>
        <v>334494.62990481459</v>
      </c>
      <c r="O93" s="35">
        <f t="shared" si="99"/>
        <v>347336.15962044994</v>
      </c>
      <c r="P93" s="35">
        <f t="shared" si="99"/>
        <v>414366.02293639316</v>
      </c>
      <c r="Q93" s="35">
        <f t="shared" si="99"/>
        <v>440552.04751138331</v>
      </c>
      <c r="R93" s="35">
        <f t="shared" si="99"/>
        <v>506107.4313823072</v>
      </c>
      <c r="S93" s="35">
        <f t="shared" si="99"/>
        <v>519103.44706643902</v>
      </c>
      <c r="T93" s="35">
        <f t="shared" si="99"/>
        <v>553326.74141878681</v>
      </c>
      <c r="U93" s="35">
        <f t="shared" si="99"/>
        <v>542892.83168616099</v>
      </c>
      <c r="V93" s="35">
        <f t="shared" si="99"/>
        <v>272291.20936910814</v>
      </c>
      <c r="W93" s="35">
        <f t="shared" ref="W93:Y93" si="100">IF(W11=0,0,W11*1000000/W31)</f>
        <v>276828.21161346271</v>
      </c>
      <c r="X93" s="35">
        <f t="shared" si="100"/>
        <v>360871.27712931408</v>
      </c>
      <c r="Y93" s="35">
        <f t="shared" si="100"/>
        <v>441150.17663508793</v>
      </c>
      <c r="DA93" s="197" t="s">
        <v>266</v>
      </c>
    </row>
    <row r="94" spans="1:105" x14ac:dyDescent="0.25">
      <c r="A94" s="50"/>
      <c r="B94" s="50"/>
      <c r="C94" s="50"/>
      <c r="D94" s="51"/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DA94" s="181"/>
    </row>
    <row r="95" spans="1:105" ht="11.45" customHeight="1" x14ac:dyDescent="0.25">
      <c r="A95" s="53" t="s">
        <v>89</v>
      </c>
      <c r="B95" s="62">
        <f t="shared" ref="B95:C95" si="101">IF(B23=0,0,B23/B43)</f>
        <v>1248.6845300965506</v>
      </c>
      <c r="C95" s="62">
        <f t="shared" si="101"/>
        <v>1232.6886597143518</v>
      </c>
      <c r="D95" s="62">
        <f t="shared" ref="D95:V95" si="102">IF(D23=0,0,D23/D43)</f>
        <v>1219.3205354150718</v>
      </c>
      <c r="E95" s="62">
        <f t="shared" si="102"/>
        <v>1221.6270556614206</v>
      </c>
      <c r="F95" s="62">
        <f t="shared" si="102"/>
        <v>1257.3547169960234</v>
      </c>
      <c r="G95" s="62">
        <f t="shared" si="102"/>
        <v>1262.985410981054</v>
      </c>
      <c r="H95" s="62">
        <f t="shared" si="102"/>
        <v>1253.1112312258986</v>
      </c>
      <c r="I95" s="62">
        <f t="shared" si="102"/>
        <v>1242.8883977763971</v>
      </c>
      <c r="J95" s="62">
        <f t="shared" si="102"/>
        <v>1220.2066004936153</v>
      </c>
      <c r="K95" s="62">
        <f t="shared" si="102"/>
        <v>1180.9892058315324</v>
      </c>
      <c r="L95" s="62">
        <f t="shared" si="102"/>
        <v>1187.8998186251181</v>
      </c>
      <c r="M95" s="62">
        <f t="shared" si="102"/>
        <v>1170.3576821758079</v>
      </c>
      <c r="N95" s="62">
        <f t="shared" si="102"/>
        <v>1115.754650618919</v>
      </c>
      <c r="O95" s="62">
        <f t="shared" si="102"/>
        <v>1063.2163732662077</v>
      </c>
      <c r="P95" s="62">
        <f t="shared" si="102"/>
        <v>1090.4343391144589</v>
      </c>
      <c r="Q95" s="62">
        <f t="shared" si="102"/>
        <v>1096.2096715629591</v>
      </c>
      <c r="R95" s="62">
        <f t="shared" si="102"/>
        <v>1084.881516713142</v>
      </c>
      <c r="S95" s="62">
        <f t="shared" si="102"/>
        <v>1076.1391593816845</v>
      </c>
      <c r="T95" s="62">
        <f t="shared" si="102"/>
        <v>1088.1335386727726</v>
      </c>
      <c r="U95" s="62">
        <f t="shared" si="102"/>
        <v>1088.0843488363562</v>
      </c>
      <c r="V95" s="62">
        <f t="shared" si="102"/>
        <v>443.10352832886031</v>
      </c>
      <c r="W95" s="62">
        <f t="shared" ref="W95:Y95" si="103">IF(W23=0,0,W23/W43)</f>
        <v>652.61501137074993</v>
      </c>
      <c r="X95" s="62">
        <f t="shared" si="103"/>
        <v>1064.6055072671277</v>
      </c>
      <c r="Y95" s="62">
        <f t="shared" si="103"/>
        <v>1071.5125599388543</v>
      </c>
      <c r="DA95" s="172" t="s">
        <v>267</v>
      </c>
    </row>
    <row r="96" spans="1:105" ht="11.45" customHeight="1" x14ac:dyDescent="0.25">
      <c r="A96" s="10" t="s">
        <v>33</v>
      </c>
      <c r="B96" s="11">
        <f t="shared" ref="B96:C103" si="104">IF(B24=0,0,B24/B44)</f>
        <v>1258.3373295112174</v>
      </c>
      <c r="C96" s="11">
        <f t="shared" si="104"/>
        <v>1241.8767322770043</v>
      </c>
      <c r="D96" s="11">
        <f t="shared" ref="D96:V96" si="105">IF(D24=0,0,D24/D44)</f>
        <v>1227.6448582522353</v>
      </c>
      <c r="E96" s="11">
        <f t="shared" si="105"/>
        <v>1230.9264692400354</v>
      </c>
      <c r="F96" s="11">
        <f t="shared" si="105"/>
        <v>1268.3598112916434</v>
      </c>
      <c r="G96" s="11">
        <f t="shared" si="105"/>
        <v>1273.176974285642</v>
      </c>
      <c r="H96" s="11">
        <f t="shared" si="105"/>
        <v>1263.5027223994659</v>
      </c>
      <c r="I96" s="11">
        <f t="shared" si="105"/>
        <v>1253.4067300920308</v>
      </c>
      <c r="J96" s="11">
        <f t="shared" si="105"/>
        <v>1230.9460390863114</v>
      </c>
      <c r="K96" s="11">
        <f t="shared" si="105"/>
        <v>1192.772348494801</v>
      </c>
      <c r="L96" s="11">
        <f t="shared" si="105"/>
        <v>1201.2498859019586</v>
      </c>
      <c r="M96" s="11">
        <f t="shared" si="105"/>
        <v>1182.6269319866656</v>
      </c>
      <c r="N96" s="11">
        <f t="shared" si="105"/>
        <v>1126.6711404912924</v>
      </c>
      <c r="O96" s="11">
        <f t="shared" si="105"/>
        <v>1071.2308476228675</v>
      </c>
      <c r="P96" s="11">
        <f t="shared" si="105"/>
        <v>1098.8756544889629</v>
      </c>
      <c r="Q96" s="11">
        <f t="shared" si="105"/>
        <v>1105.1994094258212</v>
      </c>
      <c r="R96" s="11">
        <f t="shared" si="105"/>
        <v>1093.1459558234721</v>
      </c>
      <c r="S96" s="11">
        <f t="shared" si="105"/>
        <v>1086.3272489705771</v>
      </c>
      <c r="T96" s="11">
        <f t="shared" si="105"/>
        <v>1099.3725066109735</v>
      </c>
      <c r="U96" s="11">
        <f t="shared" si="105"/>
        <v>1098.5497891441521</v>
      </c>
      <c r="V96" s="11">
        <f t="shared" si="105"/>
        <v>439.33018832369345</v>
      </c>
      <c r="W96" s="11">
        <f t="shared" ref="W96:Y96" si="106">IF(W24=0,0,W24/W44)</f>
        <v>651.71753508719564</v>
      </c>
      <c r="X96" s="11">
        <f t="shared" si="106"/>
        <v>1076.2049563032697</v>
      </c>
      <c r="Y96" s="11">
        <f t="shared" si="106"/>
        <v>1086.3362113417413</v>
      </c>
      <c r="DA96" s="189" t="s">
        <v>268</v>
      </c>
    </row>
    <row r="97" spans="1:105" ht="11.45" customHeight="1" x14ac:dyDescent="0.25">
      <c r="A97" s="37" t="s">
        <v>27</v>
      </c>
      <c r="B97" s="36">
        <f t="shared" si="104"/>
        <v>1933</v>
      </c>
      <c r="C97" s="36">
        <f t="shared" si="104"/>
        <v>1933</v>
      </c>
      <c r="D97" s="36">
        <f t="shared" ref="D97:V97" si="107">IF(D25=0,0,D25/D45)</f>
        <v>1933</v>
      </c>
      <c r="E97" s="36">
        <f t="shared" si="107"/>
        <v>1932.9999999999998</v>
      </c>
      <c r="F97" s="36">
        <f t="shared" si="107"/>
        <v>1933</v>
      </c>
      <c r="G97" s="36">
        <f t="shared" si="107"/>
        <v>1925</v>
      </c>
      <c r="H97" s="36">
        <f t="shared" si="107"/>
        <v>1924</v>
      </c>
      <c r="I97" s="36">
        <f t="shared" si="107"/>
        <v>1921</v>
      </c>
      <c r="J97" s="36">
        <f t="shared" si="107"/>
        <v>1924</v>
      </c>
      <c r="K97" s="36">
        <f t="shared" si="107"/>
        <v>1873.5848784401628</v>
      </c>
      <c r="L97" s="36">
        <f t="shared" si="107"/>
        <v>1926</v>
      </c>
      <c r="M97" s="36">
        <f t="shared" si="107"/>
        <v>1930</v>
      </c>
      <c r="N97" s="36">
        <f t="shared" si="107"/>
        <v>1788.7831538615567</v>
      </c>
      <c r="O97" s="36">
        <f t="shared" si="107"/>
        <v>1689.4377162766548</v>
      </c>
      <c r="P97" s="36">
        <f t="shared" si="107"/>
        <v>1929</v>
      </c>
      <c r="Q97" s="36">
        <f t="shared" si="107"/>
        <v>1924</v>
      </c>
      <c r="R97" s="36">
        <f t="shared" si="107"/>
        <v>1906.9999999999998</v>
      </c>
      <c r="S97" s="36">
        <f t="shared" si="107"/>
        <v>1911</v>
      </c>
      <c r="T97" s="36">
        <f t="shared" si="107"/>
        <v>1923</v>
      </c>
      <c r="U97" s="36">
        <f t="shared" si="107"/>
        <v>1917</v>
      </c>
      <c r="V97" s="36">
        <f t="shared" si="107"/>
        <v>1007.128217213295</v>
      </c>
      <c r="W97" s="36">
        <f t="shared" ref="W97:Y97" si="108">IF(W25=0,0,W25/W45)</f>
        <v>1463.9619675197473</v>
      </c>
      <c r="X97" s="36">
        <f t="shared" si="108"/>
        <v>1860</v>
      </c>
      <c r="Y97" s="36">
        <f t="shared" si="108"/>
        <v>1870</v>
      </c>
      <c r="DA97" s="198" t="s">
        <v>269</v>
      </c>
    </row>
    <row r="98" spans="1:105" ht="11.45" customHeight="1" x14ac:dyDescent="0.25">
      <c r="A98" s="37" t="s">
        <v>181</v>
      </c>
      <c r="B98" s="36">
        <f t="shared" si="104"/>
        <v>1069.9263054518824</v>
      </c>
      <c r="C98" s="36">
        <f t="shared" si="104"/>
        <v>1066.2777609944021</v>
      </c>
      <c r="D98" s="36">
        <f t="shared" ref="D98:V98" si="109">IF(D26=0,0,D26/D46)</f>
        <v>1065.1777544433817</v>
      </c>
      <c r="E98" s="36">
        <f t="shared" si="109"/>
        <v>1061.0317917122779</v>
      </c>
      <c r="F98" s="36">
        <f t="shared" si="109"/>
        <v>1061.2272616612483</v>
      </c>
      <c r="G98" s="36">
        <f t="shared" si="109"/>
        <v>1065.0313904230418</v>
      </c>
      <c r="H98" s="36">
        <f t="shared" si="109"/>
        <v>1062.9736819355396</v>
      </c>
      <c r="I98" s="36">
        <f t="shared" si="109"/>
        <v>1073.3633986186496</v>
      </c>
      <c r="J98" s="36">
        <f t="shared" si="109"/>
        <v>1071.1065187796105</v>
      </c>
      <c r="K98" s="36">
        <f t="shared" si="109"/>
        <v>1034.3931482581663</v>
      </c>
      <c r="L98" s="36">
        <f t="shared" si="109"/>
        <v>1051.5148464202341</v>
      </c>
      <c r="M98" s="36">
        <f t="shared" si="109"/>
        <v>1061.7853357424999</v>
      </c>
      <c r="N98" s="36">
        <f t="shared" si="109"/>
        <v>1061.7230714126574</v>
      </c>
      <c r="O98" s="36">
        <f t="shared" si="109"/>
        <v>1048.8744164334551</v>
      </c>
      <c r="P98" s="36">
        <f t="shared" si="109"/>
        <v>1039.7538250573059</v>
      </c>
      <c r="Q98" s="36">
        <f t="shared" si="109"/>
        <v>1045.522136662745</v>
      </c>
      <c r="R98" s="36">
        <f t="shared" si="109"/>
        <v>1034.3905418213624</v>
      </c>
      <c r="S98" s="36">
        <f t="shared" si="109"/>
        <v>1029.20529596304</v>
      </c>
      <c r="T98" s="36">
        <f t="shared" si="109"/>
        <v>1035.700275763096</v>
      </c>
      <c r="U98" s="36">
        <f t="shared" si="109"/>
        <v>1044.8049973035245</v>
      </c>
      <c r="V98" s="36">
        <f t="shared" si="109"/>
        <v>345.27455027477333</v>
      </c>
      <c r="W98" s="36">
        <f t="shared" ref="W98:Y98" si="110">IF(W26=0,0,W26/W46)</f>
        <v>534.99071846940842</v>
      </c>
      <c r="X98" s="36">
        <f t="shared" si="110"/>
        <v>1031.6928282468155</v>
      </c>
      <c r="Y98" s="36">
        <f t="shared" si="110"/>
        <v>1037.0104453424749</v>
      </c>
      <c r="DA98" s="198" t="s">
        <v>270</v>
      </c>
    </row>
    <row r="99" spans="1:105" ht="11.45" customHeight="1" x14ac:dyDescent="0.25">
      <c r="A99" s="37" t="s">
        <v>182</v>
      </c>
      <c r="B99" s="36">
        <f t="shared" si="104"/>
        <v>353</v>
      </c>
      <c r="C99" s="36">
        <f t="shared" si="104"/>
        <v>297.12172041403068</v>
      </c>
      <c r="D99" s="36">
        <f t="shared" ref="D99:V99" si="111">IF(D27=0,0,D27/D47)</f>
        <v>353</v>
      </c>
      <c r="E99" s="36">
        <f t="shared" si="111"/>
        <v>264.83780402510024</v>
      </c>
      <c r="F99" s="36">
        <f t="shared" si="111"/>
        <v>353</v>
      </c>
      <c r="G99" s="36">
        <f t="shared" si="111"/>
        <v>353</v>
      </c>
      <c r="H99" s="36">
        <f t="shared" si="111"/>
        <v>351</v>
      </c>
      <c r="I99" s="36">
        <f t="shared" si="111"/>
        <v>360</v>
      </c>
      <c r="J99" s="36">
        <f t="shared" si="111"/>
        <v>357.00000000000006</v>
      </c>
      <c r="K99" s="36">
        <f t="shared" si="111"/>
        <v>365</v>
      </c>
      <c r="L99" s="36">
        <f t="shared" si="111"/>
        <v>378.99999999999994</v>
      </c>
      <c r="M99" s="36">
        <f t="shared" si="111"/>
        <v>372.00000000000006</v>
      </c>
      <c r="N99" s="36">
        <f t="shared" si="111"/>
        <v>371</v>
      </c>
      <c r="O99" s="36">
        <f t="shared" si="111"/>
        <v>383</v>
      </c>
      <c r="P99" s="36">
        <f t="shared" si="111"/>
        <v>385</v>
      </c>
      <c r="Q99" s="36">
        <f t="shared" si="111"/>
        <v>381</v>
      </c>
      <c r="R99" s="36">
        <f t="shared" si="111"/>
        <v>377</v>
      </c>
      <c r="S99" s="36">
        <f t="shared" si="111"/>
        <v>372</v>
      </c>
      <c r="T99" s="36">
        <f t="shared" si="111"/>
        <v>370</v>
      </c>
      <c r="U99" s="36">
        <f t="shared" si="111"/>
        <v>361</v>
      </c>
      <c r="V99" s="36">
        <f t="shared" si="111"/>
        <v>95.254152937390884</v>
      </c>
      <c r="W99" s="36">
        <f t="shared" ref="W99:Y99" si="112">IF(W27=0,0,W27/W47)</f>
        <v>137.1028330110197</v>
      </c>
      <c r="X99" s="36">
        <f t="shared" si="112"/>
        <v>303.273591194738</v>
      </c>
      <c r="Y99" s="36">
        <f t="shared" si="112"/>
        <v>353</v>
      </c>
      <c r="DA99" s="198" t="s">
        <v>271</v>
      </c>
    </row>
    <row r="100" spans="1:105" ht="11.45" customHeight="1" x14ac:dyDescent="0.25">
      <c r="A100" s="12" t="s">
        <v>34</v>
      </c>
      <c r="B100" s="13">
        <f t="shared" si="104"/>
        <v>953.20726503488663</v>
      </c>
      <c r="C100" s="13">
        <f t="shared" si="104"/>
        <v>950.66985711899008</v>
      </c>
      <c r="D100" s="13">
        <f t="shared" ref="D100:V100" si="113">IF(D28=0,0,D28/D48)</f>
        <v>949.31972110474373</v>
      </c>
      <c r="E100" s="13">
        <f t="shared" si="113"/>
        <v>898.82532248729126</v>
      </c>
      <c r="F100" s="13">
        <f t="shared" si="113"/>
        <v>933.50426696253271</v>
      </c>
      <c r="G100" s="13">
        <f t="shared" si="113"/>
        <v>930.07154865341681</v>
      </c>
      <c r="H100" s="13">
        <f t="shared" si="113"/>
        <v>908.67231963940867</v>
      </c>
      <c r="I100" s="13">
        <f t="shared" si="113"/>
        <v>866.90922059705633</v>
      </c>
      <c r="J100" s="13">
        <f t="shared" si="113"/>
        <v>844.24387661842354</v>
      </c>
      <c r="K100" s="13">
        <f t="shared" si="113"/>
        <v>765.87978576776504</v>
      </c>
      <c r="L100" s="13">
        <f t="shared" si="113"/>
        <v>745.12564242942983</v>
      </c>
      <c r="M100" s="13">
        <f t="shared" si="113"/>
        <v>726.65030054301508</v>
      </c>
      <c r="N100" s="13">
        <f t="shared" si="113"/>
        <v>704.82828659409358</v>
      </c>
      <c r="O100" s="13">
        <f t="shared" si="113"/>
        <v>738.24331507200441</v>
      </c>
      <c r="P100" s="13">
        <f t="shared" si="113"/>
        <v>721.7651036433009</v>
      </c>
      <c r="Q100" s="13">
        <f t="shared" si="113"/>
        <v>706.04908026455541</v>
      </c>
      <c r="R100" s="13">
        <f t="shared" si="113"/>
        <v>680.16042322047338</v>
      </c>
      <c r="S100" s="13">
        <f t="shared" si="113"/>
        <v>646.57008862416865</v>
      </c>
      <c r="T100" s="13">
        <f t="shared" si="113"/>
        <v>619.12021062208169</v>
      </c>
      <c r="U100" s="13">
        <f t="shared" si="113"/>
        <v>627.98574067318066</v>
      </c>
      <c r="V100" s="13">
        <f t="shared" si="113"/>
        <v>607.83967499928599</v>
      </c>
      <c r="W100" s="13">
        <f t="shared" ref="W100:Y100" si="114">IF(W28=0,0,W28/W48)</f>
        <v>688.4170338230897</v>
      </c>
      <c r="X100" s="13">
        <f t="shared" si="114"/>
        <v>651.92304617566856</v>
      </c>
      <c r="Y100" s="13">
        <f t="shared" si="114"/>
        <v>557.76487320573096</v>
      </c>
      <c r="DA100" s="193" t="s">
        <v>272</v>
      </c>
    </row>
    <row r="101" spans="1:105" ht="11.45" customHeight="1" x14ac:dyDescent="0.25">
      <c r="A101" s="42" t="s">
        <v>27</v>
      </c>
      <c r="B101" s="34">
        <f t="shared" si="104"/>
        <v>1222</v>
      </c>
      <c r="C101" s="34">
        <f t="shared" si="104"/>
        <v>1222</v>
      </c>
      <c r="D101" s="34">
        <f t="shared" ref="D101:V101" si="115">IF(D29=0,0,D29/D49)</f>
        <v>1222</v>
      </c>
      <c r="E101" s="34">
        <f t="shared" si="115"/>
        <v>1161.6970927008904</v>
      </c>
      <c r="F101" s="34">
        <f t="shared" si="115"/>
        <v>1222</v>
      </c>
      <c r="G101" s="34">
        <f t="shared" si="115"/>
        <v>1219</v>
      </c>
      <c r="H101" s="34">
        <f t="shared" si="115"/>
        <v>1213</v>
      </c>
      <c r="I101" s="34">
        <f t="shared" si="115"/>
        <v>1206</v>
      </c>
      <c r="J101" s="34">
        <f t="shared" si="115"/>
        <v>1202</v>
      </c>
      <c r="K101" s="34">
        <f t="shared" si="115"/>
        <v>1061.3462664996846</v>
      </c>
      <c r="L101" s="34">
        <f t="shared" si="115"/>
        <v>1095.1739645280816</v>
      </c>
      <c r="M101" s="34">
        <f t="shared" si="115"/>
        <v>1077.040915791715</v>
      </c>
      <c r="N101" s="34">
        <f t="shared" si="115"/>
        <v>1075.5102562305244</v>
      </c>
      <c r="O101" s="34">
        <f t="shared" si="115"/>
        <v>1202</v>
      </c>
      <c r="P101" s="34">
        <f t="shared" si="115"/>
        <v>1202</v>
      </c>
      <c r="Q101" s="34">
        <f t="shared" si="115"/>
        <v>1198</v>
      </c>
      <c r="R101" s="34">
        <f t="shared" si="115"/>
        <v>1188</v>
      </c>
      <c r="S101" s="34">
        <f t="shared" si="115"/>
        <v>1188</v>
      </c>
      <c r="T101" s="34">
        <f t="shared" si="115"/>
        <v>1190</v>
      </c>
      <c r="U101" s="34">
        <f t="shared" si="115"/>
        <v>1185</v>
      </c>
      <c r="V101" s="34">
        <f t="shared" si="115"/>
        <v>1211.2151845966687</v>
      </c>
      <c r="W101" s="34">
        <f t="shared" ref="W101:Y101" si="116">IF(W29=0,0,W29/W49)</f>
        <v>1245</v>
      </c>
      <c r="X101" s="34">
        <f t="shared" si="116"/>
        <v>1359</v>
      </c>
      <c r="Y101" s="34">
        <f t="shared" si="116"/>
        <v>1348</v>
      </c>
      <c r="DA101" s="196" t="s">
        <v>273</v>
      </c>
    </row>
    <row r="102" spans="1:105" ht="11.45" customHeight="1" x14ac:dyDescent="0.25">
      <c r="A102" s="42" t="s">
        <v>181</v>
      </c>
      <c r="B102" s="34">
        <f t="shared" si="104"/>
        <v>958.60090052278417</v>
      </c>
      <c r="C102" s="34">
        <f t="shared" si="104"/>
        <v>958.81944414492489</v>
      </c>
      <c r="D102" s="34">
        <f t="shared" ref="D102:V102" si="117">IF(D30=0,0,D30/D50)</f>
        <v>957.42256091312493</v>
      </c>
      <c r="E102" s="34">
        <f t="shared" si="117"/>
        <v>950.63161306424763</v>
      </c>
      <c r="F102" s="34">
        <f t="shared" si="117"/>
        <v>957.25935110259024</v>
      </c>
      <c r="G102" s="34">
        <f t="shared" si="117"/>
        <v>950.34627730587704</v>
      </c>
      <c r="H102" s="34">
        <f t="shared" si="117"/>
        <v>952.24965128011604</v>
      </c>
      <c r="I102" s="34">
        <f t="shared" si="117"/>
        <v>941.37009802813748</v>
      </c>
      <c r="J102" s="34">
        <f t="shared" si="117"/>
        <v>944.35967599237119</v>
      </c>
      <c r="K102" s="34">
        <f t="shared" si="117"/>
        <v>926.26935317179959</v>
      </c>
      <c r="L102" s="34">
        <f t="shared" si="117"/>
        <v>925.1988958556916</v>
      </c>
      <c r="M102" s="34">
        <f t="shared" si="117"/>
        <v>952.82968256067545</v>
      </c>
      <c r="N102" s="34">
        <f t="shared" si="117"/>
        <v>906.93495867086779</v>
      </c>
      <c r="O102" s="34">
        <f t="shared" si="117"/>
        <v>955.33160001872523</v>
      </c>
      <c r="P102" s="34">
        <f t="shared" si="117"/>
        <v>941.40898774815946</v>
      </c>
      <c r="Q102" s="34">
        <f t="shared" si="117"/>
        <v>961.40728471963564</v>
      </c>
      <c r="R102" s="34">
        <f t="shared" si="117"/>
        <v>952.73703592043273</v>
      </c>
      <c r="S102" s="34">
        <f t="shared" si="117"/>
        <v>954.52204365807938</v>
      </c>
      <c r="T102" s="34">
        <f t="shared" si="117"/>
        <v>963.33278484005371</v>
      </c>
      <c r="U102" s="34">
        <f t="shared" si="117"/>
        <v>959.61045011769147</v>
      </c>
      <c r="V102" s="34">
        <f t="shared" si="117"/>
        <v>948.61478224506197</v>
      </c>
      <c r="W102" s="34">
        <f t="shared" ref="W102:Y102" si="118">IF(W30=0,0,W30/W50)</f>
        <v>925.31249993029871</v>
      </c>
      <c r="X102" s="34">
        <f t="shared" si="118"/>
        <v>944.18230110833429</v>
      </c>
      <c r="Y102" s="34">
        <f t="shared" si="118"/>
        <v>855.01034407529937</v>
      </c>
      <c r="DA102" s="196" t="s">
        <v>274</v>
      </c>
    </row>
    <row r="103" spans="1:105" ht="11.45" customHeight="1" x14ac:dyDescent="0.25">
      <c r="A103" s="38" t="s">
        <v>182</v>
      </c>
      <c r="B103" s="35">
        <f t="shared" si="104"/>
        <v>361</v>
      </c>
      <c r="C103" s="35">
        <f t="shared" si="104"/>
        <v>360.99999999999994</v>
      </c>
      <c r="D103" s="35">
        <f t="shared" ref="D103:V103" si="119">IF(D31=0,0,D31/D51)</f>
        <v>361.00000000000006</v>
      </c>
      <c r="E103" s="35">
        <f t="shared" si="119"/>
        <v>360.99999999999994</v>
      </c>
      <c r="F103" s="35">
        <f t="shared" si="119"/>
        <v>361</v>
      </c>
      <c r="G103" s="35">
        <f t="shared" si="119"/>
        <v>360</v>
      </c>
      <c r="H103" s="35">
        <f t="shared" si="119"/>
        <v>353</v>
      </c>
      <c r="I103" s="35">
        <f t="shared" si="119"/>
        <v>356</v>
      </c>
      <c r="J103" s="35">
        <f t="shared" si="119"/>
        <v>348</v>
      </c>
      <c r="K103" s="35">
        <f t="shared" si="119"/>
        <v>323.08077113446478</v>
      </c>
      <c r="L103" s="35">
        <f t="shared" si="119"/>
        <v>356</v>
      </c>
      <c r="M103" s="35">
        <f t="shared" si="119"/>
        <v>372</v>
      </c>
      <c r="N103" s="35">
        <f t="shared" si="119"/>
        <v>380.80866443769963</v>
      </c>
      <c r="O103" s="35">
        <f t="shared" si="119"/>
        <v>389.37783882126189</v>
      </c>
      <c r="P103" s="35">
        <f t="shared" si="119"/>
        <v>372.173328426495</v>
      </c>
      <c r="Q103" s="35">
        <f t="shared" si="119"/>
        <v>362.99999999999994</v>
      </c>
      <c r="R103" s="35">
        <f t="shared" si="119"/>
        <v>347</v>
      </c>
      <c r="S103" s="35">
        <f t="shared" si="119"/>
        <v>333</v>
      </c>
      <c r="T103" s="35">
        <f t="shared" si="119"/>
        <v>321</v>
      </c>
      <c r="U103" s="35">
        <f t="shared" si="119"/>
        <v>339</v>
      </c>
      <c r="V103" s="35">
        <f t="shared" si="119"/>
        <v>317.81591933016114</v>
      </c>
      <c r="W103" s="35">
        <f t="shared" ref="W103:Y103" si="120">IF(W31=0,0,W31/W51)</f>
        <v>427.00000000000006</v>
      </c>
      <c r="X103" s="35">
        <f t="shared" si="120"/>
        <v>378</v>
      </c>
      <c r="Y103" s="35">
        <f t="shared" si="120"/>
        <v>330</v>
      </c>
      <c r="DA103" s="197" t="s">
        <v>275</v>
      </c>
    </row>
    <row r="104" spans="1:105" x14ac:dyDescent="0.25">
      <c r="A104" s="50"/>
      <c r="B104" s="50"/>
      <c r="C104" s="50"/>
      <c r="D104" s="51"/>
      <c r="E104" s="51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DA104" s="181"/>
    </row>
    <row r="105" spans="1:105" ht="11.45" customHeight="1" x14ac:dyDescent="0.25">
      <c r="A105" s="53" t="s">
        <v>37</v>
      </c>
      <c r="B105" s="76"/>
      <c r="C105" s="76"/>
      <c r="D105" s="76"/>
      <c r="E105" s="76"/>
      <c r="F105" s="76"/>
      <c r="G105" s="76"/>
      <c r="H105" s="76"/>
      <c r="I105" s="76"/>
      <c r="J105" s="76"/>
      <c r="K105" s="76"/>
      <c r="L105" s="76"/>
      <c r="M105" s="76"/>
      <c r="N105" s="76"/>
      <c r="O105" s="76"/>
      <c r="P105" s="76"/>
      <c r="Q105" s="76"/>
      <c r="R105" s="76"/>
      <c r="S105" s="76"/>
      <c r="T105" s="76"/>
      <c r="U105" s="76"/>
      <c r="V105" s="76"/>
      <c r="W105" s="76"/>
      <c r="X105" s="76"/>
      <c r="Y105" s="76"/>
      <c r="DA105" s="183"/>
    </row>
    <row r="106" spans="1:105" ht="11.45" customHeight="1" x14ac:dyDescent="0.25">
      <c r="A106" s="10" t="s">
        <v>38</v>
      </c>
      <c r="B106" s="16">
        <f t="shared" ref="B106:C106" si="121">IF(B4=0,0,B4/B$4)</f>
        <v>1</v>
      </c>
      <c r="C106" s="16">
        <f t="shared" si="121"/>
        <v>1</v>
      </c>
      <c r="D106" s="16">
        <f t="shared" ref="D106:V106" si="122">IF(D4=0,0,D4/D$4)</f>
        <v>1</v>
      </c>
      <c r="E106" s="16">
        <f t="shared" si="122"/>
        <v>1</v>
      </c>
      <c r="F106" s="16">
        <f t="shared" si="122"/>
        <v>1</v>
      </c>
      <c r="G106" s="16">
        <f t="shared" si="122"/>
        <v>1</v>
      </c>
      <c r="H106" s="16">
        <f t="shared" si="122"/>
        <v>1</v>
      </c>
      <c r="I106" s="16">
        <f t="shared" si="122"/>
        <v>1</v>
      </c>
      <c r="J106" s="16">
        <f t="shared" si="122"/>
        <v>1</v>
      </c>
      <c r="K106" s="16">
        <f t="shared" si="122"/>
        <v>1</v>
      </c>
      <c r="L106" s="16">
        <f t="shared" si="122"/>
        <v>1</v>
      </c>
      <c r="M106" s="16">
        <f t="shared" si="122"/>
        <v>1</v>
      </c>
      <c r="N106" s="16">
        <f t="shared" si="122"/>
        <v>1</v>
      </c>
      <c r="O106" s="16">
        <f t="shared" si="122"/>
        <v>1</v>
      </c>
      <c r="P106" s="16">
        <f t="shared" si="122"/>
        <v>1</v>
      </c>
      <c r="Q106" s="16">
        <f t="shared" si="122"/>
        <v>1</v>
      </c>
      <c r="R106" s="16">
        <f t="shared" si="122"/>
        <v>1</v>
      </c>
      <c r="S106" s="16">
        <f t="shared" si="122"/>
        <v>1</v>
      </c>
      <c r="T106" s="16">
        <f t="shared" si="122"/>
        <v>1</v>
      </c>
      <c r="U106" s="16">
        <f t="shared" si="122"/>
        <v>1</v>
      </c>
      <c r="V106" s="16">
        <f t="shared" si="122"/>
        <v>1</v>
      </c>
      <c r="W106" s="16">
        <f t="shared" ref="W106:Y106" si="123">IF(W4=0,0,W4/W$4)</f>
        <v>1</v>
      </c>
      <c r="X106" s="16">
        <f t="shared" si="123"/>
        <v>1</v>
      </c>
      <c r="Y106" s="16">
        <f t="shared" si="123"/>
        <v>1</v>
      </c>
      <c r="DA106" s="190"/>
    </row>
    <row r="107" spans="1:105" ht="11.45" customHeight="1" x14ac:dyDescent="0.25">
      <c r="A107" s="37" t="s">
        <v>27</v>
      </c>
      <c r="B107" s="43">
        <f t="shared" ref="B107:C107" si="124">IF(B5=0,0,B5/B$4)</f>
        <v>0.18272218509344396</v>
      </c>
      <c r="C107" s="43">
        <f t="shared" si="124"/>
        <v>0.17844451962261454</v>
      </c>
      <c r="D107" s="43">
        <f t="shared" ref="D107:V107" si="125">IF(D5=0,0,D5/D$4)</f>
        <v>0.1797687575611738</v>
      </c>
      <c r="E107" s="43">
        <f t="shared" si="125"/>
        <v>0.18706194272480253</v>
      </c>
      <c r="F107" s="43">
        <f t="shared" si="125"/>
        <v>0.18908518369815278</v>
      </c>
      <c r="G107" s="43">
        <f t="shared" si="125"/>
        <v>0.19686047283657174</v>
      </c>
      <c r="H107" s="43">
        <f t="shared" si="125"/>
        <v>0.20155709152713236</v>
      </c>
      <c r="I107" s="43">
        <f t="shared" si="125"/>
        <v>0.2031015540499474</v>
      </c>
      <c r="J107" s="43">
        <f t="shared" si="125"/>
        <v>0.18427651417492863</v>
      </c>
      <c r="K107" s="43">
        <f t="shared" si="125"/>
        <v>0.18225712140320618</v>
      </c>
      <c r="L107" s="43">
        <f t="shared" si="125"/>
        <v>0.17903541572729348</v>
      </c>
      <c r="M107" s="43">
        <f t="shared" si="125"/>
        <v>0.16460935970535664</v>
      </c>
      <c r="N107" s="43">
        <f t="shared" si="125"/>
        <v>0.14691599546006209</v>
      </c>
      <c r="O107" s="43">
        <f t="shared" si="125"/>
        <v>0.12738290287964138</v>
      </c>
      <c r="P107" s="43">
        <f t="shared" si="125"/>
        <v>0.12345690569072137</v>
      </c>
      <c r="Q107" s="43">
        <f t="shared" si="125"/>
        <v>0.12694121025484723</v>
      </c>
      <c r="R107" s="43">
        <f t="shared" si="125"/>
        <v>0.12449252658333702</v>
      </c>
      <c r="S107" s="43">
        <f t="shared" si="125"/>
        <v>0.12382787533759125</v>
      </c>
      <c r="T107" s="43">
        <f t="shared" si="125"/>
        <v>0.13069520917478372</v>
      </c>
      <c r="U107" s="43">
        <f t="shared" si="125"/>
        <v>0.13325531472358282</v>
      </c>
      <c r="V107" s="43">
        <f t="shared" si="125"/>
        <v>0.19373436992126467</v>
      </c>
      <c r="W107" s="43">
        <f t="shared" ref="W107:Y107" si="126">IF(W5=0,0,W5/W$4)</f>
        <v>0.22108955953979822</v>
      </c>
      <c r="X107" s="43">
        <f t="shared" si="126"/>
        <v>0.15614038492416138</v>
      </c>
      <c r="Y107" s="43">
        <f t="shared" si="126"/>
        <v>0.14518898041042594</v>
      </c>
      <c r="DA107" s="199"/>
    </row>
    <row r="108" spans="1:105" ht="11.45" customHeight="1" x14ac:dyDescent="0.25">
      <c r="A108" s="37" t="s">
        <v>181</v>
      </c>
      <c r="B108" s="43">
        <f t="shared" ref="B108:C108" si="127">IF(B6=0,0,B6/B$4)</f>
        <v>0.6060803229541335</v>
      </c>
      <c r="C108" s="43">
        <f t="shared" si="127"/>
        <v>0.64676345788176359</v>
      </c>
      <c r="D108" s="43">
        <f t="shared" ref="D108:V108" si="128">IF(D6=0,0,D6/D$4)</f>
        <v>0.64453114140341283</v>
      </c>
      <c r="E108" s="43">
        <f t="shared" si="128"/>
        <v>0.64078856305242893</v>
      </c>
      <c r="F108" s="43">
        <f t="shared" si="128"/>
        <v>0.61574063710845672</v>
      </c>
      <c r="G108" s="43">
        <f t="shared" si="128"/>
        <v>0.5997513848622934</v>
      </c>
      <c r="H108" s="43">
        <f t="shared" si="128"/>
        <v>0.58022650417848509</v>
      </c>
      <c r="I108" s="43">
        <f t="shared" si="128"/>
        <v>0.56765188696197355</v>
      </c>
      <c r="J108" s="43">
        <f t="shared" si="128"/>
        <v>0.56406386810101172</v>
      </c>
      <c r="K108" s="43">
        <f t="shared" si="128"/>
        <v>0.55714645511356098</v>
      </c>
      <c r="L108" s="43">
        <f t="shared" si="128"/>
        <v>0.5523205218325643</v>
      </c>
      <c r="M108" s="43">
        <f t="shared" si="128"/>
        <v>0.56708421757737748</v>
      </c>
      <c r="N108" s="43">
        <f t="shared" si="128"/>
        <v>0.57925076214139437</v>
      </c>
      <c r="O108" s="43">
        <f t="shared" si="128"/>
        <v>0.59641696420010215</v>
      </c>
      <c r="P108" s="43">
        <f t="shared" si="128"/>
        <v>0.6037277391186926</v>
      </c>
      <c r="Q108" s="43">
        <f t="shared" si="128"/>
        <v>0.6001928646543857</v>
      </c>
      <c r="R108" s="43">
        <f t="shared" si="128"/>
        <v>0.6144463210347888</v>
      </c>
      <c r="S108" s="43">
        <f t="shared" si="128"/>
        <v>0.61232114228158441</v>
      </c>
      <c r="T108" s="43">
        <f t="shared" si="128"/>
        <v>0.58958048261664442</v>
      </c>
      <c r="U108" s="43">
        <f t="shared" si="128"/>
        <v>0.56724283863536185</v>
      </c>
      <c r="V108" s="43">
        <f t="shared" si="128"/>
        <v>0.53825698222737306</v>
      </c>
      <c r="W108" s="43">
        <f t="shared" ref="W108:Y108" si="129">IF(W6=0,0,W6/W$4)</f>
        <v>0.55163452904529497</v>
      </c>
      <c r="X108" s="43">
        <f t="shared" si="129"/>
        <v>0.5650488247941885</v>
      </c>
      <c r="Y108" s="43">
        <f t="shared" si="129"/>
        <v>0.54391755007543274</v>
      </c>
      <c r="DA108" s="199"/>
    </row>
    <row r="109" spans="1:105" ht="11.45" customHeight="1" x14ac:dyDescent="0.25">
      <c r="A109" s="37" t="s">
        <v>182</v>
      </c>
      <c r="B109" s="43">
        <f t="shared" ref="B109:C109" si="130">IF(B7=0,0,B7/B$4)</f>
        <v>0.2111974919524226</v>
      </c>
      <c r="C109" s="43">
        <f t="shared" si="130"/>
        <v>0.17479202249562176</v>
      </c>
      <c r="D109" s="43">
        <f t="shared" ref="D109:V109" si="131">IF(D7=0,0,D7/D$4)</f>
        <v>0.17570010103541348</v>
      </c>
      <c r="E109" s="43">
        <f t="shared" si="131"/>
        <v>0.1721494942227684</v>
      </c>
      <c r="F109" s="43">
        <f t="shared" si="131"/>
        <v>0.19517417919339058</v>
      </c>
      <c r="G109" s="43">
        <f t="shared" si="131"/>
        <v>0.20338814230113475</v>
      </c>
      <c r="H109" s="43">
        <f t="shared" si="131"/>
        <v>0.21821640429438258</v>
      </c>
      <c r="I109" s="43">
        <f t="shared" si="131"/>
        <v>0.22924655898807894</v>
      </c>
      <c r="J109" s="43">
        <f t="shared" si="131"/>
        <v>0.25165961772405959</v>
      </c>
      <c r="K109" s="43">
        <f t="shared" si="131"/>
        <v>0.26059642348323298</v>
      </c>
      <c r="L109" s="43">
        <f t="shared" si="131"/>
        <v>0.26864406244014211</v>
      </c>
      <c r="M109" s="43">
        <f t="shared" si="131"/>
        <v>0.26830642271726585</v>
      </c>
      <c r="N109" s="43">
        <f t="shared" si="131"/>
        <v>0.2738332423985434</v>
      </c>
      <c r="O109" s="43">
        <f t="shared" si="131"/>
        <v>0.27620013292025652</v>
      </c>
      <c r="P109" s="43">
        <f t="shared" si="131"/>
        <v>0.27281535519058597</v>
      </c>
      <c r="Q109" s="43">
        <f t="shared" si="131"/>
        <v>0.27286592509076696</v>
      </c>
      <c r="R109" s="43">
        <f t="shared" si="131"/>
        <v>0.26106115238187422</v>
      </c>
      <c r="S109" s="43">
        <f t="shared" si="131"/>
        <v>0.26385098238082438</v>
      </c>
      <c r="T109" s="43">
        <f t="shared" si="131"/>
        <v>0.27972430820857191</v>
      </c>
      <c r="U109" s="43">
        <f t="shared" si="131"/>
        <v>0.29950184664105522</v>
      </c>
      <c r="V109" s="43">
        <f t="shared" si="131"/>
        <v>0.26800864785136214</v>
      </c>
      <c r="W109" s="43">
        <f t="shared" ref="W109:Y109" si="132">IF(W7=0,0,W7/W$4)</f>
        <v>0.22727591141490677</v>
      </c>
      <c r="X109" s="43">
        <f t="shared" si="132"/>
        <v>0.27881079028165001</v>
      </c>
      <c r="Y109" s="43">
        <f t="shared" si="132"/>
        <v>0.31089346951414143</v>
      </c>
      <c r="DA109" s="199"/>
    </row>
    <row r="110" spans="1:105" ht="11.45" customHeight="1" x14ac:dyDescent="0.25">
      <c r="A110" s="12" t="s">
        <v>39</v>
      </c>
      <c r="B110" s="17">
        <f t="shared" ref="B110:C110" si="133">IF(B8=0,0,B8/B$8)</f>
        <v>1</v>
      </c>
      <c r="C110" s="17">
        <f t="shared" si="133"/>
        <v>1</v>
      </c>
      <c r="D110" s="17">
        <f t="shared" ref="D110:V110" si="134">IF(D8=0,0,D8/D$8)</f>
        <v>1</v>
      </c>
      <c r="E110" s="17">
        <f t="shared" si="134"/>
        <v>1</v>
      </c>
      <c r="F110" s="17">
        <f t="shared" si="134"/>
        <v>1</v>
      </c>
      <c r="G110" s="17">
        <f t="shared" si="134"/>
        <v>1</v>
      </c>
      <c r="H110" s="17">
        <f t="shared" si="134"/>
        <v>1</v>
      </c>
      <c r="I110" s="17">
        <f t="shared" si="134"/>
        <v>1</v>
      </c>
      <c r="J110" s="17">
        <f t="shared" si="134"/>
        <v>1</v>
      </c>
      <c r="K110" s="17">
        <f t="shared" si="134"/>
        <v>1</v>
      </c>
      <c r="L110" s="17">
        <f t="shared" si="134"/>
        <v>1</v>
      </c>
      <c r="M110" s="17">
        <f t="shared" si="134"/>
        <v>1</v>
      </c>
      <c r="N110" s="17">
        <f t="shared" si="134"/>
        <v>1</v>
      </c>
      <c r="O110" s="17">
        <f t="shared" si="134"/>
        <v>1</v>
      </c>
      <c r="P110" s="17">
        <f t="shared" si="134"/>
        <v>1</v>
      </c>
      <c r="Q110" s="17">
        <f t="shared" si="134"/>
        <v>1</v>
      </c>
      <c r="R110" s="17">
        <f t="shared" si="134"/>
        <v>1</v>
      </c>
      <c r="S110" s="17">
        <f t="shared" si="134"/>
        <v>1</v>
      </c>
      <c r="T110" s="17">
        <f t="shared" si="134"/>
        <v>1</v>
      </c>
      <c r="U110" s="17">
        <f t="shared" si="134"/>
        <v>1</v>
      </c>
      <c r="V110" s="17">
        <f t="shared" si="134"/>
        <v>1</v>
      </c>
      <c r="W110" s="17">
        <f t="shared" ref="W110:Y110" si="135">IF(W8=0,0,W8/W$8)</f>
        <v>1</v>
      </c>
      <c r="X110" s="17">
        <f t="shared" si="135"/>
        <v>1</v>
      </c>
      <c r="Y110" s="17">
        <f t="shared" si="135"/>
        <v>1</v>
      </c>
      <c r="DA110" s="194"/>
    </row>
    <row r="111" spans="1:105" ht="11.45" customHeight="1" x14ac:dyDescent="0.25">
      <c r="A111" s="42" t="s">
        <v>27</v>
      </c>
      <c r="B111" s="44">
        <f t="shared" ref="B111:C111" si="136">IF(B9=0,0,B9/B$8)</f>
        <v>0.11273482542868078</v>
      </c>
      <c r="C111" s="44">
        <f t="shared" si="136"/>
        <v>0.10630585439098457</v>
      </c>
      <c r="D111" s="44">
        <f t="shared" ref="D111:V111" si="137">IF(D9=0,0,D9/D$8)</f>
        <v>0.113162041878239</v>
      </c>
      <c r="E111" s="44">
        <f t="shared" si="137"/>
        <v>0.10816046149450477</v>
      </c>
      <c r="F111" s="44">
        <f t="shared" si="137"/>
        <v>0.11516604705236211</v>
      </c>
      <c r="G111" s="44">
        <f t="shared" si="137"/>
        <v>0.12021746015354318</v>
      </c>
      <c r="H111" s="44">
        <f t="shared" si="137"/>
        <v>0.11304899841006957</v>
      </c>
      <c r="I111" s="44">
        <f t="shared" si="137"/>
        <v>9.9164822628107524E-2</v>
      </c>
      <c r="J111" s="44">
        <f t="shared" si="137"/>
        <v>8.8292621125585904E-2</v>
      </c>
      <c r="K111" s="44">
        <f t="shared" si="137"/>
        <v>7.3620158838928126E-2</v>
      </c>
      <c r="L111" s="44">
        <f t="shared" si="137"/>
        <v>5.6367212488954654E-2</v>
      </c>
      <c r="M111" s="44">
        <f t="shared" si="137"/>
        <v>4.930161750410629E-2</v>
      </c>
      <c r="N111" s="44">
        <f t="shared" si="137"/>
        <v>4.3414028435141472E-2</v>
      </c>
      <c r="O111" s="44">
        <f t="shared" si="137"/>
        <v>4.0871668826781289E-2</v>
      </c>
      <c r="P111" s="44">
        <f t="shared" si="137"/>
        <v>3.8835944428553107E-2</v>
      </c>
      <c r="Q111" s="44">
        <f t="shared" si="137"/>
        <v>3.4096521597696786E-2</v>
      </c>
      <c r="R111" s="44">
        <f t="shared" si="137"/>
        <v>3.3284343836815923E-2</v>
      </c>
      <c r="S111" s="44">
        <f t="shared" si="137"/>
        <v>2.66164024197246E-2</v>
      </c>
      <c r="T111" s="44">
        <f t="shared" si="137"/>
        <v>2.3068985609536775E-2</v>
      </c>
      <c r="U111" s="44">
        <f t="shared" si="137"/>
        <v>2.222558453860931E-2</v>
      </c>
      <c r="V111" s="44">
        <f t="shared" si="137"/>
        <v>3.0929887731810584E-2</v>
      </c>
      <c r="W111" s="44">
        <f t="shared" ref="W111:Y111" si="138">IF(W9=0,0,W9/W$8)</f>
        <v>2.4369925562418539E-2</v>
      </c>
      <c r="X111" s="44">
        <f t="shared" si="138"/>
        <v>1.3208727203399587E-2</v>
      </c>
      <c r="Y111" s="44">
        <f t="shared" si="138"/>
        <v>1.0323412959287992E-2</v>
      </c>
      <c r="DA111" s="200"/>
    </row>
    <row r="112" spans="1:105" ht="11.45" customHeight="1" x14ac:dyDescent="0.25">
      <c r="A112" s="42" t="s">
        <v>181</v>
      </c>
      <c r="B112" s="44">
        <f t="shared" ref="B112:C112" si="139">IF(B10=0,0,B10/B$8)</f>
        <v>0.18708425920023966</v>
      </c>
      <c r="C112" s="44">
        <f t="shared" si="139"/>
        <v>0.18323990374467233</v>
      </c>
      <c r="D112" s="44">
        <f t="shared" ref="D112:V112" si="140">IF(D10=0,0,D10/D$8)</f>
        <v>0.18700174951490903</v>
      </c>
      <c r="E112" s="44">
        <f t="shared" si="140"/>
        <v>0.19358210892203431</v>
      </c>
      <c r="F112" s="44">
        <f t="shared" si="140"/>
        <v>0.18196115770363086</v>
      </c>
      <c r="G112" s="44">
        <f t="shared" si="140"/>
        <v>0.18262096470934269</v>
      </c>
      <c r="H112" s="44">
        <f t="shared" si="140"/>
        <v>0.15012588771112195</v>
      </c>
      <c r="I112" s="44">
        <f t="shared" si="140"/>
        <v>0.11565943946762779</v>
      </c>
      <c r="J112" s="44">
        <f t="shared" si="140"/>
        <v>0.11029008640715804</v>
      </c>
      <c r="K112" s="44">
        <f t="shared" si="140"/>
        <v>0.10788264700084409</v>
      </c>
      <c r="L112" s="44">
        <f t="shared" si="140"/>
        <v>9.2272656395512714E-2</v>
      </c>
      <c r="M112" s="44">
        <f t="shared" si="140"/>
        <v>8.8285911716333668E-2</v>
      </c>
      <c r="N112" s="44">
        <f t="shared" si="140"/>
        <v>8.7373074923786292E-2</v>
      </c>
      <c r="O112" s="44">
        <f t="shared" si="140"/>
        <v>8.7810268832764271E-2</v>
      </c>
      <c r="P112" s="44">
        <f t="shared" si="140"/>
        <v>8.6632956938538494E-2</v>
      </c>
      <c r="Q112" s="44">
        <f t="shared" si="140"/>
        <v>8.3871439984676679E-2</v>
      </c>
      <c r="R112" s="44">
        <f t="shared" si="140"/>
        <v>7.9453765278402547E-2</v>
      </c>
      <c r="S112" s="44">
        <f t="shared" si="140"/>
        <v>6.7954968135224489E-2</v>
      </c>
      <c r="T112" s="44">
        <f t="shared" si="140"/>
        <v>6.0665154106058522E-2</v>
      </c>
      <c r="U112" s="44">
        <f t="shared" si="140"/>
        <v>6.7883617542180988E-2</v>
      </c>
      <c r="V112" s="44">
        <f t="shared" si="140"/>
        <v>0.12209579632785528</v>
      </c>
      <c r="W112" s="44">
        <f t="shared" ref="W112:Y112" si="141">IF(W10=0,0,W10/W$8)</f>
        <v>0.10643651943422068</v>
      </c>
      <c r="X112" s="44">
        <f t="shared" si="141"/>
        <v>8.6313183443906025E-2</v>
      </c>
      <c r="Y112" s="44">
        <f t="shared" si="141"/>
        <v>6.0796065080029139E-2</v>
      </c>
      <c r="DA112" s="200"/>
    </row>
    <row r="113" spans="1:105" ht="11.45" customHeight="1" x14ac:dyDescent="0.25">
      <c r="A113" s="38" t="s">
        <v>182</v>
      </c>
      <c r="B113" s="45">
        <f t="shared" ref="B113:C113" si="142">IF(B11=0,0,B11/B$8)</f>
        <v>0.70018091537107963</v>
      </c>
      <c r="C113" s="45">
        <f t="shared" si="142"/>
        <v>0.71045424186434314</v>
      </c>
      <c r="D113" s="45">
        <f t="shared" ref="D113:V113" si="143">IF(D11=0,0,D11/D$8)</f>
        <v>0.69983620860685203</v>
      </c>
      <c r="E113" s="45">
        <f t="shared" si="143"/>
        <v>0.69825742958346093</v>
      </c>
      <c r="F113" s="45">
        <f t="shared" si="143"/>
        <v>0.70287279524400703</v>
      </c>
      <c r="G113" s="45">
        <f t="shared" si="143"/>
        <v>0.69716157513711419</v>
      </c>
      <c r="H113" s="45">
        <f t="shared" si="143"/>
        <v>0.73682511387880845</v>
      </c>
      <c r="I113" s="45">
        <f t="shared" si="143"/>
        <v>0.78517573790426476</v>
      </c>
      <c r="J113" s="45">
        <f t="shared" si="143"/>
        <v>0.80141729246725601</v>
      </c>
      <c r="K113" s="45">
        <f t="shared" si="143"/>
        <v>0.81849719416022781</v>
      </c>
      <c r="L113" s="45">
        <f t="shared" si="143"/>
        <v>0.85136013111553255</v>
      </c>
      <c r="M113" s="45">
        <f t="shared" si="143"/>
        <v>0.86241247077956007</v>
      </c>
      <c r="N113" s="45">
        <f t="shared" si="143"/>
        <v>0.86921289664107226</v>
      </c>
      <c r="O113" s="45">
        <f t="shared" si="143"/>
        <v>0.87131806234045439</v>
      </c>
      <c r="P113" s="45">
        <f t="shared" si="143"/>
        <v>0.87453109863290834</v>
      </c>
      <c r="Q113" s="45">
        <f t="shared" si="143"/>
        <v>0.88203203841762645</v>
      </c>
      <c r="R113" s="45">
        <f t="shared" si="143"/>
        <v>0.88726189088478158</v>
      </c>
      <c r="S113" s="45">
        <f t="shared" si="143"/>
        <v>0.90542862944505087</v>
      </c>
      <c r="T113" s="45">
        <f t="shared" si="143"/>
        <v>0.9162658602844046</v>
      </c>
      <c r="U113" s="45">
        <f t="shared" si="143"/>
        <v>0.90989079791920979</v>
      </c>
      <c r="V113" s="45">
        <f t="shared" si="143"/>
        <v>0.84697431594033401</v>
      </c>
      <c r="W113" s="45">
        <f t="shared" ref="W113:Y113" si="144">IF(W11=0,0,W11/W$8)</f>
        <v>0.86919355500336082</v>
      </c>
      <c r="X113" s="45">
        <f t="shared" si="144"/>
        <v>0.90047808935269447</v>
      </c>
      <c r="Y113" s="45">
        <f t="shared" si="144"/>
        <v>0.92888052196068294</v>
      </c>
      <c r="DA113" s="201"/>
    </row>
    <row r="114" spans="1:105" x14ac:dyDescent="0.25">
      <c r="A114" s="50"/>
      <c r="B114" s="50"/>
      <c r="C114" s="50"/>
      <c r="D114" s="51"/>
      <c r="E114" s="51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X114" s="51"/>
      <c r="Y114" s="51"/>
      <c r="DA114" s="181"/>
    </row>
    <row r="115" spans="1:105" ht="11.45" customHeight="1" x14ac:dyDescent="0.25">
      <c r="A115" s="53" t="s">
        <v>66</v>
      </c>
      <c r="B115" s="76"/>
      <c r="C115" s="76"/>
      <c r="D115" s="76"/>
      <c r="E115" s="76"/>
      <c r="F115" s="76"/>
      <c r="G115" s="76"/>
      <c r="H115" s="76"/>
      <c r="I115" s="76"/>
      <c r="J115" s="76"/>
      <c r="K115" s="76"/>
      <c r="L115" s="76"/>
      <c r="M115" s="76"/>
      <c r="N115" s="76"/>
      <c r="O115" s="76"/>
      <c r="P115" s="76"/>
      <c r="Q115" s="76"/>
      <c r="R115" s="76"/>
      <c r="S115" s="76"/>
      <c r="T115" s="76"/>
      <c r="U115" s="76"/>
      <c r="V115" s="76"/>
      <c r="W115" s="76"/>
      <c r="X115" s="76"/>
      <c r="Y115" s="76"/>
      <c r="DA115" s="183"/>
    </row>
    <row r="116" spans="1:105" ht="11.45" customHeight="1" x14ac:dyDescent="0.25">
      <c r="A116" s="10" t="s">
        <v>33</v>
      </c>
      <c r="B116" s="16">
        <f t="shared" ref="B116:C116" si="145">IF(B14=0,0,B14/B$14)</f>
        <v>1</v>
      </c>
      <c r="C116" s="16">
        <f t="shared" si="145"/>
        <v>1</v>
      </c>
      <c r="D116" s="16">
        <f t="shared" ref="D116:V116" si="146">IF(D14=0,0,D14/D$14)</f>
        <v>1</v>
      </c>
      <c r="E116" s="16">
        <f t="shared" si="146"/>
        <v>1</v>
      </c>
      <c r="F116" s="16">
        <f t="shared" si="146"/>
        <v>1</v>
      </c>
      <c r="G116" s="16">
        <f t="shared" si="146"/>
        <v>1</v>
      </c>
      <c r="H116" s="16">
        <f t="shared" si="146"/>
        <v>1</v>
      </c>
      <c r="I116" s="16">
        <f t="shared" si="146"/>
        <v>1</v>
      </c>
      <c r="J116" s="16">
        <f t="shared" si="146"/>
        <v>1</v>
      </c>
      <c r="K116" s="16">
        <f t="shared" si="146"/>
        <v>1</v>
      </c>
      <c r="L116" s="16">
        <f t="shared" si="146"/>
        <v>1</v>
      </c>
      <c r="M116" s="16">
        <f t="shared" si="146"/>
        <v>1</v>
      </c>
      <c r="N116" s="16">
        <f t="shared" si="146"/>
        <v>1</v>
      </c>
      <c r="O116" s="16">
        <f t="shared" si="146"/>
        <v>1</v>
      </c>
      <c r="P116" s="16">
        <f t="shared" si="146"/>
        <v>1</v>
      </c>
      <c r="Q116" s="16">
        <f t="shared" si="146"/>
        <v>1</v>
      </c>
      <c r="R116" s="16">
        <f t="shared" si="146"/>
        <v>1</v>
      </c>
      <c r="S116" s="16">
        <f t="shared" si="146"/>
        <v>1</v>
      </c>
      <c r="T116" s="16">
        <f t="shared" si="146"/>
        <v>1</v>
      </c>
      <c r="U116" s="16">
        <f t="shared" si="146"/>
        <v>1</v>
      </c>
      <c r="V116" s="16">
        <f t="shared" si="146"/>
        <v>1</v>
      </c>
      <c r="W116" s="16">
        <f t="shared" ref="W116:Y116" si="147">IF(W14=0,0,W14/W$14)</f>
        <v>1</v>
      </c>
      <c r="X116" s="16">
        <f t="shared" si="147"/>
        <v>1</v>
      </c>
      <c r="Y116" s="16">
        <f t="shared" si="147"/>
        <v>1</v>
      </c>
      <c r="DA116" s="190"/>
    </row>
    <row r="117" spans="1:105" ht="11.45" customHeight="1" x14ac:dyDescent="0.25">
      <c r="A117" s="37" t="s">
        <v>27</v>
      </c>
      <c r="B117" s="43">
        <f t="shared" ref="B117:C117" si="148">IF(B15=0,0,B15/B$14)</f>
        <v>0.26589626722722592</v>
      </c>
      <c r="C117" s="43">
        <f t="shared" si="148"/>
        <v>0.26056873928163798</v>
      </c>
      <c r="D117" s="43">
        <f t="shared" ref="D117:V117" si="149">IF(D15=0,0,D15/D$14)</f>
        <v>0.23749329814832307</v>
      </c>
      <c r="E117" s="43">
        <f t="shared" si="149"/>
        <v>0.25273607451081498</v>
      </c>
      <c r="F117" s="43">
        <f t="shared" si="149"/>
        <v>0.25310215964747312</v>
      </c>
      <c r="G117" s="43">
        <f t="shared" si="149"/>
        <v>0.26364397877860274</v>
      </c>
      <c r="H117" s="43">
        <f t="shared" si="149"/>
        <v>0.26376679900804362</v>
      </c>
      <c r="I117" s="43">
        <f t="shared" si="149"/>
        <v>0.25600783522363646</v>
      </c>
      <c r="J117" s="43">
        <f t="shared" si="149"/>
        <v>0.24348411362560332</v>
      </c>
      <c r="K117" s="43">
        <f t="shared" si="149"/>
        <v>0.2392671939364813</v>
      </c>
      <c r="L117" s="43">
        <f t="shared" si="149"/>
        <v>0.23023643451600673</v>
      </c>
      <c r="M117" s="43">
        <f t="shared" si="149"/>
        <v>0.21000589972164085</v>
      </c>
      <c r="N117" s="43">
        <f t="shared" si="149"/>
        <v>0.18356132450243004</v>
      </c>
      <c r="O117" s="43">
        <f t="shared" si="149"/>
        <v>0.15890205242778938</v>
      </c>
      <c r="P117" s="43">
        <f t="shared" si="149"/>
        <v>0.15478601304044981</v>
      </c>
      <c r="Q117" s="43">
        <f t="shared" si="149"/>
        <v>0.15680770316404724</v>
      </c>
      <c r="R117" s="43">
        <f t="shared" si="149"/>
        <v>0.15140000652204774</v>
      </c>
      <c r="S117" s="43">
        <f t="shared" si="149"/>
        <v>0.14852070795523858</v>
      </c>
      <c r="T117" s="43">
        <f t="shared" si="149"/>
        <v>0.15603957080478698</v>
      </c>
      <c r="U117" s="43">
        <f t="shared" si="149"/>
        <v>0.16165156988737239</v>
      </c>
      <c r="V117" s="43">
        <f t="shared" si="149"/>
        <v>0.23238669705014647</v>
      </c>
      <c r="W117" s="43">
        <f t="shared" ref="W117:Y117" si="150">IF(W15=0,0,W15/W$14)</f>
        <v>0.23353659305358437</v>
      </c>
      <c r="X117" s="43">
        <f t="shared" si="150"/>
        <v>0.17951993560113114</v>
      </c>
      <c r="Y117" s="43">
        <f t="shared" si="150"/>
        <v>0.17011660512231883</v>
      </c>
      <c r="DA117" s="199"/>
    </row>
    <row r="118" spans="1:105" ht="11.45" customHeight="1" x14ac:dyDescent="0.25">
      <c r="A118" s="37" t="s">
        <v>181</v>
      </c>
      <c r="B118" s="43">
        <f t="shared" ref="B118:C118" si="151">IF(B16=0,0,B16/B$14)</f>
        <v>0.54451071641135318</v>
      </c>
      <c r="C118" s="43">
        <f t="shared" si="151"/>
        <v>0.58562965734526673</v>
      </c>
      <c r="D118" s="43">
        <f t="shared" ref="D118:V118" si="152">IF(D16=0,0,D16/D$14)</f>
        <v>0.57644889130300492</v>
      </c>
      <c r="E118" s="43">
        <f t="shared" si="152"/>
        <v>0.61763887785033866</v>
      </c>
      <c r="F118" s="43">
        <f t="shared" si="152"/>
        <v>0.6011769711665893</v>
      </c>
      <c r="G118" s="43">
        <f t="shared" si="152"/>
        <v>0.58418819945545564</v>
      </c>
      <c r="H118" s="43">
        <f t="shared" si="152"/>
        <v>0.57090275491014664</v>
      </c>
      <c r="I118" s="43">
        <f t="shared" si="152"/>
        <v>0.57028822766682119</v>
      </c>
      <c r="J118" s="43">
        <f t="shared" si="152"/>
        <v>0.56769472924045039</v>
      </c>
      <c r="K118" s="43">
        <f t="shared" si="152"/>
        <v>0.56402986800436739</v>
      </c>
      <c r="L118" s="43">
        <f t="shared" si="152"/>
        <v>0.568645890101379</v>
      </c>
      <c r="M118" s="43">
        <f t="shared" si="152"/>
        <v>0.58318643835471573</v>
      </c>
      <c r="N118" s="43">
        <f t="shared" si="152"/>
        <v>0.60089618730567651</v>
      </c>
      <c r="O118" s="43">
        <f t="shared" si="152"/>
        <v>0.61818763639295538</v>
      </c>
      <c r="P118" s="43">
        <f t="shared" si="152"/>
        <v>0.62573829639682566</v>
      </c>
      <c r="Q118" s="43">
        <f t="shared" si="152"/>
        <v>0.62803725879747263</v>
      </c>
      <c r="R118" s="43">
        <f t="shared" si="152"/>
        <v>0.64469589411944828</v>
      </c>
      <c r="S118" s="43">
        <f t="shared" si="152"/>
        <v>0.64619462192102439</v>
      </c>
      <c r="T118" s="43">
        <f t="shared" si="152"/>
        <v>0.63275178882982441</v>
      </c>
      <c r="U118" s="43">
        <f t="shared" si="152"/>
        <v>0.61294659657026984</v>
      </c>
      <c r="V118" s="43">
        <f t="shared" si="152"/>
        <v>0.59170460321962015</v>
      </c>
      <c r="W118" s="43">
        <f t="shared" ref="W118:Y118" si="153">IF(W16=0,0,W16/W$14)</f>
        <v>0.60218096344847682</v>
      </c>
      <c r="X118" s="43">
        <f t="shared" si="153"/>
        <v>0.6243579189039512</v>
      </c>
      <c r="Y118" s="43">
        <f t="shared" si="153"/>
        <v>0.6046857686668724</v>
      </c>
      <c r="DA118" s="199"/>
    </row>
    <row r="119" spans="1:105" ht="11.45" customHeight="1" x14ac:dyDescent="0.25">
      <c r="A119" s="37" t="s">
        <v>182</v>
      </c>
      <c r="B119" s="43">
        <f t="shared" ref="B119:C119" si="154">IF(B17=0,0,B17/B$14)</f>
        <v>0.18959301636142092</v>
      </c>
      <c r="C119" s="43">
        <f t="shared" si="154"/>
        <v>0.15380160337309529</v>
      </c>
      <c r="D119" s="43">
        <f t="shared" ref="D119:V119" si="155">IF(D17=0,0,D17/D$14)</f>
        <v>0.18605781054867207</v>
      </c>
      <c r="E119" s="43">
        <f t="shared" si="155"/>
        <v>0.12962504763884647</v>
      </c>
      <c r="F119" s="43">
        <f t="shared" si="155"/>
        <v>0.14572086918593757</v>
      </c>
      <c r="G119" s="43">
        <f t="shared" si="155"/>
        <v>0.15216782176594162</v>
      </c>
      <c r="H119" s="43">
        <f t="shared" si="155"/>
        <v>0.16533044608180975</v>
      </c>
      <c r="I119" s="43">
        <f t="shared" si="155"/>
        <v>0.17370393710954235</v>
      </c>
      <c r="J119" s="43">
        <f t="shared" si="155"/>
        <v>0.18882115713394645</v>
      </c>
      <c r="K119" s="43">
        <f t="shared" si="155"/>
        <v>0.1967029380591514</v>
      </c>
      <c r="L119" s="43">
        <f t="shared" si="155"/>
        <v>0.20111767538261432</v>
      </c>
      <c r="M119" s="43">
        <f t="shared" si="155"/>
        <v>0.20680766192364342</v>
      </c>
      <c r="N119" s="43">
        <f t="shared" si="155"/>
        <v>0.21554248819189362</v>
      </c>
      <c r="O119" s="43">
        <f t="shared" si="155"/>
        <v>0.22291031117925536</v>
      </c>
      <c r="P119" s="43">
        <f t="shared" si="155"/>
        <v>0.21947569056272453</v>
      </c>
      <c r="Q119" s="43">
        <f t="shared" si="155"/>
        <v>0.21515503803848024</v>
      </c>
      <c r="R119" s="43">
        <f t="shared" si="155"/>
        <v>0.20390409935850398</v>
      </c>
      <c r="S119" s="43">
        <f t="shared" si="155"/>
        <v>0.205284670123737</v>
      </c>
      <c r="T119" s="43">
        <f t="shared" si="155"/>
        <v>0.21120864036538872</v>
      </c>
      <c r="U119" s="43">
        <f t="shared" si="155"/>
        <v>0.22540183354235777</v>
      </c>
      <c r="V119" s="43">
        <f t="shared" si="155"/>
        <v>0.17590869973023335</v>
      </c>
      <c r="W119" s="43">
        <f t="shared" ref="W119:Y119" si="156">IF(W17=0,0,W17/W$14)</f>
        <v>0.16428244349793866</v>
      </c>
      <c r="X119" s="43">
        <f t="shared" si="156"/>
        <v>0.1961221454949178</v>
      </c>
      <c r="Y119" s="43">
        <f t="shared" si="156"/>
        <v>0.22519762621080869</v>
      </c>
      <c r="DA119" s="199"/>
    </row>
    <row r="120" spans="1:105" ht="11.45" customHeight="1" x14ac:dyDescent="0.25">
      <c r="A120" s="12" t="s">
        <v>34</v>
      </c>
      <c r="B120" s="17">
        <f t="shared" ref="B120:C120" si="157">IF(B18=0,0,B18/B$18)</f>
        <v>1</v>
      </c>
      <c r="C120" s="17">
        <f t="shared" si="157"/>
        <v>1</v>
      </c>
      <c r="D120" s="17">
        <f t="shared" ref="D120:V120" si="158">IF(D18=0,0,D18/D$18)</f>
        <v>1</v>
      </c>
      <c r="E120" s="17">
        <f t="shared" si="158"/>
        <v>1</v>
      </c>
      <c r="F120" s="17">
        <f t="shared" si="158"/>
        <v>1</v>
      </c>
      <c r="G120" s="17">
        <f t="shared" si="158"/>
        <v>1</v>
      </c>
      <c r="H120" s="17">
        <f t="shared" si="158"/>
        <v>1</v>
      </c>
      <c r="I120" s="17">
        <f t="shared" si="158"/>
        <v>1</v>
      </c>
      <c r="J120" s="17">
        <f t="shared" si="158"/>
        <v>1</v>
      </c>
      <c r="K120" s="17">
        <f t="shared" si="158"/>
        <v>1</v>
      </c>
      <c r="L120" s="17">
        <f t="shared" si="158"/>
        <v>1</v>
      </c>
      <c r="M120" s="17">
        <f t="shared" si="158"/>
        <v>1</v>
      </c>
      <c r="N120" s="17">
        <f t="shared" si="158"/>
        <v>1</v>
      </c>
      <c r="O120" s="17">
        <f t="shared" si="158"/>
        <v>1</v>
      </c>
      <c r="P120" s="17">
        <f t="shared" si="158"/>
        <v>1</v>
      </c>
      <c r="Q120" s="17">
        <f t="shared" si="158"/>
        <v>1</v>
      </c>
      <c r="R120" s="17">
        <f t="shared" si="158"/>
        <v>1</v>
      </c>
      <c r="S120" s="17">
        <f t="shared" si="158"/>
        <v>1</v>
      </c>
      <c r="T120" s="17">
        <f t="shared" si="158"/>
        <v>1</v>
      </c>
      <c r="U120" s="17">
        <f t="shared" si="158"/>
        <v>1</v>
      </c>
      <c r="V120" s="17">
        <f t="shared" si="158"/>
        <v>1</v>
      </c>
      <c r="W120" s="17">
        <f t="shared" ref="W120:Y120" si="159">IF(W18=0,0,W18/W$18)</f>
        <v>1</v>
      </c>
      <c r="X120" s="17">
        <f t="shared" si="159"/>
        <v>1</v>
      </c>
      <c r="Y120" s="17">
        <f t="shared" si="159"/>
        <v>1</v>
      </c>
      <c r="DA120" s="194"/>
    </row>
    <row r="121" spans="1:105" ht="11.45" customHeight="1" x14ac:dyDescent="0.25">
      <c r="A121" s="42" t="s">
        <v>27</v>
      </c>
      <c r="B121" s="44">
        <f t="shared" ref="B121:C121" si="160">IF(B19=0,0,B19/B$18)</f>
        <v>0.35251838893350607</v>
      </c>
      <c r="C121" s="44">
        <f t="shared" si="160"/>
        <v>0.35193811427055044</v>
      </c>
      <c r="D121" s="44">
        <f t="shared" ref="D121:V121" si="161">IF(D19=0,0,D19/D$18)</f>
        <v>0.34636912882785675</v>
      </c>
      <c r="E121" s="44">
        <f t="shared" si="161"/>
        <v>0.30986646165932896</v>
      </c>
      <c r="F121" s="44">
        <f t="shared" si="161"/>
        <v>0.32842726648696474</v>
      </c>
      <c r="G121" s="44">
        <f t="shared" si="161"/>
        <v>0.33419334613141749</v>
      </c>
      <c r="H121" s="44">
        <f t="shared" si="161"/>
        <v>0.32141914800417182</v>
      </c>
      <c r="I121" s="44">
        <f t="shared" si="161"/>
        <v>0.30093241570284157</v>
      </c>
      <c r="J121" s="44">
        <f t="shared" si="161"/>
        <v>0.28079930279132814</v>
      </c>
      <c r="K121" s="44">
        <f t="shared" si="161"/>
        <v>0.25962738970150118</v>
      </c>
      <c r="L121" s="44">
        <f t="shared" si="161"/>
        <v>0.20636369172547764</v>
      </c>
      <c r="M121" s="44">
        <f t="shared" si="161"/>
        <v>0.17569751489673269</v>
      </c>
      <c r="N121" s="44">
        <f t="shared" si="161"/>
        <v>0.16284802040405924</v>
      </c>
      <c r="O121" s="44">
        <f t="shared" si="161"/>
        <v>0.15635117016416042</v>
      </c>
      <c r="P121" s="44">
        <f t="shared" si="161"/>
        <v>0.15363712822310327</v>
      </c>
      <c r="Q121" s="44">
        <f t="shared" si="161"/>
        <v>0.13423637429033008</v>
      </c>
      <c r="R121" s="44">
        <f t="shared" si="161"/>
        <v>0.12682893110010879</v>
      </c>
      <c r="S121" s="44">
        <f t="shared" si="161"/>
        <v>0.11010175962958578</v>
      </c>
      <c r="T121" s="44">
        <f t="shared" si="161"/>
        <v>9.6446732500930415E-2</v>
      </c>
      <c r="U121" s="44">
        <f t="shared" si="161"/>
        <v>8.8337502162113599E-2</v>
      </c>
      <c r="V121" s="44">
        <f t="shared" si="161"/>
        <v>9.068300594016164E-2</v>
      </c>
      <c r="W121" s="44">
        <f t="shared" ref="W121:Y121" si="162">IF(W19=0,0,W19/W$18)</f>
        <v>7.187408256658212E-2</v>
      </c>
      <c r="X121" s="44">
        <f t="shared" si="162"/>
        <v>4.3651205113348614E-2</v>
      </c>
      <c r="Y121" s="44">
        <f t="shared" si="162"/>
        <v>3.7116116707871301E-2</v>
      </c>
      <c r="DA121" s="200"/>
    </row>
    <row r="122" spans="1:105" ht="11.45" customHeight="1" x14ac:dyDescent="0.25">
      <c r="A122" s="42" t="s">
        <v>181</v>
      </c>
      <c r="B122" s="44">
        <f t="shared" ref="B122:C122" si="163">IF(B20=0,0,B20/B$18)</f>
        <v>0.2968777786325546</v>
      </c>
      <c r="C122" s="44">
        <f t="shared" si="163"/>
        <v>0.29138510303306853</v>
      </c>
      <c r="D122" s="44">
        <f t="shared" ref="D122:V122" si="164">IF(D20=0,0,D20/D$18)</f>
        <v>0.29984388182136906</v>
      </c>
      <c r="E122" s="44">
        <f t="shared" si="164"/>
        <v>0.30335773666638616</v>
      </c>
      <c r="F122" s="44">
        <f t="shared" si="164"/>
        <v>0.29557097821588152</v>
      </c>
      <c r="G122" s="44">
        <f t="shared" si="164"/>
        <v>0.28748730580483839</v>
      </c>
      <c r="H122" s="44">
        <f t="shared" si="164"/>
        <v>0.27167423423564602</v>
      </c>
      <c r="I122" s="44">
        <f t="shared" si="164"/>
        <v>0.23015271139558288</v>
      </c>
      <c r="J122" s="44">
        <f t="shared" si="164"/>
        <v>0.22670484716175016</v>
      </c>
      <c r="K122" s="44">
        <f t="shared" si="164"/>
        <v>0.24155059534492354</v>
      </c>
      <c r="L122" s="44">
        <f t="shared" si="164"/>
        <v>0.22693241896730257</v>
      </c>
      <c r="M122" s="44">
        <f t="shared" si="164"/>
        <v>0.22453907214621197</v>
      </c>
      <c r="N122" s="44">
        <f t="shared" si="164"/>
        <v>0.22173037547665247</v>
      </c>
      <c r="O122" s="44">
        <f t="shared" si="164"/>
        <v>0.22939911727012505</v>
      </c>
      <c r="P122" s="44">
        <f t="shared" si="164"/>
        <v>0.2262051330608979</v>
      </c>
      <c r="Q122" s="44">
        <f t="shared" si="164"/>
        <v>0.2268843401312704</v>
      </c>
      <c r="R122" s="44">
        <f t="shared" si="164"/>
        <v>0.21956908754281801</v>
      </c>
      <c r="S122" s="44">
        <f t="shared" si="164"/>
        <v>0.20467109792685509</v>
      </c>
      <c r="T122" s="44">
        <f t="shared" si="164"/>
        <v>0.19067439631578931</v>
      </c>
      <c r="U122" s="44">
        <f t="shared" si="164"/>
        <v>0.21115599045574104</v>
      </c>
      <c r="V122" s="44">
        <f t="shared" si="164"/>
        <v>0.28707220266938155</v>
      </c>
      <c r="W122" s="44">
        <f t="shared" ref="W122:Y122" si="165">IF(W20=0,0,W20/W$18)</f>
        <v>0.26699577243749195</v>
      </c>
      <c r="X122" s="44">
        <f t="shared" si="165"/>
        <v>0.24987049927985533</v>
      </c>
      <c r="Y122" s="44">
        <f t="shared" si="165"/>
        <v>0.19237780665836493</v>
      </c>
      <c r="DA122" s="200"/>
    </row>
    <row r="123" spans="1:105" ht="11.45" customHeight="1" x14ac:dyDescent="0.25">
      <c r="A123" s="38" t="s">
        <v>182</v>
      </c>
      <c r="B123" s="45">
        <f t="shared" ref="B123:C123" si="166">IF(B21=0,0,B21/B$18)</f>
        <v>0.35060383243393933</v>
      </c>
      <c r="C123" s="45">
        <f t="shared" si="166"/>
        <v>0.35667678269638087</v>
      </c>
      <c r="D123" s="45">
        <f t="shared" ref="D123:V123" si="167">IF(D21=0,0,D21/D$18)</f>
        <v>0.35378698935077429</v>
      </c>
      <c r="E123" s="45">
        <f t="shared" si="167"/>
        <v>0.38677580167428488</v>
      </c>
      <c r="F123" s="45">
        <f t="shared" si="167"/>
        <v>0.37600175529715379</v>
      </c>
      <c r="G123" s="45">
        <f t="shared" si="167"/>
        <v>0.37831934806374423</v>
      </c>
      <c r="H123" s="45">
        <f t="shared" si="167"/>
        <v>0.40690661776018211</v>
      </c>
      <c r="I123" s="45">
        <f t="shared" si="167"/>
        <v>0.46891487290157552</v>
      </c>
      <c r="J123" s="45">
        <f t="shared" si="167"/>
        <v>0.49249585004692176</v>
      </c>
      <c r="K123" s="45">
        <f t="shared" si="167"/>
        <v>0.49882201495357531</v>
      </c>
      <c r="L123" s="45">
        <f t="shared" si="167"/>
        <v>0.56670388930721971</v>
      </c>
      <c r="M123" s="45">
        <f t="shared" si="167"/>
        <v>0.59976341295705526</v>
      </c>
      <c r="N123" s="45">
        <f t="shared" si="167"/>
        <v>0.61542160411928826</v>
      </c>
      <c r="O123" s="45">
        <f t="shared" si="167"/>
        <v>0.61424971256571448</v>
      </c>
      <c r="P123" s="45">
        <f t="shared" si="167"/>
        <v>0.62015773871599866</v>
      </c>
      <c r="Q123" s="45">
        <f t="shared" si="167"/>
        <v>0.63887928557839957</v>
      </c>
      <c r="R123" s="45">
        <f t="shared" si="167"/>
        <v>0.65360198135707315</v>
      </c>
      <c r="S123" s="45">
        <f t="shared" si="167"/>
        <v>0.68522714244355909</v>
      </c>
      <c r="T123" s="45">
        <f t="shared" si="167"/>
        <v>0.71287887118328019</v>
      </c>
      <c r="U123" s="45">
        <f t="shared" si="167"/>
        <v>0.70050650738214537</v>
      </c>
      <c r="V123" s="45">
        <f t="shared" si="167"/>
        <v>0.62224479139045674</v>
      </c>
      <c r="W123" s="45">
        <f t="shared" ref="W123:Y123" si="168">IF(W21=0,0,W21/W$18)</f>
        <v>0.66113014499592593</v>
      </c>
      <c r="X123" s="45">
        <f t="shared" si="168"/>
        <v>0.70647829560679609</v>
      </c>
      <c r="Y123" s="45">
        <f t="shared" si="168"/>
        <v>0.7705060766337638</v>
      </c>
      <c r="DA123" s="201"/>
    </row>
    <row r="125" spans="1:105" x14ac:dyDescent="0.25">
      <c r="A125" s="18" t="s">
        <v>183</v>
      </c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DA77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276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Z1" s="49"/>
      <c r="AA1" s="49"/>
      <c r="AB1" s="49"/>
      <c r="AC1" s="49"/>
      <c r="AD1" s="49"/>
      <c r="AE1" s="49"/>
      <c r="AF1" s="49"/>
      <c r="DA1" s="170" t="s">
        <v>152</v>
      </c>
    </row>
    <row r="2" spans="1:105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DA2" s="181"/>
    </row>
    <row r="3" spans="1:105" ht="11.45" customHeight="1" x14ac:dyDescent="0.25">
      <c r="A3" s="53" t="s">
        <v>32</v>
      </c>
      <c r="B3" s="79">
        <f t="shared" ref="B3:C3" si="0">SUM(B4:B5)</f>
        <v>4611.9184866723981</v>
      </c>
      <c r="C3" s="79">
        <f t="shared" si="0"/>
        <v>4653.8597592433362</v>
      </c>
      <c r="D3" s="79">
        <f t="shared" ref="D3" si="1">SUM(D4:D5)</f>
        <v>4417.6459157351674</v>
      </c>
      <c r="E3" s="79">
        <f t="shared" ref="E3" si="2">SUM(E4:E5)</f>
        <v>4632.5116938950978</v>
      </c>
      <c r="F3" s="79">
        <f t="shared" ref="F3" si="3">SUM(F4:F5)</f>
        <v>5133.8827171109187</v>
      </c>
      <c r="G3" s="79">
        <f t="shared" ref="G3" si="4">SUM(G4:G5)</f>
        <v>5469.8887360275157</v>
      </c>
      <c r="H3" s="79">
        <f t="shared" ref="H3" si="5">SUM(H4:H5)</f>
        <v>5721.629922613929</v>
      </c>
      <c r="I3" s="79">
        <f t="shared" ref="I3" si="6">SUM(I4:I5)</f>
        <v>6019.7214961306972</v>
      </c>
      <c r="J3" s="79">
        <f t="shared" ref="J3" si="7">SUM(J4:J5)</f>
        <v>5942.8298366294057</v>
      </c>
      <c r="K3" s="79">
        <f t="shared" ref="K3" si="8">SUM(K4:K5)</f>
        <v>5417.2232158211536</v>
      </c>
      <c r="L3" s="79">
        <f t="shared" ref="L3" si="9">SUM(L4:L5)</f>
        <v>5535.1843508168522</v>
      </c>
      <c r="M3" s="79">
        <f t="shared" ref="M3" si="10">SUM(M4:M5)</f>
        <v>5900.6735167669813</v>
      </c>
      <c r="N3" s="79">
        <f t="shared" ref="N3" si="11">SUM(N4:N5)</f>
        <v>5564.6627687016344</v>
      </c>
      <c r="O3" s="79">
        <f t="shared" ref="O3" si="12">SUM(O4:O5)</f>
        <v>5276.0557179707648</v>
      </c>
      <c r="P3" s="79">
        <f t="shared" ref="P3" si="13">SUM(P4:P5)</f>
        <v>5436.1493551160784</v>
      </c>
      <c r="Q3" s="79">
        <f t="shared" ref="Q3" si="14">SUM(Q4:Q5)</f>
        <v>5786.9064488392096</v>
      </c>
      <c r="R3" s="79">
        <f t="shared" ref="R3" si="15">SUM(R4:R5)</f>
        <v>6186.1110920034371</v>
      </c>
      <c r="S3" s="79">
        <f t="shared" ref="S3" si="16">SUM(S4:S5)</f>
        <v>6743.312295786759</v>
      </c>
      <c r="T3" s="79">
        <f t="shared" ref="T3" si="17">SUM(T4:T5)</f>
        <v>7022.4395528804816</v>
      </c>
      <c r="U3" s="79">
        <f t="shared" ref="U3" si="18">SUM(U4:U5)</f>
        <v>7268.9190025795342</v>
      </c>
      <c r="V3" s="79">
        <f t="shared" ref="V3:W3" si="19">SUM(V4:V5)</f>
        <v>2535.337231298367</v>
      </c>
      <c r="W3" s="79">
        <f t="shared" si="19"/>
        <v>3511.0704213241606</v>
      </c>
      <c r="X3" s="79">
        <f t="shared" ref="X3:Y3" si="20">SUM(X4:X5)</f>
        <v>6170.1039552880484</v>
      </c>
      <c r="Y3" s="79">
        <f t="shared" si="20"/>
        <v>6923.2397248495254</v>
      </c>
      <c r="DA3" s="172" t="s">
        <v>277</v>
      </c>
    </row>
    <row r="4" spans="1:105" ht="11.45" customHeight="1" x14ac:dyDescent="0.25">
      <c r="A4" s="95" t="s">
        <v>27</v>
      </c>
      <c r="B4" s="96">
        <f t="shared" ref="B4:C4" si="21">SUM(B7,B11)</f>
        <v>1832.2323301805677</v>
      </c>
      <c r="C4" s="96">
        <f t="shared" si="21"/>
        <v>1822.5613929492692</v>
      </c>
      <c r="D4" s="96">
        <f t="shared" ref="D4:V4" si="22">SUM(D7,D11)</f>
        <v>1694.8385210662079</v>
      </c>
      <c r="E4" s="96">
        <f t="shared" si="22"/>
        <v>1775.933877901977</v>
      </c>
      <c r="F4" s="96">
        <f t="shared" si="22"/>
        <v>1966.5783319002576</v>
      </c>
      <c r="G4" s="96">
        <f t="shared" si="22"/>
        <v>2292.0512467755798</v>
      </c>
      <c r="H4" s="96">
        <f t="shared" si="22"/>
        <v>2408.9687016337057</v>
      </c>
      <c r="I4" s="96">
        <f t="shared" si="22"/>
        <v>2535.3706792777302</v>
      </c>
      <c r="J4" s="96">
        <f t="shared" si="22"/>
        <v>2445.8392949269132</v>
      </c>
      <c r="K4" s="96">
        <f t="shared" si="22"/>
        <v>2164.6006878761827</v>
      </c>
      <c r="L4" s="96">
        <f t="shared" si="22"/>
        <v>2413.1723129836628</v>
      </c>
      <c r="M4" s="96">
        <f t="shared" si="22"/>
        <v>2163.5282029234731</v>
      </c>
      <c r="N4" s="96">
        <f t="shared" si="22"/>
        <v>1872.8098022355978</v>
      </c>
      <c r="O4" s="96">
        <f t="shared" si="22"/>
        <v>1595.7891659501288</v>
      </c>
      <c r="P4" s="96">
        <f t="shared" si="22"/>
        <v>1690.577558039553</v>
      </c>
      <c r="Q4" s="96">
        <f t="shared" si="22"/>
        <v>1828.5659501289765</v>
      </c>
      <c r="R4" s="96">
        <f t="shared" si="22"/>
        <v>1989.7224419604465</v>
      </c>
      <c r="S4" s="96">
        <f t="shared" si="22"/>
        <v>2162.4653482373178</v>
      </c>
      <c r="T4" s="96">
        <f t="shared" si="22"/>
        <v>2249.8901117798796</v>
      </c>
      <c r="U4" s="96">
        <f t="shared" si="22"/>
        <v>2378.3987962166807</v>
      </c>
      <c r="V4" s="96">
        <f t="shared" si="22"/>
        <v>959.58486672398965</v>
      </c>
      <c r="W4" s="96">
        <f t="shared" ref="W4:Y4" si="23">SUM(W7,W11)</f>
        <v>1663.7628546861561</v>
      </c>
      <c r="X4" s="96">
        <f t="shared" si="23"/>
        <v>2504.3350816852962</v>
      </c>
      <c r="Y4" s="96">
        <f t="shared" si="23"/>
        <v>2644.9912295786753</v>
      </c>
      <c r="DA4" s="171" t="s">
        <v>278</v>
      </c>
    </row>
    <row r="5" spans="1:105" ht="11.45" customHeight="1" x14ac:dyDescent="0.25">
      <c r="A5" s="95" t="s">
        <v>116</v>
      </c>
      <c r="B5" s="96">
        <f t="shared" ref="B5:C5" si="24">SUM(B8:B9,B12:B13)</f>
        <v>2779.6861564918304</v>
      </c>
      <c r="C5" s="96">
        <f t="shared" si="24"/>
        <v>2831.2983662940669</v>
      </c>
      <c r="D5" s="96">
        <f t="shared" ref="D5:V5" si="25">SUM(D8:D9,D12:D13)</f>
        <v>2722.8073946689597</v>
      </c>
      <c r="E5" s="96">
        <f t="shared" si="25"/>
        <v>2856.577815993121</v>
      </c>
      <c r="F5" s="96">
        <f t="shared" si="25"/>
        <v>3167.3043852106616</v>
      </c>
      <c r="G5" s="96">
        <f t="shared" si="25"/>
        <v>3177.8374892519359</v>
      </c>
      <c r="H5" s="96">
        <f t="shared" si="25"/>
        <v>3312.6612209802229</v>
      </c>
      <c r="I5" s="96">
        <f t="shared" si="25"/>
        <v>3484.350816852967</v>
      </c>
      <c r="J5" s="96">
        <f t="shared" si="25"/>
        <v>3496.9905417024925</v>
      </c>
      <c r="K5" s="96">
        <f t="shared" si="25"/>
        <v>3252.6225279449704</v>
      </c>
      <c r="L5" s="96">
        <f t="shared" si="25"/>
        <v>3122.0120378331894</v>
      </c>
      <c r="M5" s="96">
        <f t="shared" si="25"/>
        <v>3737.1453138435077</v>
      </c>
      <c r="N5" s="96">
        <f t="shared" si="25"/>
        <v>3691.8529664660368</v>
      </c>
      <c r="O5" s="96">
        <f t="shared" si="25"/>
        <v>3680.266552020636</v>
      </c>
      <c r="P5" s="96">
        <f t="shared" si="25"/>
        <v>3745.5717970765254</v>
      </c>
      <c r="Q5" s="96">
        <f t="shared" si="25"/>
        <v>3958.3404987102331</v>
      </c>
      <c r="R5" s="96">
        <f t="shared" si="25"/>
        <v>4196.3886500429908</v>
      </c>
      <c r="S5" s="96">
        <f t="shared" si="25"/>
        <v>4580.8469475494412</v>
      </c>
      <c r="T5" s="96">
        <f t="shared" si="25"/>
        <v>4772.5494411006021</v>
      </c>
      <c r="U5" s="96">
        <f t="shared" si="25"/>
        <v>4890.520206362854</v>
      </c>
      <c r="V5" s="96">
        <f t="shared" si="25"/>
        <v>1575.7523645743772</v>
      </c>
      <c r="W5" s="96">
        <f t="shared" ref="W5:Y5" si="26">SUM(W8:W9,W12:W13)</f>
        <v>1847.3075666380048</v>
      </c>
      <c r="X5" s="96">
        <f t="shared" si="26"/>
        <v>3665.7688736027517</v>
      </c>
      <c r="Y5" s="96">
        <f t="shared" si="26"/>
        <v>4278.2484952708501</v>
      </c>
      <c r="DA5" s="171" t="s">
        <v>279</v>
      </c>
    </row>
    <row r="6" spans="1:105" ht="11.45" customHeight="1" x14ac:dyDescent="0.25">
      <c r="A6" s="10" t="s">
        <v>33</v>
      </c>
      <c r="B6" s="21">
        <f t="shared" ref="B6:C6" si="27">SUM(B7:B9)</f>
        <v>4496.3176198143537</v>
      </c>
      <c r="C6" s="21">
        <f t="shared" si="27"/>
        <v>4531.927797579704</v>
      </c>
      <c r="D6" s="21">
        <f t="shared" ref="D6:V6" si="28">SUM(D7:D9)</f>
        <v>4311.1684639235973</v>
      </c>
      <c r="E6" s="21">
        <f t="shared" si="28"/>
        <v>4523.2816199994149</v>
      </c>
      <c r="F6" s="21">
        <f t="shared" si="28"/>
        <v>4995.2749261926201</v>
      </c>
      <c r="G6" s="21">
        <f t="shared" si="28"/>
        <v>5339.1568719004281</v>
      </c>
      <c r="H6" s="21">
        <f t="shared" si="28"/>
        <v>5589.4535489510772</v>
      </c>
      <c r="I6" s="21">
        <f t="shared" si="28"/>
        <v>5890.3134716481636</v>
      </c>
      <c r="J6" s="21">
        <f t="shared" si="28"/>
        <v>5814.0601628805543</v>
      </c>
      <c r="K6" s="21">
        <f t="shared" si="28"/>
        <v>5306.8865483845912</v>
      </c>
      <c r="L6" s="21">
        <f t="shared" si="28"/>
        <v>5413.1339641160694</v>
      </c>
      <c r="M6" s="21">
        <f t="shared" si="28"/>
        <v>5782.7900304370078</v>
      </c>
      <c r="N6" s="21">
        <f t="shared" si="28"/>
        <v>5460.8148925062351</v>
      </c>
      <c r="O6" s="21">
        <f t="shared" si="28"/>
        <v>5176.0641934361902</v>
      </c>
      <c r="P6" s="21">
        <f t="shared" si="28"/>
        <v>5340.7663024959984</v>
      </c>
      <c r="Q6" s="21">
        <f t="shared" si="28"/>
        <v>5680.8629797414687</v>
      </c>
      <c r="R6" s="21">
        <f t="shared" si="28"/>
        <v>6084.3454100907966</v>
      </c>
      <c r="S6" s="21">
        <f t="shared" si="28"/>
        <v>6614.7712001471118</v>
      </c>
      <c r="T6" s="21">
        <f t="shared" si="28"/>
        <v>6884.9842121436586</v>
      </c>
      <c r="U6" s="21">
        <f t="shared" si="28"/>
        <v>7142.0914935915016</v>
      </c>
      <c r="V6" s="21">
        <f t="shared" si="28"/>
        <v>2427.0633835562467</v>
      </c>
      <c r="W6" s="21">
        <f t="shared" ref="W6:Y6" si="29">SUM(W7:W9)</f>
        <v>3395.9635739266382</v>
      </c>
      <c r="X6" s="21">
        <f t="shared" si="29"/>
        <v>6050.2839261761455</v>
      </c>
      <c r="Y6" s="21">
        <f t="shared" si="29"/>
        <v>6787.1247276073973</v>
      </c>
      <c r="DA6" s="189" t="s">
        <v>280</v>
      </c>
    </row>
    <row r="7" spans="1:105" ht="11.45" customHeight="1" x14ac:dyDescent="0.25">
      <c r="A7" s="83" t="s">
        <v>27</v>
      </c>
      <c r="B7" s="96">
        <v>1778.5827662706113</v>
      </c>
      <c r="C7" s="96">
        <v>1767.1092775742616</v>
      </c>
      <c r="D7" s="96">
        <v>1643.9345983419403</v>
      </c>
      <c r="E7" s="96">
        <v>1731.8156340405428</v>
      </c>
      <c r="F7" s="96">
        <v>1907.3979292196434</v>
      </c>
      <c r="G7" s="96">
        <v>2231.0845177393862</v>
      </c>
      <c r="H7" s="96">
        <v>2347.4172536027036</v>
      </c>
      <c r="I7" s="96">
        <v>2476.293801312032</v>
      </c>
      <c r="J7" s="96">
        <v>2388.3643193059479</v>
      </c>
      <c r="K7" s="96">
        <v>2119.246978865991</v>
      </c>
      <c r="L7" s="96">
        <v>2365.8042476368582</v>
      </c>
      <c r="M7" s="96">
        <v>2126.7463331016188</v>
      </c>
      <c r="N7" s="96">
        <v>1841.0178903939798</v>
      </c>
      <c r="O7" s="96">
        <v>1566.2790653361908</v>
      </c>
      <c r="P7" s="96">
        <v>1662.3929351412423</v>
      </c>
      <c r="Q7" s="96">
        <v>1801.1784728591795</v>
      </c>
      <c r="R7" s="96">
        <v>1963.6764584789873</v>
      </c>
      <c r="S7" s="96">
        <v>2132.7924813663844</v>
      </c>
      <c r="T7" s="96">
        <v>2223.315321763936</v>
      </c>
      <c r="U7" s="96">
        <v>2354.8000957557265</v>
      </c>
      <c r="V7" s="96">
        <v>944.08561407671391</v>
      </c>
      <c r="W7" s="96">
        <v>1644.0133557010338</v>
      </c>
      <c r="X7" s="96">
        <v>2485.4907743089557</v>
      </c>
      <c r="Y7" s="96">
        <v>2627.0815344989842</v>
      </c>
      <c r="DA7" s="171" t="s">
        <v>281</v>
      </c>
    </row>
    <row r="8" spans="1:105" ht="11.45" customHeight="1" x14ac:dyDescent="0.25">
      <c r="A8" s="83" t="s">
        <v>181</v>
      </c>
      <c r="B8" s="96">
        <v>1661.383016200265</v>
      </c>
      <c r="C8" s="96">
        <v>1869.6521673298473</v>
      </c>
      <c r="D8" s="96">
        <v>1679.7600279299972</v>
      </c>
      <c r="E8" s="96">
        <v>2021.3541794999419</v>
      </c>
      <c r="F8" s="96">
        <v>2144.0956449986697</v>
      </c>
      <c r="G8" s="96">
        <v>2167.2247470586676</v>
      </c>
      <c r="H8" s="96">
        <v>2277.2617381810546</v>
      </c>
      <c r="I8" s="96">
        <v>2414.1656505247679</v>
      </c>
      <c r="J8" s="96">
        <v>2397.8191209807028</v>
      </c>
      <c r="K8" s="96">
        <v>2171.2248514801058</v>
      </c>
      <c r="L8" s="96">
        <v>2063.3840791926932</v>
      </c>
      <c r="M8" s="96">
        <v>2509.3195597529384</v>
      </c>
      <c r="N8" s="96">
        <v>2463.637066725054</v>
      </c>
      <c r="O8" s="96">
        <v>2473.6743117476854</v>
      </c>
      <c r="P8" s="96">
        <v>2535.0583509754474</v>
      </c>
      <c r="Q8" s="96">
        <v>2674.0928608925719</v>
      </c>
      <c r="R8" s="96">
        <v>2931.5390412603197</v>
      </c>
      <c r="S8" s="96">
        <v>3239.1509758450179</v>
      </c>
      <c r="T8" s="96">
        <v>3335.2986003890314</v>
      </c>
      <c r="U8" s="96">
        <v>3389.3386238047742</v>
      </c>
      <c r="V8" s="96">
        <v>888.2744225852548</v>
      </c>
      <c r="W8" s="96">
        <v>1123.891981231799</v>
      </c>
      <c r="X8" s="96">
        <v>2564.425587966995</v>
      </c>
      <c r="Y8" s="96">
        <v>2979.2740908623005</v>
      </c>
      <c r="DA8" s="171" t="s">
        <v>282</v>
      </c>
    </row>
    <row r="9" spans="1:105" ht="11.45" customHeight="1" x14ac:dyDescent="0.25">
      <c r="A9" s="83" t="s">
        <v>182</v>
      </c>
      <c r="B9" s="96">
        <v>1056.3518373434767</v>
      </c>
      <c r="C9" s="96">
        <v>895.16635267559536</v>
      </c>
      <c r="D9" s="96">
        <v>987.47383765166001</v>
      </c>
      <c r="E9" s="96">
        <v>770.11180645893012</v>
      </c>
      <c r="F9" s="96">
        <v>943.78135197430663</v>
      </c>
      <c r="G9" s="96">
        <v>940.84760710237447</v>
      </c>
      <c r="H9" s="96">
        <v>964.7745571673197</v>
      </c>
      <c r="I9" s="96">
        <v>999.85401981136374</v>
      </c>
      <c r="J9" s="96">
        <v>1027.8767225939041</v>
      </c>
      <c r="K9" s="96">
        <v>1016.4147180384939</v>
      </c>
      <c r="L9" s="96">
        <v>983.94563728651826</v>
      </c>
      <c r="M9" s="96">
        <v>1146.7241375824506</v>
      </c>
      <c r="N9" s="96">
        <v>1156.1599353872014</v>
      </c>
      <c r="O9" s="96">
        <v>1136.1108163523136</v>
      </c>
      <c r="P9" s="96">
        <v>1143.3150163793086</v>
      </c>
      <c r="Q9" s="96">
        <v>1205.5916459897167</v>
      </c>
      <c r="R9" s="96">
        <v>1189.1299103514898</v>
      </c>
      <c r="S9" s="96">
        <v>1242.827742935709</v>
      </c>
      <c r="T9" s="96">
        <v>1326.3702899906909</v>
      </c>
      <c r="U9" s="96">
        <v>1397.9527740310011</v>
      </c>
      <c r="V9" s="96">
        <v>594.70334689427796</v>
      </c>
      <c r="W9" s="96">
        <v>628.05823699380505</v>
      </c>
      <c r="X9" s="96">
        <v>1000.3675639001954</v>
      </c>
      <c r="Y9" s="96">
        <v>1180.7691022461127</v>
      </c>
      <c r="DA9" s="171" t="s">
        <v>283</v>
      </c>
    </row>
    <row r="10" spans="1:105" ht="11.45" customHeight="1" x14ac:dyDescent="0.25">
      <c r="A10" s="12" t="s">
        <v>34</v>
      </c>
      <c r="B10" s="22">
        <f t="shared" ref="B10:C10" si="30">SUM(B11:B13)</f>
        <v>115.60086685804497</v>
      </c>
      <c r="C10" s="22">
        <f t="shared" si="30"/>
        <v>121.93196166363214</v>
      </c>
      <c r="D10" s="22">
        <f t="shared" ref="D10:V10" si="31">SUM(D11:D13)</f>
        <v>106.47745181156984</v>
      </c>
      <c r="E10" s="22">
        <f t="shared" si="31"/>
        <v>109.23007389568319</v>
      </c>
      <c r="F10" s="22">
        <f t="shared" si="31"/>
        <v>138.60779091829937</v>
      </c>
      <c r="G10" s="22">
        <f t="shared" si="31"/>
        <v>130.73186412708688</v>
      </c>
      <c r="H10" s="22">
        <f t="shared" si="31"/>
        <v>132.17637366285055</v>
      </c>
      <c r="I10" s="22">
        <f t="shared" si="31"/>
        <v>129.40802448253322</v>
      </c>
      <c r="J10" s="22">
        <f t="shared" si="31"/>
        <v>128.76967374885095</v>
      </c>
      <c r="K10" s="22">
        <f t="shared" si="31"/>
        <v>110.33666743656258</v>
      </c>
      <c r="L10" s="22">
        <f t="shared" si="31"/>
        <v>122.05038670078216</v>
      </c>
      <c r="M10" s="22">
        <f t="shared" si="31"/>
        <v>117.88348632997297</v>
      </c>
      <c r="N10" s="22">
        <f t="shared" si="31"/>
        <v>103.84787619539908</v>
      </c>
      <c r="O10" s="22">
        <f t="shared" si="31"/>
        <v>99.991524534575035</v>
      </c>
      <c r="P10" s="22">
        <f t="shared" si="31"/>
        <v>95.383052620080264</v>
      </c>
      <c r="Q10" s="22">
        <f t="shared" si="31"/>
        <v>106.04346909774159</v>
      </c>
      <c r="R10" s="22">
        <f t="shared" si="31"/>
        <v>101.76568191264056</v>
      </c>
      <c r="S10" s="22">
        <f t="shared" si="31"/>
        <v>128.54109563964735</v>
      </c>
      <c r="T10" s="22">
        <f t="shared" si="31"/>
        <v>137.45534073682296</v>
      </c>
      <c r="U10" s="22">
        <f t="shared" si="31"/>
        <v>126.82750898803302</v>
      </c>
      <c r="V10" s="22">
        <f t="shared" si="31"/>
        <v>108.27384774212015</v>
      </c>
      <c r="W10" s="22">
        <f t="shared" ref="W10:Y10" si="32">SUM(W11:W13)</f>
        <v>115.10684739752296</v>
      </c>
      <c r="X10" s="22">
        <f t="shared" si="32"/>
        <v>119.8200291119023</v>
      </c>
      <c r="Y10" s="22">
        <f t="shared" si="32"/>
        <v>136.11499724212797</v>
      </c>
      <c r="DA10" s="193" t="s">
        <v>284</v>
      </c>
    </row>
    <row r="11" spans="1:105" ht="11.45" customHeight="1" x14ac:dyDescent="0.25">
      <c r="A11" s="92" t="s">
        <v>27</v>
      </c>
      <c r="B11" s="97">
        <v>53.649563909956456</v>
      </c>
      <c r="C11" s="97">
        <v>55.452115375007772</v>
      </c>
      <c r="D11" s="97">
        <v>50.903922724267588</v>
      </c>
      <c r="E11" s="97">
        <v>44.118243861434131</v>
      </c>
      <c r="F11" s="97">
        <v>59.180402680614165</v>
      </c>
      <c r="G11" s="97">
        <v>60.96672903619335</v>
      </c>
      <c r="H11" s="97">
        <v>61.551448031002074</v>
      </c>
      <c r="I11" s="97">
        <v>59.076877965698273</v>
      </c>
      <c r="J11" s="97">
        <v>57.474975620965331</v>
      </c>
      <c r="K11" s="97">
        <v>45.353709010191771</v>
      </c>
      <c r="L11" s="97">
        <v>47.368065346804393</v>
      </c>
      <c r="M11" s="97">
        <v>36.781869821854201</v>
      </c>
      <c r="N11" s="97">
        <v>31.791911841618028</v>
      </c>
      <c r="O11" s="97">
        <v>29.510100613938025</v>
      </c>
      <c r="P11" s="97">
        <v>28.184622898310668</v>
      </c>
      <c r="Q11" s="97">
        <v>27.387477269797017</v>
      </c>
      <c r="R11" s="97">
        <v>26.045983481459082</v>
      </c>
      <c r="S11" s="97">
        <v>29.6728668709336</v>
      </c>
      <c r="T11" s="97">
        <v>26.574790015943659</v>
      </c>
      <c r="U11" s="97">
        <v>23.59870046095438</v>
      </c>
      <c r="V11" s="97">
        <v>15.499252647275773</v>
      </c>
      <c r="W11" s="97">
        <v>19.74949898512234</v>
      </c>
      <c r="X11" s="97">
        <v>18.844307376340755</v>
      </c>
      <c r="Y11" s="97">
        <v>17.909695079690891</v>
      </c>
      <c r="DA11" s="175" t="s">
        <v>285</v>
      </c>
    </row>
    <row r="12" spans="1:105" ht="11.45" customHeight="1" x14ac:dyDescent="0.25">
      <c r="A12" s="92" t="s">
        <v>181</v>
      </c>
      <c r="B12" s="97">
        <v>19.20630070099752</v>
      </c>
      <c r="C12" s="97">
        <v>20.09369965546669</v>
      </c>
      <c r="D12" s="97">
        <v>17.232982903982276</v>
      </c>
      <c r="E12" s="97">
        <v>19.192745588274967</v>
      </c>
      <c r="F12" s="97">
        <v>23.42679667854194</v>
      </c>
      <c r="G12" s="97">
        <v>21.30388798467666</v>
      </c>
      <c r="H12" s="97">
        <v>21.863203197664983</v>
      </c>
      <c r="I12" s="97">
        <v>18.508200438654768</v>
      </c>
      <c r="J12" s="97">
        <v>18.820958066986869</v>
      </c>
      <c r="K12" s="97">
        <v>17.693446847043614</v>
      </c>
      <c r="L12" s="97">
        <v>17.713497855005137</v>
      </c>
      <c r="M12" s="97">
        <v>18.689251838325664</v>
      </c>
      <c r="N12" s="97">
        <v>16.616067199216076</v>
      </c>
      <c r="O12" s="97">
        <v>16.292170709217682</v>
      </c>
      <c r="P12" s="97">
        <v>14.316789833052511</v>
      </c>
      <c r="Q12" s="97">
        <v>15.828555231454754</v>
      </c>
      <c r="R12" s="97">
        <v>14.431396443585861</v>
      </c>
      <c r="S12" s="97">
        <v>17.444666249207042</v>
      </c>
      <c r="T12" s="97">
        <v>17.832180267566194</v>
      </c>
      <c r="U12" s="97">
        <v>19.709763842182994</v>
      </c>
      <c r="V12" s="97">
        <v>17.528559487400337</v>
      </c>
      <c r="W12" s="97">
        <v>17.798438640297693</v>
      </c>
      <c r="X12" s="97">
        <v>21.915096578005006</v>
      </c>
      <c r="Y12" s="97">
        <v>21.160982735534944</v>
      </c>
      <c r="DA12" s="175" t="s">
        <v>286</v>
      </c>
    </row>
    <row r="13" spans="1:105" ht="11.45" customHeight="1" x14ac:dyDescent="0.25">
      <c r="A13" s="85" t="s">
        <v>182</v>
      </c>
      <c r="B13" s="98">
        <v>42.745002247090994</v>
      </c>
      <c r="C13" s="98">
        <v>46.386146633157679</v>
      </c>
      <c r="D13" s="98">
        <v>38.340546183319965</v>
      </c>
      <c r="E13" s="98">
        <v>45.919084445974093</v>
      </c>
      <c r="F13" s="98">
        <v>56.000591559143245</v>
      </c>
      <c r="G13" s="98">
        <v>48.461247106216874</v>
      </c>
      <c r="H13" s="98">
        <v>48.761722434183483</v>
      </c>
      <c r="I13" s="98">
        <v>51.822946078180181</v>
      </c>
      <c r="J13" s="98">
        <v>52.473740060898756</v>
      </c>
      <c r="K13" s="98">
        <v>47.289511579327204</v>
      </c>
      <c r="L13" s="98">
        <v>56.968823498972625</v>
      </c>
      <c r="M13" s="98">
        <v>62.412364669793106</v>
      </c>
      <c r="N13" s="98">
        <v>55.439897154564974</v>
      </c>
      <c r="O13" s="98">
        <v>54.189253211419327</v>
      </c>
      <c r="P13" s="98">
        <v>52.881639888717096</v>
      </c>
      <c r="Q13" s="98">
        <v>62.827436596489811</v>
      </c>
      <c r="R13" s="98">
        <v>61.288301987595609</v>
      </c>
      <c r="S13" s="98">
        <v>81.423562519506703</v>
      </c>
      <c r="T13" s="98">
        <v>93.048370453313098</v>
      </c>
      <c r="U13" s="98">
        <v>83.519044684895647</v>
      </c>
      <c r="V13" s="98">
        <v>75.246035607444043</v>
      </c>
      <c r="W13" s="98">
        <v>77.558909772102922</v>
      </c>
      <c r="X13" s="98">
        <v>79.060625157556544</v>
      </c>
      <c r="Y13" s="98">
        <v>97.044319426902121</v>
      </c>
      <c r="DA13" s="178" t="s">
        <v>287</v>
      </c>
    </row>
    <row r="14" spans="1:105" x14ac:dyDescent="0.25">
      <c r="A14" s="50"/>
      <c r="B14" s="50"/>
      <c r="C14" s="50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DA14" s="181"/>
    </row>
    <row r="15" spans="1:105" ht="11.45" customHeight="1" x14ac:dyDescent="0.25">
      <c r="A15" s="68" t="s">
        <v>36</v>
      </c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DA15" s="179"/>
    </row>
    <row r="16" spans="1:105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DA16" s="181"/>
    </row>
    <row r="17" spans="1:105" ht="11.45" customHeight="1" x14ac:dyDescent="0.25">
      <c r="A17" s="53" t="s">
        <v>73</v>
      </c>
      <c r="B17" s="62">
        <f>IF(B3=0,0,B3/TrAvia_act!B13*100)</f>
        <v>461.91020423242134</v>
      </c>
      <c r="C17" s="62">
        <f>IF(C3=0,0,C3/TrAvia_act!C13*100)</f>
        <v>498.90218959553658</v>
      </c>
      <c r="D17" s="62">
        <f>IF(D3=0,0,D3/TrAvia_act!D13*100)</f>
        <v>455.95867109800378</v>
      </c>
      <c r="E17" s="62">
        <f>IF(E3=0,0,E3/TrAvia_act!E13*100)</f>
        <v>496.23720325818999</v>
      </c>
      <c r="F17" s="62">
        <f>IF(F3=0,0,F3/TrAvia_act!F13*100)</f>
        <v>493.82444262889527</v>
      </c>
      <c r="G17" s="62">
        <f>IF(G3=0,0,G3/TrAvia_act!G13*100)</f>
        <v>489.35623517407726</v>
      </c>
      <c r="H17" s="62">
        <f>IF(H3=0,0,H3/TrAvia_act!H13*100)</f>
        <v>488.06861217791055</v>
      </c>
      <c r="I17" s="62">
        <f>IF(I3=0,0,I3/TrAvia_act!I13*100)</f>
        <v>470.95566715593799</v>
      </c>
      <c r="J17" s="62">
        <f>IF(J3=0,0,J3/TrAvia_act!J13*100)</f>
        <v>463.09885466427795</v>
      </c>
      <c r="K17" s="62">
        <f>IF(K3=0,0,K3/TrAvia_act!K13*100)</f>
        <v>471.90415789433411</v>
      </c>
      <c r="L17" s="62">
        <f>IF(L3=0,0,L3/TrAvia_act!L13*100)</f>
        <v>470.18432377819812</v>
      </c>
      <c r="M17" s="62">
        <f>IF(M3=0,0,M3/TrAvia_act!M13*100)</f>
        <v>473.46909750853052</v>
      </c>
      <c r="N17" s="62">
        <f>IF(N3=0,0,N3/TrAvia_act!N13*100)</f>
        <v>476.72229690234235</v>
      </c>
      <c r="O17" s="62">
        <f>IF(O3=0,0,O3/TrAvia_act!O13*100)</f>
        <v>455.74816798210128</v>
      </c>
      <c r="P17" s="62">
        <f>IF(P3=0,0,P3/TrAvia_act!P13*100)</f>
        <v>452.10045193637274</v>
      </c>
      <c r="Q17" s="62">
        <f>IF(Q3=0,0,Q3/TrAvia_act!Q13*100)</f>
        <v>472.12051752968637</v>
      </c>
      <c r="R17" s="62">
        <f>IF(R3=0,0,R3/TrAvia_act!R13*100)</f>
        <v>464.00896857790599</v>
      </c>
      <c r="S17" s="62">
        <f>IF(S3=0,0,S3/TrAvia_act!S13*100)</f>
        <v>471.2818970109949</v>
      </c>
      <c r="T17" s="62">
        <f>IF(T3=0,0,T3/TrAvia_act!T13*100)</f>
        <v>468.77237729009732</v>
      </c>
      <c r="U17" s="62">
        <f>IF(U3=0,0,U3/TrAvia_act!U13*100)</f>
        <v>475.67365404443507</v>
      </c>
      <c r="V17" s="62">
        <f>IF(V3=0,0,V3/TrAvia_act!V13*100)</f>
        <v>474.64928376549233</v>
      </c>
      <c r="W17" s="62">
        <f>IF(W3=0,0,W3/TrAvia_act!W13*100)</f>
        <v>454.73591450597502</v>
      </c>
      <c r="X17" s="62">
        <f>IF(X3=0,0,X3/TrAvia_act!X13*100)</f>
        <v>441.20698475258456</v>
      </c>
      <c r="Y17" s="62">
        <f>IF(Y3=0,0,Y3/TrAvia_act!Y13*100)</f>
        <v>437.63088451502659</v>
      </c>
      <c r="DA17" s="172" t="s">
        <v>288</v>
      </c>
    </row>
    <row r="18" spans="1:105" ht="11.45" customHeight="1" x14ac:dyDescent="0.25">
      <c r="A18" s="10" t="s">
        <v>33</v>
      </c>
      <c r="B18" s="14">
        <f>IF(B6=0,0,B6/TrAvia_act!B14*100)</f>
        <v>460.88009897371694</v>
      </c>
      <c r="C18" s="14">
        <f>IF(C6=0,0,C6/TrAvia_act!C14*100)</f>
        <v>497.4509643482337</v>
      </c>
      <c r="D18" s="14">
        <f>IF(D6=0,0,D6/TrAvia_act!D14*100)</f>
        <v>454.69454768449748</v>
      </c>
      <c r="E18" s="14">
        <f>IF(E6=0,0,E6/TrAvia_act!E14*100)</f>
        <v>494.90095106252943</v>
      </c>
      <c r="F18" s="14">
        <f>IF(F6=0,0,F6/TrAvia_act!F14*100)</f>
        <v>492.31937213753207</v>
      </c>
      <c r="G18" s="14">
        <f>IF(G6=0,0,G6/TrAvia_act!G14*100)</f>
        <v>488.25311185795283</v>
      </c>
      <c r="H18" s="14">
        <f>IF(H6=0,0,H6/TrAvia_act!H14*100)</f>
        <v>487.45967484511101</v>
      </c>
      <c r="I18" s="14">
        <f>IF(I6=0,0,I6/TrAvia_act!I14*100)</f>
        <v>470.6519030407004</v>
      </c>
      <c r="J18" s="14">
        <f>IF(J6=0,0,J6/TrAvia_act!J14*100)</f>
        <v>463.09581025614557</v>
      </c>
      <c r="K18" s="14">
        <f>IF(K6=0,0,K6/TrAvia_act!K14*100)</f>
        <v>472.0781608292084</v>
      </c>
      <c r="L18" s="14">
        <f>IF(L6=0,0,L6/TrAvia_act!L14*100)</f>
        <v>470.93583554717463</v>
      </c>
      <c r="M18" s="14">
        <f>IF(M6=0,0,M6/TrAvia_act!M14*100)</f>
        <v>474.3224054565917</v>
      </c>
      <c r="N18" s="14">
        <f>IF(N6=0,0,N6/TrAvia_act!N14*100)</f>
        <v>477.55461835414701</v>
      </c>
      <c r="O18" s="14">
        <f>IF(O6=0,0,O6/TrAvia_act!O14*100)</f>
        <v>456.28020249996223</v>
      </c>
      <c r="P18" s="14">
        <f>IF(P6=0,0,P6/TrAvia_act!P14*100)</f>
        <v>452.34211439968294</v>
      </c>
      <c r="Q18" s="14">
        <f>IF(Q6=0,0,Q6/TrAvia_act!Q14*100)</f>
        <v>472.37678007592291</v>
      </c>
      <c r="R18" s="14">
        <f>IF(R6=0,0,R6/TrAvia_act!R14*100)</f>
        <v>464.21237399165972</v>
      </c>
      <c r="S18" s="14">
        <f>IF(S6=0,0,S6/TrAvia_act!S14*100)</f>
        <v>471.75842217441135</v>
      </c>
      <c r="T18" s="14">
        <f>IF(T6=0,0,T6/TrAvia_act!T14*100)</f>
        <v>469.35489031862051</v>
      </c>
      <c r="U18" s="14">
        <f>IF(U6=0,0,U6/TrAvia_act!U14*100)</f>
        <v>476.79660181055431</v>
      </c>
      <c r="V18" s="14">
        <f>IF(V6=0,0,V6/TrAvia_act!V14*100)</f>
        <v>474.63709095683663</v>
      </c>
      <c r="W18" s="14">
        <f>IF(W6=0,0,W6/TrAvia_act!W14*100)</f>
        <v>456.95809082700515</v>
      </c>
      <c r="X18" s="14">
        <f>IF(X6=0,0,X6/TrAvia_act!X14*100)</f>
        <v>443.36738438382508</v>
      </c>
      <c r="Y18" s="14">
        <f>IF(Y6=0,0,Y6/TrAvia_act!Y14*100)</f>
        <v>440.06270239841916</v>
      </c>
      <c r="DA18" s="189" t="s">
        <v>289</v>
      </c>
    </row>
    <row r="19" spans="1:105" ht="11.45" customHeight="1" x14ac:dyDescent="0.25">
      <c r="A19" s="83" t="s">
        <v>27</v>
      </c>
      <c r="B19" s="87">
        <f>IF(B7=0,0,B7/TrAvia_act!B15*100)</f>
        <v>685.63473704528747</v>
      </c>
      <c r="C19" s="87">
        <f>IF(C7=0,0,C7/TrAvia_act!C15*100)</f>
        <v>744.40347239831635</v>
      </c>
      <c r="D19" s="87">
        <f>IF(D7=0,0,D7/TrAvia_act!D15*100)</f>
        <v>730.05895057229191</v>
      </c>
      <c r="E19" s="87">
        <f>IF(E7=0,0,E7/TrAvia_act!E15*100)</f>
        <v>749.71997283563599</v>
      </c>
      <c r="F19" s="87">
        <f>IF(F7=0,0,F7/TrAvia_act!F15*100)</f>
        <v>742.73345337948524</v>
      </c>
      <c r="G19" s="87">
        <f>IF(G7=0,0,G7/TrAvia_act!G15*100)</f>
        <v>773.8744422825531</v>
      </c>
      <c r="H19" s="87">
        <f>IF(H7=0,0,H7/TrAvia_act!H15*100)</f>
        <v>776.13899973683885</v>
      </c>
      <c r="I19" s="87">
        <f>IF(I7=0,0,I7/TrAvia_act!I15*100)</f>
        <v>772.87689537460983</v>
      </c>
      <c r="J19" s="87">
        <f>IF(J7=0,0,J7/TrAvia_act!J15*100)</f>
        <v>781.30620670904932</v>
      </c>
      <c r="K19" s="87">
        <f>IF(K7=0,0,K7/TrAvia_act!K15*100)</f>
        <v>787.90258029858512</v>
      </c>
      <c r="L19" s="87">
        <f>IF(L7=0,0,L7/TrAvia_act!L15*100)</f>
        <v>893.95924496483042</v>
      </c>
      <c r="M19" s="87">
        <f>IF(M7=0,0,M7/TrAvia_act!M15*100)</f>
        <v>830.65448296769534</v>
      </c>
      <c r="N19" s="87">
        <f>IF(N7=0,0,N7/TrAvia_act!N15*100)</f>
        <v>877.0864873998454</v>
      </c>
      <c r="O19" s="87">
        <f>IF(O7=0,0,O7/TrAvia_act!O15*100)</f>
        <v>868.90362353691376</v>
      </c>
      <c r="P19" s="87">
        <f>IF(P7=0,0,P7/TrAvia_act!P15*100)</f>
        <v>909.63134976842514</v>
      </c>
      <c r="Q19" s="87">
        <f>IF(Q7=0,0,Q7/TrAvia_act!Q15*100)</f>
        <v>955.13240852495085</v>
      </c>
      <c r="R19" s="87">
        <f>IF(R7=0,0,R7/TrAvia_act!R15*100)</f>
        <v>989.57084478612569</v>
      </c>
      <c r="S19" s="87">
        <f>IF(S7=0,0,S7/TrAvia_act!S15*100)</f>
        <v>1024.1567359607038</v>
      </c>
      <c r="T19" s="87">
        <f>IF(T7=0,0,T7/TrAvia_act!T15*100)</f>
        <v>971.32532554985835</v>
      </c>
      <c r="U19" s="87">
        <f>IF(U7=0,0,U7/TrAvia_act!U15*100)</f>
        <v>972.48264635603402</v>
      </c>
      <c r="V19" s="87">
        <f>IF(V7=0,0,V7/TrAvia_act!V15*100)</f>
        <v>794.4757981310205</v>
      </c>
      <c r="W19" s="87">
        <f>IF(W7=0,0,W7/TrAvia_act!W15*100)</f>
        <v>947.24811385721659</v>
      </c>
      <c r="X19" s="87">
        <f>IF(X7=0,0,X7/TrAvia_act!X15*100)</f>
        <v>1014.5827119468404</v>
      </c>
      <c r="Y19" s="87">
        <f>IF(Y7=0,0,Y7/TrAvia_act!Y15*100)</f>
        <v>1001.280078763269</v>
      </c>
      <c r="DA19" s="171" t="s">
        <v>290</v>
      </c>
    </row>
    <row r="20" spans="1:105" ht="11.45" customHeight="1" x14ac:dyDescent="0.25">
      <c r="A20" s="83" t="s">
        <v>181</v>
      </c>
      <c r="B20" s="87">
        <f>IF(B8=0,0,B8/TrAvia_act!B16*100)</f>
        <v>312.7478323834838</v>
      </c>
      <c r="C20" s="87">
        <f>IF(C8=0,0,C8/TrAvia_act!C16*100)</f>
        <v>350.43304331053469</v>
      </c>
      <c r="D20" s="87">
        <f>IF(D8=0,0,D8/TrAvia_act!D16*100)</f>
        <v>307.33440945664881</v>
      </c>
      <c r="E20" s="87">
        <f>IF(E8=0,0,E8/TrAvia_act!E16*100)</f>
        <v>358.07372329909583</v>
      </c>
      <c r="F20" s="87">
        <f>IF(F8=0,0,F8/TrAvia_act!F16*100)</f>
        <v>351.50325262527889</v>
      </c>
      <c r="G20" s="87">
        <f>IF(G8=0,0,G8/TrAvia_act!G16*100)</f>
        <v>339.25285396087668</v>
      </c>
      <c r="H20" s="87">
        <f>IF(H8=0,0,H8/TrAvia_act!H16*100)</f>
        <v>347.87254444995261</v>
      </c>
      <c r="I20" s="87">
        <f>IF(I8=0,0,I8/TrAvia_act!I16*100)</f>
        <v>338.24709160180475</v>
      </c>
      <c r="J20" s="87">
        <f>IF(J8=0,0,J8/TrAvia_act!J16*100)</f>
        <v>336.42858379881682</v>
      </c>
      <c r="K20" s="87">
        <f>IF(K8=0,0,K8/TrAvia_act!K16*100)</f>
        <v>342.43394178398427</v>
      </c>
      <c r="L20" s="87">
        <f>IF(L8=0,0,L8/TrAvia_act!L16*100)</f>
        <v>315.68295597467591</v>
      </c>
      <c r="M20" s="87">
        <f>IF(M8=0,0,M8/TrAvia_act!M16*100)</f>
        <v>352.92690848770815</v>
      </c>
      <c r="N20" s="87">
        <f>IF(N8=0,0,N8/TrAvia_act!N16*100)</f>
        <v>358.54434349370558</v>
      </c>
      <c r="O20" s="87">
        <f>IF(O8=0,0,O8/TrAvia_act!O16*100)</f>
        <v>352.73956571384019</v>
      </c>
      <c r="P20" s="87">
        <f>IF(P8=0,0,P8/TrAvia_act!P16*100)</f>
        <v>343.12998687784085</v>
      </c>
      <c r="Q20" s="87">
        <f>IF(Q8=0,0,Q8/TrAvia_act!Q16*100)</f>
        <v>354.05057358358926</v>
      </c>
      <c r="R20" s="87">
        <f>IF(R8=0,0,R8/TrAvia_act!R16*100)</f>
        <v>346.93141680177257</v>
      </c>
      <c r="S20" s="87">
        <f>IF(S8=0,0,S8/TrAvia_act!S16*100)</f>
        <v>357.49723485161195</v>
      </c>
      <c r="T20" s="87">
        <f>IF(T8=0,0,T8/TrAvia_act!T16*100)</f>
        <v>359.33518008517137</v>
      </c>
      <c r="U20" s="87">
        <f>IF(U8=0,0,U8/TrAvia_act!U16*100)</f>
        <v>369.14761328612229</v>
      </c>
      <c r="V20" s="87">
        <f>IF(V8=0,0,V8/TrAvia_act!V16*100)</f>
        <v>293.5774976617792</v>
      </c>
      <c r="W20" s="87">
        <f>IF(W8=0,0,W8/TrAvia_act!W16*100)</f>
        <v>251.13711361181399</v>
      </c>
      <c r="X20" s="87">
        <f>IF(X8=0,0,X8/TrAvia_act!X16*100)</f>
        <v>300.98473039763468</v>
      </c>
      <c r="Y20" s="87">
        <f>IF(Y8=0,0,Y8/TrAvia_act!Y16*100)</f>
        <v>319.45481857812598</v>
      </c>
      <c r="DA20" s="171" t="s">
        <v>291</v>
      </c>
    </row>
    <row r="21" spans="1:105" ht="11.45" customHeight="1" x14ac:dyDescent="0.25">
      <c r="A21" s="83" t="s">
        <v>182</v>
      </c>
      <c r="B21" s="87">
        <f>IF(B9=0,0,B9/TrAvia_act!B17*100)</f>
        <v>571.10666586165746</v>
      </c>
      <c r="C21" s="87">
        <f>IF(C9=0,0,C9/TrAvia_act!C17*100)</f>
        <v>638.86659694805155</v>
      </c>
      <c r="D21" s="87">
        <f>IF(D9=0,0,D9/TrAvia_act!D17*100)</f>
        <v>559.76075270748527</v>
      </c>
      <c r="E21" s="87">
        <f>IF(E9=0,0,E9/TrAvia_act!E17*100)</f>
        <v>650.02418154790769</v>
      </c>
      <c r="F21" s="87">
        <f>IF(F9=0,0,F9/TrAvia_act!F17*100)</f>
        <v>638.31811322509736</v>
      </c>
      <c r="G21" s="87">
        <f>IF(G9=0,0,G9/TrAvia_act!G17*100)</f>
        <v>565.41691867233169</v>
      </c>
      <c r="H21" s="87">
        <f>IF(H9=0,0,H9/TrAvia_act!H17*100)</f>
        <v>508.91159679993842</v>
      </c>
      <c r="I21" s="87">
        <f>IF(I9=0,0,I9/TrAvia_act!I17*100)</f>
        <v>459.92640758654801</v>
      </c>
      <c r="J21" s="87">
        <f>IF(J9=0,0,J9/TrAvia_act!J17*100)</f>
        <v>433.59244535777685</v>
      </c>
      <c r="K21" s="87">
        <f>IF(K9=0,0,K9/TrAvia_act!K17*100)</f>
        <v>459.6573455045571</v>
      </c>
      <c r="L21" s="87">
        <f>IF(L9=0,0,L9/TrAvia_act!L17*100)</f>
        <v>425.63156485845371</v>
      </c>
      <c r="M21" s="87">
        <f>IF(M9=0,0,M9/TrAvia_act!M17*100)</f>
        <v>454.80847163867082</v>
      </c>
      <c r="N21" s="87">
        <f>IF(N9=0,0,N9/TrAvia_act!N17*100)</f>
        <v>469.08399771486734</v>
      </c>
      <c r="O21" s="87">
        <f>IF(O9=0,0,O9/TrAvia_act!O17*100)</f>
        <v>449.28560925362558</v>
      </c>
      <c r="P21" s="87">
        <f>IF(P9=0,0,P9/TrAvia_act!P17*100)</f>
        <v>441.20754673349916</v>
      </c>
      <c r="Q21" s="87">
        <f>IF(Q9=0,0,Q9/TrAvia_act!Q17*100)</f>
        <v>465.93242752949828</v>
      </c>
      <c r="R21" s="87">
        <f>IF(R9=0,0,R9/TrAvia_act!R17*100)</f>
        <v>444.94486363587907</v>
      </c>
      <c r="S21" s="87">
        <f>IF(S9=0,0,S9/TrAvia_act!S17*100)</f>
        <v>431.77675238109782</v>
      </c>
      <c r="T21" s="87">
        <f>IF(T9=0,0,T9/TrAvia_act!T17*100)</f>
        <v>428.10618572798995</v>
      </c>
      <c r="U21" s="87">
        <f>IF(U9=0,0,U9/TrAvia_act!U17*100)</f>
        <v>414.04047463336377</v>
      </c>
      <c r="V21" s="87">
        <f>IF(V9=0,0,V9/TrAvia_act!V17*100)</f>
        <v>661.14028330077736</v>
      </c>
      <c r="W21" s="87">
        <f>IF(W9=0,0,W9/TrAvia_act!W17*100)</f>
        <v>514.42505181015031</v>
      </c>
      <c r="X21" s="87">
        <f>IF(X9=0,0,X9/TrAvia_act!X17*100)</f>
        <v>373.78421083035198</v>
      </c>
      <c r="Y21" s="87">
        <f>IF(Y9=0,0,Y9/TrAvia_act!Y17*100)</f>
        <v>339.96163007813675</v>
      </c>
      <c r="DA21" s="171" t="s">
        <v>292</v>
      </c>
    </row>
    <row r="22" spans="1:105" ht="11.45" customHeight="1" x14ac:dyDescent="0.25">
      <c r="A22" s="12" t="s">
        <v>34</v>
      </c>
      <c r="B22" s="15">
        <f>IF(B10=0,0,B10/TrAvia_act!B18*100)</f>
        <v>505.88916006009867</v>
      </c>
      <c r="C22" s="15">
        <f>IF(C10=0,0,C10/TrAvia_act!C18*100)</f>
        <v>559.57721892411553</v>
      </c>
      <c r="D22" s="15">
        <f>IF(D10=0,0,D10/TrAvia_act!D18*100)</f>
        <v>513.79443396368083</v>
      </c>
      <c r="E22" s="15">
        <f>IF(E10=0,0,E10/TrAvia_act!E18*100)</f>
        <v>558.70628151835331</v>
      </c>
      <c r="F22" s="15">
        <f>IF(F10=0,0,F10/TrAvia_act!F18*100)</f>
        <v>554.96782737205228</v>
      </c>
      <c r="G22" s="15">
        <f>IF(G10=0,0,G10/TrAvia_act!G18*100)</f>
        <v>539.10012011038418</v>
      </c>
      <c r="H22" s="15">
        <f>IF(H10=0,0,H10/TrAvia_act!H18*100)</f>
        <v>515.28939624451198</v>
      </c>
      <c r="I22" s="15">
        <f>IF(I10=0,0,I10/TrAvia_act!I18*100)</f>
        <v>485.20988829104652</v>
      </c>
      <c r="J22" s="15">
        <f>IF(J10=0,0,J10/TrAvia_act!J18*100)</f>
        <v>463.23635399440928</v>
      </c>
      <c r="K22" s="15">
        <f>IF(K10=0,0,K10/TrAvia_act!K18*100)</f>
        <v>463.68391528198742</v>
      </c>
      <c r="L22" s="15">
        <f>IF(L10=0,0,L10/TrAvia_act!L18*100)</f>
        <v>439.1063042768713</v>
      </c>
      <c r="M22" s="15">
        <f>IF(M10=0,0,M10/TrAvia_act!M18*100)</f>
        <v>435.07367836643976</v>
      </c>
      <c r="N22" s="15">
        <f>IF(N10=0,0,N10/TrAvia_act!N18*100)</f>
        <v>436.69923539323412</v>
      </c>
      <c r="O22" s="15">
        <f>IF(O10=0,0,O10/TrAvia_act!O18*100)</f>
        <v>429.80538850586026</v>
      </c>
      <c r="P22" s="15">
        <f>IF(P10=0,0,P10/TrAvia_act!P18*100)</f>
        <v>438.96912815491584</v>
      </c>
      <c r="Q22" s="15">
        <f>IF(Q10=0,0,Q10/TrAvia_act!Q18*100)</f>
        <v>458.78719838873786</v>
      </c>
      <c r="R22" s="15">
        <f>IF(R10=0,0,R10/TrAvia_act!R18*100)</f>
        <v>452.16345838176312</v>
      </c>
      <c r="S22" s="15">
        <f>IF(S10=0,0,S10/TrAvia_act!S18*100)</f>
        <v>447.99497193103167</v>
      </c>
      <c r="T22" s="15">
        <f>IF(T10=0,0,T10/TrAvia_act!T18*100)</f>
        <v>441.33670098201992</v>
      </c>
      <c r="U22" s="15">
        <f>IF(U10=0,0,U10/TrAvia_act!U18*100)</f>
        <v>419.97306491691512</v>
      </c>
      <c r="V22" s="15">
        <f>IF(V10=0,0,V10/TrAvia_act!V18*100)</f>
        <v>474.92276190530578</v>
      </c>
      <c r="W22" s="15">
        <f>IF(W10=0,0,W10/TrAvia_act!W18*100)</f>
        <v>397.6803346253779</v>
      </c>
      <c r="X22" s="15">
        <f>IF(X10=0,0,X10/TrAvia_act!X18*100)</f>
        <v>354.08557053926199</v>
      </c>
      <c r="Y22" s="15">
        <f>IF(Y10=0,0,Y10/TrAvia_act!Y18*100)</f>
        <v>343.09260480620128</v>
      </c>
      <c r="DA22" s="193" t="s">
        <v>293</v>
      </c>
    </row>
    <row r="23" spans="1:105" ht="11.45" customHeight="1" x14ac:dyDescent="0.25">
      <c r="A23" s="92" t="s">
        <v>27</v>
      </c>
      <c r="B23" s="101">
        <f>IF(B11=0,0,B11/TrAvia_act!B19*100)</f>
        <v>666.00685985274163</v>
      </c>
      <c r="C23" s="101">
        <f>IF(C11=0,0,C11/TrAvia_act!C19*100)</f>
        <v>723.09320448379299</v>
      </c>
      <c r="D23" s="101">
        <f>IF(D11=0,0,D11/TrAvia_act!D19*100)</f>
        <v>709.15932771055634</v>
      </c>
      <c r="E23" s="101">
        <f>IF(E11=0,0,E11/TrAvia_act!E19*100)</f>
        <v>728.25750782251259</v>
      </c>
      <c r="F23" s="101">
        <f>IF(F11=0,0,F11/TrAvia_act!F19*100)</f>
        <v>721.47099361475341</v>
      </c>
      <c r="G23" s="101">
        <f>IF(G11=0,0,G11/TrAvia_act!G19*100)</f>
        <v>752.28615814411933</v>
      </c>
      <c r="H23" s="101">
        <f>IF(H11=0,0,H11/TrAvia_act!H19*100)</f>
        <v>746.55859846144426</v>
      </c>
      <c r="I23" s="101">
        <f>IF(I11=0,0,I11/TrAvia_act!I19*100)</f>
        <v>736.06641145849585</v>
      </c>
      <c r="J23" s="101">
        <f>IF(J11=0,0,J11/TrAvia_act!J19*100)</f>
        <v>736.32883835333905</v>
      </c>
      <c r="K23" s="101">
        <f>IF(K11=0,0,K11/TrAvia_act!K19*100)</f>
        <v>734.11562999446016</v>
      </c>
      <c r="L23" s="101">
        <f>IF(L11=0,0,L11/TrAvia_act!L19*100)</f>
        <v>825.8151980673025</v>
      </c>
      <c r="M23" s="101">
        <f>IF(M11=0,0,M11/TrAvia_act!M19*100)</f>
        <v>772.6414844677621</v>
      </c>
      <c r="N23" s="101">
        <f>IF(N11=0,0,N11/TrAvia_act!N19*100)</f>
        <v>820.95428541244075</v>
      </c>
      <c r="O23" s="101">
        <f>IF(O11=0,0,O11/TrAvia_act!O19*100)</f>
        <v>811.29391811877815</v>
      </c>
      <c r="P23" s="101">
        <f>IF(P11=0,0,P11/TrAvia_act!P19*100)</f>
        <v>844.26504487860643</v>
      </c>
      <c r="Q23" s="101">
        <f>IF(Q11=0,0,Q11/TrAvia_act!Q19*100)</f>
        <v>882.69198101147629</v>
      </c>
      <c r="R23" s="101">
        <f>IF(R11=0,0,R11/TrAvia_act!R19*100)</f>
        <v>912.46568995546579</v>
      </c>
      <c r="S23" s="101">
        <f>IF(S11=0,0,S11/TrAvia_act!S19*100)</f>
        <v>939.28284525668153</v>
      </c>
      <c r="T23" s="101">
        <f>IF(T11=0,0,T11/TrAvia_act!T19*100)</f>
        <v>884.68924628087234</v>
      </c>
      <c r="U23" s="101">
        <f>IF(U11=0,0,U11/TrAvia_act!U19*100)</f>
        <v>884.6081738295037</v>
      </c>
      <c r="V23" s="101">
        <f>IF(V11=0,0,V11/TrAvia_act!V19*100)</f>
        <v>749.69439539468544</v>
      </c>
      <c r="W23" s="101">
        <f>IF(W11=0,0,W11/TrAvia_act!W19*100)</f>
        <v>949.32894929591657</v>
      </c>
      <c r="X23" s="101">
        <f>IF(X11=0,0,X11/TrAvia_act!X19*100)</f>
        <v>1275.7416947735396</v>
      </c>
      <c r="Y23" s="101">
        <f>IF(Y11=0,0,Y11/TrAvia_act!Y19*100)</f>
        <v>1216.2729235544562</v>
      </c>
      <c r="DA23" s="175" t="s">
        <v>294</v>
      </c>
    </row>
    <row r="24" spans="1:105" ht="11.45" customHeight="1" x14ac:dyDescent="0.25">
      <c r="A24" s="92" t="s">
        <v>181</v>
      </c>
      <c r="B24" s="101">
        <f>IF(B12=0,0,B12/TrAvia_act!B20*100)</f>
        <v>283.11332817225838</v>
      </c>
      <c r="C24" s="101">
        <f>IF(C12=0,0,C12/TrAvia_act!C20*100)</f>
        <v>316.47180663165511</v>
      </c>
      <c r="D24" s="101">
        <f>IF(D12=0,0,D12/TrAvia_act!D20*100)</f>
        <v>277.33010205393862</v>
      </c>
      <c r="E24" s="101">
        <f>IF(E12=0,0,E12/TrAvia_act!E20*100)</f>
        <v>323.61106131085933</v>
      </c>
      <c r="F24" s="101">
        <f>IF(F12=0,0,F12/TrAvia_act!F20*100)</f>
        <v>317.34472544930259</v>
      </c>
      <c r="G24" s="101">
        <f>IF(G12=0,0,G12/TrAvia_act!G20*100)</f>
        <v>305.58228338885567</v>
      </c>
      <c r="H24" s="101">
        <f>IF(H12=0,0,H12/TrAvia_act!H20*100)</f>
        <v>313.73481333723527</v>
      </c>
      <c r="I24" s="101">
        <f>IF(I12=0,0,I12/TrAvia_act!I20*100)</f>
        <v>301.52028439425612</v>
      </c>
      <c r="J24" s="101">
        <f>IF(J12=0,0,J12/TrAvia_act!J20*100)</f>
        <v>298.65511734521135</v>
      </c>
      <c r="K24" s="101">
        <f>IF(K12=0,0,K12/TrAvia_act!K20*100)</f>
        <v>307.8268525988077</v>
      </c>
      <c r="L24" s="101">
        <f>IF(L12=0,0,L12/TrAvia_act!L20*100)</f>
        <v>280.82663700456123</v>
      </c>
      <c r="M24" s="101">
        <f>IF(M12=0,0,M12/TrAvia_act!M20*100)</f>
        <v>307.19194998070208</v>
      </c>
      <c r="N24" s="101">
        <f>IF(N12=0,0,N12/TrAvia_act!N20*100)</f>
        <v>315.12862888220258</v>
      </c>
      <c r="O24" s="101">
        <f>IF(O12=0,0,O12/TrAvia_act!O20*100)</f>
        <v>305.27825853176302</v>
      </c>
      <c r="P24" s="101">
        <f>IF(P12=0,0,P12/TrAvia_act!P20*100)</f>
        <v>291.27684025744986</v>
      </c>
      <c r="Q24" s="101">
        <f>IF(Q12=0,0,Q12/TrAvia_act!Q20*100)</f>
        <v>301.83119217027627</v>
      </c>
      <c r="R24" s="101">
        <f>IF(R12=0,0,R12/TrAvia_act!R20*100)</f>
        <v>292.03255965308244</v>
      </c>
      <c r="S24" s="101">
        <f>IF(S12=0,0,S12/TrAvia_act!S20*100)</f>
        <v>297.05528814095811</v>
      </c>
      <c r="T24" s="101">
        <f>IF(T12=0,0,T12/TrAvia_act!T20*100)</f>
        <v>300.27590968428325</v>
      </c>
      <c r="U24" s="101">
        <f>IF(U12=0,0,U12/TrAvia_act!U20*100)</f>
        <v>309.09073624503264</v>
      </c>
      <c r="V24" s="101">
        <f>IF(V12=0,0,V12/TrAvia_act!V20*100)</f>
        <v>267.82708799868931</v>
      </c>
      <c r="W24" s="101">
        <f>IF(W12=0,0,W12/TrAvia_act!W20*100)</f>
        <v>230.30877056147955</v>
      </c>
      <c r="X24" s="101">
        <f>IF(X12=0,0,X12/TrAvia_act!X20*100)</f>
        <v>259.18341782688634</v>
      </c>
      <c r="Y24" s="101">
        <f>IF(Y12=0,0,Y12/TrAvia_act!Y20*100)</f>
        <v>277.25937657455324</v>
      </c>
      <c r="DA24" s="175" t="s">
        <v>295</v>
      </c>
    </row>
    <row r="25" spans="1:105" ht="11.45" customHeight="1" x14ac:dyDescent="0.25">
      <c r="A25" s="85" t="s">
        <v>182</v>
      </c>
      <c r="B25" s="88">
        <f>IF(B13=0,0,B13/TrAvia_act!B21*100)</f>
        <v>533.53506588477751</v>
      </c>
      <c r="C25" s="88">
        <f>IF(C13=0,0,C13/TrAvia_act!C21*100)</f>
        <v>596.83724997324805</v>
      </c>
      <c r="D25" s="88">
        <f>IF(D13=0,0,D13/TrAvia_act!D21*100)</f>
        <v>522.93557040681651</v>
      </c>
      <c r="E25" s="88">
        <f>IF(E13=0,0,E13/TrAvia_act!E21*100)</f>
        <v>607.26080653534461</v>
      </c>
      <c r="F25" s="88">
        <f>IF(F13=0,0,F13/TrAvia_act!F21*100)</f>
        <v>596.32484954657571</v>
      </c>
      <c r="G25" s="88">
        <f>IF(G13=0,0,G13/TrAvia_act!G21*100)</f>
        <v>528.23115006274486</v>
      </c>
      <c r="H25" s="88">
        <f>IF(H13=0,0,H13/TrAvia_act!H21*100)</f>
        <v>467.17721985398299</v>
      </c>
      <c r="I25" s="88">
        <f>IF(I13=0,0,I13/TrAvia_act!I21*100)</f>
        <v>414.37784384330934</v>
      </c>
      <c r="J25" s="88">
        <f>IF(J13=0,0,J13/TrAvia_act!J21*100)</f>
        <v>383.29087810554694</v>
      </c>
      <c r="K25" s="88">
        <f>IF(K13=0,0,K13/TrAvia_act!K21*100)</f>
        <v>398.40188496402334</v>
      </c>
      <c r="L25" s="88">
        <f>IF(L13=0,0,L13/TrAvia_act!L21*100)</f>
        <v>361.6692370425688</v>
      </c>
      <c r="M25" s="88">
        <f>IF(M13=0,0,M13/TrAvia_act!M21*100)</f>
        <v>384.06126356422556</v>
      </c>
      <c r="N25" s="88">
        <f>IF(N13=0,0,N13/TrAvia_act!N21*100)</f>
        <v>378.82138749374599</v>
      </c>
      <c r="O25" s="88">
        <f>IF(O13=0,0,O13/TrAvia_act!O21*100)</f>
        <v>379.20745792299562</v>
      </c>
      <c r="P25" s="88">
        <f>IF(P13=0,0,P13/TrAvia_act!P21*100)</f>
        <v>392.43298857562826</v>
      </c>
      <c r="Q25" s="88">
        <f>IF(Q13=0,0,Q13/TrAvia_act!Q21*100)</f>
        <v>425.45917908409751</v>
      </c>
      <c r="R25" s="88">
        <f>IF(R13=0,0,R13/TrAvia_act!R21*100)</f>
        <v>416.63748790656928</v>
      </c>
      <c r="S25" s="88">
        <f>IF(S13=0,0,S13/TrAvia_act!S21*100)</f>
        <v>414.13952882488633</v>
      </c>
      <c r="T25" s="88">
        <f>IF(T13=0,0,T13/TrAvia_act!T21*100)</f>
        <v>419.084360848568</v>
      </c>
      <c r="U25" s="88">
        <f>IF(U13=0,0,U13/TrAvia_act!U21*100)</f>
        <v>394.8037955131249</v>
      </c>
      <c r="V25" s="88">
        <f>IF(V13=0,0,V13/TrAvia_act!V21*100)</f>
        <v>530.42229211848337</v>
      </c>
      <c r="W25" s="88">
        <f>IF(W13=0,0,W13/TrAvia_act!W21*100)</f>
        <v>405.30101565297161</v>
      </c>
      <c r="X25" s="88">
        <f>IF(X13=0,0,X13/TrAvia_act!X21*100)</f>
        <v>330.70459430167995</v>
      </c>
      <c r="Y25" s="88">
        <f>IF(Y13=0,0,Y13/TrAvia_act!Y21*100)</f>
        <v>317.4676147328039</v>
      </c>
      <c r="DA25" s="178" t="s">
        <v>296</v>
      </c>
    </row>
    <row r="26" spans="1:105" x14ac:dyDescent="0.25">
      <c r="A26" s="50"/>
      <c r="B26" s="50"/>
      <c r="C26" s="50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DA26" s="181"/>
    </row>
    <row r="27" spans="1:105" ht="11.45" customHeight="1" x14ac:dyDescent="0.25">
      <c r="A27" s="53" t="s">
        <v>74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DA27" s="172"/>
    </row>
    <row r="28" spans="1:105" ht="11.45" customHeight="1" x14ac:dyDescent="0.25">
      <c r="A28" s="10" t="s">
        <v>155</v>
      </c>
      <c r="B28" s="14">
        <f>IF(B6=0,0,B6/TrAvia_act!B4*1000)</f>
        <v>33.070506791508386</v>
      </c>
      <c r="C28" s="14">
        <f>IF(C6=0,0,C6/TrAvia_act!C4*1000)</f>
        <v>35.288322273864466</v>
      </c>
      <c r="D28" s="14">
        <f>IF(D6=0,0,D6/TrAvia_act!D4*1000)</f>
        <v>34.260390144055052</v>
      </c>
      <c r="E28" s="14">
        <f>IF(E6=0,0,E6/TrAvia_act!E4*1000)</f>
        <v>34.628270657017474</v>
      </c>
      <c r="F28" s="14">
        <f>IF(F6=0,0,F6/TrAvia_act!F4*1000)</f>
        <v>34.757703399597759</v>
      </c>
      <c r="G28" s="14">
        <f>IF(G6=0,0,G6/TrAvia_act!G4*1000)</f>
        <v>34.429252355749512</v>
      </c>
      <c r="H28" s="14">
        <f>IF(H6=0,0,H6/TrAvia_act!H4*1000)</f>
        <v>34.777629999263212</v>
      </c>
      <c r="I28" s="14">
        <f>IF(I6=0,0,I6/TrAvia_act!I4*1000)</f>
        <v>34.106890599689912</v>
      </c>
      <c r="J28" s="14">
        <f>IF(J6=0,0,J6/TrAvia_act!J4*1000)</f>
        <v>33.409855382586471</v>
      </c>
      <c r="K28" s="14">
        <f>IF(K6=0,0,K6/TrAvia_act!K4*1000)</f>
        <v>33.162361759576463</v>
      </c>
      <c r="L28" s="14">
        <f>IF(L6=0,0,L6/TrAvia_act!L4*1000)</f>
        <v>32.325552779695769</v>
      </c>
      <c r="M28" s="14">
        <f>IF(M6=0,0,M6/TrAvia_act!M4*1000)</f>
        <v>31.549680328461331</v>
      </c>
      <c r="N28" s="14">
        <f>IF(N6=0,0,N6/TrAvia_act!N4*1000)</f>
        <v>30.516105550270055</v>
      </c>
      <c r="O28" s="14">
        <f>IF(O6=0,0,O6/TrAvia_act!O4*1000)</f>
        <v>28.919195595133424</v>
      </c>
      <c r="P28" s="14">
        <f>IF(P6=0,0,P6/TrAvia_act!P4*1000)</f>
        <v>28.764266919723898</v>
      </c>
      <c r="Q28" s="14">
        <f>IF(Q6=0,0,Q6/TrAvia_act!Q4*1000)</f>
        <v>29.586882531623015</v>
      </c>
      <c r="R28" s="14">
        <f>IF(R6=0,0,R6/TrAvia_act!R4*1000)</f>
        <v>28.355365707679859</v>
      </c>
      <c r="S28" s="14">
        <f>IF(S6=0,0,S6/TrAvia_act!S4*1000)</f>
        <v>28.52921912159351</v>
      </c>
      <c r="T28" s="14">
        <f>IF(T6=0,0,T6/TrAvia_act!T4*1000)</f>
        <v>28.269057589435516</v>
      </c>
      <c r="U28" s="14">
        <f>IF(U6=0,0,U6/TrAvia_act!U4*1000)</f>
        <v>28.156709290611388</v>
      </c>
      <c r="V28" s="14">
        <f>IF(V6=0,0,V6/TrAvia_act!V4*1000)</f>
        <v>36.941208549719391</v>
      </c>
      <c r="W28" s="14">
        <f>IF(W6=0,0,W6/TrAvia_act!W4*1000)</f>
        <v>35.143199244015001</v>
      </c>
      <c r="X28" s="14">
        <f>IF(X6=0,0,X6/TrAvia_act!X4*1000)</f>
        <v>27.171654684886459</v>
      </c>
      <c r="Y28" s="14">
        <f>IF(Y6=0,0,Y6/TrAvia_act!Y4*1000)</f>
        <v>25.318835979985984</v>
      </c>
      <c r="DA28" s="189" t="s">
        <v>297</v>
      </c>
    </row>
    <row r="29" spans="1:105" ht="11.45" customHeight="1" x14ac:dyDescent="0.25">
      <c r="A29" s="83" t="s">
        <v>27</v>
      </c>
      <c r="B29" s="87">
        <f>IF(B7=0,0,B7/TrAvia_act!B5*1000)</f>
        <v>71.592358180439774</v>
      </c>
      <c r="C29" s="87">
        <f>IF(C7=0,0,C7/TrAvia_act!C5*1000)</f>
        <v>77.10955937506732</v>
      </c>
      <c r="D29" s="87">
        <f>IF(D7=0,0,D7/TrAvia_act!D5*1000)</f>
        <v>72.672086478811821</v>
      </c>
      <c r="E29" s="87">
        <f>IF(E7=0,0,E7/TrAvia_act!E5*1000)</f>
        <v>70.875052088926793</v>
      </c>
      <c r="F29" s="87">
        <f>IF(F7=0,0,F7/TrAvia_act!F5*1000)</f>
        <v>70.190039093681463</v>
      </c>
      <c r="G29" s="87">
        <f>IF(G7=0,0,G7/TrAvia_act!G5*1000)</f>
        <v>73.082334089439271</v>
      </c>
      <c r="H29" s="87">
        <f>IF(H7=0,0,H7/TrAvia_act!H5*1000)</f>
        <v>72.464089689487707</v>
      </c>
      <c r="I29" s="87">
        <f>IF(I7=0,0,I7/TrAvia_act!I5*1000)</f>
        <v>70.598040081190817</v>
      </c>
      <c r="J29" s="87">
        <f>IF(J7=0,0,J7/TrAvia_act!J5*1000)</f>
        <v>74.47759777832232</v>
      </c>
      <c r="K29" s="87">
        <f>IF(K7=0,0,K7/TrAvia_act!K5*1000)</f>
        <v>72.661224990971249</v>
      </c>
      <c r="L29" s="87">
        <f>IF(L7=0,0,L7/TrAvia_act!L5*1000)</f>
        <v>78.910908465699336</v>
      </c>
      <c r="M29" s="87">
        <f>IF(M7=0,0,M7/TrAvia_act!M5*1000)</f>
        <v>70.488571054850041</v>
      </c>
      <c r="N29" s="87">
        <f>IF(N7=0,0,N7/TrAvia_act!N5*1000)</f>
        <v>70.026203219113981</v>
      </c>
      <c r="O29" s="87">
        <f>IF(O7=0,0,O7/TrAvia_act!O5*1000)</f>
        <v>68.698073204462304</v>
      </c>
      <c r="P29" s="87">
        <f>IF(P7=0,0,P7/TrAvia_act!P5*1000)</f>
        <v>72.521709395043132</v>
      </c>
      <c r="Q29" s="87">
        <f>IF(Q7=0,0,Q7/TrAvia_act!Q5*1000)</f>
        <v>73.899075671207811</v>
      </c>
      <c r="R29" s="87">
        <f>IF(R7=0,0,R7/TrAvia_act!R5*1000)</f>
        <v>73.510274474690817</v>
      </c>
      <c r="S29" s="87">
        <f>IF(S7=0,0,S7/TrAvia_act!S5*1000)</f>
        <v>74.285702991358093</v>
      </c>
      <c r="T29" s="87">
        <f>IF(T7=0,0,T7/TrAvia_act!T5*1000)</f>
        <v>69.847324412513373</v>
      </c>
      <c r="U29" s="87">
        <f>IF(U7=0,0,U7/TrAvia_act!U5*1000)</f>
        <v>69.666820913654533</v>
      </c>
      <c r="V29" s="87">
        <f>IF(V7=0,0,V7/TrAvia_act!V5*1000)</f>
        <v>74.17109430777441</v>
      </c>
      <c r="W29" s="87">
        <f>IF(W7=0,0,W7/TrAvia_act!W5*1000)</f>
        <v>76.951196749865332</v>
      </c>
      <c r="X29" s="87">
        <f>IF(X7=0,0,X7/TrAvia_act!X5*1000)</f>
        <v>71.488673863815023</v>
      </c>
      <c r="Y29" s="87">
        <f>IF(Y7=0,0,Y7/TrAvia_act!Y5*1000)</f>
        <v>67.499071901804626</v>
      </c>
      <c r="DA29" s="171" t="s">
        <v>298</v>
      </c>
    </row>
    <row r="30" spans="1:105" ht="11.45" customHeight="1" x14ac:dyDescent="0.25">
      <c r="A30" s="83" t="s">
        <v>181</v>
      </c>
      <c r="B30" s="87">
        <f>IF(B8=0,0,B8/TrAvia_act!B6*1000)</f>
        <v>20.161528322339446</v>
      </c>
      <c r="C30" s="87">
        <f>IF(C8=0,0,C8/TrAvia_act!C6*1000)</f>
        <v>22.509371655981049</v>
      </c>
      <c r="D30" s="87">
        <f>IF(D8=0,0,D8/TrAvia_act!D6*1000)</f>
        <v>20.710979901029322</v>
      </c>
      <c r="E30" s="87">
        <f>IF(E8=0,0,E8/TrAvia_act!E6*1000)</f>
        <v>24.149316342953217</v>
      </c>
      <c r="F30" s="87">
        <f>IF(F8=0,0,F8/TrAvia_act!F6*1000)</f>
        <v>24.229140888137852</v>
      </c>
      <c r="G30" s="87">
        <f>IF(G8=0,0,G8/TrAvia_act!G6*1000)</f>
        <v>23.301699776448501</v>
      </c>
      <c r="H30" s="87">
        <f>IF(H8=0,0,H8/TrAvia_act!H6*1000)</f>
        <v>24.420020132120396</v>
      </c>
      <c r="I30" s="87">
        <f>IF(I8=0,0,I8/TrAvia_act!I6*1000)</f>
        <v>24.625706605986085</v>
      </c>
      <c r="J30" s="87">
        <f>IF(J8=0,0,J8/TrAvia_act!J6*1000)</f>
        <v>24.427735681729612</v>
      </c>
      <c r="K30" s="87">
        <f>IF(K8=0,0,K8/TrAvia_act!K6*1000)</f>
        <v>24.35236132195487</v>
      </c>
      <c r="L30" s="87">
        <f>IF(L8=0,0,L8/TrAvia_act!L6*1000)</f>
        <v>22.309307022540356</v>
      </c>
      <c r="M30" s="87">
        <f>IF(M8=0,0,M8/TrAvia_act!M6*1000)</f>
        <v>24.141594491451769</v>
      </c>
      <c r="N30" s="87">
        <f>IF(N8=0,0,N8/TrAvia_act!N6*1000)</f>
        <v>23.767405117830492</v>
      </c>
      <c r="O30" s="87">
        <f>IF(O8=0,0,O8/TrAvia_act!O6*1000)</f>
        <v>23.17283056079377</v>
      </c>
      <c r="P30" s="87">
        <f>IF(P8=0,0,P8/TrAvia_act!P6*1000)</f>
        <v>22.614998587258196</v>
      </c>
      <c r="Q30" s="87">
        <f>IF(Q8=0,0,Q8/TrAvia_act!Q6*1000)</f>
        <v>23.204411022581557</v>
      </c>
      <c r="R30" s="87">
        <f>IF(R8=0,0,R8/TrAvia_act!R6*1000)</f>
        <v>22.23479480394975</v>
      </c>
      <c r="S30" s="87">
        <f>IF(S8=0,0,S8/TrAvia_act!S6*1000)</f>
        <v>22.815342544417369</v>
      </c>
      <c r="T30" s="87">
        <f>IF(T8=0,0,T8/TrAvia_act!T6*1000)</f>
        <v>23.227368220782232</v>
      </c>
      <c r="U30" s="87">
        <f>IF(U8=0,0,U8/TrAvia_act!U6*1000)</f>
        <v>23.556047779039517</v>
      </c>
      <c r="V30" s="87">
        <f>IF(V8=0,0,V8/TrAvia_act!V6*1000)</f>
        <v>25.118139385942534</v>
      </c>
      <c r="W30" s="87">
        <f>IF(W8=0,0,W8/TrAvia_act!W6*1000)</f>
        <v>21.083922031310038</v>
      </c>
      <c r="X30" s="87">
        <f>IF(X8=0,0,X8/TrAvia_act!X6*1000)</f>
        <v>20.381890155544994</v>
      </c>
      <c r="Y30" s="87">
        <f>IF(Y8=0,0,Y8/TrAvia_act!Y6*1000)</f>
        <v>20.433148571001421</v>
      </c>
      <c r="DA30" s="171" t="s">
        <v>299</v>
      </c>
    </row>
    <row r="31" spans="1:105" ht="11.45" customHeight="1" x14ac:dyDescent="0.25">
      <c r="A31" s="83" t="s">
        <v>182</v>
      </c>
      <c r="B31" s="87">
        <f>IF(B9=0,0,B9/TrAvia_act!B7*1000)</f>
        <v>36.787790423589875</v>
      </c>
      <c r="C31" s="87">
        <f>IF(C9=0,0,C9/TrAvia_act!C7*1000)</f>
        <v>39.877706352849344</v>
      </c>
      <c r="D31" s="87">
        <f>IF(D9=0,0,D9/TrAvia_act!D7*1000)</f>
        <v>44.663309166826416</v>
      </c>
      <c r="E31" s="87">
        <f>IF(E9=0,0,E9/TrAvia_act!E7*1000)</f>
        <v>34.247210722632275</v>
      </c>
      <c r="F31" s="87">
        <f>IF(F9=0,0,F9/TrAvia_act!F7*1000)</f>
        <v>33.646563002726829</v>
      </c>
      <c r="G31" s="87">
        <f>IF(G9=0,0,G9/TrAvia_act!G7*1000)</f>
        <v>29.829678031814932</v>
      </c>
      <c r="H31" s="87">
        <f>IF(H9=0,0,H9/TrAvia_act!H7*1000)</f>
        <v>27.508637343149985</v>
      </c>
      <c r="I31" s="87">
        <f>IF(I9=0,0,I9/TrAvia_act!I7*1000)</f>
        <v>25.254425406493013</v>
      </c>
      <c r="J31" s="87">
        <f>IF(J9=0,0,J9/TrAvia_act!J7*1000)</f>
        <v>23.470512495039152</v>
      </c>
      <c r="K31" s="87">
        <f>IF(K9=0,0,K9/TrAvia_act!K7*1000)</f>
        <v>24.372952575568448</v>
      </c>
      <c r="L31" s="87">
        <f>IF(L9=0,0,L9/TrAvia_act!L7*1000)</f>
        <v>21.872128225494382</v>
      </c>
      <c r="M31" s="87">
        <f>IF(M9=0,0,M9/TrAvia_act!M7*1000)</f>
        <v>23.31768466055092</v>
      </c>
      <c r="N31" s="87">
        <f>IF(N9=0,0,N9/TrAvia_act!N7*1000)</f>
        <v>23.594099134302525</v>
      </c>
      <c r="O31" s="87">
        <f>IF(O9=0,0,O9/TrAvia_act!O7*1000)</f>
        <v>22.981764295354566</v>
      </c>
      <c r="P31" s="87">
        <f>IF(P9=0,0,P9/TrAvia_act!P7*1000)</f>
        <v>22.570793754811419</v>
      </c>
      <c r="Q31" s="87">
        <f>IF(Q9=0,0,Q9/TrAvia_act!Q7*1000)</f>
        <v>23.011017234400686</v>
      </c>
      <c r="R31" s="87">
        <f>IF(R9=0,0,R9/TrAvia_act!R7*1000)</f>
        <v>21.22796897078825</v>
      </c>
      <c r="S31" s="87">
        <f>IF(S9=0,0,S9/TrAvia_act!S7*1000)</f>
        <v>20.315489051825409</v>
      </c>
      <c r="T31" s="87">
        <f>IF(T9=0,0,T9/TrAvia_act!T7*1000)</f>
        <v>19.46896923044358</v>
      </c>
      <c r="U31" s="87">
        <f>IF(U9=0,0,U9/TrAvia_act!U7*1000)</f>
        <v>18.401341415979147</v>
      </c>
      <c r="V31" s="87">
        <f>IF(V9=0,0,V9/TrAvia_act!V7*1000)</f>
        <v>33.773926681679882</v>
      </c>
      <c r="W31" s="87">
        <f>IF(W9=0,0,W9/TrAvia_act!W7*1000)</f>
        <v>28.597283398381258</v>
      </c>
      <c r="X31" s="87">
        <f>IF(X9=0,0,X9/TrAvia_act!X7*1000)</f>
        <v>16.113517507910071</v>
      </c>
      <c r="Y31" s="87">
        <f>IF(Y9=0,0,Y9/TrAvia_act!Y7*1000)</f>
        <v>14.168089306379468</v>
      </c>
      <c r="DA31" s="171" t="s">
        <v>300</v>
      </c>
    </row>
    <row r="32" spans="1:105" ht="11.45" customHeight="1" x14ac:dyDescent="0.25">
      <c r="A32" s="12" t="s">
        <v>156</v>
      </c>
      <c r="B32" s="15">
        <f>IF(B10=0,0,B10/TrAvia_act!B8*1000)</f>
        <v>128.13356587880745</v>
      </c>
      <c r="C32" s="15">
        <f>IF(C10=0,0,C10/TrAvia_act!C8*1000)</f>
        <v>134.89841870152867</v>
      </c>
      <c r="D32" s="15">
        <f>IF(D10=0,0,D10/TrAvia_act!D8*1000)</f>
        <v>130.27925829223068</v>
      </c>
      <c r="E32" s="15">
        <f>IF(E10=0,0,E10/TrAvia_act!E8*1000)</f>
        <v>142.29364012603526</v>
      </c>
      <c r="F32" s="15">
        <f>IF(F10=0,0,F10/TrAvia_act!F8*1000)</f>
        <v>150.78912927495278</v>
      </c>
      <c r="G32" s="15">
        <f>IF(G10=0,0,G10/TrAvia_act!G8*1000)</f>
        <v>153.54511805000263</v>
      </c>
      <c r="H32" s="15">
        <f>IF(H10=0,0,H10/TrAvia_act!H8*1000)</f>
        <v>149.18217950686321</v>
      </c>
      <c r="I32" s="15">
        <f>IF(I10=0,0,I10/TrAvia_act!I8*1000)</f>
        <v>132.10054318006564</v>
      </c>
      <c r="J32" s="15">
        <f>IF(J10=0,0,J10/TrAvia_act!J8*1000)</f>
        <v>125.08361355213741</v>
      </c>
      <c r="K32" s="15">
        <f>IF(K10=0,0,K10/TrAvia_act!K8*1000)</f>
        <v>111.94446836094221</v>
      </c>
      <c r="L32" s="15">
        <f>IF(L10=0,0,L10/TrAvia_act!L8*1000)</f>
        <v>95.475460184226236</v>
      </c>
      <c r="M32" s="15">
        <f>IF(M10=0,0,M10/TrAvia_act!M8*1000)</f>
        <v>87.352418876527963</v>
      </c>
      <c r="N32" s="15">
        <f>IF(N10=0,0,N10/TrAvia_act!N8*1000)</f>
        <v>80.243112032727865</v>
      </c>
      <c r="O32" s="15">
        <f>IF(O10=0,0,O10/TrAvia_act!O8*1000)</f>
        <v>76.896390066010326</v>
      </c>
      <c r="P32" s="15">
        <f>IF(P10=0,0,P10/TrAvia_act!P8*1000)</f>
        <v>68.263345007057296</v>
      </c>
      <c r="Q32" s="15">
        <f>IF(Q10=0,0,Q10/TrAvia_act!Q8*1000)</f>
        <v>69.77006231634941</v>
      </c>
      <c r="R32" s="15">
        <f>IF(R10=0,0,R10/TrAvia_act!R8*1000)</f>
        <v>62.205862228875063</v>
      </c>
      <c r="S32" s="15">
        <f>IF(S10=0,0,S10/TrAvia_act!S8*1000)</f>
        <v>61.798086634208552</v>
      </c>
      <c r="T32" s="15">
        <f>IF(T10=0,0,T10/TrAvia_act!T8*1000)</f>
        <v>58.079945608618139</v>
      </c>
      <c r="U32" s="15">
        <f>IF(U10=0,0,U10/TrAvia_act!U8*1000)</f>
        <v>53.154155675076609</v>
      </c>
      <c r="V32" s="15">
        <f>IF(V10=0,0,V10/TrAvia_act!V8*1000)</f>
        <v>91.59390197387178</v>
      </c>
      <c r="W32" s="15">
        <f>IF(W10=0,0,W10/TrAvia_act!W8*1000)</f>
        <v>73.773412062184434</v>
      </c>
      <c r="X32" s="15">
        <f>IF(X10=0,0,X10/TrAvia_act!X8*1000)</f>
        <v>57.552567413272406</v>
      </c>
      <c r="Y32" s="15">
        <f>IF(Y10=0,0,Y10/TrAvia_act!Y8*1000)</f>
        <v>51.288852182867103</v>
      </c>
      <c r="DA32" s="193" t="s">
        <v>301</v>
      </c>
    </row>
    <row r="33" spans="1:105" ht="11.45" customHeight="1" x14ac:dyDescent="0.25">
      <c r="A33" s="92" t="s">
        <v>27</v>
      </c>
      <c r="B33" s="101">
        <f>IF(B11=0,0,B11/TrAvia_act!B9*1000)</f>
        <v>527.48476561811333</v>
      </c>
      <c r="C33" s="101">
        <f>IF(C11=0,0,C11/TrAvia_act!C9*1000)</f>
        <v>577.09888317360685</v>
      </c>
      <c r="D33" s="101">
        <f>IF(D11=0,0,D11/TrAvia_act!D9*1000)</f>
        <v>550.3869195358119</v>
      </c>
      <c r="E33" s="101">
        <f>IF(E11=0,0,E11/TrAvia_act!E9*1000)</f>
        <v>531.36500304665162</v>
      </c>
      <c r="F33" s="101">
        <f>IF(F11=0,0,F11/TrAvia_act!F9*1000)</f>
        <v>559.03094260855516</v>
      </c>
      <c r="G33" s="101">
        <f>IF(G11=0,0,G11/TrAvia_act!G9*1000)</f>
        <v>595.63458323247005</v>
      </c>
      <c r="H33" s="101">
        <f>IF(H11=0,0,H11/TrAvia_act!H9*1000)</f>
        <v>614.51808804468033</v>
      </c>
      <c r="I33" s="101">
        <f>IF(I11=0,0,I11/TrAvia_act!I9*1000)</f>
        <v>608.13961195188597</v>
      </c>
      <c r="J33" s="101">
        <f>IF(J11=0,0,J11/TrAvia_act!J9*1000)</f>
        <v>632.3262477325643</v>
      </c>
      <c r="K33" s="101">
        <f>IF(K11=0,0,K11/TrAvia_act!K9*1000)</f>
        <v>625.02708103390944</v>
      </c>
      <c r="L33" s="101">
        <f>IF(L11=0,0,L11/TrAvia_act!L9*1000)</f>
        <v>657.37273802586481</v>
      </c>
      <c r="M33" s="101">
        <f>IF(M11=0,0,M11/TrAvia_act!M9*1000)</f>
        <v>552.83381458717179</v>
      </c>
      <c r="N33" s="101">
        <f>IF(N11=0,0,N11/TrAvia_act!N9*1000)</f>
        <v>565.84398461199964</v>
      </c>
      <c r="O33" s="101">
        <f>IF(O11=0,0,O11/TrAvia_act!O9*1000)</f>
        <v>555.25321478570447</v>
      </c>
      <c r="P33" s="101">
        <f>IF(P11=0,0,P11/TrAvia_act!P9*1000)</f>
        <v>519.39134173044113</v>
      </c>
      <c r="Q33" s="101">
        <f>IF(Q11=0,0,Q11/TrAvia_act!Q9*1000)</f>
        <v>528.47827419871624</v>
      </c>
      <c r="R33" s="101">
        <f>IF(R11=0,0,R11/TrAvia_act!R9*1000)</f>
        <v>478.33342342032</v>
      </c>
      <c r="S33" s="101">
        <f>IF(S11=0,0,S11/TrAvia_act!S9*1000)</f>
        <v>535.9733370540032</v>
      </c>
      <c r="T33" s="101">
        <f>IF(T11=0,0,T11/TrAvia_act!T9*1000)</f>
        <v>486.74996133855609</v>
      </c>
      <c r="U33" s="101">
        <f>IF(U11=0,0,U11/TrAvia_act!U9*1000)</f>
        <v>444.99861302367424</v>
      </c>
      <c r="V33" s="101">
        <f>IF(V11=0,0,V11/TrAvia_act!V9*1000)</f>
        <v>423.91170072602461</v>
      </c>
      <c r="W33" s="101">
        <f>IF(W11=0,0,W11/TrAvia_act!W9*1000)</f>
        <v>519.39838025346182</v>
      </c>
      <c r="X33" s="101">
        <f>IF(X11=0,0,X11/TrAvia_act!X9*1000)</f>
        <v>685.25859285509557</v>
      </c>
      <c r="Y33" s="101">
        <f>IF(Y11=0,0,Y11/TrAvia_act!Y9*1000)</f>
        <v>653.7051292397764</v>
      </c>
      <c r="DA33" s="175" t="s">
        <v>302</v>
      </c>
    </row>
    <row r="34" spans="1:105" ht="11.45" customHeight="1" x14ac:dyDescent="0.25">
      <c r="A34" s="92" t="s">
        <v>181</v>
      </c>
      <c r="B34" s="101">
        <f>IF(B12=0,0,B12/TrAvia_act!B10*1000)</f>
        <v>113.79110038974103</v>
      </c>
      <c r="C34" s="101">
        <f>IF(C12=0,0,C12/TrAvia_act!C10*1000)</f>
        <v>121.3190915165946</v>
      </c>
      <c r="D34" s="101">
        <f>IF(D12=0,0,D12/TrAvia_act!D10*1000)</f>
        <v>112.75411893385147</v>
      </c>
      <c r="E34" s="101">
        <f>IF(E12=0,0,E12/TrAvia_act!E10*1000)</f>
        <v>129.15616815221435</v>
      </c>
      <c r="F34" s="101">
        <f>IF(F12=0,0,F12/TrAvia_act!F10*1000)</f>
        <v>140.06080188381583</v>
      </c>
      <c r="G34" s="101">
        <f>IF(G12=0,0,G12/TrAvia_act!G10*1000)</f>
        <v>137.01332192327141</v>
      </c>
      <c r="H34" s="101">
        <f>IF(H12=0,0,H12/TrAvia_act!H10*1000)</f>
        <v>164.36953173162252</v>
      </c>
      <c r="I34" s="101">
        <f>IF(I12=0,0,I12/TrAvia_act!I10*1000)</f>
        <v>163.35277136744924</v>
      </c>
      <c r="J34" s="101">
        <f>IF(J12=0,0,J12/TrAvia_act!J10*1000)</f>
        <v>165.76470835828138</v>
      </c>
      <c r="K34" s="101">
        <f>IF(K12=0,0,K12/TrAvia_act!K10*1000)</f>
        <v>166.3962856457502</v>
      </c>
      <c r="L34" s="101">
        <f>IF(L12=0,0,L12/TrAvia_act!L10*1000)</f>
        <v>150.17025081480961</v>
      </c>
      <c r="M34" s="101">
        <f>IF(M12=0,0,M12/TrAvia_act!M10*1000)</f>
        <v>156.86370702774701</v>
      </c>
      <c r="N34" s="101">
        <f>IF(N12=0,0,N12/TrAvia_act!N10*1000)</f>
        <v>146.94701349270767</v>
      </c>
      <c r="O34" s="101">
        <f>IF(O12=0,0,O12/TrAvia_act!O10*1000)</f>
        <v>142.68437176381295</v>
      </c>
      <c r="P34" s="101">
        <f>IF(P12=0,0,P12/TrAvia_act!P10*1000)</f>
        <v>118.27116096508126</v>
      </c>
      <c r="Q34" s="101">
        <f>IF(Q12=0,0,Q12/TrAvia_act!Q10*1000)</f>
        <v>124.1687647224408</v>
      </c>
      <c r="R34" s="101">
        <f>IF(R12=0,0,R12/TrAvia_act!R10*1000)</f>
        <v>111.02578215216094</v>
      </c>
      <c r="S34" s="101">
        <f>IF(S12=0,0,S12/TrAvia_act!S10*1000)</f>
        <v>123.41685729617109</v>
      </c>
      <c r="T34" s="101">
        <f>IF(T12=0,0,T12/TrAvia_act!T10*1000)</f>
        <v>124.20232420985496</v>
      </c>
      <c r="U34" s="101">
        <f>IF(U12=0,0,U12/TrAvia_act!U10*1000)</f>
        <v>121.68588476204918</v>
      </c>
      <c r="V34" s="101">
        <f>IF(V12=0,0,V12/TrAvia_act!V10*1000)</f>
        <v>121.44747928032434</v>
      </c>
      <c r="W34" s="101">
        <f>IF(W12=0,0,W12/TrAvia_act!W10*1000)</f>
        <v>107.17412642518484</v>
      </c>
      <c r="X34" s="101">
        <f>IF(X12=0,0,X12/TrAvia_act!X10*1000)</f>
        <v>121.95554057726835</v>
      </c>
      <c r="Y34" s="101">
        <f>IF(Y12=0,0,Y12/TrAvia_act!Y10*1000)</f>
        <v>131.15273839384128</v>
      </c>
      <c r="DA34" s="175" t="s">
        <v>303</v>
      </c>
    </row>
    <row r="35" spans="1:105" ht="11.45" customHeight="1" x14ac:dyDescent="0.25">
      <c r="A35" s="85" t="s">
        <v>182</v>
      </c>
      <c r="B35" s="88">
        <f>IF(B13=0,0,B13/TrAvia_act!B11*1000)</f>
        <v>67.666995986967464</v>
      </c>
      <c r="C35" s="88">
        <f>IF(C13=0,0,C13/TrAvia_act!C11*1000)</f>
        <v>72.233969736199484</v>
      </c>
      <c r="D35" s="88">
        <f>IF(D13=0,0,D13/TrAvia_act!D11*1000)</f>
        <v>67.03158906599981</v>
      </c>
      <c r="E35" s="88">
        <f>IF(E13=0,0,E13/TrAvia_act!E11*1000)</f>
        <v>85.668451532223884</v>
      </c>
      <c r="F35" s="88">
        <f>IF(F13=0,0,F13/TrAvia_act!F11*1000)</f>
        <v>86.675882446043474</v>
      </c>
      <c r="G35" s="88">
        <f>IF(G13=0,0,G13/TrAvia_act!G11*1000)</f>
        <v>81.642388617483675</v>
      </c>
      <c r="H35" s="88">
        <f>IF(H13=0,0,H13/TrAvia_act!H11*1000)</f>
        <v>74.692626850015316</v>
      </c>
      <c r="I35" s="88">
        <f>IF(I13=0,0,I13/TrAvia_act!I11*1000)</f>
        <v>67.374975947535162</v>
      </c>
      <c r="J35" s="88">
        <f>IF(J13=0,0,J13/TrAvia_act!J11*1000)</f>
        <v>63.601906527757031</v>
      </c>
      <c r="K35" s="88">
        <f>IF(K13=0,0,K13/TrAvia_act!K11*1000)</f>
        <v>58.617920711686516</v>
      </c>
      <c r="L35" s="88">
        <f>IF(L13=0,0,L13/TrAvia_act!L11*1000)</f>
        <v>52.345161339444878</v>
      </c>
      <c r="M35" s="88">
        <f>IF(M13=0,0,M13/TrAvia_act!M11*1000)</f>
        <v>53.626267920803386</v>
      </c>
      <c r="N35" s="88">
        <f>IF(N13=0,0,N13/TrAvia_act!N11*1000)</f>
        <v>49.284051054402603</v>
      </c>
      <c r="O35" s="88">
        <f>IF(O13=0,0,O13/TrAvia_act!O11*1000)</f>
        <v>47.827668580093921</v>
      </c>
      <c r="P35" s="88">
        <f>IF(P13=0,0,P13/TrAvia_act!P11*1000)</f>
        <v>43.275889659207692</v>
      </c>
      <c r="Q35" s="88">
        <f>IF(Q13=0,0,Q13/TrAvia_act!Q11*1000)</f>
        <v>46.865166487589178</v>
      </c>
      <c r="R35" s="88">
        <f>IF(R13=0,0,R13/TrAvia_act!R11*1000)</f>
        <v>42.22364562821955</v>
      </c>
      <c r="S35" s="88">
        <f>IF(S13=0,0,S13/TrAvia_act!S11*1000)</f>
        <v>43.234347502374106</v>
      </c>
      <c r="T35" s="88">
        <f>IF(T13=0,0,T13/TrAvia_act!T11*1000)</f>
        <v>42.909341404831231</v>
      </c>
      <c r="U35" s="88">
        <f>IF(U13=0,0,U13/TrAvia_act!U11*1000)</f>
        <v>38.469806926648552</v>
      </c>
      <c r="V35" s="88">
        <f>IF(V13=0,0,V13/TrAvia_act!V11*1000)</f>
        <v>75.154739369873909</v>
      </c>
      <c r="W35" s="88">
        <f>IF(W13=0,0,W13/TrAvia_act!W11*1000)</f>
        <v>57.189185218791458</v>
      </c>
      <c r="X35" s="88">
        <f>IF(X13=0,0,X13/TrAvia_act!X11*1000)</f>
        <v>42.171823056700418</v>
      </c>
      <c r="Y35" s="88">
        <f>IF(Y13=0,0,Y13/TrAvia_act!Y11*1000)</f>
        <v>39.366541656098939</v>
      </c>
      <c r="DA35" s="178" t="s">
        <v>304</v>
      </c>
    </row>
    <row r="36" spans="1:105" x14ac:dyDescent="0.25">
      <c r="A36" s="50"/>
      <c r="B36" s="50"/>
      <c r="C36" s="50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DA36" s="181"/>
    </row>
    <row r="37" spans="1:105" ht="11.45" customHeight="1" x14ac:dyDescent="0.25">
      <c r="A37" s="53" t="s">
        <v>75</v>
      </c>
      <c r="B37" s="62">
        <f>IF(B3=0,0,B3/TrAvia_act!B23*1000000)</f>
        <v>5884.7183294255128</v>
      </c>
      <c r="C37" s="62">
        <f>IF(C3=0,0,C3/TrAvia_act!C23*1000000)</f>
        <v>6303.1989078685856</v>
      </c>
      <c r="D37" s="62">
        <f>IF(D3=0,0,D3/TrAvia_act!D23*1000000)</f>
        <v>6039.7137068400898</v>
      </c>
      <c r="E37" s="62">
        <f>IF(E3=0,0,E3/TrAvia_act!E23*1000000)</f>
        <v>6293.1388914255913</v>
      </c>
      <c r="F37" s="62">
        <f>IF(F3=0,0,F3/TrAvia_act!F23*1000000)</f>
        <v>6304.3866677852711</v>
      </c>
      <c r="G37" s="62">
        <f>IF(G3=0,0,G3/TrAvia_act!G23*1000000)</f>
        <v>6202.974921131613</v>
      </c>
      <c r="H37" s="62">
        <f>IF(H3=0,0,H3/TrAvia_act!H23*1000000)</f>
        <v>6240.9520222929714</v>
      </c>
      <c r="I37" s="62">
        <f>IF(I3=0,0,I3/TrAvia_act!I23*1000000)</f>
        <v>6077.3468994311033</v>
      </c>
      <c r="J37" s="62">
        <f>IF(J3=0,0,J3/TrAvia_act!J23*1000000)</f>
        <v>6129.0992932505842</v>
      </c>
      <c r="K37" s="62">
        <f>IF(K3=0,0,K3/TrAvia_act!K23*1000000)</f>
        <v>6248.8228033082141</v>
      </c>
      <c r="L37" s="62">
        <f>IF(L3=0,0,L3/TrAvia_act!L23*1000000)</f>
        <v>6387.2203890557184</v>
      </c>
      <c r="M37" s="62">
        <f>IF(M3=0,0,M3/TrAvia_act!M23*1000000)</f>
        <v>6644.1244682683355</v>
      </c>
      <c r="N37" s="62">
        <f>IF(N3=0,0,N3/TrAvia_act!N23*1000000)</f>
        <v>6934.5480664979777</v>
      </c>
      <c r="O37" s="62">
        <f>IF(O3=0,0,O3/TrAvia_act!O23*1000000)</f>
        <v>7038.0535344912541</v>
      </c>
      <c r="P37" s="62">
        <f>IF(P3=0,0,P3/TrAvia_act!P23*1000000)</f>
        <v>7033.1170434758869</v>
      </c>
      <c r="Q37" s="62">
        <f>IF(Q3=0,0,Q3/TrAvia_act!Q23*1000000)</f>
        <v>7300.8925335140093</v>
      </c>
      <c r="R37" s="62">
        <f>IF(R3=0,0,R3/TrAvia_act!R23*1000000)</f>
        <v>7344.6922218463715</v>
      </c>
      <c r="S37" s="62">
        <f>IF(S3=0,0,S3/TrAvia_act!S23*1000000)</f>
        <v>7544.1460292273277</v>
      </c>
      <c r="T37" s="62">
        <f>IF(T3=0,0,T3/TrAvia_act!T23*1000000)</f>
        <v>7366.128370385949</v>
      </c>
      <c r="U37" s="62">
        <f>IF(U3=0,0,U3/TrAvia_act!U23*1000000)</f>
        <v>7426.2212204715634</v>
      </c>
      <c r="V37" s="62">
        <f>IF(V3=0,0,V3/TrAvia_act!V23*1000000)</f>
        <v>6587.0879884081814</v>
      </c>
      <c r="W37" s="62">
        <f>IF(W3=0,0,W3/TrAvia_act!W23*1000000)</f>
        <v>6409.9519698188069</v>
      </c>
      <c r="X37" s="62">
        <f>IF(X3=0,0,X3/TrAvia_act!X23*1000000)</f>
        <v>6870.817396670046</v>
      </c>
      <c r="Y37" s="62">
        <f>IF(Y3=0,0,Y3/TrAvia_act!Y23*1000000)</f>
        <v>6998.2186393515376</v>
      </c>
      <c r="DA37" s="172" t="s">
        <v>305</v>
      </c>
    </row>
    <row r="38" spans="1:105" ht="11.45" customHeight="1" x14ac:dyDescent="0.25">
      <c r="A38" s="10" t="s">
        <v>33</v>
      </c>
      <c r="B38" s="14">
        <f>IF(B6=0,0,B6/TrAvia_act!B24*1000000)</f>
        <v>5879.1916941550289</v>
      </c>
      <c r="C38" s="14">
        <f>IF(C6=0,0,C6/TrAvia_act!C24*1000000)</f>
        <v>6291.1374307536353</v>
      </c>
      <c r="D38" s="14">
        <f>IF(D6=0,0,D6/TrAvia_act!D24*1000000)</f>
        <v>6034.6618550696285</v>
      </c>
      <c r="E38" s="14">
        <f>IF(E6=0,0,E6/TrAvia_act!E24*1000000)</f>
        <v>6274.0138011379559</v>
      </c>
      <c r="F38" s="14">
        <f>IF(F6=0,0,F6/TrAvia_act!F24*1000000)</f>
        <v>6287.595962304973</v>
      </c>
      <c r="G38" s="14">
        <f>IF(G6=0,0,G6/TrAvia_act!G24*1000000)</f>
        <v>6190.1258531901894</v>
      </c>
      <c r="H38" s="14">
        <f>IF(H6=0,0,H6/TrAvia_act!H24*1000000)</f>
        <v>6229.059619768529</v>
      </c>
      <c r="I38" s="14">
        <f>IF(I6=0,0,I6/TrAvia_act!I24*1000000)</f>
        <v>6061.7644164016683</v>
      </c>
      <c r="J38" s="14">
        <f>IF(J6=0,0,J6/TrAvia_act!J24*1000000)</f>
        <v>6113.7693646756861</v>
      </c>
      <c r="K38" s="14">
        <f>IF(K6=0,0,K6/TrAvia_act!K24*1000000)</f>
        <v>6233.1222871297914</v>
      </c>
      <c r="L38" s="14">
        <f>IF(L6=0,0,L6/TrAvia_act!L24*1000000)</f>
        <v>6363.2050153416913</v>
      </c>
      <c r="M38" s="14">
        <f>IF(M6=0,0,M6/TrAvia_act!M24*1000000)</f>
        <v>6622.0182721172423</v>
      </c>
      <c r="N38" s="14">
        <f>IF(N6=0,0,N6/TrAvia_act!N24*1000000)</f>
        <v>6918.2299733906239</v>
      </c>
      <c r="O38" s="14">
        <f>IF(O6=0,0,O6/TrAvia_act!O24*1000000)</f>
        <v>7022.0197735185093</v>
      </c>
      <c r="P38" s="14">
        <f>IF(P6=0,0,P6/TrAvia_act!P24*1000000)</f>
        <v>7013.6290486681246</v>
      </c>
      <c r="Q38" s="14">
        <f>IF(Q6=0,0,Q6/TrAvia_act!Q24*1000000)</f>
        <v>7272.6030680364765</v>
      </c>
      <c r="R38" s="14">
        <f>IF(R6=0,0,R6/TrAvia_act!R24*1000000)</f>
        <v>7315.6497321604547</v>
      </c>
      <c r="S38" s="14">
        <f>IF(S6=0,0,S6/TrAvia_act!S24*1000000)</f>
        <v>7504.8033539032704</v>
      </c>
      <c r="T38" s="14">
        <f>IF(T6=0,0,T6/TrAvia_act!T24*1000000)</f>
        <v>7319.4055716311077</v>
      </c>
      <c r="U38" s="14">
        <f>IF(U6=0,0,U6/TrAvia_act!U24*1000000)</f>
        <v>7391.525927542345</v>
      </c>
      <c r="V38" s="14">
        <f>IF(V6=0,0,V6/TrAvia_act!V24*1000000)</f>
        <v>6505.6165661219457</v>
      </c>
      <c r="W38" s="14">
        <f>IF(W6=0,0,W6/TrAvia_act!W24*1000000)</f>
        <v>6363.9752670455327</v>
      </c>
      <c r="X38" s="14">
        <f>IF(X6=0,0,X6/TrAvia_act!X24*1000000)</f>
        <v>6852.1033567798049</v>
      </c>
      <c r="Y38" s="14">
        <f>IF(Y6=0,0,Y6/TrAvia_act!Y24*1000000)</f>
        <v>6962.2675295815507</v>
      </c>
      <c r="DA38" s="189" t="s">
        <v>306</v>
      </c>
    </row>
    <row r="39" spans="1:105" ht="11.45" customHeight="1" x14ac:dyDescent="0.25">
      <c r="A39" s="83" t="s">
        <v>27</v>
      </c>
      <c r="B39" s="87">
        <f>IF(B7=0,0,B7/TrAvia_act!B25*1000000)</f>
        <v>4247.6357073067666</v>
      </c>
      <c r="C39" s="87">
        <f>IF(C7=0,0,C7/TrAvia_act!C25*1000000)</f>
        <v>4611.7190380822012</v>
      </c>
      <c r="D39" s="87">
        <f>IF(D7=0,0,D7/TrAvia_act!D25*1000000)</f>
        <v>4522.8520367178307</v>
      </c>
      <c r="E39" s="87">
        <f>IF(E7=0,0,E7/TrAvia_act!E25*1000000)</f>
        <v>4644.6557547847269</v>
      </c>
      <c r="F39" s="87">
        <f>IF(F7=0,0,F7/TrAvia_act!F25*1000000)</f>
        <v>4601.3729572420771</v>
      </c>
      <c r="G39" s="87">
        <f>IF(G7=0,0,G7/TrAvia_act!G25*1000000)</f>
        <v>4845.8119690700487</v>
      </c>
      <c r="H39" s="87">
        <f>IF(H7=0,0,H7/TrAvia_act!H25*1000000)</f>
        <v>4862.2716953049276</v>
      </c>
      <c r="I39" s="87">
        <f>IF(I7=0,0,I7/TrAvia_act!I25*1000000)</f>
        <v>4862.6480640317332</v>
      </c>
      <c r="J39" s="87">
        <f>IF(J7=0,0,J7/TrAvia_act!J25*1000000)</f>
        <v>4897.4307160394028</v>
      </c>
      <c r="K39" s="87">
        <f>IF(K7=0,0,K7/TrAvia_act!K25*1000000)</f>
        <v>4879.5384408617547</v>
      </c>
      <c r="L39" s="87">
        <f>IF(L7=0,0,L7/TrAvia_act!L25*1000000)</f>
        <v>5587.1853645121992</v>
      </c>
      <c r="M39" s="87">
        <f>IF(M7=0,0,M7/TrAvia_act!M25*1000000)</f>
        <v>5165.1022168669533</v>
      </c>
      <c r="N39" s="87">
        <f>IF(N7=0,0,N7/TrAvia_act!N25*1000000)</f>
        <v>5369.3245402694838</v>
      </c>
      <c r="O39" s="87">
        <f>IF(O7=0,0,O7/TrAvia_act!O25*1000000)</f>
        <v>5452.8964320047862</v>
      </c>
      <c r="P39" s="87">
        <f>IF(P7=0,0,P7/TrAvia_act!P25*1000000)</f>
        <v>5664.31993165321</v>
      </c>
      <c r="Q39" s="87">
        <f>IF(Q7=0,0,Q7/TrAvia_act!Q25*1000000)</f>
        <v>5984.4190368039508</v>
      </c>
      <c r="R39" s="87">
        <f>IF(R7=0,0,R7/TrAvia_act!R25*1000000)</f>
        <v>6334.7875802188746</v>
      </c>
      <c r="S39" s="87">
        <f>IF(S7=0,0,S7/TrAvia_act!S25*1000000)</f>
        <v>6527.8708175060201</v>
      </c>
      <c r="T39" s="87">
        <f>IF(T7=0,0,T7/TrAvia_act!T25*1000000)</f>
        <v>6097.0545277549018</v>
      </c>
      <c r="U39" s="87">
        <f>IF(U7=0,0,U7/TrAvia_act!U25*1000000)</f>
        <v>6150.760214278097</v>
      </c>
      <c r="V39" s="87">
        <f>IF(V7=0,0,V7/TrAvia_act!V25*1000000)</f>
        <v>4962.9422430922732</v>
      </c>
      <c r="W39" s="87">
        <f>IF(W7=0,0,W7/TrAvia_act!W25*1000000)</f>
        <v>6307.1663087303432</v>
      </c>
      <c r="X39" s="87">
        <f>IF(X7=0,0,X7/TrAvia_act!X25*1000000)</f>
        <v>6888.7943368078768</v>
      </c>
      <c r="Y39" s="87">
        <f>IF(Y7=0,0,Y7/TrAvia_act!Y25*1000000)</f>
        <v>6715.7182668488085</v>
      </c>
      <c r="DA39" s="171" t="s">
        <v>307</v>
      </c>
    </row>
    <row r="40" spans="1:105" ht="11.45" customHeight="1" x14ac:dyDescent="0.25">
      <c r="A40" s="83" t="s">
        <v>181</v>
      </c>
      <c r="B40" s="87">
        <f>IF(B8=0,0,B8/TrAvia_act!B26*1000000)</f>
        <v>5352.5489340872164</v>
      </c>
      <c r="C40" s="87">
        <f>IF(C8=0,0,C8/TrAvia_act!C26*1000000)</f>
        <v>6027.8887416451371</v>
      </c>
      <c r="D40" s="87">
        <f>IF(D8=0,0,D8/TrAvia_act!D26*1000000)</f>
        <v>5300.4825640645277</v>
      </c>
      <c r="E40" s="87">
        <f>IF(E8=0,0,E8/TrAvia_act!E26*1000000)</f>
        <v>6214.8662685051022</v>
      </c>
      <c r="F40" s="87">
        <f>IF(F8=0,0,F8/TrAvia_act!F26*1000000)</f>
        <v>6101.1818947498305</v>
      </c>
      <c r="G40" s="87">
        <f>IF(G8=0,0,G8/TrAvia_act!G26*1000000)</f>
        <v>5856.5727524893064</v>
      </c>
      <c r="H40" s="87">
        <f>IF(H8=0,0,H8/TrAvia_act!H26*1000000)</f>
        <v>6020.8066429626651</v>
      </c>
      <c r="I40" s="87">
        <f>IF(I8=0,0,I8/TrAvia_act!I26*1000000)</f>
        <v>5754.7273021495739</v>
      </c>
      <c r="J40" s="87">
        <f>IF(J8=0,0,J8/TrAvia_act!J26*1000000)</f>
        <v>5750.7311773596512</v>
      </c>
      <c r="K40" s="87">
        <f>IF(K8=0,0,K8/TrAvia_act!K26*1000000)</f>
        <v>5826.3046148894991</v>
      </c>
      <c r="L40" s="87">
        <f>IF(L8=0,0,L8/TrAvia_act!L26*1000000)</f>
        <v>5449.0297071135637</v>
      </c>
      <c r="M40" s="87">
        <f>IF(M8=0,0,M8/TrAvia_act!M26*1000000)</f>
        <v>6124.1303933268864</v>
      </c>
      <c r="N40" s="87">
        <f>IF(N8=0,0,N8/TrAvia_act!N26*1000000)</f>
        <v>6220.5988378215961</v>
      </c>
      <c r="O40" s="87">
        <f>IF(O8=0,0,O8/TrAvia_act!O26*1000000)</f>
        <v>6245.2802332509909</v>
      </c>
      <c r="P40" s="87">
        <f>IF(P8=0,0,P8/TrAvia_act!P26*1000000)</f>
        <v>6145.0597062449033</v>
      </c>
      <c r="Q40" s="87">
        <f>IF(Q8=0,0,Q8/TrAvia_act!Q26*1000000)</f>
        <v>6283.9102256690749</v>
      </c>
      <c r="R40" s="87">
        <f>IF(R8=0,0,R8/TrAvia_act!R26*1000000)</f>
        <v>6290.8833112166139</v>
      </c>
      <c r="S40" s="87">
        <f>IF(S8=0,0,S8/TrAvia_act!S26*1000000)</f>
        <v>6536.0413408955064</v>
      </c>
      <c r="T40" s="87">
        <f>IF(T8=0,0,T8/TrAvia_act!T26*1000000)</f>
        <v>6504.6505557985311</v>
      </c>
      <c r="U40" s="87">
        <f>IF(U8=0,0,U8/TrAvia_act!U26*1000000)</f>
        <v>6563.3342508395044</v>
      </c>
      <c r="V40" s="87">
        <f>IF(V8=0,0,V8/TrAvia_act!V26*1000000)</f>
        <v>5362.454029262557</v>
      </c>
      <c r="W40" s="87">
        <f>IF(W8=0,0,W8/TrAvia_act!W26*1000000)</f>
        <v>4515.3632775359129</v>
      </c>
      <c r="X40" s="87">
        <f>IF(X8=0,0,X8/TrAvia_act!X26*1000000)</f>
        <v>5450.5537599539939</v>
      </c>
      <c r="Y40" s="87">
        <f>IF(Y8=0,0,Y8/TrAvia_act!Y26*1000000)</f>
        <v>5767.349026788509</v>
      </c>
      <c r="DA40" s="171" t="s">
        <v>308</v>
      </c>
    </row>
    <row r="41" spans="1:105" ht="11.45" customHeight="1" x14ac:dyDescent="0.25">
      <c r="A41" s="83" t="s">
        <v>182</v>
      </c>
      <c r="B41" s="87">
        <f>IF(B9=0,0,B9/TrAvia_act!B27*1000000)</f>
        <v>29613.743302499977</v>
      </c>
      <c r="C41" s="87">
        <f>IF(C9=0,0,C9/TrAvia_act!C27*1000000)</f>
        <v>33127.316729908787</v>
      </c>
      <c r="D41" s="87">
        <f>IF(D9=0,0,D9/TrAvia_act!D27*1000000)</f>
        <v>29025.420700498518</v>
      </c>
      <c r="E41" s="87">
        <f>IF(E9=0,0,E9/TrAvia_act!E27*1000000)</f>
        <v>33705.873882131047</v>
      </c>
      <c r="F41" s="87">
        <f>IF(F9=0,0,F9/TrAvia_act!F27*1000000)</f>
        <v>33098.876059981296</v>
      </c>
      <c r="G41" s="87">
        <f>IF(G9=0,0,G9/TrAvia_act!G27*1000000)</f>
        <v>29343.717278557044</v>
      </c>
      <c r="H41" s="87">
        <f>IF(H9=0,0,H9/TrAvia_act!H27*1000000)</f>
        <v>26574.151140815855</v>
      </c>
      <c r="I41" s="87">
        <f>IF(I9=0,0,I9/TrAvia_act!I27*1000000)</f>
        <v>23275.152935689832</v>
      </c>
      <c r="J41" s="87">
        <f>IF(J9=0,0,J9/TrAvia_act!J27*1000000)</f>
        <v>22180.240874237279</v>
      </c>
      <c r="K41" s="87">
        <f>IF(K9=0,0,K9/TrAvia_act!K27*1000000)</f>
        <v>22877.28101101744</v>
      </c>
      <c r="L41" s="87">
        <f>IF(L9=0,0,L9/TrAvia_act!L27*1000000)</f>
        <v>20250.378424880491</v>
      </c>
      <c r="M41" s="87">
        <f>IF(M9=0,0,M9/TrAvia_act!M27*1000000)</f>
        <v>22149.932154728525</v>
      </c>
      <c r="N41" s="87">
        <f>IF(N9=0,0,N9/TrAvia_act!N27*1000000)</f>
        <v>22932.856002919794</v>
      </c>
      <c r="O41" s="87">
        <f>IF(O9=0,0,O9/TrAvia_act!O27*1000000)</f>
        <v>21119.656771244256</v>
      </c>
      <c r="P41" s="87">
        <f>IF(P9=0,0,P9/TrAvia_act!P27*1000000)</f>
        <v>20614.013240886874</v>
      </c>
      <c r="Q41" s="87">
        <f>IF(Q9=0,0,Q9/TrAvia_act!Q27*1000000)</f>
        <v>22077.198322401786</v>
      </c>
      <c r="R41" s="87">
        <f>IF(R9=0,0,R9/TrAvia_act!R27*1000000)</f>
        <v>21345.765605505308</v>
      </c>
      <c r="S41" s="87">
        <f>IF(S9=0,0,S9/TrAvia_act!S27*1000000)</f>
        <v>21028.878410444984</v>
      </c>
      <c r="T41" s="87">
        <f>IF(T9=0,0,T9/TrAvia_act!T27*1000000)</f>
        <v>20974.26057102835</v>
      </c>
      <c r="U41" s="87">
        <f>IF(U9=0,0,U9/TrAvia_act!U27*1000000)</f>
        <v>20864.343960344486</v>
      </c>
      <c r="V41" s="87">
        <f>IF(V9=0,0,V9/TrAvia_act!V27*1000000)</f>
        <v>34579.796888840443</v>
      </c>
      <c r="W41" s="87">
        <f>IF(W9=0,0,W9/TrAvia_act!W27*1000000)</f>
        <v>26102.748721740787</v>
      </c>
      <c r="X41" s="87">
        <f>IF(X9=0,0,X9/TrAvia_act!X27*1000000)</f>
        <v>19352.838287133069</v>
      </c>
      <c r="Y41" s="87">
        <f>IF(Y9=0,0,Y9/TrAvia_act!Y27*1000000)</f>
        <v>17601.352069735149</v>
      </c>
      <c r="DA41" s="171" t="s">
        <v>309</v>
      </c>
    </row>
    <row r="42" spans="1:105" ht="11.45" customHeight="1" x14ac:dyDescent="0.25">
      <c r="A42" s="12" t="s">
        <v>34</v>
      </c>
      <c r="B42" s="15">
        <f>IF(B10=0,0,B10/TrAvia_act!B28*1000000)</f>
        <v>6108.0453797973669</v>
      </c>
      <c r="C42" s="15">
        <f>IF(C10=0,0,C10/TrAvia_act!C28*1000000)</f>
        <v>6786.8174142063972</v>
      </c>
      <c r="D42" s="15">
        <f>IF(D10=0,0,D10/TrAvia_act!D28*1000000)</f>
        <v>6251.6117785092674</v>
      </c>
      <c r="E42" s="15">
        <f>IF(E10=0,0,E10/TrAvia_act!E28*1000000)</f>
        <v>7202.2994788133456</v>
      </c>
      <c r="F42" s="15">
        <f>IF(F10=0,0,F10/TrAvia_act!F28*1000000)</f>
        <v>6975.7318026320772</v>
      </c>
      <c r="G42" s="15">
        <f>IF(G10=0,0,G10/TrAvia_act!G28*1000000)</f>
        <v>6777.5345599609564</v>
      </c>
      <c r="H42" s="15">
        <f>IF(H10=0,0,H10/TrAvia_act!H28*1000000)</f>
        <v>6789.0684505033933</v>
      </c>
      <c r="I42" s="15">
        <f>IF(I10=0,0,I10/TrAvia_act!I28*1000000)</f>
        <v>6882.6733582881197</v>
      </c>
      <c r="J42" s="15">
        <f>IF(J10=0,0,J10/TrAvia_act!J28*1000000)</f>
        <v>6911.5814367908843</v>
      </c>
      <c r="K42" s="15">
        <f>IF(K10=0,0,K10/TrAvia_act!K28*1000000)</f>
        <v>7110.237623183566</v>
      </c>
      <c r="L42" s="15">
        <f>IF(L10=0,0,L10/TrAvia_act!L28*1000000)</f>
        <v>7671.3002326073001</v>
      </c>
      <c r="M42" s="15">
        <f>IF(M10=0,0,M10/TrAvia_act!M28*1000000)</f>
        <v>7945.2373343649633</v>
      </c>
      <c r="N42" s="15">
        <f>IF(N10=0,0,N10/TrAvia_act!N28*1000000)</f>
        <v>7916.4412406921083</v>
      </c>
      <c r="O42" s="15">
        <f>IF(O10=0,0,O10/TrAvia_act!O28*1000000)</f>
        <v>7981.4435292604594</v>
      </c>
      <c r="P42" s="15">
        <f>IF(P10=0,0,P10/TrAvia_act!P28*1000000)</f>
        <v>8328.9427715752936</v>
      </c>
      <c r="Q42" s="15">
        <f>IF(Q10=0,0,Q10/TrAvia_act!Q28*1000000)</f>
        <v>9222.7751867926236</v>
      </c>
      <c r="R42" s="15">
        <f>IF(R10=0,0,R10/TrAvia_act!R28*1000000)</f>
        <v>9630.5178302867935</v>
      </c>
      <c r="S42" s="15">
        <f>IF(S10=0,0,S10/TrAvia_act!S28*1000000)</f>
        <v>10331.224533004932</v>
      </c>
      <c r="T42" s="15">
        <f>IF(T10=0,0,T10/TrAvia_act!T28*1000000)</f>
        <v>10828.370941927129</v>
      </c>
      <c r="U42" s="15">
        <f>IF(U10=0,0,U10/TrAvia_act!U28*1000000)</f>
        <v>10094.516793062163</v>
      </c>
      <c r="V42" s="15">
        <f>IF(V10=0,0,V10/TrAvia_act!V28*1000000)</f>
        <v>9157.8996652389542</v>
      </c>
      <c r="W42" s="15">
        <f>IF(W10=0,0,W10/TrAvia_act!W28*1000000)</f>
        <v>8146.2737011693525</v>
      </c>
      <c r="X42" s="15">
        <f>IF(X10=0,0,X10/TrAvia_act!X28*1000000)</f>
        <v>7969.9367508249497</v>
      </c>
      <c r="Y42" s="15">
        <f>IF(Y10=0,0,Y10/TrAvia_act!Y28*1000000)</f>
        <v>9424.9409529239711</v>
      </c>
      <c r="DA42" s="193" t="s">
        <v>310</v>
      </c>
    </row>
    <row r="43" spans="1:105" ht="11.45" customHeight="1" x14ac:dyDescent="0.25">
      <c r="A43" s="92" t="s">
        <v>27</v>
      </c>
      <c r="B43" s="101">
        <f>IF(B11=0,0,B11/TrAvia_act!B29*1000000)</f>
        <v>4440.0863949314289</v>
      </c>
      <c r="C43" s="101">
        <f>IF(C11=0,0,C11/TrAvia_act!C29*1000000)</f>
        <v>4820.6655111716746</v>
      </c>
      <c r="D43" s="101">
        <f>IF(D11=0,0,D11/TrAvia_act!D29*1000000)</f>
        <v>4727.772148627063</v>
      </c>
      <c r="E43" s="101">
        <f>IF(E11=0,0,E11/TrAvia_act!E29*1000000)</f>
        <v>4855.0945153993762</v>
      </c>
      <c r="F43" s="101">
        <f>IF(F11=0,0,F11/TrAvia_act!F29*1000000)</f>
        <v>4809.8506730018007</v>
      </c>
      <c r="G43" s="101">
        <f>IF(G11=0,0,G11/TrAvia_act!G29*1000000)</f>
        <v>5065.3646590389953</v>
      </c>
      <c r="H43" s="101">
        <f>IF(H11=0,0,H11/TrAvia_act!H29*1000000)</f>
        <v>5107.5801204051177</v>
      </c>
      <c r="I43" s="101">
        <f>IF(I11=0,0,I11/TrAvia_act!I29*1000000)</f>
        <v>5133.1026123640868</v>
      </c>
      <c r="J43" s="101">
        <f>IF(J11=0,0,J11/TrAvia_act!J29*1000000)</f>
        <v>5195.2432089817703</v>
      </c>
      <c r="K43" s="101">
        <f>IF(K11=0,0,K11/TrAvia_act!K29*1000000)</f>
        <v>5201.7099449698098</v>
      </c>
      <c r="L43" s="101">
        <f>IF(L11=0,0,L11/TrAvia_act!L29*1000000)</f>
        <v>5985.3506882492284</v>
      </c>
      <c r="M43" s="101">
        <f>IF(M11=0,0,M11/TrAvia_act!M29*1000000)</f>
        <v>5475.1220336192619</v>
      </c>
      <c r="N43" s="101">
        <f>IF(N11=0,0,N11/TrAvia_act!N29*1000000)</f>
        <v>5631.8710082582866</v>
      </c>
      <c r="O43" s="101">
        <f>IF(O11=0,0,O11/TrAvia_act!O29*1000000)</f>
        <v>5727.8921999103313</v>
      </c>
      <c r="P43" s="101">
        <f>IF(P11=0,0,P11/TrAvia_act!P29*1000000)</f>
        <v>5958.6940588394655</v>
      </c>
      <c r="Q43" s="101">
        <f>IF(Q11=0,0,Q11/TrAvia_act!Q29*1000000)</f>
        <v>6304.6678797875265</v>
      </c>
      <c r="R43" s="101">
        <f>IF(R11=0,0,R11/TrAvia_act!R29*1000000)</f>
        <v>6683.5985325786714</v>
      </c>
      <c r="S43" s="101">
        <f>IF(S11=0,0,S11/TrAvia_act!S29*1000000)</f>
        <v>6897.4585938943746</v>
      </c>
      <c r="T43" s="101">
        <f>IF(T11=0,0,T11/TrAvia_act!T29*1000000)</f>
        <v>6451.7577120523574</v>
      </c>
      <c r="U43" s="101">
        <f>IF(U11=0,0,U11/TrAvia_act!U29*1000000)</f>
        <v>6540.6597729917903</v>
      </c>
      <c r="V43" s="101">
        <f>IF(V11=0,0,V11/TrAvia_act!V29*1000000)</f>
        <v>5017.5631749031309</v>
      </c>
      <c r="W43" s="101">
        <f>IF(W11=0,0,W11/TrAvia_act!W29*1000000)</f>
        <v>5932.5620261707245</v>
      </c>
      <c r="X43" s="101">
        <f>IF(X11=0,0,X11/TrAvia_act!X29*1000000)</f>
        <v>5522.9505792323434</v>
      </c>
      <c r="Y43" s="101">
        <f>IF(Y11=0,0,Y11/TrAvia_act!Y29*1000000)</f>
        <v>5487.038933728827</v>
      </c>
      <c r="DA43" s="175" t="s">
        <v>311</v>
      </c>
    </row>
    <row r="44" spans="1:105" ht="11.45" customHeight="1" x14ac:dyDescent="0.25">
      <c r="A44" s="92" t="s">
        <v>181</v>
      </c>
      <c r="B44" s="101">
        <f>IF(B12=0,0,B12/TrAvia_act!B30*1000000)</f>
        <v>3689.9713162339135</v>
      </c>
      <c r="C44" s="101">
        <f>IF(C12=0,0,C12/TrAvia_act!C30*1000000)</f>
        <v>4122.6302124470021</v>
      </c>
      <c r="D44" s="101">
        <f>IF(D12=0,0,D12/TrAvia_act!D30*1000000)</f>
        <v>3615.8168073819297</v>
      </c>
      <c r="E44" s="101">
        <f>IF(E12=0,0,E12/TrAvia_act!E30*1000000)</f>
        <v>4234.0052036785719</v>
      </c>
      <c r="F44" s="101">
        <f>IF(F12=0,0,F12/TrAvia_act!F30*1000000)</f>
        <v>4149.2732338898222</v>
      </c>
      <c r="G44" s="101">
        <f>IF(G12=0,0,G12/TrAvia_act!G30*1000000)</f>
        <v>3960.5666452271162</v>
      </c>
      <c r="H44" s="101">
        <f>IF(H12=0,0,H12/TrAvia_act!H30*1000000)</f>
        <v>4092.6999621237333</v>
      </c>
      <c r="I44" s="101">
        <f>IF(I12=0,0,I12/TrAvia_act!I30*1000000)</f>
        <v>3876.0629190900036</v>
      </c>
      <c r="J44" s="101">
        <f>IF(J12=0,0,J12/TrAvia_act!J30*1000000)</f>
        <v>3844.9352537256113</v>
      </c>
      <c r="K44" s="101">
        <f>IF(K12=0,0,K12/TrAvia_act!K30*1000000)</f>
        <v>3963.5857632266161</v>
      </c>
      <c r="L44" s="101">
        <f>IF(L12=0,0,L12/TrAvia_act!L30*1000000)</f>
        <v>3672.7136336315857</v>
      </c>
      <c r="M44" s="101">
        <f>IF(M12=0,0,M12/TrAvia_act!M30*1000000)</f>
        <v>4006.2704905306891</v>
      </c>
      <c r="N44" s="101">
        <f>IF(N12=0,0,N12/TrAvia_act!N30*1000000)</f>
        <v>4042.838734602452</v>
      </c>
      <c r="O44" s="101">
        <f>IF(O12=0,0,O12/TrAvia_act!O30*1000000)</f>
        <v>3960.1776152692464</v>
      </c>
      <c r="P44" s="101">
        <f>IF(P12=0,0,P12/TrAvia_act!P30*1000000)</f>
        <v>3794.5374590650704</v>
      </c>
      <c r="Q44" s="101">
        <f>IF(Q12=0,0,Q12/TrAvia_act!Q30*1000000)</f>
        <v>3850.2931723314896</v>
      </c>
      <c r="R44" s="101">
        <f>IF(R12=0,0,R12/TrAvia_act!R30*1000000)</f>
        <v>3795.7381492861286</v>
      </c>
      <c r="S44" s="101">
        <f>IF(S12=0,0,S12/TrAvia_act!S30*1000000)</f>
        <v>3866.2824133880854</v>
      </c>
      <c r="T44" s="101">
        <f>IF(T12=0,0,T12/TrAvia_act!T30*1000000)</f>
        <v>3829.9356244772753</v>
      </c>
      <c r="U44" s="101">
        <f>IF(U12=0,0,U12/TrAvia_act!U30*1000000)</f>
        <v>3976.1476381244693</v>
      </c>
      <c r="V44" s="101">
        <f>IF(V12=0,0,V12/TrAvia_act!V30*1000000)</f>
        <v>3466.1972488432539</v>
      </c>
      <c r="W44" s="101">
        <f>IF(W12=0,0,W12/TrAvia_act!W30*1000000)</f>
        <v>3015.6622569125202</v>
      </c>
      <c r="X44" s="101">
        <f>IF(X12=0,0,X12/TrAvia_act!X30*1000000)</f>
        <v>3409.8485417776574</v>
      </c>
      <c r="Y44" s="101">
        <f>IF(Y12=0,0,Y12/TrAvia_act!Y30*1000000)</f>
        <v>3785.5067505429238</v>
      </c>
      <c r="DA44" s="175" t="s">
        <v>312</v>
      </c>
    </row>
    <row r="45" spans="1:105" ht="11.45" customHeight="1" x14ac:dyDescent="0.25">
      <c r="A45" s="85" t="s">
        <v>182</v>
      </c>
      <c r="B45" s="88">
        <f>IF(B13=0,0,B13/TrAvia_act!B31*1000000)</f>
        <v>26095.849967699018</v>
      </c>
      <c r="C45" s="88">
        <f>IF(C13=0,0,C13/TrAvia_act!C31*1000000)</f>
        <v>29192.036899406972</v>
      </c>
      <c r="D45" s="88">
        <f>IF(D13=0,0,D13/TrAvia_act!D31*1000000)</f>
        <v>25577.415732701778</v>
      </c>
      <c r="E45" s="88">
        <f>IF(E13=0,0,E13/TrAvia_act!E31*1000000)</f>
        <v>29701.865747719334</v>
      </c>
      <c r="F45" s="88">
        <f>IF(F13=0,0,F13/TrAvia_act!F31*1000000)</f>
        <v>29166.974770387107</v>
      </c>
      <c r="G45" s="88">
        <f>IF(G13=0,0,G13/TrAvia_act!G31*1000000)</f>
        <v>25859.790344832909</v>
      </c>
      <c r="H45" s="88">
        <f>IF(H13=0,0,H13/TrAvia_act!H31*1000000)</f>
        <v>23488.305604134624</v>
      </c>
      <c r="I45" s="88">
        <f>IF(I13=0,0,I13/TrAvia_act!I31*1000000)</f>
        <v>20580.995265361471</v>
      </c>
      <c r="J45" s="88">
        <f>IF(J13=0,0,J13/TrAvia_act!J31*1000000)</f>
        <v>19631.028829367286</v>
      </c>
      <c r="K45" s="88">
        <f>IF(K13=0,0,K13/TrAvia_act!K31*1000000)</f>
        <v>20252.467485793237</v>
      </c>
      <c r="L45" s="88">
        <f>IF(L13=0,0,L13/TrAvia_act!L31*1000000)</f>
        <v>17954.246296556139</v>
      </c>
      <c r="M45" s="88">
        <f>IF(M13=0,0,M13/TrAvia_act!M31*1000000)</f>
        <v>18069.590234450814</v>
      </c>
      <c r="N45" s="88">
        <f>IF(N13=0,0,N13/TrAvia_act!N31*1000000)</f>
        <v>16485.250417652383</v>
      </c>
      <c r="O45" s="88">
        <f>IF(O13=0,0,O13/TrAvia_act!O31*1000000)</f>
        <v>16612.27872820948</v>
      </c>
      <c r="P45" s="88">
        <f>IF(P13=0,0,P13/TrAvia_act!P31*1000000)</f>
        <v>17932.058287120075</v>
      </c>
      <c r="Q45" s="88">
        <f>IF(Q13=0,0,Q13/TrAvia_act!Q31*1000000)</f>
        <v>20646.545053069276</v>
      </c>
      <c r="R45" s="88">
        <f>IF(R13=0,0,R13/TrAvia_act!R31*1000000)</f>
        <v>21369.700832494982</v>
      </c>
      <c r="S45" s="88">
        <f>IF(S13=0,0,S13/TrAvia_act!S31*1000000)</f>
        <v>22443.098820150688</v>
      </c>
      <c r="T45" s="88">
        <f>IF(T13=0,0,T13/TrAvia_act!T31*1000000)</f>
        <v>23742.886055961495</v>
      </c>
      <c r="U45" s="88">
        <f>IF(U13=0,0,U13/TrAvia_act!U31*1000000)</f>
        <v>20884.982416828119</v>
      </c>
      <c r="V45" s="88">
        <f>IF(V13=0,0,V13/TrAvia_act!V31*1000000)</f>
        <v>20463.97487284309</v>
      </c>
      <c r="W45" s="88">
        <f>IF(W13=0,0,W13/TrAvia_act!W31*1000000)</f>
        <v>15831.579867749117</v>
      </c>
      <c r="X45" s="88">
        <f>IF(X13=0,0,X13/TrAvia_act!X31*1000000)</f>
        <v>15218.599645342934</v>
      </c>
      <c r="Y45" s="88">
        <f>IF(Y13=0,0,Y13/TrAvia_act!Y31*1000000)</f>
        <v>17366.556805100594</v>
      </c>
      <c r="DA45" s="178" t="s">
        <v>313</v>
      </c>
    </row>
    <row r="46" spans="1:105" x14ac:dyDescent="0.25">
      <c r="A46" s="50"/>
      <c r="B46" s="50"/>
      <c r="C46" s="50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DA46" s="181"/>
    </row>
    <row r="47" spans="1:105" ht="11.45" customHeight="1" x14ac:dyDescent="0.25">
      <c r="A47" s="53" t="s">
        <v>40</v>
      </c>
      <c r="B47" s="76">
        <f t="shared" ref="B47:C47" si="33">IF(B3=0,0,B3/B$3)</f>
        <v>1</v>
      </c>
      <c r="C47" s="76">
        <f t="shared" si="33"/>
        <v>1</v>
      </c>
      <c r="D47" s="76">
        <f t="shared" ref="D47:V47" si="34">IF(D3=0,0,D3/D$3)</f>
        <v>1</v>
      </c>
      <c r="E47" s="76">
        <f t="shared" si="34"/>
        <v>1</v>
      </c>
      <c r="F47" s="76">
        <f t="shared" si="34"/>
        <v>1</v>
      </c>
      <c r="G47" s="76">
        <f t="shared" si="34"/>
        <v>1</v>
      </c>
      <c r="H47" s="76">
        <f t="shared" si="34"/>
        <v>1</v>
      </c>
      <c r="I47" s="76">
        <f t="shared" si="34"/>
        <v>1</v>
      </c>
      <c r="J47" s="76">
        <f t="shared" si="34"/>
        <v>1</v>
      </c>
      <c r="K47" s="76">
        <f t="shared" si="34"/>
        <v>1</v>
      </c>
      <c r="L47" s="76">
        <f t="shared" si="34"/>
        <v>1</v>
      </c>
      <c r="M47" s="76">
        <f t="shared" si="34"/>
        <v>1</v>
      </c>
      <c r="N47" s="76">
        <f t="shared" si="34"/>
        <v>1</v>
      </c>
      <c r="O47" s="76">
        <f t="shared" si="34"/>
        <v>1</v>
      </c>
      <c r="P47" s="76">
        <f t="shared" si="34"/>
        <v>1</v>
      </c>
      <c r="Q47" s="76">
        <f t="shared" si="34"/>
        <v>1</v>
      </c>
      <c r="R47" s="76">
        <f t="shared" si="34"/>
        <v>1</v>
      </c>
      <c r="S47" s="76">
        <f t="shared" si="34"/>
        <v>1</v>
      </c>
      <c r="T47" s="76">
        <f t="shared" si="34"/>
        <v>1</v>
      </c>
      <c r="U47" s="76">
        <f t="shared" si="34"/>
        <v>1</v>
      </c>
      <c r="V47" s="76">
        <f t="shared" si="34"/>
        <v>1</v>
      </c>
      <c r="W47" s="76">
        <f t="shared" ref="W47:Y47" si="35">IF(W3=0,0,W3/W$3)</f>
        <v>1</v>
      </c>
      <c r="X47" s="76">
        <f t="shared" si="35"/>
        <v>1</v>
      </c>
      <c r="Y47" s="76">
        <f t="shared" si="35"/>
        <v>1</v>
      </c>
      <c r="DA47" s="183"/>
    </row>
    <row r="48" spans="1:105" ht="11.45" customHeight="1" x14ac:dyDescent="0.25">
      <c r="A48" s="10" t="s">
        <v>33</v>
      </c>
      <c r="B48" s="16">
        <f t="shared" ref="B48:C48" si="36">IF(B6=0,0,B6/B$3)</f>
        <v>0.97493432132590596</v>
      </c>
      <c r="C48" s="16">
        <f t="shared" si="36"/>
        <v>0.97379982037029478</v>
      </c>
      <c r="D48" s="16">
        <f t="shared" ref="D48:V48" si="37">IF(D6=0,0,D6/D$3)</f>
        <v>0.97589724168876701</v>
      </c>
      <c r="E48" s="16">
        <f t="shared" si="37"/>
        <v>0.97642098258712862</v>
      </c>
      <c r="F48" s="16">
        <f t="shared" si="37"/>
        <v>0.97300137175780677</v>
      </c>
      <c r="G48" s="16">
        <f t="shared" si="37"/>
        <v>0.97609972150511581</v>
      </c>
      <c r="H48" s="16">
        <f t="shared" si="37"/>
        <v>0.97689882508121617</v>
      </c>
      <c r="I48" s="16">
        <f t="shared" si="37"/>
        <v>0.97850265588437713</v>
      </c>
      <c r="J48" s="16">
        <f t="shared" si="37"/>
        <v>0.9783319264914565</v>
      </c>
      <c r="K48" s="16">
        <f t="shared" si="37"/>
        <v>0.97963224644051561</v>
      </c>
      <c r="L48" s="16">
        <f t="shared" si="37"/>
        <v>0.97795007736593786</v>
      </c>
      <c r="M48" s="16">
        <f t="shared" si="37"/>
        <v>0.98002202867265864</v>
      </c>
      <c r="N48" s="16">
        <f t="shared" si="37"/>
        <v>0.98133797491206654</v>
      </c>
      <c r="O48" s="16">
        <f t="shared" si="37"/>
        <v>0.98104805372051063</v>
      </c>
      <c r="P48" s="16">
        <f t="shared" si="37"/>
        <v>0.98245393082691646</v>
      </c>
      <c r="Q48" s="16">
        <f t="shared" si="37"/>
        <v>0.98167527503075291</v>
      </c>
      <c r="R48" s="16">
        <f t="shared" si="37"/>
        <v>0.98354932842312037</v>
      </c>
      <c r="S48" s="16">
        <f t="shared" si="37"/>
        <v>0.98093798863209103</v>
      </c>
      <c r="T48" s="16">
        <f t="shared" si="37"/>
        <v>0.98042626928978815</v>
      </c>
      <c r="U48" s="16">
        <f t="shared" si="37"/>
        <v>0.98255208113571979</v>
      </c>
      <c r="V48" s="16">
        <f t="shared" si="37"/>
        <v>0.95729410415092098</v>
      </c>
      <c r="W48" s="16">
        <f t="shared" ref="W48:Y48" si="38">IF(W6=0,0,W6/W$3)</f>
        <v>0.96721602429320941</v>
      </c>
      <c r="X48" s="16">
        <f t="shared" si="38"/>
        <v>0.98058054937482664</v>
      </c>
      <c r="Y48" s="16">
        <f t="shared" si="38"/>
        <v>0.98033940717760049</v>
      </c>
      <c r="DA48" s="190"/>
    </row>
    <row r="49" spans="1:105" ht="11.45" customHeight="1" x14ac:dyDescent="0.25">
      <c r="A49" s="83" t="s">
        <v>27</v>
      </c>
      <c r="B49" s="103">
        <f t="shared" ref="B49:C49" si="39">IF(B7=0,0,B7/B$3)</f>
        <v>0.38564921982259454</v>
      </c>
      <c r="C49" s="103">
        <f t="shared" si="39"/>
        <v>0.37970832147756278</v>
      </c>
      <c r="D49" s="103">
        <f t="shared" ref="D49:V49" si="40">IF(D7=0,0,D7/D$3)</f>
        <v>0.37212909990962079</v>
      </c>
      <c r="E49" s="103">
        <f t="shared" si="40"/>
        <v>0.37383945221828496</v>
      </c>
      <c r="F49" s="103">
        <f t="shared" si="40"/>
        <v>0.37153126285148708</v>
      </c>
      <c r="G49" s="103">
        <f t="shared" si="40"/>
        <v>0.40788480815785333</v>
      </c>
      <c r="H49" s="103">
        <f t="shared" si="40"/>
        <v>0.41027072448794188</v>
      </c>
      <c r="I49" s="103">
        <f t="shared" si="40"/>
        <v>0.41136351621976563</v>
      </c>
      <c r="J49" s="103">
        <f t="shared" si="40"/>
        <v>0.40189007340996935</v>
      </c>
      <c r="K49" s="103">
        <f t="shared" si="40"/>
        <v>0.3912054007072609</v>
      </c>
      <c r="L49" s="103">
        <f t="shared" si="40"/>
        <v>0.42741200612184232</v>
      </c>
      <c r="M49" s="103">
        <f t="shared" si="40"/>
        <v>0.36042433580817357</v>
      </c>
      <c r="N49" s="103">
        <f t="shared" si="40"/>
        <v>0.33084087336770135</v>
      </c>
      <c r="O49" s="103">
        <f t="shared" si="40"/>
        <v>0.29686552778457026</v>
      </c>
      <c r="P49" s="103">
        <f t="shared" si="40"/>
        <v>0.30580339621771579</v>
      </c>
      <c r="Q49" s="103">
        <f t="shared" si="40"/>
        <v>0.31125066368067456</v>
      </c>
      <c r="R49" s="103">
        <f t="shared" si="40"/>
        <v>0.31743310607812414</v>
      </c>
      <c r="S49" s="103">
        <f t="shared" si="40"/>
        <v>0.31628262014484476</v>
      </c>
      <c r="T49" s="103">
        <f t="shared" si="40"/>
        <v>0.31660156061464012</v>
      </c>
      <c r="U49" s="103">
        <f t="shared" si="40"/>
        <v>0.32395464785342559</v>
      </c>
      <c r="V49" s="103">
        <f t="shared" si="40"/>
        <v>0.37237082405532296</v>
      </c>
      <c r="W49" s="103">
        <f t="shared" ref="W49:Y49" si="41">IF(W7=0,0,W7/W$3)</f>
        <v>0.46823707827569366</v>
      </c>
      <c r="X49" s="103">
        <f t="shared" si="41"/>
        <v>0.40282802239965204</v>
      </c>
      <c r="Y49" s="103">
        <f t="shared" si="41"/>
        <v>0.37945840948849752</v>
      </c>
      <c r="DA49" s="191"/>
    </row>
    <row r="50" spans="1:105" ht="11.45" customHeight="1" x14ac:dyDescent="0.25">
      <c r="A50" s="83" t="s">
        <v>181</v>
      </c>
      <c r="B50" s="103">
        <f t="shared" ref="B50:C50" si="42">IF(B8=0,0,B8/B$3)</f>
        <v>0.3602368560939137</v>
      </c>
      <c r="C50" s="103">
        <f t="shared" si="42"/>
        <v>0.40174226643087141</v>
      </c>
      <c r="D50" s="103">
        <f t="shared" ref="D50:V50" si="43">IF(D8=0,0,D8/D$3)</f>
        <v>0.38023871989080821</v>
      </c>
      <c r="E50" s="103">
        <f t="shared" si="43"/>
        <v>0.43634086928776894</v>
      </c>
      <c r="F50" s="103">
        <f t="shared" si="43"/>
        <v>0.41763627319582691</v>
      </c>
      <c r="G50" s="103">
        <f t="shared" si="43"/>
        <v>0.3962100239414752</v>
      </c>
      <c r="H50" s="103">
        <f t="shared" si="43"/>
        <v>0.3980092681598475</v>
      </c>
      <c r="I50" s="103">
        <f t="shared" si="43"/>
        <v>0.40104274792056804</v>
      </c>
      <c r="J50" s="103">
        <f t="shared" si="43"/>
        <v>0.40348103292499349</v>
      </c>
      <c r="K50" s="103">
        <f t="shared" si="43"/>
        <v>0.40080032979608116</v>
      </c>
      <c r="L50" s="103">
        <f t="shared" si="43"/>
        <v>0.37277603570478918</v>
      </c>
      <c r="M50" s="103">
        <f t="shared" si="43"/>
        <v>0.42525985425606322</v>
      </c>
      <c r="N50" s="103">
        <f t="shared" si="43"/>
        <v>0.44272890723616626</v>
      </c>
      <c r="O50" s="103">
        <f t="shared" si="43"/>
        <v>0.46884916384072806</v>
      </c>
      <c r="P50" s="103">
        <f t="shared" si="43"/>
        <v>0.46633346241483392</v>
      </c>
      <c r="Q50" s="103">
        <f t="shared" si="43"/>
        <v>0.46209367380199584</v>
      </c>
      <c r="R50" s="103">
        <f t="shared" si="43"/>
        <v>0.47389046165850701</v>
      </c>
      <c r="S50" s="103">
        <f t="shared" si="43"/>
        <v>0.48035013562531409</v>
      </c>
      <c r="T50" s="103">
        <f t="shared" si="43"/>
        <v>0.4749487091022308</v>
      </c>
      <c r="U50" s="103">
        <f t="shared" si="43"/>
        <v>0.4662782213699167</v>
      </c>
      <c r="V50" s="103">
        <f t="shared" si="43"/>
        <v>0.35035750338047228</v>
      </c>
      <c r="W50" s="103">
        <f t="shared" ref="W50:Y50" si="44">IF(W8=0,0,W8/W$3)</f>
        <v>0.32009952702912059</v>
      </c>
      <c r="X50" s="103">
        <f t="shared" si="44"/>
        <v>0.41562113159684616</v>
      </c>
      <c r="Y50" s="103">
        <f t="shared" si="44"/>
        <v>0.43032947135555877</v>
      </c>
      <c r="DA50" s="191"/>
    </row>
    <row r="51" spans="1:105" ht="11.45" customHeight="1" x14ac:dyDescent="0.25">
      <c r="A51" s="83" t="s">
        <v>182</v>
      </c>
      <c r="B51" s="103">
        <f t="shared" ref="B51:C51" si="45">IF(B9=0,0,B9/B$3)</f>
        <v>0.22904824540939753</v>
      </c>
      <c r="C51" s="103">
        <f t="shared" si="45"/>
        <v>0.19234923246186067</v>
      </c>
      <c r="D51" s="103">
        <f t="shared" ref="D51:V51" si="46">IF(D9=0,0,D9/D$3)</f>
        <v>0.2235294218883381</v>
      </c>
      <c r="E51" s="103">
        <f t="shared" si="46"/>
        <v>0.16624066108107469</v>
      </c>
      <c r="F51" s="103">
        <f t="shared" si="46"/>
        <v>0.18383383571049272</v>
      </c>
      <c r="G51" s="103">
        <f t="shared" si="46"/>
        <v>0.17200488940578729</v>
      </c>
      <c r="H51" s="103">
        <f t="shared" si="46"/>
        <v>0.16861883243342696</v>
      </c>
      <c r="I51" s="103">
        <f t="shared" si="46"/>
        <v>0.16609639174404348</v>
      </c>
      <c r="J51" s="103">
        <f t="shared" si="46"/>
        <v>0.17296082015649381</v>
      </c>
      <c r="K51" s="103">
        <f t="shared" si="46"/>
        <v>0.1876265159371735</v>
      </c>
      <c r="L51" s="103">
        <f t="shared" si="46"/>
        <v>0.17776203553930647</v>
      </c>
      <c r="M51" s="103">
        <f t="shared" si="46"/>
        <v>0.19433783860842185</v>
      </c>
      <c r="N51" s="103">
        <f t="shared" si="46"/>
        <v>0.20776819430819893</v>
      </c>
      <c r="O51" s="103">
        <f t="shared" si="46"/>
        <v>0.21533336209521223</v>
      </c>
      <c r="P51" s="103">
        <f t="shared" si="46"/>
        <v>0.21031707219436677</v>
      </c>
      <c r="Q51" s="103">
        <f t="shared" si="46"/>
        <v>0.20833093754808241</v>
      </c>
      <c r="R51" s="103">
        <f t="shared" si="46"/>
        <v>0.19222576068648931</v>
      </c>
      <c r="S51" s="103">
        <f t="shared" si="46"/>
        <v>0.18430523286193218</v>
      </c>
      <c r="T51" s="103">
        <f t="shared" si="46"/>
        <v>0.18887599957291723</v>
      </c>
      <c r="U51" s="103">
        <f t="shared" si="46"/>
        <v>0.1923192119123775</v>
      </c>
      <c r="V51" s="103">
        <f t="shared" si="46"/>
        <v>0.23456577671512577</v>
      </c>
      <c r="W51" s="103">
        <f t="shared" ref="W51:Y51" si="47">IF(W9=0,0,W9/W$3)</f>
        <v>0.17887941898839499</v>
      </c>
      <c r="X51" s="103">
        <f t="shared" si="47"/>
        <v>0.16213139537832855</v>
      </c>
      <c r="Y51" s="103">
        <f t="shared" si="47"/>
        <v>0.17055152633354412</v>
      </c>
      <c r="DA51" s="191"/>
    </row>
    <row r="52" spans="1:105" ht="11.45" customHeight="1" x14ac:dyDescent="0.25">
      <c r="A52" s="12" t="s">
        <v>34</v>
      </c>
      <c r="B52" s="17">
        <f t="shared" ref="B52:C52" si="48">IF(B10=0,0,B10/B$3)</f>
        <v>2.5065678674094167E-2</v>
      </c>
      <c r="C52" s="17">
        <f t="shared" si="48"/>
        <v>2.6200179629705229E-2</v>
      </c>
      <c r="D52" s="17">
        <f t="shared" ref="D52:V52" si="49">IF(D10=0,0,D10/D$3)</f>
        <v>2.4102758311232889E-2</v>
      </c>
      <c r="E52" s="17">
        <f t="shared" si="49"/>
        <v>2.3579017412871463E-2</v>
      </c>
      <c r="F52" s="17">
        <f t="shared" si="49"/>
        <v>2.6998628242193387E-2</v>
      </c>
      <c r="G52" s="17">
        <f t="shared" si="49"/>
        <v>2.390027849488404E-2</v>
      </c>
      <c r="H52" s="17">
        <f t="shared" si="49"/>
        <v>2.3101174918783583E-2</v>
      </c>
      <c r="I52" s="17">
        <f t="shared" si="49"/>
        <v>2.1497344115622784E-2</v>
      </c>
      <c r="J52" s="17">
        <f t="shared" si="49"/>
        <v>2.1668073508543405E-2</v>
      </c>
      <c r="K52" s="17">
        <f t="shared" si="49"/>
        <v>2.0367753559484354E-2</v>
      </c>
      <c r="L52" s="17">
        <f t="shared" si="49"/>
        <v>2.2049922634061976E-2</v>
      </c>
      <c r="M52" s="17">
        <f t="shared" si="49"/>
        <v>1.9977971327341311E-2</v>
      </c>
      <c r="N52" s="17">
        <f t="shared" si="49"/>
        <v>1.8662025087933444E-2</v>
      </c>
      <c r="O52" s="17">
        <f t="shared" si="49"/>
        <v>1.8951946279489443E-2</v>
      </c>
      <c r="P52" s="17">
        <f t="shared" si="49"/>
        <v>1.7546069173083555E-2</v>
      </c>
      <c r="Q52" s="17">
        <f t="shared" si="49"/>
        <v>1.8324724969247214E-2</v>
      </c>
      <c r="R52" s="17">
        <f t="shared" si="49"/>
        <v>1.64506715768796E-2</v>
      </c>
      <c r="S52" s="17">
        <f t="shared" si="49"/>
        <v>1.9062011367908943E-2</v>
      </c>
      <c r="T52" s="17">
        <f t="shared" si="49"/>
        <v>1.9573730710211835E-2</v>
      </c>
      <c r="U52" s="17">
        <f t="shared" si="49"/>
        <v>1.7447918864280303E-2</v>
      </c>
      <c r="V52" s="17">
        <f t="shared" si="49"/>
        <v>4.2705895849078912E-2</v>
      </c>
      <c r="W52" s="17">
        <f t="shared" ref="W52:Y52" si="50">IF(W10=0,0,W10/W$3)</f>
        <v>3.2783975706790779E-2</v>
      </c>
      <c r="X52" s="17">
        <f t="shared" si="50"/>
        <v>1.9419450625173227E-2</v>
      </c>
      <c r="Y52" s="17">
        <f t="shared" si="50"/>
        <v>1.9660592822399545E-2</v>
      </c>
      <c r="DA52" s="194"/>
    </row>
    <row r="53" spans="1:105" ht="11.45" customHeight="1" x14ac:dyDescent="0.25">
      <c r="A53" s="92" t="s">
        <v>27</v>
      </c>
      <c r="B53" s="104">
        <f t="shared" ref="B53:C53" si="51">IF(B11=0,0,B11/B$3)</f>
        <v>1.163280835621746E-2</v>
      </c>
      <c r="C53" s="104">
        <f t="shared" si="51"/>
        <v>1.191529574239333E-2</v>
      </c>
      <c r="D53" s="104">
        <f t="shared" ref="D53:V53" si="52">IF(D11=0,0,D11/D$3)</f>
        <v>1.1522861654202169E-2</v>
      </c>
      <c r="E53" s="104">
        <f t="shared" si="52"/>
        <v>9.5236119791289146E-3</v>
      </c>
      <c r="F53" s="104">
        <f t="shared" si="52"/>
        <v>1.1527416176331703E-2</v>
      </c>
      <c r="G53" s="104">
        <f t="shared" si="52"/>
        <v>1.1145881018499507E-2</v>
      </c>
      <c r="H53" s="104">
        <f t="shared" si="52"/>
        <v>1.0757677246430904E-2</v>
      </c>
      <c r="I53" s="104">
        <f t="shared" si="52"/>
        <v>9.8138888989583953E-3</v>
      </c>
      <c r="J53" s="104">
        <f t="shared" si="52"/>
        <v>9.6713143739554572E-3</v>
      </c>
      <c r="K53" s="104">
        <f t="shared" si="52"/>
        <v>8.3721322166926734E-3</v>
      </c>
      <c r="L53" s="104">
        <f t="shared" si="52"/>
        <v>8.5576310281000982E-3</v>
      </c>
      <c r="M53" s="104">
        <f t="shared" si="52"/>
        <v>6.2335036360403884E-3</v>
      </c>
      <c r="N53" s="104">
        <f t="shared" si="52"/>
        <v>5.7131785272651519E-3</v>
      </c>
      <c r="O53" s="104">
        <f t="shared" si="52"/>
        <v>5.5932124661655334E-3</v>
      </c>
      <c r="P53" s="104">
        <f t="shared" si="52"/>
        <v>5.184666766336268E-3</v>
      </c>
      <c r="Q53" s="104">
        <f t="shared" si="52"/>
        <v>4.7326628677902072E-3</v>
      </c>
      <c r="R53" s="104">
        <f t="shared" si="52"/>
        <v>4.2103969835148589E-3</v>
      </c>
      <c r="S53" s="104">
        <f t="shared" si="52"/>
        <v>4.4003400064198854E-3</v>
      </c>
      <c r="T53" s="104">
        <f t="shared" si="52"/>
        <v>3.7842675349256862E-3</v>
      </c>
      <c r="U53" s="104">
        <f t="shared" si="52"/>
        <v>3.2465213125335234E-3</v>
      </c>
      <c r="V53" s="104">
        <f t="shared" si="52"/>
        <v>6.1132903567776972E-3</v>
      </c>
      <c r="W53" s="104">
        <f t="shared" ref="W53:Y53" si="53">IF(W11=0,0,W11/W$3)</f>
        <v>5.6249224923475161E-3</v>
      </c>
      <c r="X53" s="104">
        <f t="shared" si="53"/>
        <v>3.054131261466083E-3</v>
      </c>
      <c r="Y53" s="104">
        <f t="shared" si="53"/>
        <v>2.5868951230170142E-3</v>
      </c>
      <c r="DA53" s="195"/>
    </row>
    <row r="54" spans="1:105" ht="11.45" customHeight="1" x14ac:dyDescent="0.25">
      <c r="A54" s="92" t="s">
        <v>181</v>
      </c>
      <c r="B54" s="104">
        <f t="shared" ref="B54:C54" si="54">IF(B12=0,0,B12/B$3)</f>
        <v>4.1644926631943342E-3</v>
      </c>
      <c r="C54" s="104">
        <f t="shared" si="54"/>
        <v>4.3176418489098804E-3</v>
      </c>
      <c r="D54" s="104">
        <f t="shared" ref="D54:V54" si="55">IF(D12=0,0,D12/D$3)</f>
        <v>3.9009425455762063E-3</v>
      </c>
      <c r="E54" s="104">
        <f t="shared" si="55"/>
        <v>4.1430538887938274E-3</v>
      </c>
      <c r="F54" s="104">
        <f t="shared" si="55"/>
        <v>4.5631733269756733E-3</v>
      </c>
      <c r="G54" s="104">
        <f t="shared" si="55"/>
        <v>3.8947570988708121E-3</v>
      </c>
      <c r="H54" s="104">
        <f t="shared" si="55"/>
        <v>3.821149478971679E-3</v>
      </c>
      <c r="I54" s="104">
        <f t="shared" si="55"/>
        <v>3.0745941403686706E-3</v>
      </c>
      <c r="J54" s="104">
        <f t="shared" si="55"/>
        <v>3.1670026880092446E-3</v>
      </c>
      <c r="K54" s="104">
        <f t="shared" si="55"/>
        <v>3.26614690629129E-3</v>
      </c>
      <c r="L54" s="104">
        <f t="shared" si="55"/>
        <v>3.2001640292958042E-3</v>
      </c>
      <c r="M54" s="104">
        <f t="shared" si="55"/>
        <v>3.1673082378171689E-3</v>
      </c>
      <c r="N54" s="104">
        <f t="shared" si="55"/>
        <v>2.9859971555999593E-3</v>
      </c>
      <c r="O54" s="104">
        <f t="shared" si="55"/>
        <v>3.0879451582978825E-3</v>
      </c>
      <c r="P54" s="104">
        <f t="shared" si="55"/>
        <v>2.6336270212257264E-3</v>
      </c>
      <c r="Q54" s="104">
        <f t="shared" si="55"/>
        <v>2.7352360663493685E-3</v>
      </c>
      <c r="R54" s="104">
        <f t="shared" si="55"/>
        <v>2.3328705593795118E-3</v>
      </c>
      <c r="S54" s="104">
        <f t="shared" si="55"/>
        <v>2.586958082915205E-3</v>
      </c>
      <c r="T54" s="104">
        <f t="shared" si="55"/>
        <v>2.5393141704226911E-3</v>
      </c>
      <c r="U54" s="104">
        <f t="shared" si="55"/>
        <v>2.7115123769006857E-3</v>
      </c>
      <c r="V54" s="104">
        <f t="shared" si="55"/>
        <v>6.913699397071457E-3</v>
      </c>
      <c r="W54" s="104">
        <f t="shared" ref="W54:Y54" si="56">IF(W12=0,0,W12/W$3)</f>
        <v>5.0692343087739072E-3</v>
      </c>
      <c r="X54" s="104">
        <f t="shared" si="56"/>
        <v>3.5518196673530616E-3</v>
      </c>
      <c r="Y54" s="104">
        <f t="shared" si="56"/>
        <v>3.0565145187132561E-3</v>
      </c>
      <c r="DA54" s="195"/>
    </row>
    <row r="55" spans="1:105" ht="11.45" customHeight="1" x14ac:dyDescent="0.25">
      <c r="A55" s="85" t="s">
        <v>182</v>
      </c>
      <c r="B55" s="105">
        <f t="shared" ref="B55:C55" si="57">IF(B13=0,0,B13/B$3)</f>
        <v>9.2683776546823721E-3</v>
      </c>
      <c r="C55" s="105">
        <f t="shared" si="57"/>
        <v>9.9672420384020188E-3</v>
      </c>
      <c r="D55" s="105">
        <f t="shared" ref="D55:V55" si="58">IF(D13=0,0,D13/D$3)</f>
        <v>8.6789541114545132E-3</v>
      </c>
      <c r="E55" s="105">
        <f t="shared" si="58"/>
        <v>9.9123515449487214E-3</v>
      </c>
      <c r="F55" s="105">
        <f t="shared" si="58"/>
        <v>1.0908038738886006E-2</v>
      </c>
      <c r="G55" s="105">
        <f t="shared" si="58"/>
        <v>8.8596403775137219E-3</v>
      </c>
      <c r="H55" s="105">
        <f t="shared" si="58"/>
        <v>8.5223481933809995E-3</v>
      </c>
      <c r="I55" s="105">
        <f t="shared" si="58"/>
        <v>8.6088610762957169E-3</v>
      </c>
      <c r="J55" s="105">
        <f t="shared" si="58"/>
        <v>8.8297564465787022E-3</v>
      </c>
      <c r="K55" s="105">
        <f t="shared" si="58"/>
        <v>8.7294744365003923E-3</v>
      </c>
      <c r="L55" s="105">
        <f t="shared" si="58"/>
        <v>1.0292127576666074E-2</v>
      </c>
      <c r="M55" s="105">
        <f t="shared" si="58"/>
        <v>1.0577159453483755E-2</v>
      </c>
      <c r="N55" s="105">
        <f t="shared" si="58"/>
        <v>9.9628494050683324E-3</v>
      </c>
      <c r="O55" s="105">
        <f t="shared" si="58"/>
        <v>1.0270788655026026E-2</v>
      </c>
      <c r="P55" s="105">
        <f t="shared" si="58"/>
        <v>9.7277753855215619E-3</v>
      </c>
      <c r="Q55" s="105">
        <f t="shared" si="58"/>
        <v>1.0856826035107637E-2</v>
      </c>
      <c r="R55" s="105">
        <f t="shared" si="58"/>
        <v>9.9074040339852277E-3</v>
      </c>
      <c r="S55" s="105">
        <f t="shared" si="58"/>
        <v>1.2074713278573852E-2</v>
      </c>
      <c r="T55" s="105">
        <f t="shared" si="58"/>
        <v>1.3250149004863458E-2</v>
      </c>
      <c r="U55" s="105">
        <f t="shared" si="58"/>
        <v>1.1489885174846094E-2</v>
      </c>
      <c r="V55" s="105">
        <f t="shared" si="58"/>
        <v>2.967890609522976E-2</v>
      </c>
      <c r="W55" s="105">
        <f t="shared" ref="W55:Y55" si="59">IF(W13=0,0,W13/W$3)</f>
        <v>2.208981890566936E-2</v>
      </c>
      <c r="X55" s="105">
        <f t="shared" si="59"/>
        <v>1.2813499696354085E-2</v>
      </c>
      <c r="Y55" s="105">
        <f t="shared" si="59"/>
        <v>1.4017183180669272E-2</v>
      </c>
      <c r="DA55" s="192"/>
    </row>
    <row r="56" spans="1:105" x14ac:dyDescent="0.25">
      <c r="A56" s="50"/>
      <c r="B56" s="50"/>
      <c r="C56" s="50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DA56" s="181"/>
    </row>
    <row r="57" spans="1:105" ht="11.45" customHeight="1" x14ac:dyDescent="0.25">
      <c r="A57" s="53" t="s">
        <v>76</v>
      </c>
      <c r="B57" s="62">
        <v>460.39908297294761</v>
      </c>
      <c r="C57" s="62">
        <v>444.50429744824953</v>
      </c>
      <c r="D57" s="62">
        <v>456.41081966488463</v>
      </c>
      <c r="E57" s="62">
        <v>432.74936613347762</v>
      </c>
      <c r="F57" s="62">
        <v>440.14439322209608</v>
      </c>
      <c r="G57" s="62">
        <v>442.84370814457213</v>
      </c>
      <c r="H57" s="62">
        <v>449.2669038752598</v>
      </c>
      <c r="I57" s="62">
        <v>450.09756143123315</v>
      </c>
      <c r="J57" s="62">
        <v>457.11791053976509</v>
      </c>
      <c r="K57" s="62">
        <v>458.77796414896221</v>
      </c>
      <c r="L57" s="62">
        <v>457.7510495961987</v>
      </c>
      <c r="M57" s="62">
        <v>460.67392641228628</v>
      </c>
      <c r="N57" s="62">
        <v>462.75610148911397</v>
      </c>
      <c r="O57" s="62">
        <v>458.63841031850541</v>
      </c>
      <c r="P57" s="62">
        <v>456.16336327950472</v>
      </c>
      <c r="Q57" s="62">
        <v>454.44165965753723</v>
      </c>
      <c r="R57" s="62">
        <v>449.1507756212294</v>
      </c>
      <c r="S57" s="62">
        <v>450.97371092025708</v>
      </c>
      <c r="T57" s="62">
        <v>453.87114672926407</v>
      </c>
      <c r="U57" s="62">
        <v>458.95815155647745</v>
      </c>
      <c r="V57" s="62">
        <v>454.47772499214972</v>
      </c>
      <c r="W57" s="62">
        <v>442.35394903139235</v>
      </c>
      <c r="X57" s="62">
        <v>450.89679142114261</v>
      </c>
      <c r="Y57" s="62">
        <v>464.05130192929721</v>
      </c>
      <c r="DA57" s="172" t="s">
        <v>314</v>
      </c>
    </row>
    <row r="58" spans="1:105" ht="11.45" customHeight="1" x14ac:dyDescent="0.25">
      <c r="A58" s="10" t="s">
        <v>33</v>
      </c>
      <c r="B58" s="14">
        <v>458.38400760949401</v>
      </c>
      <c r="C58" s="14">
        <v>442.13007868901718</v>
      </c>
      <c r="D58" s="14">
        <v>454.45573087277836</v>
      </c>
      <c r="E58" s="14">
        <v>430.23717369552526</v>
      </c>
      <c r="F58" s="14">
        <v>437.45923076709823</v>
      </c>
      <c r="G58" s="14">
        <v>440.4165294535394</v>
      </c>
      <c r="H58" s="14">
        <v>446.72857630118193</v>
      </c>
      <c r="I58" s="14">
        <v>447.33746420928662</v>
      </c>
      <c r="J58" s="14">
        <v>454.28337537984925</v>
      </c>
      <c r="K58" s="14">
        <v>456.32467192740359</v>
      </c>
      <c r="L58" s="14">
        <v>454.78464019311963</v>
      </c>
      <c r="M58" s="14">
        <v>457.8617116576408</v>
      </c>
      <c r="N58" s="14">
        <v>460.53714431162985</v>
      </c>
      <c r="O58" s="14">
        <v>456.26646788939922</v>
      </c>
      <c r="P58" s="14">
        <v>453.5941130061442</v>
      </c>
      <c r="Q58" s="14">
        <v>451.39404613436108</v>
      </c>
      <c r="R58" s="14">
        <v>446.04652117890157</v>
      </c>
      <c r="S58" s="14">
        <v>446.79735617837832</v>
      </c>
      <c r="T58" s="14">
        <v>449.17717031904704</v>
      </c>
      <c r="U58" s="14">
        <v>454.88220884891541</v>
      </c>
      <c r="V58" s="14">
        <v>450.0689734534223</v>
      </c>
      <c r="W58" s="14">
        <v>437.91402126922333</v>
      </c>
      <c r="X58" s="14">
        <v>446.52641447354569</v>
      </c>
      <c r="Y58" s="14">
        <v>458.24209097742204</v>
      </c>
      <c r="DA58" s="189" t="s">
        <v>315</v>
      </c>
    </row>
    <row r="59" spans="1:105" ht="11.45" customHeight="1" x14ac:dyDescent="0.25">
      <c r="A59" s="83" t="s">
        <v>27</v>
      </c>
      <c r="B59" s="87">
        <v>432.14149635698311</v>
      </c>
      <c r="C59" s="87">
        <v>432.14149635698311</v>
      </c>
      <c r="D59" s="87">
        <v>432.14149635698311</v>
      </c>
      <c r="E59" s="87">
        <v>432.14149635698311</v>
      </c>
      <c r="F59" s="87">
        <v>432.14149635698311</v>
      </c>
      <c r="G59" s="87">
        <v>429.39558429843612</v>
      </c>
      <c r="H59" s="87">
        <v>429.51483229499655</v>
      </c>
      <c r="I59" s="87">
        <v>428.66162544824113</v>
      </c>
      <c r="J59" s="87">
        <v>429.84717295313902</v>
      </c>
      <c r="K59" s="87">
        <v>433.19188734695064</v>
      </c>
      <c r="L59" s="87">
        <v>431.07444200439431</v>
      </c>
      <c r="M59" s="87">
        <v>432.80514580984743</v>
      </c>
      <c r="N59" s="87">
        <v>437.30159926794244</v>
      </c>
      <c r="O59" s="87">
        <v>431.56973123535857</v>
      </c>
      <c r="P59" s="87">
        <v>434.2863576869438</v>
      </c>
      <c r="Q59" s="87">
        <v>433.41136220425324</v>
      </c>
      <c r="R59" s="87">
        <v>428.66381591320282</v>
      </c>
      <c r="S59" s="87">
        <v>430.4606598235186</v>
      </c>
      <c r="T59" s="87">
        <v>435.0822662581474</v>
      </c>
      <c r="U59" s="87">
        <v>433.44199682628539</v>
      </c>
      <c r="V59" s="87">
        <v>438.80233494331793</v>
      </c>
      <c r="W59" s="87">
        <v>425.04516982015798</v>
      </c>
      <c r="X59" s="87">
        <v>419.50351726377204</v>
      </c>
      <c r="Y59" s="87">
        <v>421.54495736747577</v>
      </c>
      <c r="DA59" s="171" t="s">
        <v>316</v>
      </c>
    </row>
    <row r="60" spans="1:105" ht="11.45" customHeight="1" x14ac:dyDescent="0.25">
      <c r="A60" s="83" t="s">
        <v>181</v>
      </c>
      <c r="B60" s="87">
        <v>354.73023839515918</v>
      </c>
      <c r="C60" s="87">
        <v>354.45793612246848</v>
      </c>
      <c r="D60" s="87">
        <v>354.41691910686581</v>
      </c>
      <c r="E60" s="87">
        <v>353.34909101776339</v>
      </c>
      <c r="F60" s="87">
        <v>353.54633471075624</v>
      </c>
      <c r="G60" s="87">
        <v>353.50622620683851</v>
      </c>
      <c r="H60" s="87">
        <v>353.35047702504943</v>
      </c>
      <c r="I60" s="87">
        <v>352.12535785683269</v>
      </c>
      <c r="J60" s="87">
        <v>352.28686186988494</v>
      </c>
      <c r="K60" s="87">
        <v>351.64819676659488</v>
      </c>
      <c r="L60" s="87">
        <v>352.5279156842011</v>
      </c>
      <c r="M60" s="87">
        <v>355.81759032020636</v>
      </c>
      <c r="N60" s="87">
        <v>358.5589651667845</v>
      </c>
      <c r="O60" s="87">
        <v>358.7910717628892</v>
      </c>
      <c r="P60" s="87">
        <v>358.22186363486765</v>
      </c>
      <c r="Q60" s="87">
        <v>357.1925377789446</v>
      </c>
      <c r="R60" s="87">
        <v>357.35813884300592</v>
      </c>
      <c r="S60" s="87">
        <v>357.41859541217195</v>
      </c>
      <c r="T60" s="87">
        <v>356.93591022789457</v>
      </c>
      <c r="U60" s="87">
        <v>353.45486503937474</v>
      </c>
      <c r="V60" s="87">
        <v>361.77070826328304</v>
      </c>
      <c r="W60" s="87">
        <v>354.27455720773116</v>
      </c>
      <c r="X60" s="87">
        <v>354.94745104878058</v>
      </c>
      <c r="Y60" s="87">
        <v>354.70578095864903</v>
      </c>
      <c r="DA60" s="171" t="s">
        <v>317</v>
      </c>
    </row>
    <row r="61" spans="1:105" ht="11.45" customHeight="1" x14ac:dyDescent="0.25">
      <c r="A61" s="83" t="s">
        <v>182</v>
      </c>
      <c r="B61" s="87">
        <v>792.88142283839318</v>
      </c>
      <c r="C61" s="87">
        <v>792.88142283839329</v>
      </c>
      <c r="D61" s="87">
        <v>792.88142283839318</v>
      </c>
      <c r="E61" s="87">
        <v>792.88142283839329</v>
      </c>
      <c r="F61" s="87">
        <v>792.88142283839318</v>
      </c>
      <c r="G61" s="87">
        <v>793.16902847382937</v>
      </c>
      <c r="H61" s="87">
        <v>796.63526107385132</v>
      </c>
      <c r="I61" s="87">
        <v>787.45355725506283</v>
      </c>
      <c r="J61" s="87">
        <v>792.44839448020628</v>
      </c>
      <c r="K61" s="87">
        <v>784.61450613006673</v>
      </c>
      <c r="L61" s="87">
        <v>771.05131093131968</v>
      </c>
      <c r="M61" s="87">
        <v>771.06468358877953</v>
      </c>
      <c r="N61" s="87">
        <v>764.62311367241671</v>
      </c>
      <c r="O61" s="87">
        <v>744.19593396464541</v>
      </c>
      <c r="P61" s="87">
        <v>739.12295290208567</v>
      </c>
      <c r="Q61" s="87">
        <v>739.47412555524249</v>
      </c>
      <c r="R61" s="87">
        <v>739.36469294105791</v>
      </c>
      <c r="S61" s="87">
        <v>739.96299876185299</v>
      </c>
      <c r="T61" s="87">
        <v>735.93241386407465</v>
      </c>
      <c r="U61" s="87">
        <v>746.07500035326041</v>
      </c>
      <c r="V61" s="87">
        <v>761.9620575571173</v>
      </c>
      <c r="W61" s="87">
        <v>762.79012877282651</v>
      </c>
      <c r="X61" s="87">
        <v>762.80482163450233</v>
      </c>
      <c r="Y61" s="87">
        <v>763.97233402903771</v>
      </c>
      <c r="DA61" s="171" t="s">
        <v>318</v>
      </c>
    </row>
    <row r="62" spans="1:105" ht="11.45" customHeight="1" x14ac:dyDescent="0.25">
      <c r="A62" s="12" t="s">
        <v>34</v>
      </c>
      <c r="B62" s="15">
        <v>593.269153121606</v>
      </c>
      <c r="C62" s="15">
        <v>597.67631102788721</v>
      </c>
      <c r="D62" s="15">
        <v>593.25959756260329</v>
      </c>
      <c r="E62" s="15">
        <v>602.92463161721992</v>
      </c>
      <c r="F62" s="15">
        <v>602.57585269461993</v>
      </c>
      <c r="G62" s="15">
        <v>607.23138408554917</v>
      </c>
      <c r="H62" s="15">
        <v>616.48146629976247</v>
      </c>
      <c r="I62" s="15">
        <v>635.37060665374577</v>
      </c>
      <c r="J62" s="15">
        <v>635.12178595302839</v>
      </c>
      <c r="K62" s="15">
        <v>615.3185662737726</v>
      </c>
      <c r="L62" s="15">
        <v>612.32172675511197</v>
      </c>
      <c r="M62" s="15">
        <v>614.18351062834449</v>
      </c>
      <c r="N62" s="15">
        <v>590.21314219612373</v>
      </c>
      <c r="O62" s="15">
        <v>595.73262543760097</v>
      </c>
      <c r="P62" s="15">
        <v>621.11214787363861</v>
      </c>
      <c r="Q62" s="15">
        <v>637.59451512155829</v>
      </c>
      <c r="R62" s="15">
        <v>656.18838142241214</v>
      </c>
      <c r="S62" s="15">
        <v>680.31557585598171</v>
      </c>
      <c r="T62" s="15">
        <v>698.55041271522748</v>
      </c>
      <c r="U62" s="15">
        <v>680.7237689369889</v>
      </c>
      <c r="V62" s="15">
        <v>563.2251983777719</v>
      </c>
      <c r="W62" s="15">
        <v>565.1794691829017</v>
      </c>
      <c r="X62" s="15">
        <v>635.18324133346357</v>
      </c>
      <c r="Y62" s="15">
        <v>698.59289855828968</v>
      </c>
      <c r="DA62" s="193" t="s">
        <v>319</v>
      </c>
    </row>
    <row r="63" spans="1:105" ht="11.45" customHeight="1" x14ac:dyDescent="0.25">
      <c r="A63" s="92" t="s">
        <v>27</v>
      </c>
      <c r="B63" s="101">
        <v>419.77044838929891</v>
      </c>
      <c r="C63" s="101">
        <v>419.77044838929885</v>
      </c>
      <c r="D63" s="101">
        <v>419.77044838929885</v>
      </c>
      <c r="E63" s="101">
        <v>419.77044838929885</v>
      </c>
      <c r="F63" s="101">
        <v>419.77044838929891</v>
      </c>
      <c r="G63" s="101">
        <v>417.4170082205369</v>
      </c>
      <c r="H63" s="101">
        <v>413.14505691026812</v>
      </c>
      <c r="I63" s="101">
        <v>408.24538327118699</v>
      </c>
      <c r="J63" s="101">
        <v>405.10220808717622</v>
      </c>
      <c r="K63" s="101">
        <v>403.61961394729929</v>
      </c>
      <c r="L63" s="101">
        <v>398.21482658263221</v>
      </c>
      <c r="M63" s="101">
        <v>402.57798784047719</v>
      </c>
      <c r="N63" s="101">
        <v>409.31496163053828</v>
      </c>
      <c r="O63" s="101">
        <v>402.95596509332256</v>
      </c>
      <c r="P63" s="101">
        <v>403.07844640147573</v>
      </c>
      <c r="Q63" s="101">
        <v>400.5399989387555</v>
      </c>
      <c r="R63" s="101">
        <v>395.26328671366633</v>
      </c>
      <c r="S63" s="101">
        <v>394.78753508449</v>
      </c>
      <c r="T63" s="101">
        <v>396.27567827308405</v>
      </c>
      <c r="U63" s="101">
        <v>394.27575876057148</v>
      </c>
      <c r="V63" s="101">
        <v>414.0688136340882</v>
      </c>
      <c r="W63" s="101">
        <v>425.97887350293291</v>
      </c>
      <c r="X63" s="101">
        <v>527.48595237801203</v>
      </c>
      <c r="Y63" s="101">
        <v>512.05824282478147</v>
      </c>
      <c r="DA63" s="175" t="s">
        <v>320</v>
      </c>
    </row>
    <row r="64" spans="1:105" ht="11.45" customHeight="1" x14ac:dyDescent="0.25">
      <c r="A64" s="92" t="s">
        <v>181</v>
      </c>
      <c r="B64" s="101">
        <v>321.93780821979612</v>
      </c>
      <c r="C64" s="101">
        <v>321.83656102895554</v>
      </c>
      <c r="D64" s="101">
        <v>322.16196296507826</v>
      </c>
      <c r="E64" s="101">
        <v>322.30427478097016</v>
      </c>
      <c r="F64" s="101">
        <v>322.14183145751878</v>
      </c>
      <c r="G64" s="101">
        <v>322.84484581609934</v>
      </c>
      <c r="H64" s="101">
        <v>322.7976413302128</v>
      </c>
      <c r="I64" s="101">
        <v>323.79445828410951</v>
      </c>
      <c r="J64" s="101">
        <v>323.97012305204379</v>
      </c>
      <c r="K64" s="101">
        <v>325.59323818897701</v>
      </c>
      <c r="L64" s="101">
        <v>323.4995959743452</v>
      </c>
      <c r="M64" s="101">
        <v>322.27095499006992</v>
      </c>
      <c r="N64" s="101">
        <v>324.06930946076034</v>
      </c>
      <c r="O64" s="101">
        <v>322.13893703487764</v>
      </c>
      <c r="P64" s="101">
        <v>321.32564151876488</v>
      </c>
      <c r="Q64" s="101">
        <v>320.32421345323093</v>
      </c>
      <c r="R64" s="101">
        <v>319.62793541998315</v>
      </c>
      <c r="S64" s="101">
        <v>317.79674990385769</v>
      </c>
      <c r="T64" s="101">
        <v>317.49908285052368</v>
      </c>
      <c r="U64" s="101">
        <v>316.68407946390141</v>
      </c>
      <c r="V64" s="101">
        <v>311.7712042118124</v>
      </c>
      <c r="W64" s="101">
        <v>311.18001621904358</v>
      </c>
      <c r="X64" s="101">
        <v>310.8998617795221</v>
      </c>
      <c r="Y64" s="101">
        <v>321.7086105563626</v>
      </c>
      <c r="DA64" s="175" t="s">
        <v>321</v>
      </c>
    </row>
    <row r="65" spans="1:105" ht="11.45" customHeight="1" x14ac:dyDescent="0.25">
      <c r="A65" s="85" t="s">
        <v>182</v>
      </c>
      <c r="B65" s="88">
        <v>823.02205225173884</v>
      </c>
      <c r="C65" s="88">
        <v>823.02205225173884</v>
      </c>
      <c r="D65" s="88">
        <v>823.02205225173896</v>
      </c>
      <c r="E65" s="88">
        <v>823.02205225173884</v>
      </c>
      <c r="F65" s="88">
        <v>823.02205225173873</v>
      </c>
      <c r="G65" s="88">
        <v>823.33854358634517</v>
      </c>
      <c r="H65" s="88">
        <v>812.56165957649455</v>
      </c>
      <c r="I65" s="88">
        <v>788.29835430596427</v>
      </c>
      <c r="J65" s="88">
        <v>778.35058712033094</v>
      </c>
      <c r="K65" s="88">
        <v>755.61575322110298</v>
      </c>
      <c r="L65" s="88">
        <v>727.97843218110552</v>
      </c>
      <c r="M65" s="88">
        <v>723.46956071880049</v>
      </c>
      <c r="N65" s="88">
        <v>686.10215806461599</v>
      </c>
      <c r="O65" s="88">
        <v>697.90955662102067</v>
      </c>
      <c r="P65" s="88">
        <v>730.46053188359917</v>
      </c>
      <c r="Q65" s="88">
        <v>750.26628999699233</v>
      </c>
      <c r="R65" s="88">
        <v>769.25148731802506</v>
      </c>
      <c r="S65" s="88">
        <v>788.5966428641924</v>
      </c>
      <c r="T65" s="88">
        <v>800.47057787130916</v>
      </c>
      <c r="U65" s="88">
        <v>790.45745504242848</v>
      </c>
      <c r="V65" s="88">
        <v>679.23332407687406</v>
      </c>
      <c r="W65" s="88">
        <v>667.75651948999916</v>
      </c>
      <c r="X65" s="88">
        <v>749.87728142100275</v>
      </c>
      <c r="Y65" s="88">
        <v>792.69231566681003</v>
      </c>
      <c r="DA65" s="178" t="s">
        <v>322</v>
      </c>
    </row>
    <row r="66" spans="1:105" x14ac:dyDescent="0.25">
      <c r="A66" s="50"/>
      <c r="B66" s="50"/>
      <c r="C66" s="50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DA66" s="181"/>
    </row>
    <row r="67" spans="1:105" ht="11.45" customHeight="1" x14ac:dyDescent="0.25">
      <c r="A67" s="53" t="s">
        <v>77</v>
      </c>
      <c r="B67" s="59">
        <f t="shared" ref="B67" si="60">IF(B3=0,0,B17/B57)</f>
        <v>1.0032821986736289</v>
      </c>
      <c r="C67" s="59">
        <f t="shared" ref="C67:W67" si="61">IF(C3=0,0,C17/C57)</f>
        <v>1.1223787766722777</v>
      </c>
      <c r="D67" s="59">
        <f t="shared" si="61"/>
        <v>0.99900933863221553</v>
      </c>
      <c r="E67" s="59">
        <f t="shared" si="61"/>
        <v>1.1467080996373549</v>
      </c>
      <c r="F67" s="59">
        <f t="shared" si="61"/>
        <v>1.1219600890831121</v>
      </c>
      <c r="G67" s="59">
        <f t="shared" si="61"/>
        <v>1.1050314731226134</v>
      </c>
      <c r="H67" s="59">
        <f t="shared" si="61"/>
        <v>1.086366718687616</v>
      </c>
      <c r="I67" s="59">
        <f t="shared" si="61"/>
        <v>1.0463412991138625</v>
      </c>
      <c r="J67" s="59">
        <f t="shared" si="61"/>
        <v>1.0130840292769332</v>
      </c>
      <c r="K67" s="59">
        <f t="shared" si="61"/>
        <v>1.0286112123317019</v>
      </c>
      <c r="L67" s="59">
        <f t="shared" si="61"/>
        <v>1.0271616508426737</v>
      </c>
      <c r="M67" s="59">
        <f t="shared" si="61"/>
        <v>1.0277748975200152</v>
      </c>
      <c r="N67" s="59">
        <f t="shared" si="61"/>
        <v>1.0301804673526427</v>
      </c>
      <c r="O67" s="59">
        <f t="shared" si="61"/>
        <v>0.99369821133298242</v>
      </c>
      <c r="P67" s="59">
        <f t="shared" si="61"/>
        <v>0.99109329755480047</v>
      </c>
      <c r="Q67" s="59">
        <f t="shared" si="61"/>
        <v>1.0389023706265657</v>
      </c>
      <c r="R67" s="59">
        <f t="shared" si="61"/>
        <v>1.0330806351967798</v>
      </c>
      <c r="S67" s="59">
        <f t="shared" si="61"/>
        <v>1.045031862387936</v>
      </c>
      <c r="T67" s="59">
        <f t="shared" si="61"/>
        <v>1.032831411884664</v>
      </c>
      <c r="U67" s="59">
        <f t="shared" si="61"/>
        <v>1.0364205373219102</v>
      </c>
      <c r="V67" s="59">
        <f t="shared" si="61"/>
        <v>1.0443840427464097</v>
      </c>
      <c r="W67" s="59">
        <f t="shared" si="61"/>
        <v>1.0279910815800222</v>
      </c>
      <c r="X67" s="59">
        <f t="shared" ref="X67:Y67" si="62">IF(X3=0,0,X17/X57)</f>
        <v>0.97850992321764463</v>
      </c>
      <c r="Y67" s="59">
        <f t="shared" si="62"/>
        <v>0.94306574013599898</v>
      </c>
      <c r="DA67" s="172"/>
    </row>
    <row r="68" spans="1:105" ht="11.45" customHeight="1" x14ac:dyDescent="0.25">
      <c r="A68" s="10" t="s">
        <v>33</v>
      </c>
      <c r="B68" s="23">
        <f t="shared" ref="B68:B75" si="63">IF(B6=0,0,B18/B58)</f>
        <v>1.0054454154656054</v>
      </c>
      <c r="C68" s="23">
        <f t="shared" ref="C68:W68" si="64">IF(C6=0,0,C18/C58)</f>
        <v>1.1251235514743791</v>
      </c>
      <c r="D68" s="23">
        <f t="shared" si="64"/>
        <v>1.0005255007154612</v>
      </c>
      <c r="E68" s="23">
        <f t="shared" si="64"/>
        <v>1.1502979782327365</v>
      </c>
      <c r="F68" s="23">
        <f t="shared" si="64"/>
        <v>1.1254062950603074</v>
      </c>
      <c r="G68" s="23">
        <f t="shared" si="64"/>
        <v>1.1086166826294375</v>
      </c>
      <c r="H68" s="23">
        <f t="shared" si="64"/>
        <v>1.0911763892096942</v>
      </c>
      <c r="I68" s="23">
        <f t="shared" si="64"/>
        <v>1.0521182344354376</v>
      </c>
      <c r="J68" s="23">
        <f t="shared" si="64"/>
        <v>1.0193985414256637</v>
      </c>
      <c r="K68" s="23">
        <f t="shared" si="64"/>
        <v>1.0345225447383022</v>
      </c>
      <c r="L68" s="23">
        <f t="shared" si="64"/>
        <v>1.0355139420434176</v>
      </c>
      <c r="M68" s="23">
        <f t="shared" si="64"/>
        <v>1.0359512345755155</v>
      </c>
      <c r="N68" s="23">
        <f t="shared" si="64"/>
        <v>1.0369513604987355</v>
      </c>
      <c r="O68" s="23">
        <f t="shared" si="64"/>
        <v>1.0000301021695206</v>
      </c>
      <c r="P68" s="23">
        <f t="shared" si="64"/>
        <v>0.99723982615611173</v>
      </c>
      <c r="Q68" s="23">
        <f t="shared" si="64"/>
        <v>1.0464842948666544</v>
      </c>
      <c r="R68" s="23">
        <f t="shared" si="64"/>
        <v>1.0407263636195296</v>
      </c>
      <c r="S68" s="23">
        <f t="shared" si="64"/>
        <v>1.0558666376397887</v>
      </c>
      <c r="T68" s="23">
        <f t="shared" si="64"/>
        <v>1.0449215172383792</v>
      </c>
      <c r="U68" s="23">
        <f t="shared" si="64"/>
        <v>1.0481759728899784</v>
      </c>
      <c r="V68" s="23">
        <f t="shared" si="64"/>
        <v>1.0545874498188597</v>
      </c>
      <c r="W68" s="23">
        <f t="shared" si="64"/>
        <v>1.0434881475194278</v>
      </c>
      <c r="X68" s="23">
        <f t="shared" ref="X68:Y68" si="65">IF(X6=0,0,X18/X58)</f>
        <v>0.99292532314477944</v>
      </c>
      <c r="Y68" s="23">
        <f t="shared" si="65"/>
        <v>0.9603279817874727</v>
      </c>
      <c r="DA68" s="189"/>
    </row>
    <row r="69" spans="1:105" ht="11.45" customHeight="1" x14ac:dyDescent="0.25">
      <c r="A69" s="83" t="s">
        <v>27</v>
      </c>
      <c r="B69" s="91">
        <f t="shared" si="63"/>
        <v>1.58659777601848</v>
      </c>
      <c r="C69" s="91">
        <f t="shared" ref="C69:W69" si="66">IF(C7=0,0,C19/C59)</f>
        <v>1.7225919720132132</v>
      </c>
      <c r="D69" s="91">
        <f t="shared" si="66"/>
        <v>1.6893979326836166</v>
      </c>
      <c r="E69" s="91">
        <f t="shared" si="66"/>
        <v>1.7348946563935344</v>
      </c>
      <c r="F69" s="91">
        <f t="shared" si="66"/>
        <v>1.7187274530236933</v>
      </c>
      <c r="G69" s="91">
        <f t="shared" si="66"/>
        <v>1.8022412679136897</v>
      </c>
      <c r="H69" s="91">
        <f t="shared" si="66"/>
        <v>1.8070132656182085</v>
      </c>
      <c r="I69" s="91">
        <f t="shared" si="66"/>
        <v>1.8029999642875219</v>
      </c>
      <c r="J69" s="91">
        <f t="shared" si="66"/>
        <v>1.8176371879831477</v>
      </c>
      <c r="K69" s="91">
        <f t="shared" si="66"/>
        <v>1.8188304151401171</v>
      </c>
      <c r="L69" s="91">
        <f t="shared" si="66"/>
        <v>2.0737931963865246</v>
      </c>
      <c r="M69" s="91">
        <f t="shared" si="66"/>
        <v>1.9192343044198523</v>
      </c>
      <c r="N69" s="91">
        <f t="shared" si="66"/>
        <v>2.0056786640344275</v>
      </c>
      <c r="O69" s="91">
        <f t="shared" si="66"/>
        <v>2.0133562681740838</v>
      </c>
      <c r="P69" s="91">
        <f t="shared" si="66"/>
        <v>2.0945427680786941</v>
      </c>
      <c r="Q69" s="91">
        <f t="shared" si="66"/>
        <v>2.2037548892749768</v>
      </c>
      <c r="R69" s="91">
        <f t="shared" si="66"/>
        <v>2.308500993203721</v>
      </c>
      <c r="S69" s="91">
        <f t="shared" si="66"/>
        <v>2.3792109977729217</v>
      </c>
      <c r="T69" s="91">
        <f t="shared" si="66"/>
        <v>2.2325095754961013</v>
      </c>
      <c r="U69" s="91">
        <f t="shared" si="66"/>
        <v>2.2436281058980656</v>
      </c>
      <c r="V69" s="91">
        <f t="shared" si="66"/>
        <v>1.8105550833808723</v>
      </c>
      <c r="W69" s="91">
        <f t="shared" si="66"/>
        <v>2.228582233408297</v>
      </c>
      <c r="X69" s="91">
        <f t="shared" ref="X69:Y69" si="67">IF(X7=0,0,X19/X59)</f>
        <v>2.4185320746879442</v>
      </c>
      <c r="Y69" s="91">
        <f t="shared" si="67"/>
        <v>2.375262854562906</v>
      </c>
      <c r="DA69" s="171"/>
    </row>
    <row r="70" spans="1:105" ht="11.45" customHeight="1" x14ac:dyDescent="0.25">
      <c r="A70" s="83" t="s">
        <v>181</v>
      </c>
      <c r="B70" s="91">
        <f t="shared" si="63"/>
        <v>0.88164976799945594</v>
      </c>
      <c r="C70" s="91">
        <f t="shared" ref="C70:W70" si="68">IF(C8=0,0,C20/C60)</f>
        <v>0.98864493526096942</v>
      </c>
      <c r="D70" s="91">
        <f t="shared" si="68"/>
        <v>0.86715501684043361</v>
      </c>
      <c r="E70" s="91">
        <f t="shared" si="68"/>
        <v>1.013371004486594</v>
      </c>
      <c r="F70" s="91">
        <f t="shared" si="68"/>
        <v>0.9942211758830739</v>
      </c>
      <c r="G70" s="91">
        <f t="shared" si="68"/>
        <v>0.95967999659043601</v>
      </c>
      <c r="H70" s="91">
        <f t="shared" si="68"/>
        <v>0.98449716943580501</v>
      </c>
      <c r="I70" s="91">
        <f t="shared" si="68"/>
        <v>0.96058714334151829</v>
      </c>
      <c r="J70" s="91">
        <f t="shared" si="68"/>
        <v>0.95498475876478961</v>
      </c>
      <c r="K70" s="91">
        <f t="shared" si="68"/>
        <v>0.97379695085219919</v>
      </c>
      <c r="L70" s="91">
        <f t="shared" si="68"/>
        <v>0.89548356861891365</v>
      </c>
      <c r="M70" s="91">
        <f t="shared" si="68"/>
        <v>0.99187594455378991</v>
      </c>
      <c r="N70" s="91">
        <f t="shared" si="68"/>
        <v>0.99995922100825974</v>
      </c>
      <c r="O70" s="91">
        <f t="shared" si="68"/>
        <v>0.98313362141561811</v>
      </c>
      <c r="P70" s="91">
        <f t="shared" si="68"/>
        <v>0.95787002891479056</v>
      </c>
      <c r="Q70" s="91">
        <f t="shared" si="68"/>
        <v>0.99120372386586697</v>
      </c>
      <c r="R70" s="91">
        <f t="shared" si="68"/>
        <v>0.97082276599326589</v>
      </c>
      <c r="S70" s="91">
        <f t="shared" si="68"/>
        <v>1.0002200205597847</v>
      </c>
      <c r="T70" s="91">
        <f t="shared" si="68"/>
        <v>1.0067218505858515</v>
      </c>
      <c r="U70" s="91">
        <f t="shared" si="68"/>
        <v>1.0443981673445049</v>
      </c>
      <c r="V70" s="91">
        <f t="shared" si="68"/>
        <v>0.81150156979576304</v>
      </c>
      <c r="W70" s="91">
        <f t="shared" si="68"/>
        <v>0.70887707994384175</v>
      </c>
      <c r="X70" s="91">
        <f t="shared" ref="X70:Y70" si="69">IF(X8=0,0,X20/X60)</f>
        <v>0.84796983189568031</v>
      </c>
      <c r="Y70" s="91">
        <f t="shared" si="69"/>
        <v>0.90061914895987405</v>
      </c>
      <c r="DA70" s="171"/>
    </row>
    <row r="71" spans="1:105" ht="11.45" customHeight="1" x14ac:dyDescent="0.25">
      <c r="A71" s="83" t="s">
        <v>182</v>
      </c>
      <c r="B71" s="91">
        <f t="shared" si="63"/>
        <v>0.72029265588943137</v>
      </c>
      <c r="C71" s="91">
        <f t="shared" ref="C71:W71" si="70">IF(C9=0,0,C21/C61)</f>
        <v>0.80575301494769247</v>
      </c>
      <c r="D71" s="91">
        <f t="shared" si="70"/>
        <v>0.70598293336679285</v>
      </c>
      <c r="E71" s="91">
        <f t="shared" si="70"/>
        <v>0.81982521323418234</v>
      </c>
      <c r="F71" s="91">
        <f t="shared" si="70"/>
        <v>0.80506125485954383</v>
      </c>
      <c r="G71" s="91">
        <f t="shared" si="70"/>
        <v>0.71285803955340354</v>
      </c>
      <c r="H71" s="91">
        <f t="shared" si="70"/>
        <v>0.63882635086216732</v>
      </c>
      <c r="I71" s="91">
        <f t="shared" si="70"/>
        <v>0.58406797880217587</v>
      </c>
      <c r="J71" s="91">
        <f t="shared" si="70"/>
        <v>0.54715543419352219</v>
      </c>
      <c r="K71" s="91">
        <f t="shared" si="70"/>
        <v>0.58583844921719941</v>
      </c>
      <c r="L71" s="91">
        <f t="shared" si="70"/>
        <v>0.55201457908728757</v>
      </c>
      <c r="M71" s="91">
        <f t="shared" si="70"/>
        <v>0.58984477089762166</v>
      </c>
      <c r="N71" s="91">
        <f t="shared" si="70"/>
        <v>0.61348393650029576</v>
      </c>
      <c r="O71" s="91">
        <f t="shared" si="70"/>
        <v>0.60371951625708542</v>
      </c>
      <c r="P71" s="91">
        <f t="shared" si="70"/>
        <v>0.59693389983513001</v>
      </c>
      <c r="Q71" s="91">
        <f t="shared" si="70"/>
        <v>0.63008618074317024</v>
      </c>
      <c r="R71" s="91">
        <f t="shared" si="70"/>
        <v>0.60179349634071588</v>
      </c>
      <c r="S71" s="91">
        <f t="shared" si="70"/>
        <v>0.58351127435232653</v>
      </c>
      <c r="T71" s="91">
        <f t="shared" si="70"/>
        <v>0.58171943192470987</v>
      </c>
      <c r="U71" s="91">
        <f t="shared" si="70"/>
        <v>0.55495824741121069</v>
      </c>
      <c r="V71" s="91">
        <f t="shared" si="70"/>
        <v>0.86768137172134419</v>
      </c>
      <c r="W71" s="91">
        <f t="shared" si="70"/>
        <v>0.67439919894841205</v>
      </c>
      <c r="X71" s="91">
        <f t="shared" ref="X71:Y71" si="71">IF(X9=0,0,X21/X61)</f>
        <v>0.49001291054954887</v>
      </c>
      <c r="Y71" s="91">
        <f t="shared" si="71"/>
        <v>0.44499206965420712</v>
      </c>
      <c r="DA71" s="171"/>
    </row>
    <row r="72" spans="1:105" ht="11.45" customHeight="1" x14ac:dyDescent="0.25">
      <c r="A72" s="12" t="s">
        <v>34</v>
      </c>
      <c r="B72" s="24">
        <f t="shared" si="63"/>
        <v>0.85271441705381146</v>
      </c>
      <c r="C72" s="24">
        <f t="shared" ref="C72:W72" si="72">IF(C10=0,0,C22/C62)</f>
        <v>0.93625463917375507</v>
      </c>
      <c r="D72" s="24">
        <f t="shared" si="72"/>
        <v>0.8660533029294365</v>
      </c>
      <c r="E72" s="24">
        <f t="shared" si="72"/>
        <v>0.92666023615545434</v>
      </c>
      <c r="F72" s="24">
        <f t="shared" si="72"/>
        <v>0.92099247736252221</v>
      </c>
      <c r="G72" s="24">
        <f t="shared" si="72"/>
        <v>0.88780016026713404</v>
      </c>
      <c r="H72" s="24">
        <f t="shared" si="72"/>
        <v>0.83585545456439381</v>
      </c>
      <c r="I72" s="24">
        <f t="shared" si="72"/>
        <v>0.76366436094118617</v>
      </c>
      <c r="J72" s="24">
        <f t="shared" si="72"/>
        <v>0.72936618494247152</v>
      </c>
      <c r="K72" s="24">
        <f t="shared" si="72"/>
        <v>0.75356724255851781</v>
      </c>
      <c r="L72" s="24">
        <f t="shared" si="72"/>
        <v>0.71711697477049452</v>
      </c>
      <c r="M72" s="24">
        <f t="shared" si="72"/>
        <v>0.7083773348479101</v>
      </c>
      <c r="N72" s="24">
        <f t="shared" si="72"/>
        <v>0.73990090049218527</v>
      </c>
      <c r="O72" s="24">
        <f t="shared" si="72"/>
        <v>0.72147364464073571</v>
      </c>
      <c r="P72" s="24">
        <f t="shared" si="72"/>
        <v>0.7067469693801921</v>
      </c>
      <c r="Q72" s="24">
        <f t="shared" si="72"/>
        <v>0.719559512366993</v>
      </c>
      <c r="R72" s="24">
        <f t="shared" si="72"/>
        <v>0.68907568494524929</v>
      </c>
      <c r="S72" s="24">
        <f t="shared" si="72"/>
        <v>0.65851053221493383</v>
      </c>
      <c r="T72" s="24">
        <f t="shared" si="72"/>
        <v>0.63178933538464055</v>
      </c>
      <c r="U72" s="24">
        <f t="shared" si="72"/>
        <v>0.61695078691425842</v>
      </c>
      <c r="V72" s="24">
        <f t="shared" si="72"/>
        <v>0.84322001798428226</v>
      </c>
      <c r="W72" s="24">
        <f t="shared" si="72"/>
        <v>0.7036354933421719</v>
      </c>
      <c r="X72" s="24">
        <f t="shared" ref="X72:Y72" si="73">IF(X10=0,0,X22/X62)</f>
        <v>0.55745420769590381</v>
      </c>
      <c r="Y72" s="24">
        <f t="shared" si="73"/>
        <v>0.49111951397481046</v>
      </c>
      <c r="DA72" s="193"/>
    </row>
    <row r="73" spans="1:105" ht="11.45" customHeight="1" x14ac:dyDescent="0.25">
      <c r="A73" s="92" t="s">
        <v>27</v>
      </c>
      <c r="B73" s="93">
        <f t="shared" si="63"/>
        <v>1.5865977760184797</v>
      </c>
      <c r="C73" s="93">
        <f t="shared" ref="C73:W73" si="74">IF(C11=0,0,C23/C63)</f>
        <v>1.722591972013213</v>
      </c>
      <c r="D73" s="93">
        <f t="shared" si="74"/>
        <v>1.6893979326836168</v>
      </c>
      <c r="E73" s="93">
        <f t="shared" si="74"/>
        <v>1.7348946563935346</v>
      </c>
      <c r="F73" s="93">
        <f t="shared" si="74"/>
        <v>1.7187274530236933</v>
      </c>
      <c r="G73" s="93">
        <f t="shared" si="74"/>
        <v>1.8022412679136894</v>
      </c>
      <c r="H73" s="93">
        <f t="shared" si="74"/>
        <v>1.8070132656182087</v>
      </c>
      <c r="I73" s="93">
        <f t="shared" si="74"/>
        <v>1.8029999642875219</v>
      </c>
      <c r="J73" s="93">
        <f t="shared" si="74"/>
        <v>1.8176371879831479</v>
      </c>
      <c r="K73" s="93">
        <f t="shared" si="74"/>
        <v>1.8188304151401171</v>
      </c>
      <c r="L73" s="93">
        <f t="shared" si="74"/>
        <v>2.0737931963865246</v>
      </c>
      <c r="M73" s="93">
        <f t="shared" si="74"/>
        <v>1.9192343044198525</v>
      </c>
      <c r="N73" s="93">
        <f t="shared" si="74"/>
        <v>2.0056786640344271</v>
      </c>
      <c r="O73" s="93">
        <f t="shared" si="74"/>
        <v>2.0133562681740833</v>
      </c>
      <c r="P73" s="93">
        <f t="shared" si="74"/>
        <v>2.0945427680786941</v>
      </c>
      <c r="Q73" s="93">
        <f t="shared" si="74"/>
        <v>2.2037548892749763</v>
      </c>
      <c r="R73" s="93">
        <f t="shared" si="74"/>
        <v>2.3085009932037206</v>
      </c>
      <c r="S73" s="93">
        <f t="shared" si="74"/>
        <v>2.3792109977729212</v>
      </c>
      <c r="T73" s="93">
        <f t="shared" si="74"/>
        <v>2.2325095754961009</v>
      </c>
      <c r="U73" s="93">
        <f t="shared" si="74"/>
        <v>2.2436281058980656</v>
      </c>
      <c r="V73" s="93">
        <f t="shared" si="74"/>
        <v>1.8105550833808723</v>
      </c>
      <c r="W73" s="93">
        <f t="shared" si="74"/>
        <v>2.228582233408297</v>
      </c>
      <c r="X73" s="93">
        <f t="shared" ref="X73:Y73" si="75">IF(X11=0,0,X23/X63)</f>
        <v>2.4185320746879442</v>
      </c>
      <c r="Y73" s="93">
        <f t="shared" si="75"/>
        <v>2.375262854562906</v>
      </c>
      <c r="DA73" s="175"/>
    </row>
    <row r="74" spans="1:105" ht="11.45" customHeight="1" x14ac:dyDescent="0.25">
      <c r="A74" s="92" t="s">
        <v>181</v>
      </c>
      <c r="B74" s="93">
        <f t="shared" si="63"/>
        <v>0.87940378838315514</v>
      </c>
      <c r="C74" s="93">
        <f t="shared" ref="C74:W74" si="76">IF(C12=0,0,C24/C64)</f>
        <v>0.98333081120383414</v>
      </c>
      <c r="D74" s="93">
        <f t="shared" si="76"/>
        <v>0.86084061414786162</v>
      </c>
      <c r="E74" s="93">
        <f t="shared" si="76"/>
        <v>1.0040545119383764</v>
      </c>
      <c r="F74" s="93">
        <f t="shared" si="76"/>
        <v>0.9851087144239794</v>
      </c>
      <c r="G74" s="93">
        <f t="shared" si="76"/>
        <v>0.94652984970657739</v>
      </c>
      <c r="H74" s="93">
        <f t="shared" si="76"/>
        <v>0.97192411953312097</v>
      </c>
      <c r="I74" s="93">
        <f t="shared" si="76"/>
        <v>0.93120890947951562</v>
      </c>
      <c r="J74" s="93">
        <f t="shared" si="76"/>
        <v>0.92186006083417227</v>
      </c>
      <c r="K74" s="93">
        <f t="shared" si="76"/>
        <v>0.94543380050215431</v>
      </c>
      <c r="L74" s="93">
        <f t="shared" si="76"/>
        <v>0.86808960659979284</v>
      </c>
      <c r="M74" s="93">
        <f t="shared" si="76"/>
        <v>0.95321016437912476</v>
      </c>
      <c r="N74" s="93">
        <f t="shared" si="76"/>
        <v>0.97241120859783137</v>
      </c>
      <c r="O74" s="93">
        <f t="shared" si="76"/>
        <v>0.94766022804225891</v>
      </c>
      <c r="P74" s="93">
        <f t="shared" si="76"/>
        <v>0.90648489451608172</v>
      </c>
      <c r="Q74" s="93">
        <f t="shared" si="76"/>
        <v>0.94226780085216777</v>
      </c>
      <c r="R74" s="93">
        <f t="shared" si="76"/>
        <v>0.9136640677835588</v>
      </c>
      <c r="S74" s="93">
        <f t="shared" si="76"/>
        <v>0.93473356235023031</v>
      </c>
      <c r="T74" s="93">
        <f t="shared" si="76"/>
        <v>0.94575362860386913</v>
      </c>
      <c r="U74" s="93">
        <f t="shared" si="76"/>
        <v>0.97602233989241527</v>
      </c>
      <c r="V74" s="93">
        <f t="shared" si="76"/>
        <v>0.85905011232766659</v>
      </c>
      <c r="W74" s="93">
        <f t="shared" si="76"/>
        <v>0.74011427006084562</v>
      </c>
      <c r="X74" s="93">
        <f t="shared" ref="X74:Y74" si="77">IF(X12=0,0,X24/X64)</f>
        <v>0.83365562256405568</v>
      </c>
      <c r="Y74" s="93">
        <f t="shared" si="77"/>
        <v>0.86183386914966653</v>
      </c>
      <c r="DA74" s="175"/>
    </row>
    <row r="75" spans="1:105" ht="11.45" customHeight="1" x14ac:dyDescent="0.25">
      <c r="A75" s="85" t="s">
        <v>182</v>
      </c>
      <c r="B75" s="94">
        <f t="shared" si="63"/>
        <v>0.64826339030048785</v>
      </c>
      <c r="C75" s="94">
        <f t="shared" ref="C75:W75" si="78">IF(C13=0,0,C25/C65)</f>
        <v>0.72517771345292292</v>
      </c>
      <c r="D75" s="94">
        <f t="shared" si="78"/>
        <v>0.63538464003011363</v>
      </c>
      <c r="E75" s="94">
        <f t="shared" si="78"/>
        <v>0.73784269191076424</v>
      </c>
      <c r="F75" s="94">
        <f t="shared" si="78"/>
        <v>0.72455512937358957</v>
      </c>
      <c r="G75" s="94">
        <f t="shared" si="78"/>
        <v>0.6415722355980632</v>
      </c>
      <c r="H75" s="94">
        <f t="shared" si="78"/>
        <v>0.57494371577595083</v>
      </c>
      <c r="I75" s="94">
        <f t="shared" si="78"/>
        <v>0.52566118092195813</v>
      </c>
      <c r="J75" s="94">
        <f t="shared" si="78"/>
        <v>0.49243989077417011</v>
      </c>
      <c r="K75" s="94">
        <f t="shared" si="78"/>
        <v>0.52725460429547955</v>
      </c>
      <c r="L75" s="94">
        <f t="shared" si="78"/>
        <v>0.49681312117855875</v>
      </c>
      <c r="M75" s="94">
        <f t="shared" si="78"/>
        <v>0.5308602938078596</v>
      </c>
      <c r="N75" s="94">
        <f t="shared" si="78"/>
        <v>0.55213554285026634</v>
      </c>
      <c r="O75" s="94">
        <f t="shared" si="78"/>
        <v>0.5433475646313769</v>
      </c>
      <c r="P75" s="94">
        <f t="shared" si="78"/>
        <v>0.53724050985161709</v>
      </c>
      <c r="Q75" s="94">
        <f t="shared" si="78"/>
        <v>0.56707756266885334</v>
      </c>
      <c r="R75" s="94">
        <f t="shared" si="78"/>
        <v>0.54161414670664443</v>
      </c>
      <c r="S75" s="94">
        <f t="shared" si="78"/>
        <v>0.5251601469170939</v>
      </c>
      <c r="T75" s="94">
        <f t="shared" si="78"/>
        <v>0.52354748873223889</v>
      </c>
      <c r="U75" s="94">
        <f t="shared" si="78"/>
        <v>0.49946242267008978</v>
      </c>
      <c r="V75" s="94">
        <f t="shared" si="78"/>
        <v>0.7809132345492098</v>
      </c>
      <c r="W75" s="94">
        <f t="shared" si="78"/>
        <v>0.60695927905357083</v>
      </c>
      <c r="X75" s="94">
        <f t="shared" ref="X75:Y75" si="79">IF(X13=0,0,X25/X65)</f>
        <v>0.44101161949459411</v>
      </c>
      <c r="Y75" s="94">
        <f t="shared" si="79"/>
        <v>0.40049286268878642</v>
      </c>
      <c r="DA75" s="178"/>
    </row>
    <row r="76" spans="1:105" x14ac:dyDescent="0.25">
      <c r="A76" s="50"/>
      <c r="B76" s="50"/>
      <c r="C76" s="50"/>
      <c r="D76" s="51"/>
      <c r="E76" s="51"/>
      <c r="F76" s="51"/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  <c r="DA76" s="181"/>
    </row>
    <row r="77" spans="1:105" ht="11.45" customHeight="1" x14ac:dyDescent="0.25">
      <c r="A77" s="52" t="s">
        <v>78</v>
      </c>
      <c r="B77" s="50"/>
      <c r="C77" s="50"/>
      <c r="D77" s="51"/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  <c r="DA77" s="181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Y5" formulaRange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DA59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323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Z1" s="49"/>
      <c r="AA1" s="49"/>
      <c r="AB1" s="49"/>
      <c r="AC1" s="49"/>
      <c r="AD1" s="49"/>
      <c r="AE1" s="49"/>
      <c r="AF1" s="49"/>
      <c r="DA1" s="170" t="s">
        <v>152</v>
      </c>
    </row>
    <row r="2" spans="1:105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DA2" s="181"/>
    </row>
    <row r="3" spans="1:105" ht="11.45" customHeight="1" x14ac:dyDescent="0.25">
      <c r="A3" s="53" t="s">
        <v>44</v>
      </c>
      <c r="B3" s="79">
        <f t="shared" ref="B3:C3" si="0">SUM(B4:B5)</f>
        <v>13882.458947039999</v>
      </c>
      <c r="C3" s="79">
        <f t="shared" si="0"/>
        <v>14008.630979520001</v>
      </c>
      <c r="D3" s="79">
        <f t="shared" ref="D3" si="1">SUM(D4:D5)</f>
        <v>13297.385933999998</v>
      </c>
      <c r="E3" s="79">
        <f t="shared" ref="E3" si="2">SUM(E4:E5)</f>
        <v>13944.366701999999</v>
      </c>
      <c r="F3" s="79">
        <f t="shared" ref="F3" si="3">SUM(F4:F5)</f>
        <v>15453.732672000004</v>
      </c>
      <c r="G3" s="79">
        <f t="shared" ref="G3" si="4">SUM(G4:G5)</f>
        <v>16465.214682000002</v>
      </c>
      <c r="H3" s="79">
        <f t="shared" ref="H3" si="5">SUM(H4:H5)</f>
        <v>17223.033491999999</v>
      </c>
      <c r="I3" s="79">
        <f t="shared" ref="I3" si="6">SUM(I4:I5)</f>
        <v>18120.297132000003</v>
      </c>
      <c r="J3" s="79">
        <f t="shared" ref="J3" si="7">SUM(J4:J5)</f>
        <v>17888.829462000002</v>
      </c>
      <c r="K3" s="79">
        <f t="shared" ref="K3" si="8">SUM(K4:K5)</f>
        <v>16306.675181999999</v>
      </c>
      <c r="L3" s="79">
        <f t="shared" ref="L3" si="9">SUM(L4:L5)</f>
        <v>16661.943017999998</v>
      </c>
      <c r="M3" s="79">
        <f t="shared" ref="M3" si="10">SUM(M4:M5)</f>
        <v>17762.346755999999</v>
      </c>
      <c r="N3" s="79">
        <f t="shared" ref="N3" si="11">SUM(N4:N5)</f>
        <v>16750.934675999997</v>
      </c>
      <c r="O3" s="79">
        <f t="shared" ref="O3" si="12">SUM(O4:O5)</f>
        <v>15882.138215999999</v>
      </c>
      <c r="P3" s="79">
        <f t="shared" ref="P3" si="13">SUM(P4:P5)</f>
        <v>16364.237904000001</v>
      </c>
      <c r="Q3" s="79">
        <f t="shared" ref="Q3" si="14">SUM(Q4:Q5)</f>
        <v>17420.041044000001</v>
      </c>
      <c r="R3" s="79">
        <f t="shared" ref="R3" si="15">SUM(R4:R5)</f>
        <v>18621.770454000001</v>
      </c>
      <c r="S3" s="79">
        <f t="shared" ref="S3" si="16">SUM(S4:S5)</f>
        <v>20299.118364000005</v>
      </c>
      <c r="T3" s="79">
        <f t="shared" ref="T3" si="17">SUM(T4:T5)</f>
        <v>21139.377714000002</v>
      </c>
      <c r="U3" s="79">
        <f t="shared" ref="U3" si="18">SUM(U4:U5)</f>
        <v>21881.272895999999</v>
      </c>
      <c r="V3" s="79">
        <f t="shared" ref="V3:W3" si="19">SUM(V4:V5)</f>
        <v>7631.8123140000025</v>
      </c>
      <c r="W3" s="79">
        <f t="shared" si="19"/>
        <v>10569.013169400001</v>
      </c>
      <c r="X3" s="79">
        <f t="shared" ref="X3:Y3" si="20">SUM(X4:X5)</f>
        <v>18573.566006519999</v>
      </c>
      <c r="Y3" s="79">
        <f t="shared" si="20"/>
        <v>20840.70118788</v>
      </c>
      <c r="DA3" s="172" t="s">
        <v>324</v>
      </c>
    </row>
    <row r="4" spans="1:105" ht="11.45" customHeight="1" x14ac:dyDescent="0.25">
      <c r="A4" s="95" t="s">
        <v>27</v>
      </c>
      <c r="B4" s="96">
        <f t="shared" ref="B4:C4" si="21">SUM(B7,B11)</f>
        <v>5514.7441370400011</v>
      </c>
      <c r="C4" s="96">
        <f t="shared" si="21"/>
        <v>5485.5474595200012</v>
      </c>
      <c r="D4" s="96">
        <f t="shared" ref="D4:V4" si="22">SUM(D7,D11)</f>
        <v>5100.8937839999999</v>
      </c>
      <c r="E4" s="96">
        <f t="shared" si="22"/>
        <v>5345.184221999999</v>
      </c>
      <c r="F4" s="96">
        <f t="shared" si="22"/>
        <v>5919.1671420000002</v>
      </c>
      <c r="G4" s="96">
        <f t="shared" si="22"/>
        <v>6898.9412519999987</v>
      </c>
      <c r="H4" s="96">
        <f t="shared" si="22"/>
        <v>7250.8989420000007</v>
      </c>
      <c r="I4" s="96">
        <f t="shared" si="22"/>
        <v>7631.3238120000005</v>
      </c>
      <c r="J4" s="96">
        <f t="shared" si="22"/>
        <v>7361.806662</v>
      </c>
      <c r="K4" s="96">
        <f t="shared" si="22"/>
        <v>6515.2756620000009</v>
      </c>
      <c r="L4" s="96">
        <f t="shared" si="22"/>
        <v>7263.721458</v>
      </c>
      <c r="M4" s="96">
        <f t="shared" si="22"/>
        <v>6512.3838359999991</v>
      </c>
      <c r="N4" s="96">
        <f t="shared" si="22"/>
        <v>5637.3157260000007</v>
      </c>
      <c r="O4" s="96">
        <f t="shared" si="22"/>
        <v>4803.3979559999998</v>
      </c>
      <c r="P4" s="96">
        <f t="shared" si="22"/>
        <v>5088.9086640000014</v>
      </c>
      <c r="Q4" s="96">
        <f t="shared" si="22"/>
        <v>5504.2122239999999</v>
      </c>
      <c r="R4" s="96">
        <f t="shared" si="22"/>
        <v>5989.3430939999998</v>
      </c>
      <c r="S4" s="96">
        <f t="shared" si="22"/>
        <v>6509.352654000003</v>
      </c>
      <c r="T4" s="96">
        <f t="shared" si="22"/>
        <v>6772.5282239999997</v>
      </c>
      <c r="U4" s="96">
        <f t="shared" si="22"/>
        <v>7159.2949259999996</v>
      </c>
      <c r="V4" s="96">
        <f t="shared" si="22"/>
        <v>2888.3104740000008</v>
      </c>
      <c r="W4" s="96">
        <f t="shared" ref="W4:Y4" si="23">SUM(W7,W11)</f>
        <v>5008.0500777600009</v>
      </c>
      <c r="X4" s="96">
        <f t="shared" si="23"/>
        <v>7538.4690004800004</v>
      </c>
      <c r="Y4" s="96">
        <f t="shared" si="23"/>
        <v>7961.9019767999989</v>
      </c>
      <c r="DA4" s="171" t="s">
        <v>325</v>
      </c>
    </row>
    <row r="5" spans="1:105" ht="11.45" customHeight="1" x14ac:dyDescent="0.25">
      <c r="A5" s="95" t="s">
        <v>116</v>
      </c>
      <c r="B5" s="96">
        <f t="shared" ref="B5:C5" si="24">SUM(B8:B9,B12:B13)</f>
        <v>8367.7148099999977</v>
      </c>
      <c r="C5" s="96">
        <f t="shared" si="24"/>
        <v>8523.0835200000001</v>
      </c>
      <c r="D5" s="96">
        <f t="shared" ref="D5:V5" si="25">SUM(D8:D9,D12:D13)</f>
        <v>8196.4921499999982</v>
      </c>
      <c r="E5" s="96">
        <f t="shared" si="25"/>
        <v>8599.1824800000013</v>
      </c>
      <c r="F5" s="96">
        <f t="shared" si="25"/>
        <v>9534.5655300000035</v>
      </c>
      <c r="G5" s="96">
        <f t="shared" si="25"/>
        <v>9566.2734300000029</v>
      </c>
      <c r="H5" s="96">
        <f t="shared" si="25"/>
        <v>9972.134549999997</v>
      </c>
      <c r="I5" s="96">
        <f t="shared" si="25"/>
        <v>10488.973320000003</v>
      </c>
      <c r="J5" s="96">
        <f t="shared" si="25"/>
        <v>10527.022800000002</v>
      </c>
      <c r="K5" s="96">
        <f t="shared" si="25"/>
        <v>9791.399519999999</v>
      </c>
      <c r="L5" s="96">
        <f t="shared" si="25"/>
        <v>9398.22156</v>
      </c>
      <c r="M5" s="96">
        <f t="shared" si="25"/>
        <v>11249.96292</v>
      </c>
      <c r="N5" s="96">
        <f t="shared" si="25"/>
        <v>11113.618949999998</v>
      </c>
      <c r="O5" s="96">
        <f t="shared" si="25"/>
        <v>11078.74026</v>
      </c>
      <c r="P5" s="96">
        <f t="shared" si="25"/>
        <v>11275.329240000001</v>
      </c>
      <c r="Q5" s="96">
        <f t="shared" si="25"/>
        <v>11915.828820000002</v>
      </c>
      <c r="R5" s="96">
        <f t="shared" si="25"/>
        <v>12632.427360000001</v>
      </c>
      <c r="S5" s="96">
        <f t="shared" si="25"/>
        <v>13789.765710000001</v>
      </c>
      <c r="T5" s="96">
        <f t="shared" si="25"/>
        <v>14366.849490000002</v>
      </c>
      <c r="U5" s="96">
        <f t="shared" si="25"/>
        <v>14721.977969999998</v>
      </c>
      <c r="V5" s="96">
        <f t="shared" si="25"/>
        <v>4743.5018400000017</v>
      </c>
      <c r="W5" s="96">
        <f t="shared" ref="W5:Y5" si="26">SUM(W8:W9,W12:W13)</f>
        <v>5560.9630916399992</v>
      </c>
      <c r="X5" s="96">
        <f t="shared" si="26"/>
        <v>11035.09700604</v>
      </c>
      <c r="Y5" s="96">
        <f t="shared" si="26"/>
        <v>12878.799211080001</v>
      </c>
      <c r="DA5" s="171" t="s">
        <v>326</v>
      </c>
    </row>
    <row r="6" spans="1:105" ht="11.45" customHeight="1" x14ac:dyDescent="0.25">
      <c r="A6" s="10" t="s">
        <v>33</v>
      </c>
      <c r="B6" s="21">
        <f t="shared" ref="B6:C6" si="27">SUM(B7:B9)</f>
        <v>13534.489239901748</v>
      </c>
      <c r="C6" s="21">
        <f t="shared" si="27"/>
        <v>13641.60624346953</v>
      </c>
      <c r="D6" s="21">
        <f t="shared" ref="D6:V6" si="28">SUM(D7:D9)</f>
        <v>12976.888745414226</v>
      </c>
      <c r="E6" s="21">
        <f t="shared" si="28"/>
        <v>13615.573406336593</v>
      </c>
      <c r="F6" s="21">
        <f t="shared" si="28"/>
        <v>15036.505693245437</v>
      </c>
      <c r="G6" s="21">
        <f t="shared" si="28"/>
        <v>16071.693737312404</v>
      </c>
      <c r="H6" s="21">
        <f t="shared" si="28"/>
        <v>16825.163244655581</v>
      </c>
      <c r="I6" s="21">
        <f t="shared" si="28"/>
        <v>17730.760539100713</v>
      </c>
      <c r="J6" s="21">
        <f t="shared" si="28"/>
        <v>17501.214685509072</v>
      </c>
      <c r="K6" s="21">
        <f t="shared" si="28"/>
        <v>15974.545332667531</v>
      </c>
      <c r="L6" s="21">
        <f t="shared" si="28"/>
        <v>16294.546833348621</v>
      </c>
      <c r="M6" s="21">
        <f t="shared" si="28"/>
        <v>17407.489598315304</v>
      </c>
      <c r="N6" s="21">
        <f t="shared" si="28"/>
        <v>16438.327603060032</v>
      </c>
      <c r="O6" s="21">
        <f t="shared" si="28"/>
        <v>15581.140592360223</v>
      </c>
      <c r="P6" s="21">
        <f t="shared" si="28"/>
        <v>16077.109632955935</v>
      </c>
      <c r="Q6" s="21">
        <f t="shared" si="28"/>
        <v>17100.822456001162</v>
      </c>
      <c r="R6" s="21">
        <f t="shared" si="28"/>
        <v>18315.428692702841</v>
      </c>
      <c r="S6" s="21">
        <f t="shared" si="28"/>
        <v>19912.174541044853</v>
      </c>
      <c r="T6" s="21">
        <f t="shared" si="28"/>
        <v>20725.598613900547</v>
      </c>
      <c r="U6" s="21">
        <f t="shared" si="28"/>
        <v>21499.487054609297</v>
      </c>
      <c r="V6" s="21">
        <f t="shared" si="28"/>
        <v>7305.8799920665979</v>
      </c>
      <c r="W6" s="21">
        <f t="shared" ref="W6:Y6" si="29">SUM(W7:W9)</f>
        <v>10222.510803519674</v>
      </c>
      <c r="X6" s="21">
        <f t="shared" si="29"/>
        <v>18212.873354705716</v>
      </c>
      <c r="Y6" s="21">
        <f t="shared" si="29"/>
        <v>20430.956683449269</v>
      </c>
      <c r="DA6" s="189" t="s">
        <v>327</v>
      </c>
    </row>
    <row r="7" spans="1:105" ht="11.45" customHeight="1" x14ac:dyDescent="0.25">
      <c r="A7" s="83" t="s">
        <v>27</v>
      </c>
      <c r="B7" s="96">
        <v>5353.2670071183675</v>
      </c>
      <c r="C7" s="96">
        <v>5318.6476163667612</v>
      </c>
      <c r="D7" s="96">
        <v>4947.6901013022016</v>
      </c>
      <c r="E7" s="96">
        <v>5212.3976673175266</v>
      </c>
      <c r="F7" s="96">
        <v>5741.0411607893075</v>
      </c>
      <c r="G7" s="96">
        <v>6715.4349353157613</v>
      </c>
      <c r="H7" s="96">
        <v>7065.6315580344517</v>
      </c>
      <c r="I7" s="96">
        <v>7453.5057165068856</v>
      </c>
      <c r="J7" s="96">
        <v>7188.8109711946672</v>
      </c>
      <c r="K7" s="96">
        <v>6378.7646102616518</v>
      </c>
      <c r="L7" s="96">
        <v>7121.1421523978561</v>
      </c>
      <c r="M7" s="96">
        <v>6401.6676206245656</v>
      </c>
      <c r="N7" s="96">
        <v>5541.6193854690937</v>
      </c>
      <c r="O7" s="96">
        <v>4714.571211217617</v>
      </c>
      <c r="P7" s="96">
        <v>5004.0684441729318</v>
      </c>
      <c r="Q7" s="96">
        <v>5421.7724918359472</v>
      </c>
      <c r="R7" s="96">
        <v>5910.9410375114512</v>
      </c>
      <c r="S7" s="96">
        <v>6420.0327696950162</v>
      </c>
      <c r="T7" s="96">
        <v>6692.5338658366709</v>
      </c>
      <c r="U7" s="96">
        <v>7088.2597166234</v>
      </c>
      <c r="V7" s="96">
        <v>2841.6583692068816</v>
      </c>
      <c r="W7" s="96">
        <v>4948.6026152507957</v>
      </c>
      <c r="X7" s="96">
        <v>7481.7444718692113</v>
      </c>
      <c r="Y7" s="96">
        <v>7907.9905554447041</v>
      </c>
      <c r="DA7" s="171" t="s">
        <v>328</v>
      </c>
    </row>
    <row r="8" spans="1:105" ht="11.45" customHeight="1" x14ac:dyDescent="0.25">
      <c r="A8" s="83" t="s">
        <v>181</v>
      </c>
      <c r="B8" s="96">
        <v>5001.2765783914074</v>
      </c>
      <c r="C8" s="96">
        <v>5628.2311201129796</v>
      </c>
      <c r="D8" s="96">
        <v>5056.5970658699262</v>
      </c>
      <c r="E8" s="96">
        <v>6084.9010830071284</v>
      </c>
      <c r="F8" s="96">
        <v>6454.3908458194337</v>
      </c>
      <c r="G8" s="96">
        <v>6524.0165945383806</v>
      </c>
      <c r="H8" s="96">
        <v>6855.2619612544204</v>
      </c>
      <c r="I8" s="96">
        <v>7267.3850680986943</v>
      </c>
      <c r="J8" s="96">
        <v>7218.1769598241262</v>
      </c>
      <c r="K8" s="96">
        <v>6536.0581456791951</v>
      </c>
      <c r="L8" s="96">
        <v>6211.424076727295</v>
      </c>
      <c r="M8" s="96">
        <v>7553.8277564642212</v>
      </c>
      <c r="N8" s="96">
        <v>7416.3093274234425</v>
      </c>
      <c r="O8" s="96">
        <v>7446.5245384577256</v>
      </c>
      <c r="P8" s="96">
        <v>7631.309476478219</v>
      </c>
      <c r="Q8" s="96">
        <v>8049.8463407992285</v>
      </c>
      <c r="R8" s="96">
        <v>8824.8389460651233</v>
      </c>
      <c r="S8" s="96">
        <v>9750.8459827752376</v>
      </c>
      <c r="T8" s="96">
        <v>10040.280061498228</v>
      </c>
      <c r="U8" s="96">
        <v>10202.957241154851</v>
      </c>
      <c r="V8" s="96">
        <v>2673.9806664330799</v>
      </c>
      <c r="W8" s="96">
        <v>3383.2600155450532</v>
      </c>
      <c r="X8" s="96">
        <v>7719.7134090384543</v>
      </c>
      <c r="Y8" s="96">
        <v>8968.500276083043</v>
      </c>
      <c r="DA8" s="171" t="s">
        <v>329</v>
      </c>
    </row>
    <row r="9" spans="1:105" ht="11.45" customHeight="1" x14ac:dyDescent="0.25">
      <c r="A9" s="83" t="s">
        <v>182</v>
      </c>
      <c r="B9" s="96">
        <v>3179.9456543919723</v>
      </c>
      <c r="C9" s="96">
        <v>2694.7275069897896</v>
      </c>
      <c r="D9" s="96">
        <v>2972.6015782420982</v>
      </c>
      <c r="E9" s="96">
        <v>2318.2746560119372</v>
      </c>
      <c r="F9" s="96">
        <v>2841.0736866366947</v>
      </c>
      <c r="G9" s="96">
        <v>2832.2422074582632</v>
      </c>
      <c r="H9" s="96">
        <v>2904.2697253667084</v>
      </c>
      <c r="I9" s="96">
        <v>3009.869754495131</v>
      </c>
      <c r="J9" s="96">
        <v>3094.2267544902788</v>
      </c>
      <c r="K9" s="96">
        <v>3059.7225767266837</v>
      </c>
      <c r="L9" s="96">
        <v>2961.98060422347</v>
      </c>
      <c r="M9" s="96">
        <v>3451.9942212265173</v>
      </c>
      <c r="N9" s="96">
        <v>3480.3988901674975</v>
      </c>
      <c r="O9" s="96">
        <v>3420.0448426848802</v>
      </c>
      <c r="P9" s="96">
        <v>3441.7317123047847</v>
      </c>
      <c r="Q9" s="96">
        <v>3629.2036233659869</v>
      </c>
      <c r="R9" s="96">
        <v>3579.6487091262661</v>
      </c>
      <c r="S9" s="96">
        <v>3741.2957885746009</v>
      </c>
      <c r="T9" s="96">
        <v>3992.7846865656456</v>
      </c>
      <c r="U9" s="96">
        <v>4208.2700968310446</v>
      </c>
      <c r="V9" s="96">
        <v>1790.2409564266361</v>
      </c>
      <c r="W9" s="96">
        <v>1890.6481727238242</v>
      </c>
      <c r="X9" s="96">
        <v>3011.4154737980498</v>
      </c>
      <c r="Y9" s="96">
        <v>3554.4658519215227</v>
      </c>
      <c r="DA9" s="171" t="s">
        <v>330</v>
      </c>
    </row>
    <row r="10" spans="1:105" ht="11.45" customHeight="1" x14ac:dyDescent="0.25">
      <c r="A10" s="12" t="s">
        <v>34</v>
      </c>
      <c r="B10" s="22">
        <f t="shared" ref="B10:C10" si="30">SUM(B11:B13)</f>
        <v>347.96970713825175</v>
      </c>
      <c r="C10" s="22">
        <f t="shared" si="30"/>
        <v>367.02473605047197</v>
      </c>
      <c r="D10" s="22">
        <f t="shared" ref="D10:V10" si="31">SUM(D11:D13)</f>
        <v>320.49718858577171</v>
      </c>
      <c r="E10" s="22">
        <f t="shared" si="31"/>
        <v>328.79329566340868</v>
      </c>
      <c r="F10" s="22">
        <f t="shared" si="31"/>
        <v>417.22697875456799</v>
      </c>
      <c r="G10" s="22">
        <f t="shared" si="31"/>
        <v>393.52094468759685</v>
      </c>
      <c r="H10" s="22">
        <f t="shared" si="31"/>
        <v>397.87024734441798</v>
      </c>
      <c r="I10" s="22">
        <f t="shared" si="31"/>
        <v>389.53659289929124</v>
      </c>
      <c r="J10" s="22">
        <f t="shared" si="31"/>
        <v>387.61477649093001</v>
      </c>
      <c r="K10" s="22">
        <f t="shared" si="31"/>
        <v>332.12984933247111</v>
      </c>
      <c r="L10" s="22">
        <f t="shared" si="31"/>
        <v>367.39618465137937</v>
      </c>
      <c r="M10" s="22">
        <f t="shared" si="31"/>
        <v>354.85715768469521</v>
      </c>
      <c r="N10" s="22">
        <f t="shared" si="31"/>
        <v>312.60707293996643</v>
      </c>
      <c r="O10" s="22">
        <f t="shared" si="31"/>
        <v>300.99762363977686</v>
      </c>
      <c r="P10" s="22">
        <f t="shared" si="31"/>
        <v>287.12827104406597</v>
      </c>
      <c r="Q10" s="22">
        <f t="shared" si="31"/>
        <v>319.21858799883876</v>
      </c>
      <c r="R10" s="22">
        <f t="shared" si="31"/>
        <v>306.34176129715945</v>
      </c>
      <c r="S10" s="22">
        <f t="shared" si="31"/>
        <v>386.94382295515055</v>
      </c>
      <c r="T10" s="22">
        <f t="shared" si="31"/>
        <v>413.77910009945856</v>
      </c>
      <c r="U10" s="22">
        <f t="shared" si="31"/>
        <v>381.78584139070301</v>
      </c>
      <c r="V10" s="22">
        <f t="shared" si="31"/>
        <v>325.93232193340407</v>
      </c>
      <c r="W10" s="22">
        <f t="shared" ref="W10:Y10" si="32">SUM(W11:W13)</f>
        <v>346.50236588032743</v>
      </c>
      <c r="X10" s="22">
        <f t="shared" si="32"/>
        <v>360.69265181428591</v>
      </c>
      <c r="Y10" s="22">
        <f t="shared" si="32"/>
        <v>409.74450443073022</v>
      </c>
      <c r="DA10" s="193" t="s">
        <v>331</v>
      </c>
    </row>
    <row r="11" spans="1:105" ht="11.45" customHeight="1" x14ac:dyDescent="0.25">
      <c r="A11" s="92" t="s">
        <v>27</v>
      </c>
      <c r="B11" s="97">
        <v>161.47712992163372</v>
      </c>
      <c r="C11" s="97">
        <v>166.89984315324014</v>
      </c>
      <c r="D11" s="97">
        <v>153.2036826977982</v>
      </c>
      <c r="E11" s="97">
        <v>132.78655468247234</v>
      </c>
      <c r="F11" s="97">
        <v>178.1259812106924</v>
      </c>
      <c r="G11" s="97">
        <v>183.50631668423728</v>
      </c>
      <c r="H11" s="97">
        <v>185.26738396554865</v>
      </c>
      <c r="I11" s="97">
        <v>177.81809549311507</v>
      </c>
      <c r="J11" s="97">
        <v>172.99569080533311</v>
      </c>
      <c r="K11" s="97">
        <v>136.51105173834955</v>
      </c>
      <c r="L11" s="97">
        <v>142.57930560214359</v>
      </c>
      <c r="M11" s="97">
        <v>110.71621537543332</v>
      </c>
      <c r="N11" s="97">
        <v>95.696340530907321</v>
      </c>
      <c r="O11" s="97">
        <v>88.826744782383216</v>
      </c>
      <c r="P11" s="97">
        <v>84.840219827069475</v>
      </c>
      <c r="Q11" s="97">
        <v>82.43973216405243</v>
      </c>
      <c r="R11" s="97">
        <v>78.402056488548197</v>
      </c>
      <c r="S11" s="97">
        <v>89.319884304986857</v>
      </c>
      <c r="T11" s="97">
        <v>79.994358163328926</v>
      </c>
      <c r="U11" s="97">
        <v>71.035209376599681</v>
      </c>
      <c r="V11" s="97">
        <v>46.652104793119157</v>
      </c>
      <c r="W11" s="97">
        <v>59.447462509204897</v>
      </c>
      <c r="X11" s="97">
        <v>56.724528610789477</v>
      </c>
      <c r="Y11" s="97">
        <v>53.91142135529514</v>
      </c>
      <c r="DA11" s="175" t="s">
        <v>332</v>
      </c>
    </row>
    <row r="12" spans="1:105" ht="11.45" customHeight="1" x14ac:dyDescent="0.25">
      <c r="A12" s="92" t="s">
        <v>181</v>
      </c>
      <c r="B12" s="97">
        <v>57.816903698179303</v>
      </c>
      <c r="C12" s="97">
        <v>60.488248934888219</v>
      </c>
      <c r="D12" s="97">
        <v>51.876606979300554</v>
      </c>
      <c r="E12" s="97">
        <v>57.776098617643555</v>
      </c>
      <c r="F12" s="97">
        <v>70.521901567944269</v>
      </c>
      <c r="G12" s="97">
        <v>64.131289996041588</v>
      </c>
      <c r="H12" s="97">
        <v>65.815001727400343</v>
      </c>
      <c r="I12" s="97">
        <v>55.715406055926479</v>
      </c>
      <c r="J12" s="97">
        <v>56.656903221864816</v>
      </c>
      <c r="K12" s="97">
        <v>53.26274582336638</v>
      </c>
      <c r="L12" s="97">
        <v>53.323105557102252</v>
      </c>
      <c r="M12" s="97">
        <v>56.260426750028678</v>
      </c>
      <c r="N12" s="97">
        <v>50.019499957618372</v>
      </c>
      <c r="O12" s="97">
        <v>49.044471373928509</v>
      </c>
      <c r="P12" s="97">
        <v>43.097964148904445</v>
      </c>
      <c r="Q12" s="97">
        <v>47.648845435956375</v>
      </c>
      <c r="R12" s="97">
        <v>43.442965482973811</v>
      </c>
      <c r="S12" s="97">
        <v>52.513839300917468</v>
      </c>
      <c r="T12" s="97">
        <v>53.680376315512987</v>
      </c>
      <c r="U12" s="97">
        <v>59.332483423950819</v>
      </c>
      <c r="V12" s="97">
        <v>52.766383887668518</v>
      </c>
      <c r="W12" s="97">
        <v>53.578766283974176</v>
      </c>
      <c r="X12" s="97">
        <v>65.971212308686162</v>
      </c>
      <c r="Y12" s="97">
        <v>63.700845816070711</v>
      </c>
      <c r="DA12" s="175" t="s">
        <v>333</v>
      </c>
    </row>
    <row r="13" spans="1:105" ht="11.45" customHeight="1" x14ac:dyDescent="0.25">
      <c r="A13" s="85" t="s">
        <v>182</v>
      </c>
      <c r="B13" s="98">
        <v>128.67567351843871</v>
      </c>
      <c r="C13" s="98">
        <v>139.63664396234361</v>
      </c>
      <c r="D13" s="98">
        <v>115.41689890867298</v>
      </c>
      <c r="E13" s="98">
        <v>138.23064236329276</v>
      </c>
      <c r="F13" s="98">
        <v>168.57909597593132</v>
      </c>
      <c r="G13" s="98">
        <v>145.88333800731803</v>
      </c>
      <c r="H13" s="98">
        <v>146.78786165146894</v>
      </c>
      <c r="I13" s="98">
        <v>156.00309135024972</v>
      </c>
      <c r="J13" s="98">
        <v>157.96218246373212</v>
      </c>
      <c r="K13" s="98">
        <v>142.35605177075519</v>
      </c>
      <c r="L13" s="98">
        <v>171.49377349213356</v>
      </c>
      <c r="M13" s="98">
        <v>187.8805155592332</v>
      </c>
      <c r="N13" s="98">
        <v>166.89123245144074</v>
      </c>
      <c r="O13" s="98">
        <v>163.12640748346513</v>
      </c>
      <c r="P13" s="98">
        <v>159.19008706809208</v>
      </c>
      <c r="Q13" s="98">
        <v>189.13001039882997</v>
      </c>
      <c r="R13" s="98">
        <v>184.49673932563741</v>
      </c>
      <c r="S13" s="98">
        <v>245.11009934924624</v>
      </c>
      <c r="T13" s="98">
        <v>280.10436562061665</v>
      </c>
      <c r="U13" s="98">
        <v>251.4181485901525</v>
      </c>
      <c r="V13" s="98">
        <v>226.51383325261639</v>
      </c>
      <c r="W13" s="98">
        <v>233.47613708714837</v>
      </c>
      <c r="X13" s="98">
        <v>237.99691089481024</v>
      </c>
      <c r="Y13" s="98">
        <v>292.13223725936433</v>
      </c>
      <c r="DA13" s="178" t="s">
        <v>334</v>
      </c>
    </row>
    <row r="14" spans="1:105" x14ac:dyDescent="0.25">
      <c r="A14" s="50"/>
      <c r="B14" s="50"/>
      <c r="C14" s="50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DA14" s="181"/>
    </row>
    <row r="15" spans="1:105" ht="11.45" customHeight="1" x14ac:dyDescent="0.25">
      <c r="A15" s="68" t="s">
        <v>36</v>
      </c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DA15" s="179"/>
    </row>
    <row r="16" spans="1:105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DA16" s="181"/>
    </row>
    <row r="17" spans="1:105" ht="11.45" customHeight="1" x14ac:dyDescent="0.25">
      <c r="A17" s="53" t="s">
        <v>48</v>
      </c>
      <c r="B17" s="79"/>
      <c r="C17" s="79"/>
      <c r="D17" s="79"/>
      <c r="E17" s="79"/>
      <c r="F17" s="79"/>
      <c r="G17" s="79"/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79"/>
      <c r="X17" s="79"/>
      <c r="Y17" s="79"/>
      <c r="DA17" s="172"/>
    </row>
    <row r="18" spans="1:105" ht="11.45" customHeight="1" x14ac:dyDescent="0.25">
      <c r="A18" s="99" t="s">
        <v>27</v>
      </c>
      <c r="B18" s="97">
        <f>IF(B4=0,0,B4/TrAvia_ene!B4)</f>
        <v>3.0098498133675653</v>
      </c>
      <c r="C18" s="97">
        <f>IF(C4=0,0,C4/TrAvia_ene!C4)</f>
        <v>3.0098011955818329</v>
      </c>
      <c r="D18" s="97">
        <f>IF(D4=0,0,D4/TrAvia_ene!D4)</f>
        <v>3.0096635877682747</v>
      </c>
      <c r="E18" s="97">
        <f>IF(E4=0,0,E4/TrAvia_ene!E4)</f>
        <v>3.0097878578196857</v>
      </c>
      <c r="F18" s="97">
        <f>IF(F4=0,0,F4/TrAvia_ene!F4)</f>
        <v>3.0098811961791783</v>
      </c>
      <c r="G18" s="97">
        <f>IF(G4=0,0,G4/TrAvia_ene!G4)</f>
        <v>3.0099419730275736</v>
      </c>
      <c r="H18" s="97">
        <f>IF(H4=0,0,H4/TrAvia_ene!H4)</f>
        <v>3.0099597961080242</v>
      </c>
      <c r="I18" s="97">
        <f>IF(I4=0,0,I4/TrAvia_ene!I4)</f>
        <v>3.0099440189842346</v>
      </c>
      <c r="J18" s="97">
        <f>IF(J4=0,0,J4/TrAvia_ene!J4)</f>
        <v>3.0099306513186042</v>
      </c>
      <c r="K18" s="97">
        <f>IF(K4=0,0,K4/TrAvia_ene!K4)</f>
        <v>3.0099203508950749</v>
      </c>
      <c r="L18" s="97">
        <f>IF(L4=0,0,L4/TrAvia_ene!L4)</f>
        <v>3.010030166067621</v>
      </c>
      <c r="M18" s="97">
        <f>IF(M4=0,0,M4/TrAvia_ene!M4)</f>
        <v>3.010075776779856</v>
      </c>
      <c r="N18" s="97">
        <f>IF(N4=0,0,N4/TrAvia_ene!N4)</f>
        <v>3.0100844833632667</v>
      </c>
      <c r="O18" s="97">
        <f>IF(O4=0,0,O4/TrAvia_ene!O4)</f>
        <v>3.010045473732784</v>
      </c>
      <c r="P18" s="97">
        <f>IF(P4=0,0,P4/TrAvia_ene!P4)</f>
        <v>3.010159835495072</v>
      </c>
      <c r="Q18" s="97">
        <f>IF(Q4=0,0,Q4/TrAvia_ene!Q4)</f>
        <v>3.0101250784046178</v>
      </c>
      <c r="R18" s="97">
        <f>IF(R4=0,0,R4/TrAvia_ene!R4)</f>
        <v>3.0101399912335416</v>
      </c>
      <c r="S18" s="97">
        <f>IF(S4=0,0,S4/TrAvia_ene!S4)</f>
        <v>3.0101535080346822</v>
      </c>
      <c r="T18" s="97">
        <f>IF(T4=0,0,T4/TrAvia_ene!T4)</f>
        <v>3.0101595578115936</v>
      </c>
      <c r="U18" s="97">
        <f>IF(U4=0,0,U4/TrAvia_ene!U4)</f>
        <v>3.010132252584508</v>
      </c>
      <c r="V18" s="97">
        <f>IF(V4=0,0,V4/TrAvia_ene!V4)</f>
        <v>3.0099583415280979</v>
      </c>
      <c r="W18" s="97">
        <f>IF(W4=0,0,W4/TrAvia_ene!W4)</f>
        <v>3.0100744608249439</v>
      </c>
      <c r="X18" s="97">
        <f>IF(X4=0,0,X4/TrAvia_ene!X4)</f>
        <v>3.0101678707495387</v>
      </c>
      <c r="Y18" s="97">
        <f>IF(Y4=0,0,Y4/TrAvia_ene!Y4)</f>
        <v>3.0101808610035587</v>
      </c>
      <c r="DA18" s="175"/>
    </row>
    <row r="19" spans="1:105" ht="11.45" customHeight="1" x14ac:dyDescent="0.25">
      <c r="A19" s="100" t="s">
        <v>116</v>
      </c>
      <c r="B19" s="98">
        <f>IF(B5=0,0,B5/TrAvia_ene!B5)</f>
        <v>3.0103092000000005</v>
      </c>
      <c r="C19" s="98">
        <f>IF(C5=0,0,C5/TrAvia_ene!C5)</f>
        <v>3.0103092</v>
      </c>
      <c r="D19" s="98">
        <f>IF(D5=0,0,D5/TrAvia_ene!D5)</f>
        <v>3.0103091999999991</v>
      </c>
      <c r="E19" s="98">
        <f>IF(E5=0,0,E5/TrAvia_ene!E5)</f>
        <v>3.0103092000000009</v>
      </c>
      <c r="F19" s="98">
        <f>IF(F5=0,0,F5/TrAvia_ene!F5)</f>
        <v>3.0103092000000014</v>
      </c>
      <c r="G19" s="98">
        <f>IF(G5=0,0,G5/TrAvia_ene!G5)</f>
        <v>3.0103091999999996</v>
      </c>
      <c r="H19" s="98">
        <f>IF(H5=0,0,H5/TrAvia_ene!H5)</f>
        <v>3.0103091999999996</v>
      </c>
      <c r="I19" s="98">
        <f>IF(I5=0,0,I5/TrAvia_ene!I5)</f>
        <v>3.0103092000000005</v>
      </c>
      <c r="J19" s="98">
        <f>IF(J5=0,0,J5/TrAvia_ene!J5)</f>
        <v>3.0103092000000018</v>
      </c>
      <c r="K19" s="98">
        <f>IF(K5=0,0,K5/TrAvia_ene!K5)</f>
        <v>3.0103091999999991</v>
      </c>
      <c r="L19" s="98">
        <f>IF(L5=0,0,L5/TrAvia_ene!L5)</f>
        <v>3.0103092000000005</v>
      </c>
      <c r="M19" s="98">
        <f>IF(M5=0,0,M5/TrAvia_ene!M5)</f>
        <v>3.0103092000000005</v>
      </c>
      <c r="N19" s="98">
        <f>IF(N5=0,0,N5/TrAvia_ene!N5)</f>
        <v>3.0103091999999991</v>
      </c>
      <c r="O19" s="98">
        <f>IF(O5=0,0,O5/TrAvia_ene!O5)</f>
        <v>3.0103092000000005</v>
      </c>
      <c r="P19" s="98">
        <f>IF(P5=0,0,P5/TrAvia_ene!P5)</f>
        <v>3.0103092000000009</v>
      </c>
      <c r="Q19" s="98">
        <f>IF(Q5=0,0,Q5/TrAvia_ene!Q5)</f>
        <v>3.0103092</v>
      </c>
      <c r="R19" s="98">
        <f>IF(R5=0,0,R5/TrAvia_ene!R5)</f>
        <v>3.0103092000000014</v>
      </c>
      <c r="S19" s="98">
        <f>IF(S5=0,0,S5/TrAvia_ene!S5)</f>
        <v>3.0103092000000005</v>
      </c>
      <c r="T19" s="98">
        <f>IF(T5=0,0,T5/TrAvia_ene!T5)</f>
        <v>3.0103092000000005</v>
      </c>
      <c r="U19" s="98">
        <f>IF(U5=0,0,U5/TrAvia_ene!U5)</f>
        <v>3.0103092</v>
      </c>
      <c r="V19" s="98">
        <f>IF(V5=0,0,V5/TrAvia_ene!V5)</f>
        <v>3.0103092</v>
      </c>
      <c r="W19" s="98">
        <f>IF(W5=0,0,W5/TrAvia_ene!W5)</f>
        <v>3.0103071042796827</v>
      </c>
      <c r="X19" s="98">
        <f>IF(X5=0,0,X5/TrAvia_ene!X5)</f>
        <v>3.0103089928838322</v>
      </c>
      <c r="Y19" s="98">
        <f>IF(Y5=0,0,Y5/TrAvia_ene!Y5)</f>
        <v>3.0102971403639005</v>
      </c>
      <c r="DA19" s="178"/>
    </row>
    <row r="20" spans="1:105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DA20" s="181"/>
    </row>
    <row r="21" spans="1:105" ht="11.45" customHeight="1" x14ac:dyDescent="0.25">
      <c r="A21" s="53" t="s">
        <v>129</v>
      </c>
      <c r="B21" s="54">
        <f>IF(B3=0,0,B3/TrAvia_act!B13*1000)</f>
        <v>13904.082359664979</v>
      </c>
      <c r="C21" s="54">
        <f>IF(C3=0,0,C3/TrAvia_act!C13*1000)</f>
        <v>15017.505963812529</v>
      </c>
      <c r="D21" s="54">
        <f>IF(D3=0,0,D3/TrAvia_act!D13*1000)</f>
        <v>13724.636458408722</v>
      </c>
      <c r="E21" s="54">
        <f>IF(E3=0,0,E3/TrAvia_act!E13*1000)</f>
        <v>14937.282387276378</v>
      </c>
      <c r="F21" s="54">
        <f>IF(F3=0,0,F3/TrAvia_act!F13*1000)</f>
        <v>14864.833000277265</v>
      </c>
      <c r="G21" s="54">
        <f>IF(G3=0,0,G3/TrAvia_act!G13*1000)</f>
        <v>14730.382749920584</v>
      </c>
      <c r="H21" s="54">
        <f>IF(H3=0,0,H3/TrAvia_act!H13*1000)</f>
        <v>14691.656342033772</v>
      </c>
      <c r="I21" s="54">
        <f>IF(I3=0,0,I3/TrAvia_act!I13*1000)</f>
        <v>14176.497418277919</v>
      </c>
      <c r="J21" s="54">
        <f>IF(J3=0,0,J3/TrAvia_act!J13*1000)</f>
        <v>13939.985937466108</v>
      </c>
      <c r="K21" s="54">
        <f>IF(K3=0,0,K3/TrAvia_act!K13*1000)</f>
        <v>14205.041057463044</v>
      </c>
      <c r="L21" s="54">
        <f>IF(L3=0,0,L3/TrAvia_act!L13*1000)</f>
        <v>14153.429974907833</v>
      </c>
      <c r="M21" s="54">
        <f>IF(M3=0,0,M3/TrAvia_act!M13*1000)</f>
        <v>14252.478576046939</v>
      </c>
      <c r="N21" s="54">
        <f>IF(N3=0,0,N3/TrAvia_act!N13*1000)</f>
        <v>14350.454620392075</v>
      </c>
      <c r="O21" s="54">
        <f>IF(O3=0,0,O3/TrAvia_act!O13*1000)</f>
        <v>13719.065496079407</v>
      </c>
      <c r="P21" s="54">
        <f>IF(P3=0,0,P3/TrAvia_act!P13*1000)</f>
        <v>13609.411494608845</v>
      </c>
      <c r="Q21" s="54">
        <f>IF(Q3=0,0,Q3/TrAvia_act!Q13*1000)</f>
        <v>14212.012697615626</v>
      </c>
      <c r="R21" s="54">
        <f>IF(R3=0,0,R3/TrAvia_act!R13*1000)</f>
        <v>13967.852133506858</v>
      </c>
      <c r="S21" s="54">
        <f>IF(S3=0,0,S3/TrAvia_act!S13*1000)</f>
        <v>14186.807003160582</v>
      </c>
      <c r="T21" s="54">
        <f>IF(T3=0,0,T3/TrAvia_act!T13*1000)</f>
        <v>14111.273255973216</v>
      </c>
      <c r="U21" s="54">
        <f>IF(U3=0,0,U3/TrAvia_act!U13*1000)</f>
        <v>14318.972366991777</v>
      </c>
      <c r="V21" s="54">
        <f>IF(V3=0,0,V3/TrAvia_act!V13*1000)</f>
        <v>14287.78074945749</v>
      </c>
      <c r="W21" s="54">
        <f>IF(W3=0,0,W3/TrAvia_act!W13*1000)</f>
        <v>13688.446235151938</v>
      </c>
      <c r="X21" s="54">
        <f>IF(X3=0,0,X3/TrAvia_act!X13*1000)</f>
        <v>13281.440820484886</v>
      </c>
      <c r="Y21" s="54">
        <f>IF(Y3=0,0,Y3/TrAvia_act!Y13*1000)</f>
        <v>13173.795588832541</v>
      </c>
      <c r="DA21" s="172" t="s">
        <v>335</v>
      </c>
    </row>
    <row r="22" spans="1:105" ht="11.45" customHeight="1" x14ac:dyDescent="0.25">
      <c r="A22" s="10" t="s">
        <v>33</v>
      </c>
      <c r="B22" s="11">
        <f>IF(B6=0,0,B6/TrAvia_act!B14*1000)</f>
        <v>13873.078523091908</v>
      </c>
      <c r="C22" s="11">
        <f>IF(C6=0,0,C6/TrAvia_act!C14*1000)</f>
        <v>14973.826777860213</v>
      </c>
      <c r="D22" s="11">
        <f>IF(D6=0,0,D6/TrAvia_act!D14*1000)</f>
        <v>13686.592411835607</v>
      </c>
      <c r="E22" s="11">
        <f>IF(E6=0,0,E6/TrAvia_act!E14*1000)</f>
        <v>14897.061014871178</v>
      </c>
      <c r="F22" s="11">
        <f>IF(F6=0,0,F6/TrAvia_act!F14*1000)</f>
        <v>14819.530759407829</v>
      </c>
      <c r="G22" s="11">
        <f>IF(G6=0,0,G6/TrAvia_act!G14*1000)</f>
        <v>14697.179102133518</v>
      </c>
      <c r="H22" s="11">
        <f>IF(H6=0,0,H6/TrAvia_act!H14*1000)</f>
        <v>14673.328139554611</v>
      </c>
      <c r="I22" s="11">
        <f>IF(I6=0,0,I6/TrAvia_act!I14*1000)</f>
        <v>14167.354980772685</v>
      </c>
      <c r="J22" s="11">
        <f>IF(J6=0,0,J6/TrAvia_act!J14*1000)</f>
        <v>13939.89564641367</v>
      </c>
      <c r="K22" s="11">
        <f>IF(K6=0,0,K6/TrAvia_act!K14*1000)</f>
        <v>14210.27925125711</v>
      </c>
      <c r="L22" s="11">
        <f>IF(L6=0,0,L6/TrAvia_act!L14*1000)</f>
        <v>14176.050470383409</v>
      </c>
      <c r="M22" s="11">
        <f>IF(M6=0,0,M6/TrAvia_act!M14*1000)</f>
        <v>14278.163820188967</v>
      </c>
      <c r="N22" s="11">
        <f>IF(N6=0,0,N6/TrAvia_act!N14*1000)</f>
        <v>14375.508819448252</v>
      </c>
      <c r="O22" s="11">
        <f>IF(O6=0,0,O6/TrAvia_act!O14*1000)</f>
        <v>13735.080785276872</v>
      </c>
      <c r="P22" s="11">
        <f>IF(P6=0,0,P6/TrAvia_act!P14*1000)</f>
        <v>13616.685982698917</v>
      </c>
      <c r="Q22" s="11">
        <f>IF(Q6=0,0,Q6/TrAvia_act!Q14*1000)</f>
        <v>14219.725906473966</v>
      </c>
      <c r="R22" s="11">
        <f>IF(R6=0,0,R6/TrAvia_act!R14*1000)</f>
        <v>13973.974291488603</v>
      </c>
      <c r="S22" s="11">
        <f>IF(S6=0,0,S6/TrAvia_act!S14*1000)</f>
        <v>14201.150363803796</v>
      </c>
      <c r="T22" s="11">
        <f>IF(T6=0,0,T6/TrAvia_act!T14*1000)</f>
        <v>14128.806638448792</v>
      </c>
      <c r="U22" s="11">
        <f>IF(U6=0,0,U6/TrAvia_act!U14*1000)</f>
        <v>14352.773802331838</v>
      </c>
      <c r="V22" s="11">
        <f>IF(V6=0,0,V6/TrAvia_act!V14*1000)</f>
        <v>14287.396241103916</v>
      </c>
      <c r="W22" s="11">
        <f>IF(W6=0,0,W6/TrAvia_act!W14*1000)</f>
        <v>13755.327224648539</v>
      </c>
      <c r="X22" s="11">
        <f>IF(X6=0,0,X6/TrAvia_act!X14*1000)</f>
        <v>13346.471206836786</v>
      </c>
      <c r="Y22" s="11">
        <f>IF(Y6=0,0,Y6/TrAvia_act!Y14*1000)</f>
        <v>13246.996882394424</v>
      </c>
      <c r="DA22" s="189" t="s">
        <v>336</v>
      </c>
    </row>
    <row r="23" spans="1:105" ht="11.25" customHeight="1" x14ac:dyDescent="0.25">
      <c r="A23" s="83" t="s">
        <v>27</v>
      </c>
      <c r="B23" s="84">
        <f>IF(B7=0,0,B7/TrAvia_act!B15*1000)</f>
        <v>20636.575853340779</v>
      </c>
      <c r="C23" s="84">
        <f>IF(C7=0,0,C7/TrAvia_act!C15*1000)</f>
        <v>22405.064612197206</v>
      </c>
      <c r="D23" s="84">
        <f>IF(D7=0,0,D7/TrAvia_act!D15*1000)</f>
        <v>21972.318404617454</v>
      </c>
      <c r="E23" s="84">
        <f>IF(E7=0,0,E7/TrAvia_act!E15*1000)</f>
        <v>22564.980710056025</v>
      </c>
      <c r="F23" s="84">
        <f>IF(F7=0,0,F7/TrAvia_act!F15*1000)</f>
        <v>22355.394551001369</v>
      </c>
      <c r="G23" s="84">
        <f>IF(G7=0,0,G7/TrAvia_act!G15*1000)</f>
        <v>23293.17165679561</v>
      </c>
      <c r="H23" s="84">
        <f>IF(H7=0,0,H7/TrAvia_act!H15*1000)</f>
        <v>23361.471853993811</v>
      </c>
      <c r="I23" s="84">
        <f>IF(I7=0,0,I7/TrAvia_act!I15*1000)</f>
        <v>23263.161886439109</v>
      </c>
      <c r="J23" s="84">
        <f>IF(J7=0,0,J7/TrAvia_act!J15*1000)</f>
        <v>23516.77499639037</v>
      </c>
      <c r="K23" s="84">
        <f>IF(K7=0,0,K7/TrAvia_act!K15*1000)</f>
        <v>23715.240109634527</v>
      </c>
      <c r="L23" s="84">
        <f>IF(L7=0,0,L7/TrAvia_act!L15*1000)</f>
        <v>26908.442945791736</v>
      </c>
      <c r="M23" s="84">
        <f>IF(M7=0,0,M7/TrAvia_act!M15*1000)</f>
        <v>25003.329380546551</v>
      </c>
      <c r="N23" s="84">
        <f>IF(N7=0,0,N7/TrAvia_act!N15*1000)</f>
        <v>26401.044262898653</v>
      </c>
      <c r="O23" s="84">
        <f>IF(O7=0,0,O7/TrAvia_act!O15*1000)</f>
        <v>26154.394191373023</v>
      </c>
      <c r="P23" s="84">
        <f>IF(P7=0,0,P7/TrAvia_act!P15*1000)</f>
        <v>27381.357541800829</v>
      </c>
      <c r="Q23" s="84">
        <f>IF(Q7=0,0,Q7/TrAvia_act!Q15*1000)</f>
        <v>28750.680160979588</v>
      </c>
      <c r="R23" s="84">
        <f>IF(R7=0,0,R7/TrAvia_act!R15*1000)</f>
        <v>29787.467740494765</v>
      </c>
      <c r="S23" s="84">
        <f>IF(S7=0,0,S7/TrAvia_act!S15*1000)</f>
        <v>30828.689915294624</v>
      </c>
      <c r="T23" s="84">
        <f>IF(T7=0,0,T7/TrAvia_act!T15*1000)</f>
        <v>29238.442124483645</v>
      </c>
      <c r="U23" s="84">
        <f>IF(U7=0,0,U7/TrAvia_act!U15*1000)</f>
        <v>29273.013788750322</v>
      </c>
      <c r="V23" s="84">
        <f>IF(V7=0,0,V7/TrAvia_act!V15*1000)</f>
        <v>23913.390557266583</v>
      </c>
      <c r="W23" s="84">
        <f>IF(W7=0,0,W7/TrAvia_act!W15*1000)</f>
        <v>28512.873555862061</v>
      </c>
      <c r="X23" s="84">
        <f>IF(X7=0,0,X7/TrAvia_act!X15*1000)</f>
        <v>30540.64281720313</v>
      </c>
      <c r="Y23" s="84">
        <f>IF(Y7=0,0,Y7/TrAvia_act!Y15*1000)</f>
        <v>30140.341295973289</v>
      </c>
      <c r="DA23" s="171" t="s">
        <v>337</v>
      </c>
    </row>
    <row r="24" spans="1:105" ht="11.45" customHeight="1" x14ac:dyDescent="0.25">
      <c r="A24" s="83" t="s">
        <v>181</v>
      </c>
      <c r="B24" s="84">
        <f>IF(B8=0,0,B8/TrAvia_act!B16*1000)</f>
        <v>9414.6767710405929</v>
      </c>
      <c r="C24" s="84">
        <f>IF(C8=0,0,C8/TrAvia_act!C16*1000)</f>
        <v>10549.118142617011</v>
      </c>
      <c r="D24" s="84">
        <f>IF(D8=0,0,D8/TrAvia_act!D16*1000)</f>
        <v>9251.7160026391648</v>
      </c>
      <c r="E24" s="84">
        <f>IF(E8=0,0,E8/TrAvia_act!E16*1000)</f>
        <v>10779.126235255228</v>
      </c>
      <c r="F24" s="84">
        <f>IF(F8=0,0,F8/TrAvia_act!F16*1000)</f>
        <v>10581.334752078019</v>
      </c>
      <c r="G24" s="84">
        <f>IF(G8=0,0,G8/TrAvia_act!G16*1000)</f>
        <v>10212.559874046836</v>
      </c>
      <c r="H24" s="84">
        <f>IF(H8=0,0,H8/TrAvia_act!H16*1000)</f>
        <v>10472.039209851015</v>
      </c>
      <c r="I24" s="84">
        <f>IF(I8=0,0,I8/TrAvia_act!I16*1000)</f>
        <v>10182.283317221558</v>
      </c>
      <c r="J24" s="84">
        <f>IF(J8=0,0,J8/TrAvia_act!J16*1000)</f>
        <v>10127.540609525497</v>
      </c>
      <c r="K24" s="84">
        <f>IF(K8=0,0,K8/TrAvia_act!K16*1000)</f>
        <v>10308.32045344592</v>
      </c>
      <c r="L24" s="84">
        <f>IF(L8=0,0,L8/TrAvia_act!L16*1000)</f>
        <v>9503.0330665376205</v>
      </c>
      <c r="M24" s="84">
        <f>IF(M8=0,0,M8/TrAvia_act!M16*1000)</f>
        <v>10624.19119548106</v>
      </c>
      <c r="N24" s="84">
        <f>IF(N8=0,0,N8/TrAvia_act!N16*1000)</f>
        <v>10793.293358270619</v>
      </c>
      <c r="O24" s="84">
        <f>IF(O8=0,0,O8/TrAvia_act!O16*1000)</f>
        <v>10618.551598723776</v>
      </c>
      <c r="P24" s="84">
        <f>IF(P8=0,0,P8/TrAvia_act!P16*1000)</f>
        <v>10329.273562942437</v>
      </c>
      <c r="Q24" s="84">
        <f>IF(Q8=0,0,Q8/TrAvia_act!Q16*1000)</f>
        <v>10658.016989239555</v>
      </c>
      <c r="R24" s="84">
        <f>IF(R8=0,0,R8/TrAvia_act!R16*1000)</f>
        <v>10443.70835767411</v>
      </c>
      <c r="S24" s="84">
        <f>IF(S8=0,0,S8/TrAvia_act!S16*1000)</f>
        <v>10761.772150483683</v>
      </c>
      <c r="T24" s="84">
        <f>IF(T8=0,0,T8/TrAvia_act!T16*1000)</f>
        <v>10817.099984940483</v>
      </c>
      <c r="U24" s="84">
        <f>IF(U8=0,0,U8/TrAvia_act!U16*1000)</f>
        <v>11112.484564332561</v>
      </c>
      <c r="V24" s="84">
        <f>IF(V8=0,0,V8/TrAvia_act!V16*1000)</f>
        <v>8837.5904212423211</v>
      </c>
      <c r="W24" s="84">
        <f>IF(W8=0,0,W8/TrAvia_act!W16*1000)</f>
        <v>7559.9983725393759</v>
      </c>
      <c r="X24" s="84">
        <f>IF(X8=0,0,X8/TrAvia_act!X16*1000)</f>
        <v>9060.5704063671546</v>
      </c>
      <c r="Y24" s="84">
        <f>IF(Y8=0,0,Y8/TrAvia_act!Y16*1000)</f>
        <v>9616.5392684120143</v>
      </c>
      <c r="DA24" s="171" t="s">
        <v>338</v>
      </c>
    </row>
    <row r="25" spans="1:105" ht="11.45" customHeight="1" x14ac:dyDescent="0.25">
      <c r="A25" s="83" t="s">
        <v>182</v>
      </c>
      <c r="B25" s="84">
        <f>IF(B9=0,0,B9/TrAvia_act!B17*1000)</f>
        <v>17192.076504246736</v>
      </c>
      <c r="C25" s="84">
        <f>IF(C9=0,0,C9/TrAvia_act!C17*1000)</f>
        <v>19231.859943654115</v>
      </c>
      <c r="D25" s="84">
        <f>IF(D9=0,0,D9/TrAvia_act!D17*1000)</f>
        <v>16850.52943674268</v>
      </c>
      <c r="E25" s="84">
        <f>IF(E9=0,0,E9/TrAvia_act!E17*1000)</f>
        <v>19567.737739361371</v>
      </c>
      <c r="F25" s="84">
        <f>IF(F9=0,0,F9/TrAvia_act!F17*1000)</f>
        <v>19215.348887681532</v>
      </c>
      <c r="G25" s="84">
        <f>IF(G9=0,0,G9/TrAvia_act!G17*1000)</f>
        <v>17020.797521149721</v>
      </c>
      <c r="H25" s="84">
        <f>IF(H9=0,0,H9/TrAvia_act!H17*1000)</f>
        <v>15319.812618335452</v>
      </c>
      <c r="I25" s="84">
        <f>IF(I9=0,0,I9/TrAvia_act!I17*1000)</f>
        <v>13845.206960807353</v>
      </c>
      <c r="J25" s="84">
        <f>IF(J9=0,0,J9/TrAvia_act!J17*1000)</f>
        <v>13052.473273110136</v>
      </c>
      <c r="K25" s="84">
        <f>IF(K9=0,0,K9/TrAvia_act!K17*1000)</f>
        <v>13837.107360199467</v>
      </c>
      <c r="L25" s="84">
        <f>IF(L9=0,0,L9/TrAvia_act!L17*1000)</f>
        <v>12812.826155038005</v>
      </c>
      <c r="M25" s="84">
        <f>IF(M9=0,0,M9/TrAvia_act!M17*1000)</f>
        <v>13691.141264118301</v>
      </c>
      <c r="N25" s="84">
        <f>IF(N9=0,0,N9/TrAvia_act!N17*1000)</f>
        <v>14120.87873893844</v>
      </c>
      <c r="O25" s="84">
        <f>IF(O9=0,0,O9/TrAvia_act!O17*1000)</f>
        <v>13524.886029637943</v>
      </c>
      <c r="P25" s="84">
        <f>IF(P9=0,0,P9/TrAvia_act!P17*1000)</f>
        <v>13281.711370412831</v>
      </c>
      <c r="Q25" s="84">
        <f>IF(Q9=0,0,Q9/TrAvia_act!Q17*1000)</f>
        <v>14026.006731703819</v>
      </c>
      <c r="R25" s="84">
        <f>IF(R9=0,0,R9/TrAvia_act!R17*1000)</f>
        <v>13394.216164958327</v>
      </c>
      <c r="S25" s="84">
        <f>IF(S9=0,0,S9/TrAvia_act!S17*1000)</f>
        <v>12997.815300389409</v>
      </c>
      <c r="T25" s="84">
        <f>IF(T9=0,0,T9/TrAvia_act!T17*1000)</f>
        <v>12887.319894738772</v>
      </c>
      <c r="U25" s="84">
        <f>IF(U9=0,0,U9/TrAvia_act!U17*1000)</f>
        <v>12463.89849961182</v>
      </c>
      <c r="V25" s="84">
        <f>IF(V9=0,0,V9/TrAvia_act!V17*1000)</f>
        <v>19902.366773109359</v>
      </c>
      <c r="W25" s="84">
        <f>IF(W9=0,0,W9/TrAvia_act!W17*1000)</f>
        <v>15485.773880835397</v>
      </c>
      <c r="X25" s="84">
        <f>IF(X9=0,0,X9/TrAvia_act!X17*1000)</f>
        <v>11252.059712605949</v>
      </c>
      <c r="Y25" s="84">
        <f>IF(Y9=0,0,Y9/TrAvia_act!Y17*1000)</f>
        <v>10233.855228576651</v>
      </c>
      <c r="DA25" s="171" t="s">
        <v>339</v>
      </c>
    </row>
    <row r="26" spans="1:105" ht="11.45" customHeight="1" x14ac:dyDescent="0.25">
      <c r="A26" s="12" t="s">
        <v>34</v>
      </c>
      <c r="B26" s="13">
        <f>IF(B10=0,0,B10/TrAvia_act!B18*1000)</f>
        <v>15227.749380694029</v>
      </c>
      <c r="C26" s="13">
        <f>IF(C10=0,0,C10/TrAvia_act!C18*1000)</f>
        <v>16843.711712114415</v>
      </c>
      <c r="D26" s="13">
        <f>IF(D10=0,0,D10/TrAvia_act!D18*1000)</f>
        <v>15465.215291570741</v>
      </c>
      <c r="E26" s="13">
        <f>IF(E10=0,0,E10/TrAvia_act!E18*1000)</f>
        <v>16817.610119325149</v>
      </c>
      <c r="F26" s="13">
        <f>IF(F10=0,0,F10/TrAvia_act!F18*1000)</f>
        <v>16705.233406173451</v>
      </c>
      <c r="G26" s="13">
        <f>IF(G10=0,0,G10/TrAvia_act!G18*1000)</f>
        <v>16227.6572711304</v>
      </c>
      <c r="H26" s="13">
        <f>IF(H10=0,0,H10/TrAvia_act!H18*1000)</f>
        <v>15510.965678382972</v>
      </c>
      <c r="I26" s="13">
        <f>IF(I10=0,0,I10/TrAvia_act!I18*1000)</f>
        <v>14605.509007785764</v>
      </c>
      <c r="J26" s="13">
        <f>IF(J10=0,0,J10/TrAvia_act!J18*1000)</f>
        <v>13944.063892420829</v>
      </c>
      <c r="K26" s="13">
        <f>IF(K10=0,0,K10/TrAvia_act!K18*1000)</f>
        <v>13957.578427773347</v>
      </c>
      <c r="L26" s="13">
        <f>IF(L10=0,0,L10/TrAvia_act!L18*1000)</f>
        <v>13217.981950618132</v>
      </c>
      <c r="M26" s="13">
        <f>IF(M10=0,0,M10/TrAvia_act!M18*1000)</f>
        <v>13096.746091847237</v>
      </c>
      <c r="N26" s="13">
        <f>IF(N10=0,0,N10/TrAvia_act!N18*1000)</f>
        <v>13145.696833947244</v>
      </c>
      <c r="O26" s="13">
        <f>IF(O10=0,0,O10/TrAvia_act!O18*1000)</f>
        <v>12938.136624079709</v>
      </c>
      <c r="P26" s="13">
        <f>IF(P10=0,0,P10/TrAvia_act!P18*1000)</f>
        <v>13214.134308625353</v>
      </c>
      <c r="Q26" s="13">
        <f>IF(Q10=0,0,Q10/TrAvia_act!Q18*1000)</f>
        <v>13810.695076997912</v>
      </c>
      <c r="R26" s="13">
        <f>IF(R10=0,0,R10/TrAvia_act!R18*1000)</f>
        <v>13611.322366393804</v>
      </c>
      <c r="S26" s="13">
        <f>IF(S10=0,0,S10/TrAvia_act!S18*1000)</f>
        <v>13485.872844093825</v>
      </c>
      <c r="T26" s="13">
        <f>IF(T10=0,0,T10/TrAvia_act!T18*1000)</f>
        <v>13285.47162986174</v>
      </c>
      <c r="U26" s="13">
        <f>IF(U10=0,0,U10/TrAvia_act!U18*1000)</f>
        <v>12642.349536792197</v>
      </c>
      <c r="V26" s="13">
        <f>IF(V10=0,0,V10/TrAvia_act!V18*1000)</f>
        <v>14296.405065006742</v>
      </c>
      <c r="W26" s="13">
        <f>IF(W10=0,0,W10/TrAvia_act!W18*1000)</f>
        <v>11971.240627926281</v>
      </c>
      <c r="X26" s="13">
        <f>IF(X10=0,0,X10/TrAvia_act!X18*1000)</f>
        <v>10658.991184829727</v>
      </c>
      <c r="Y26" s="13">
        <f>IF(Y10=0,0,Y10/TrAvia_act!Y18*1000)</f>
        <v>10328.054378908315</v>
      </c>
      <c r="DA26" s="193" t="s">
        <v>340</v>
      </c>
    </row>
    <row r="27" spans="1:105" ht="11.45" customHeight="1" x14ac:dyDescent="0.25">
      <c r="A27" s="92" t="s">
        <v>27</v>
      </c>
      <c r="B27" s="102">
        <f>IF(B11=0,0,B11/TrAvia_act!B19*1000)</f>
        <v>20045.806228292928</v>
      </c>
      <c r="C27" s="102">
        <f>IF(C11=0,0,C11/TrAvia_act!C19*1000)</f>
        <v>21763.667913724192</v>
      </c>
      <c r="D27" s="102">
        <f>IF(D11=0,0,D11/TrAvia_act!D19*1000)</f>
        <v>21343.310065366906</v>
      </c>
      <c r="E27" s="102">
        <f>IF(E11=0,0,E11/TrAvia_act!E19*1000)</f>
        <v>21919.006044102236</v>
      </c>
      <c r="F27" s="102">
        <f>IF(F11=0,0,F11/TrAvia_act!F19*1000)</f>
        <v>21715.41977269754</v>
      </c>
      <c r="G27" s="102">
        <f>IF(G11=0,0,G11/TrAvia_act!G19*1000)</f>
        <v>22643.376831256439</v>
      </c>
      <c r="H27" s="102">
        <f>IF(H11=0,0,H11/TrAvia_act!H19*1000)</f>
        <v>22471.113668077011</v>
      </c>
      <c r="I27" s="102">
        <f>IF(I11=0,0,I11/TrAvia_act!I19*1000)</f>
        <v>22155.186927446888</v>
      </c>
      <c r="J27" s="102">
        <f>IF(J11=0,0,J11/TrAvia_act!J19*1000)</f>
        <v>22162.987400095375</v>
      </c>
      <c r="K27" s="102">
        <f>IF(K11=0,0,K11/TrAvia_act!K19*1000)</f>
        <v>22096.295746304848</v>
      </c>
      <c r="L27" s="102">
        <f>IF(L11=0,0,L11/TrAvia_act!L19*1000)</f>
        <v>24857.286577796884</v>
      </c>
      <c r="M27" s="102">
        <f>IF(M11=0,0,M11/TrAvia_act!M19*1000)</f>
        <v>23257.094165316401</v>
      </c>
      <c r="N27" s="102">
        <f>IF(N11=0,0,N11/TrAvia_act!N19*1000)</f>
        <v>24711.417560705664</v>
      </c>
      <c r="O27" s="102">
        <f>IF(O11=0,0,O11/TrAvia_act!O19*1000)</f>
        <v>24420.315861003644</v>
      </c>
      <c r="P27" s="102">
        <f>IF(P11=0,0,P11/TrAvia_act!P19*1000)</f>
        <v>25413.727286060253</v>
      </c>
      <c r="Q27" s="102">
        <f>IF(Q11=0,0,Q11/TrAvia_act!Q19*1000)</f>
        <v>26570.132685492972</v>
      </c>
      <c r="R27" s="102">
        <f>IF(R11=0,0,R11/TrAvia_act!R19*1000)</f>
        <v>27466.494639634533</v>
      </c>
      <c r="S27" s="102">
        <f>IF(S11=0,0,S11/TrAvia_act!S19*1000)</f>
        <v>28273.855516861971</v>
      </c>
      <c r="T27" s="102">
        <f>IF(T11=0,0,T11/TrAvia_act!T19*1000)</f>
        <v>26630.557903855031</v>
      </c>
      <c r="U27" s="102">
        <f>IF(U11=0,0,U11/TrAvia_act!U19*1000)</f>
        <v>26627.875949440724</v>
      </c>
      <c r="V27" s="102">
        <f>IF(V11=0,0,V11/TrAvia_act!V19*1000)</f>
        <v>22565.48899015097</v>
      </c>
      <c r="W27" s="102">
        <f>IF(W11=0,0,W11/TrAvia_act!W19*1000)</f>
        <v>28575.508251974163</v>
      </c>
      <c r="X27" s="102">
        <f>IF(X11=0,0,X11/TrAvia_act!X19*1000)</f>
        <v>38401.966609828734</v>
      </c>
      <c r="Y27" s="102">
        <f>IF(Y11=0,0,Y11/TrAvia_act!Y19*1000)</f>
        <v>36612.014762404688</v>
      </c>
      <c r="DA27" s="175" t="s">
        <v>341</v>
      </c>
    </row>
    <row r="28" spans="1:105" ht="11.45" customHeight="1" x14ac:dyDescent="0.25">
      <c r="A28" s="92" t="s">
        <v>181</v>
      </c>
      <c r="B28" s="102">
        <f>IF(B12=0,0,B12/TrAvia_act!B20*1000)</f>
        <v>8522.5865643956877</v>
      </c>
      <c r="C28" s="102">
        <f>IF(C12=0,0,C12/TrAvia_act!C20*1000)</f>
        <v>9526.7799104389251</v>
      </c>
      <c r="D28" s="102">
        <f>IF(D12=0,0,D12/TrAvia_act!D20*1000)</f>
        <v>8348.4935764991023</v>
      </c>
      <c r="E28" s="102">
        <f>IF(E12=0,0,E12/TrAvia_act!E20*1000)</f>
        <v>9741.6935508584411</v>
      </c>
      <c r="F28" s="102">
        <f>IF(F12=0,0,F12/TrAvia_act!F20*1000)</f>
        <v>9553.0574659151007</v>
      </c>
      <c r="G28" s="102">
        <f>IF(G12=0,0,G12/TrAvia_act!G20*1000)</f>
        <v>9198.9715904247914</v>
      </c>
      <c r="H28" s="102">
        <f>IF(H12=0,0,H12/TrAvia_act!H20*1000)</f>
        <v>9444.3879494936245</v>
      </c>
      <c r="I28" s="102">
        <f>IF(I12=0,0,I12/TrAvia_act!I20*1000)</f>
        <v>9076.6928609864553</v>
      </c>
      <c r="J28" s="102">
        <f>IF(J12=0,0,J12/TrAvia_act!J20*1000)</f>
        <v>8990.4424737136978</v>
      </c>
      <c r="K28" s="102">
        <f>IF(K12=0,0,K12/TrAvia_act!K20*1000)</f>
        <v>9266.5400638523461</v>
      </c>
      <c r="L28" s="102">
        <f>IF(L12=0,0,L12/TrAvia_act!L20*1000)</f>
        <v>8453.7500897989139</v>
      </c>
      <c r="M28" s="102">
        <f>IF(M12=0,0,M12/TrAvia_act!M20*1000)</f>
        <v>9247.4275319284752</v>
      </c>
      <c r="N28" s="102">
        <f>IF(N12=0,0,N12/TrAvia_act!N20*1000)</f>
        <v>9486.3461070747981</v>
      </c>
      <c r="O28" s="102">
        <f>IF(O12=0,0,O12/TrAvia_act!O20*1000)</f>
        <v>9189.8195021814463</v>
      </c>
      <c r="P28" s="102">
        <f>IF(P12=0,0,P12/TrAvia_act!P20*1000)</f>
        <v>8768.3335197393208</v>
      </c>
      <c r="Q28" s="102">
        <f>IF(Q12=0,0,Q12/TrAvia_act!Q20*1000)</f>
        <v>9086.0521463715068</v>
      </c>
      <c r="R28" s="102">
        <f>IF(R12=0,0,R12/TrAvia_act!R20*1000)</f>
        <v>8791.0830102322307</v>
      </c>
      <c r="S28" s="102">
        <f>IF(S12=0,0,S12/TrAvia_act!S20*1000)</f>
        <v>8942.2826679937734</v>
      </c>
      <c r="T28" s="102">
        <f>IF(T12=0,0,T12/TrAvia_act!T20*1000)</f>
        <v>9039.233334609673</v>
      </c>
      <c r="U28" s="102">
        <f>IF(U12=0,0,U12/TrAvia_act!U20*1000)</f>
        <v>9304.5868695319532</v>
      </c>
      <c r="V28" s="102">
        <f>IF(V12=0,0,V12/TrAvia_act!V20*1000)</f>
        <v>8062.4234701166397</v>
      </c>
      <c r="W28" s="102">
        <f>IF(W12=0,0,W12/TrAvia_act!W20*1000)</f>
        <v>6933.0012819914164</v>
      </c>
      <c r="X28" s="102">
        <f>IF(X12=0,0,X12/TrAvia_act!X20*1000)</f>
        <v>7802.2217349064367</v>
      </c>
      <c r="Y28" s="102">
        <f>IF(Y12=0,0,Y12/TrAvia_act!Y20*1000)</f>
        <v>8346.3310844145544</v>
      </c>
      <c r="DA28" s="175" t="s">
        <v>342</v>
      </c>
    </row>
    <row r="29" spans="1:105" ht="11.45" customHeight="1" x14ac:dyDescent="0.25">
      <c r="A29" s="85" t="s">
        <v>182</v>
      </c>
      <c r="B29" s="86">
        <f>IF(B13=0,0,B13/TrAvia_act!B21*1000)</f>
        <v>16061.055173555524</v>
      </c>
      <c r="C29" s="86">
        <f>IF(C13=0,0,C13/TrAvia_act!C21*1000)</f>
        <v>17966.646644971686</v>
      </c>
      <c r="D29" s="86">
        <f>IF(D13=0,0,D13/TrAvia_act!D21*1000)</f>
        <v>15741.977586028872</v>
      </c>
      <c r="E29" s="86">
        <f>IF(E13=0,0,E13/TrAvia_act!E21*1000)</f>
        <v>18280.427927127686</v>
      </c>
      <c r="F29" s="86">
        <f>IF(F13=0,0,F13/TrAvia_act!F21*1000)</f>
        <v>17951.221807786733</v>
      </c>
      <c r="G29" s="86">
        <f>IF(G13=0,0,G13/TrAvia_act!G21*1000)</f>
        <v>15901.390907604613</v>
      </c>
      <c r="H29" s="86">
        <f>IF(H13=0,0,H13/TrAvia_act!H21*1000)</f>
        <v>14063.478829568678</v>
      </c>
      <c r="I29" s="86">
        <f>IF(I13=0,0,I13/TrAvia_act!I21*1000)</f>
        <v>12474.054355976776</v>
      </c>
      <c r="J29" s="86">
        <f>IF(J13=0,0,J13/TrAvia_act!J21*1000)</f>
        <v>11538.240566372067</v>
      </c>
      <c r="K29" s="86">
        <f>IF(K13=0,0,K13/TrAvia_act!K21*1000)</f>
        <v>11993.12859604541</v>
      </c>
      <c r="L29" s="86">
        <f>IF(L13=0,0,L13/TrAvia_act!L21*1000)</f>
        <v>10887.362316262261</v>
      </c>
      <c r="M29" s="86">
        <f>IF(M13=0,0,M13/TrAvia_act!M21*1000)</f>
        <v>11561.431550710133</v>
      </c>
      <c r="N29" s="86">
        <f>IF(N13=0,0,N13/TrAvia_act!N21*1000)</f>
        <v>11403.695079291883</v>
      </c>
      <c r="O29" s="86">
        <f>IF(O13=0,0,O13/TrAvia_act!O21*1000)</f>
        <v>11415.316992942064</v>
      </c>
      <c r="P29" s="86">
        <f>IF(P13=0,0,P13/TrAvia_act!P21*1000)</f>
        <v>11813.446358927089</v>
      </c>
      <c r="Q29" s="86">
        <f>IF(Q13=0,0,Q13/TrAvia_act!Q21*1000)</f>
        <v>12807.636810213064</v>
      </c>
      <c r="R29" s="86">
        <f>IF(R13=0,0,R13/TrAvia_act!R21*1000)</f>
        <v>12542.076629100346</v>
      </c>
      <c r="S29" s="86">
        <f>IF(S13=0,0,S13/TrAvia_act!S21*1000)</f>
        <v>12466.880337052206</v>
      </c>
      <c r="T29" s="86">
        <f>IF(T13=0,0,T13/TrAvia_act!T21*1000)</f>
        <v>12615.735070385643</v>
      </c>
      <c r="U29" s="86">
        <f>IF(U13=0,0,U13/TrAvia_act!U21*1000)</f>
        <v>11884.814978280789</v>
      </c>
      <c r="V29" s="86">
        <f>IF(V13=0,0,V13/TrAvia_act!V21*1000)</f>
        <v>15967.351058493579</v>
      </c>
      <c r="W29" s="86">
        <f>IF(W13=0,0,W13/TrAvia_act!W21*1000)</f>
        <v>12200.805267919115</v>
      </c>
      <c r="X29" s="86">
        <f>IF(X13=0,0,X13/TrAvia_act!X21*1000)</f>
        <v>9955.2301421434659</v>
      </c>
      <c r="Y29" s="86">
        <f>IF(Y13=0,0,Y13/TrAvia_act!Y21*1000)</f>
        <v>9556.7185278830802</v>
      </c>
      <c r="DA29" s="178" t="s">
        <v>343</v>
      </c>
    </row>
    <row r="30" spans="1:105" x14ac:dyDescent="0.25">
      <c r="A30" s="50"/>
      <c r="B30" s="50"/>
      <c r="C30" s="50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DA30" s="181"/>
    </row>
    <row r="31" spans="1:105" ht="11.45" customHeight="1" x14ac:dyDescent="0.25">
      <c r="A31" s="53" t="s">
        <v>71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DA31" s="172"/>
    </row>
    <row r="32" spans="1:105" ht="11.45" customHeight="1" x14ac:dyDescent="0.25">
      <c r="A32" s="10" t="s">
        <v>160</v>
      </c>
      <c r="B32" s="14">
        <f>IF(B6=0,0,B6/TrAvia_act!B4*1000)</f>
        <v>99.546441371338972</v>
      </c>
      <c r="C32" s="14">
        <f>IF(C6=0,0,C6/TrAvia_act!C4*1000)</f>
        <v>106.2217711654194</v>
      </c>
      <c r="D32" s="14">
        <f>IF(D6=0,0,D6/TrAvia_act!D4*1000)</f>
        <v>103.12593325783978</v>
      </c>
      <c r="E32" s="14">
        <f>IF(E6=0,0,E6/TrAvia_act!E4*1000)</f>
        <v>104.23488977128376</v>
      </c>
      <c r="F32" s="14">
        <f>IF(F6=0,0,F6/TrAvia_act!F4*1000)</f>
        <v>104.62575389229636</v>
      </c>
      <c r="G32" s="14">
        <f>IF(G6=0,0,G6/TrAvia_act!G4*1000)</f>
        <v>103.63741181279289</v>
      </c>
      <c r="H32" s="14">
        <f>IF(H6=0,0,H6/TrAvia_act!H4*1000)</f>
        <v>104.68631626961862</v>
      </c>
      <c r="I32" s="14">
        <f>IF(I6=0,0,I6/TrAvia_act!I4*1000)</f>
        <v>102.66705038147907</v>
      </c>
      <c r="J32" s="14">
        <f>IF(J6=0,0,J6/TrAvia_act!J4*1000)</f>
        <v>100.56879964805228</v>
      </c>
      <c r="K32" s="14">
        <f>IF(K6=0,0,K6/TrAvia_act!K4*1000)</f>
        <v>99.823813159889511</v>
      </c>
      <c r="L32" s="14">
        <f>IF(L6=0,0,L6/TrAvia_act!L4*1000)</f>
        <v>97.305966779014895</v>
      </c>
      <c r="M32" s="14">
        <f>IF(M6=0,0,M6/TrAvia_act!M4*1000)</f>
        <v>94.971584521867953</v>
      </c>
      <c r="N32" s="14">
        <f>IF(N6=0,0,N6/TrAvia_act!N4*1000)</f>
        <v>91.860601408276878</v>
      </c>
      <c r="O32" s="14">
        <f>IF(O6=0,0,O6/TrAvia_act!O4*1000)</f>
        <v>87.053412698617691</v>
      </c>
      <c r="P32" s="14">
        <f>IF(P6=0,0,P6/TrAvia_act!P4*1000)</f>
        <v>86.588000033606662</v>
      </c>
      <c r="Q32" s="14">
        <f>IF(Q6=0,0,Q6/TrAvia_act!Q4*1000)</f>
        <v>89.063937469386602</v>
      </c>
      <c r="R32" s="14">
        <f>IF(R6=0,0,R6/TrAvia_act!R4*1000)</f>
        <v>85.356869748585126</v>
      </c>
      <c r="S32" s="14">
        <f>IF(S6=0,0,S6/TrAvia_act!S4*1000)</f>
        <v>85.88033863608922</v>
      </c>
      <c r="T32" s="14">
        <f>IF(T6=0,0,T6/TrAvia_act!T4*1000)</f>
        <v>85.097238096564922</v>
      </c>
      <c r="U32" s="14">
        <f>IF(U6=0,0,U6/TrAvia_act!U4*1000)</f>
        <v>84.758758332495916</v>
      </c>
      <c r="V32" s="14">
        <f>IF(V6=0,0,V6/TrAvia_act!V4*1000)</f>
        <v>111.1994182989576</v>
      </c>
      <c r="W32" s="14">
        <f>IF(W6=0,0,W6/TrAvia_act!W4*1000)</f>
        <v>105.78786436357358</v>
      </c>
      <c r="X32" s="14">
        <f>IF(X6=0,0,X6/TrAvia_act!X4*1000)</f>
        <v>81.793501206215254</v>
      </c>
      <c r="Y32" s="14">
        <f>IF(Y6=0,0,Y6/TrAvia_act!Y4*1000)</f>
        <v>76.216079996043518</v>
      </c>
      <c r="DA32" s="189" t="s">
        <v>344</v>
      </c>
    </row>
    <row r="33" spans="1:105" ht="11.45" customHeight="1" x14ac:dyDescent="0.25">
      <c r="A33" s="83" t="s">
        <v>27</v>
      </c>
      <c r="B33" s="87">
        <f>IF(B7=0,0,B7/TrAvia_act!B5*1000)</f>
        <v>215.48224590794052</v>
      </c>
      <c r="C33" s="87">
        <f>IF(C7=0,0,C7/TrAvia_act!C5*1000)</f>
        <v>232.08444399786595</v>
      </c>
      <c r="D33" s="87">
        <f>IF(D7=0,0,D7/TrAvia_act!D5*1000)</f>
        <v>218.7185325224271</v>
      </c>
      <c r="E33" s="87">
        <f>IF(E7=0,0,E7/TrAvia_act!E5*1000)</f>
        <v>213.31887119958961</v>
      </c>
      <c r="F33" s="87">
        <f>IF(F7=0,0,F7/TrAvia_act!F5*1000)</f>
        <v>211.26367882715326</v>
      </c>
      <c r="G33" s="87">
        <f>IF(G7=0,0,G7/TrAvia_act!G5*1000)</f>
        <v>219.97358486262718</v>
      </c>
      <c r="H33" s="87">
        <f>IF(H7=0,0,H7/TrAvia_act!H5*1000)</f>
        <v>218.11399662692401</v>
      </c>
      <c r="I33" s="87">
        <f>IF(I7=0,0,I7/TrAvia_act!I5*1000)</f>
        <v>212.49614849438962</v>
      </c>
      <c r="J33" s="87">
        <f>IF(J7=0,0,J7/TrAvia_act!J5*1000)</f>
        <v>224.17240438955074</v>
      </c>
      <c r="K33" s="87">
        <f>IF(K7=0,0,K7/TrAvia_act!K5*1000)</f>
        <v>218.7044998212902</v>
      </c>
      <c r="L33" s="87">
        <f>IF(L7=0,0,L7/TrAvia_act!L5*1000)</f>
        <v>237.52421491355585</v>
      </c>
      <c r="M33" s="87">
        <f>IF(M7=0,0,M7/TrAvia_act!M5*1000)</f>
        <v>212.17594027202981</v>
      </c>
      <c r="N33" s="87">
        <f>IF(N7=0,0,N7/TrAvia_act!N5*1000)</f>
        <v>210.78478773869784</v>
      </c>
      <c r="O33" s="87">
        <f>IF(O7=0,0,O7/TrAvia_act!O5*1000)</f>
        <v>206.78432430325523</v>
      </c>
      <c r="P33" s="87">
        <f>IF(P7=0,0,P7/TrAvia_act!P5*1000)</f>
        <v>218.30193682240443</v>
      </c>
      <c r="Q33" s="87">
        <f>IF(Q7=0,0,Q7/TrAvia_act!Q5*1000)</f>
        <v>222.44546094882318</v>
      </c>
      <c r="R33" s="87">
        <f>IF(R7=0,0,R7/TrAvia_act!R5*1000)</f>
        <v>221.27621696282108</v>
      </c>
      <c r="S33" s="87">
        <f>IF(S7=0,0,S7/TrAvia_act!S5*1000)</f>
        <v>223.61136945625904</v>
      </c>
      <c r="T33" s="87">
        <f>IF(T7=0,0,T7/TrAvia_act!T5*1000)</f>
        <v>210.25159116789419</v>
      </c>
      <c r="U33" s="87">
        <f>IF(U7=0,0,U7/TrAvia_act!U5*1000)</f>
        <v>209.70634456722041</v>
      </c>
      <c r="V33" s="87">
        <f>IF(V7=0,0,V7/TrAvia_act!V5*1000)</f>
        <v>223.2519040119528</v>
      </c>
      <c r="W33" s="87">
        <f>IF(W7=0,0,W7/TrAvia_act!W5*1000)</f>
        <v>231.62883206668508</v>
      </c>
      <c r="X33" s="87">
        <f>IF(X7=0,0,X7/TrAvia_act!X5*1000)</f>
        <v>215.19290918734828</v>
      </c>
      <c r="Y33" s="87">
        <f>IF(Y7=0,0,Y7/TrAvia_act!Y5*1000)</f>
        <v>203.18441437431539</v>
      </c>
      <c r="DA33" s="171" t="s">
        <v>345</v>
      </c>
    </row>
    <row r="34" spans="1:105" ht="11.45" customHeight="1" x14ac:dyDescent="0.25">
      <c r="A34" s="83" t="s">
        <v>181</v>
      </c>
      <c r="B34" s="87">
        <f>IF(B8=0,0,B8/TrAvia_act!B6*1000)</f>
        <v>60.692434194798999</v>
      </c>
      <c r="C34" s="87">
        <f>IF(C8=0,0,C8/TrAvia_act!C6*1000)</f>
        <v>67.760168582218995</v>
      </c>
      <c r="D34" s="87">
        <f>IF(D8=0,0,D8/TrAvia_act!D6*1000)</f>
        <v>62.346453337083638</v>
      </c>
      <c r="E34" s="87">
        <f>IF(E8=0,0,E8/TrAvia_act!E6*1000)</f>
        <v>72.69690916090245</v>
      </c>
      <c r="F34" s="87">
        <f>IF(F8=0,0,F8/TrAvia_act!F6*1000)</f>
        <v>72.937205723657598</v>
      </c>
      <c r="G34" s="87">
        <f>IF(G8=0,0,G8/TrAvia_act!G6*1000)</f>
        <v>70.145321212680869</v>
      </c>
      <c r="H34" s="87">
        <f>IF(H8=0,0,H8/TrAvia_act!H6*1000)</f>
        <v>73.511811267907248</v>
      </c>
      <c r="I34" s="87">
        <f>IF(I8=0,0,I8/TrAvia_act!I6*1000)</f>
        <v>74.130991152500698</v>
      </c>
      <c r="J34" s="87">
        <f>IF(J8=0,0,J8/TrAvia_act!J6*1000)</f>
        <v>73.535037457878957</v>
      </c>
      <c r="K34" s="87">
        <f>IF(K8=0,0,K8/TrAvia_act!K6*1000)</f>
        <v>73.308137329204897</v>
      </c>
      <c r="L34" s="87">
        <f>IF(L8=0,0,L8/TrAvia_act!L6*1000)</f>
        <v>67.157912175577863</v>
      </c>
      <c r="M34" s="87">
        <f>IF(M8=0,0,M8/TrAvia_act!M6*1000)</f>
        <v>72.673664000286593</v>
      </c>
      <c r="N34" s="87">
        <f>IF(N8=0,0,N8/TrAvia_act!N6*1000)</f>
        <v>71.547238286332203</v>
      </c>
      <c r="O34" s="87">
        <f>IF(O8=0,0,O8/TrAvia_act!O6*1000)</f>
        <v>69.757385027198652</v>
      </c>
      <c r="P34" s="87">
        <f>IF(P8=0,0,P8/TrAvia_act!P6*1000)</f>
        <v>68.078138305210359</v>
      </c>
      <c r="Q34" s="87">
        <f>IF(Q8=0,0,Q8/TrAvia_act!Q6*1000)</f>
        <v>69.852451981858664</v>
      </c>
      <c r="R34" s="87">
        <f>IF(R8=0,0,R8/TrAvia_act!R6*1000)</f>
        <v>66.93360735844216</v>
      </c>
      <c r="S34" s="87">
        <f>IF(S8=0,0,S8/TrAvia_act!S6*1000)</f>
        <v>68.681235562611036</v>
      </c>
      <c r="T34" s="87">
        <f>IF(T8=0,0,T8/TrAvia_act!T6*1000)</f>
        <v>69.921560246808397</v>
      </c>
      <c r="U34" s="87">
        <f>IF(U8=0,0,U8/TrAvia_act!U6*1000)</f>
        <v>70.91098734488223</v>
      </c>
      <c r="V34" s="87">
        <f>IF(V8=0,0,V8/TrAvia_act!V6*1000)</f>
        <v>75.613366080385148</v>
      </c>
      <c r="W34" s="87">
        <f>IF(W8=0,0,W8/TrAvia_act!W6*1000)</f>
        <v>63.469080276931543</v>
      </c>
      <c r="X34" s="87">
        <f>IF(X8=0,0,X8/TrAvia_act!X6*1000)</f>
        <v>61.35578722720755</v>
      </c>
      <c r="Y34" s="87">
        <f>IF(Y8=0,0,Y8/TrAvia_act!Y6*1000)</f>
        <v>61.509848711916305</v>
      </c>
      <c r="DA34" s="171" t="s">
        <v>346</v>
      </c>
    </row>
    <row r="35" spans="1:105" ht="11.45" customHeight="1" x14ac:dyDescent="0.25">
      <c r="A35" s="83" t="s">
        <v>182</v>
      </c>
      <c r="B35" s="87">
        <f>IF(B9=0,0,B9/TrAvia_act!B7*1000)</f>
        <v>110.74262395980453</v>
      </c>
      <c r="C35" s="87">
        <f>IF(C9=0,0,C9/TrAvia_act!C7*1000)</f>
        <v>120.04422630888084</v>
      </c>
      <c r="D35" s="87">
        <f>IF(D9=0,0,D9/TrAvia_act!D7*1000)</f>
        <v>134.4503704873419</v>
      </c>
      <c r="E35" s="87">
        <f>IF(E9=0,0,E9/TrAvia_act!E7*1000)</f>
        <v>103.09469351267859</v>
      </c>
      <c r="F35" s="87">
        <f>IF(F9=0,0,F9/TrAvia_act!F7*1000)</f>
        <v>101.28655815548825</v>
      </c>
      <c r="G35" s="87">
        <f>IF(G9=0,0,G9/TrAvia_act!G7*1000)</f>
        <v>89.796554212210395</v>
      </c>
      <c r="H35" s="87">
        <f>IF(H9=0,0,H9/TrAvia_act!H7*1000)</f>
        <v>82.80950407354797</v>
      </c>
      <c r="I35" s="87">
        <f>IF(I9=0,0,I9/TrAvia_act!I7*1000)</f>
        <v>76.023629141879667</v>
      </c>
      <c r="J35" s="87">
        <f>IF(J9=0,0,J9/TrAvia_act!J7*1000)</f>
        <v>70.653499692531341</v>
      </c>
      <c r="K35" s="87">
        <f>IF(K9=0,0,K9/TrAvia_act!K7*1000)</f>
        <v>73.370123369397376</v>
      </c>
      <c r="L35" s="87">
        <f>IF(L9=0,0,L9/TrAvia_act!L7*1000)</f>
        <v>65.841868820785422</v>
      </c>
      <c r="M35" s="87">
        <f>IF(M9=0,0,M9/TrAvia_act!M7*1000)</f>
        <v>70.193440656355321</v>
      </c>
      <c r="N35" s="87">
        <f>IF(N9=0,0,N9/TrAvia_act!N7*1000)</f>
        <v>71.025533689702925</v>
      </c>
      <c r="O35" s="87">
        <f>IF(O9=0,0,O9/TrAvia_act!O7*1000)</f>
        <v>69.182216490537371</v>
      </c>
      <c r="P35" s="87">
        <f>IF(P9=0,0,P9/TrAvia_act!P7*1000)</f>
        <v>67.945068091411386</v>
      </c>
      <c r="Q35" s="87">
        <f>IF(Q9=0,0,Q9/TrAvia_act!Q7*1000)</f>
        <v>69.270276882074938</v>
      </c>
      <c r="R35" s="87">
        <f>IF(R9=0,0,R9/TrAvia_act!R7*1000)</f>
        <v>63.90275029007843</v>
      </c>
      <c r="S35" s="87">
        <f>IF(S9=0,0,S9/TrAvia_act!S7*1000)</f>
        <v>61.155903595209324</v>
      </c>
      <c r="T35" s="87">
        <f>IF(T9=0,0,T9/TrAvia_act!T7*1000)</f>
        <v>58.607617188921239</v>
      </c>
      <c r="U35" s="87">
        <f>IF(U9=0,0,U9/TrAvia_act!U7*1000)</f>
        <v>55.39372735686306</v>
      </c>
      <c r="V35" s="87">
        <f>IF(V9=0,0,V9/TrAvia_act!V7*1000)</f>
        <v>101.66996220998641</v>
      </c>
      <c r="W35" s="87">
        <f>IF(W9=0,0,W9/TrAvia_act!W7*1000)</f>
        <v>86.086605377246542</v>
      </c>
      <c r="X35" s="87">
        <f>IF(X9=0,0,X9/TrAvia_act!X7*1000)</f>
        <v>48.506666661052762</v>
      </c>
      <c r="Y35" s="87">
        <f>IF(Y9=0,0,Y9/TrAvia_act!Y7*1000)</f>
        <v>42.650158723414471</v>
      </c>
      <c r="DA35" s="171" t="s">
        <v>347</v>
      </c>
    </row>
    <row r="36" spans="1:105" ht="11.45" customHeight="1" x14ac:dyDescent="0.25">
      <c r="A36" s="12" t="s">
        <v>159</v>
      </c>
      <c r="B36" s="15">
        <f>IF(B10=0,0,B10/TrAvia_act!B8*1000)</f>
        <v>385.69433435287101</v>
      </c>
      <c r="C36" s="15">
        <f>IF(C10=0,0,C10/TrAvia_act!C8*1000)</f>
        <v>406.05478532477309</v>
      </c>
      <c r="D36" s="15">
        <f>IF(D10=0,0,D10/TrAvia_act!D8*1000)</f>
        <v>392.14063919927986</v>
      </c>
      <c r="E36" s="15">
        <f>IF(E10=0,0,E10/TrAvia_act!E8*1000)</f>
        <v>428.31789103853339</v>
      </c>
      <c r="F36" s="15">
        <f>IF(F10=0,0,F10/TrAvia_act!F8*1000)</f>
        <v>453.8943476381063</v>
      </c>
      <c r="G36" s="15">
        <f>IF(G10=0,0,G10/TrAvia_act!G8*1000)</f>
        <v>462.19198594511801</v>
      </c>
      <c r="H36" s="15">
        <f>IF(H10=0,0,H10/TrAvia_act!H8*1000)</f>
        <v>449.06021412855097</v>
      </c>
      <c r="I36" s="15">
        <f>IF(I10=0,0,I10/TrAvia_act!I8*1000)</f>
        <v>397.64145783288728</v>
      </c>
      <c r="J36" s="15">
        <f>IF(J10=0,0,J10/TrAvia_act!J8*1000)</f>
        <v>376.51921837009581</v>
      </c>
      <c r="K36" s="15">
        <f>IF(K10=0,0,K10/TrAvia_act!K8*1000)</f>
        <v>336.96957026275783</v>
      </c>
      <c r="L36" s="15">
        <f>IF(L10=0,0,L10/TrAvia_act!L8*1000)</f>
        <v>287.40031676847286</v>
      </c>
      <c r="M36" s="15">
        <f>IF(M10=0,0,M10/TrAvia_act!M8*1000)</f>
        <v>262.95142809605045</v>
      </c>
      <c r="N36" s="15">
        <f>IF(N10=0,0,N10/TrAvia_act!N8*1000)</f>
        <v>241.55105809719214</v>
      </c>
      <c r="O36" s="15">
        <f>IF(O10=0,0,O10/TrAvia_act!O8*1000)</f>
        <v>231.47592542549111</v>
      </c>
      <c r="P36" s="15">
        <f>IF(P10=0,0,P10/TrAvia_act!P8*1000)</f>
        <v>205.49076265813102</v>
      </c>
      <c r="Q36" s="15">
        <f>IF(Q10=0,0,Q10/TrAvia_act!Q8*1000)</f>
        <v>210.026142738576</v>
      </c>
      <c r="R36" s="15">
        <f>IF(R10=0,0,R10/TrAvia_act!R8*1000)</f>
        <v>187.2561853863528</v>
      </c>
      <c r="S36" s="15">
        <f>IF(S10=0,0,S10/TrAvia_act!S8*1000)</f>
        <v>186.0291276852839</v>
      </c>
      <c r="T36" s="15">
        <f>IF(T10=0,0,T10/TrAvia_act!T8*1000)</f>
        <v>174.83691429474956</v>
      </c>
      <c r="U36" s="15">
        <f>IF(U10=0,0,U10/TrAvia_act!U8*1000)</f>
        <v>160.00869377428484</v>
      </c>
      <c r="V36" s="15">
        <f>IF(V10=0,0,V10/TrAvia_act!V8*1000)</f>
        <v>275.72136548049548</v>
      </c>
      <c r="W36" s="15">
        <f>IF(W10=0,0,W10/TrAvia_act!W8*1000)</f>
        <v>222.07768170672085</v>
      </c>
      <c r="X36" s="15">
        <f>IF(X10=0,0,X10/TrAvia_act!X8*1000)</f>
        <v>173.24973389571318</v>
      </c>
      <c r="Y36" s="15">
        <f>IF(Y10=0,0,Y10/TrAvia_act!Y8*1000)</f>
        <v>154.393900351089</v>
      </c>
      <c r="DA36" s="193" t="s">
        <v>348</v>
      </c>
    </row>
    <row r="37" spans="1:105" ht="11.45" customHeight="1" x14ac:dyDescent="0.25">
      <c r="A37" s="92" t="s">
        <v>27</v>
      </c>
      <c r="B37" s="101">
        <f>IF(B11=0,0,B11/TrAvia_act!B9*1000)</f>
        <v>1587.6499233499123</v>
      </c>
      <c r="C37" s="101">
        <f>IF(C11=0,0,C11/TrAvia_act!C9*1000)</f>
        <v>1736.9529085448626</v>
      </c>
      <c r="D37" s="101">
        <f>IF(D11=0,0,D11/TrAvia_act!D9*1000)</f>
        <v>1656.4794709108803</v>
      </c>
      <c r="E37" s="101">
        <f>IF(E11=0,0,E11/TrAvia_act!E9*1000)</f>
        <v>1599.2959342401323</v>
      </c>
      <c r="F37" s="101">
        <f>IF(F11=0,0,F11/TrAvia_act!F9*1000)</f>
        <v>1682.6167222398115</v>
      </c>
      <c r="G37" s="101">
        <f>IF(G11=0,0,G11/TrAvia_act!G9*1000)</f>
        <v>1792.8255326581975</v>
      </c>
      <c r="H37" s="101">
        <f>IF(H11=0,0,H11/TrAvia_act!H9*1000)</f>
        <v>1849.6747389956588</v>
      </c>
      <c r="I37" s="101">
        <f>IF(I11=0,0,I11/TrAvia_act!I9*1000)</f>
        <v>1830.4661877019728</v>
      </c>
      <c r="J37" s="101">
        <f>IF(J11=0,0,J11/TrAvia_act!J9*1000)</f>
        <v>1903.2581546835268</v>
      </c>
      <c r="K37" s="101">
        <f>IF(K11=0,0,K11/TrAvia_act!K9*1000)</f>
        <v>1881.2817310645096</v>
      </c>
      <c r="L37" s="101">
        <f>IF(L11=0,0,L11/TrAvia_act!L9*1000)</f>
        <v>1978.7117718083211</v>
      </c>
      <c r="M37" s="101">
        <f>IF(M11=0,0,M11/TrAvia_act!M9*1000)</f>
        <v>1664.0716738736517</v>
      </c>
      <c r="N37" s="101">
        <f>IF(N11=0,0,N11/TrAvia_act!N9*1000)</f>
        <v>1703.2381980850234</v>
      </c>
      <c r="O37" s="101">
        <f>IF(O11=0,0,O11/TrAvia_act!O9*1000)</f>
        <v>1671.3374259412872</v>
      </c>
      <c r="P37" s="101">
        <f>IF(P11=0,0,P11/TrAvia_act!P9*1000)</f>
        <v>1563.4509557808692</v>
      </c>
      <c r="Q37" s="101">
        <f>IF(Q11=0,0,Q11/TrAvia_act!Q9*1000)</f>
        <v>1590.7857065575477</v>
      </c>
      <c r="R37" s="101">
        <f>IF(R11=0,0,R11/TrAvia_act!R9*1000)</f>
        <v>1439.8505669811516</v>
      </c>
      <c r="S37" s="101">
        <f>IF(S11=0,0,S11/TrAvia_act!S9*1000)</f>
        <v>1613.3620207461624</v>
      </c>
      <c r="T37" s="101">
        <f>IF(T11=0,0,T11/TrAvia_act!T9*1000)</f>
        <v>1465.1950483876783</v>
      </c>
      <c r="U37" s="101">
        <f>IF(U11=0,0,U11/TrAvia_act!U9*1000)</f>
        <v>1339.5046774179345</v>
      </c>
      <c r="V37" s="101">
        <f>IF(V11=0,0,V11/TrAvia_act!V9*1000)</f>
        <v>1275.9565596716602</v>
      </c>
      <c r="W37" s="101">
        <f>IF(W11=0,0,W11/TrAvia_act!W9*1000)</f>
        <v>1563.4277993947883</v>
      </c>
      <c r="X37" s="101">
        <f>IF(X11=0,0,X11/TrAvia_act!X9*1000)</f>
        <v>2062.7433993674481</v>
      </c>
      <c r="Y37" s="101">
        <f>IF(Y11=0,0,Y11/TrAvia_act!Y9*1000)</f>
        <v>1967.7706687774332</v>
      </c>
      <c r="DA37" s="175" t="s">
        <v>349</v>
      </c>
    </row>
    <row r="38" spans="1:105" ht="11.45" customHeight="1" x14ac:dyDescent="0.25">
      <c r="A38" s="92" t="s">
        <v>181</v>
      </c>
      <c r="B38" s="101">
        <f>IF(B12=0,0,B12/TrAvia_act!B10*1000)</f>
        <v>342.54639638136115</v>
      </c>
      <c r="C38" s="101">
        <f>IF(C12=0,0,C12/TrAvia_act!C10*1000)</f>
        <v>365.2079773280467</v>
      </c>
      <c r="D38" s="101">
        <f>IF(D12=0,0,D12/TrAvia_act!D10*1000)</f>
        <v>339.42476156446719</v>
      </c>
      <c r="E38" s="101">
        <f>IF(E12=0,0,E12/TrAvia_act!E10*1000)</f>
        <v>388.8000012253579</v>
      </c>
      <c r="F38" s="101">
        <f>IF(F12=0,0,F12/TrAvia_act!F10*1000)</f>
        <v>421.62632047022828</v>
      </c>
      <c r="G38" s="101">
        <f>IF(G12=0,0,G12/TrAvia_act!G10*1000)</f>
        <v>412.45246350818547</v>
      </c>
      <c r="H38" s="101">
        <f>IF(H12=0,0,H12/TrAvia_act!H10*1000)</f>
        <v>494.80311357139539</v>
      </c>
      <c r="I38" s="101">
        <f>IF(I12=0,0,I12/TrAvia_act!I10*1000)</f>
        <v>491.74235049292901</v>
      </c>
      <c r="J38" s="101">
        <f>IF(J12=0,0,J12/TrAvia_act!J10*1000)</f>
        <v>499.00302660625164</v>
      </c>
      <c r="K38" s="101">
        <f>IF(K12=0,0,K12/TrAvia_act!K10*1000)</f>
        <v>500.90426952522984</v>
      </c>
      <c r="L38" s="101">
        <f>IF(L12=0,0,L12/TrAvia_act!L10*1000)</f>
        <v>452.05888759412909</v>
      </c>
      <c r="M38" s="101">
        <f>IF(M12=0,0,M12/TrAvia_act!M10*1000)</f>
        <v>472.20826041173171</v>
      </c>
      <c r="N38" s="101">
        <f>IF(N12=0,0,N12/TrAvia_act!N10*1000)</f>
        <v>442.35594662962188</v>
      </c>
      <c r="O38" s="101">
        <f>IF(O12=0,0,O12/TrAvia_act!O10*1000)</f>
        <v>429.52407701682637</v>
      </c>
      <c r="P38" s="101">
        <f>IF(P12=0,0,P12/TrAvia_act!P10*1000)</f>
        <v>356.03276394786508</v>
      </c>
      <c r="Q38" s="101">
        <f>IF(Q12=0,0,Q12/TrAvia_act!Q10*1000)</f>
        <v>373.78637479659898</v>
      </c>
      <c r="R38" s="101">
        <f>IF(R12=0,0,R12/TrAvia_act!R10*1000)</f>
        <v>334.22193344984595</v>
      </c>
      <c r="S38" s="101">
        <f>IF(S12=0,0,S12/TrAvia_act!S10*1000)</f>
        <v>371.52290095375105</v>
      </c>
      <c r="T38" s="101">
        <f>IF(T12=0,0,T12/TrAvia_act!T10*1000)</f>
        <v>373.8873992303092</v>
      </c>
      <c r="U38" s="101">
        <f>IF(U12=0,0,U12/TrAvia_act!U10*1000)</f>
        <v>366.31213840933646</v>
      </c>
      <c r="V38" s="101">
        <f>IF(V12=0,0,V12/TrAvia_act!V10*1000)</f>
        <v>365.59446419436978</v>
      </c>
      <c r="W38" s="101">
        <f>IF(W12=0,0,W12/TrAvia_act!W10*1000)</f>
        <v>322.62703417270291</v>
      </c>
      <c r="X38" s="101">
        <f>IF(X12=0,0,X12/TrAvia_act!X10*1000)</f>
        <v>367.12386053175999</v>
      </c>
      <c r="Y38" s="101">
        <f>IF(Y12=0,0,Y12/TrAvia_act!Y10*1000)</f>
        <v>394.80871333787513</v>
      </c>
      <c r="DA38" s="175" t="s">
        <v>350</v>
      </c>
    </row>
    <row r="39" spans="1:105" ht="11.45" customHeight="1" x14ac:dyDescent="0.25">
      <c r="A39" s="85" t="s">
        <v>182</v>
      </c>
      <c r="B39" s="88">
        <f>IF(B13=0,0,B13/TrAvia_act!B11*1000)</f>
        <v>203.69858055593127</v>
      </c>
      <c r="C39" s="88">
        <f>IF(C13=0,0,C13/TrAvia_act!C11*1000)</f>
        <v>217.44658364940292</v>
      </c>
      <c r="D39" s="88">
        <f>IF(D13=0,0,D13/TrAvia_act!D11*1000)</f>
        <v>201.78580925599863</v>
      </c>
      <c r="E39" s="88">
        <f>IF(E13=0,0,E13/TrAvia_act!E11*1000)</f>
        <v>257.8885277972077</v>
      </c>
      <c r="F39" s="88">
        <f>IF(F13=0,0,F13/TrAvia_act!F11*1000)</f>
        <v>260.9212063454433</v>
      </c>
      <c r="G39" s="88">
        <f>IF(G13=0,0,G13/TrAvia_act!G11*1000)</f>
        <v>245.76883356518638</v>
      </c>
      <c r="H39" s="88">
        <f>IF(H13=0,0,H13/TrAvia_act!H11*1000)</f>
        <v>224.84790177876815</v>
      </c>
      <c r="I39" s="88">
        <f>IF(I13=0,0,I13/TrAvia_act!I11*1000)</f>
        <v>202.81950994464381</v>
      </c>
      <c r="J39" s="88">
        <f>IF(J13=0,0,J13/TrAvia_act!J11*1000)</f>
        <v>191.4614043580471</v>
      </c>
      <c r="K39" s="88">
        <f>IF(K13=0,0,K13/TrAvia_act!K11*1000)</f>
        <v>176.45806600326046</v>
      </c>
      <c r="L39" s="88">
        <f>IF(L13=0,0,L13/TrAvia_act!L11*1000)</f>
        <v>157.5751207556153</v>
      </c>
      <c r="M39" s="88">
        <f>IF(M13=0,0,M13/TrAvia_act!M11*1000)</f>
        <v>161.43164768365932</v>
      </c>
      <c r="N39" s="88">
        <f>IF(N13=0,0,N13/TrAvia_act!N11*1000)</f>
        <v>148.36023230233783</v>
      </c>
      <c r="O39" s="88">
        <f>IF(O13=0,0,O13/TrAvia_act!O11*1000)</f>
        <v>143.97607074120765</v>
      </c>
      <c r="P39" s="88">
        <f>IF(P13=0,0,P13/TrAvia_act!P11*1000)</f>
        <v>130.27380877929781</v>
      </c>
      <c r="Q39" s="88">
        <f>IF(Q13=0,0,Q13/TrAvia_act!Q11*1000)</f>
        <v>141.07864183712141</v>
      </c>
      <c r="R39" s="88">
        <f>IF(R13=0,0,R13/TrAvia_act!R11*1000)</f>
        <v>127.10622889216913</v>
      </c>
      <c r="S39" s="88">
        <f>IF(S13=0,0,S13/TrAvia_act!S11*1000)</f>
        <v>130.14875404239382</v>
      </c>
      <c r="T39" s="88">
        <f>IF(T13=0,0,T13/TrAvia_act!T11*1000)</f>
        <v>129.17038519690442</v>
      </c>
      <c r="U39" s="88">
        <f>IF(U13=0,0,U13/TrAvia_act!U11*1000)</f>
        <v>115.80601371351388</v>
      </c>
      <c r="V39" s="88">
        <f>IF(V13=0,0,V13/TrAvia_act!V11*1000)</f>
        <v>226.23900334873366</v>
      </c>
      <c r="W39" s="88">
        <f>IF(W13=0,0,W13/TrAvia_act!W11*1000)</f>
        <v>172.15701055209459</v>
      </c>
      <c r="X39" s="88">
        <f>IF(X13=0,0,X13/TrAvia_act!X11*1000)</f>
        <v>126.95021819389105</v>
      </c>
      <c r="Y39" s="88">
        <f>IF(Y13=0,0,Y13/TrAvia_act!Y11*1000)</f>
        <v>118.50498777337098</v>
      </c>
      <c r="DA39" s="178" t="s">
        <v>351</v>
      </c>
    </row>
    <row r="40" spans="1:105" x14ac:dyDescent="0.25">
      <c r="A40" s="50"/>
      <c r="B40" s="50"/>
      <c r="C40" s="50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DA40" s="181"/>
    </row>
    <row r="41" spans="1:105" ht="11.45" customHeight="1" x14ac:dyDescent="0.25">
      <c r="A41" s="53" t="s">
        <v>72</v>
      </c>
      <c r="B41" s="54">
        <f>IF(B3=0,0,B3/TrAvia_act!B23*1000000)</f>
        <v>17713.747729762628</v>
      </c>
      <c r="C41" s="54">
        <f>IF(C3=0,0,C3/TrAvia_act!C23*1000000)</f>
        <v>18973.323662249964</v>
      </c>
      <c r="D41" s="54">
        <f>IF(D3=0,0,D3/TrAvia_act!D23*1000000)</f>
        <v>18179.90975796826</v>
      </c>
      <c r="E41" s="54">
        <f>IF(E3=0,0,E3/TrAvia_act!E23*1000000)</f>
        <v>18943.036134005142</v>
      </c>
      <c r="F41" s="54">
        <f>IF(F3=0,0,F3/TrAvia_act!F23*1000000)</f>
        <v>18977.119578551828</v>
      </c>
      <c r="G41" s="54">
        <f>IF(G3=0,0,G3/TrAvia_act!G23*1000000)</f>
        <v>18671.917962570467</v>
      </c>
      <c r="H41" s="54">
        <f>IF(H3=0,0,H3/TrAvia_act!H23*1000000)</f>
        <v>18786.277189492004</v>
      </c>
      <c r="I41" s="54">
        <f>IF(I3=0,0,I3/TrAvia_act!I23*1000000)</f>
        <v>18293.758550576571</v>
      </c>
      <c r="J41" s="54">
        <f>IF(J3=0,0,J3/TrAvia_act!J23*1000000)</f>
        <v>18449.529100905624</v>
      </c>
      <c r="K41" s="54">
        <f>IF(K3=0,0,K3/TrAvia_act!K23*1000000)</f>
        <v>18809.91786083821</v>
      </c>
      <c r="L41" s="54">
        <f>IF(L3=0,0,L3/TrAvia_act!L23*1000000)</f>
        <v>19226.731292183387</v>
      </c>
      <c r="M41" s="54">
        <f>IF(M3=0,0,M3/TrAvia_act!M23*1000000)</f>
        <v>20000.300365722935</v>
      </c>
      <c r="N41" s="54">
        <f>IF(N3=0,0,N3/TrAvia_act!N23*1000000)</f>
        <v>20874.60938744228</v>
      </c>
      <c r="O41" s="54">
        <f>IF(O3=0,0,O3/TrAvia_act!O23*1000000)</f>
        <v>21186.155905379463</v>
      </c>
      <c r="P41" s="54">
        <f>IF(P3=0,0,P3/TrAvia_act!P23*1000000)</f>
        <v>21171.53024829999</v>
      </c>
      <c r="Q41" s="54">
        <f>IF(Q3=0,0,Q3/TrAvia_act!Q23*1000000)</f>
        <v>21977.519200635859</v>
      </c>
      <c r="R41" s="54">
        <f>IF(R3=0,0,R3/TrAvia_act!R23*1000000)</f>
        <v>22109.394832449991</v>
      </c>
      <c r="S41" s="54">
        <f>IF(S3=0,0,S3/TrAvia_act!S23*1000000)</f>
        <v>22709.835535611805</v>
      </c>
      <c r="T41" s="54">
        <f>IF(T3=0,0,T3/TrAvia_act!T23*1000000)</f>
        <v>22173.970845719585</v>
      </c>
      <c r="U41" s="54">
        <f>IF(U3=0,0,U3/TrAvia_act!U23*1000000)</f>
        <v>22354.792102311156</v>
      </c>
      <c r="V41" s="54">
        <f>IF(V3=0,0,V3/TrAvia_act!V23*1000000)</f>
        <v>19828.296844593988</v>
      </c>
      <c r="W41" s="54">
        <f>IF(W3=0,0,W3/TrAvia_act!W23*1000000)</f>
        <v>19295.217314008321</v>
      </c>
      <c r="X41" s="54">
        <f>IF(X3=0,0,X3/TrAvia_act!X23*1000000)</f>
        <v>20682.88984441257</v>
      </c>
      <c r="Y41" s="54">
        <f>IF(Y3=0,0,Y3/TrAvia_act!Y23*1000000)</f>
        <v>21066.406668930926</v>
      </c>
      <c r="DA41" s="172" t="s">
        <v>352</v>
      </c>
    </row>
    <row r="42" spans="1:105" ht="11.45" customHeight="1" x14ac:dyDescent="0.25">
      <c r="A42" s="10" t="s">
        <v>33</v>
      </c>
      <c r="B42" s="11">
        <f>IF(B6=0,0,B6/TrAvia_act!B24*1000000)</f>
        <v>17697.116496664745</v>
      </c>
      <c r="C42" s="11">
        <f>IF(C6=0,0,C6/TrAvia_act!C24*1000000)</f>
        <v>18937.022716850617</v>
      </c>
      <c r="D42" s="11">
        <f>IF(D6=0,0,D6/TrAvia_act!D24*1000000)</f>
        <v>18164.712458989034</v>
      </c>
      <c r="E42" s="11">
        <f>IF(E6=0,0,E6/TrAvia_act!E24*1000000)</f>
        <v>18885.469143478571</v>
      </c>
      <c r="F42" s="11">
        <f>IF(F6=0,0,F6/TrAvia_act!F24*1000000)</f>
        <v>18926.580394662367</v>
      </c>
      <c r="G42" s="11">
        <f>IF(G6=0,0,G6/TrAvia_act!G24*1000000)</f>
        <v>18633.242906099749</v>
      </c>
      <c r="H42" s="11">
        <f>IF(H6=0,0,H6/TrAvia_act!H24*1000000)</f>
        <v>18750.481428182822</v>
      </c>
      <c r="I42" s="11">
        <f>IF(I6=0,0,I6/TrAvia_act!I24*1000000)</f>
        <v>18246.854573867993</v>
      </c>
      <c r="J42" s="11">
        <f>IF(J6=0,0,J6/TrAvia_act!J24*1000000)</f>
        <v>18403.385446886336</v>
      </c>
      <c r="K42" s="11">
        <f>IF(K6=0,0,K6/TrAvia_act!K24*1000000)</f>
        <v>18762.657470061149</v>
      </c>
      <c r="L42" s="11">
        <f>IF(L6=0,0,L6/TrAvia_act!L24*1000000)</f>
        <v>19154.438596942284</v>
      </c>
      <c r="M42" s="11">
        <f>IF(M6=0,0,M6/TrAvia_act!M24*1000000)</f>
        <v>19933.75405038242</v>
      </c>
      <c r="N42" s="11">
        <f>IF(N6=0,0,N6/TrAvia_act!N24*1000000)</f>
        <v>20825.487216562804</v>
      </c>
      <c r="O42" s="11">
        <f>IF(O6=0,0,O6/TrAvia_act!O24*1000000)</f>
        <v>21137.89034383895</v>
      </c>
      <c r="P42" s="11">
        <f>IF(P6=0,0,P6/TrAvia_act!P24*1000000)</f>
        <v>21112.865973488522</v>
      </c>
      <c r="Q42" s="11">
        <f>IF(Q6=0,0,Q6/TrAvia_act!Q24*1000000)</f>
        <v>21892.359365640074</v>
      </c>
      <c r="R42" s="11">
        <f>IF(R6=0,0,R6/TrAvia_act!R24*1000000)</f>
        <v>22021.968178853924</v>
      </c>
      <c r="S42" s="11">
        <f>IF(S6=0,0,S6/TrAvia_act!S24*1000000)</f>
        <v>22591.401842563693</v>
      </c>
      <c r="T42" s="11">
        <f>IF(T6=0,0,T6/TrAvia_act!T24*1000000)</f>
        <v>22033.320236582174</v>
      </c>
      <c r="U42" s="11">
        <f>IF(U6=0,0,U6/TrAvia_act!U24*1000000)</f>
        <v>22250.347273707841</v>
      </c>
      <c r="V42" s="11">
        <f>IF(V6=0,0,V6/TrAvia_act!V24*1000000)</f>
        <v>19583.029527990839</v>
      </c>
      <c r="W42" s="11">
        <f>IF(W6=0,0,W6/TrAvia_act!W24*1000000)</f>
        <v>19156.803217851691</v>
      </c>
      <c r="X42" s="11">
        <f>IF(X6=0,0,X6/TrAvia_act!X24*1000000)</f>
        <v>20626.551112826441</v>
      </c>
      <c r="Y42" s="11">
        <f>IF(Y6=0,0,Y6/TrAvia_act!Y24*1000000)</f>
        <v>20958.180676548523</v>
      </c>
      <c r="DA42" s="189" t="s">
        <v>353</v>
      </c>
    </row>
    <row r="43" spans="1:105" ht="11.45" customHeight="1" x14ac:dyDescent="0.25">
      <c r="A43" s="83" t="s">
        <v>27</v>
      </c>
      <c r="B43" s="84">
        <f>IF(B7=0,0,B7/TrAvia_act!B25*1000000)</f>
        <v>12784.745540890677</v>
      </c>
      <c r="C43" s="84">
        <f>IF(C7=0,0,C7/TrAvia_act!C25*1000000)</f>
        <v>13880.357474507307</v>
      </c>
      <c r="D43" s="84">
        <f>IF(D7=0,0,D7/TrAvia_act!D25*1000000)</f>
        <v>13612.263087773235</v>
      </c>
      <c r="E43" s="84">
        <f>IF(E7=0,0,E7/TrAvia_act!E25*1000000)</f>
        <v>13979.4284945034</v>
      </c>
      <c r="F43" s="84">
        <f>IF(F7=0,0,F7/TrAvia_act!F25*1000000)</f>
        <v>13849.585940610303</v>
      </c>
      <c r="G43" s="84">
        <f>IF(G7=0,0,G7/TrAvia_act!G25*1000000)</f>
        <v>14585.612839103333</v>
      </c>
      <c r="H43" s="84">
        <f>IF(H7=0,0,H7/TrAvia_act!H25*1000000)</f>
        <v>14635.242320621837</v>
      </c>
      <c r="I43" s="84">
        <f>IF(I7=0,0,I7/TrAvia_act!I25*1000000)</f>
        <v>14636.298456757582</v>
      </c>
      <c r="J43" s="84">
        <f>IF(J7=0,0,J7/TrAvia_act!J25*1000000)</f>
        <v>14740.92682491622</v>
      </c>
      <c r="K43" s="84">
        <f>IF(K7=0,0,K7/TrAvia_act!K25*1000000)</f>
        <v>14687.022056124621</v>
      </c>
      <c r="L43" s="84">
        <f>IF(L7=0,0,L7/TrAvia_act!L25*1000000)</f>
        <v>16817.596490593238</v>
      </c>
      <c r="M43" s="84">
        <f>IF(M7=0,0,M7/TrAvia_act!M25*1000000)</f>
        <v>15547.349067583153</v>
      </c>
      <c r="N43" s="84">
        <f>IF(N7=0,0,N7/TrAvia_act!N25*1000000)</f>
        <v>16162.120484806777</v>
      </c>
      <c r="O43" s="84">
        <f>IF(O7=0,0,O7/TrAvia_act!O25*1000000)</f>
        <v>16413.466223889656</v>
      </c>
      <c r="P43" s="84">
        <f>IF(P7=0,0,P7/TrAvia_act!P25*1000000)</f>
        <v>17050.508353656682</v>
      </c>
      <c r="Q43" s="84">
        <f>IF(Q7=0,0,Q7/TrAvia_act!Q25*1000000)</f>
        <v>18013.849822365581</v>
      </c>
      <c r="R43" s="84">
        <f>IF(R7=0,0,R7/TrAvia_act!R25*1000000)</f>
        <v>19068.59743118639</v>
      </c>
      <c r="S43" s="84">
        <f>IF(S7=0,0,S7/TrAvia_act!S25*1000000)</f>
        <v>19649.893241312973</v>
      </c>
      <c r="T43" s="84">
        <f>IF(T7=0,0,T7/TrAvia_act!T25*1000000)</f>
        <v>18353.106961219873</v>
      </c>
      <c r="U43" s="84">
        <f>IF(U7=0,0,U7/TrAvia_act!U25*1000000)</f>
        <v>18514.601698912098</v>
      </c>
      <c r="V43" s="84">
        <f>IF(V7=0,0,V7/TrAvia_act!V25*1000000)</f>
        <v>14938.249403117758</v>
      </c>
      <c r="W43" s="84">
        <f>IF(W7=0,0,W7/TrAvia_act!W25*1000000)</f>
        <v>18985.04022608474</v>
      </c>
      <c r="X43" s="84">
        <f>IF(X7=0,0,X7/TrAvia_act!X25*1000000)</f>
        <v>20736.427380860448</v>
      </c>
      <c r="Y43" s="84">
        <f>IF(Y7=0,0,Y7/TrAvia_act!Y25*1000000)</f>
        <v>20215.526594760278</v>
      </c>
      <c r="DA43" s="171" t="s">
        <v>354</v>
      </c>
    </row>
    <row r="44" spans="1:105" ht="11.45" customHeight="1" x14ac:dyDescent="0.25">
      <c r="A44" s="83" t="s">
        <v>181</v>
      </c>
      <c r="B44" s="84">
        <f>IF(B8=0,0,B8/TrAvia_act!B26*1000000)</f>
        <v>16112.827299732942</v>
      </c>
      <c r="C44" s="84">
        <f>IF(C8=0,0,C8/TrAvia_act!C26*1000000)</f>
        <v>18145.808935550784</v>
      </c>
      <c r="D44" s="84">
        <f>IF(D8=0,0,D8/TrAvia_act!D26*1000000)</f>
        <v>15956.091427043031</v>
      </c>
      <c r="E44" s="84">
        <f>IF(E8=0,0,E8/TrAvia_act!E26*1000000)</f>
        <v>18708.669104850585</v>
      </c>
      <c r="F44" s="84">
        <f>IF(F8=0,0,F8/TrAvia_act!F26*1000000)</f>
        <v>18366.443988638857</v>
      </c>
      <c r="G44" s="84">
        <f>IF(G8=0,0,G8/TrAvia_act!G26*1000000)</f>
        <v>17630.094837287881</v>
      </c>
      <c r="H44" s="84">
        <f>IF(H8=0,0,H8/TrAvia_act!H26*1000000)</f>
        <v>18124.489628731626</v>
      </c>
      <c r="I44" s="84">
        <f>IF(I8=0,0,I8/TrAvia_act!I26*1000000)</f>
        <v>17323.508541152045</v>
      </c>
      <c r="J44" s="84">
        <f>IF(J8=0,0,J8/TrAvia_act!J26*1000000)</f>
        <v>17311.478969932599</v>
      </c>
      <c r="K44" s="84">
        <f>IF(K8=0,0,K8/TrAvia_act!K26*1000000)</f>
        <v>17538.978384204314</v>
      </c>
      <c r="L44" s="84">
        <f>IF(L8=0,0,L8/TrAvia_act!L26*1000000)</f>
        <v>16403.264258397274</v>
      </c>
      <c r="M44" s="84">
        <f>IF(M8=0,0,M8/TrAvia_act!M26*1000000)</f>
        <v>18435.526065031547</v>
      </c>
      <c r="N44" s="84">
        <f>IF(N8=0,0,N8/TrAvia_act!N26*1000000)</f>
        <v>18725.925911003655</v>
      </c>
      <c r="O44" s="84">
        <f>IF(O8=0,0,O8/TrAvia_act!O26*1000000)</f>
        <v>18800.224542733606</v>
      </c>
      <c r="P44" s="84">
        <f>IF(P8=0,0,P8/TrAvia_act!P26*1000000)</f>
        <v>18498.529768258333</v>
      </c>
      <c r="Q44" s="84">
        <f>IF(Q8=0,0,Q8/TrAvia_act!Q26*1000000)</f>
        <v>18916.512764305688</v>
      </c>
      <c r="R44" s="84">
        <f>IF(R8=0,0,R8/TrAvia_act!R26*1000000)</f>
        <v>18937.503907881844</v>
      </c>
      <c r="S44" s="84">
        <f>IF(S8=0,0,S8/TrAvia_act!S26*1000000)</f>
        <v>19675.505380078088</v>
      </c>
      <c r="T44" s="84">
        <f>IF(T8=0,0,T8/TrAvia_act!T26*1000000)</f>
        <v>19581.009410905437</v>
      </c>
      <c r="U44" s="84">
        <f>IF(U8=0,0,U8/TrAvia_act!U26*1000000)</f>
        <v>19757.665477977265</v>
      </c>
      <c r="V44" s="84">
        <f>IF(V8=0,0,V8/TrAvia_act!V26*1000000)</f>
        <v>16142.644698866143</v>
      </c>
      <c r="W44" s="84">
        <f>IF(W8=0,0,W8/TrAvia_act!W26*1000000)</f>
        <v>13592.630152769956</v>
      </c>
      <c r="X44" s="84">
        <f>IF(X8=0,0,X8/TrAvia_act!X26*1000000)</f>
        <v>16407.850999786297</v>
      </c>
      <c r="Y44" s="84">
        <f>IF(Y8=0,0,Y8/TrAvia_act!Y26*1000000)</f>
        <v>17361.434282821974</v>
      </c>
      <c r="DA44" s="171" t="s">
        <v>355</v>
      </c>
    </row>
    <row r="45" spans="1:105" ht="11.45" customHeight="1" x14ac:dyDescent="0.25">
      <c r="A45" s="83" t="s">
        <v>182</v>
      </c>
      <c r="B45" s="84">
        <f>IF(B9=0,0,B9/TrAvia_act!B27*1000000)</f>
        <v>89146.523909954092</v>
      </c>
      <c r="C45" s="84">
        <f>IF(C9=0,0,C9/TrAvia_act!C27*1000000)</f>
        <v>99723.466323358371</v>
      </c>
      <c r="D45" s="84">
        <f>IF(D9=0,0,D9/TrAvia_act!D27*1000000)</f>
        <v>87375.490968581114</v>
      </c>
      <c r="E45" s="84">
        <f>IF(E9=0,0,E9/TrAvia_act!E27*1000000)</f>
        <v>101465.10224141882</v>
      </c>
      <c r="F45" s="84">
        <f>IF(F9=0,0,F9/TrAvia_act!F27*1000000)</f>
        <v>99637.851113021476</v>
      </c>
      <c r="G45" s="84">
        <f>IF(G9=0,0,G9/TrAvia_act!G27*1000000)</f>
        <v>88333.662085839227</v>
      </c>
      <c r="H45" s="84">
        <f>IF(H9=0,0,H9/TrAvia_act!H27*1000000)</f>
        <v>79996.411661388469</v>
      </c>
      <c r="I45" s="84">
        <f>IF(I9=0,0,I9/TrAvia_act!I27*1000000)</f>
        <v>70065.407013714124</v>
      </c>
      <c r="J45" s="84">
        <f>IF(J9=0,0,J9/TrAvia_act!J27*1000000)</f>
        <v>66769.383161932565</v>
      </c>
      <c r="K45" s="84">
        <f>IF(K9=0,0,K9/TrAvia_act!K27*1000000)</f>
        <v>68867.689498451102</v>
      </c>
      <c r="L45" s="84">
        <f>IF(L9=0,0,L9/TrAvia_act!L27*1000000)</f>
        <v>60959.900475899274</v>
      </c>
      <c r="M45" s="84">
        <f>IF(M9=0,0,M9/TrAvia_act!M27*1000000)</f>
        <v>66678.144544755123</v>
      </c>
      <c r="N45" s="84">
        <f>IF(N9=0,0,N9/TrAvia_act!N27*1000000)</f>
        <v>69034.987407864683</v>
      </c>
      <c r="O45" s="84">
        <f>IF(O9=0,0,O9/TrAvia_act!O27*1000000)</f>
        <v>63576.697079318888</v>
      </c>
      <c r="P45" s="84">
        <f>IF(P9=0,0,P9/TrAvia_act!P27*1000000)</f>
        <v>62054.553707963591</v>
      </c>
      <c r="Q45" s="84">
        <f>IF(Q9=0,0,Q9/TrAvia_act!Q27*1000000)</f>
        <v>66459.193220150642</v>
      </c>
      <c r="R45" s="84">
        <f>IF(R9=0,0,R9/TrAvia_act!R27*1000000)</f>
        <v>64257.354583296219</v>
      </c>
      <c r="S45" s="84">
        <f>IF(S9=0,0,S9/TrAvia_act!S27*1000000)</f>
        <v>63303.426144643934</v>
      </c>
      <c r="T45" s="84">
        <f>IF(T9=0,0,T9/TrAvia_act!T27*1000000)</f>
        <v>63139.009560163911</v>
      </c>
      <c r="U45" s="84">
        <f>IF(U9=0,0,U9/TrAvia_act!U27*1000000)</f>
        <v>62808.126575789451</v>
      </c>
      <c r="V45" s="84">
        <f>IF(V9=0,0,V9/TrAvia_act!V27*1000000)</f>
        <v>104095.88070860776</v>
      </c>
      <c r="W45" s="84">
        <f>IF(W9=0,0,W9/TrAvia_act!W27*1000000)</f>
        <v>78577.289918283714</v>
      </c>
      <c r="X45" s="84">
        <f>IF(X9=0,0,X9/TrAvia_act!X27*1000000)</f>
        <v>58258.023133583214</v>
      </c>
      <c r="Y45" s="84">
        <f>IF(Y9=0,0,Y9/TrAvia_act!Y27*1000000)</f>
        <v>52985.299802061927</v>
      </c>
      <c r="DA45" s="171" t="s">
        <v>356</v>
      </c>
    </row>
    <row r="46" spans="1:105" ht="11.45" customHeight="1" x14ac:dyDescent="0.25">
      <c r="A46" s="12" t="s">
        <v>34</v>
      </c>
      <c r="B46" s="13">
        <f>IF(B10=0,0,B10/TrAvia_act!B28*1000000)</f>
        <v>18385.802976764859</v>
      </c>
      <c r="C46" s="13">
        <f>IF(C10=0,0,C10/TrAvia_act!C28*1000000)</f>
        <v>20428.850943475009</v>
      </c>
      <c r="D46" s="13">
        <f>IF(D10=0,0,D10/TrAvia_act!D28*1000000)</f>
        <v>18817.354895829714</v>
      </c>
      <c r="E46" s="13">
        <f>IF(E10=0,0,E10/TrAvia_act!E28*1000000)</f>
        <v>21679.631785797752</v>
      </c>
      <c r="F46" s="13">
        <f>IF(F10=0,0,F10/TrAvia_act!F28*1000000)</f>
        <v>20997.834864346652</v>
      </c>
      <c r="G46" s="13">
        <f>IF(G10=0,0,G10/TrAvia_act!G28*1000000)</f>
        <v>20401.313945129183</v>
      </c>
      <c r="H46" s="13">
        <f>IF(H10=0,0,H10/TrAvia_act!H28*1000000)</f>
        <v>20436.090571904977</v>
      </c>
      <c r="I46" s="13">
        <f>IF(I10=0,0,I10/TrAvia_act!I28*1000000)</f>
        <v>20717.827512992833</v>
      </c>
      <c r="J46" s="13">
        <f>IF(J10=0,0,J10/TrAvia_act!J28*1000000)</f>
        <v>20804.829396754336</v>
      </c>
      <c r="K46" s="13">
        <f>IF(K10=0,0,K10/TrAvia_act!K28*1000000)</f>
        <v>21402.877260759833</v>
      </c>
      <c r="L46" s="13">
        <f>IF(L10=0,0,L10/TrAvia_act!L28*1000000)</f>
        <v>23092.154912091726</v>
      </c>
      <c r="M46" s="13">
        <f>IF(M10=0,0,M10/TrAvia_act!M28*1000000)</f>
        <v>23917.042372763714</v>
      </c>
      <c r="N46" s="13">
        <f>IF(N10=0,0,N10/TrAvia_act!N28*1000000)</f>
        <v>23830.391289828211</v>
      </c>
      <c r="O46" s="13">
        <f>IF(O10=0,0,O10/TrAvia_act!O28*1000000)</f>
        <v>24025.991669841704</v>
      </c>
      <c r="P46" s="13">
        <f>IF(P10=0,0,P10/TrAvia_act!P28*1000000)</f>
        <v>25072.325449184944</v>
      </c>
      <c r="Q46" s="13">
        <f>IF(Q10=0,0,Q10/TrAvia_act!Q28*1000000)</f>
        <v>27762.96642884317</v>
      </c>
      <c r="R46" s="13">
        <f>IF(R10=0,0,R10/TrAvia_act!R28*1000000)</f>
        <v>28990.419352432997</v>
      </c>
      <c r="S46" s="13">
        <f>IF(S10=0,0,S10/TrAvia_act!S28*1000000)</f>
        <v>31099.808949939765</v>
      </c>
      <c r="T46" s="13">
        <f>IF(T10=0,0,T10/TrAvia_act!T28*1000000)</f>
        <v>32596.431392741342</v>
      </c>
      <c r="U46" s="13">
        <f>IF(U10=0,0,U10/TrAvia_act!U28*1000000)</f>
        <v>30387.284415051177</v>
      </c>
      <c r="V46" s="13">
        <f>IF(V10=0,0,V10/TrAvia_act!V28*1000000)</f>
        <v>27567.649660272695</v>
      </c>
      <c r="W46" s="13">
        <f>IF(W10=0,0,W10/TrAvia_act!W28*1000000)</f>
        <v>24522.460430313335</v>
      </c>
      <c r="X46" s="13">
        <f>IF(X10=0,0,X10/TrAvia_act!X28*1000000)</f>
        <v>23991.795384746965</v>
      </c>
      <c r="Y46" s="13">
        <f>IF(Y10=0,0,Y10/TrAvia_act!Y28*1000000)</f>
        <v>28371.728599275044</v>
      </c>
      <c r="DA46" s="193" t="s">
        <v>357</v>
      </c>
    </row>
    <row r="47" spans="1:105" ht="11.45" customHeight="1" x14ac:dyDescent="0.25">
      <c r="A47" s="92" t="s">
        <v>27</v>
      </c>
      <c r="B47" s="102">
        <f>IF(B11=0,0,B11/TrAvia_act!B29*1000000)</f>
        <v>13363.993207120227</v>
      </c>
      <c r="C47" s="102">
        <f>IF(C11=0,0,C11/TrAvia_act!C29*1000000)</f>
        <v>14509.244819024614</v>
      </c>
      <c r="D47" s="102">
        <f>IF(D11=0,0,D11/TrAvia_act!D29*1000000)</f>
        <v>14229.003686987853</v>
      </c>
      <c r="E47" s="102">
        <f>IF(E11=0,0,E11/TrAvia_act!E29*1000000)</f>
        <v>14612.804521015994</v>
      </c>
      <c r="F47" s="102">
        <f>IF(F11=0,0,F11/TrAvia_act!F29*1000000)</f>
        <v>14477.079097097887</v>
      </c>
      <c r="G47" s="102">
        <f>IF(G11=0,0,G11/TrAvia_act!G29*1000000)</f>
        <v>15246.453695931978</v>
      </c>
      <c r="H47" s="102">
        <f>IF(H11=0,0,H11/TrAvia_act!H29*1000000)</f>
        <v>15373.610817819985</v>
      </c>
      <c r="I47" s="102">
        <f>IF(I11=0,0,I11/TrAvia_act!I29*1000000)</f>
        <v>15450.351506917636</v>
      </c>
      <c r="J47" s="102">
        <f>IF(J11=0,0,J11/TrAvia_act!J29*1000000)</f>
        <v>15637.32177576906</v>
      </c>
      <c r="K47" s="102">
        <f>IF(K11=0,0,K11/TrAvia_act!K29*1000000)</f>
        <v>15656.732622817932</v>
      </c>
      <c r="L47" s="102">
        <f>IF(L11=0,0,L11/TrAvia_act!L29*1000000)</f>
        <v>18016.086126123777</v>
      </c>
      <c r="M47" s="102">
        <f>IF(M11=0,0,M11/TrAvia_act!M29*1000000)</f>
        <v>16480.532208311004</v>
      </c>
      <c r="N47" s="102">
        <f>IF(N11=0,0,N11/TrAvia_act!N29*1000000)</f>
        <v>16952.407534261703</v>
      </c>
      <c r="O47" s="102">
        <f>IF(O11=0,0,O11/TrAvia_act!O29*1000000)</f>
        <v>17241.215990369412</v>
      </c>
      <c r="P47" s="102">
        <f>IF(P11=0,0,P11/TrAvia_act!P29*1000000)</f>
        <v>17936.621527921663</v>
      </c>
      <c r="Q47" s="102">
        <f>IF(Q11=0,0,Q11/TrAvia_act!Q29*1000000)</f>
        <v>18977.838895960504</v>
      </c>
      <c r="R47" s="102">
        <f>IF(R11=0,0,R11/TrAvia_act!R29*1000000)</f>
        <v>20118.56722826487</v>
      </c>
      <c r="S47" s="102">
        <f>IF(S11=0,0,S11/TrAvia_act!S29*1000000)</f>
        <v>20762.409182935113</v>
      </c>
      <c r="T47" s="102">
        <f>IF(T11=0,0,T11/TrAvia_act!T29*1000000)</f>
        <v>19420.820141619064</v>
      </c>
      <c r="U47" s="102">
        <f>IF(U11=0,0,U11/TrAvia_act!U29*1000000)</f>
        <v>19688.250935864657</v>
      </c>
      <c r="V47" s="102">
        <f>IF(V11=0,0,V11/TrAvia_act!V29*1000000)</f>
        <v>15102.656132443884</v>
      </c>
      <c r="W47" s="102">
        <f>IF(W11=0,0,W11/TrAvia_act!W29*1000000)</f>
        <v>17857.453442236376</v>
      </c>
      <c r="X47" s="102">
        <f>IF(X11=0,0,X11/TrAvia_act!X29*1000000)</f>
        <v>16625.008385342753</v>
      </c>
      <c r="Y47" s="102">
        <f>IF(Y11=0,0,Y11/TrAvia_act!Y29*1000000)</f>
        <v>16516.979581891894</v>
      </c>
      <c r="DA47" s="175" t="s">
        <v>358</v>
      </c>
    </row>
    <row r="48" spans="1:105" ht="11.45" customHeight="1" x14ac:dyDescent="0.25">
      <c r="A48" s="92" t="s">
        <v>181</v>
      </c>
      <c r="B48" s="102">
        <f>IF(B12=0,0,B12/TrAvia_act!B30*1000000)</f>
        <v>11107.954600995063</v>
      </c>
      <c r="C48" s="102">
        <f>IF(C12=0,0,C12/TrAvia_act!C30*1000000)</f>
        <v>12410.391656727168</v>
      </c>
      <c r="D48" s="102">
        <f>IF(D12=0,0,D12/TrAvia_act!D30*1000000)</f>
        <v>10884.726600776448</v>
      </c>
      <c r="E48" s="102">
        <f>IF(E12=0,0,E12/TrAvia_act!E30*1000000)</f>
        <v>12745.664817481482</v>
      </c>
      <c r="F48" s="102">
        <f>IF(F12=0,0,F12/TrAvia_act!F30*1000000)</f>
        <v>12490.59538929229</v>
      </c>
      <c r="G48" s="102">
        <f>IF(G12=0,0,G12/TrAvia_act!G30*1000000)</f>
        <v>11922.530209340322</v>
      </c>
      <c r="H48" s="102">
        <f>IF(H12=0,0,H12/TrAvia_act!H30*1000000)</f>
        <v>12320.292348820731</v>
      </c>
      <c r="I48" s="102">
        <f>IF(I12=0,0,I12/TrAvia_act!I30*1000000)</f>
        <v>11668.147865115494</v>
      </c>
      <c r="J48" s="102">
        <f>IF(J12=0,0,J12/TrAvia_act!J30*1000000)</f>
        <v>11574.443967694548</v>
      </c>
      <c r="K48" s="102">
        <f>IF(K12=0,0,K12/TrAvia_act!K30*1000000)</f>
        <v>11931.618688030103</v>
      </c>
      <c r="L48" s="102">
        <f>IF(L12=0,0,L12/TrAvia_act!L30*1000000)</f>
        <v>11056.003640286597</v>
      </c>
      <c r="M48" s="102">
        <f>IF(M12=0,0,M12/TrAvia_act!M30*1000000)</f>
        <v>12060.112915333049</v>
      </c>
      <c r="N48" s="102">
        <f>IF(N12=0,0,N12/TrAvia_act!N30*1000000)</f>
        <v>12170.194636890114</v>
      </c>
      <c r="O48" s="102">
        <f>IF(O12=0,0,O12/TrAvia_act!O30*1000000)</f>
        <v>11921.359108879074</v>
      </c>
      <c r="P48" s="102">
        <f>IF(P12=0,0,P12/TrAvia_act!P30*1000000)</f>
        <v>11422.731022768208</v>
      </c>
      <c r="Q48" s="102">
        <f>IF(Q12=0,0,Q12/TrAvia_act!Q30*1000000)</f>
        <v>11590.572959366667</v>
      </c>
      <c r="R48" s="102">
        <f>IF(R12=0,0,R12/TrAvia_act!R30*1000000)</f>
        <v>11426.34547158701</v>
      </c>
      <c r="S48" s="102">
        <f>IF(S12=0,0,S12/TrAvia_act!S30*1000000)</f>
        <v>11638.705518820361</v>
      </c>
      <c r="T48" s="102">
        <f>IF(T12=0,0,T12/TrAvia_act!T30*1000000)</f>
        <v>11529.29044577169</v>
      </c>
      <c r="U48" s="102">
        <f>IF(U12=0,0,U12/TrAvia_act!U30*1000000)</f>
        <v>11969.433815604361</v>
      </c>
      <c r="V48" s="102">
        <f>IF(V12=0,0,V12/TrAvia_act!V30*1000000)</f>
        <v>10434.325467207538</v>
      </c>
      <c r="W48" s="102">
        <f>IF(W12=0,0,W12/TrAvia_act!W30*1000000)</f>
        <v>9078.0695160918622</v>
      </c>
      <c r="X48" s="102">
        <f>IF(X12=0,0,X12/TrAvia_act!X30*1000000)</f>
        <v>10264.697729685104</v>
      </c>
      <c r="Y48" s="102">
        <f>IF(Y12=0,0,Y12/TrAvia_act!Y30*1000000)</f>
        <v>11395.500145987606</v>
      </c>
      <c r="DA48" s="175" t="s">
        <v>359</v>
      </c>
    </row>
    <row r="49" spans="1:105" ht="11.45" customHeight="1" x14ac:dyDescent="0.25">
      <c r="A49" s="85" t="s">
        <v>182</v>
      </c>
      <c r="B49" s="86">
        <f>IF(B13=0,0,B13/TrAvia_act!B31*1000000)</f>
        <v>78556.577239584076</v>
      </c>
      <c r="C49" s="86">
        <f>IF(C13=0,0,C13/TrAvia_act!C31*1000000)</f>
        <v>87877.057245024305</v>
      </c>
      <c r="D49" s="86">
        <f>IF(D13=0,0,D13/TrAvia_act!D31*1000000)</f>
        <v>76995.929892376895</v>
      </c>
      <c r="E49" s="86">
        <f>IF(E13=0,0,E13/TrAvia_act!E31*1000000)</f>
        <v>89411.799717524424</v>
      </c>
      <c r="F49" s="86">
        <f>IF(F13=0,0,F13/TrAvia_act!F31*1000000)</f>
        <v>87801.612487464241</v>
      </c>
      <c r="G49" s="86">
        <f>IF(G13=0,0,G13/TrAvia_act!G31*1000000)</f>
        <v>77845.964785121687</v>
      </c>
      <c r="H49" s="86">
        <f>IF(H13=0,0,H13/TrAvia_act!H31*1000000)</f>
        <v>70707.062452538026</v>
      </c>
      <c r="I49" s="86">
        <f>IF(I13=0,0,I13/TrAvia_act!I31*1000000)</f>
        <v>61955.159392474074</v>
      </c>
      <c r="J49" s="86">
        <f>IF(J13=0,0,J13/TrAvia_act!J31*1000000)</f>
        <v>59095.466690509587</v>
      </c>
      <c r="K49" s="86">
        <f>IF(K13=0,0,K13/TrAvia_act!K31*1000000)</f>
        <v>60966.189195184234</v>
      </c>
      <c r="L49" s="86">
        <f>IF(L13=0,0,L13/TrAvia_act!L31*1000000)</f>
        <v>54047.832805588892</v>
      </c>
      <c r="M49" s="86">
        <f>IF(M13=0,0,M13/TrAvia_act!M31*1000000)</f>
        <v>54395.053722997451</v>
      </c>
      <c r="N49" s="86">
        <f>IF(N13=0,0,N13/TrAvia_act!N31*1000000)</f>
        <v>49625.700996562817</v>
      </c>
      <c r="O49" s="86">
        <f>IF(O13=0,0,O13/TrAvia_act!O31*1000000)</f>
        <v>50008.095488493294</v>
      </c>
      <c r="P49" s="86">
        <f>IF(P13=0,0,P13/TrAvia_act!P31*1000000)</f>
        <v>53981.040036653809</v>
      </c>
      <c r="Q49" s="86">
        <f>IF(Q13=0,0,Q13/TrAvia_act!Q31*1000000)</f>
        <v>62152.484521468934</v>
      </c>
      <c r="R49" s="86">
        <f>IF(R13=0,0,R13/TrAvia_act!R31*1000000)</f>
        <v>64329.407017307327</v>
      </c>
      <c r="S49" s="86">
        <f>IF(S13=0,0,S13/TrAvia_act!S31*1000000)</f>
        <v>67560.666854808776</v>
      </c>
      <c r="T49" s="86">
        <f>IF(T13=0,0,T13/TrAvia_act!T31*1000000)</f>
        <v>71473.428328812617</v>
      </c>
      <c r="U49" s="86">
        <f>IF(U13=0,0,U13/TrAvia_act!U31*1000000)</f>
        <v>62870.254711215937</v>
      </c>
      <c r="V49" s="86">
        <f>IF(V13=0,0,V13/TrAvia_act!V31*1000000)</f>
        <v>61602.891828288382</v>
      </c>
      <c r="W49" s="86">
        <f>IF(W13=0,0,W13/TrAvia_act!W31*1000000)</f>
        <v>47657.917347856375</v>
      </c>
      <c r="X49" s="86">
        <f>IF(X13=0,0,X13/TrAvia_act!X31*1000000)</f>
        <v>45812.687371474545</v>
      </c>
      <c r="Y49" s="86">
        <f>IF(Y13=0,0,Y13/TrAvia_act!Y31*1000000)</f>
        <v>52278.496288361552</v>
      </c>
      <c r="DA49" s="178" t="s">
        <v>360</v>
      </c>
    </row>
    <row r="50" spans="1:105" x14ac:dyDescent="0.25">
      <c r="A50" s="50"/>
      <c r="B50" s="50"/>
      <c r="C50" s="50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DA50" s="181"/>
    </row>
    <row r="51" spans="1:105" ht="11.45" customHeight="1" x14ac:dyDescent="0.25">
      <c r="A51" s="53" t="s">
        <v>41</v>
      </c>
      <c r="B51" s="76">
        <f t="shared" ref="B51:C51" si="33">IF(B3=0,0,B3/B$3)</f>
        <v>1</v>
      </c>
      <c r="C51" s="76">
        <f t="shared" si="33"/>
        <v>1</v>
      </c>
      <c r="D51" s="76">
        <f t="shared" ref="D51:V51" si="34">IF(D3=0,0,D3/D$3)</f>
        <v>1</v>
      </c>
      <c r="E51" s="76">
        <f t="shared" si="34"/>
        <v>1</v>
      </c>
      <c r="F51" s="76">
        <f t="shared" si="34"/>
        <v>1</v>
      </c>
      <c r="G51" s="76">
        <f t="shared" si="34"/>
        <v>1</v>
      </c>
      <c r="H51" s="76">
        <f t="shared" si="34"/>
        <v>1</v>
      </c>
      <c r="I51" s="76">
        <f t="shared" si="34"/>
        <v>1</v>
      </c>
      <c r="J51" s="76">
        <f t="shared" si="34"/>
        <v>1</v>
      </c>
      <c r="K51" s="76">
        <f t="shared" si="34"/>
        <v>1</v>
      </c>
      <c r="L51" s="76">
        <f t="shared" si="34"/>
        <v>1</v>
      </c>
      <c r="M51" s="76">
        <f t="shared" si="34"/>
        <v>1</v>
      </c>
      <c r="N51" s="76">
        <f t="shared" si="34"/>
        <v>1</v>
      </c>
      <c r="O51" s="76">
        <f t="shared" si="34"/>
        <v>1</v>
      </c>
      <c r="P51" s="76">
        <f t="shared" si="34"/>
        <v>1</v>
      </c>
      <c r="Q51" s="76">
        <f t="shared" si="34"/>
        <v>1</v>
      </c>
      <c r="R51" s="76">
        <f t="shared" si="34"/>
        <v>1</v>
      </c>
      <c r="S51" s="76">
        <f t="shared" si="34"/>
        <v>1</v>
      </c>
      <c r="T51" s="76">
        <f t="shared" si="34"/>
        <v>1</v>
      </c>
      <c r="U51" s="76">
        <f t="shared" si="34"/>
        <v>1</v>
      </c>
      <c r="V51" s="76">
        <f t="shared" si="34"/>
        <v>1</v>
      </c>
      <c r="W51" s="76">
        <f t="shared" ref="W51:Y51" si="35">IF(W3=0,0,W3/W$3)</f>
        <v>1</v>
      </c>
      <c r="X51" s="76">
        <f t="shared" si="35"/>
        <v>1</v>
      </c>
      <c r="Y51" s="76">
        <f t="shared" si="35"/>
        <v>1</v>
      </c>
      <c r="DA51" s="183"/>
    </row>
    <row r="52" spans="1:105" ht="11.45" customHeight="1" x14ac:dyDescent="0.25">
      <c r="A52" s="10" t="s">
        <v>33</v>
      </c>
      <c r="B52" s="16">
        <f t="shared" ref="B52:C52" si="36">IF(B6=0,0,B6/B$3)</f>
        <v>0.97493457690271479</v>
      </c>
      <c r="C52" s="16">
        <f t="shared" si="36"/>
        <v>0.97380009962522074</v>
      </c>
      <c r="D52" s="16">
        <f t="shared" ref="D52:V52" si="37">IF(D6=0,0,D6/D$3)</f>
        <v>0.97589772981121836</v>
      </c>
      <c r="E52" s="16">
        <f t="shared" si="37"/>
        <v>0.97642106646433435</v>
      </c>
      <c r="F52" s="16">
        <f t="shared" si="37"/>
        <v>0.97300154030032349</v>
      </c>
      <c r="G52" s="16">
        <f t="shared" si="37"/>
        <v>0.97609985947417977</v>
      </c>
      <c r="H52" s="16">
        <f t="shared" si="37"/>
        <v>0.97689894480381601</v>
      </c>
      <c r="I52" s="16">
        <f t="shared" si="37"/>
        <v>0.97850274804758153</v>
      </c>
      <c r="J52" s="16">
        <f t="shared" si="37"/>
        <v>0.97833202125861207</v>
      </c>
      <c r="K52" s="16">
        <f t="shared" si="37"/>
        <v>0.97963227662135033</v>
      </c>
      <c r="L52" s="16">
        <f t="shared" si="37"/>
        <v>0.97794997952792917</v>
      </c>
      <c r="M52" s="16">
        <f t="shared" si="37"/>
        <v>0.98002194402804199</v>
      </c>
      <c r="N52" s="16">
        <f t="shared" si="37"/>
        <v>0.98133793254009549</v>
      </c>
      <c r="O52" s="16">
        <f t="shared" si="37"/>
        <v>0.98104804154540448</v>
      </c>
      <c r="P52" s="16">
        <f t="shared" si="37"/>
        <v>0.98245391733312049</v>
      </c>
      <c r="Q52" s="16">
        <f t="shared" si="37"/>
        <v>0.981675210340059</v>
      </c>
      <c r="R52" s="16">
        <f t="shared" si="37"/>
        <v>0.98354926766743822</v>
      </c>
      <c r="S52" s="16">
        <f t="shared" si="37"/>
        <v>0.98093790005967019</v>
      </c>
      <c r="T52" s="16">
        <f t="shared" si="37"/>
        <v>0.98042614566532771</v>
      </c>
      <c r="U52" s="16">
        <f t="shared" si="37"/>
        <v>0.98255193638846794</v>
      </c>
      <c r="V52" s="16">
        <f t="shared" si="37"/>
        <v>0.95729293272379024</v>
      </c>
      <c r="W52" s="16">
        <f t="shared" ref="W52:Y52" si="38">IF(W6=0,0,W6/W$3)</f>
        <v>0.96721525838537692</v>
      </c>
      <c r="X52" s="16">
        <f t="shared" si="38"/>
        <v>0.98058032304148457</v>
      </c>
      <c r="Y52" s="16">
        <f t="shared" si="38"/>
        <v>0.98033921696123061</v>
      </c>
      <c r="DA52" s="190"/>
    </row>
    <row r="53" spans="1:105" ht="11.45" customHeight="1" x14ac:dyDescent="0.25">
      <c r="A53" s="83" t="s">
        <v>27</v>
      </c>
      <c r="B53" s="103">
        <f t="shared" ref="B53:C53" si="39">IF(B7=0,0,B7/B$3)</f>
        <v>0.38561374663814763</v>
      </c>
      <c r="C53" s="103">
        <f t="shared" si="39"/>
        <v>0.37966933557907184</v>
      </c>
      <c r="D53" s="103">
        <f t="shared" ref="D53:V53" si="40">IF(D7=0,0,D7/D$3)</f>
        <v>0.37207990546859931</v>
      </c>
      <c r="E53" s="103">
        <f t="shared" si="40"/>
        <v>0.3737995262681903</v>
      </c>
      <c r="F53" s="103">
        <f t="shared" si="40"/>
        <v>0.37149867172163969</v>
      </c>
      <c r="G53" s="103">
        <f t="shared" si="40"/>
        <v>0.40785589893687613</v>
      </c>
      <c r="H53" s="103">
        <f t="shared" si="40"/>
        <v>0.41024315265463529</v>
      </c>
      <c r="I53" s="103">
        <f t="shared" si="40"/>
        <v>0.4113346300124503</v>
      </c>
      <c r="J53" s="103">
        <f t="shared" si="40"/>
        <v>0.40186033336979143</v>
      </c>
      <c r="K53" s="103">
        <f t="shared" si="40"/>
        <v>0.39117505800954466</v>
      </c>
      <c r="L53" s="103">
        <f t="shared" si="40"/>
        <v>0.42738965945957463</v>
      </c>
      <c r="M53" s="103">
        <f t="shared" si="40"/>
        <v>0.36040663480810192</v>
      </c>
      <c r="N53" s="103">
        <f t="shared" si="40"/>
        <v>0.33082448786627305</v>
      </c>
      <c r="O53" s="103">
        <f t="shared" si="40"/>
        <v>0.29684738585564374</v>
      </c>
      <c r="P53" s="103">
        <f t="shared" si="40"/>
        <v>0.30579294150629277</v>
      </c>
      <c r="Q53" s="103">
        <f t="shared" si="40"/>
        <v>0.31123764164168677</v>
      </c>
      <c r="R53" s="103">
        <f t="shared" si="40"/>
        <v>0.31742100205309787</v>
      </c>
      <c r="S53" s="103">
        <f t="shared" si="40"/>
        <v>0.31627150768679635</v>
      </c>
      <c r="T53" s="103">
        <f t="shared" si="40"/>
        <v>0.31659086451747337</v>
      </c>
      <c r="U53" s="103">
        <f t="shared" si="40"/>
        <v>0.32394183603089965</v>
      </c>
      <c r="V53" s="103">
        <f t="shared" si="40"/>
        <v>0.37234384865493442</v>
      </c>
      <c r="W53" s="103">
        <f t="shared" ref="W53:Y53" si="41">IF(W7=0,0,W7/W$3)</f>
        <v>0.46821803851832328</v>
      </c>
      <c r="X53" s="103">
        <f t="shared" si="41"/>
        <v>0.40281680261307096</v>
      </c>
      <c r="Y53" s="103">
        <f t="shared" si="41"/>
        <v>0.37944935173503808</v>
      </c>
      <c r="DA53" s="191"/>
    </row>
    <row r="54" spans="1:105" ht="11.45" customHeight="1" x14ac:dyDescent="0.25">
      <c r="A54" s="83" t="s">
        <v>181</v>
      </c>
      <c r="B54" s="103">
        <f t="shared" ref="B54:C54" si="42">IF(B8=0,0,B8/B$3)</f>
        <v>0.36025869750241712</v>
      </c>
      <c r="C54" s="103">
        <f t="shared" si="42"/>
        <v>0.40176881869050618</v>
      </c>
      <c r="D54" s="103">
        <f t="shared" ref="D54:V54" si="43">IF(D8=0,0,D8/D$3)</f>
        <v>0.3802700087797517</v>
      </c>
      <c r="E54" s="103">
        <f t="shared" si="43"/>
        <v>0.43636984117280775</v>
      </c>
      <c r="F54" s="103">
        <f t="shared" si="43"/>
        <v>0.41765902017406348</v>
      </c>
      <c r="G54" s="103">
        <f t="shared" si="43"/>
        <v>0.39623027822835039</v>
      </c>
      <c r="H54" s="103">
        <f t="shared" si="43"/>
        <v>0.39802871918228871</v>
      </c>
      <c r="I54" s="103">
        <f t="shared" si="43"/>
        <v>0.40106323947992384</v>
      </c>
      <c r="J54" s="103">
        <f t="shared" si="43"/>
        <v>0.40350191582725958</v>
      </c>
      <c r="K54" s="103">
        <f t="shared" si="43"/>
        <v>0.4008210179407985</v>
      </c>
      <c r="L54" s="103">
        <f t="shared" si="43"/>
        <v>0.37279110065477095</v>
      </c>
      <c r="M54" s="103">
        <f t="shared" si="43"/>
        <v>0.42527194521256545</v>
      </c>
      <c r="N54" s="103">
        <f t="shared" si="43"/>
        <v>0.44274003038464499</v>
      </c>
      <c r="O54" s="103">
        <f t="shared" si="43"/>
        <v>0.46886158760134328</v>
      </c>
      <c r="P54" s="103">
        <f t="shared" si="43"/>
        <v>0.46634065828466448</v>
      </c>
      <c r="Q54" s="103">
        <f t="shared" si="43"/>
        <v>0.46210260472215381</v>
      </c>
      <c r="R54" s="103">
        <f t="shared" si="43"/>
        <v>0.47389902951840579</v>
      </c>
      <c r="S54" s="103">
        <f t="shared" si="43"/>
        <v>0.48035810264883855</v>
      </c>
      <c r="T54" s="103">
        <f t="shared" si="43"/>
        <v>0.47495627342184438</v>
      </c>
      <c r="U54" s="103">
        <f t="shared" si="43"/>
        <v>0.46628718949069914</v>
      </c>
      <c r="V54" s="103">
        <f t="shared" si="43"/>
        <v>0.35037295945130326</v>
      </c>
      <c r="W54" s="103">
        <f t="shared" ref="W54:Y54" si="44">IF(W8=0,0,W8/W$3)</f>
        <v>0.32011124986961481</v>
      </c>
      <c r="X54" s="103">
        <f t="shared" si="44"/>
        <v>0.41562904002002382</v>
      </c>
      <c r="Y54" s="103">
        <f t="shared" si="44"/>
        <v>0.43033582196834685</v>
      </c>
      <c r="DA54" s="191"/>
    </row>
    <row r="55" spans="1:105" ht="11.45" customHeight="1" x14ac:dyDescent="0.25">
      <c r="A55" s="83" t="s">
        <v>182</v>
      </c>
      <c r="B55" s="103">
        <f t="shared" ref="B55:C55" si="45">IF(B9=0,0,B9/B$3)</f>
        <v>0.22906213276214993</v>
      </c>
      <c r="C55" s="103">
        <f t="shared" si="45"/>
        <v>0.19236194535564269</v>
      </c>
      <c r="D55" s="103">
        <f t="shared" ref="D55:V55" si="46">IF(D9=0,0,D9/D$3)</f>
        <v>0.22354781556286735</v>
      </c>
      <c r="E55" s="103">
        <f t="shared" si="46"/>
        <v>0.16625169902333634</v>
      </c>
      <c r="F55" s="103">
        <f t="shared" si="46"/>
        <v>0.18384384840462017</v>
      </c>
      <c r="G55" s="103">
        <f t="shared" si="46"/>
        <v>0.17201368230895339</v>
      </c>
      <c r="H55" s="103">
        <f t="shared" si="46"/>
        <v>0.168627072966892</v>
      </c>
      <c r="I55" s="103">
        <f t="shared" si="46"/>
        <v>0.16610487855520725</v>
      </c>
      <c r="J55" s="103">
        <f t="shared" si="46"/>
        <v>0.17296977206156108</v>
      </c>
      <c r="K55" s="103">
        <f t="shared" si="46"/>
        <v>0.18763620067100714</v>
      </c>
      <c r="L55" s="103">
        <f t="shared" si="46"/>
        <v>0.17776921941358367</v>
      </c>
      <c r="M55" s="103">
        <f t="shared" si="46"/>
        <v>0.19434336400737462</v>
      </c>
      <c r="N55" s="103">
        <f t="shared" si="46"/>
        <v>0.20777341428917756</v>
      </c>
      <c r="O55" s="103">
        <f t="shared" si="46"/>
        <v>0.21533906808841741</v>
      </c>
      <c r="P55" s="103">
        <f t="shared" si="46"/>
        <v>0.21032031754216327</v>
      </c>
      <c r="Q55" s="103">
        <f t="shared" si="46"/>
        <v>0.20833496397621842</v>
      </c>
      <c r="R55" s="103">
        <f t="shared" si="46"/>
        <v>0.19222923609593462</v>
      </c>
      <c r="S55" s="103">
        <f t="shared" si="46"/>
        <v>0.18430828972403543</v>
      </c>
      <c r="T55" s="103">
        <f t="shared" si="46"/>
        <v>0.1888790077260098</v>
      </c>
      <c r="U55" s="103">
        <f t="shared" si="46"/>
        <v>0.19232291086686901</v>
      </c>
      <c r="V55" s="103">
        <f t="shared" si="46"/>
        <v>0.23457612461755248</v>
      </c>
      <c r="W55" s="103">
        <f t="shared" ref="W55:Y55" si="47">IF(W9=0,0,W9/W$3)</f>
        <v>0.1788859699974388</v>
      </c>
      <c r="X55" s="103">
        <f t="shared" si="47"/>
        <v>0.16213448040838971</v>
      </c>
      <c r="Y55" s="103">
        <f t="shared" si="47"/>
        <v>0.17055404325784573</v>
      </c>
      <c r="DA55" s="191"/>
    </row>
    <row r="56" spans="1:105" ht="11.45" customHeight="1" x14ac:dyDescent="0.25">
      <c r="A56" s="12" t="s">
        <v>34</v>
      </c>
      <c r="B56" s="17">
        <f t="shared" ref="B56:C56" si="48">IF(B10=0,0,B10/B$3)</f>
        <v>2.5065423097285329E-2</v>
      </c>
      <c r="C56" s="17">
        <f t="shared" si="48"/>
        <v>2.6199900374779369E-2</v>
      </c>
      <c r="D56" s="17">
        <f t="shared" ref="D56:V56" si="49">IF(D10=0,0,D10/D$3)</f>
        <v>2.4102270188781583E-2</v>
      </c>
      <c r="E56" s="17">
        <f t="shared" si="49"/>
        <v>2.3578933535665755E-2</v>
      </c>
      <c r="F56" s="17">
        <f t="shared" si="49"/>
        <v>2.6998459699676621E-2</v>
      </c>
      <c r="G56" s="17">
        <f t="shared" si="49"/>
        <v>2.3900140525820131E-2</v>
      </c>
      <c r="H56" s="17">
        <f t="shared" si="49"/>
        <v>2.3101055196184019E-2</v>
      </c>
      <c r="I56" s="17">
        <f t="shared" si="49"/>
        <v>2.1497251952418545E-2</v>
      </c>
      <c r="J56" s="17">
        <f t="shared" si="49"/>
        <v>2.1667978741387924E-2</v>
      </c>
      <c r="K56" s="17">
        <f t="shared" si="49"/>
        <v>2.0367723378649876E-2</v>
      </c>
      <c r="L56" s="17">
        <f t="shared" si="49"/>
        <v>2.2050020472070938E-2</v>
      </c>
      <c r="M56" s="17">
        <f t="shared" si="49"/>
        <v>1.9978055971958036E-2</v>
      </c>
      <c r="N56" s="17">
        <f t="shared" si="49"/>
        <v>1.8662067459904556E-2</v>
      </c>
      <c r="O56" s="17">
        <f t="shared" si="49"/>
        <v>1.8951958454595588E-2</v>
      </c>
      <c r="P56" s="17">
        <f t="shared" si="49"/>
        <v>1.7546082666879442E-2</v>
      </c>
      <c r="Q56" s="17">
        <f t="shared" si="49"/>
        <v>1.8324789659940985E-2</v>
      </c>
      <c r="R56" s="17">
        <f t="shared" si="49"/>
        <v>1.6450732332561672E-2</v>
      </c>
      <c r="S56" s="17">
        <f t="shared" si="49"/>
        <v>1.9062099940329726E-2</v>
      </c>
      <c r="T56" s="17">
        <f t="shared" si="49"/>
        <v>1.9573854334672517E-2</v>
      </c>
      <c r="U56" s="17">
        <f t="shared" si="49"/>
        <v>1.7448063611532182E-2</v>
      </c>
      <c r="V56" s="17">
        <f t="shared" si="49"/>
        <v>4.2707067276209744E-2</v>
      </c>
      <c r="W56" s="17">
        <f t="shared" ref="W56:Y56" si="50">IF(W10=0,0,W10/W$3)</f>
        <v>3.2784741614623067E-2</v>
      </c>
      <c r="X56" s="17">
        <f t="shared" si="50"/>
        <v>1.9419676958515646E-2</v>
      </c>
      <c r="Y56" s="17">
        <f t="shared" si="50"/>
        <v>1.9660783038769294E-2</v>
      </c>
      <c r="DA56" s="194"/>
    </row>
    <row r="57" spans="1:105" ht="11.45" customHeight="1" x14ac:dyDescent="0.25">
      <c r="A57" s="92" t="s">
        <v>27</v>
      </c>
      <c r="B57" s="104">
        <f t="shared" ref="B57:C57" si="51">IF(B11=0,0,B11/B$3)</f>
        <v>1.1631738335236617E-2</v>
      </c>
      <c r="C57" s="104">
        <f t="shared" si="51"/>
        <v>1.1914072359907284E-2</v>
      </c>
      <c r="D57" s="104">
        <f t="shared" ref="D57:V57" si="52">IF(D11=0,0,D11/D$3)</f>
        <v>1.152133836366084E-2</v>
      </c>
      <c r="E57" s="104">
        <f t="shared" si="52"/>
        <v>9.5225948600037285E-3</v>
      </c>
      <c r="F57" s="104">
        <f t="shared" si="52"/>
        <v>1.1526404978742235E-2</v>
      </c>
      <c r="G57" s="104">
        <f t="shared" si="52"/>
        <v>1.1145091043656352E-2</v>
      </c>
      <c r="H57" s="104">
        <f t="shared" si="52"/>
        <v>1.0756954287501345E-2</v>
      </c>
      <c r="I57" s="104">
        <f t="shared" si="52"/>
        <v>9.8131997614483175E-3</v>
      </c>
      <c r="J57" s="104">
        <f t="shared" si="52"/>
        <v>9.670598692486607E-3</v>
      </c>
      <c r="K57" s="104">
        <f t="shared" si="52"/>
        <v>8.3714828568509318E-3</v>
      </c>
      <c r="L57" s="104">
        <f t="shared" si="52"/>
        <v>8.5571836038638646E-3</v>
      </c>
      <c r="M57" s="104">
        <f t="shared" si="52"/>
        <v>6.2331974989754176E-3</v>
      </c>
      <c r="N57" s="104">
        <f t="shared" si="52"/>
        <v>5.7128955716134952E-3</v>
      </c>
      <c r="O57" s="104">
        <f t="shared" si="52"/>
        <v>5.5928706559735947E-3</v>
      </c>
      <c r="P57" s="104">
        <f t="shared" si="52"/>
        <v>5.1844895145609872E-3</v>
      </c>
      <c r="Q57" s="104">
        <f t="shared" si="52"/>
        <v>4.732464863648941E-3</v>
      </c>
      <c r="R57" s="104">
        <f t="shared" si="52"/>
        <v>4.2102364370895382E-3</v>
      </c>
      <c r="S57" s="104">
        <f t="shared" si="52"/>
        <v>4.4001854023075953E-3</v>
      </c>
      <c r="T57" s="104">
        <f t="shared" si="52"/>
        <v>3.7841396868721904E-3</v>
      </c>
      <c r="U57" s="104">
        <f t="shared" si="52"/>
        <v>3.2463929184661489E-3</v>
      </c>
      <c r="V57" s="104">
        <f t="shared" si="52"/>
        <v>6.1128474959400245E-3</v>
      </c>
      <c r="W57" s="104">
        <f t="shared" ref="W57:Y57" si="53">IF(W11=0,0,W11/W$3)</f>
        <v>5.6246937681296979E-3</v>
      </c>
      <c r="X57" s="104">
        <f t="shared" si="53"/>
        <v>3.0540461961304092E-3</v>
      </c>
      <c r="Y57" s="104">
        <f t="shared" si="53"/>
        <v>2.5868333732766897E-3</v>
      </c>
      <c r="DA57" s="195"/>
    </row>
    <row r="58" spans="1:105" ht="11.45" customHeight="1" x14ac:dyDescent="0.25">
      <c r="A58" s="92" t="s">
        <v>181</v>
      </c>
      <c r="B58" s="104">
        <f t="shared" ref="B58:C58" si="54">IF(B12=0,0,B12/B$3)</f>
        <v>4.1647451592505486E-3</v>
      </c>
      <c r="C58" s="104">
        <f t="shared" si="54"/>
        <v>4.3179272138240601E-3</v>
      </c>
      <c r="D58" s="104">
        <f t="shared" ref="D58:V58" si="55">IF(D12=0,0,D12/D$3)</f>
        <v>3.9012635443375077E-3</v>
      </c>
      <c r="E58" s="104">
        <f t="shared" si="55"/>
        <v>4.1433289766653154E-3</v>
      </c>
      <c r="F58" s="104">
        <f t="shared" si="55"/>
        <v>4.5634218647848147E-3</v>
      </c>
      <c r="G58" s="104">
        <f t="shared" si="55"/>
        <v>3.8949561991530419E-3</v>
      </c>
      <c r="H58" s="104">
        <f t="shared" si="55"/>
        <v>3.8213362215181804E-3</v>
      </c>
      <c r="I58" s="104">
        <f t="shared" si="55"/>
        <v>3.0747512389040482E-3</v>
      </c>
      <c r="J58" s="104">
        <f t="shared" si="55"/>
        <v>3.1671666020528142E-3</v>
      </c>
      <c r="K58" s="104">
        <f t="shared" si="55"/>
        <v>3.2663154952739882E-3</v>
      </c>
      <c r="L58" s="104">
        <f t="shared" si="55"/>
        <v>3.2002933571130916E-3</v>
      </c>
      <c r="M58" s="104">
        <f t="shared" si="55"/>
        <v>3.1673982904890812E-3</v>
      </c>
      <c r="N58" s="104">
        <f t="shared" si="55"/>
        <v>2.9860721759773865E-3</v>
      </c>
      <c r="O58" s="104">
        <f t="shared" si="55"/>
        <v>3.0880269839561074E-3</v>
      </c>
      <c r="P58" s="104">
        <f t="shared" si="55"/>
        <v>2.6336676600362654E-3</v>
      </c>
      <c r="Q58" s="104">
        <f t="shared" si="55"/>
        <v>2.7352889304682842E-3</v>
      </c>
      <c r="R58" s="104">
        <f t="shared" si="55"/>
        <v>2.3329127372871336E-3</v>
      </c>
      <c r="S58" s="104">
        <f t="shared" si="55"/>
        <v>2.5870009898582339E-3</v>
      </c>
      <c r="T58" s="104">
        <f t="shared" si="55"/>
        <v>2.5393546130717945E-3</v>
      </c>
      <c r="U58" s="104">
        <f t="shared" si="55"/>
        <v>2.7115645285333049E-3</v>
      </c>
      <c r="V58" s="104">
        <f t="shared" si="55"/>
        <v>6.9140043958985254E-3</v>
      </c>
      <c r="W58" s="104">
        <f t="shared" ref="W58:Y58" si="56">IF(W12=0,0,W12/W$3)</f>
        <v>5.0694199567371551E-3</v>
      </c>
      <c r="X58" s="104">
        <f t="shared" si="56"/>
        <v>3.5518872512433994E-3</v>
      </c>
      <c r="Y58" s="104">
        <f t="shared" si="56"/>
        <v>3.0565596254081995E-3</v>
      </c>
      <c r="DA58" s="195"/>
    </row>
    <row r="59" spans="1:105" ht="11.45" customHeight="1" x14ac:dyDescent="0.25">
      <c r="A59" s="85" t="s">
        <v>182</v>
      </c>
      <c r="B59" s="105">
        <f t="shared" ref="B59:C59" si="57">IF(B13=0,0,B13/B$3)</f>
        <v>9.2689396027981624E-3</v>
      </c>
      <c r="C59" s="105">
        <f t="shared" si="57"/>
        <v>9.9679008010480265E-3</v>
      </c>
      <c r="D59" s="105">
        <f t="shared" ref="D59:V59" si="58">IF(D13=0,0,D13/D$3)</f>
        <v>8.6796682807832384E-3</v>
      </c>
      <c r="E59" s="105">
        <f t="shared" si="58"/>
        <v>9.9130096989967099E-3</v>
      </c>
      <c r="F59" s="105">
        <f t="shared" si="58"/>
        <v>1.0908632856149569E-2</v>
      </c>
      <c r="G59" s="105">
        <f t="shared" si="58"/>
        <v>8.8600932830107393E-3</v>
      </c>
      <c r="H59" s="105">
        <f t="shared" si="58"/>
        <v>8.5227646871644924E-3</v>
      </c>
      <c r="I59" s="105">
        <f t="shared" si="58"/>
        <v>8.6093009520661814E-3</v>
      </c>
      <c r="J59" s="105">
        <f t="shared" si="58"/>
        <v>8.8302134468485043E-3</v>
      </c>
      <c r="K59" s="105">
        <f t="shared" si="58"/>
        <v>8.7299250265249571E-3</v>
      </c>
      <c r="L59" s="105">
        <f t="shared" si="58"/>
        <v>1.0292543511093983E-2</v>
      </c>
      <c r="M59" s="105">
        <f t="shared" si="58"/>
        <v>1.0577460182493535E-2</v>
      </c>
      <c r="N59" s="105">
        <f t="shared" si="58"/>
        <v>9.9630997123136764E-3</v>
      </c>
      <c r="O59" s="105">
        <f t="shared" si="58"/>
        <v>1.0271060814665884E-2</v>
      </c>
      <c r="P59" s="105">
        <f t="shared" si="58"/>
        <v>9.7279254922821891E-3</v>
      </c>
      <c r="Q59" s="105">
        <f t="shared" si="58"/>
        <v>1.0857035865823759E-2</v>
      </c>
      <c r="R59" s="105">
        <f t="shared" si="58"/>
        <v>9.9075831581849974E-3</v>
      </c>
      <c r="S59" s="105">
        <f t="shared" si="58"/>
        <v>1.2074913548163898E-2</v>
      </c>
      <c r="T59" s="105">
        <f t="shared" si="58"/>
        <v>1.3250360034728534E-2</v>
      </c>
      <c r="U59" s="105">
        <f t="shared" si="58"/>
        <v>1.1490106164532729E-2</v>
      </c>
      <c r="V59" s="105">
        <f t="shared" si="58"/>
        <v>2.9680215384371194E-2</v>
      </c>
      <c r="W59" s="105">
        <f t="shared" ref="W59:Y59" si="59">IF(W13=0,0,W13/W$3)</f>
        <v>2.2090627889756215E-2</v>
      </c>
      <c r="X59" s="105">
        <f t="shared" si="59"/>
        <v>1.2813743511141838E-2</v>
      </c>
      <c r="Y59" s="105">
        <f t="shared" si="59"/>
        <v>1.4017390040084404E-2</v>
      </c>
      <c r="DA59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Y5" formulaRange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A1:DA27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45" customHeight="1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361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Z1" s="49"/>
      <c r="AA1" s="49"/>
      <c r="AB1" s="49"/>
      <c r="AC1" s="49"/>
      <c r="AD1" s="49"/>
      <c r="AE1" s="49"/>
      <c r="AF1" s="49"/>
      <c r="DA1" s="170" t="s">
        <v>152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DA2" s="181"/>
    </row>
    <row r="3" spans="1:105" ht="11.45" customHeight="1" x14ac:dyDescent="0.25">
      <c r="A3" s="53" t="s">
        <v>67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DA3" s="172"/>
    </row>
    <row r="4" spans="1:105" ht="11.45" customHeight="1" x14ac:dyDescent="0.25">
      <c r="A4" s="10" t="s">
        <v>33</v>
      </c>
      <c r="B4" s="11">
        <f t="shared" ref="B4:C4" si="0">SUM(B5:B7)</f>
        <v>106062997</v>
      </c>
      <c r="C4" s="11">
        <f t="shared" si="0"/>
        <v>100633589</v>
      </c>
      <c r="D4" s="11">
        <f t="shared" ref="D4" si="1">SUM(D5:D7)</f>
        <v>99104371</v>
      </c>
      <c r="E4" s="11">
        <f t="shared" ref="E4" si="2">SUM(E5:E7)</f>
        <v>103732347</v>
      </c>
      <c r="F4" s="11">
        <f t="shared" ref="F4" si="3">SUM(F5:F7)</f>
        <v>113386616</v>
      </c>
      <c r="G4" s="11">
        <f t="shared" ref="G4" si="4">SUM(G5:G7)</f>
        <v>123603075</v>
      </c>
      <c r="H4" s="11">
        <f t="shared" ref="H4" si="5">SUM(H5:H7)</f>
        <v>127684847</v>
      </c>
      <c r="I4" s="11">
        <f t="shared" ref="I4" si="6">SUM(I5:I7)</f>
        <v>139609722</v>
      </c>
      <c r="J4" s="11">
        <f t="shared" ref="J4" si="7">SUM(J5:J7)</f>
        <v>139050917</v>
      </c>
      <c r="K4" s="11">
        <f t="shared" ref="K4" si="8">SUM(K5:K7)</f>
        <v>128766621</v>
      </c>
      <c r="L4" s="11">
        <f t="shared" ref="L4" si="9">SUM(L5:L7)</f>
        <v>131125749</v>
      </c>
      <c r="M4" s="11">
        <f t="shared" ref="M4" si="10">SUM(M5:M7)</f>
        <v>136938862</v>
      </c>
      <c r="N4" s="11">
        <f t="shared" ref="N4" si="11">SUM(N5:N7)</f>
        <v>127071350</v>
      </c>
      <c r="O4" s="11">
        <f t="shared" ref="O4" si="12">SUM(O5:O7)</f>
        <v>120533647</v>
      </c>
      <c r="P4" s="11">
        <f t="shared" ref="P4" si="13">SUM(P5:P7)</f>
        <v>123340437</v>
      </c>
      <c r="Q4" s="11">
        <f t="shared" ref="Q4" si="14">SUM(Q5:Q7)</f>
        <v>127582459</v>
      </c>
      <c r="R4" s="11">
        <f t="shared" ref="R4" si="15">SUM(R5:R7)</f>
        <v>139777075</v>
      </c>
      <c r="S4" s="11">
        <f t="shared" ref="S4" si="16">SUM(S5:S7)</f>
        <v>149294114</v>
      </c>
      <c r="T4" s="11">
        <f t="shared" ref="T4" si="17">SUM(T5:T7)</f>
        <v>156875836</v>
      </c>
      <c r="U4" s="11">
        <f t="shared" ref="U4" si="18">SUM(U5:U7)</f>
        <v>160307464</v>
      </c>
      <c r="V4" s="11">
        <f t="shared" ref="V4:W4" si="19">SUM(V5:V7)</f>
        <v>58102708</v>
      </c>
      <c r="W4" s="11">
        <f t="shared" si="19"/>
        <v>84313986</v>
      </c>
      <c r="X4" s="11">
        <f t="shared" ref="X4:Y4" si="20">SUM(X5:X7)</f>
        <v>147150716</v>
      </c>
      <c r="Y4" s="11">
        <f t="shared" si="20"/>
        <v>164809649</v>
      </c>
      <c r="DA4" s="189" t="s">
        <v>362</v>
      </c>
    </row>
    <row r="5" spans="1:105" ht="11.45" customHeight="1" x14ac:dyDescent="0.25">
      <c r="A5" s="83" t="s">
        <v>27</v>
      </c>
      <c r="B5" s="84">
        <v>47609319</v>
      </c>
      <c r="C5" s="84">
        <v>43849852</v>
      </c>
      <c r="D5" s="84">
        <v>43167574</v>
      </c>
      <c r="E5" s="84">
        <v>46670446</v>
      </c>
      <c r="F5" s="84">
        <v>52430988</v>
      </c>
      <c r="G5" s="84">
        <v>58201958</v>
      </c>
      <c r="H5" s="84">
        <v>60045484</v>
      </c>
      <c r="I5" s="84">
        <v>63578862</v>
      </c>
      <c r="J5" s="84">
        <v>61271054</v>
      </c>
      <c r="K5" s="84">
        <v>57022114</v>
      </c>
      <c r="L5" s="84">
        <v>56312919</v>
      </c>
      <c r="M5" s="84">
        <v>54842215</v>
      </c>
      <c r="N5" s="84">
        <v>46615390</v>
      </c>
      <c r="O5" s="84">
        <v>39409886</v>
      </c>
      <c r="P5" s="84">
        <v>39261565</v>
      </c>
      <c r="Q5" s="84">
        <v>40697813</v>
      </c>
      <c r="R5" s="84">
        <v>43007698</v>
      </c>
      <c r="S5" s="84">
        <v>46068583</v>
      </c>
      <c r="T5" s="84">
        <v>50337798</v>
      </c>
      <c r="U5" s="84">
        <v>52535200</v>
      </c>
      <c r="V5" s="84">
        <v>25700586</v>
      </c>
      <c r="W5" s="84">
        <v>36740696</v>
      </c>
      <c r="X5" s="84">
        <v>51884412</v>
      </c>
      <c r="Y5" s="84">
        <v>56375025</v>
      </c>
      <c r="DA5" s="171" t="s">
        <v>363</v>
      </c>
    </row>
    <row r="6" spans="1:105" ht="11.45" customHeight="1" x14ac:dyDescent="0.25">
      <c r="A6" s="83" t="s">
        <v>181</v>
      </c>
      <c r="B6" s="84">
        <v>50634255</v>
      </c>
      <c r="C6" s="84">
        <v>50813027</v>
      </c>
      <c r="D6" s="84">
        <v>50134522</v>
      </c>
      <c r="E6" s="84">
        <v>52366604</v>
      </c>
      <c r="F6" s="84">
        <v>55322885</v>
      </c>
      <c r="G6" s="84">
        <v>59046156</v>
      </c>
      <c r="H6" s="84">
        <v>60379083</v>
      </c>
      <c r="I6" s="84">
        <v>67442745</v>
      </c>
      <c r="J6" s="84">
        <v>68122951</v>
      </c>
      <c r="K6" s="84">
        <v>61977758</v>
      </c>
      <c r="L6" s="84">
        <v>63860442</v>
      </c>
      <c r="M6" s="84">
        <v>70384555</v>
      </c>
      <c r="N6" s="84">
        <v>68917324</v>
      </c>
      <c r="O6" s="84">
        <v>69442421</v>
      </c>
      <c r="P6" s="84">
        <v>72110954</v>
      </c>
      <c r="Q6" s="84">
        <v>74582692</v>
      </c>
      <c r="R6" s="84">
        <v>83660082</v>
      </c>
      <c r="S6" s="84">
        <v>89180898</v>
      </c>
      <c r="T6" s="84">
        <v>91365462</v>
      </c>
      <c r="U6" s="84">
        <v>91988095</v>
      </c>
      <c r="V6" s="84">
        <v>28545124</v>
      </c>
      <c r="W6" s="84">
        <v>42701861</v>
      </c>
      <c r="X6" s="84">
        <v>83634226</v>
      </c>
      <c r="Y6" s="84">
        <v>93048958</v>
      </c>
      <c r="DA6" s="171" t="s">
        <v>364</v>
      </c>
    </row>
    <row r="7" spans="1:105" ht="11.45" customHeight="1" x14ac:dyDescent="0.25">
      <c r="A7" s="85" t="s">
        <v>182</v>
      </c>
      <c r="B7" s="86">
        <v>7819423</v>
      </c>
      <c r="C7" s="86">
        <v>5970710</v>
      </c>
      <c r="D7" s="86">
        <v>5802275</v>
      </c>
      <c r="E7" s="86">
        <v>4695297</v>
      </c>
      <c r="F7" s="86">
        <v>5632743</v>
      </c>
      <c r="G7" s="86">
        <v>6354961</v>
      </c>
      <c r="H7" s="86">
        <v>7260280</v>
      </c>
      <c r="I7" s="86">
        <v>8588115</v>
      </c>
      <c r="J7" s="86">
        <v>9656912</v>
      </c>
      <c r="K7" s="86">
        <v>9766749</v>
      </c>
      <c r="L7" s="86">
        <v>10952388</v>
      </c>
      <c r="M7" s="86">
        <v>11712092</v>
      </c>
      <c r="N7" s="86">
        <v>11538636</v>
      </c>
      <c r="O7" s="86">
        <v>11681340</v>
      </c>
      <c r="P7" s="86">
        <v>11967918</v>
      </c>
      <c r="Q7" s="86">
        <v>12301954</v>
      </c>
      <c r="R7" s="86">
        <v>13109295</v>
      </c>
      <c r="S7" s="86">
        <v>14044633</v>
      </c>
      <c r="T7" s="86">
        <v>15172576</v>
      </c>
      <c r="U7" s="86">
        <v>15784169</v>
      </c>
      <c r="V7" s="86">
        <v>3856998</v>
      </c>
      <c r="W7" s="86">
        <v>4871429</v>
      </c>
      <c r="X7" s="86">
        <v>11632078</v>
      </c>
      <c r="Y7" s="86">
        <v>15385666</v>
      </c>
      <c r="DA7" s="178" t="s">
        <v>365</v>
      </c>
    </row>
    <row r="8" spans="1:105" ht="11.45" customHeight="1" x14ac:dyDescent="0.25">
      <c r="A8" s="50"/>
      <c r="B8" s="50"/>
      <c r="C8" s="50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DA8" s="181"/>
    </row>
    <row r="9" spans="1:105" ht="11.45" customHeight="1" x14ac:dyDescent="0.25">
      <c r="A9" s="68" t="s">
        <v>36</v>
      </c>
      <c r="B9" s="69"/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  <c r="Y9" s="69"/>
      <c r="DA9" s="179"/>
    </row>
    <row r="10" spans="1:105" ht="11.45" customHeight="1" x14ac:dyDescent="0.25">
      <c r="A10" s="50"/>
      <c r="B10" s="50"/>
      <c r="C10" s="50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DA10" s="181"/>
    </row>
    <row r="11" spans="1:105" ht="11.45" customHeight="1" x14ac:dyDescent="0.25">
      <c r="A11" s="53" t="s">
        <v>68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DA11" s="172"/>
    </row>
    <row r="12" spans="1:105" ht="11.45" customHeight="1" x14ac:dyDescent="0.25">
      <c r="A12" s="10" t="s">
        <v>33</v>
      </c>
      <c r="B12" s="14">
        <f>IF(B4=0,0,B4/TrAvia_act!B24)</f>
        <v>138.68341690801989</v>
      </c>
      <c r="C12" s="14">
        <f>IF(C4=0,0,C4/TrAvia_act!C24)</f>
        <v>139.69766660604941</v>
      </c>
      <c r="D12" s="14">
        <f>IF(D4=0,0,D4/TrAvia_act!D24)</f>
        <v>138.72372939007644</v>
      </c>
      <c r="E12" s="14">
        <f>IF(E4=0,0,E4/TrAvia_act!E24)</f>
        <v>143.88186086510254</v>
      </c>
      <c r="F12" s="14">
        <f>IF(F4=0,0,F4/TrAvia_act!F24)</f>
        <v>142.72071897440415</v>
      </c>
      <c r="G12" s="14">
        <f>IF(G4=0,0,G4/TrAvia_act!G24)</f>
        <v>143.30326087964681</v>
      </c>
      <c r="H12" s="14">
        <f>IF(H4=0,0,H4/TrAvia_act!H24)</f>
        <v>142.29593600492132</v>
      </c>
      <c r="I12" s="14">
        <f>IF(I4=0,0,I4/TrAvia_act!I24)</f>
        <v>143.6733798764248</v>
      </c>
      <c r="J12" s="14">
        <f>IF(J4=0,0,J4/TrAvia_act!J24)</f>
        <v>146.21885784949811</v>
      </c>
      <c r="K12" s="14">
        <f>IF(K4=0,0,K4/TrAvia_act!K24)</f>
        <v>151.24086182656586</v>
      </c>
      <c r="L12" s="14">
        <f>IF(L4=0,0,L4/TrAvia_act!L24)</f>
        <v>154.13991769063574</v>
      </c>
      <c r="M12" s="14">
        <f>IF(M4=0,0,M4/TrAvia_act!M24)</f>
        <v>156.8121342040865</v>
      </c>
      <c r="N12" s="14">
        <f>IF(N4=0,0,N4/TrAvia_act!N24)</f>
        <v>160.98491518831628</v>
      </c>
      <c r="O12" s="14">
        <f>IF(O4=0,0,O4/TrAvia_act!O24)</f>
        <v>163.51992961787718</v>
      </c>
      <c r="P12" s="14">
        <f>IF(P4=0,0,P4/TrAvia_act!P24)</f>
        <v>161.97377357895897</v>
      </c>
      <c r="Q12" s="14">
        <f>IF(Q4=0,0,Q4/TrAvia_act!Q24)</f>
        <v>163.33021691596298</v>
      </c>
      <c r="R12" s="14">
        <f>IF(R4=0,0,R4/TrAvia_act!R24)</f>
        <v>168.06411410996176</v>
      </c>
      <c r="S12" s="14">
        <f>IF(S4=0,0,S4/TrAvia_act!S24)</f>
        <v>169.38196856155795</v>
      </c>
      <c r="T12" s="14">
        <f>IF(T4=0,0,T4/TrAvia_act!T24)</f>
        <v>166.77421947423477</v>
      </c>
      <c r="U12" s="14">
        <f>IF(U4=0,0,U4/TrAvia_act!U24)</f>
        <v>165.90613234201359</v>
      </c>
      <c r="V12" s="14">
        <f>IF(V4=0,0,V4/TrAvia_act!V24)</f>
        <v>155.74127246215207</v>
      </c>
      <c r="W12" s="14">
        <f>IF(W4=0,0,W4/TrAvia_act!W24)</f>
        <v>158.00290842036418</v>
      </c>
      <c r="X12" s="14">
        <f>IF(X4=0,0,X4/TrAvia_act!X24)</f>
        <v>166.65199970101315</v>
      </c>
      <c r="Y12" s="14">
        <f>IF(Y4=0,0,Y4/TrAvia_act!Y24)</f>
        <v>169.06258744988941</v>
      </c>
      <c r="DA12" s="189" t="s">
        <v>366</v>
      </c>
    </row>
    <row r="13" spans="1:105" ht="11.45" customHeight="1" x14ac:dyDescent="0.25">
      <c r="A13" s="83" t="s">
        <v>27</v>
      </c>
      <c r="B13" s="87">
        <f>IF(B5=0,0,B5/TrAvia_act!B25)</f>
        <v>113.70122730301416</v>
      </c>
      <c r="C13" s="87">
        <f>IF(C5=0,0,C5/TrAvia_act!C25)</f>
        <v>114.437290241089</v>
      </c>
      <c r="D13" s="87">
        <f>IF(D5=0,0,D5/TrAvia_act!D25)</f>
        <v>118.76418330935172</v>
      </c>
      <c r="E13" s="87">
        <f>IF(E5=0,0,E5/TrAvia_act!E25)</f>
        <v>125.16814800113715</v>
      </c>
      <c r="F13" s="87">
        <f>IF(F5=0,0,F5/TrAvia_act!F25)</f>
        <v>126.48358615099583</v>
      </c>
      <c r="G13" s="87">
        <f>IF(G5=0,0,G5/TrAvia_act!G25)</f>
        <v>126.41195008850711</v>
      </c>
      <c r="H13" s="87">
        <f>IF(H5=0,0,H5/TrAvia_act!H25)</f>
        <v>124.37390789217494</v>
      </c>
      <c r="I13" s="87">
        <f>IF(I5=0,0,I5/TrAvia_act!I25)</f>
        <v>124.84852566922207</v>
      </c>
      <c r="J13" s="87">
        <f>IF(J5=0,0,J5/TrAvia_act!J25)</f>
        <v>125.63859685816637</v>
      </c>
      <c r="K13" s="87">
        <f>IF(K5=0,0,K5/TrAvia_act!K25)</f>
        <v>131.29267141439468</v>
      </c>
      <c r="L13" s="87">
        <f>IF(L5=0,0,L5/TrAvia_act!L25)</f>
        <v>132.99101867115064</v>
      </c>
      <c r="M13" s="87">
        <f>IF(M5=0,0,M5/TrAvia_act!M25)</f>
        <v>133.19202288750779</v>
      </c>
      <c r="N13" s="87">
        <f>IF(N5=0,0,N5/TrAvia_act!N25)</f>
        <v>135.95368018268942</v>
      </c>
      <c r="O13" s="87">
        <f>IF(O5=0,0,O5/TrAvia_act!O25)</f>
        <v>137.20289794525794</v>
      </c>
      <c r="P13" s="87">
        <f>IF(P5=0,0,P5/TrAvia_act!P25)</f>
        <v>133.77707548937767</v>
      </c>
      <c r="Q13" s="87">
        <f>IF(Q5=0,0,Q5/TrAvia_act!Q25)</f>
        <v>135.21856414754566</v>
      </c>
      <c r="R13" s="87">
        <f>IF(R5=0,0,R5/TrAvia_act!R25)</f>
        <v>138.74211811615476</v>
      </c>
      <c r="S13" s="87">
        <f>IF(S5=0,0,S5/TrAvia_act!S25)</f>
        <v>141.00282197960951</v>
      </c>
      <c r="T13" s="87">
        <f>IF(T5=0,0,T5/TrAvia_act!T25)</f>
        <v>138.04263219380564</v>
      </c>
      <c r="U13" s="87">
        <f>IF(U5=0,0,U5/TrAvia_act!U25)</f>
        <v>137.22244134079671</v>
      </c>
      <c r="V13" s="87">
        <f>IF(V5=0,0,V5/TrAvia_act!V25)</f>
        <v>135.10482739043354</v>
      </c>
      <c r="W13" s="87">
        <f>IF(W5=0,0,W5/TrAvia_act!W25)</f>
        <v>140.9536480752557</v>
      </c>
      <c r="X13" s="87">
        <f>IF(X5=0,0,X5/TrAvia_act!X25)</f>
        <v>143.8030055265769</v>
      </c>
      <c r="Y13" s="87">
        <f>IF(Y5=0,0,Y5/TrAvia_act!Y25)</f>
        <v>144.11383134279521</v>
      </c>
      <c r="DA13" s="171" t="s">
        <v>367</v>
      </c>
    </row>
    <row r="14" spans="1:105" ht="11.45" customHeight="1" x14ac:dyDescent="0.25">
      <c r="A14" s="83" t="s">
        <v>181</v>
      </c>
      <c r="B14" s="87">
        <f>IF(B6=0,0,B6/TrAvia_act!B26)</f>
        <v>163.13055146573194</v>
      </c>
      <c r="C14" s="87">
        <f>IF(C6=0,0,C6/TrAvia_act!C26)</f>
        <v>163.82473635170732</v>
      </c>
      <c r="D14" s="87">
        <f>IF(D6=0,0,D6/TrAvia_act!D26)</f>
        <v>158.19947808032009</v>
      </c>
      <c r="E14" s="87">
        <f>IF(E6=0,0,E6/TrAvia_act!E26)</f>
        <v>161.0066380728374</v>
      </c>
      <c r="F14" s="87">
        <f>IF(F6=0,0,F6/TrAvia_act!F26)</f>
        <v>157.42533926350865</v>
      </c>
      <c r="G14" s="87">
        <f>IF(G6=0,0,G6/TrAvia_act!G26)</f>
        <v>159.56264288609648</v>
      </c>
      <c r="H14" s="87">
        <f>IF(H6=0,0,H6/TrAvia_act!H26)</f>
        <v>159.63504674379746</v>
      </c>
      <c r="I14" s="87">
        <f>IF(I6=0,0,I6/TrAvia_act!I26)</f>
        <v>160.76552406378872</v>
      </c>
      <c r="J14" s="87">
        <f>IF(J6=0,0,J6/TrAvia_act!J26)</f>
        <v>163.38045467300142</v>
      </c>
      <c r="K14" s="87">
        <f>IF(K6=0,0,K6/TrAvia_act!K26)</f>
        <v>166.31225329322518</v>
      </c>
      <c r="L14" s="87">
        <f>IF(L6=0,0,L6/TrAvia_act!L26)</f>
        <v>168.64404890802018</v>
      </c>
      <c r="M14" s="87">
        <f>IF(M6=0,0,M6/TrAvia_act!M26)</f>
        <v>171.77732139414218</v>
      </c>
      <c r="N14" s="87">
        <f>IF(N6=0,0,N6/TrAvia_act!N26)</f>
        <v>174.01387216099181</v>
      </c>
      <c r="O14" s="87">
        <f>IF(O6=0,0,O6/TrAvia_act!O26)</f>
        <v>175.32113146859149</v>
      </c>
      <c r="P14" s="87">
        <f>IF(P6=0,0,P6/TrAvia_act!P26)</f>
        <v>174.7991787383404</v>
      </c>
      <c r="Q14" s="87">
        <f>IF(Q6=0,0,Q6/TrAvia_act!Q26)</f>
        <v>175.26352497732324</v>
      </c>
      <c r="R14" s="87">
        <f>IF(R6=0,0,R6/TrAvia_act!R26)</f>
        <v>179.5288434714312</v>
      </c>
      <c r="S14" s="87">
        <f>IF(S6=0,0,S6/TrAvia_act!S26)</f>
        <v>179.95148744004536</v>
      </c>
      <c r="T14" s="87">
        <f>IF(T6=0,0,T6/TrAvia_act!T26)</f>
        <v>178.18506658137593</v>
      </c>
      <c r="U14" s="87">
        <f>IF(U6=0,0,U6/TrAvia_act!U26)</f>
        <v>178.13168927489085</v>
      </c>
      <c r="V14" s="87">
        <f>IF(V6=0,0,V6/TrAvia_act!V26)</f>
        <v>172.32502852451296</v>
      </c>
      <c r="W14" s="87">
        <f>IF(W6=0,0,W6/TrAvia_act!W26)</f>
        <v>171.55956111593224</v>
      </c>
      <c r="X14" s="87">
        <f>IF(X6=0,0,X6/TrAvia_act!X26)</f>
        <v>177.76021543542996</v>
      </c>
      <c r="Y14" s="87">
        <f>IF(Y6=0,0,Y6/TrAvia_act!Y26)</f>
        <v>180.12636669144521</v>
      </c>
      <c r="DA14" s="171" t="s">
        <v>368</v>
      </c>
    </row>
    <row r="15" spans="1:105" ht="11.45" customHeight="1" x14ac:dyDescent="0.25">
      <c r="A15" s="85" t="s">
        <v>182</v>
      </c>
      <c r="B15" s="88">
        <f>IF(B7=0,0,B7/TrAvia_act!B27)</f>
        <v>219.20952594544588</v>
      </c>
      <c r="C15" s="88">
        <f>IF(C7=0,0,C7/TrAvia_act!C27)</f>
        <v>220.95736807046111</v>
      </c>
      <c r="D15" s="88">
        <f>IF(D7=0,0,D7/TrAvia_act!D27)</f>
        <v>170.54980747185562</v>
      </c>
      <c r="E15" s="88">
        <f>IF(E7=0,0,E7/TrAvia_act!E27)</f>
        <v>205.50144432773109</v>
      </c>
      <c r="F15" s="88">
        <f>IF(F7=0,0,F7/TrAvia_act!F27)</f>
        <v>197.54306656379322</v>
      </c>
      <c r="G15" s="88">
        <f>IF(G7=0,0,G7/TrAvia_act!G27)</f>
        <v>198.20232043165018</v>
      </c>
      <c r="H15" s="88">
        <f>IF(H7=0,0,H7/TrAvia_act!H27)</f>
        <v>199.98016802093375</v>
      </c>
      <c r="I15" s="88">
        <f>IF(I7=0,0,I7/TrAvia_act!I27)</f>
        <v>199.91887424926674</v>
      </c>
      <c r="J15" s="88">
        <f>IF(J7=0,0,J7/TrAvia_act!J27)</f>
        <v>208.38358292693454</v>
      </c>
      <c r="K15" s="88">
        <f>IF(K7=0,0,K7/TrAvia_act!K27)</f>
        <v>219.828242814378</v>
      </c>
      <c r="L15" s="88">
        <f>IF(L7=0,0,L7/TrAvia_act!L27)</f>
        <v>225.40879622959929</v>
      </c>
      <c r="M15" s="88">
        <f>IF(M7=0,0,M7/TrAvia_act!M27)</f>
        <v>226.22881535995054</v>
      </c>
      <c r="N15" s="88">
        <f>IF(N7=0,0,N7/TrAvia_act!N27)</f>
        <v>228.87307349003274</v>
      </c>
      <c r="O15" s="88">
        <f>IF(O7=0,0,O7/TrAvia_act!O27)</f>
        <v>217.14949622634495</v>
      </c>
      <c r="P15" s="88">
        <f>IF(P7=0,0,P7/TrAvia_act!P27)</f>
        <v>215.78201684005552</v>
      </c>
      <c r="Q15" s="88">
        <f>IF(Q7=0,0,Q7/TrAvia_act!Q27)</f>
        <v>225.27750512745385</v>
      </c>
      <c r="R15" s="88">
        <f>IF(R7=0,0,R7/TrAvia_act!R27)</f>
        <v>235.32158756372513</v>
      </c>
      <c r="S15" s="88">
        <f>IF(S7=0,0,S7/TrAvia_act!S27)</f>
        <v>237.63782338708313</v>
      </c>
      <c r="T15" s="88">
        <f>IF(T7=0,0,T7/TrAvia_act!T27)</f>
        <v>239.9281444700971</v>
      </c>
      <c r="U15" s="88">
        <f>IF(U7=0,0,U7/TrAvia_act!U27)</f>
        <v>235.57757977373811</v>
      </c>
      <c r="V15" s="88">
        <f>IF(V7=0,0,V7/TrAvia_act!V27)</f>
        <v>224.27014769159206</v>
      </c>
      <c r="W15" s="88">
        <f>IF(W7=0,0,W7/TrAvia_act!W27)</f>
        <v>202.46161838660072</v>
      </c>
      <c r="X15" s="88">
        <f>IF(X7=0,0,X7/TrAvia_act!X27)</f>
        <v>225.03101120117623</v>
      </c>
      <c r="Y15" s="88">
        <f>IF(Y7=0,0,Y7/TrAvia_act!Y27)</f>
        <v>229.34926360980265</v>
      </c>
      <c r="DA15" s="178" t="s">
        <v>369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DA16" s="181"/>
    </row>
    <row r="17" spans="1:105" ht="11.45" customHeight="1" x14ac:dyDescent="0.25">
      <c r="A17" s="53" t="s">
        <v>69</v>
      </c>
      <c r="B17" s="82"/>
      <c r="C17" s="82"/>
      <c r="D17" s="82"/>
      <c r="E17" s="82"/>
      <c r="F17" s="82"/>
      <c r="G17" s="82"/>
      <c r="H17" s="82"/>
      <c r="I17" s="82"/>
      <c r="J17" s="82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X17" s="82"/>
      <c r="Y17" s="82"/>
      <c r="DA17" s="183"/>
    </row>
    <row r="18" spans="1:105" ht="11.45" customHeight="1" x14ac:dyDescent="0.25">
      <c r="A18" s="10" t="s">
        <v>33</v>
      </c>
      <c r="B18" s="25">
        <f>IF(TrAvia_act!B34=0,0,(TrAvia_act!B34/TrAvia_act!B24)/TrAvia_png!B12)</f>
        <v>0.70047130574671579</v>
      </c>
      <c r="C18" s="25">
        <f>IF(TrAvia_act!C34=0,0,(TrAvia_act!C34/TrAvia_act!C24)/TrAvia_png!C12)</f>
        <v>0.70822477572572717</v>
      </c>
      <c r="D18" s="25">
        <f>IF(TrAvia_act!D34=0,0,(TrAvia_act!D34/TrAvia_act!D24)/TrAvia_png!D12)</f>
        <v>0.71275156975669629</v>
      </c>
      <c r="E18" s="25">
        <f>IF(TrAvia_act!E34=0,0,(TrAvia_act!E34/TrAvia_act!E24)/TrAvia_png!E12)</f>
        <v>0.72564385340669102</v>
      </c>
      <c r="F18" s="25">
        <f>IF(TrAvia_act!F34=0,0,(TrAvia_act!F34/TrAvia_act!F24)/TrAvia_png!F12)</f>
        <v>0.72831595044692055</v>
      </c>
      <c r="G18" s="25">
        <f>IF(TrAvia_act!G34=0,0,(TrAvia_act!G34/TrAvia_act!G24)/TrAvia_png!G12)</f>
        <v>0.72692538595823764</v>
      </c>
      <c r="H18" s="25">
        <f>IF(TrAvia_act!H34=0,0,(TrAvia_act!H34/TrAvia_act!H24)/TrAvia_png!H12)</f>
        <v>0.7371057976832599</v>
      </c>
      <c r="I18" s="25">
        <f>IF(TrAvia_act!I34=0,0,(TrAvia_act!I34/TrAvia_act!I24)/TrAvia_png!I12)</f>
        <v>0.73969727552354836</v>
      </c>
      <c r="J18" s="25">
        <f>IF(TrAvia_act!J34=0,0,(TrAvia_act!J34/TrAvia_act!J24)/TrAvia_png!J12)</f>
        <v>0.72697555816909853</v>
      </c>
      <c r="K18" s="25">
        <f>IF(TrAvia_act!K34=0,0,(TrAvia_act!K34/TrAvia_act!K24)/TrAvia_png!K12)</f>
        <v>0.7219423269637556</v>
      </c>
      <c r="L18" s="25">
        <f>IF(TrAvia_act!L34=0,0,(TrAvia_act!L34/TrAvia_act!L24)/TrAvia_png!L12)</f>
        <v>0.72993649782698289</v>
      </c>
      <c r="M18" s="25">
        <f>IF(TrAvia_act!M34=0,0,(TrAvia_act!M34/TrAvia_act!M24)/TrAvia_png!M12)</f>
        <v>0.7415061255584261</v>
      </c>
      <c r="N18" s="25">
        <f>IF(TrAvia_act!N34=0,0,(TrAvia_act!N34/TrAvia_act!N24)/TrAvia_png!N12)</f>
        <v>0.76014788542027767</v>
      </c>
      <c r="O18" s="25">
        <f>IF(TrAvia_act!O34=0,0,(TrAvia_act!O34/TrAvia_act!O24)/TrAvia_png!O12)</f>
        <v>0.7730362128675986</v>
      </c>
      <c r="P18" s="25">
        <f>IF(TrAvia_act!P34=0,0,(TrAvia_act!P34/TrAvia_act!P24)/TrAvia_png!P12)</f>
        <v>0.78921040307324353</v>
      </c>
      <c r="Q18" s="25">
        <f>IF(TrAvia_act!Q34=0,0,(TrAvia_act!Q34/TrAvia_act!Q24)/TrAvia_png!Q12)</f>
        <v>0.80588039144158519</v>
      </c>
      <c r="R18" s="25">
        <f>IF(TrAvia_act!R34=0,0,(TrAvia_act!R34/TrAvia_act!R24)/TrAvia_png!R12)</f>
        <v>0.81296880049893738</v>
      </c>
      <c r="S18" s="25">
        <f>IF(TrAvia_act!S34=0,0,(TrAvia_act!S34/TrAvia_act!S24)/TrAvia_png!S12)</f>
        <v>0.82351220490849364</v>
      </c>
      <c r="T18" s="25">
        <f>IF(TrAvia_act!T34=0,0,(TrAvia_act!T34/TrAvia_act!T24)/TrAvia_png!T12)</f>
        <v>0.82935291576709125</v>
      </c>
      <c r="U18" s="25">
        <f>IF(TrAvia_act!U34=0,0,(TrAvia_act!U34/TrAvia_act!U24)/TrAvia_png!U12)</f>
        <v>0.84394399127915831</v>
      </c>
      <c r="V18" s="25">
        <f>IF(TrAvia_act!V34=0,0,(TrAvia_act!V34/TrAvia_act!V24)/TrAvia_png!V12)</f>
        <v>0.64759403296658746</v>
      </c>
      <c r="W18" s="25">
        <f>IF(TrAvia_act!W34=0,0,(TrAvia_act!W34/TrAvia_act!W24)/TrAvia_png!W12)</f>
        <v>0.69367440414927128</v>
      </c>
      <c r="X18" s="25">
        <f>IF(TrAvia_act!X34=0,0,(TrAvia_act!X34/TrAvia_act!X24)/TrAvia_png!X12)</f>
        <v>0.81974824369865784</v>
      </c>
      <c r="Y18" s="25">
        <f>IF(TrAvia_act!Y34=0,0,(TrAvia_act!Y34/TrAvia_act!Y24)/TrAvia_png!Y12)</f>
        <v>0.854486177565975</v>
      </c>
      <c r="DA18" s="190"/>
    </row>
    <row r="19" spans="1:105" ht="11.45" customHeight="1" x14ac:dyDescent="0.25">
      <c r="A19" s="83" t="s">
        <v>27</v>
      </c>
      <c r="B19" s="89">
        <f>IF(TrAvia_act!B35=0,0,(TrAvia_act!B35/TrAvia_act!B25)/TrAvia_png!B13)</f>
        <v>0.66865526894009975</v>
      </c>
      <c r="C19" s="89">
        <f>IF(TrAvia_act!C35=0,0,(TrAvia_act!C35/TrAvia_act!C25)/TrAvia_png!C13)</f>
        <v>0.66969010522544059</v>
      </c>
      <c r="D19" s="89">
        <f>IF(TrAvia_act!D35=0,0,(TrAvia_act!D35/TrAvia_act!D25)/TrAvia_png!D13)</f>
        <v>0.67150011719444791</v>
      </c>
      <c r="E19" s="89">
        <f>IF(TrAvia_act!E35=0,0,(TrAvia_act!E35/TrAvia_act!E25)/TrAvia_png!E13)</f>
        <v>0.6708928172659846</v>
      </c>
      <c r="F19" s="89">
        <f>IF(TrAvia_act!F35=0,0,(TrAvia_act!F35/TrAvia_act!F25)/TrAvia_png!F13)</f>
        <v>0.6641476029404596</v>
      </c>
      <c r="G19" s="89">
        <f>IF(TrAvia_act!G35=0,0,(TrAvia_act!G35/TrAvia_act!G25)/TrAvia_png!G13)</f>
        <v>0.6649840714980757</v>
      </c>
      <c r="H19" s="89">
        <f>IF(TrAvia_act!H35=0,0,(TrAvia_act!H35/TrAvia_act!H25)/TrAvia_png!H13)</f>
        <v>0.68364188720670482</v>
      </c>
      <c r="I19" s="89">
        <f>IF(TrAvia_act!I35=0,0,(TrAvia_act!I35/TrAvia_act!I25)/TrAvia_png!I13)</f>
        <v>0.69610626248705121</v>
      </c>
      <c r="J19" s="89">
        <f>IF(TrAvia_act!J35=0,0,(TrAvia_act!J35/TrAvia_act!J25)/TrAvia_png!J13)</f>
        <v>0.6628477943271549</v>
      </c>
      <c r="K19" s="89">
        <f>IF(TrAvia_act!K35=0,0,(TrAvia_act!K35/TrAvia_act!K25)/TrAvia_png!K13)</f>
        <v>0.65564778955757419</v>
      </c>
      <c r="L19" s="89">
        <f>IF(TrAvia_act!L35=0,0,(TrAvia_act!L35/TrAvia_act!L25)/TrAvia_png!L13)</f>
        <v>0.67623811154239755</v>
      </c>
      <c r="M19" s="89">
        <f>IF(TrAvia_act!M35=0,0,(TrAvia_act!M35/TrAvia_act!M25)/TrAvia_png!M13)</f>
        <v>0.68973891736502635</v>
      </c>
      <c r="N19" s="89">
        <f>IF(TrAvia_act!N35=0,0,(TrAvia_act!N35/TrAvia_act!N25)/TrAvia_png!N13)</f>
        <v>0.7106411423351815</v>
      </c>
      <c r="O19" s="89">
        <f>IF(TrAvia_act!O35=0,0,(TrAvia_act!O35/TrAvia_act!O25)/TrAvia_png!O13)</f>
        <v>0.72383358327907876</v>
      </c>
      <c r="P19" s="89">
        <f>IF(TrAvia_act!P35=0,0,(TrAvia_act!P35/TrAvia_act!P25)/TrAvia_png!P13)</f>
        <v>0.74218498422057289</v>
      </c>
      <c r="Q19" s="89">
        <f>IF(TrAvia_act!Q35=0,0,(TrAvia_act!Q35/TrAvia_act!Q25)/TrAvia_png!Q13)</f>
        <v>0.75771169816913753</v>
      </c>
      <c r="R19" s="89">
        <f>IF(TrAvia_act!R35=0,0,(TrAvia_act!R35/TrAvia_act!R25)/TrAvia_png!R13)</f>
        <v>0.77623659373724208</v>
      </c>
      <c r="S19" s="89">
        <f>IF(TrAvia_act!S35=0,0,(TrAvia_act!S35/TrAvia_act!S25)/TrAvia_png!S13)</f>
        <v>0.78318990189040549</v>
      </c>
      <c r="T19" s="89">
        <f>IF(TrAvia_act!T35=0,0,(TrAvia_act!T35/TrAvia_act!T25)/TrAvia_png!T13)</f>
        <v>0.79192007961889788</v>
      </c>
      <c r="U19" s="89">
        <f>IF(TrAvia_act!U35=0,0,(TrAvia_act!U35/TrAvia_act!U25)/TrAvia_png!U13)</f>
        <v>0.80870328846183137</v>
      </c>
      <c r="V19" s="89">
        <f>IF(TrAvia_act!V35=0,0,(TrAvia_act!V35/TrAvia_act!V25)/TrAvia_png!V13)</f>
        <v>0.65296985835264609</v>
      </c>
      <c r="W19" s="89">
        <f>IF(TrAvia_act!W35=0,0,(TrAvia_act!W35/TrAvia_act!W25)/TrAvia_png!W13)</f>
        <v>0.70400098027538727</v>
      </c>
      <c r="X19" s="89">
        <f>IF(TrAvia_act!X35=0,0,(TrAvia_act!X35/TrAvia_act!X25)/TrAvia_png!X13)</f>
        <v>0.79004457061207523</v>
      </c>
      <c r="Y19" s="89">
        <f>IF(TrAvia_act!Y35=0,0,(TrAvia_act!Y35/TrAvia_act!Y25)/TrAvia_png!Y13)</f>
        <v>0.81829631117680213</v>
      </c>
      <c r="DA19" s="191"/>
    </row>
    <row r="20" spans="1:105" ht="11.45" customHeight="1" x14ac:dyDescent="0.25">
      <c r="A20" s="83" t="s">
        <v>181</v>
      </c>
      <c r="B20" s="89">
        <f>IF(TrAvia_act!B36=0,0,(TrAvia_act!B36/TrAvia_act!B26)/TrAvia_png!B14)</f>
        <v>0.74826395688057423</v>
      </c>
      <c r="C20" s="89">
        <f>IF(TrAvia_act!C36=0,0,(TrAvia_act!C36/TrAvia_act!C26)/TrAvia_png!C14)</f>
        <v>0.75435698802198892</v>
      </c>
      <c r="D20" s="89">
        <f>IF(TrAvia_act!D36=0,0,(TrAvia_act!D36/TrAvia_act!D26)/TrAvia_png!D14)</f>
        <v>0.76054252596643879</v>
      </c>
      <c r="E20" s="89">
        <f>IF(TrAvia_act!E36=0,0,(TrAvia_act!E36/TrAvia_act!E26)/TrAvia_png!E14)</f>
        <v>0.77112938238271089</v>
      </c>
      <c r="F20" s="89">
        <f>IF(TrAvia_act!F36=0,0,(TrAvia_act!F36/TrAvia_act!F26)/TrAvia_png!F14)</f>
        <v>0.78255418169171764</v>
      </c>
      <c r="G20" s="89">
        <f>IF(TrAvia_act!G36=0,0,(TrAvia_act!G36/TrAvia_act!G26)/TrAvia_png!G14)</f>
        <v>0.78123778286261336</v>
      </c>
      <c r="H20" s="89">
        <f>IF(TrAvia_act!H36=0,0,(TrAvia_act!H36/TrAvia_act!H26)/TrAvia_png!H14)</f>
        <v>0.78706630903950625</v>
      </c>
      <c r="I20" s="89">
        <f>IF(TrAvia_act!I36=0,0,(TrAvia_act!I36/TrAvia_act!I26)/TrAvia_png!I14)</f>
        <v>0.77921020266894525</v>
      </c>
      <c r="J20" s="89">
        <f>IF(TrAvia_act!J36=0,0,(TrAvia_act!J36/TrAvia_act!J26)/TrAvia_png!J14)</f>
        <v>0.78394837886573643</v>
      </c>
      <c r="K20" s="89">
        <f>IF(TrAvia_act!K36=0,0,(TrAvia_act!K36/TrAvia_act!K26)/TrAvia_png!K14)</f>
        <v>0.78508331972899059</v>
      </c>
      <c r="L20" s="89">
        <f>IF(TrAvia_act!L36=0,0,(TrAvia_act!L36/TrAvia_act!L26)/TrAvia_png!L14)</f>
        <v>0.78023052204994126</v>
      </c>
      <c r="M20" s="89">
        <f>IF(TrAvia_act!M36=0,0,(TrAvia_act!M36/TrAvia_act!M26)/TrAvia_png!M14)</f>
        <v>0.7860611607191379</v>
      </c>
      <c r="N20" s="89">
        <f>IF(TrAvia_act!N36=0,0,(TrAvia_act!N36/TrAvia_act!N26)/TrAvia_png!N14)</f>
        <v>0.79816864334430637</v>
      </c>
      <c r="O20" s="89">
        <f>IF(TrAvia_act!O36=0,0,(TrAvia_act!O36/TrAvia_act!O26)/TrAvia_png!O14)</f>
        <v>0.8059578308768931</v>
      </c>
      <c r="P20" s="89">
        <f>IF(TrAvia_act!P36=0,0,(TrAvia_act!P36/TrAvia_act!P26)/TrAvia_png!P14)</f>
        <v>0.82111169961778629</v>
      </c>
      <c r="Q20" s="89">
        <f>IF(TrAvia_act!Q36=0,0,(TrAvia_act!Q36/TrAvia_act!Q26)/TrAvia_png!Q14)</f>
        <v>0.84254424605644429</v>
      </c>
      <c r="R20" s="89">
        <f>IF(TrAvia_act!R36=0,0,(TrAvia_act!R36/TrAvia_act!R26)/TrAvia_png!R14)</f>
        <v>0.84371727008347908</v>
      </c>
      <c r="S20" s="89">
        <f>IF(TrAvia_act!S36=0,0,(TrAvia_act!S36/TrAvia_act!S26)/TrAvia_png!S14)</f>
        <v>0.854558102790129</v>
      </c>
      <c r="T20" s="89">
        <f>IF(TrAvia_act!T36=0,0,(TrAvia_act!T36/TrAvia_act!T26)/TrAvia_png!T14)</f>
        <v>0.85879355592816897</v>
      </c>
      <c r="U20" s="89">
        <f>IF(TrAvia_act!U36=0,0,(TrAvia_act!U36/TrAvia_act!U26)/TrAvia_png!U14)</f>
        <v>0.87112439930406205</v>
      </c>
      <c r="V20" s="89">
        <f>IF(TrAvia_act!V36=0,0,(TrAvia_act!V36/TrAvia_act!V26)/TrAvia_png!V14)</f>
        <v>0.63584463672324565</v>
      </c>
      <c r="W20" s="89">
        <f>IF(TrAvia_act!W36=0,0,(TrAvia_act!W36/TrAvia_act!W26)/TrAvia_png!W14)</f>
        <v>0.68016937247770071</v>
      </c>
      <c r="X20" s="89">
        <f>IF(TrAvia_act!X36=0,0,(TrAvia_act!X36/TrAvia_act!X26)/TrAvia_png!X14)</f>
        <v>0.83270699486117083</v>
      </c>
      <c r="Y20" s="89">
        <f>IF(TrAvia_act!Y36=0,0,(TrAvia_act!Y36/TrAvia_act!Y26)/TrAvia_png!Y14)</f>
        <v>0.87229251938533259</v>
      </c>
      <c r="DA20" s="191"/>
    </row>
    <row r="21" spans="1:105" ht="11.45" customHeight="1" x14ac:dyDescent="0.25">
      <c r="A21" s="85" t="s">
        <v>182</v>
      </c>
      <c r="B21" s="90">
        <f>IF(TrAvia_act!B37=0,0,(TrAvia_act!B37/TrAvia_act!B27)/TrAvia_png!B15)</f>
        <v>0.58470759287481955</v>
      </c>
      <c r="C21" s="90">
        <f>IF(TrAvia_act!C37=0,0,(TrAvia_act!C37/TrAvia_act!C27)/TrAvia_png!C15)</f>
        <v>0.59862679647814077</v>
      </c>
      <c r="D21" s="90">
        <f>IF(TrAvia_act!D37=0,0,(TrAvia_act!D37/TrAvia_act!D27)/TrAvia_png!D15)</f>
        <v>0.60671529701711835</v>
      </c>
      <c r="E21" s="90">
        <f>IF(TrAvia_act!E37=0,0,(TrAvia_act!E37/TrAvia_act!E27)/TrAvia_png!E15)</f>
        <v>0.76256006808514987</v>
      </c>
      <c r="F21" s="90">
        <f>IF(TrAvia_act!F37=0,0,(TrAvia_act!F37/TrAvia_act!F27)/TrAvia_png!F15)</f>
        <v>0.79290161116883906</v>
      </c>
      <c r="G21" s="90">
        <f>IF(TrAvia_act!G37=0,0,(TrAvia_act!G37/TrAvia_act!G27)/TrAvia_png!G15)</f>
        <v>0.78957998326032208</v>
      </c>
      <c r="H21" s="90">
        <f>IF(TrAvia_act!H37=0,0,(TrAvia_act!H37/TrAvia_act!H27)/TrAvia_png!H15)</f>
        <v>0.76378473006550718</v>
      </c>
      <c r="I21" s="90">
        <f>IF(TrAvia_act!I37=0,0,(TrAvia_act!I37/TrAvia_act!I27)/TrAvia_png!I15)</f>
        <v>0.75211056209657179</v>
      </c>
      <c r="J21" s="90">
        <f>IF(TrAvia_act!J37=0,0,(TrAvia_act!J37/TrAvia_act!J27)/TrAvia_png!J15)</f>
        <v>0.7319480595867498</v>
      </c>
      <c r="K21" s="90">
        <f>IF(TrAvia_act!K37=0,0,(TrAvia_act!K37/TrAvia_act!K27)/TrAvia_png!K15)</f>
        <v>0.70831624729989473</v>
      </c>
      <c r="L21" s="90">
        <f>IF(TrAvia_act!L37=0,0,(TrAvia_act!L37/TrAvia_act!L27)/TrAvia_png!L15)</f>
        <v>0.71278172394915151</v>
      </c>
      <c r="M21" s="90">
        <f>IF(TrAvia_act!M37=0,0,(TrAvia_act!M37/TrAvia_act!M27)/TrAvia_png!M15)</f>
        <v>0.71615130755461964</v>
      </c>
      <c r="N21" s="90">
        <f>IF(TrAvia_act!N37=0,0,(TrAvia_act!N37/TrAvia_act!N27)/TrAvia_png!N15)</f>
        <v>0.73306385607449609</v>
      </c>
      <c r="O21" s="90">
        <f>IF(TrAvia_act!O37=0,0,(TrAvia_act!O37/TrAvia_act!O27)/TrAvia_png!O15)</f>
        <v>0.74332328311649176</v>
      </c>
      <c r="P21" s="90">
        <f>IF(TrAvia_act!P37=0,0,(TrAvia_act!P37/TrAvia_act!P27)/TrAvia_png!P15)</f>
        <v>0.75126383720209322</v>
      </c>
      <c r="Q21" s="90">
        <f>IF(TrAvia_act!Q37=0,0,(TrAvia_act!Q37/TrAvia_act!Q27)/TrAvia_png!Q15)</f>
        <v>0.74295311135125364</v>
      </c>
      <c r="R21" s="90">
        <f>IF(TrAvia_act!R37=0,0,(TrAvia_act!R37/TrAvia_act!R27)/TrAvia_png!R15)</f>
        <v>0.73724757891251969</v>
      </c>
      <c r="S21" s="90">
        <f>IF(TrAvia_act!S37=0,0,(TrAvia_act!S37/TrAvia_act!S27)/TrAvia_png!S15)</f>
        <v>0.75863975940133144</v>
      </c>
      <c r="T21" s="90">
        <f>IF(TrAvia_act!T37=0,0,(TrAvia_act!T37/TrAvia_act!T27)/TrAvia_png!T15)</f>
        <v>0.77625902153991511</v>
      </c>
      <c r="U21" s="90">
        <f>IF(TrAvia_act!U37=0,0,(TrAvia_act!U37/TrAvia_act!U27)/TrAvia_png!U15)</f>
        <v>0.80283339591713687</v>
      </c>
      <c r="V21" s="90">
        <f>IF(TrAvia_act!V37=0,0,(TrAvia_act!V37/TrAvia_act!V27)/TrAvia_png!V15)</f>
        <v>0.69872864854998618</v>
      </c>
      <c r="W21" s="90">
        <f>IF(TrAvia_act!W37=0,0,(TrAvia_act!W37/TrAvia_act!W27)/TrAvia_png!W15)</f>
        <v>0.73417266268275705</v>
      </c>
      <c r="X21" s="90">
        <f>IF(TrAvia_act!X37=0,0,(TrAvia_act!X37/TrAvia_act!X27)/TrAvia_png!X15)</f>
        <v>0.8590673136820437</v>
      </c>
      <c r="Y21" s="90">
        <f>IF(TrAvia_act!Y37=0,0,(TrAvia_act!Y37/TrAvia_act!Y27)/TrAvia_png!Y15)</f>
        <v>0.87940177565274058</v>
      </c>
      <c r="DA21" s="192"/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DA22" s="181"/>
    </row>
    <row r="23" spans="1:105" ht="11.45" customHeight="1" x14ac:dyDescent="0.25">
      <c r="A23" s="53" t="s">
        <v>70</v>
      </c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DA23" s="172"/>
    </row>
    <row r="24" spans="1:105" ht="11.45" customHeight="1" x14ac:dyDescent="0.25">
      <c r="A24" s="10" t="s">
        <v>33</v>
      </c>
      <c r="B24" s="23">
        <f>IF(TrAvia_ene!B6=0,0,TrAvia_ene!B6/(B12*TrAvia_act!B14))</f>
        <v>3.3232531275126431E-2</v>
      </c>
      <c r="C24" s="23">
        <f>IF(TrAvia_ene!C6=0,0,TrAvia_ene!C6/(C12*TrAvia_act!C14))</f>
        <v>3.5609110476487536E-2</v>
      </c>
      <c r="D24" s="23">
        <f>IF(TrAvia_ene!D6=0,0,TrAvia_ene!D6/(D12*TrAvia_act!D14))</f>
        <v>3.2776984131240049E-2</v>
      </c>
      <c r="E24" s="23">
        <f>IF(TrAvia_ene!E6=0,0,TrAvia_ene!E6/(E12*TrAvia_act!E14))</f>
        <v>3.4396340726127204E-2</v>
      </c>
      <c r="F24" s="23">
        <f>IF(TrAvia_ene!F6=0,0,TrAvia_ene!F6/(F12*TrAvia_act!F14))</f>
        <v>3.4495297926983241E-2</v>
      </c>
      <c r="G24" s="23">
        <f>IF(TrAvia_ene!G6=0,0,TrAvia_ene!G6/(G12*TrAvia_act!G14))</f>
        <v>3.4071319023787745E-2</v>
      </c>
      <c r="H24" s="23">
        <f>IF(TrAvia_ene!H6=0,0,TrAvia_ene!H6/(H12*TrAvia_act!H14))</f>
        <v>3.4256753111223934E-2</v>
      </c>
      <c r="I24" s="23">
        <f>IF(TrAvia_ene!I6=0,0,TrAvia_ene!I6/(I12*TrAvia_act!I14))</f>
        <v>3.2758462524199942E-2</v>
      </c>
      <c r="J24" s="23">
        <f>IF(TrAvia_ene!J6=0,0,TrAvia_ene!J6/(J12*TrAvia_act!J14))</f>
        <v>3.1671414827546145E-2</v>
      </c>
      <c r="K24" s="23">
        <f>IF(TrAvia_ene!K6=0,0,TrAvia_ene!K6/(K12*TrAvia_act!K14))</f>
        <v>3.1213665085468762E-2</v>
      </c>
      <c r="L24" s="23">
        <f>IF(TrAvia_ene!L6=0,0,TrAvia_ene!L6/(L12*TrAvia_act!L14))</f>
        <v>3.0552490399817101E-2</v>
      </c>
      <c r="M24" s="23">
        <f>IF(TrAvia_ene!M6=0,0,TrAvia_ene!M6/(M12*TrAvia_act!M14))</f>
        <v>3.0247812636697784E-2</v>
      </c>
      <c r="N24" s="23">
        <f>IF(TrAvia_ene!N6=0,0,TrAvia_ene!N6/(N12*TrAvia_act!N14))</f>
        <v>2.9664556942836238E-2</v>
      </c>
      <c r="O24" s="23">
        <f>IF(TrAvia_ene!O6=0,0,TrAvia_ene!O6/(O12*TrAvia_act!O14))</f>
        <v>2.7903644746314665E-2</v>
      </c>
      <c r="P24" s="23">
        <f>IF(TrAvia_ene!P6=0,0,TrAvia_ene!P6/(P12*TrAvia_act!P14))</f>
        <v>2.7926873863883601E-2</v>
      </c>
      <c r="Q24" s="23">
        <f>IF(TrAvia_ene!Q6=0,0,TrAvia_ene!Q6/(Q12*TrAvia_act!Q14))</f>
        <v>2.8921579178393626E-2</v>
      </c>
      <c r="R24" s="23">
        <f>IF(TrAvia_ene!R6=0,0,TrAvia_ene!R6/(R12*TrAvia_act!R14))</f>
        <v>2.7621147825045669E-2</v>
      </c>
      <c r="S24" s="23">
        <f>IF(TrAvia_ene!S6=0,0,TrAvia_ene!S6/(S12*TrAvia_act!S14))</f>
        <v>2.78517498751918E-2</v>
      </c>
      <c r="T24" s="23">
        <f>IF(TrAvia_ene!T6=0,0,TrAvia_ene!T6/(T12*TrAvia_act!T14))</f>
        <v>2.814313218183773E-2</v>
      </c>
      <c r="U24" s="23">
        <f>IF(TrAvia_ene!U6=0,0,TrAvia_ene!U6/(U12*TrAvia_act!U14))</f>
        <v>2.8738937800541552E-2</v>
      </c>
      <c r="V24" s="23">
        <f>IF(TrAvia_ene!V6=0,0,TrAvia_ene!V6/(V12*TrAvia_act!V14))</f>
        <v>3.0475999293776288E-2</v>
      </c>
      <c r="W24" s="23">
        <f>IF(TrAvia_ene!W6=0,0,TrAvia_ene!W6/(W12*TrAvia_act!W14))</f>
        <v>2.8920865786297777E-2</v>
      </c>
      <c r="X24" s="23">
        <f>IF(TrAvia_ene!X6=0,0,TrAvia_ene!X6/(X12*TrAvia_act!X14))</f>
        <v>2.6604384296573771E-2</v>
      </c>
      <c r="Y24" s="23">
        <f>IF(TrAvia_ene!Y6=0,0,TrAvia_ene!Y6/(Y12*TrAvia_act!Y14))</f>
        <v>2.6029573369025533E-2</v>
      </c>
      <c r="DA24" s="189"/>
    </row>
    <row r="25" spans="1:105" ht="11.45" customHeight="1" x14ac:dyDescent="0.25">
      <c r="A25" s="83" t="s">
        <v>27</v>
      </c>
      <c r="B25" s="91">
        <f>IF(TrAvia_ene!B7=0,0,TrAvia_ene!B7/(B13*TrAvia_act!B15))</f>
        <v>6.0301436783797277E-2</v>
      </c>
      <c r="C25" s="91">
        <f>IF(TrAvia_ene!C7=0,0,TrAvia_ene!C7/(C13*TrAvia_act!C15))</f>
        <v>6.5049029982277254E-2</v>
      </c>
      <c r="D25" s="91">
        <f>IF(TrAvia_ene!D7=0,0,TrAvia_ene!D7/(D13*TrAvia_act!D15))</f>
        <v>6.14713064350947E-2</v>
      </c>
      <c r="E25" s="91">
        <f>IF(TrAvia_ene!E7=0,0,TrAvia_ene!E7/(E13*TrAvia_act!E15))</f>
        <v>5.9897025306216468E-2</v>
      </c>
      <c r="F25" s="91">
        <f>IF(TrAvia_ene!F7=0,0,TrAvia_ene!F7/(F13*TrAvia_act!F15))</f>
        <v>5.8721726350548883E-2</v>
      </c>
      <c r="G25" s="91">
        <f>IF(TrAvia_ene!G7=0,0,TrAvia_ene!G7/(G13*TrAvia_act!G15))</f>
        <v>6.1218456146015163E-2</v>
      </c>
      <c r="H25" s="91">
        <f>IF(TrAvia_ene!H7=0,0,TrAvia_ene!H7/(H13*TrAvia_act!H15))</f>
        <v>6.2403683609403585E-2</v>
      </c>
      <c r="I25" s="91">
        <f>IF(TrAvia_ene!I7=0,0,TrAvia_ene!I7/(I13*TrAvia_act!I15))</f>
        <v>6.1905167981101843E-2</v>
      </c>
      <c r="J25" s="91">
        <f>IF(TrAvia_ene!J7=0,0,TrAvia_ene!J7/(J13*TrAvia_act!J15))</f>
        <v>6.2186798185199989E-2</v>
      </c>
      <c r="K25" s="91">
        <f>IF(TrAvia_ene!K7=0,0,TrAvia_ene!K7/(K13*TrAvia_act!K15))</f>
        <v>6.0011162223347146E-2</v>
      </c>
      <c r="L25" s="91">
        <f>IF(TrAvia_ene!L7=0,0,TrAvia_ene!L7/(L13*TrAvia_act!L15))</f>
        <v>6.7219520077167014E-2</v>
      </c>
      <c r="M25" s="91">
        <f>IF(TrAvia_ene!M7=0,0,TrAvia_ene!M7/(M13*TrAvia_act!M15))</f>
        <v>6.2365182610767532E-2</v>
      </c>
      <c r="N25" s="91">
        <f>IF(TrAvia_ene!N7=0,0,TrAvia_ene!N7/(N13*TrAvia_act!N15))</f>
        <v>6.4513625980646472E-2</v>
      </c>
      <c r="O25" s="91">
        <f>IF(TrAvia_ene!O7=0,0,TrAvia_ene!O7/(O13*TrAvia_act!O15))</f>
        <v>6.3329830240436619E-2</v>
      </c>
      <c r="P25" s="91">
        <f>IF(TrAvia_ene!P7=0,0,TrAvia_ene!P7/(P13*TrAvia_act!P15))</f>
        <v>6.799605585941014E-2</v>
      </c>
      <c r="Q25" s="91">
        <f>IF(TrAvia_ene!Q7=0,0,TrAvia_ene!Q7/(Q13*TrAvia_act!Q15))</f>
        <v>7.0636189235284613E-2</v>
      </c>
      <c r="R25" s="91">
        <f>IF(TrAvia_ene!R7=0,0,TrAvia_ene!R7/(R13*TrAvia_act!R15))</f>
        <v>7.132447293025021E-2</v>
      </c>
      <c r="S25" s="91">
        <f>IF(TrAvia_ene!S7=0,0,TrAvia_ene!S7/(S13*TrAvia_act!S15))</f>
        <v>7.2633775805480541E-2</v>
      </c>
      <c r="T25" s="91">
        <f>IF(TrAvia_ene!T7=0,0,TrAvia_ene!T7/(T13*TrAvia_act!T15))</f>
        <v>7.0364155631729861E-2</v>
      </c>
      <c r="U25" s="91">
        <f>IF(TrAvia_ene!U7=0,0,TrAvia_ene!U7/(U13*TrAvia_act!U15))</f>
        <v>7.0869067541280625E-2</v>
      </c>
      <c r="V25" s="91">
        <f>IF(TrAvia_ene!V7=0,0,TrAvia_ene!V7/(V13*TrAvia_act!V15))</f>
        <v>5.880439755384162E-2</v>
      </c>
      <c r="W25" s="91">
        <f>IF(TrAvia_ene!W7=0,0,TrAvia_ene!W7/(W13*TrAvia_act!W15))</f>
        <v>6.7202809348465897E-2</v>
      </c>
      <c r="X25" s="91">
        <f>IF(TrAvia_ene!X7=0,0,TrAvia_ene!X7/(X13*TrAvia_act!X15))</f>
        <v>7.0553651381043692E-2</v>
      </c>
      <c r="Y25" s="91">
        <f>IF(TrAvia_ene!Y7=0,0,TrAvia_ene!Y7/(Y13*TrAvia_act!Y15))</f>
        <v>6.9478416431909454E-2</v>
      </c>
      <c r="DA25" s="171"/>
    </row>
    <row r="26" spans="1:105" ht="11.45" customHeight="1" x14ac:dyDescent="0.25">
      <c r="A26" s="92" t="s">
        <v>181</v>
      </c>
      <c r="B26" s="93">
        <f>IF(TrAvia_ene!B8=0,0,TrAvia_ene!B8/(B14*TrAvia_act!B16))</f>
        <v>1.9171628464039199E-2</v>
      </c>
      <c r="C26" s="93">
        <f>IF(TrAvia_ene!C8=0,0,TrAvia_ene!C8/(C14*TrAvia_act!C16))</f>
        <v>2.1390728354856444E-2</v>
      </c>
      <c r="D26" s="93">
        <f>IF(TrAvia_ene!D8=0,0,TrAvia_ene!D8/(D14*TrAvia_act!D16))</f>
        <v>1.9427017913460548E-2</v>
      </c>
      <c r="E26" s="93">
        <f>IF(TrAvia_ene!E8=0,0,TrAvia_ene!E8/(E14*TrAvia_act!E16))</f>
        <v>2.2239686983409203E-2</v>
      </c>
      <c r="F26" s="93">
        <f>IF(TrAvia_ene!F8=0,0,TrAvia_ene!F8/(F14*TrAvia_act!F16))</f>
        <v>2.2328251237681004E-2</v>
      </c>
      <c r="G26" s="93">
        <f>IF(TrAvia_ene!G8=0,0,TrAvia_ene!G8/(G14*TrAvia_act!G16))</f>
        <v>2.1261421083571028E-2</v>
      </c>
      <c r="H26" s="93">
        <f>IF(TrAvia_ene!H8=0,0,TrAvia_ene!H8/(H14*TrAvia_act!H16))</f>
        <v>2.179174006872454E-2</v>
      </c>
      <c r="I26" s="93">
        <f>IF(TrAvia_ene!I8=0,0,TrAvia_ene!I8/(I14*TrAvia_act!I16))</f>
        <v>2.1039777873494491E-2</v>
      </c>
      <c r="J26" s="93">
        <f>IF(TrAvia_ene!J8=0,0,TrAvia_ene!J8/(J14*TrAvia_act!J16))</f>
        <v>2.0591727723622961E-2</v>
      </c>
      <c r="K26" s="93">
        <f>IF(TrAvia_ene!K8=0,0,TrAvia_ene!K8/(K14*TrAvia_act!K16))</f>
        <v>2.0589820353178599E-2</v>
      </c>
      <c r="L26" s="93">
        <f>IF(TrAvia_ene!L8=0,0,TrAvia_ene!L8/(L14*TrAvia_act!L16))</f>
        <v>1.8718890943305797E-2</v>
      </c>
      <c r="M26" s="93">
        <f>IF(TrAvia_ene!M8=0,0,TrAvia_ene!M8/(M14*TrAvia_act!M16))</f>
        <v>2.0545605532986462E-2</v>
      </c>
      <c r="N26" s="93">
        <f>IF(TrAvia_ene!N8=0,0,TrAvia_ene!N8/(N14*TrAvia_act!N16))</f>
        <v>2.0604354069082054E-2</v>
      </c>
      <c r="O26" s="93">
        <f>IF(TrAvia_ene!O8=0,0,TrAvia_ene!O8/(O14*TrAvia_act!O16))</f>
        <v>2.0119626354170143E-2</v>
      </c>
      <c r="P26" s="93">
        <f>IF(TrAvia_ene!P8=0,0,TrAvia_ene!P8/(P14*TrAvia_act!P16))</f>
        <v>1.9629954176814381E-2</v>
      </c>
      <c r="Q26" s="93">
        <f>IF(TrAvia_ene!Q8=0,0,TrAvia_ene!Q8/(Q14*TrAvia_act!Q16))</f>
        <v>2.0201041467664115E-2</v>
      </c>
      <c r="R26" s="93">
        <f>IF(TrAvia_ene!R8=0,0,TrAvia_ene!R8/(R14*TrAvia_act!R16))</f>
        <v>1.9324550311436751E-2</v>
      </c>
      <c r="S26" s="93">
        <f>IF(TrAvia_ene!S8=0,0,TrAvia_ene!S8/(S14*TrAvia_act!S16))</f>
        <v>1.9866311745309676E-2</v>
      </c>
      <c r="T26" s="93">
        <f>IF(TrAvia_ene!T8=0,0,TrAvia_ene!T8/(T14*TrAvia_act!T16))</f>
        <v>2.0166402660969647E-2</v>
      </c>
      <c r="U26" s="93">
        <f>IF(TrAvia_ene!U8=0,0,TrAvia_ene!U8/(U14*TrAvia_act!U16))</f>
        <v>2.0723298296265402E-2</v>
      </c>
      <c r="V26" s="93">
        <f>IF(TrAvia_ene!V8=0,0,TrAvia_ene!V8/(V14*TrAvia_act!V16))</f>
        <v>1.7036265722713533E-2</v>
      </c>
      <c r="W26" s="93">
        <f>IF(TrAvia_ene!W8=0,0,TrAvia_ene!W8/(W14*TrAvia_act!W16))</f>
        <v>1.4638479603133678E-2</v>
      </c>
      <c r="X26" s="93">
        <f>IF(TrAvia_ene!X8=0,0,TrAvia_ene!X8/(X14*TrAvia_act!X16))</f>
        <v>1.693206377255799E-2</v>
      </c>
      <c r="Y26" s="93">
        <f>IF(TrAvia_ene!Y8=0,0,TrAvia_ene!Y8/(Y14*TrAvia_act!Y16))</f>
        <v>1.7735039264148881E-2</v>
      </c>
      <c r="DA26" s="175"/>
    </row>
    <row r="27" spans="1:105" ht="11.45" customHeight="1" x14ac:dyDescent="0.25">
      <c r="A27" s="85" t="s">
        <v>182</v>
      </c>
      <c r="B27" s="94">
        <f>IF(TrAvia_ene!B9=0,0,TrAvia_ene!B9/(B15*TrAvia_act!B17))</f>
        <v>2.6053004010591553E-2</v>
      </c>
      <c r="C27" s="94">
        <f>IF(TrAvia_ene!C9=0,0,TrAvia_ene!C9/(C15*TrAvia_act!C17))</f>
        <v>2.8913568374163621E-2</v>
      </c>
      <c r="D27" s="94">
        <f>IF(TrAvia_ene!D9=0,0,TrAvia_ene!D9/(D15*TrAvia_act!D17))</f>
        <v>3.2820954828685918E-2</v>
      </c>
      <c r="E27" s="94">
        <f>IF(TrAvia_ene!E9=0,0,TrAvia_ene!E9/(E15*TrAvia_act!E17))</f>
        <v>3.1631124719068031E-2</v>
      </c>
      <c r="F27" s="94">
        <f>IF(TrAvia_ene!F9=0,0,TrAvia_ene!F9/(F15*TrAvia_act!F17))</f>
        <v>3.2312858372023058E-2</v>
      </c>
      <c r="G27" s="94">
        <f>IF(TrAvia_ene!G9=0,0,TrAvia_ene!G9/(G15*TrAvia_act!G17))</f>
        <v>2.8527260298514767E-2</v>
      </c>
      <c r="H27" s="94">
        <f>IF(TrAvia_ene!H9=0,0,TrAvia_ene!H9/(H15*TrAvia_act!H17))</f>
        <v>2.5448103271253675E-2</v>
      </c>
      <c r="I27" s="94">
        <f>IF(TrAvia_ene!I9=0,0,TrAvia_ene!I9/(I15*TrAvia_act!I17))</f>
        <v>2.3005652133329522E-2</v>
      </c>
      <c r="J27" s="94">
        <f>IF(TrAvia_ene!J9=0,0,TrAvia_ene!J9/(J15*TrAvia_act!J17))</f>
        <v>2.0807418668379804E-2</v>
      </c>
      <c r="K27" s="94">
        <f>IF(TrAvia_ene!K9=0,0,TrAvia_ene!K9/(K15*TrAvia_act!K17))</f>
        <v>2.0909840319866892E-2</v>
      </c>
      <c r="L27" s="94">
        <f>IF(TrAvia_ene!L9=0,0,TrAvia_ene!L9/(L15*TrAvia_act!L17))</f>
        <v>1.8882651075644335E-2</v>
      </c>
      <c r="M27" s="94">
        <f>IF(TrAvia_ene!M9=0,0,TrAvia_ene!M9/(M15*TrAvia_act!M17))</f>
        <v>2.0103914300882906E-2</v>
      </c>
      <c r="N27" s="94">
        <f>IF(TrAvia_ene!N9=0,0,TrAvia_ene!N9/(N15*TrAvia_act!N17))</f>
        <v>2.0495377222052101E-2</v>
      </c>
      <c r="O27" s="94">
        <f>IF(TrAvia_ene!O9=0,0,TrAvia_ene!O9/(O15*TrAvia_act!O17))</f>
        <v>2.0690152040938395E-2</v>
      </c>
      <c r="P27" s="94">
        <f>IF(TrAvia_ene!P9=0,0,TrAvia_ene!P9/(P15*TrAvia_act!P17))</f>
        <v>2.0446909950820241E-2</v>
      </c>
      <c r="Q27" s="94">
        <f>IF(TrAvia_ene!Q9=0,0,TrAvia_ene!Q9/(Q15*TrAvia_act!Q17))</f>
        <v>2.0682598880251743E-2</v>
      </c>
      <c r="R27" s="94">
        <f>IF(TrAvia_ene!R9=0,0,TrAvia_ene!R9/(R15*TrAvia_act!R17))</f>
        <v>1.8907949255415758E-2</v>
      </c>
      <c r="S27" s="94">
        <f>IF(TrAvia_ene!S9=0,0,TrAvia_ene!S9/(S15*TrAvia_act!S17))</f>
        <v>1.8169529842805621E-2</v>
      </c>
      <c r="T27" s="94">
        <f>IF(TrAvia_ene!T9=0,0,TrAvia_ene!T9/(T15*TrAvia_act!T17))</f>
        <v>1.7843099927834689E-2</v>
      </c>
      <c r="U27" s="94">
        <f>IF(TrAvia_ene!U9=0,0,TrAvia_ene!U9/(U15*TrAvia_act!U17))</f>
        <v>1.7575546664119372E-2</v>
      </c>
      <c r="V27" s="94">
        <f>IF(TrAvia_ene!V9=0,0,TrAvia_ene!V9/(V15*TrAvia_act!V17))</f>
        <v>2.9479638289174038E-2</v>
      </c>
      <c r="W27" s="94">
        <f>IF(TrAvia_ene!W9=0,0,TrAvia_ene!W9/(W15*TrAvia_act!W17))</f>
        <v>2.54085221638333E-2</v>
      </c>
      <c r="X27" s="94">
        <f>IF(TrAvia_ene!X9=0,0,TrAvia_ene!X9/(X15*TrAvia_act!X17))</f>
        <v>1.661034222950682E-2</v>
      </c>
      <c r="Y27" s="94">
        <f>IF(TrAvia_ene!Y9=0,0,TrAvia_ene!Y9/(Y15*TrAvia_act!Y17))</f>
        <v>1.4822878640522759E-2</v>
      </c>
      <c r="DA27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pageSetUpPr fitToPage="1"/>
  </sheetPr>
  <dimension ref="A1:DA24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45" customHeight="1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999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Z1" s="49"/>
      <c r="AA1" s="49"/>
      <c r="AB1" s="49"/>
      <c r="AC1" s="49"/>
      <c r="AD1" s="49"/>
      <c r="AE1" s="49"/>
      <c r="AF1" s="49"/>
      <c r="DA1" s="170" t="s">
        <v>152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DA2" s="181"/>
    </row>
    <row r="3" spans="1:105" ht="11.45" customHeight="1" x14ac:dyDescent="0.25">
      <c r="A3" s="53" t="s">
        <v>149</v>
      </c>
      <c r="B3" s="54">
        <f t="shared" ref="B3:Q3" si="0">SUM(B4:B5)</f>
        <v>11846.754999999999</v>
      </c>
      <c r="C3" s="54">
        <f t="shared" si="0"/>
        <v>11865.871999999999</v>
      </c>
      <c r="D3" s="54">
        <f t="shared" si="0"/>
        <v>10045.645</v>
      </c>
      <c r="E3" s="54">
        <f t="shared" si="0"/>
        <v>9290.6229999999996</v>
      </c>
      <c r="F3" s="54">
        <f t="shared" si="0"/>
        <v>9359.277</v>
      </c>
      <c r="G3" s="54">
        <f t="shared" si="0"/>
        <v>10268.962</v>
      </c>
      <c r="H3" s="54">
        <f t="shared" si="0"/>
        <v>10898.717000000001</v>
      </c>
      <c r="I3" s="54">
        <f t="shared" si="0"/>
        <v>10034.232</v>
      </c>
      <c r="J3" s="54">
        <f t="shared" si="0"/>
        <v>9297.4259999999995</v>
      </c>
      <c r="K3" s="54">
        <f t="shared" si="0"/>
        <v>7885.1869999999999</v>
      </c>
      <c r="L3" s="54">
        <f t="shared" si="0"/>
        <v>8396.4419999999991</v>
      </c>
      <c r="M3" s="54">
        <f t="shared" si="0"/>
        <v>8628.1190000000006</v>
      </c>
      <c r="N3" s="54">
        <f t="shared" si="0"/>
        <v>7219.38</v>
      </c>
      <c r="O3" s="54">
        <f t="shared" si="0"/>
        <v>7262.7910000000002</v>
      </c>
      <c r="P3" s="54">
        <f t="shared" si="0"/>
        <v>7688.56</v>
      </c>
      <c r="Q3" s="54">
        <f t="shared" si="0"/>
        <v>9037.0550000000003</v>
      </c>
      <c r="R3" s="54">
        <f t="shared" ref="R3:V3" si="1">SUM(R4:R5)</f>
        <v>9491.1260000000002</v>
      </c>
      <c r="S3" s="54">
        <f t="shared" si="1"/>
        <v>8519.8760000000002</v>
      </c>
      <c r="T3" s="54">
        <f t="shared" si="1"/>
        <v>9701.0439999999999</v>
      </c>
      <c r="U3" s="54">
        <f t="shared" si="1"/>
        <v>10042.199000000001</v>
      </c>
      <c r="V3" s="54">
        <f t="shared" si="1"/>
        <v>8330.7819999999992</v>
      </c>
      <c r="W3" s="54">
        <f t="shared" ref="W3:Y3" si="2">SUM(W4:W5)</f>
        <v>8413.8970000000008</v>
      </c>
      <c r="X3" s="54">
        <f t="shared" si="2"/>
        <v>9582.5220000000008</v>
      </c>
      <c r="Y3" s="54">
        <f t="shared" si="2"/>
        <v>9809.8289999999997</v>
      </c>
      <c r="Z3" s="54"/>
      <c r="AA3" s="54"/>
      <c r="AB3" s="54"/>
      <c r="AC3" s="54"/>
      <c r="AD3" s="54"/>
      <c r="AE3" s="54"/>
      <c r="AF3" s="54"/>
      <c r="AG3" s="54"/>
      <c r="DA3" s="172" t="s">
        <v>385</v>
      </c>
    </row>
    <row r="4" spans="1:105" ht="11.45" customHeight="1" x14ac:dyDescent="0.25">
      <c r="A4" s="55" t="s">
        <v>30</v>
      </c>
      <c r="B4" s="56">
        <v>11846.754999999999</v>
      </c>
      <c r="C4" s="56">
        <v>11865.871999999999</v>
      </c>
      <c r="D4" s="56">
        <v>10045.645</v>
      </c>
      <c r="E4" s="56">
        <v>9290.6229999999996</v>
      </c>
      <c r="F4" s="56">
        <v>9359.277</v>
      </c>
      <c r="G4" s="56">
        <v>10268.962</v>
      </c>
      <c r="H4" s="56">
        <v>10898.717000000001</v>
      </c>
      <c r="I4" s="56">
        <v>10034.232</v>
      </c>
      <c r="J4" s="56">
        <v>9297.4259999999995</v>
      </c>
      <c r="K4" s="56">
        <v>7885.1869999999999</v>
      </c>
      <c r="L4" s="56">
        <v>8396.4419999999991</v>
      </c>
      <c r="M4" s="56">
        <v>8628.1190000000006</v>
      </c>
      <c r="N4" s="56">
        <v>7219.38</v>
      </c>
      <c r="O4" s="56">
        <v>7262.7910000000002</v>
      </c>
      <c r="P4" s="56">
        <v>7688.56</v>
      </c>
      <c r="Q4" s="56">
        <v>9037.0550000000003</v>
      </c>
      <c r="R4" s="56">
        <v>9491.1260000000002</v>
      </c>
      <c r="S4" s="56">
        <v>8519.8760000000002</v>
      </c>
      <c r="T4" s="56">
        <v>9701.0439999999999</v>
      </c>
      <c r="U4" s="56">
        <v>10042.199000000001</v>
      </c>
      <c r="V4" s="56">
        <v>8330.7819999999992</v>
      </c>
      <c r="W4" s="56">
        <v>8413.8970000000008</v>
      </c>
      <c r="X4" s="56">
        <v>9582.5220000000008</v>
      </c>
      <c r="Y4" s="56">
        <v>9809.8289999999997</v>
      </c>
      <c r="Z4" s="56"/>
      <c r="AA4" s="56"/>
      <c r="AB4" s="56"/>
      <c r="AC4" s="56"/>
      <c r="AD4" s="56"/>
      <c r="AE4" s="56"/>
      <c r="AF4" s="56"/>
      <c r="AG4" s="56"/>
      <c r="DA4" s="181" t="s">
        <v>386</v>
      </c>
    </row>
    <row r="5" spans="1:105" ht="11.45" customHeight="1" x14ac:dyDescent="0.25">
      <c r="A5" s="57" t="s">
        <v>31</v>
      </c>
      <c r="B5" s="58">
        <v>0</v>
      </c>
      <c r="C5" s="58">
        <v>0</v>
      </c>
      <c r="D5" s="58">
        <v>0</v>
      </c>
      <c r="E5" s="58">
        <v>0</v>
      </c>
      <c r="F5" s="58">
        <v>0</v>
      </c>
      <c r="G5" s="58">
        <v>0</v>
      </c>
      <c r="H5" s="58">
        <v>0</v>
      </c>
      <c r="I5" s="58">
        <v>0</v>
      </c>
      <c r="J5" s="58">
        <v>0</v>
      </c>
      <c r="K5" s="58">
        <v>0</v>
      </c>
      <c r="L5" s="58">
        <v>0</v>
      </c>
      <c r="M5" s="58">
        <v>0</v>
      </c>
      <c r="N5" s="58">
        <v>0</v>
      </c>
      <c r="O5" s="58">
        <v>0</v>
      </c>
      <c r="P5" s="58">
        <v>0</v>
      </c>
      <c r="Q5" s="58">
        <v>0</v>
      </c>
      <c r="R5" s="58">
        <v>0</v>
      </c>
      <c r="S5" s="58">
        <v>0</v>
      </c>
      <c r="T5" s="58">
        <v>0</v>
      </c>
      <c r="U5" s="58">
        <v>0</v>
      </c>
      <c r="V5" s="58">
        <v>0</v>
      </c>
      <c r="W5" s="58">
        <v>0</v>
      </c>
      <c r="X5" s="58">
        <v>0</v>
      </c>
      <c r="Y5" s="58">
        <v>0</v>
      </c>
      <c r="Z5" s="58"/>
      <c r="AA5" s="58"/>
      <c r="AB5" s="58"/>
      <c r="AC5" s="58"/>
      <c r="AD5" s="58"/>
      <c r="AE5" s="58"/>
      <c r="AF5" s="58"/>
      <c r="AG5" s="58"/>
      <c r="DA5" s="182" t="s">
        <v>387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DA6" s="181"/>
    </row>
    <row r="7" spans="1:105" ht="11.45" customHeight="1" x14ac:dyDescent="0.25">
      <c r="A7" s="53" t="s">
        <v>161</v>
      </c>
      <c r="B7" s="59">
        <f t="shared" ref="B7:Q7" si="3">SUM(B8:B9)</f>
        <v>10.647</v>
      </c>
      <c r="C7" s="59">
        <f t="shared" si="3"/>
        <v>10.013</v>
      </c>
      <c r="D7" s="59">
        <f t="shared" si="3"/>
        <v>9.1359999999999992</v>
      </c>
      <c r="E7" s="59">
        <f t="shared" si="3"/>
        <v>9.4730000000000008</v>
      </c>
      <c r="F7" s="59">
        <f t="shared" si="3"/>
        <v>9.5289999999999999</v>
      </c>
      <c r="G7" s="59">
        <f t="shared" si="3"/>
        <v>10.186</v>
      </c>
      <c r="H7" s="59">
        <f t="shared" si="3"/>
        <v>12.132</v>
      </c>
      <c r="I7" s="59">
        <f t="shared" si="3"/>
        <v>10.613</v>
      </c>
      <c r="J7" s="59">
        <f t="shared" si="3"/>
        <v>9.1289999999999996</v>
      </c>
      <c r="K7" s="59">
        <f t="shared" si="3"/>
        <v>7.9009999999999998</v>
      </c>
      <c r="L7" s="59">
        <f t="shared" si="3"/>
        <v>7.633</v>
      </c>
      <c r="M7" s="59">
        <f t="shared" si="3"/>
        <v>7.2869999999999999</v>
      </c>
      <c r="N7" s="59">
        <f t="shared" si="3"/>
        <v>7.7240000000000002</v>
      </c>
      <c r="O7" s="59">
        <f t="shared" si="3"/>
        <v>6.915</v>
      </c>
      <c r="P7" s="59">
        <f t="shared" si="3"/>
        <v>6.3890000000000002</v>
      </c>
      <c r="Q7" s="59">
        <f t="shared" si="3"/>
        <v>9.9540000000000006</v>
      </c>
      <c r="R7" s="59">
        <f t="shared" ref="R7:V7" si="4">SUM(R8:R9)</f>
        <v>8.7769999999999992</v>
      </c>
      <c r="S7" s="59">
        <f t="shared" si="4"/>
        <v>5.7329999999999997</v>
      </c>
      <c r="T7" s="59">
        <f t="shared" si="4"/>
        <v>6.915</v>
      </c>
      <c r="U7" s="59">
        <f t="shared" si="4"/>
        <v>7.109</v>
      </c>
      <c r="V7" s="59">
        <f t="shared" si="4"/>
        <v>6.1470000000000002</v>
      </c>
      <c r="W7" s="59">
        <f t="shared" ref="W7:Y7" si="5">SUM(W8:W9)</f>
        <v>5.8029999999999999</v>
      </c>
      <c r="X7" s="59">
        <f t="shared" si="5"/>
        <v>6.3639999999999999</v>
      </c>
      <c r="Y7" s="59">
        <f t="shared" si="5"/>
        <v>7.452</v>
      </c>
      <c r="Z7" s="59"/>
      <c r="AA7" s="59"/>
      <c r="AB7" s="59"/>
      <c r="AC7" s="59"/>
      <c r="AD7" s="59"/>
      <c r="AE7" s="59"/>
      <c r="AF7" s="59"/>
      <c r="AG7" s="59"/>
      <c r="DA7" s="172" t="s">
        <v>1000</v>
      </c>
    </row>
    <row r="8" spans="1:105" ht="11.45" customHeight="1" x14ac:dyDescent="0.25">
      <c r="A8" s="55" t="s">
        <v>30</v>
      </c>
      <c r="B8" s="60">
        <v>10.647</v>
      </c>
      <c r="C8" s="60">
        <v>10.013</v>
      </c>
      <c r="D8" s="60">
        <v>9.1359999999999992</v>
      </c>
      <c r="E8" s="60">
        <v>9.4730000000000008</v>
      </c>
      <c r="F8" s="60">
        <v>9.5289999999999999</v>
      </c>
      <c r="G8" s="60">
        <v>10.186</v>
      </c>
      <c r="H8" s="60">
        <v>12.132</v>
      </c>
      <c r="I8" s="60">
        <v>10.613</v>
      </c>
      <c r="J8" s="60">
        <v>9.1289999999999996</v>
      </c>
      <c r="K8" s="60">
        <v>7.9009999999999998</v>
      </c>
      <c r="L8" s="60">
        <v>7.633</v>
      </c>
      <c r="M8" s="60">
        <v>7.2869999999999999</v>
      </c>
      <c r="N8" s="60">
        <v>7.7240000000000002</v>
      </c>
      <c r="O8" s="60">
        <v>6.915</v>
      </c>
      <c r="P8" s="60">
        <v>6.3890000000000002</v>
      </c>
      <c r="Q8" s="60">
        <v>9.9540000000000006</v>
      </c>
      <c r="R8" s="60">
        <v>8.7769999999999992</v>
      </c>
      <c r="S8" s="60">
        <v>5.7329999999999997</v>
      </c>
      <c r="T8" s="60">
        <v>6.915</v>
      </c>
      <c r="U8" s="60">
        <v>7.109</v>
      </c>
      <c r="V8" s="60">
        <v>6.1470000000000002</v>
      </c>
      <c r="W8" s="60">
        <v>5.8029999999999999</v>
      </c>
      <c r="X8" s="60">
        <v>6.3639999999999999</v>
      </c>
      <c r="Y8" s="60">
        <v>7.452</v>
      </c>
      <c r="Z8" s="60"/>
      <c r="AA8" s="60"/>
      <c r="AB8" s="60"/>
      <c r="AC8" s="60"/>
      <c r="AD8" s="60"/>
      <c r="AE8" s="60"/>
      <c r="AF8" s="60"/>
      <c r="AG8" s="60"/>
      <c r="DA8" s="181" t="s">
        <v>1001</v>
      </c>
    </row>
    <row r="9" spans="1:105" ht="11.45" customHeight="1" x14ac:dyDescent="0.25">
      <c r="A9" s="57" t="s">
        <v>31</v>
      </c>
      <c r="B9" s="61">
        <v>0</v>
      </c>
      <c r="C9" s="61">
        <v>0</v>
      </c>
      <c r="D9" s="61">
        <v>0</v>
      </c>
      <c r="E9" s="61">
        <v>0</v>
      </c>
      <c r="F9" s="61">
        <v>0</v>
      </c>
      <c r="G9" s="61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  <c r="P9" s="61">
        <v>0</v>
      </c>
      <c r="Q9" s="61">
        <v>0</v>
      </c>
      <c r="R9" s="61">
        <v>0</v>
      </c>
      <c r="S9" s="61">
        <v>0</v>
      </c>
      <c r="T9" s="61">
        <v>0</v>
      </c>
      <c r="U9" s="61">
        <v>0</v>
      </c>
      <c r="V9" s="61">
        <v>0</v>
      </c>
      <c r="W9" s="61">
        <v>0</v>
      </c>
      <c r="X9" s="61">
        <v>0</v>
      </c>
      <c r="Y9" s="61">
        <v>0</v>
      </c>
      <c r="Z9" s="61"/>
      <c r="AA9" s="61"/>
      <c r="AB9" s="61"/>
      <c r="AC9" s="61"/>
      <c r="AD9" s="61"/>
      <c r="AE9" s="61"/>
      <c r="AF9" s="61"/>
      <c r="AG9" s="61"/>
      <c r="DA9" s="182" t="s">
        <v>1002</v>
      </c>
    </row>
    <row r="10" spans="1:105" ht="11.45" customHeight="1" x14ac:dyDescent="0.25">
      <c r="A10" s="50"/>
      <c r="B10" s="50"/>
      <c r="C10" s="50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  <c r="AB10" s="51"/>
      <c r="AC10" s="51"/>
      <c r="AD10" s="51"/>
      <c r="AE10" s="51"/>
      <c r="AF10" s="51"/>
      <c r="AG10" s="51"/>
      <c r="DA10" s="181"/>
    </row>
    <row r="11" spans="1:105" ht="11.45" customHeight="1" x14ac:dyDescent="0.25">
      <c r="A11" s="68" t="s">
        <v>36</v>
      </c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DA11" s="179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DA12" s="181"/>
    </row>
    <row r="13" spans="1:105" ht="11.45" customHeight="1" x14ac:dyDescent="0.25">
      <c r="A13" s="53" t="s">
        <v>143</v>
      </c>
      <c r="B13" s="62">
        <f t="shared" ref="B13:E15" si="6">IF(B3=0,0,B3/B7)</f>
        <v>1112.68479383864</v>
      </c>
      <c r="C13" s="62">
        <f t="shared" si="6"/>
        <v>1185.0466393688205</v>
      </c>
      <c r="D13" s="62">
        <f t="shared" si="6"/>
        <v>1099.5670971978986</v>
      </c>
      <c r="E13" s="62">
        <f t="shared" si="6"/>
        <v>980.74770400084435</v>
      </c>
      <c r="F13" s="62">
        <f t="shared" ref="F13:V13" si="7">IF(F3=0,0,F3/F7)</f>
        <v>982.18879210830096</v>
      </c>
      <c r="G13" s="62">
        <f t="shared" si="7"/>
        <v>1008.1447084233261</v>
      </c>
      <c r="H13" s="62">
        <f t="shared" si="7"/>
        <v>898.34462578305317</v>
      </c>
      <c r="I13" s="62">
        <f t="shared" si="7"/>
        <v>945.46612644869504</v>
      </c>
      <c r="J13" s="62">
        <f t="shared" si="7"/>
        <v>1018.4495563588564</v>
      </c>
      <c r="K13" s="62">
        <f t="shared" si="7"/>
        <v>997.99860777116817</v>
      </c>
      <c r="L13" s="62">
        <f t="shared" si="7"/>
        <v>1100.0186034324643</v>
      </c>
      <c r="M13" s="62">
        <f t="shared" si="7"/>
        <v>1184.0426787429669</v>
      </c>
      <c r="N13" s="62">
        <f t="shared" si="7"/>
        <v>934.66856551009835</v>
      </c>
      <c r="O13" s="62">
        <f t="shared" si="7"/>
        <v>1050.2951554591468</v>
      </c>
      <c r="P13" s="62">
        <f t="shared" si="7"/>
        <v>1203.4058538112381</v>
      </c>
      <c r="Q13" s="62">
        <f t="shared" si="7"/>
        <v>907.88175607795858</v>
      </c>
      <c r="R13" s="62">
        <f t="shared" si="7"/>
        <v>1081.3633359917969</v>
      </c>
      <c r="S13" s="62">
        <f t="shared" si="7"/>
        <v>1486.1112855398571</v>
      </c>
      <c r="T13" s="62">
        <f t="shared" si="7"/>
        <v>1402.8986261749819</v>
      </c>
      <c r="U13" s="62">
        <f t="shared" si="7"/>
        <v>1412.6036010690675</v>
      </c>
      <c r="V13" s="62">
        <f t="shared" si="7"/>
        <v>1355.259801529201</v>
      </c>
      <c r="W13" s="62">
        <f t="shared" ref="W13:Y13" si="8">IF(W3=0,0,W3/W7)</f>
        <v>1449.9219369291748</v>
      </c>
      <c r="X13" s="62">
        <f t="shared" si="8"/>
        <v>1505.7388434946577</v>
      </c>
      <c r="Y13" s="62">
        <f t="shared" si="8"/>
        <v>1316.4021739130435</v>
      </c>
      <c r="Z13" s="62"/>
      <c r="AA13" s="62"/>
      <c r="AB13" s="62"/>
      <c r="AC13" s="62"/>
      <c r="AD13" s="62"/>
      <c r="AE13" s="62"/>
      <c r="AF13" s="62"/>
      <c r="AG13" s="62"/>
      <c r="DA13" s="172" t="s">
        <v>1003</v>
      </c>
    </row>
    <row r="14" spans="1:105" ht="11.45" customHeight="1" x14ac:dyDescent="0.25">
      <c r="A14" s="55" t="s">
        <v>30</v>
      </c>
      <c r="B14" s="63">
        <f t="shared" si="6"/>
        <v>1112.68479383864</v>
      </c>
      <c r="C14" s="63">
        <f t="shared" si="6"/>
        <v>1185.0466393688205</v>
      </c>
      <c r="D14" s="63">
        <f t="shared" si="6"/>
        <v>1099.5670971978986</v>
      </c>
      <c r="E14" s="63">
        <f t="shared" si="6"/>
        <v>980.74770400084435</v>
      </c>
      <c r="F14" s="63">
        <f t="shared" ref="F14:V14" si="9">IF(F4=0,0,F4/F8)</f>
        <v>982.18879210830096</v>
      </c>
      <c r="G14" s="63">
        <f t="shared" si="9"/>
        <v>1008.1447084233261</v>
      </c>
      <c r="H14" s="63">
        <f t="shared" si="9"/>
        <v>898.34462578305317</v>
      </c>
      <c r="I14" s="63">
        <f t="shared" si="9"/>
        <v>945.46612644869504</v>
      </c>
      <c r="J14" s="63">
        <f t="shared" si="9"/>
        <v>1018.4495563588564</v>
      </c>
      <c r="K14" s="63">
        <f t="shared" si="9"/>
        <v>997.99860777116817</v>
      </c>
      <c r="L14" s="63">
        <f t="shared" si="9"/>
        <v>1100.0186034324643</v>
      </c>
      <c r="M14" s="63">
        <f t="shared" si="9"/>
        <v>1184.0426787429669</v>
      </c>
      <c r="N14" s="63">
        <f t="shared" si="9"/>
        <v>934.66856551009835</v>
      </c>
      <c r="O14" s="63">
        <f t="shared" si="9"/>
        <v>1050.2951554591468</v>
      </c>
      <c r="P14" s="63">
        <f t="shared" si="9"/>
        <v>1203.4058538112381</v>
      </c>
      <c r="Q14" s="63">
        <f t="shared" si="9"/>
        <v>907.88175607795858</v>
      </c>
      <c r="R14" s="63">
        <f t="shared" si="9"/>
        <v>1081.3633359917969</v>
      </c>
      <c r="S14" s="63">
        <f t="shared" si="9"/>
        <v>1486.1112855398571</v>
      </c>
      <c r="T14" s="63">
        <f t="shared" si="9"/>
        <v>1402.8986261749819</v>
      </c>
      <c r="U14" s="63">
        <f t="shared" si="9"/>
        <v>1412.6036010690675</v>
      </c>
      <c r="V14" s="63">
        <f t="shared" si="9"/>
        <v>1355.259801529201</v>
      </c>
      <c r="W14" s="63">
        <f t="shared" ref="W14:Y14" si="10">IF(W4=0,0,W4/W8)</f>
        <v>1449.9219369291748</v>
      </c>
      <c r="X14" s="63">
        <f t="shared" si="10"/>
        <v>1505.7388434946577</v>
      </c>
      <c r="Y14" s="63">
        <f t="shared" si="10"/>
        <v>1316.4021739130435</v>
      </c>
      <c r="Z14" s="63"/>
      <c r="AA14" s="63"/>
      <c r="AB14" s="63"/>
      <c r="AC14" s="63"/>
      <c r="AD14" s="63"/>
      <c r="AE14" s="63"/>
      <c r="AF14" s="63"/>
      <c r="AG14" s="63"/>
      <c r="DA14" s="181" t="s">
        <v>1004</v>
      </c>
    </row>
    <row r="15" spans="1:105" ht="11.45" customHeight="1" x14ac:dyDescent="0.25">
      <c r="A15" s="57" t="s">
        <v>31</v>
      </c>
      <c r="B15" s="64">
        <f t="shared" si="6"/>
        <v>0</v>
      </c>
      <c r="C15" s="64">
        <f t="shared" si="6"/>
        <v>0</v>
      </c>
      <c r="D15" s="64">
        <f t="shared" si="6"/>
        <v>0</v>
      </c>
      <c r="E15" s="64">
        <f t="shared" si="6"/>
        <v>0</v>
      </c>
      <c r="F15" s="64">
        <f t="shared" ref="F15:V15" si="11">IF(F5=0,0,F5/F9)</f>
        <v>0</v>
      </c>
      <c r="G15" s="64">
        <f t="shared" si="11"/>
        <v>0</v>
      </c>
      <c r="H15" s="64">
        <f t="shared" si="11"/>
        <v>0</v>
      </c>
      <c r="I15" s="64">
        <f t="shared" si="11"/>
        <v>0</v>
      </c>
      <c r="J15" s="64">
        <f t="shared" si="11"/>
        <v>0</v>
      </c>
      <c r="K15" s="64">
        <f t="shared" si="11"/>
        <v>0</v>
      </c>
      <c r="L15" s="64">
        <f t="shared" si="11"/>
        <v>0</v>
      </c>
      <c r="M15" s="64">
        <f t="shared" si="11"/>
        <v>0</v>
      </c>
      <c r="N15" s="64">
        <f t="shared" si="11"/>
        <v>0</v>
      </c>
      <c r="O15" s="64">
        <f t="shared" si="11"/>
        <v>0</v>
      </c>
      <c r="P15" s="64">
        <f t="shared" si="11"/>
        <v>0</v>
      </c>
      <c r="Q15" s="64">
        <f t="shared" si="11"/>
        <v>0</v>
      </c>
      <c r="R15" s="64">
        <f t="shared" si="11"/>
        <v>0</v>
      </c>
      <c r="S15" s="64">
        <f t="shared" si="11"/>
        <v>0</v>
      </c>
      <c r="T15" s="64">
        <f t="shared" si="11"/>
        <v>0</v>
      </c>
      <c r="U15" s="64">
        <f t="shared" si="11"/>
        <v>0</v>
      </c>
      <c r="V15" s="64">
        <f t="shared" si="11"/>
        <v>0</v>
      </c>
      <c r="W15" s="64">
        <f t="shared" ref="W15:Y15" si="12">IF(W5=0,0,W5/W9)</f>
        <v>0</v>
      </c>
      <c r="X15" s="64">
        <f t="shared" si="12"/>
        <v>0</v>
      </c>
      <c r="Y15" s="64">
        <f t="shared" si="12"/>
        <v>0</v>
      </c>
      <c r="Z15" s="64"/>
      <c r="AA15" s="64"/>
      <c r="AB15" s="64"/>
      <c r="AC15" s="64"/>
      <c r="AD15" s="64"/>
      <c r="AE15" s="64"/>
      <c r="AF15" s="64"/>
      <c r="AG15" s="64"/>
      <c r="DA15" s="182" t="s">
        <v>1005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DA16" s="181"/>
    </row>
    <row r="17" spans="1:105" ht="11.45" customHeight="1" x14ac:dyDescent="0.25">
      <c r="A17" s="53" t="s">
        <v>65</v>
      </c>
      <c r="B17" s="65">
        <f t="shared" ref="B17:E17" si="13">IF(B3=0,0,B3/B$3)</f>
        <v>1</v>
      </c>
      <c r="C17" s="65">
        <f t="shared" si="13"/>
        <v>1</v>
      </c>
      <c r="D17" s="65">
        <f t="shared" si="13"/>
        <v>1</v>
      </c>
      <c r="E17" s="65">
        <f t="shared" si="13"/>
        <v>1</v>
      </c>
      <c r="F17" s="65">
        <f t="shared" ref="F17:V17" si="14">IF(F3=0,0,F3/F$3)</f>
        <v>1</v>
      </c>
      <c r="G17" s="65">
        <f t="shared" si="14"/>
        <v>1</v>
      </c>
      <c r="H17" s="65">
        <f t="shared" si="14"/>
        <v>1</v>
      </c>
      <c r="I17" s="65">
        <f t="shared" si="14"/>
        <v>1</v>
      </c>
      <c r="J17" s="65">
        <f t="shared" si="14"/>
        <v>1</v>
      </c>
      <c r="K17" s="65">
        <f t="shared" si="14"/>
        <v>1</v>
      </c>
      <c r="L17" s="65">
        <f t="shared" si="14"/>
        <v>1</v>
      </c>
      <c r="M17" s="65">
        <f t="shared" si="14"/>
        <v>1</v>
      </c>
      <c r="N17" s="65">
        <f t="shared" si="14"/>
        <v>1</v>
      </c>
      <c r="O17" s="65">
        <f t="shared" si="14"/>
        <v>1</v>
      </c>
      <c r="P17" s="65">
        <f t="shared" si="14"/>
        <v>1</v>
      </c>
      <c r="Q17" s="65">
        <f t="shared" si="14"/>
        <v>1</v>
      </c>
      <c r="R17" s="65">
        <f t="shared" si="14"/>
        <v>1</v>
      </c>
      <c r="S17" s="65">
        <f t="shared" si="14"/>
        <v>1</v>
      </c>
      <c r="T17" s="65">
        <f t="shared" si="14"/>
        <v>1</v>
      </c>
      <c r="U17" s="65">
        <f t="shared" si="14"/>
        <v>1</v>
      </c>
      <c r="V17" s="65">
        <f t="shared" si="14"/>
        <v>1</v>
      </c>
      <c r="W17" s="65">
        <f t="shared" ref="W17:Y17" si="15">IF(W3=0,0,W3/W$3)</f>
        <v>1</v>
      </c>
      <c r="X17" s="65">
        <f t="shared" si="15"/>
        <v>1</v>
      </c>
      <c r="Y17" s="65">
        <f t="shared" si="15"/>
        <v>1</v>
      </c>
      <c r="Z17" s="65"/>
      <c r="AA17" s="65"/>
      <c r="AB17" s="65"/>
      <c r="AC17" s="65"/>
      <c r="AD17" s="65"/>
      <c r="AE17" s="65"/>
      <c r="AF17" s="65"/>
      <c r="AG17" s="65"/>
      <c r="DA17" s="172"/>
    </row>
    <row r="18" spans="1:105" ht="11.45" customHeight="1" x14ac:dyDescent="0.25">
      <c r="A18" s="55" t="s">
        <v>30</v>
      </c>
      <c r="B18" s="66">
        <f t="shared" ref="B18:E18" si="16">IF(B4=0,0,B4/B$3)</f>
        <v>1</v>
      </c>
      <c r="C18" s="66">
        <f t="shared" si="16"/>
        <v>1</v>
      </c>
      <c r="D18" s="66">
        <f t="shared" si="16"/>
        <v>1</v>
      </c>
      <c r="E18" s="66">
        <f t="shared" si="16"/>
        <v>1</v>
      </c>
      <c r="F18" s="66">
        <f t="shared" ref="F18:V18" si="17">IF(F4=0,0,F4/F$3)</f>
        <v>1</v>
      </c>
      <c r="G18" s="66">
        <f t="shared" si="17"/>
        <v>1</v>
      </c>
      <c r="H18" s="66">
        <f t="shared" si="17"/>
        <v>1</v>
      </c>
      <c r="I18" s="66">
        <f t="shared" si="17"/>
        <v>1</v>
      </c>
      <c r="J18" s="66">
        <f t="shared" si="17"/>
        <v>1</v>
      </c>
      <c r="K18" s="66">
        <f t="shared" si="17"/>
        <v>1</v>
      </c>
      <c r="L18" s="66">
        <f t="shared" si="17"/>
        <v>1</v>
      </c>
      <c r="M18" s="66">
        <f t="shared" si="17"/>
        <v>1</v>
      </c>
      <c r="N18" s="66">
        <f t="shared" si="17"/>
        <v>1</v>
      </c>
      <c r="O18" s="66">
        <f t="shared" si="17"/>
        <v>1</v>
      </c>
      <c r="P18" s="66">
        <f t="shared" si="17"/>
        <v>1</v>
      </c>
      <c r="Q18" s="66">
        <f t="shared" si="17"/>
        <v>1</v>
      </c>
      <c r="R18" s="66">
        <f t="shared" si="17"/>
        <v>1</v>
      </c>
      <c r="S18" s="66">
        <f t="shared" si="17"/>
        <v>1</v>
      </c>
      <c r="T18" s="66">
        <f t="shared" si="17"/>
        <v>1</v>
      </c>
      <c r="U18" s="66">
        <f t="shared" si="17"/>
        <v>1</v>
      </c>
      <c r="V18" s="66">
        <f t="shared" si="17"/>
        <v>1</v>
      </c>
      <c r="W18" s="66">
        <f t="shared" ref="W18:Y18" si="18">IF(W4=0,0,W4/W$3)</f>
        <v>1</v>
      </c>
      <c r="X18" s="66">
        <f t="shared" si="18"/>
        <v>1</v>
      </c>
      <c r="Y18" s="66">
        <f t="shared" si="18"/>
        <v>1</v>
      </c>
      <c r="Z18" s="66"/>
      <c r="AA18" s="66"/>
      <c r="AB18" s="66"/>
      <c r="AC18" s="66"/>
      <c r="AD18" s="66"/>
      <c r="AE18" s="66"/>
      <c r="AF18" s="66"/>
      <c r="AG18" s="66"/>
      <c r="DA18" s="181"/>
    </row>
    <row r="19" spans="1:105" ht="11.45" customHeight="1" x14ac:dyDescent="0.25">
      <c r="A19" s="57" t="s">
        <v>31</v>
      </c>
      <c r="B19" s="67">
        <f t="shared" ref="B19:E19" si="19">IF(B5=0,0,B5/B$3)</f>
        <v>0</v>
      </c>
      <c r="C19" s="67">
        <f t="shared" si="19"/>
        <v>0</v>
      </c>
      <c r="D19" s="67">
        <f t="shared" si="19"/>
        <v>0</v>
      </c>
      <c r="E19" s="67">
        <f t="shared" si="19"/>
        <v>0</v>
      </c>
      <c r="F19" s="67">
        <f t="shared" ref="F19:V19" si="20">IF(F5=0,0,F5/F$3)</f>
        <v>0</v>
      </c>
      <c r="G19" s="67">
        <f t="shared" si="20"/>
        <v>0</v>
      </c>
      <c r="H19" s="67">
        <f t="shared" si="20"/>
        <v>0</v>
      </c>
      <c r="I19" s="67">
        <f t="shared" si="20"/>
        <v>0</v>
      </c>
      <c r="J19" s="67">
        <f t="shared" si="20"/>
        <v>0</v>
      </c>
      <c r="K19" s="67">
        <f t="shared" si="20"/>
        <v>0</v>
      </c>
      <c r="L19" s="67">
        <f t="shared" si="20"/>
        <v>0</v>
      </c>
      <c r="M19" s="67">
        <f t="shared" si="20"/>
        <v>0</v>
      </c>
      <c r="N19" s="67">
        <f t="shared" si="20"/>
        <v>0</v>
      </c>
      <c r="O19" s="67">
        <f t="shared" si="20"/>
        <v>0</v>
      </c>
      <c r="P19" s="67">
        <f t="shared" si="20"/>
        <v>0</v>
      </c>
      <c r="Q19" s="67">
        <f t="shared" si="20"/>
        <v>0</v>
      </c>
      <c r="R19" s="67">
        <f t="shared" si="20"/>
        <v>0</v>
      </c>
      <c r="S19" s="67">
        <f t="shared" si="20"/>
        <v>0</v>
      </c>
      <c r="T19" s="67">
        <f t="shared" si="20"/>
        <v>0</v>
      </c>
      <c r="U19" s="67">
        <f t="shared" si="20"/>
        <v>0</v>
      </c>
      <c r="V19" s="67">
        <f t="shared" si="20"/>
        <v>0</v>
      </c>
      <c r="W19" s="67">
        <f t="shared" ref="W19:Y19" si="21">IF(W5=0,0,W5/W$3)</f>
        <v>0</v>
      </c>
      <c r="X19" s="67">
        <f t="shared" si="21"/>
        <v>0</v>
      </c>
      <c r="Y19" s="67">
        <f t="shared" si="21"/>
        <v>0</v>
      </c>
      <c r="Z19" s="67"/>
      <c r="AA19" s="67"/>
      <c r="AB19" s="67"/>
      <c r="AC19" s="67"/>
      <c r="AD19" s="67"/>
      <c r="AE19" s="67"/>
      <c r="AF19" s="67"/>
      <c r="AG19" s="67"/>
      <c r="DA19" s="182"/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DA20" s="181"/>
    </row>
    <row r="21" spans="1:105" ht="11.45" customHeight="1" x14ac:dyDescent="0.25">
      <c r="A21" s="53" t="s">
        <v>66</v>
      </c>
      <c r="B21" s="65">
        <f t="shared" ref="B21:E21" si="22">IF(B7=0,0,B7/B$7)</f>
        <v>1</v>
      </c>
      <c r="C21" s="65">
        <f t="shared" si="22"/>
        <v>1</v>
      </c>
      <c r="D21" s="65">
        <f t="shared" si="22"/>
        <v>1</v>
      </c>
      <c r="E21" s="65">
        <f t="shared" si="22"/>
        <v>1</v>
      </c>
      <c r="F21" s="65">
        <f t="shared" ref="F21:V21" si="23">IF(F7=0,0,F7/F$7)</f>
        <v>1</v>
      </c>
      <c r="G21" s="65">
        <f t="shared" si="23"/>
        <v>1</v>
      </c>
      <c r="H21" s="65">
        <f t="shared" si="23"/>
        <v>1</v>
      </c>
      <c r="I21" s="65">
        <f t="shared" si="23"/>
        <v>1</v>
      </c>
      <c r="J21" s="65">
        <f t="shared" si="23"/>
        <v>1</v>
      </c>
      <c r="K21" s="65">
        <f t="shared" si="23"/>
        <v>1</v>
      </c>
      <c r="L21" s="65">
        <f t="shared" si="23"/>
        <v>1</v>
      </c>
      <c r="M21" s="65">
        <f t="shared" si="23"/>
        <v>1</v>
      </c>
      <c r="N21" s="65">
        <f t="shared" si="23"/>
        <v>1</v>
      </c>
      <c r="O21" s="65">
        <f t="shared" si="23"/>
        <v>1</v>
      </c>
      <c r="P21" s="65">
        <f t="shared" si="23"/>
        <v>1</v>
      </c>
      <c r="Q21" s="65">
        <f t="shared" si="23"/>
        <v>1</v>
      </c>
      <c r="R21" s="65">
        <f t="shared" si="23"/>
        <v>1</v>
      </c>
      <c r="S21" s="65">
        <f t="shared" si="23"/>
        <v>1</v>
      </c>
      <c r="T21" s="65">
        <f t="shared" si="23"/>
        <v>1</v>
      </c>
      <c r="U21" s="65">
        <f t="shared" si="23"/>
        <v>1</v>
      </c>
      <c r="V21" s="65">
        <f t="shared" si="23"/>
        <v>1</v>
      </c>
      <c r="W21" s="65">
        <f t="shared" ref="W21:Y21" si="24">IF(W7=0,0,W7/W$7)</f>
        <v>1</v>
      </c>
      <c r="X21" s="65">
        <f t="shared" si="24"/>
        <v>1</v>
      </c>
      <c r="Y21" s="65">
        <f t="shared" si="24"/>
        <v>1</v>
      </c>
      <c r="Z21" s="65"/>
      <c r="AA21" s="65"/>
      <c r="AB21" s="65"/>
      <c r="AC21" s="65"/>
      <c r="AD21" s="65"/>
      <c r="AE21" s="65"/>
      <c r="AF21" s="65"/>
      <c r="AG21" s="65"/>
      <c r="DA21" s="172"/>
    </row>
    <row r="22" spans="1:105" ht="11.45" customHeight="1" x14ac:dyDescent="0.25">
      <c r="A22" s="55" t="s">
        <v>30</v>
      </c>
      <c r="B22" s="66">
        <f t="shared" ref="B22:E22" si="25">IF(B8=0,0,B8/B$7)</f>
        <v>1</v>
      </c>
      <c r="C22" s="66">
        <f t="shared" si="25"/>
        <v>1</v>
      </c>
      <c r="D22" s="66">
        <f t="shared" si="25"/>
        <v>1</v>
      </c>
      <c r="E22" s="66">
        <f t="shared" si="25"/>
        <v>1</v>
      </c>
      <c r="F22" s="66">
        <f t="shared" ref="F22:V22" si="26">IF(F8=0,0,F8/F$7)</f>
        <v>1</v>
      </c>
      <c r="G22" s="66">
        <f t="shared" si="26"/>
        <v>1</v>
      </c>
      <c r="H22" s="66">
        <f t="shared" si="26"/>
        <v>1</v>
      </c>
      <c r="I22" s="66">
        <f t="shared" si="26"/>
        <v>1</v>
      </c>
      <c r="J22" s="66">
        <f t="shared" si="26"/>
        <v>1</v>
      </c>
      <c r="K22" s="66">
        <f t="shared" si="26"/>
        <v>1</v>
      </c>
      <c r="L22" s="66">
        <f t="shared" si="26"/>
        <v>1</v>
      </c>
      <c r="M22" s="66">
        <f t="shared" si="26"/>
        <v>1</v>
      </c>
      <c r="N22" s="66">
        <f t="shared" si="26"/>
        <v>1</v>
      </c>
      <c r="O22" s="66">
        <f t="shared" si="26"/>
        <v>1</v>
      </c>
      <c r="P22" s="66">
        <f t="shared" si="26"/>
        <v>1</v>
      </c>
      <c r="Q22" s="66">
        <f t="shared" si="26"/>
        <v>1</v>
      </c>
      <c r="R22" s="66">
        <f t="shared" si="26"/>
        <v>1</v>
      </c>
      <c r="S22" s="66">
        <f t="shared" si="26"/>
        <v>1</v>
      </c>
      <c r="T22" s="66">
        <f t="shared" si="26"/>
        <v>1</v>
      </c>
      <c r="U22" s="66">
        <f t="shared" si="26"/>
        <v>1</v>
      </c>
      <c r="V22" s="66">
        <f t="shared" si="26"/>
        <v>1</v>
      </c>
      <c r="W22" s="66">
        <f t="shared" ref="W22:Y22" si="27">IF(W8=0,0,W8/W$7)</f>
        <v>1</v>
      </c>
      <c r="X22" s="66">
        <f t="shared" si="27"/>
        <v>1</v>
      </c>
      <c r="Y22" s="66">
        <f t="shared" si="27"/>
        <v>1</v>
      </c>
      <c r="Z22" s="66"/>
      <c r="AA22" s="66"/>
      <c r="AB22" s="66"/>
      <c r="AC22" s="66"/>
      <c r="AD22" s="66"/>
      <c r="AE22" s="66"/>
      <c r="AF22" s="66"/>
      <c r="AG22" s="66"/>
      <c r="DA22" s="181"/>
    </row>
    <row r="23" spans="1:105" ht="11.45" customHeight="1" x14ac:dyDescent="0.25">
      <c r="A23" s="57" t="s">
        <v>31</v>
      </c>
      <c r="B23" s="67">
        <f t="shared" ref="B23:E23" si="28">IF(B9=0,0,B9/B$7)</f>
        <v>0</v>
      </c>
      <c r="C23" s="67">
        <f t="shared" si="28"/>
        <v>0</v>
      </c>
      <c r="D23" s="67">
        <f t="shared" si="28"/>
        <v>0</v>
      </c>
      <c r="E23" s="67">
        <f t="shared" si="28"/>
        <v>0</v>
      </c>
      <c r="F23" s="67">
        <f t="shared" ref="F23:V23" si="29">IF(F9=0,0,F9/F$7)</f>
        <v>0</v>
      </c>
      <c r="G23" s="67">
        <f t="shared" si="29"/>
        <v>0</v>
      </c>
      <c r="H23" s="67">
        <f t="shared" si="29"/>
        <v>0</v>
      </c>
      <c r="I23" s="67">
        <f t="shared" si="29"/>
        <v>0</v>
      </c>
      <c r="J23" s="67">
        <f t="shared" si="29"/>
        <v>0</v>
      </c>
      <c r="K23" s="67">
        <f t="shared" si="29"/>
        <v>0</v>
      </c>
      <c r="L23" s="67">
        <f t="shared" si="29"/>
        <v>0</v>
      </c>
      <c r="M23" s="67">
        <f t="shared" si="29"/>
        <v>0</v>
      </c>
      <c r="N23" s="67">
        <f t="shared" si="29"/>
        <v>0</v>
      </c>
      <c r="O23" s="67">
        <f t="shared" si="29"/>
        <v>0</v>
      </c>
      <c r="P23" s="67">
        <f t="shared" si="29"/>
        <v>0</v>
      </c>
      <c r="Q23" s="67">
        <f t="shared" si="29"/>
        <v>0</v>
      </c>
      <c r="R23" s="67">
        <f t="shared" si="29"/>
        <v>0</v>
      </c>
      <c r="S23" s="67">
        <f t="shared" si="29"/>
        <v>0</v>
      </c>
      <c r="T23" s="67">
        <f t="shared" si="29"/>
        <v>0</v>
      </c>
      <c r="U23" s="67">
        <f t="shared" si="29"/>
        <v>0</v>
      </c>
      <c r="V23" s="67">
        <f t="shared" si="29"/>
        <v>0</v>
      </c>
      <c r="W23" s="67">
        <f t="shared" ref="W23:Y23" si="30">IF(W9=0,0,W9/W$7)</f>
        <v>0</v>
      </c>
      <c r="X23" s="67">
        <f t="shared" si="30"/>
        <v>0</v>
      </c>
      <c r="Y23" s="67">
        <f t="shared" si="30"/>
        <v>0</v>
      </c>
      <c r="Z23" s="67"/>
      <c r="AA23" s="67"/>
      <c r="AB23" s="67"/>
      <c r="AC23" s="67"/>
      <c r="AD23" s="67"/>
      <c r="AE23" s="67"/>
      <c r="AF23" s="67"/>
      <c r="AG23" s="67"/>
      <c r="DA23" s="182"/>
    </row>
    <row r="24" spans="1:105" ht="11.45" customHeight="1" x14ac:dyDescent="0.25"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DA29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45" customHeight="1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1006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Z1" s="49"/>
      <c r="AA1" s="49"/>
      <c r="AB1" s="49"/>
      <c r="AC1" s="49"/>
      <c r="AD1" s="49"/>
      <c r="AE1" s="49"/>
      <c r="AF1" s="49"/>
      <c r="DA1" s="170" t="s">
        <v>152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DA2" s="181"/>
    </row>
    <row r="3" spans="1:105" ht="11.45" customHeight="1" x14ac:dyDescent="0.25">
      <c r="A3" s="53" t="s">
        <v>32</v>
      </c>
      <c r="B3" s="62">
        <f>SUM(B4,B10)</f>
        <v>1399.4171969045572</v>
      </c>
      <c r="C3" s="62">
        <f t="shared" ref="C3:V3" si="0">SUM(C4,C10)</f>
        <v>1393.5654342218404</v>
      </c>
      <c r="D3" s="62">
        <f t="shared" si="0"/>
        <v>1400.8837489251928</v>
      </c>
      <c r="E3" s="62">
        <f t="shared" si="0"/>
        <v>1566.8959587274287</v>
      </c>
      <c r="F3" s="62">
        <f t="shared" si="0"/>
        <v>1621.3718830610492</v>
      </c>
      <c r="G3" s="62">
        <f t="shared" si="0"/>
        <v>1558.8993981083408</v>
      </c>
      <c r="H3" s="62">
        <f t="shared" si="0"/>
        <v>1694.2772141014616</v>
      </c>
      <c r="I3" s="62">
        <f t="shared" si="0"/>
        <v>1469.1650042992264</v>
      </c>
      <c r="J3" s="62">
        <f t="shared" si="0"/>
        <v>1331.4750644883916</v>
      </c>
      <c r="K3" s="62">
        <f t="shared" si="0"/>
        <v>1103.9361994840926</v>
      </c>
      <c r="L3" s="62">
        <f t="shared" si="0"/>
        <v>1060.0458297506448</v>
      </c>
      <c r="M3" s="62">
        <f t="shared" si="0"/>
        <v>829.96087704213232</v>
      </c>
      <c r="N3" s="62">
        <f t="shared" si="0"/>
        <v>862.16680997420451</v>
      </c>
      <c r="O3" s="62">
        <f t="shared" si="0"/>
        <v>506.59690455717958</v>
      </c>
      <c r="P3" s="62">
        <f t="shared" si="0"/>
        <v>327.35735167669816</v>
      </c>
      <c r="Q3" s="62">
        <f t="shared" si="0"/>
        <v>447.057437661221</v>
      </c>
      <c r="R3" s="62">
        <f t="shared" si="0"/>
        <v>628.3374032674119</v>
      </c>
      <c r="S3" s="62">
        <f t="shared" si="0"/>
        <v>958.33645743766112</v>
      </c>
      <c r="T3" s="62">
        <f t="shared" si="0"/>
        <v>991.20163370593286</v>
      </c>
      <c r="U3" s="62">
        <f t="shared" si="0"/>
        <v>1037.8338779019775</v>
      </c>
      <c r="V3" s="62">
        <f t="shared" si="0"/>
        <v>803.44961306964728</v>
      </c>
      <c r="W3" s="62">
        <f t="shared" ref="W3:Y3" si="1">SUM(W4,W10)</f>
        <v>908.26706792777281</v>
      </c>
      <c r="X3" s="62">
        <f t="shared" si="1"/>
        <v>1101.4225279449697</v>
      </c>
      <c r="Y3" s="62">
        <f t="shared" si="1"/>
        <v>901.45064488392063</v>
      </c>
      <c r="Z3" s="62"/>
      <c r="AA3" s="62"/>
      <c r="AB3" s="62"/>
      <c r="AC3" s="62"/>
      <c r="AD3" s="62"/>
      <c r="AE3" s="62"/>
      <c r="AF3" s="62"/>
      <c r="AG3" s="62"/>
      <c r="DA3" s="172" t="s">
        <v>1007</v>
      </c>
    </row>
    <row r="4" spans="1:105" ht="11.45" customHeight="1" x14ac:dyDescent="0.25">
      <c r="A4" s="70" t="s">
        <v>30</v>
      </c>
      <c r="B4" s="71">
        <f>SUM(B5:B9)</f>
        <v>1399.4171969045572</v>
      </c>
      <c r="C4" s="71">
        <f t="shared" ref="C4:V4" si="2">SUM(C5:C9)</f>
        <v>1393.5654342218404</v>
      </c>
      <c r="D4" s="71">
        <f t="shared" si="2"/>
        <v>1400.8837489251928</v>
      </c>
      <c r="E4" s="71">
        <f t="shared" si="2"/>
        <v>1566.8959587274287</v>
      </c>
      <c r="F4" s="71">
        <f t="shared" si="2"/>
        <v>1621.3718830610492</v>
      </c>
      <c r="G4" s="71">
        <f t="shared" si="2"/>
        <v>1558.8993981083408</v>
      </c>
      <c r="H4" s="71">
        <f t="shared" si="2"/>
        <v>1694.2772141014616</v>
      </c>
      <c r="I4" s="71">
        <f t="shared" si="2"/>
        <v>1469.1650042992264</v>
      </c>
      <c r="J4" s="71">
        <f t="shared" si="2"/>
        <v>1331.4750644883916</v>
      </c>
      <c r="K4" s="71">
        <f t="shared" si="2"/>
        <v>1103.9361994840926</v>
      </c>
      <c r="L4" s="71">
        <f t="shared" si="2"/>
        <v>1060.0458297506448</v>
      </c>
      <c r="M4" s="71">
        <f t="shared" si="2"/>
        <v>829.96087704213232</v>
      </c>
      <c r="N4" s="71">
        <f t="shared" si="2"/>
        <v>862.16680997420451</v>
      </c>
      <c r="O4" s="71">
        <f t="shared" si="2"/>
        <v>506.59690455717958</v>
      </c>
      <c r="P4" s="71">
        <f t="shared" si="2"/>
        <v>327.35735167669816</v>
      </c>
      <c r="Q4" s="71">
        <f t="shared" si="2"/>
        <v>447.057437661221</v>
      </c>
      <c r="R4" s="71">
        <f t="shared" si="2"/>
        <v>628.3374032674119</v>
      </c>
      <c r="S4" s="71">
        <f t="shared" si="2"/>
        <v>958.33645743766112</v>
      </c>
      <c r="T4" s="71">
        <f t="shared" si="2"/>
        <v>991.20163370593286</v>
      </c>
      <c r="U4" s="71">
        <f t="shared" si="2"/>
        <v>1037.8338779019775</v>
      </c>
      <c r="V4" s="71">
        <f t="shared" si="2"/>
        <v>803.44961306964728</v>
      </c>
      <c r="W4" s="71">
        <f t="shared" ref="W4:Y4" si="3">SUM(W5:W9)</f>
        <v>908.26706792777281</v>
      </c>
      <c r="X4" s="71">
        <f t="shared" si="3"/>
        <v>1101.4225279449697</v>
      </c>
      <c r="Y4" s="71">
        <f t="shared" si="3"/>
        <v>901.45064488392063</v>
      </c>
      <c r="Z4" s="71"/>
      <c r="AA4" s="71"/>
      <c r="AB4" s="71"/>
      <c r="AC4" s="71"/>
      <c r="AD4" s="71"/>
      <c r="AE4" s="71"/>
      <c r="AF4" s="71"/>
      <c r="AG4" s="71"/>
      <c r="DA4" s="186" t="s">
        <v>1008</v>
      </c>
    </row>
    <row r="5" spans="1:105" ht="11.45" customHeight="1" x14ac:dyDescent="0.25">
      <c r="A5" s="72" t="s">
        <v>144</v>
      </c>
      <c r="B5" s="73">
        <v>1185.2011177987961</v>
      </c>
      <c r="C5" s="73">
        <v>1184.174032674119</v>
      </c>
      <c r="D5" s="73">
        <v>1161.579277730008</v>
      </c>
      <c r="E5" s="73">
        <v>1289.9588993981081</v>
      </c>
      <c r="F5" s="73">
        <v>1472.7715391229581</v>
      </c>
      <c r="G5" s="73">
        <v>1476.879707652623</v>
      </c>
      <c r="H5" s="73">
        <v>1433.7441100601891</v>
      </c>
      <c r="I5" s="73">
        <v>1237.580051590714</v>
      </c>
      <c r="J5" s="73">
        <v>1130.7680997420459</v>
      </c>
      <c r="K5" s="73">
        <v>926.38770421324148</v>
      </c>
      <c r="L5" s="73">
        <v>934.60395528804804</v>
      </c>
      <c r="M5" s="73">
        <v>688.11504729148749</v>
      </c>
      <c r="N5" s="73">
        <v>757.95356835769553</v>
      </c>
      <c r="O5" s="73">
        <v>383.08495270851239</v>
      </c>
      <c r="P5" s="73">
        <v>243.4078245915735</v>
      </c>
      <c r="Q5" s="73">
        <v>339.94935511607912</v>
      </c>
      <c r="R5" s="73">
        <v>402.59862424763543</v>
      </c>
      <c r="S5" s="73">
        <v>466.27497850386931</v>
      </c>
      <c r="T5" s="73">
        <v>499.14015477214099</v>
      </c>
      <c r="U5" s="73">
        <v>472.43714531384347</v>
      </c>
      <c r="V5" s="73">
        <v>458.05864144453989</v>
      </c>
      <c r="W5" s="73">
        <v>519.5741186586414</v>
      </c>
      <c r="X5" s="73">
        <v>624.79097162510743</v>
      </c>
      <c r="Y5" s="73">
        <v>500.24522785898529</v>
      </c>
      <c r="Z5" s="73"/>
      <c r="AA5" s="73"/>
      <c r="AB5" s="73"/>
      <c r="AC5" s="73"/>
      <c r="AD5" s="73"/>
      <c r="AE5" s="73"/>
      <c r="AF5" s="73"/>
      <c r="AG5" s="73"/>
      <c r="DA5" s="187" t="s">
        <v>1009</v>
      </c>
    </row>
    <row r="6" spans="1:105" ht="11.45" customHeight="1" x14ac:dyDescent="0.25">
      <c r="A6" s="72" t="s">
        <v>145</v>
      </c>
      <c r="B6" s="73">
        <v>214.21607910576108</v>
      </c>
      <c r="C6" s="73">
        <v>209.39140154772144</v>
      </c>
      <c r="D6" s="73">
        <v>239.30447119518476</v>
      </c>
      <c r="E6" s="73">
        <v>276.93705932932062</v>
      </c>
      <c r="F6" s="73">
        <v>148.6003439380911</v>
      </c>
      <c r="G6" s="73">
        <v>82.019690455717864</v>
      </c>
      <c r="H6" s="73">
        <v>260.53310404127251</v>
      </c>
      <c r="I6" s="73">
        <v>231.58495270851245</v>
      </c>
      <c r="J6" s="73">
        <v>200.70696474634565</v>
      </c>
      <c r="K6" s="73">
        <v>177.54849527085116</v>
      </c>
      <c r="L6" s="73">
        <v>125.44187446259673</v>
      </c>
      <c r="M6" s="73">
        <v>141.84582975064484</v>
      </c>
      <c r="N6" s="73">
        <v>104.21324161650898</v>
      </c>
      <c r="O6" s="73">
        <v>123.5119518486672</v>
      </c>
      <c r="P6" s="73">
        <v>83.949527085124657</v>
      </c>
      <c r="Q6" s="73">
        <v>107.10808254514188</v>
      </c>
      <c r="R6" s="73">
        <v>224.83043852106624</v>
      </c>
      <c r="S6" s="73">
        <v>491.15313843508159</v>
      </c>
      <c r="T6" s="73">
        <v>491.15313843508164</v>
      </c>
      <c r="U6" s="73">
        <v>564.48839208942377</v>
      </c>
      <c r="V6" s="73">
        <v>344.48263112639717</v>
      </c>
      <c r="W6" s="73">
        <v>388.09974204643152</v>
      </c>
      <c r="X6" s="73">
        <v>475.16921754084251</v>
      </c>
      <c r="Y6" s="73">
        <v>399.51917454858113</v>
      </c>
      <c r="Z6" s="73"/>
      <c r="AA6" s="73"/>
      <c r="AB6" s="73"/>
      <c r="AC6" s="73"/>
      <c r="AD6" s="73"/>
      <c r="AE6" s="73"/>
      <c r="AF6" s="73"/>
      <c r="AG6" s="73"/>
      <c r="DA6" s="187" t="s">
        <v>1010</v>
      </c>
    </row>
    <row r="7" spans="1:105" ht="11.45" customHeight="1" x14ac:dyDescent="0.25">
      <c r="A7" s="72" t="s">
        <v>146</v>
      </c>
      <c r="B7" s="73">
        <v>0</v>
      </c>
      <c r="C7" s="73">
        <v>0</v>
      </c>
      <c r="D7" s="73">
        <v>0</v>
      </c>
      <c r="E7" s="73">
        <v>0</v>
      </c>
      <c r="F7" s="73">
        <v>0</v>
      </c>
      <c r="G7" s="73">
        <v>0</v>
      </c>
      <c r="H7" s="73">
        <v>0</v>
      </c>
      <c r="I7" s="73">
        <v>0</v>
      </c>
      <c r="J7" s="73">
        <v>0</v>
      </c>
      <c r="K7" s="73">
        <v>0</v>
      </c>
      <c r="L7" s="73">
        <v>0</v>
      </c>
      <c r="M7" s="73">
        <v>0</v>
      </c>
      <c r="N7" s="73">
        <v>0</v>
      </c>
      <c r="O7" s="73">
        <v>0</v>
      </c>
      <c r="P7" s="73">
        <v>0</v>
      </c>
      <c r="Q7" s="73">
        <v>0</v>
      </c>
      <c r="R7" s="73">
        <v>0.90834049871023215</v>
      </c>
      <c r="S7" s="73">
        <v>0.90834049871023215</v>
      </c>
      <c r="T7" s="73">
        <v>0.90834049871023215</v>
      </c>
      <c r="U7" s="73">
        <v>0.90834049871023215</v>
      </c>
      <c r="V7" s="73">
        <v>0.90834049871023215</v>
      </c>
      <c r="W7" s="73">
        <v>0.59320722269991399</v>
      </c>
      <c r="X7" s="73">
        <v>1.4623387790197764</v>
      </c>
      <c r="Y7" s="73">
        <v>1.6862424763542558</v>
      </c>
      <c r="Z7" s="73"/>
      <c r="AA7" s="73"/>
      <c r="AB7" s="73"/>
      <c r="AC7" s="73"/>
      <c r="AD7" s="73"/>
      <c r="AE7" s="73"/>
      <c r="AF7" s="73"/>
      <c r="AG7" s="73"/>
      <c r="DA7" s="187" t="s">
        <v>1011</v>
      </c>
    </row>
    <row r="8" spans="1:105" ht="11.45" customHeight="1" x14ac:dyDescent="0.25">
      <c r="A8" s="72" t="s">
        <v>55</v>
      </c>
      <c r="B8" s="73">
        <v>0</v>
      </c>
      <c r="C8" s="73">
        <v>0</v>
      </c>
      <c r="D8" s="73">
        <v>0</v>
      </c>
      <c r="E8" s="73">
        <v>0</v>
      </c>
      <c r="F8" s="73">
        <v>0</v>
      </c>
      <c r="G8" s="73">
        <v>0</v>
      </c>
      <c r="H8" s="73">
        <v>0</v>
      </c>
      <c r="I8" s="73">
        <v>0</v>
      </c>
      <c r="J8" s="73">
        <v>0</v>
      </c>
      <c r="K8" s="73">
        <v>0</v>
      </c>
      <c r="L8" s="73">
        <v>0</v>
      </c>
      <c r="M8" s="73">
        <v>0</v>
      </c>
      <c r="N8" s="73">
        <v>0</v>
      </c>
      <c r="O8" s="73">
        <v>0</v>
      </c>
      <c r="P8" s="73">
        <v>0</v>
      </c>
      <c r="Q8" s="73">
        <v>0</v>
      </c>
      <c r="R8" s="73">
        <v>0</v>
      </c>
      <c r="S8" s="73">
        <v>0</v>
      </c>
      <c r="T8" s="73">
        <v>0</v>
      </c>
      <c r="U8" s="73">
        <v>0</v>
      </c>
      <c r="V8" s="73">
        <v>0</v>
      </c>
      <c r="W8" s="73">
        <v>0</v>
      </c>
      <c r="X8" s="73">
        <v>0</v>
      </c>
      <c r="Y8" s="73">
        <v>0</v>
      </c>
      <c r="Z8" s="73"/>
      <c r="AA8" s="73"/>
      <c r="AB8" s="73"/>
      <c r="AC8" s="73"/>
      <c r="AD8" s="73"/>
      <c r="AE8" s="73"/>
      <c r="AF8" s="73"/>
      <c r="AG8" s="73"/>
      <c r="DA8" s="187" t="s">
        <v>1012</v>
      </c>
    </row>
    <row r="9" spans="1:105" ht="11.45" customHeight="1" x14ac:dyDescent="0.25">
      <c r="A9" s="74" t="s">
        <v>147</v>
      </c>
      <c r="B9" s="75">
        <v>0</v>
      </c>
      <c r="C9" s="75">
        <v>0</v>
      </c>
      <c r="D9" s="75">
        <v>0</v>
      </c>
      <c r="E9" s="75">
        <v>0</v>
      </c>
      <c r="F9" s="75">
        <v>0</v>
      </c>
      <c r="G9" s="75">
        <v>0</v>
      </c>
      <c r="H9" s="75">
        <v>0</v>
      </c>
      <c r="I9" s="75">
        <v>0</v>
      </c>
      <c r="J9" s="75">
        <v>0</v>
      </c>
      <c r="K9" s="75">
        <v>0</v>
      </c>
      <c r="L9" s="75">
        <v>0</v>
      </c>
      <c r="M9" s="75">
        <v>0</v>
      </c>
      <c r="N9" s="75">
        <v>0</v>
      </c>
      <c r="O9" s="75">
        <v>0</v>
      </c>
      <c r="P9" s="75">
        <v>0</v>
      </c>
      <c r="Q9" s="75">
        <v>0</v>
      </c>
      <c r="R9" s="75">
        <v>0</v>
      </c>
      <c r="S9" s="75">
        <v>0</v>
      </c>
      <c r="T9" s="75">
        <v>0</v>
      </c>
      <c r="U9" s="75">
        <v>0</v>
      </c>
      <c r="V9" s="75">
        <v>0</v>
      </c>
      <c r="W9" s="75">
        <v>0</v>
      </c>
      <c r="X9" s="75">
        <v>0</v>
      </c>
      <c r="Y9" s="75">
        <v>0</v>
      </c>
      <c r="Z9" s="75"/>
      <c r="AA9" s="75"/>
      <c r="AB9" s="75"/>
      <c r="AC9" s="75"/>
      <c r="AD9" s="75"/>
      <c r="AE9" s="75"/>
      <c r="AF9" s="75"/>
      <c r="AG9" s="75"/>
      <c r="DA9" s="188" t="s">
        <v>1013</v>
      </c>
    </row>
    <row r="10" spans="1:105" ht="11.45" customHeight="1" x14ac:dyDescent="0.25">
      <c r="A10" s="70" t="s">
        <v>31</v>
      </c>
      <c r="B10" s="71">
        <f>SUM(B11:B15)</f>
        <v>0</v>
      </c>
      <c r="C10" s="71">
        <f t="shared" ref="C10:V10" si="4">SUM(C11:C15)</f>
        <v>0</v>
      </c>
      <c r="D10" s="71">
        <f t="shared" si="4"/>
        <v>0</v>
      </c>
      <c r="E10" s="71">
        <f t="shared" si="4"/>
        <v>0</v>
      </c>
      <c r="F10" s="71">
        <f t="shared" si="4"/>
        <v>0</v>
      </c>
      <c r="G10" s="71">
        <f t="shared" si="4"/>
        <v>0</v>
      </c>
      <c r="H10" s="71">
        <f t="shared" si="4"/>
        <v>0</v>
      </c>
      <c r="I10" s="71">
        <f t="shared" si="4"/>
        <v>0</v>
      </c>
      <c r="J10" s="71">
        <f t="shared" si="4"/>
        <v>0</v>
      </c>
      <c r="K10" s="71">
        <f t="shared" si="4"/>
        <v>0</v>
      </c>
      <c r="L10" s="71">
        <f t="shared" si="4"/>
        <v>0</v>
      </c>
      <c r="M10" s="71">
        <f t="shared" si="4"/>
        <v>0</v>
      </c>
      <c r="N10" s="71">
        <f t="shared" si="4"/>
        <v>0</v>
      </c>
      <c r="O10" s="71">
        <f t="shared" si="4"/>
        <v>0</v>
      </c>
      <c r="P10" s="71">
        <f t="shared" si="4"/>
        <v>0</v>
      </c>
      <c r="Q10" s="71">
        <f t="shared" si="4"/>
        <v>0</v>
      </c>
      <c r="R10" s="71">
        <f t="shared" si="4"/>
        <v>0</v>
      </c>
      <c r="S10" s="71">
        <f t="shared" si="4"/>
        <v>0</v>
      </c>
      <c r="T10" s="71">
        <f t="shared" si="4"/>
        <v>0</v>
      </c>
      <c r="U10" s="71">
        <f t="shared" si="4"/>
        <v>0</v>
      </c>
      <c r="V10" s="71">
        <f t="shared" si="4"/>
        <v>0</v>
      </c>
      <c r="W10" s="71">
        <f t="shared" ref="W10:Y10" si="5">SUM(W11:W15)</f>
        <v>0</v>
      </c>
      <c r="X10" s="71">
        <f t="shared" si="5"/>
        <v>0</v>
      </c>
      <c r="Y10" s="71">
        <f t="shared" si="5"/>
        <v>0</v>
      </c>
      <c r="Z10" s="71"/>
      <c r="AA10" s="71"/>
      <c r="AB10" s="71"/>
      <c r="AC10" s="71"/>
      <c r="AD10" s="71"/>
      <c r="AE10" s="71"/>
      <c r="AF10" s="71"/>
      <c r="AG10" s="71"/>
      <c r="DA10" s="186" t="s">
        <v>1014</v>
      </c>
    </row>
    <row r="11" spans="1:105" ht="11.45" customHeight="1" x14ac:dyDescent="0.25">
      <c r="A11" s="72" t="s">
        <v>144</v>
      </c>
      <c r="B11" s="73">
        <v>0</v>
      </c>
      <c r="C11" s="73">
        <v>0</v>
      </c>
      <c r="D11" s="73">
        <v>0</v>
      </c>
      <c r="E11" s="73">
        <v>0</v>
      </c>
      <c r="F11" s="73">
        <v>0</v>
      </c>
      <c r="G11" s="73">
        <v>0</v>
      </c>
      <c r="H11" s="73">
        <v>0</v>
      </c>
      <c r="I11" s="73">
        <v>0</v>
      </c>
      <c r="J11" s="73">
        <v>0</v>
      </c>
      <c r="K11" s="73">
        <v>0</v>
      </c>
      <c r="L11" s="73">
        <v>0</v>
      </c>
      <c r="M11" s="73">
        <v>0</v>
      </c>
      <c r="N11" s="73">
        <v>0</v>
      </c>
      <c r="O11" s="73">
        <v>0</v>
      </c>
      <c r="P11" s="73">
        <v>0</v>
      </c>
      <c r="Q11" s="73">
        <v>0</v>
      </c>
      <c r="R11" s="73">
        <v>0</v>
      </c>
      <c r="S11" s="73">
        <v>0</v>
      </c>
      <c r="T11" s="73">
        <v>0</v>
      </c>
      <c r="U11" s="73">
        <v>0</v>
      </c>
      <c r="V11" s="73">
        <v>0</v>
      </c>
      <c r="W11" s="73">
        <v>0</v>
      </c>
      <c r="X11" s="73">
        <v>0</v>
      </c>
      <c r="Y11" s="73">
        <v>0</v>
      </c>
      <c r="Z11" s="73"/>
      <c r="AA11" s="73"/>
      <c r="AB11" s="73"/>
      <c r="AC11" s="73"/>
      <c r="AD11" s="73"/>
      <c r="AE11" s="73"/>
      <c r="AF11" s="73"/>
      <c r="AG11" s="73"/>
      <c r="DA11" s="187" t="s">
        <v>1015</v>
      </c>
    </row>
    <row r="12" spans="1:105" ht="11.45" customHeight="1" x14ac:dyDescent="0.25">
      <c r="A12" s="72" t="s">
        <v>145</v>
      </c>
      <c r="B12" s="73">
        <v>0</v>
      </c>
      <c r="C12" s="73">
        <v>0</v>
      </c>
      <c r="D12" s="73">
        <v>0</v>
      </c>
      <c r="E12" s="73">
        <v>0</v>
      </c>
      <c r="F12" s="73">
        <v>0</v>
      </c>
      <c r="G12" s="73">
        <v>0</v>
      </c>
      <c r="H12" s="73">
        <v>0</v>
      </c>
      <c r="I12" s="73">
        <v>0</v>
      </c>
      <c r="J12" s="73">
        <v>0</v>
      </c>
      <c r="K12" s="73">
        <v>0</v>
      </c>
      <c r="L12" s="73">
        <v>0</v>
      </c>
      <c r="M12" s="73">
        <v>0</v>
      </c>
      <c r="N12" s="73">
        <v>0</v>
      </c>
      <c r="O12" s="73">
        <v>0</v>
      </c>
      <c r="P12" s="73">
        <v>0</v>
      </c>
      <c r="Q12" s="73">
        <v>0</v>
      </c>
      <c r="R12" s="73">
        <v>0</v>
      </c>
      <c r="S12" s="73">
        <v>0</v>
      </c>
      <c r="T12" s="73">
        <v>0</v>
      </c>
      <c r="U12" s="73">
        <v>0</v>
      </c>
      <c r="V12" s="73">
        <v>0</v>
      </c>
      <c r="W12" s="73">
        <v>0</v>
      </c>
      <c r="X12" s="73">
        <v>0</v>
      </c>
      <c r="Y12" s="73">
        <v>0</v>
      </c>
      <c r="Z12" s="73"/>
      <c r="AA12" s="73"/>
      <c r="AB12" s="73"/>
      <c r="AC12" s="73"/>
      <c r="AD12" s="73"/>
      <c r="AE12" s="73"/>
      <c r="AF12" s="73"/>
      <c r="AG12" s="73"/>
      <c r="DA12" s="187" t="s">
        <v>1016</v>
      </c>
    </row>
    <row r="13" spans="1:105" ht="11.45" customHeight="1" x14ac:dyDescent="0.25">
      <c r="A13" s="72" t="s">
        <v>146</v>
      </c>
      <c r="B13" s="73">
        <v>0</v>
      </c>
      <c r="C13" s="73">
        <v>0</v>
      </c>
      <c r="D13" s="73">
        <v>0</v>
      </c>
      <c r="E13" s="73">
        <v>0</v>
      </c>
      <c r="F13" s="73">
        <v>0</v>
      </c>
      <c r="G13" s="73">
        <v>0</v>
      </c>
      <c r="H13" s="73">
        <v>0</v>
      </c>
      <c r="I13" s="73">
        <v>0</v>
      </c>
      <c r="J13" s="73">
        <v>0</v>
      </c>
      <c r="K13" s="73">
        <v>0</v>
      </c>
      <c r="L13" s="73">
        <v>0</v>
      </c>
      <c r="M13" s="73">
        <v>0</v>
      </c>
      <c r="N13" s="73">
        <v>0</v>
      </c>
      <c r="O13" s="73">
        <v>0</v>
      </c>
      <c r="P13" s="73">
        <v>0</v>
      </c>
      <c r="Q13" s="73">
        <v>0</v>
      </c>
      <c r="R13" s="73">
        <v>0</v>
      </c>
      <c r="S13" s="73">
        <v>0</v>
      </c>
      <c r="T13" s="73">
        <v>0</v>
      </c>
      <c r="U13" s="73">
        <v>0</v>
      </c>
      <c r="V13" s="73">
        <v>0</v>
      </c>
      <c r="W13" s="73">
        <v>0</v>
      </c>
      <c r="X13" s="73">
        <v>0</v>
      </c>
      <c r="Y13" s="73">
        <v>0</v>
      </c>
      <c r="Z13" s="73"/>
      <c r="AA13" s="73"/>
      <c r="AB13" s="73"/>
      <c r="AC13" s="73"/>
      <c r="AD13" s="73"/>
      <c r="AE13" s="73"/>
      <c r="AF13" s="73"/>
      <c r="AG13" s="73"/>
      <c r="DA13" s="187" t="s">
        <v>1017</v>
      </c>
    </row>
    <row r="14" spans="1:105" ht="11.45" customHeight="1" x14ac:dyDescent="0.25">
      <c r="A14" s="72" t="s">
        <v>55</v>
      </c>
      <c r="B14" s="73">
        <v>0</v>
      </c>
      <c r="C14" s="73">
        <v>0</v>
      </c>
      <c r="D14" s="73">
        <v>0</v>
      </c>
      <c r="E14" s="73">
        <v>0</v>
      </c>
      <c r="F14" s="73">
        <v>0</v>
      </c>
      <c r="G14" s="73">
        <v>0</v>
      </c>
      <c r="H14" s="73">
        <v>0</v>
      </c>
      <c r="I14" s="73">
        <v>0</v>
      </c>
      <c r="J14" s="73">
        <v>0</v>
      </c>
      <c r="K14" s="73">
        <v>0</v>
      </c>
      <c r="L14" s="73">
        <v>0</v>
      </c>
      <c r="M14" s="73">
        <v>0</v>
      </c>
      <c r="N14" s="73">
        <v>0</v>
      </c>
      <c r="O14" s="73">
        <v>0</v>
      </c>
      <c r="P14" s="73">
        <v>0</v>
      </c>
      <c r="Q14" s="73">
        <v>0</v>
      </c>
      <c r="R14" s="73">
        <v>0</v>
      </c>
      <c r="S14" s="73">
        <v>0</v>
      </c>
      <c r="T14" s="73">
        <v>0</v>
      </c>
      <c r="U14" s="73">
        <v>0</v>
      </c>
      <c r="V14" s="73">
        <v>0</v>
      </c>
      <c r="W14" s="73">
        <v>0</v>
      </c>
      <c r="X14" s="73">
        <v>0</v>
      </c>
      <c r="Y14" s="73">
        <v>0</v>
      </c>
      <c r="Z14" s="73"/>
      <c r="AA14" s="73"/>
      <c r="AB14" s="73"/>
      <c r="AC14" s="73"/>
      <c r="AD14" s="73"/>
      <c r="AE14" s="73"/>
      <c r="AF14" s="73"/>
      <c r="AG14" s="73"/>
      <c r="DA14" s="187" t="s">
        <v>1018</v>
      </c>
    </row>
    <row r="15" spans="1:105" ht="11.45" customHeight="1" x14ac:dyDescent="0.25">
      <c r="A15" s="74" t="s">
        <v>147</v>
      </c>
      <c r="B15" s="75">
        <v>0</v>
      </c>
      <c r="C15" s="75">
        <v>0</v>
      </c>
      <c r="D15" s="75">
        <v>0</v>
      </c>
      <c r="E15" s="75">
        <v>0</v>
      </c>
      <c r="F15" s="75">
        <v>0</v>
      </c>
      <c r="G15" s="75">
        <v>0</v>
      </c>
      <c r="H15" s="75">
        <v>0</v>
      </c>
      <c r="I15" s="75">
        <v>0</v>
      </c>
      <c r="J15" s="75">
        <v>0</v>
      </c>
      <c r="K15" s="75">
        <v>0</v>
      </c>
      <c r="L15" s="75">
        <v>0</v>
      </c>
      <c r="M15" s="75">
        <v>0</v>
      </c>
      <c r="N15" s="75">
        <v>0</v>
      </c>
      <c r="O15" s="75">
        <v>0</v>
      </c>
      <c r="P15" s="75">
        <v>0</v>
      </c>
      <c r="Q15" s="75">
        <v>0</v>
      </c>
      <c r="R15" s="75">
        <v>0</v>
      </c>
      <c r="S15" s="75">
        <v>0</v>
      </c>
      <c r="T15" s="75">
        <v>0</v>
      </c>
      <c r="U15" s="75">
        <v>0</v>
      </c>
      <c r="V15" s="75">
        <v>0</v>
      </c>
      <c r="W15" s="75">
        <v>0</v>
      </c>
      <c r="X15" s="75">
        <v>0</v>
      </c>
      <c r="Y15" s="75">
        <v>0</v>
      </c>
      <c r="Z15" s="75"/>
      <c r="AA15" s="75"/>
      <c r="AB15" s="75"/>
      <c r="AC15" s="75"/>
      <c r="AD15" s="75"/>
      <c r="AE15" s="75"/>
      <c r="AF15" s="75"/>
      <c r="AG15" s="75"/>
      <c r="DA15" s="188" t="s">
        <v>1019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DA16" s="181"/>
    </row>
    <row r="17" spans="1:105" ht="11.45" customHeight="1" x14ac:dyDescent="0.25">
      <c r="A17" s="68" t="s">
        <v>36</v>
      </c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X17" s="69"/>
      <c r="Y17" s="69"/>
      <c r="DA17" s="179"/>
    </row>
    <row r="18" spans="1:105" ht="11.45" customHeight="1" x14ac:dyDescent="0.25">
      <c r="A18" s="50"/>
      <c r="B18" s="50"/>
      <c r="C18" s="50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1"/>
      <c r="AB18" s="51"/>
      <c r="AC18" s="51"/>
      <c r="AD18" s="51"/>
      <c r="AE18" s="51"/>
      <c r="AF18" s="51"/>
      <c r="AG18" s="51"/>
      <c r="DA18" s="181"/>
    </row>
    <row r="19" spans="1:105" ht="11.45" customHeight="1" x14ac:dyDescent="0.25">
      <c r="A19" s="53" t="s">
        <v>62</v>
      </c>
      <c r="B19" s="62">
        <f>IF(B3=0,0,B3/TrNavi_act!B7*100)</f>
        <v>13143.770047004386</v>
      </c>
      <c r="C19" s="62">
        <f>IF(C3=0,0,C3/TrNavi_act!C7*100)</f>
        <v>13917.561512252476</v>
      </c>
      <c r="D19" s="62">
        <f>IF(D3=0,0,D3/TrNavi_act!D7*100)</f>
        <v>15333.666253559466</v>
      </c>
      <c r="E19" s="62">
        <f>IF(E3=0,0,E3/TrNavi_act!E7*100)</f>
        <v>16540.651944763311</v>
      </c>
      <c r="F19" s="62">
        <f>IF(F3=0,0,F3/TrNavi_act!F7*100)</f>
        <v>17015.131525459641</v>
      </c>
      <c r="G19" s="62">
        <f>IF(G3=0,0,G3/TrNavi_act!G7*100)</f>
        <v>15304.333380211474</v>
      </c>
      <c r="H19" s="62">
        <f>IF(H3=0,0,H3/TrNavi_act!H7*100)</f>
        <v>13965.357847852471</v>
      </c>
      <c r="I19" s="62">
        <f>IF(I3=0,0,I3/TrNavi_act!I7*100)</f>
        <v>13843.069860541094</v>
      </c>
      <c r="J19" s="62">
        <f>IF(J3=0,0,J3/TrNavi_act!J7*100)</f>
        <v>14585.114081371361</v>
      </c>
      <c r="K19" s="62">
        <f>IF(K3=0,0,K3/TrNavi_act!K7*100)</f>
        <v>13972.10732165666</v>
      </c>
      <c r="L19" s="62">
        <f>IF(L3=0,0,L3/TrNavi_act!L7*100)</f>
        <v>13887.669720301908</v>
      </c>
      <c r="M19" s="62">
        <f>IF(M3=0,0,M3/TrNavi_act!M7*100)</f>
        <v>11389.609949802832</v>
      </c>
      <c r="N19" s="62">
        <f>IF(N3=0,0,N3/TrNavi_act!N7*100)</f>
        <v>11162.180346636516</v>
      </c>
      <c r="O19" s="62">
        <f>IF(O3=0,0,O3/TrNavi_act!O7*100)</f>
        <v>7326.057911166733</v>
      </c>
      <c r="P19" s="62">
        <f>IF(P3=0,0,P3/TrNavi_act!P7*100)</f>
        <v>5123.7650911989067</v>
      </c>
      <c r="Q19" s="62">
        <f>IF(Q3=0,0,Q3/TrNavi_act!Q7*100)</f>
        <v>4491.2340532571925</v>
      </c>
      <c r="R19" s="62">
        <f>IF(R3=0,0,R3/TrNavi_act!R7*100)</f>
        <v>7158.9085481076909</v>
      </c>
      <c r="S19" s="62">
        <f>IF(S3=0,0,S3/TrNavi_act!S7*100)</f>
        <v>16716.142638019555</v>
      </c>
      <c r="T19" s="62">
        <f>IF(T3=0,0,T3/TrNavi_act!T7*100)</f>
        <v>14334.080024670035</v>
      </c>
      <c r="U19" s="62">
        <f>IF(U3=0,0,U3/TrNavi_act!U7*100)</f>
        <v>14598.872948403116</v>
      </c>
      <c r="V19" s="62">
        <f>IF(V3=0,0,V3/TrNavi_act!V7*100)</f>
        <v>13070.597251824423</v>
      </c>
      <c r="W19" s="62">
        <f>IF(W3=0,0,W3/TrNavi_act!W7*100)</f>
        <v>15651.681335994706</v>
      </c>
      <c r="X19" s="62">
        <f>IF(X3=0,0,X3/TrNavi_act!X7*100)</f>
        <v>17307.079320316934</v>
      </c>
      <c r="Y19" s="62">
        <f>IF(Y3=0,0,Y3/TrNavi_act!Y7*100)</f>
        <v>12096.761203487931</v>
      </c>
      <c r="Z19" s="62"/>
      <c r="AA19" s="62"/>
      <c r="AB19" s="62"/>
      <c r="AC19" s="62"/>
      <c r="AD19" s="62"/>
      <c r="AE19" s="62"/>
      <c r="AF19" s="62"/>
      <c r="AG19" s="62"/>
      <c r="DA19" s="172" t="s">
        <v>1020</v>
      </c>
    </row>
    <row r="20" spans="1:105" ht="11.45" customHeight="1" x14ac:dyDescent="0.25">
      <c r="A20" s="55" t="s">
        <v>30</v>
      </c>
      <c r="B20" s="63">
        <f>IF(B4=0,0,B4/TrNavi_act!B8*100)</f>
        <v>13143.770047004386</v>
      </c>
      <c r="C20" s="63">
        <f>IF(C4=0,0,C4/TrNavi_act!C8*100)</f>
        <v>13917.561512252476</v>
      </c>
      <c r="D20" s="63">
        <f>IF(D4=0,0,D4/TrNavi_act!D8*100)</f>
        <v>15333.666253559466</v>
      </c>
      <c r="E20" s="63">
        <f>IF(E4=0,0,E4/TrNavi_act!E8*100)</f>
        <v>16540.651944763311</v>
      </c>
      <c r="F20" s="63">
        <f>IF(F4=0,0,F4/TrNavi_act!F8*100)</f>
        <v>17015.131525459641</v>
      </c>
      <c r="G20" s="63">
        <f>IF(G4=0,0,G4/TrNavi_act!G8*100)</f>
        <v>15304.333380211474</v>
      </c>
      <c r="H20" s="63">
        <f>IF(H4=0,0,H4/TrNavi_act!H8*100)</f>
        <v>13965.357847852471</v>
      </c>
      <c r="I20" s="63">
        <f>IF(I4=0,0,I4/TrNavi_act!I8*100)</f>
        <v>13843.069860541094</v>
      </c>
      <c r="J20" s="63">
        <f>IF(J4=0,0,J4/TrNavi_act!J8*100)</f>
        <v>14585.114081371361</v>
      </c>
      <c r="K20" s="63">
        <f>IF(K4=0,0,K4/TrNavi_act!K8*100)</f>
        <v>13972.10732165666</v>
      </c>
      <c r="L20" s="63">
        <f>IF(L4=0,0,L4/TrNavi_act!L8*100)</f>
        <v>13887.669720301908</v>
      </c>
      <c r="M20" s="63">
        <f>IF(M4=0,0,M4/TrNavi_act!M8*100)</f>
        <v>11389.609949802832</v>
      </c>
      <c r="N20" s="63">
        <f>IF(N4=0,0,N4/TrNavi_act!N8*100)</f>
        <v>11162.180346636516</v>
      </c>
      <c r="O20" s="63">
        <f>IF(O4=0,0,O4/TrNavi_act!O8*100)</f>
        <v>7326.057911166733</v>
      </c>
      <c r="P20" s="63">
        <f>IF(P4=0,0,P4/TrNavi_act!P8*100)</f>
        <v>5123.7650911989067</v>
      </c>
      <c r="Q20" s="63">
        <f>IF(Q4=0,0,Q4/TrNavi_act!Q8*100)</f>
        <v>4491.2340532571925</v>
      </c>
      <c r="R20" s="63">
        <f>IF(R4=0,0,R4/TrNavi_act!R8*100)</f>
        <v>7158.9085481076909</v>
      </c>
      <c r="S20" s="63">
        <f>IF(S4=0,0,S4/TrNavi_act!S8*100)</f>
        <v>16716.142638019555</v>
      </c>
      <c r="T20" s="63">
        <f>IF(T4=0,0,T4/TrNavi_act!T8*100)</f>
        <v>14334.080024670035</v>
      </c>
      <c r="U20" s="63">
        <f>IF(U4=0,0,U4/TrNavi_act!U8*100)</f>
        <v>14598.872948403116</v>
      </c>
      <c r="V20" s="63">
        <f>IF(V4=0,0,V4/TrNavi_act!V8*100)</f>
        <v>13070.597251824423</v>
      </c>
      <c r="W20" s="63">
        <f>IF(W4=0,0,W4/TrNavi_act!W8*100)</f>
        <v>15651.681335994706</v>
      </c>
      <c r="X20" s="63">
        <f>IF(X4=0,0,X4/TrNavi_act!X8*100)</f>
        <v>17307.079320316934</v>
      </c>
      <c r="Y20" s="63">
        <f>IF(Y4=0,0,Y4/TrNavi_act!Y8*100)</f>
        <v>12096.761203487931</v>
      </c>
      <c r="Z20" s="63"/>
      <c r="AA20" s="63"/>
      <c r="AB20" s="63"/>
      <c r="AC20" s="63"/>
      <c r="AD20" s="63"/>
      <c r="AE20" s="63"/>
      <c r="AF20" s="63"/>
      <c r="AG20" s="63"/>
      <c r="DA20" s="181" t="s">
        <v>1021</v>
      </c>
    </row>
    <row r="21" spans="1:105" ht="11.45" customHeight="1" x14ac:dyDescent="0.25">
      <c r="A21" s="57" t="s">
        <v>31</v>
      </c>
      <c r="B21" s="64">
        <f>IF(B10=0,0,B10/TrNavi_act!B9*100)</f>
        <v>0</v>
      </c>
      <c r="C21" s="64">
        <f>IF(C10=0,0,C10/TrNavi_act!C9*100)</f>
        <v>0</v>
      </c>
      <c r="D21" s="64">
        <f>IF(D10=0,0,D10/TrNavi_act!D9*100)</f>
        <v>0</v>
      </c>
      <c r="E21" s="64">
        <f>IF(E10=0,0,E10/TrNavi_act!E9*100)</f>
        <v>0</v>
      </c>
      <c r="F21" s="64">
        <f>IF(F10=0,0,F10/TrNavi_act!F9*100)</f>
        <v>0</v>
      </c>
      <c r="G21" s="64">
        <f>IF(G10=0,0,G10/TrNavi_act!G9*100)</f>
        <v>0</v>
      </c>
      <c r="H21" s="64">
        <f>IF(H10=0,0,H10/TrNavi_act!H9*100)</f>
        <v>0</v>
      </c>
      <c r="I21" s="64">
        <f>IF(I10=0,0,I10/TrNavi_act!I9*100)</f>
        <v>0</v>
      </c>
      <c r="J21" s="64">
        <f>IF(J10=0,0,J10/TrNavi_act!J9*100)</f>
        <v>0</v>
      </c>
      <c r="K21" s="64">
        <f>IF(K10=0,0,K10/TrNavi_act!K9*100)</f>
        <v>0</v>
      </c>
      <c r="L21" s="64">
        <f>IF(L10=0,0,L10/TrNavi_act!L9*100)</f>
        <v>0</v>
      </c>
      <c r="M21" s="64">
        <f>IF(M10=0,0,M10/TrNavi_act!M9*100)</f>
        <v>0</v>
      </c>
      <c r="N21" s="64">
        <f>IF(N10=0,0,N10/TrNavi_act!N9*100)</f>
        <v>0</v>
      </c>
      <c r="O21" s="64">
        <f>IF(O10=0,0,O10/TrNavi_act!O9*100)</f>
        <v>0</v>
      </c>
      <c r="P21" s="64">
        <f>IF(P10=0,0,P10/TrNavi_act!P9*100)</f>
        <v>0</v>
      </c>
      <c r="Q21" s="64">
        <f>IF(Q10=0,0,Q10/TrNavi_act!Q9*100)</f>
        <v>0</v>
      </c>
      <c r="R21" s="64">
        <f>IF(R10=0,0,R10/TrNavi_act!R9*100)</f>
        <v>0</v>
      </c>
      <c r="S21" s="64">
        <f>IF(S10=0,0,S10/TrNavi_act!S9*100)</f>
        <v>0</v>
      </c>
      <c r="T21" s="64">
        <f>IF(T10=0,0,T10/TrNavi_act!T9*100)</f>
        <v>0</v>
      </c>
      <c r="U21" s="64">
        <f>IF(U10=0,0,U10/TrNavi_act!U9*100)</f>
        <v>0</v>
      </c>
      <c r="V21" s="64">
        <f>IF(V10=0,0,V10/TrNavi_act!V9*100)</f>
        <v>0</v>
      </c>
      <c r="W21" s="64">
        <f>IF(W10=0,0,W10/TrNavi_act!W9*100)</f>
        <v>0</v>
      </c>
      <c r="X21" s="64">
        <f>IF(X10=0,0,X10/TrNavi_act!X9*100)</f>
        <v>0</v>
      </c>
      <c r="Y21" s="64">
        <f>IF(Y10=0,0,Y10/TrNavi_act!Y9*100)</f>
        <v>0</v>
      </c>
      <c r="Z21" s="64"/>
      <c r="AA21" s="64"/>
      <c r="AB21" s="64"/>
      <c r="AC21" s="64"/>
      <c r="AD21" s="64"/>
      <c r="AE21" s="64"/>
      <c r="AF21" s="64"/>
      <c r="AG21" s="64"/>
      <c r="DA21" s="182" t="s">
        <v>1022</v>
      </c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  <c r="AB22" s="51"/>
      <c r="AC22" s="51"/>
      <c r="AD22" s="51"/>
      <c r="AE22" s="51"/>
      <c r="AF22" s="51"/>
      <c r="AG22" s="51"/>
      <c r="DA22" s="181"/>
    </row>
    <row r="23" spans="1:105" ht="11.45" customHeight="1" x14ac:dyDescent="0.25">
      <c r="A23" s="53" t="s">
        <v>162</v>
      </c>
      <c r="B23" s="62">
        <f>IF(B3=0,0,B3/TrNavi_act!B3*1000)</f>
        <v>118.12662597517694</v>
      </c>
      <c r="C23" s="62">
        <f>IF(C3=0,0,C3/TrNavi_act!C3*1000)</f>
        <v>117.44315413328582</v>
      </c>
      <c r="D23" s="62">
        <f>IF(D3=0,0,D3/TrNavi_act!D3*1000)</f>
        <v>139.45184693717454</v>
      </c>
      <c r="E23" s="62">
        <f>IF(E3=0,0,E3/TrNavi_act!E3*1000)</f>
        <v>168.65348628691839</v>
      </c>
      <c r="F23" s="62">
        <f>IF(F3=0,0,F3/TrNavi_act!F3*1000)</f>
        <v>173.23687321798994</v>
      </c>
      <c r="G23" s="62">
        <f>IF(G3=0,0,G3/TrNavi_act!G3*1000)</f>
        <v>151.80691077718868</v>
      </c>
      <c r="H23" s="62">
        <f>IF(H3=0,0,H3/TrNavi_act!H3*1000)</f>
        <v>155.45657476026412</v>
      </c>
      <c r="I23" s="62">
        <f>IF(I3=0,0,I3/TrNavi_act!I3*1000)</f>
        <v>146.41529160370484</v>
      </c>
      <c r="J23" s="62">
        <f>IF(J3=0,0,J3/TrNavi_act!J3*1000)</f>
        <v>143.20899832796644</v>
      </c>
      <c r="K23" s="62">
        <f>IF(K3=0,0,K3/TrNavi_act!K3*1000)</f>
        <v>140.00127067171553</v>
      </c>
      <c r="L23" s="62">
        <f>IF(L3=0,0,L3/TrNavi_act!L3*1000)</f>
        <v>126.24940775517116</v>
      </c>
      <c r="M23" s="62">
        <f>IF(M3=0,0,M3/TrNavi_act!M3*1000)</f>
        <v>96.192562601666978</v>
      </c>
      <c r="N23" s="62">
        <f>IF(N3=0,0,N3/TrNavi_act!N3*1000)</f>
        <v>119.4239408334517</v>
      </c>
      <c r="O23" s="62">
        <f>IF(O3=0,0,O3/TrNavi_act!O3*1000)</f>
        <v>69.752372683886904</v>
      </c>
      <c r="P23" s="62">
        <f>IF(P3=0,0,P3/TrNavi_act!P3*1000)</f>
        <v>42.577199329484081</v>
      </c>
      <c r="Q23" s="62">
        <f>IF(Q3=0,0,Q3/TrNavi_act!Q3*1000)</f>
        <v>49.469372230358339</v>
      </c>
      <c r="R23" s="62">
        <f>IF(R3=0,0,R3/TrNavi_act!R3*1000)</f>
        <v>66.202619506622483</v>
      </c>
      <c r="S23" s="62">
        <f>IF(S3=0,0,S3/TrNavi_act!S3*1000)</f>
        <v>112.48244193197895</v>
      </c>
      <c r="T23" s="62">
        <f>IF(T3=0,0,T3/TrNavi_act!T3*1000)</f>
        <v>102.17473848236673</v>
      </c>
      <c r="U23" s="62">
        <f>IF(U3=0,0,U3/TrNavi_act!U3*1000)</f>
        <v>103.3472726344078</v>
      </c>
      <c r="V23" s="62">
        <f>IF(V3=0,0,V3/TrNavi_act!V3*1000)</f>
        <v>96.443480704410135</v>
      </c>
      <c r="W23" s="62">
        <f>IF(W3=0,0,W3/TrNavi_act!W3*1000)</f>
        <v>107.94844148053782</v>
      </c>
      <c r="X23" s="62">
        <f>IF(X3=0,0,X3/TrNavi_act!X3*1000)</f>
        <v>114.94077738041923</v>
      </c>
      <c r="Y23" s="62">
        <f>IF(Y3=0,0,Y3/TrNavi_act!Y3*1000)</f>
        <v>91.892595159805609</v>
      </c>
      <c r="Z23" s="62"/>
      <c r="AA23" s="62"/>
      <c r="AB23" s="62"/>
      <c r="AC23" s="62"/>
      <c r="AD23" s="62"/>
      <c r="AE23" s="62"/>
      <c r="AF23" s="62"/>
      <c r="AG23" s="62"/>
      <c r="DA23" s="172" t="s">
        <v>429</v>
      </c>
    </row>
    <row r="24" spans="1:105" ht="11.45" customHeight="1" x14ac:dyDescent="0.25">
      <c r="A24" s="55" t="s">
        <v>30</v>
      </c>
      <c r="B24" s="63">
        <f>IF(B4=0,0,B4/TrNavi_act!B4*1000)</f>
        <v>118.12662597517694</v>
      </c>
      <c r="C24" s="63">
        <f>IF(C4=0,0,C4/TrNavi_act!C4*1000)</f>
        <v>117.44315413328582</v>
      </c>
      <c r="D24" s="63">
        <f>IF(D4=0,0,D4/TrNavi_act!D4*1000)</f>
        <v>139.45184693717454</v>
      </c>
      <c r="E24" s="63">
        <f>IF(E4=0,0,E4/TrNavi_act!E4*1000)</f>
        <v>168.65348628691839</v>
      </c>
      <c r="F24" s="63">
        <f>IF(F4=0,0,F4/TrNavi_act!F4*1000)</f>
        <v>173.23687321798994</v>
      </c>
      <c r="G24" s="63">
        <f>IF(G4=0,0,G4/TrNavi_act!G4*1000)</f>
        <v>151.80691077718868</v>
      </c>
      <c r="H24" s="63">
        <f>IF(H4=0,0,H4/TrNavi_act!H4*1000)</f>
        <v>155.45657476026412</v>
      </c>
      <c r="I24" s="63">
        <f>IF(I4=0,0,I4/TrNavi_act!I4*1000)</f>
        <v>146.41529160370484</v>
      </c>
      <c r="J24" s="63">
        <f>IF(J4=0,0,J4/TrNavi_act!J4*1000)</f>
        <v>143.20899832796644</v>
      </c>
      <c r="K24" s="63">
        <f>IF(K4=0,0,K4/TrNavi_act!K4*1000)</f>
        <v>140.00127067171553</v>
      </c>
      <c r="L24" s="63">
        <f>IF(L4=0,0,L4/TrNavi_act!L4*1000)</f>
        <v>126.24940775517116</v>
      </c>
      <c r="M24" s="63">
        <f>IF(M4=0,0,M4/TrNavi_act!M4*1000)</f>
        <v>96.192562601666978</v>
      </c>
      <c r="N24" s="63">
        <f>IF(N4=0,0,N4/TrNavi_act!N4*1000)</f>
        <v>119.4239408334517</v>
      </c>
      <c r="O24" s="63">
        <f>IF(O4=0,0,O4/TrNavi_act!O4*1000)</f>
        <v>69.752372683886904</v>
      </c>
      <c r="P24" s="63">
        <f>IF(P4=0,0,P4/TrNavi_act!P4*1000)</f>
        <v>42.577199329484081</v>
      </c>
      <c r="Q24" s="63">
        <f>IF(Q4=0,0,Q4/TrNavi_act!Q4*1000)</f>
        <v>49.469372230358339</v>
      </c>
      <c r="R24" s="63">
        <f>IF(R4=0,0,R4/TrNavi_act!R4*1000)</f>
        <v>66.202619506622483</v>
      </c>
      <c r="S24" s="63">
        <f>IF(S4=0,0,S4/TrNavi_act!S4*1000)</f>
        <v>112.48244193197895</v>
      </c>
      <c r="T24" s="63">
        <f>IF(T4=0,0,T4/TrNavi_act!T4*1000)</f>
        <v>102.17473848236673</v>
      </c>
      <c r="U24" s="63">
        <f>IF(U4=0,0,U4/TrNavi_act!U4*1000)</f>
        <v>103.3472726344078</v>
      </c>
      <c r="V24" s="63">
        <f>IF(V4=0,0,V4/TrNavi_act!V4*1000)</f>
        <v>96.443480704410135</v>
      </c>
      <c r="W24" s="63">
        <f>IF(W4=0,0,W4/TrNavi_act!W4*1000)</f>
        <v>107.94844148053782</v>
      </c>
      <c r="X24" s="63">
        <f>IF(X4=0,0,X4/TrNavi_act!X4*1000)</f>
        <v>114.94077738041923</v>
      </c>
      <c r="Y24" s="63">
        <f>IF(Y4=0,0,Y4/TrNavi_act!Y4*1000)</f>
        <v>91.892595159805609</v>
      </c>
      <c r="Z24" s="63"/>
      <c r="AA24" s="63"/>
      <c r="AB24" s="63"/>
      <c r="AC24" s="63"/>
      <c r="AD24" s="63"/>
      <c r="AE24" s="63"/>
      <c r="AF24" s="63"/>
      <c r="AG24" s="63"/>
      <c r="DA24" s="181" t="s">
        <v>430</v>
      </c>
    </row>
    <row r="25" spans="1:105" ht="11.45" customHeight="1" x14ac:dyDescent="0.25">
      <c r="A25" s="57" t="s">
        <v>31</v>
      </c>
      <c r="B25" s="64">
        <f>IF(B10=0,0,B10/TrNavi_act!B5*1000)</f>
        <v>0</v>
      </c>
      <c r="C25" s="64">
        <f>IF(C10=0,0,C10/TrNavi_act!C5*1000)</f>
        <v>0</v>
      </c>
      <c r="D25" s="64">
        <f>IF(D10=0,0,D10/TrNavi_act!D5*1000)</f>
        <v>0</v>
      </c>
      <c r="E25" s="64">
        <f>IF(E10=0,0,E10/TrNavi_act!E5*1000)</f>
        <v>0</v>
      </c>
      <c r="F25" s="64">
        <f>IF(F10=0,0,F10/TrNavi_act!F5*1000)</f>
        <v>0</v>
      </c>
      <c r="G25" s="64">
        <f>IF(G10=0,0,G10/TrNavi_act!G5*1000)</f>
        <v>0</v>
      </c>
      <c r="H25" s="64">
        <f>IF(H10=0,0,H10/TrNavi_act!H5*1000)</f>
        <v>0</v>
      </c>
      <c r="I25" s="64">
        <f>IF(I10=0,0,I10/TrNavi_act!I5*1000)</f>
        <v>0</v>
      </c>
      <c r="J25" s="64">
        <f>IF(J10=0,0,J10/TrNavi_act!J5*1000)</f>
        <v>0</v>
      </c>
      <c r="K25" s="64">
        <f>IF(K10=0,0,K10/TrNavi_act!K5*1000)</f>
        <v>0</v>
      </c>
      <c r="L25" s="64">
        <f>IF(L10=0,0,L10/TrNavi_act!L5*1000)</f>
        <v>0</v>
      </c>
      <c r="M25" s="64">
        <f>IF(M10=0,0,M10/TrNavi_act!M5*1000)</f>
        <v>0</v>
      </c>
      <c r="N25" s="64">
        <f>IF(N10=0,0,N10/TrNavi_act!N5*1000)</f>
        <v>0</v>
      </c>
      <c r="O25" s="64">
        <f>IF(O10=0,0,O10/TrNavi_act!O5*1000)</f>
        <v>0</v>
      </c>
      <c r="P25" s="64">
        <f>IF(P10=0,0,P10/TrNavi_act!P5*1000)</f>
        <v>0</v>
      </c>
      <c r="Q25" s="64">
        <f>IF(Q10=0,0,Q10/TrNavi_act!Q5*1000)</f>
        <v>0</v>
      </c>
      <c r="R25" s="64">
        <f>IF(R10=0,0,R10/TrNavi_act!R5*1000)</f>
        <v>0</v>
      </c>
      <c r="S25" s="64">
        <f>IF(S10=0,0,S10/TrNavi_act!S5*1000)</f>
        <v>0</v>
      </c>
      <c r="T25" s="64">
        <f>IF(T10=0,0,T10/TrNavi_act!T5*1000)</f>
        <v>0</v>
      </c>
      <c r="U25" s="64">
        <f>IF(U10=0,0,U10/TrNavi_act!U5*1000)</f>
        <v>0</v>
      </c>
      <c r="V25" s="64">
        <f>IF(V10=0,0,V10/TrNavi_act!V5*1000)</f>
        <v>0</v>
      </c>
      <c r="W25" s="64">
        <f>IF(W10=0,0,W10/TrNavi_act!W5*1000)</f>
        <v>0</v>
      </c>
      <c r="X25" s="64">
        <f>IF(X10=0,0,X10/TrNavi_act!X5*1000)</f>
        <v>0</v>
      </c>
      <c r="Y25" s="64">
        <f>IF(Y10=0,0,Y10/TrNavi_act!Y5*1000)</f>
        <v>0</v>
      </c>
      <c r="Z25" s="64"/>
      <c r="AA25" s="64"/>
      <c r="AB25" s="64"/>
      <c r="AC25" s="64"/>
      <c r="AD25" s="64"/>
      <c r="AE25" s="64"/>
      <c r="AF25" s="64"/>
      <c r="AG25" s="64"/>
      <c r="DA25" s="182" t="s">
        <v>431</v>
      </c>
    </row>
    <row r="26" spans="1:105" ht="11.45" customHeight="1" x14ac:dyDescent="0.25">
      <c r="A26" s="50"/>
      <c r="B26" s="50"/>
      <c r="C26" s="50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51"/>
      <c r="AC26" s="51"/>
      <c r="AD26" s="51"/>
      <c r="AE26" s="51"/>
      <c r="AF26" s="51"/>
      <c r="AG26" s="51"/>
      <c r="DA26" s="181"/>
    </row>
    <row r="27" spans="1:105" ht="11.45" customHeight="1" x14ac:dyDescent="0.25">
      <c r="A27" s="53" t="s">
        <v>40</v>
      </c>
      <c r="B27" s="76">
        <f t="shared" ref="B27:U27" si="6">IF(B3=0,0,B3/B$3)</f>
        <v>1</v>
      </c>
      <c r="C27" s="76">
        <f t="shared" si="6"/>
        <v>1</v>
      </c>
      <c r="D27" s="76">
        <f t="shared" si="6"/>
        <v>1</v>
      </c>
      <c r="E27" s="76">
        <f t="shared" si="6"/>
        <v>1</v>
      </c>
      <c r="F27" s="76">
        <f t="shared" si="6"/>
        <v>1</v>
      </c>
      <c r="G27" s="76">
        <f t="shared" si="6"/>
        <v>1</v>
      </c>
      <c r="H27" s="76">
        <f t="shared" si="6"/>
        <v>1</v>
      </c>
      <c r="I27" s="76">
        <f t="shared" si="6"/>
        <v>1</v>
      </c>
      <c r="J27" s="76">
        <f t="shared" si="6"/>
        <v>1</v>
      </c>
      <c r="K27" s="76">
        <f t="shared" si="6"/>
        <v>1</v>
      </c>
      <c r="L27" s="76">
        <f t="shared" si="6"/>
        <v>1</v>
      </c>
      <c r="M27" s="76">
        <f t="shared" si="6"/>
        <v>1</v>
      </c>
      <c r="N27" s="76">
        <f t="shared" si="6"/>
        <v>1</v>
      </c>
      <c r="O27" s="76">
        <f t="shared" si="6"/>
        <v>1</v>
      </c>
      <c r="P27" s="76">
        <f t="shared" si="6"/>
        <v>1</v>
      </c>
      <c r="Q27" s="76">
        <f t="shared" si="6"/>
        <v>1</v>
      </c>
      <c r="R27" s="76">
        <f t="shared" si="6"/>
        <v>1</v>
      </c>
      <c r="S27" s="76">
        <f t="shared" si="6"/>
        <v>1</v>
      </c>
      <c r="T27" s="76">
        <f t="shared" si="6"/>
        <v>1</v>
      </c>
      <c r="U27" s="76">
        <f t="shared" si="6"/>
        <v>1</v>
      </c>
      <c r="V27" s="76">
        <f t="shared" ref="V27:W27" si="7">IF(V3=0,0,V3/V$3)</f>
        <v>1</v>
      </c>
      <c r="W27" s="76">
        <f t="shared" si="7"/>
        <v>1</v>
      </c>
      <c r="X27" s="76">
        <f t="shared" ref="X27:Y27" si="8">IF(X3=0,0,X3/X$3)</f>
        <v>1</v>
      </c>
      <c r="Y27" s="76">
        <f t="shared" si="8"/>
        <v>1</v>
      </c>
      <c r="Z27" s="76"/>
      <c r="AA27" s="76"/>
      <c r="AB27" s="76"/>
      <c r="AC27" s="76"/>
      <c r="AD27" s="76"/>
      <c r="AE27" s="76"/>
      <c r="AF27" s="76"/>
      <c r="AG27" s="76"/>
      <c r="DA27" s="183"/>
    </row>
    <row r="28" spans="1:105" ht="11.45" customHeight="1" x14ac:dyDescent="0.25">
      <c r="A28" s="55" t="s">
        <v>30</v>
      </c>
      <c r="B28" s="77">
        <f t="shared" ref="B28:U28" si="9">IF(B4=0,0,B4/B$3)</f>
        <v>1</v>
      </c>
      <c r="C28" s="77">
        <f t="shared" si="9"/>
        <v>1</v>
      </c>
      <c r="D28" s="77">
        <f t="shared" si="9"/>
        <v>1</v>
      </c>
      <c r="E28" s="77">
        <f t="shared" si="9"/>
        <v>1</v>
      </c>
      <c r="F28" s="77">
        <f t="shared" si="9"/>
        <v>1</v>
      </c>
      <c r="G28" s="77">
        <f t="shared" si="9"/>
        <v>1</v>
      </c>
      <c r="H28" s="77">
        <f t="shared" si="9"/>
        <v>1</v>
      </c>
      <c r="I28" s="77">
        <f t="shared" si="9"/>
        <v>1</v>
      </c>
      <c r="J28" s="77">
        <f t="shared" si="9"/>
        <v>1</v>
      </c>
      <c r="K28" s="77">
        <f t="shared" si="9"/>
        <v>1</v>
      </c>
      <c r="L28" s="77">
        <f t="shared" si="9"/>
        <v>1</v>
      </c>
      <c r="M28" s="77">
        <f t="shared" si="9"/>
        <v>1</v>
      </c>
      <c r="N28" s="77">
        <f t="shared" si="9"/>
        <v>1</v>
      </c>
      <c r="O28" s="77">
        <f t="shared" si="9"/>
        <v>1</v>
      </c>
      <c r="P28" s="77">
        <f t="shared" si="9"/>
        <v>1</v>
      </c>
      <c r="Q28" s="77">
        <f t="shared" si="9"/>
        <v>1</v>
      </c>
      <c r="R28" s="77">
        <f t="shared" si="9"/>
        <v>1</v>
      </c>
      <c r="S28" s="77">
        <f t="shared" si="9"/>
        <v>1</v>
      </c>
      <c r="T28" s="77">
        <f t="shared" si="9"/>
        <v>1</v>
      </c>
      <c r="U28" s="77">
        <f t="shared" si="9"/>
        <v>1</v>
      </c>
      <c r="V28" s="77">
        <f t="shared" ref="V28:W28" si="10">IF(V4=0,0,V4/V$3)</f>
        <v>1</v>
      </c>
      <c r="W28" s="77">
        <f t="shared" si="10"/>
        <v>1</v>
      </c>
      <c r="X28" s="77">
        <f t="shared" ref="X28:Y28" si="11">IF(X4=0,0,X4/X$3)</f>
        <v>1</v>
      </c>
      <c r="Y28" s="77">
        <f t="shared" si="11"/>
        <v>1</v>
      </c>
      <c r="Z28" s="77"/>
      <c r="AA28" s="77"/>
      <c r="AB28" s="77"/>
      <c r="AC28" s="77"/>
      <c r="AD28" s="77"/>
      <c r="AE28" s="77"/>
      <c r="AF28" s="77"/>
      <c r="AG28" s="77"/>
      <c r="DA28" s="184"/>
    </row>
    <row r="29" spans="1:105" ht="11.45" customHeight="1" x14ac:dyDescent="0.25">
      <c r="A29" s="57" t="s">
        <v>31</v>
      </c>
      <c r="B29" s="78">
        <f t="shared" ref="B29:U29" si="12">IF(B10=0,0,B10/B$3)</f>
        <v>0</v>
      </c>
      <c r="C29" s="78">
        <f t="shared" si="12"/>
        <v>0</v>
      </c>
      <c r="D29" s="78">
        <f t="shared" si="12"/>
        <v>0</v>
      </c>
      <c r="E29" s="78">
        <f t="shared" si="12"/>
        <v>0</v>
      </c>
      <c r="F29" s="78">
        <f t="shared" si="12"/>
        <v>0</v>
      </c>
      <c r="G29" s="78">
        <f t="shared" si="12"/>
        <v>0</v>
      </c>
      <c r="H29" s="78">
        <f t="shared" si="12"/>
        <v>0</v>
      </c>
      <c r="I29" s="78">
        <f t="shared" si="12"/>
        <v>0</v>
      </c>
      <c r="J29" s="78">
        <f t="shared" si="12"/>
        <v>0</v>
      </c>
      <c r="K29" s="78">
        <f t="shared" si="12"/>
        <v>0</v>
      </c>
      <c r="L29" s="78">
        <f t="shared" si="12"/>
        <v>0</v>
      </c>
      <c r="M29" s="78">
        <f t="shared" si="12"/>
        <v>0</v>
      </c>
      <c r="N29" s="78">
        <f t="shared" si="12"/>
        <v>0</v>
      </c>
      <c r="O29" s="78">
        <f t="shared" si="12"/>
        <v>0</v>
      </c>
      <c r="P29" s="78">
        <f t="shared" si="12"/>
        <v>0</v>
      </c>
      <c r="Q29" s="78">
        <f t="shared" si="12"/>
        <v>0</v>
      </c>
      <c r="R29" s="78">
        <f t="shared" si="12"/>
        <v>0</v>
      </c>
      <c r="S29" s="78">
        <f t="shared" si="12"/>
        <v>0</v>
      </c>
      <c r="T29" s="78">
        <f t="shared" si="12"/>
        <v>0</v>
      </c>
      <c r="U29" s="78">
        <f t="shared" si="12"/>
        <v>0</v>
      </c>
      <c r="V29" s="78">
        <f t="shared" ref="V29:W29" si="13">IF(V10=0,0,V10/V$3)</f>
        <v>0</v>
      </c>
      <c r="W29" s="78">
        <f t="shared" si="13"/>
        <v>0</v>
      </c>
      <c r="X29" s="78">
        <f t="shared" ref="X29:Y29" si="14">IF(X10=0,0,X10/X$3)</f>
        <v>0</v>
      </c>
      <c r="Y29" s="78">
        <f t="shared" si="14"/>
        <v>0</v>
      </c>
      <c r="Z29" s="78"/>
      <c r="AA29" s="78"/>
      <c r="AB29" s="78"/>
      <c r="AC29" s="78"/>
      <c r="AD29" s="78"/>
      <c r="AE29" s="78"/>
      <c r="AF29" s="78"/>
      <c r="AG29" s="78"/>
      <c r="DA29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fitToPage="1"/>
  </sheetPr>
  <dimension ref="A1:DA23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45" customHeight="1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1023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Z1" s="49"/>
      <c r="AA1" s="49"/>
      <c r="AB1" s="49"/>
      <c r="AC1" s="49"/>
      <c r="AD1" s="49"/>
      <c r="AE1" s="49"/>
      <c r="AF1" s="49"/>
      <c r="DA1" s="170" t="s">
        <v>152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DA2" s="181"/>
    </row>
    <row r="3" spans="1:105" ht="11.45" customHeight="1" x14ac:dyDescent="0.25">
      <c r="A3" s="53" t="s">
        <v>44</v>
      </c>
      <c r="B3" s="54">
        <f t="shared" ref="B3" si="0">SUM(B4:B5)</f>
        <v>4371.1752567599997</v>
      </c>
      <c r="C3" s="54">
        <f t="shared" ref="C3:V3" si="1">SUM(C4:C5)</f>
        <v>4352.3540395200016</v>
      </c>
      <c r="D3" s="54">
        <f t="shared" si="1"/>
        <v>4379.1914379599984</v>
      </c>
      <c r="E3" s="54">
        <f t="shared" si="1"/>
        <v>4899.4303226399988</v>
      </c>
      <c r="F3" s="54">
        <f t="shared" si="1"/>
        <v>5050.7058891600009</v>
      </c>
      <c r="G3" s="54">
        <f t="shared" si="1"/>
        <v>4847.6910013200013</v>
      </c>
      <c r="H3" s="54">
        <f t="shared" si="1"/>
        <v>5292.3538814399999</v>
      </c>
      <c r="I3" s="54">
        <f t="shared" si="1"/>
        <v>4589.9619256800015</v>
      </c>
      <c r="J3" s="54">
        <f t="shared" si="1"/>
        <v>4158.523829159999</v>
      </c>
      <c r="K3" s="54">
        <f t="shared" si="1"/>
        <v>3449.4033005999995</v>
      </c>
      <c r="L3" s="54">
        <f t="shared" si="1"/>
        <v>3306.0377124000001</v>
      </c>
      <c r="M3" s="54">
        <f t="shared" si="1"/>
        <v>2594.4842721600003</v>
      </c>
      <c r="N3" s="54">
        <f t="shared" si="1"/>
        <v>2689.2010799999998</v>
      </c>
      <c r="O3" s="54">
        <f t="shared" si="1"/>
        <v>1588.7407154399998</v>
      </c>
      <c r="P3" s="54">
        <f t="shared" si="1"/>
        <v>1027.1984382000001</v>
      </c>
      <c r="Q3" s="54">
        <f t="shared" si="1"/>
        <v>1401.7579232400001</v>
      </c>
      <c r="R3" s="54">
        <f t="shared" si="1"/>
        <v>1977.6112826400006</v>
      </c>
      <c r="S3" s="54">
        <f t="shared" si="1"/>
        <v>3038.2028683200001</v>
      </c>
      <c r="T3" s="54">
        <f t="shared" si="1"/>
        <v>3140.16440904</v>
      </c>
      <c r="U3" s="54">
        <f t="shared" si="1"/>
        <v>3294.96948144</v>
      </c>
      <c r="V3" s="54">
        <f t="shared" si="1"/>
        <v>2537.4143678399996</v>
      </c>
      <c r="W3" s="54">
        <f t="shared" ref="W3:Y3" si="2">SUM(W4:W5)</f>
        <v>2869.6060177199997</v>
      </c>
      <c r="X3" s="54">
        <f t="shared" si="2"/>
        <v>3475.3143970799997</v>
      </c>
      <c r="Y3" s="54">
        <f t="shared" si="2"/>
        <v>2845.3058017199992</v>
      </c>
      <c r="Z3" s="54"/>
      <c r="AA3" s="54"/>
      <c r="AB3" s="54"/>
      <c r="AC3" s="54"/>
      <c r="AD3" s="54"/>
      <c r="AE3" s="54"/>
      <c r="AF3" s="54"/>
      <c r="AG3" s="54"/>
      <c r="DA3" s="172" t="s">
        <v>1024</v>
      </c>
    </row>
    <row r="4" spans="1:105" ht="11.45" customHeight="1" x14ac:dyDescent="0.25">
      <c r="A4" s="55" t="s">
        <v>30</v>
      </c>
      <c r="B4" s="56">
        <v>4371.1752567599997</v>
      </c>
      <c r="C4" s="56">
        <v>4352.3540395200016</v>
      </c>
      <c r="D4" s="56">
        <v>4379.1914379599984</v>
      </c>
      <c r="E4" s="56">
        <v>4899.4303226399988</v>
      </c>
      <c r="F4" s="56">
        <v>5050.7058891600009</v>
      </c>
      <c r="G4" s="56">
        <v>4847.6910013200013</v>
      </c>
      <c r="H4" s="56">
        <v>5292.3538814399999</v>
      </c>
      <c r="I4" s="56">
        <v>4589.9619256800015</v>
      </c>
      <c r="J4" s="56">
        <v>4158.523829159999</v>
      </c>
      <c r="K4" s="56">
        <v>3449.4033005999995</v>
      </c>
      <c r="L4" s="56">
        <v>3306.0377124000001</v>
      </c>
      <c r="M4" s="56">
        <v>2594.4842721600003</v>
      </c>
      <c r="N4" s="56">
        <v>2689.2010799999998</v>
      </c>
      <c r="O4" s="56">
        <v>1588.7407154399998</v>
      </c>
      <c r="P4" s="56">
        <v>1027.1984382000001</v>
      </c>
      <c r="Q4" s="56">
        <v>1401.7579232400001</v>
      </c>
      <c r="R4" s="56">
        <v>1977.6112826400006</v>
      </c>
      <c r="S4" s="56">
        <v>3038.2028683200001</v>
      </c>
      <c r="T4" s="56">
        <v>3140.16440904</v>
      </c>
      <c r="U4" s="56">
        <v>3294.96948144</v>
      </c>
      <c r="V4" s="56">
        <v>2537.4143678399996</v>
      </c>
      <c r="W4" s="56">
        <v>2869.6060177199997</v>
      </c>
      <c r="X4" s="56">
        <v>3475.3143970799997</v>
      </c>
      <c r="Y4" s="56">
        <v>2845.3058017199992</v>
      </c>
      <c r="Z4" s="56"/>
      <c r="AA4" s="56"/>
      <c r="AB4" s="56"/>
      <c r="AC4" s="56"/>
      <c r="AD4" s="56"/>
      <c r="AE4" s="56"/>
      <c r="AF4" s="56"/>
      <c r="AG4" s="56"/>
      <c r="DA4" s="181" t="s">
        <v>1025</v>
      </c>
    </row>
    <row r="5" spans="1:105" ht="11.45" customHeight="1" x14ac:dyDescent="0.25">
      <c r="A5" s="57" t="s">
        <v>31</v>
      </c>
      <c r="B5" s="58">
        <v>0</v>
      </c>
      <c r="C5" s="58">
        <v>0</v>
      </c>
      <c r="D5" s="58">
        <v>0</v>
      </c>
      <c r="E5" s="58">
        <v>0</v>
      </c>
      <c r="F5" s="58">
        <v>0</v>
      </c>
      <c r="G5" s="58">
        <v>0</v>
      </c>
      <c r="H5" s="58">
        <v>0</v>
      </c>
      <c r="I5" s="58">
        <v>0</v>
      </c>
      <c r="J5" s="58">
        <v>0</v>
      </c>
      <c r="K5" s="58">
        <v>0</v>
      </c>
      <c r="L5" s="58">
        <v>0</v>
      </c>
      <c r="M5" s="58">
        <v>0</v>
      </c>
      <c r="N5" s="58">
        <v>0</v>
      </c>
      <c r="O5" s="58">
        <v>0</v>
      </c>
      <c r="P5" s="58">
        <v>0</v>
      </c>
      <c r="Q5" s="58">
        <v>0</v>
      </c>
      <c r="R5" s="58">
        <v>0</v>
      </c>
      <c r="S5" s="58">
        <v>0</v>
      </c>
      <c r="T5" s="58">
        <v>0</v>
      </c>
      <c r="U5" s="58">
        <v>0</v>
      </c>
      <c r="V5" s="58">
        <v>0</v>
      </c>
      <c r="W5" s="58">
        <v>0</v>
      </c>
      <c r="X5" s="58">
        <v>0</v>
      </c>
      <c r="Y5" s="58">
        <v>0</v>
      </c>
      <c r="Z5" s="58"/>
      <c r="AA5" s="58"/>
      <c r="AB5" s="58"/>
      <c r="AC5" s="58"/>
      <c r="AD5" s="58"/>
      <c r="AE5" s="58"/>
      <c r="AF5" s="58"/>
      <c r="AG5" s="58"/>
      <c r="DA5" s="182" t="s">
        <v>1026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DA6" s="181"/>
    </row>
    <row r="7" spans="1:105" ht="11.45" customHeight="1" x14ac:dyDescent="0.25">
      <c r="A7" s="68" t="s">
        <v>36</v>
      </c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X7" s="69"/>
      <c r="Y7" s="69"/>
      <c r="DA7" s="179"/>
    </row>
    <row r="8" spans="1:105" ht="11.45" customHeight="1" x14ac:dyDescent="0.25">
      <c r="A8" s="50"/>
      <c r="B8" s="50"/>
      <c r="C8" s="50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  <c r="AB8" s="51"/>
      <c r="AC8" s="51"/>
      <c r="AD8" s="51"/>
      <c r="AE8" s="51"/>
      <c r="AF8" s="51"/>
      <c r="AG8" s="51"/>
      <c r="DA8" s="181"/>
    </row>
    <row r="9" spans="1:105" ht="11.45" customHeight="1" x14ac:dyDescent="0.25">
      <c r="A9" s="53" t="s">
        <v>148</v>
      </c>
      <c r="B9" s="79">
        <f>IF(B3=0,0,B3/TrNavi_ene!B3)</f>
        <v>3.1235683443285009</v>
      </c>
      <c r="C9" s="79">
        <f>IF(C3=0,0,C3/TrNavi_ene!C3)</f>
        <v>3.1231788135950236</v>
      </c>
      <c r="D9" s="79">
        <f>IF(D3=0,0,D3/TrNavi_ene!D3)</f>
        <v>3.1260205861620336</v>
      </c>
      <c r="E9" s="79">
        <f>IF(E3=0,0,E3/TrNavi_ene!E3)</f>
        <v>3.1268383170884704</v>
      </c>
      <c r="F9" s="79">
        <f>IF(F3=0,0,F3/TrNavi_ene!F3)</f>
        <v>3.1150817045282557</v>
      </c>
      <c r="G9" s="79">
        <f>IF(G3=0,0,G3/TrNavi_ene!G3)</f>
        <v>3.1096881602510535</v>
      </c>
      <c r="H9" s="79">
        <f>IF(H3=0,0,H3/TrNavi_ene!H3)</f>
        <v>3.1236646738749494</v>
      </c>
      <c r="I9" s="79">
        <f>IF(I3=0,0,I3/TrNavi_ene!I3)</f>
        <v>3.1241976988618489</v>
      </c>
      <c r="J9" s="79">
        <f>IF(J3=0,0,J3/TrNavi_ene!J3)</f>
        <v>3.1232457445666681</v>
      </c>
      <c r="K9" s="79">
        <f>IF(K3=0,0,K3/TrNavi_ene!K3)</f>
        <v>3.1246400853708978</v>
      </c>
      <c r="L9" s="79">
        <f>IF(L3=0,0,L3/TrNavi_ene!L3)</f>
        <v>3.1187686603867699</v>
      </c>
      <c r="M9" s="79">
        <f>IF(M3=0,0,M3/TrNavi_ene!M3)</f>
        <v>3.1260320141913067</v>
      </c>
      <c r="N9" s="79">
        <f>IF(N3=0,0,N3/TrNavi_ene!N3)</f>
        <v>3.119119234107909</v>
      </c>
      <c r="O9" s="79">
        <f>IF(O3=0,0,O3/TrNavi_ene!O3)</f>
        <v>3.136104269781772</v>
      </c>
      <c r="P9" s="79">
        <f>IF(P3=0,0,P3/TrNavi_ene!P3)</f>
        <v>3.1378505261567269</v>
      </c>
      <c r="Q9" s="79">
        <f>IF(Q3=0,0,Q3/TrNavi_ene!Q3)</f>
        <v>3.1355208641048238</v>
      </c>
      <c r="R9" s="79">
        <f>IF(R3=0,0,R3/TrNavi_ene!R3)</f>
        <v>3.1473715751381999</v>
      </c>
      <c r="S9" s="79">
        <f>IF(S3=0,0,S3/TrNavi_ene!S3)</f>
        <v>3.1702883102698118</v>
      </c>
      <c r="T9" s="79">
        <f>IF(T3=0,0,T3/TrNavi_ene!T3)</f>
        <v>3.1680379675116797</v>
      </c>
      <c r="U9" s="79">
        <f>IF(U3=0,0,U3/TrNavi_ene!U3)</f>
        <v>3.1748524996128591</v>
      </c>
      <c r="V9" s="79">
        <f>IF(V3=0,0,V3/TrNavi_ene!V3)</f>
        <v>3.1581499655536494</v>
      </c>
      <c r="W9" s="79">
        <f>IF(W3=0,0,W3/TrNavi_ene!W3)</f>
        <v>3.1594297746224091</v>
      </c>
      <c r="X9" s="79">
        <f>IF(X3=0,0,X3/TrNavi_ene!X3)</f>
        <v>3.1552962726885831</v>
      </c>
      <c r="Y9" s="79">
        <f>IF(Y3=0,0,Y3/TrNavi_ene!Y3)</f>
        <v>3.1563633770392254</v>
      </c>
      <c r="Z9" s="79"/>
      <c r="AA9" s="79"/>
      <c r="AB9" s="79"/>
      <c r="AC9" s="79"/>
      <c r="AD9" s="79"/>
      <c r="AE9" s="79"/>
      <c r="AF9" s="79"/>
      <c r="AG9" s="79"/>
      <c r="DA9" s="172"/>
    </row>
    <row r="10" spans="1:105" ht="11.45" customHeight="1" x14ac:dyDescent="0.25">
      <c r="A10" s="55" t="s">
        <v>30</v>
      </c>
      <c r="B10" s="80">
        <f>IF(B4=0,0,B4/TrNavi_ene!B4)</f>
        <v>3.1235683443285009</v>
      </c>
      <c r="C10" s="80">
        <f>IF(C4=0,0,C4/TrNavi_ene!C4)</f>
        <v>3.1231788135950236</v>
      </c>
      <c r="D10" s="80">
        <f>IF(D4=0,0,D4/TrNavi_ene!D4)</f>
        <v>3.1260205861620336</v>
      </c>
      <c r="E10" s="80">
        <f>IF(E4=0,0,E4/TrNavi_ene!E4)</f>
        <v>3.1268383170884704</v>
      </c>
      <c r="F10" s="80">
        <f>IF(F4=0,0,F4/TrNavi_ene!F4)</f>
        <v>3.1150817045282557</v>
      </c>
      <c r="G10" s="80">
        <f>IF(G4=0,0,G4/TrNavi_ene!G4)</f>
        <v>3.1096881602510535</v>
      </c>
      <c r="H10" s="80">
        <f>IF(H4=0,0,H4/TrNavi_ene!H4)</f>
        <v>3.1236646738749494</v>
      </c>
      <c r="I10" s="80">
        <f>IF(I4=0,0,I4/TrNavi_ene!I4)</f>
        <v>3.1241976988618489</v>
      </c>
      <c r="J10" s="80">
        <f>IF(J4=0,0,J4/TrNavi_ene!J4)</f>
        <v>3.1232457445666681</v>
      </c>
      <c r="K10" s="80">
        <f>IF(K4=0,0,K4/TrNavi_ene!K4)</f>
        <v>3.1246400853708978</v>
      </c>
      <c r="L10" s="80">
        <f>IF(L4=0,0,L4/TrNavi_ene!L4)</f>
        <v>3.1187686603867699</v>
      </c>
      <c r="M10" s="80">
        <f>IF(M4=0,0,M4/TrNavi_ene!M4)</f>
        <v>3.1260320141913067</v>
      </c>
      <c r="N10" s="80">
        <f>IF(N4=0,0,N4/TrNavi_ene!N4)</f>
        <v>3.119119234107909</v>
      </c>
      <c r="O10" s="80">
        <f>IF(O4=0,0,O4/TrNavi_ene!O4)</f>
        <v>3.136104269781772</v>
      </c>
      <c r="P10" s="80">
        <f>IF(P4=0,0,P4/TrNavi_ene!P4)</f>
        <v>3.1378505261567269</v>
      </c>
      <c r="Q10" s="80">
        <f>IF(Q4=0,0,Q4/TrNavi_ene!Q4)</f>
        <v>3.1355208641048238</v>
      </c>
      <c r="R10" s="80">
        <f>IF(R4=0,0,R4/TrNavi_ene!R4)</f>
        <v>3.1473715751381999</v>
      </c>
      <c r="S10" s="80">
        <f>IF(S4=0,0,S4/TrNavi_ene!S4)</f>
        <v>3.1702883102698118</v>
      </c>
      <c r="T10" s="80">
        <f>IF(T4=0,0,T4/TrNavi_ene!T4)</f>
        <v>3.1680379675116797</v>
      </c>
      <c r="U10" s="80">
        <f>IF(U4=0,0,U4/TrNavi_ene!U4)</f>
        <v>3.1748524996128591</v>
      </c>
      <c r="V10" s="80">
        <f>IF(V4=0,0,V4/TrNavi_ene!V4)</f>
        <v>3.1581499655536494</v>
      </c>
      <c r="W10" s="80">
        <f>IF(W4=0,0,W4/TrNavi_ene!W4)</f>
        <v>3.1594297746224091</v>
      </c>
      <c r="X10" s="80">
        <f>IF(X4=0,0,X4/TrNavi_ene!X4)</f>
        <v>3.1552962726885831</v>
      </c>
      <c r="Y10" s="80">
        <f>IF(Y4=0,0,Y4/TrNavi_ene!Y4)</f>
        <v>3.1563633770392254</v>
      </c>
      <c r="Z10" s="80"/>
      <c r="AA10" s="80"/>
      <c r="AB10" s="80"/>
      <c r="AC10" s="80"/>
      <c r="AD10" s="80"/>
      <c r="AE10" s="80"/>
      <c r="AF10" s="80"/>
      <c r="AG10" s="80"/>
      <c r="DA10" s="181"/>
    </row>
    <row r="11" spans="1:105" ht="11.45" customHeight="1" x14ac:dyDescent="0.25">
      <c r="A11" s="57" t="s">
        <v>31</v>
      </c>
      <c r="B11" s="81">
        <f>IF(B5=0,0,B5/TrNavi_ene!B10)</f>
        <v>0</v>
      </c>
      <c r="C11" s="81">
        <f>IF(C5=0,0,C5/TrNavi_ene!C10)</f>
        <v>0</v>
      </c>
      <c r="D11" s="81">
        <f>IF(D5=0,0,D5/TrNavi_ene!D10)</f>
        <v>0</v>
      </c>
      <c r="E11" s="81">
        <f>IF(E5=0,0,E5/TrNavi_ene!E10)</f>
        <v>0</v>
      </c>
      <c r="F11" s="81">
        <f>IF(F5=0,0,F5/TrNavi_ene!F10)</f>
        <v>0</v>
      </c>
      <c r="G11" s="81">
        <f>IF(G5=0,0,G5/TrNavi_ene!G10)</f>
        <v>0</v>
      </c>
      <c r="H11" s="81">
        <f>IF(H5=0,0,H5/TrNavi_ene!H10)</f>
        <v>0</v>
      </c>
      <c r="I11" s="81">
        <f>IF(I5=0,0,I5/TrNavi_ene!I10)</f>
        <v>0</v>
      </c>
      <c r="J11" s="81">
        <f>IF(J5=0,0,J5/TrNavi_ene!J10)</f>
        <v>0</v>
      </c>
      <c r="K11" s="81">
        <f>IF(K5=0,0,K5/TrNavi_ene!K10)</f>
        <v>0</v>
      </c>
      <c r="L11" s="81">
        <f>IF(L5=0,0,L5/TrNavi_ene!L10)</f>
        <v>0</v>
      </c>
      <c r="M11" s="81">
        <f>IF(M5=0,0,M5/TrNavi_ene!M10)</f>
        <v>0</v>
      </c>
      <c r="N11" s="81">
        <f>IF(N5=0,0,N5/TrNavi_ene!N10)</f>
        <v>0</v>
      </c>
      <c r="O11" s="81">
        <f>IF(O5=0,0,O5/TrNavi_ene!O10)</f>
        <v>0</v>
      </c>
      <c r="P11" s="81">
        <f>IF(P5=0,0,P5/TrNavi_ene!P10)</f>
        <v>0</v>
      </c>
      <c r="Q11" s="81">
        <f>IF(Q5=0,0,Q5/TrNavi_ene!Q10)</f>
        <v>0</v>
      </c>
      <c r="R11" s="81">
        <f>IF(R5=0,0,R5/TrNavi_ene!R10)</f>
        <v>0</v>
      </c>
      <c r="S11" s="81">
        <f>IF(S5=0,0,S5/TrNavi_ene!S10)</f>
        <v>0</v>
      </c>
      <c r="T11" s="81">
        <f>IF(T5=0,0,T5/TrNavi_ene!T10)</f>
        <v>0</v>
      </c>
      <c r="U11" s="81">
        <f>IF(U5=0,0,U5/TrNavi_ene!U10)</f>
        <v>0</v>
      </c>
      <c r="V11" s="81">
        <f>IF(V5=0,0,V5/TrNavi_ene!V10)</f>
        <v>0</v>
      </c>
      <c r="W11" s="81">
        <f>IF(W5=0,0,W5/TrNavi_ene!W10)</f>
        <v>0</v>
      </c>
      <c r="X11" s="81">
        <f>IF(X5=0,0,X5/TrNavi_ene!X10)</f>
        <v>0</v>
      </c>
      <c r="Y11" s="81">
        <f>IF(Y5=0,0,Y5/TrNavi_ene!Y10)</f>
        <v>0</v>
      </c>
      <c r="Z11" s="81"/>
      <c r="AA11" s="81"/>
      <c r="AB11" s="81"/>
      <c r="AC11" s="81"/>
      <c r="AD11" s="81"/>
      <c r="AE11" s="81"/>
      <c r="AF11" s="81"/>
      <c r="AG11" s="81"/>
      <c r="DA11" s="182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DA12" s="181"/>
    </row>
    <row r="13" spans="1:105" ht="11.45" customHeight="1" x14ac:dyDescent="0.25">
      <c r="A13" s="53" t="s">
        <v>129</v>
      </c>
      <c r="B13" s="54">
        <f>IF(B3=0,0,B3/TrNavi_act!B7*1000)</f>
        <v>410554.6404395604</v>
      </c>
      <c r="C13" s="54">
        <f>IF(C3=0,0,C3/TrNavi_act!C7*1000)</f>
        <v>434670.3325197245</v>
      </c>
      <c r="D13" s="54">
        <f>IF(D3=0,0,D3/TrNavi_act!D7*1000)</f>
        <v>479333.56369964965</v>
      </c>
      <c r="E13" s="54">
        <f>IF(E3=0,0,E3/TrNavi_act!E7*1000)</f>
        <v>517199.44290509855</v>
      </c>
      <c r="F13" s="54">
        <f>IF(F3=0,0,F3/TrNavi_act!F7*1000)</f>
        <v>530035.24915101274</v>
      </c>
      <c r="G13" s="54">
        <f>IF(G3=0,0,G3/TrNavi_act!G7*1000)</f>
        <v>475917.04312978615</v>
      </c>
      <c r="H13" s="54">
        <f>IF(H3=0,0,H3/TrNavi_act!H7*1000)</f>
        <v>436230.94967359048</v>
      </c>
      <c r="I13" s="54">
        <f>IF(I3=0,0,I3/TrNavi_act!I7*1000)</f>
        <v>432484.87003486307</v>
      </c>
      <c r="J13" s="54">
        <f>IF(J3=0,0,J3/TrNavi_act!J7*1000)</f>
        <v>455528.95488662494</v>
      </c>
      <c r="K13" s="54">
        <f>IF(K3=0,0,K3/TrNavi_act!K7*1000)</f>
        <v>436578.06614352611</v>
      </c>
      <c r="L13" s="54">
        <f>IF(L3=0,0,L3/TrNavi_act!L7*1000)</f>
        <v>433124.29089479893</v>
      </c>
      <c r="M13" s="54">
        <f>IF(M3=0,0,M3/TrNavi_act!M7*1000)</f>
        <v>356042.8533223549</v>
      </c>
      <c r="N13" s="54">
        <f>IF(N3=0,0,N3/TrNavi_act!N7*1000)</f>
        <v>348161.71413775242</v>
      </c>
      <c r="O13" s="54">
        <f>IF(O3=0,0,O3/TrNavi_act!O7*1000)</f>
        <v>229752.81495878522</v>
      </c>
      <c r="P13" s="54">
        <f>IF(P3=0,0,P3/TrNavi_act!P7*1000)</f>
        <v>160776.08987321961</v>
      </c>
      <c r="Q13" s="54">
        <f>IF(Q3=0,0,Q3/TrNavi_act!Q7*1000)</f>
        <v>140823.58079566003</v>
      </c>
      <c r="R13" s="54">
        <f>IF(R3=0,0,R3/TrNavi_act!R7*1000)</f>
        <v>225317.45273328025</v>
      </c>
      <c r="S13" s="54">
        <f>IF(S3=0,0,S3/TrNavi_act!S7*1000)</f>
        <v>529949.91598116176</v>
      </c>
      <c r="T13" s="54">
        <f>IF(T3=0,0,T3/TrNavi_act!T7*1000)</f>
        <v>454109.09747505421</v>
      </c>
      <c r="U13" s="54">
        <f>IF(U3=0,0,U3/TrNavi_act!U7*1000)</f>
        <v>463492.6827176818</v>
      </c>
      <c r="V13" s="54">
        <f>IF(V3=0,0,V3/TrNavi_act!V7*1000)</f>
        <v>412789.06260614929</v>
      </c>
      <c r="W13" s="54">
        <f>IF(W3=0,0,W3/TrNavi_act!W7*1000)</f>
        <v>494503.88035843527</v>
      </c>
      <c r="X13" s="54">
        <f>IF(X3=0,0,X3/TrNavi_act!X7*1000)</f>
        <v>546089.6287052168</v>
      </c>
      <c r="Y13" s="54">
        <f>IF(Y3=0,0,Y3/TrNavi_act!Y7*1000)</f>
        <v>381817.74043478246</v>
      </c>
      <c r="Z13" s="62"/>
      <c r="AA13" s="62"/>
      <c r="AB13" s="62"/>
      <c r="AC13" s="62"/>
      <c r="AD13" s="62"/>
      <c r="AE13" s="62"/>
      <c r="AF13" s="62"/>
      <c r="AG13" s="62"/>
      <c r="DA13" s="172" t="s">
        <v>1027</v>
      </c>
    </row>
    <row r="14" spans="1:105" ht="11.45" customHeight="1" x14ac:dyDescent="0.25">
      <c r="A14" s="55" t="s">
        <v>30</v>
      </c>
      <c r="B14" s="56">
        <f>IF(B4=0,0,B4/TrNavi_act!B8*1000)</f>
        <v>410554.6404395604</v>
      </c>
      <c r="C14" s="56">
        <f>IF(C4=0,0,C4/TrNavi_act!C8*1000)</f>
        <v>434670.3325197245</v>
      </c>
      <c r="D14" s="56">
        <f>IF(D4=0,0,D4/TrNavi_act!D8*1000)</f>
        <v>479333.56369964965</v>
      </c>
      <c r="E14" s="56">
        <f>IF(E4=0,0,E4/TrNavi_act!E8*1000)</f>
        <v>517199.44290509855</v>
      </c>
      <c r="F14" s="56">
        <f>IF(F4=0,0,F4/TrNavi_act!F8*1000)</f>
        <v>530035.24915101274</v>
      </c>
      <c r="G14" s="56">
        <f>IF(G4=0,0,G4/TrNavi_act!G8*1000)</f>
        <v>475917.04312978615</v>
      </c>
      <c r="H14" s="56">
        <f>IF(H4=0,0,H4/TrNavi_act!H8*1000)</f>
        <v>436230.94967359048</v>
      </c>
      <c r="I14" s="56">
        <f>IF(I4=0,0,I4/TrNavi_act!I8*1000)</f>
        <v>432484.87003486307</v>
      </c>
      <c r="J14" s="56">
        <f>IF(J4=0,0,J4/TrNavi_act!J8*1000)</f>
        <v>455528.95488662494</v>
      </c>
      <c r="K14" s="56">
        <f>IF(K4=0,0,K4/TrNavi_act!K8*1000)</f>
        <v>436578.06614352611</v>
      </c>
      <c r="L14" s="56">
        <f>IF(L4=0,0,L4/TrNavi_act!L8*1000)</f>
        <v>433124.29089479893</v>
      </c>
      <c r="M14" s="56">
        <f>IF(M4=0,0,M4/TrNavi_act!M8*1000)</f>
        <v>356042.8533223549</v>
      </c>
      <c r="N14" s="56">
        <f>IF(N4=0,0,N4/TrNavi_act!N8*1000)</f>
        <v>348161.71413775242</v>
      </c>
      <c r="O14" s="56">
        <f>IF(O4=0,0,O4/TrNavi_act!O8*1000)</f>
        <v>229752.81495878522</v>
      </c>
      <c r="P14" s="56">
        <f>IF(P4=0,0,P4/TrNavi_act!P8*1000)</f>
        <v>160776.08987321961</v>
      </c>
      <c r="Q14" s="56">
        <f>IF(Q4=0,0,Q4/TrNavi_act!Q8*1000)</f>
        <v>140823.58079566003</v>
      </c>
      <c r="R14" s="56">
        <f>IF(R4=0,0,R4/TrNavi_act!R8*1000)</f>
        <v>225317.45273328025</v>
      </c>
      <c r="S14" s="56">
        <f>IF(S4=0,0,S4/TrNavi_act!S8*1000)</f>
        <v>529949.91598116176</v>
      </c>
      <c r="T14" s="56">
        <f>IF(T4=0,0,T4/TrNavi_act!T8*1000)</f>
        <v>454109.09747505421</v>
      </c>
      <c r="U14" s="56">
        <f>IF(U4=0,0,U4/TrNavi_act!U8*1000)</f>
        <v>463492.6827176818</v>
      </c>
      <c r="V14" s="56">
        <f>IF(V4=0,0,V4/TrNavi_act!V8*1000)</f>
        <v>412789.06260614929</v>
      </c>
      <c r="W14" s="56">
        <f>IF(W4=0,0,W4/TrNavi_act!W8*1000)</f>
        <v>494503.88035843527</v>
      </c>
      <c r="X14" s="56">
        <f>IF(X4=0,0,X4/TrNavi_act!X8*1000)</f>
        <v>546089.6287052168</v>
      </c>
      <c r="Y14" s="56">
        <f>IF(Y4=0,0,Y4/TrNavi_act!Y8*1000)</f>
        <v>381817.74043478246</v>
      </c>
      <c r="Z14" s="63"/>
      <c r="AA14" s="63"/>
      <c r="AB14" s="63"/>
      <c r="AC14" s="63"/>
      <c r="AD14" s="63"/>
      <c r="AE14" s="63"/>
      <c r="AF14" s="63"/>
      <c r="AG14" s="63"/>
      <c r="DA14" s="181" t="s">
        <v>1028</v>
      </c>
    </row>
    <row r="15" spans="1:105" ht="11.45" customHeight="1" x14ac:dyDescent="0.25">
      <c r="A15" s="57" t="s">
        <v>31</v>
      </c>
      <c r="B15" s="58">
        <f>IF(B5=0,0,B5/TrNavi_act!B9*1000)</f>
        <v>0</v>
      </c>
      <c r="C15" s="58">
        <f>IF(C5=0,0,C5/TrNavi_act!C9*1000)</f>
        <v>0</v>
      </c>
      <c r="D15" s="58">
        <f>IF(D5=0,0,D5/TrNavi_act!D9*1000)</f>
        <v>0</v>
      </c>
      <c r="E15" s="58">
        <f>IF(E5=0,0,E5/TrNavi_act!E9*1000)</f>
        <v>0</v>
      </c>
      <c r="F15" s="58">
        <f>IF(F5=0,0,F5/TrNavi_act!F9*1000)</f>
        <v>0</v>
      </c>
      <c r="G15" s="58">
        <f>IF(G5=0,0,G5/TrNavi_act!G9*1000)</f>
        <v>0</v>
      </c>
      <c r="H15" s="58">
        <f>IF(H5=0,0,H5/TrNavi_act!H9*1000)</f>
        <v>0</v>
      </c>
      <c r="I15" s="58">
        <f>IF(I5=0,0,I5/TrNavi_act!I9*1000)</f>
        <v>0</v>
      </c>
      <c r="J15" s="58">
        <f>IF(J5=0,0,J5/TrNavi_act!J9*1000)</f>
        <v>0</v>
      </c>
      <c r="K15" s="58">
        <f>IF(K5=0,0,K5/TrNavi_act!K9*1000)</f>
        <v>0</v>
      </c>
      <c r="L15" s="58">
        <f>IF(L5=0,0,L5/TrNavi_act!L9*1000)</f>
        <v>0</v>
      </c>
      <c r="M15" s="58">
        <f>IF(M5=0,0,M5/TrNavi_act!M9*1000)</f>
        <v>0</v>
      </c>
      <c r="N15" s="58">
        <f>IF(N5=0,0,N5/TrNavi_act!N9*1000)</f>
        <v>0</v>
      </c>
      <c r="O15" s="58">
        <f>IF(O5=0,0,O5/TrNavi_act!O9*1000)</f>
        <v>0</v>
      </c>
      <c r="P15" s="58">
        <f>IF(P5=0,0,P5/TrNavi_act!P9*1000)</f>
        <v>0</v>
      </c>
      <c r="Q15" s="58">
        <f>IF(Q5=0,0,Q5/TrNavi_act!Q9*1000)</f>
        <v>0</v>
      </c>
      <c r="R15" s="58">
        <f>IF(R5=0,0,R5/TrNavi_act!R9*1000)</f>
        <v>0</v>
      </c>
      <c r="S15" s="58">
        <f>IF(S5=0,0,S5/TrNavi_act!S9*1000)</f>
        <v>0</v>
      </c>
      <c r="T15" s="58">
        <f>IF(T5=0,0,T5/TrNavi_act!T9*1000)</f>
        <v>0</v>
      </c>
      <c r="U15" s="58">
        <f>IF(U5=0,0,U5/TrNavi_act!U9*1000)</f>
        <v>0</v>
      </c>
      <c r="V15" s="58">
        <f>IF(V5=0,0,V5/TrNavi_act!V9*1000)</f>
        <v>0</v>
      </c>
      <c r="W15" s="58">
        <f>IF(W5=0,0,W5/TrNavi_act!W9*1000)</f>
        <v>0</v>
      </c>
      <c r="X15" s="58">
        <f>IF(X5=0,0,X5/TrNavi_act!X9*1000)</f>
        <v>0</v>
      </c>
      <c r="Y15" s="58">
        <f>IF(Y5=0,0,Y5/TrNavi_act!Y9*1000)</f>
        <v>0</v>
      </c>
      <c r="Z15" s="64"/>
      <c r="AA15" s="64"/>
      <c r="AB15" s="64"/>
      <c r="AC15" s="64"/>
      <c r="AD15" s="64"/>
      <c r="AE15" s="64"/>
      <c r="AF15" s="64"/>
      <c r="AG15" s="64"/>
      <c r="DA15" s="182" t="s">
        <v>1029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DA16" s="181"/>
    </row>
    <row r="17" spans="1:105" ht="11.45" customHeight="1" x14ac:dyDescent="0.25">
      <c r="A17" s="53" t="s">
        <v>163</v>
      </c>
      <c r="B17" s="62">
        <f>IF(B3=0,0,B3/TrNavi_act!B3*1000)</f>
        <v>368.97658951839554</v>
      </c>
      <c r="C17" s="62">
        <f>IF(C3=0,0,C3/TrNavi_act!C3*1000)</f>
        <v>366.79597079085312</v>
      </c>
      <c r="D17" s="62">
        <f>IF(D3=0,0,D3/TrNavi_act!D3*1000)</f>
        <v>435.92934430392455</v>
      </c>
      <c r="E17" s="62">
        <f>IF(E3=0,0,E3/TrNavi_act!E3*1000)</f>
        <v>527.35218323249148</v>
      </c>
      <c r="F17" s="62">
        <f>IF(F3=0,0,F3/TrNavi_act!F3*1000)</f>
        <v>539.6470143110414</v>
      </c>
      <c r="G17" s="62">
        <f>IF(G3=0,0,G3/TrNavi_act!G3*1000)</f>
        <v>472.07215308811169</v>
      </c>
      <c r="H17" s="62">
        <f>IF(H3=0,0,H3/TrNavi_act!H3*1000)</f>
        <v>485.59421090023716</v>
      </c>
      <c r="I17" s="62">
        <f>IF(I3=0,0,I3/TrNavi_act!I3*1000)</f>
        <v>457.43031710648125</v>
      </c>
      <c r="J17" s="62">
        <f>IF(J3=0,0,J3/TrNavi_act!J3*1000)</f>
        <v>447.27689461147622</v>
      </c>
      <c r="K17" s="62">
        <f>IF(K3=0,0,K3/TrNavi_act!K3*1000)</f>
        <v>437.45358234370343</v>
      </c>
      <c r="L17" s="62">
        <f>IF(L3=0,0,L3/TrNavi_act!L3*1000)</f>
        <v>393.74269629921821</v>
      </c>
      <c r="M17" s="62">
        <f>IF(M3=0,0,M3/TrNavi_act!M3*1000)</f>
        <v>300.70103021991235</v>
      </c>
      <c r="N17" s="62">
        <f>IF(N3=0,0,N3/TrNavi_act!N3*1000)</f>
        <v>372.49751086658404</v>
      </c>
      <c r="O17" s="62">
        <f>IF(O3=0,0,O3/TrNavi_act!O3*1000)</f>
        <v>218.75071380134713</v>
      </c>
      <c r="P17" s="62">
        <f>IF(P3=0,0,P3/TrNavi_act!P3*1000)</f>
        <v>133.60088731830146</v>
      </c>
      <c r="Q17" s="62">
        <f>IF(Q3=0,0,Q3/TrNavi_act!Q3*1000)</f>
        <v>155.11224876245635</v>
      </c>
      <c r="R17" s="62">
        <f>IF(R3=0,0,R3/TrNavi_act!R3*1000)</f>
        <v>208.36424283483333</v>
      </c>
      <c r="S17" s="62">
        <f>IF(S3=0,0,S3/TrNavi_act!S3*1000)</f>
        <v>356.60177076755576</v>
      </c>
      <c r="T17" s="62">
        <f>IF(T3=0,0,T3/TrNavi_act!T3*1000)</f>
        <v>323.69345083271452</v>
      </c>
      <c r="U17" s="62">
        <f>IF(U3=0,0,U3/TrNavi_act!U3*1000)</f>
        <v>328.11234685152124</v>
      </c>
      <c r="V17" s="62">
        <f>IF(V3=0,0,V3/TrNavi_act!V3*1000)</f>
        <v>304.58297526450696</v>
      </c>
      <c r="W17" s="62">
        <f>IF(W3=0,0,W3/TrNavi_act!W3*1000)</f>
        <v>341.05552013769591</v>
      </c>
      <c r="X17" s="62">
        <f>IF(X3=0,0,X3/TrNavi_act!X3*1000)</f>
        <v>362.67220644836499</v>
      </c>
      <c r="Y17" s="62">
        <f>IF(Y3=0,0,Y3/TrNavi_act!Y3*1000)</f>
        <v>290.0464219835024</v>
      </c>
      <c r="Z17" s="62"/>
      <c r="AA17" s="62"/>
      <c r="AB17" s="62"/>
      <c r="AC17" s="62"/>
      <c r="AD17" s="62"/>
      <c r="AE17" s="62"/>
      <c r="AF17" s="62"/>
      <c r="AG17" s="62"/>
      <c r="DA17" s="172" t="s">
        <v>449</v>
      </c>
    </row>
    <row r="18" spans="1:105" ht="11.45" customHeight="1" x14ac:dyDescent="0.25">
      <c r="A18" s="55" t="s">
        <v>30</v>
      </c>
      <c r="B18" s="63">
        <f>IF(B4=0,0,B4/TrNavi_act!B4*1000)</f>
        <v>368.97658951839554</v>
      </c>
      <c r="C18" s="63">
        <f>IF(C4=0,0,C4/TrNavi_act!C4*1000)</f>
        <v>366.79597079085312</v>
      </c>
      <c r="D18" s="63">
        <f>IF(D4=0,0,D4/TrNavi_act!D4*1000)</f>
        <v>435.92934430392455</v>
      </c>
      <c r="E18" s="63">
        <f>IF(E4=0,0,E4/TrNavi_act!E4*1000)</f>
        <v>527.35218323249148</v>
      </c>
      <c r="F18" s="63">
        <f>IF(F4=0,0,F4/TrNavi_act!F4*1000)</f>
        <v>539.6470143110414</v>
      </c>
      <c r="G18" s="63">
        <f>IF(G4=0,0,G4/TrNavi_act!G4*1000)</f>
        <v>472.07215308811169</v>
      </c>
      <c r="H18" s="63">
        <f>IF(H4=0,0,H4/TrNavi_act!H4*1000)</f>
        <v>485.59421090023716</v>
      </c>
      <c r="I18" s="63">
        <f>IF(I4=0,0,I4/TrNavi_act!I4*1000)</f>
        <v>457.43031710648125</v>
      </c>
      <c r="J18" s="63">
        <f>IF(J4=0,0,J4/TrNavi_act!J4*1000)</f>
        <v>447.27689461147622</v>
      </c>
      <c r="K18" s="63">
        <f>IF(K4=0,0,K4/TrNavi_act!K4*1000)</f>
        <v>437.45358234370343</v>
      </c>
      <c r="L18" s="63">
        <f>IF(L4=0,0,L4/TrNavi_act!L4*1000)</f>
        <v>393.74269629921821</v>
      </c>
      <c r="M18" s="63">
        <f>IF(M4=0,0,M4/TrNavi_act!M4*1000)</f>
        <v>300.70103021991235</v>
      </c>
      <c r="N18" s="63">
        <f>IF(N4=0,0,N4/TrNavi_act!N4*1000)</f>
        <v>372.49751086658404</v>
      </c>
      <c r="O18" s="63">
        <f>IF(O4=0,0,O4/TrNavi_act!O4*1000)</f>
        <v>218.75071380134713</v>
      </c>
      <c r="P18" s="63">
        <f>IF(P4=0,0,P4/TrNavi_act!P4*1000)</f>
        <v>133.60088731830146</v>
      </c>
      <c r="Q18" s="63">
        <f>IF(Q4=0,0,Q4/TrNavi_act!Q4*1000)</f>
        <v>155.11224876245635</v>
      </c>
      <c r="R18" s="63">
        <f>IF(R4=0,0,R4/TrNavi_act!R4*1000)</f>
        <v>208.36424283483333</v>
      </c>
      <c r="S18" s="63">
        <f>IF(S4=0,0,S4/TrNavi_act!S4*1000)</f>
        <v>356.60177076755576</v>
      </c>
      <c r="T18" s="63">
        <f>IF(T4=0,0,T4/TrNavi_act!T4*1000)</f>
        <v>323.69345083271452</v>
      </c>
      <c r="U18" s="63">
        <f>IF(U4=0,0,U4/TrNavi_act!U4*1000)</f>
        <v>328.11234685152124</v>
      </c>
      <c r="V18" s="63">
        <f>IF(V4=0,0,V4/TrNavi_act!V4*1000)</f>
        <v>304.58297526450696</v>
      </c>
      <c r="W18" s="63">
        <f>IF(W4=0,0,W4/TrNavi_act!W4*1000)</f>
        <v>341.05552013769591</v>
      </c>
      <c r="X18" s="63">
        <f>IF(X4=0,0,X4/TrNavi_act!X4*1000)</f>
        <v>362.67220644836499</v>
      </c>
      <c r="Y18" s="63">
        <f>IF(Y4=0,0,Y4/TrNavi_act!Y4*1000)</f>
        <v>290.0464219835024</v>
      </c>
      <c r="Z18" s="63"/>
      <c r="AA18" s="63"/>
      <c r="AB18" s="63"/>
      <c r="AC18" s="63"/>
      <c r="AD18" s="63"/>
      <c r="AE18" s="63"/>
      <c r="AF18" s="63"/>
      <c r="AG18" s="63"/>
      <c r="DA18" s="181" t="s">
        <v>450</v>
      </c>
    </row>
    <row r="19" spans="1:105" ht="11.45" customHeight="1" x14ac:dyDescent="0.25">
      <c r="A19" s="57" t="s">
        <v>31</v>
      </c>
      <c r="B19" s="64">
        <f>IF(B5=0,0,B5/TrNavi_act!B5*1000)</f>
        <v>0</v>
      </c>
      <c r="C19" s="64">
        <f>IF(C5=0,0,C5/TrNavi_act!C5*1000)</f>
        <v>0</v>
      </c>
      <c r="D19" s="64">
        <f>IF(D5=0,0,D5/TrNavi_act!D5*1000)</f>
        <v>0</v>
      </c>
      <c r="E19" s="64">
        <f>IF(E5=0,0,E5/TrNavi_act!E5*1000)</f>
        <v>0</v>
      </c>
      <c r="F19" s="64">
        <f>IF(F5=0,0,F5/TrNavi_act!F5*1000)</f>
        <v>0</v>
      </c>
      <c r="G19" s="64">
        <f>IF(G5=0,0,G5/TrNavi_act!G5*1000)</f>
        <v>0</v>
      </c>
      <c r="H19" s="64">
        <f>IF(H5=0,0,H5/TrNavi_act!H5*1000)</f>
        <v>0</v>
      </c>
      <c r="I19" s="64">
        <f>IF(I5=0,0,I5/TrNavi_act!I5*1000)</f>
        <v>0</v>
      </c>
      <c r="J19" s="64">
        <f>IF(J5=0,0,J5/TrNavi_act!J5*1000)</f>
        <v>0</v>
      </c>
      <c r="K19" s="64">
        <f>IF(K5=0,0,K5/TrNavi_act!K5*1000)</f>
        <v>0</v>
      </c>
      <c r="L19" s="64">
        <f>IF(L5=0,0,L5/TrNavi_act!L5*1000)</f>
        <v>0</v>
      </c>
      <c r="M19" s="64">
        <f>IF(M5=0,0,M5/TrNavi_act!M5*1000)</f>
        <v>0</v>
      </c>
      <c r="N19" s="64">
        <f>IF(N5=0,0,N5/TrNavi_act!N5*1000)</f>
        <v>0</v>
      </c>
      <c r="O19" s="64">
        <f>IF(O5=0,0,O5/TrNavi_act!O5*1000)</f>
        <v>0</v>
      </c>
      <c r="P19" s="64">
        <f>IF(P5=0,0,P5/TrNavi_act!P5*1000)</f>
        <v>0</v>
      </c>
      <c r="Q19" s="64">
        <f>IF(Q5=0,0,Q5/TrNavi_act!Q5*1000)</f>
        <v>0</v>
      </c>
      <c r="R19" s="64">
        <f>IF(R5=0,0,R5/TrNavi_act!R5*1000)</f>
        <v>0</v>
      </c>
      <c r="S19" s="64">
        <f>IF(S5=0,0,S5/TrNavi_act!S5*1000)</f>
        <v>0</v>
      </c>
      <c r="T19" s="64">
        <f>IF(T5=0,0,T5/TrNavi_act!T5*1000)</f>
        <v>0</v>
      </c>
      <c r="U19" s="64">
        <f>IF(U5=0,0,U5/TrNavi_act!U5*1000)</f>
        <v>0</v>
      </c>
      <c r="V19" s="64">
        <f>IF(V5=0,0,V5/TrNavi_act!V5*1000)</f>
        <v>0</v>
      </c>
      <c r="W19" s="64">
        <f>IF(W5=0,0,W5/TrNavi_act!W5*1000)</f>
        <v>0</v>
      </c>
      <c r="X19" s="64">
        <f>IF(X5=0,0,X5/TrNavi_act!X5*1000)</f>
        <v>0</v>
      </c>
      <c r="Y19" s="64">
        <f>IF(Y5=0,0,Y5/TrNavi_act!Y5*1000)</f>
        <v>0</v>
      </c>
      <c r="Z19" s="64"/>
      <c r="AA19" s="64"/>
      <c r="AB19" s="64"/>
      <c r="AC19" s="64"/>
      <c r="AD19" s="64"/>
      <c r="AE19" s="64"/>
      <c r="AF19" s="64"/>
      <c r="AG19" s="64"/>
      <c r="DA19" s="182" t="s">
        <v>451</v>
      </c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DA20" s="181"/>
    </row>
    <row r="21" spans="1:105" ht="11.45" customHeight="1" x14ac:dyDescent="0.25">
      <c r="A21" s="53" t="s">
        <v>41</v>
      </c>
      <c r="B21" s="76">
        <f t="shared" ref="B21:U21" si="3">IF(B3=0,0,B3/B$3)</f>
        <v>1</v>
      </c>
      <c r="C21" s="76">
        <f t="shared" si="3"/>
        <v>1</v>
      </c>
      <c r="D21" s="76">
        <f t="shared" si="3"/>
        <v>1</v>
      </c>
      <c r="E21" s="76">
        <f t="shared" si="3"/>
        <v>1</v>
      </c>
      <c r="F21" s="76">
        <f t="shared" si="3"/>
        <v>1</v>
      </c>
      <c r="G21" s="76">
        <f t="shared" si="3"/>
        <v>1</v>
      </c>
      <c r="H21" s="76">
        <f t="shared" si="3"/>
        <v>1</v>
      </c>
      <c r="I21" s="76">
        <f t="shared" si="3"/>
        <v>1</v>
      </c>
      <c r="J21" s="76">
        <f t="shared" si="3"/>
        <v>1</v>
      </c>
      <c r="K21" s="76">
        <f t="shared" si="3"/>
        <v>1</v>
      </c>
      <c r="L21" s="76">
        <f t="shared" si="3"/>
        <v>1</v>
      </c>
      <c r="M21" s="76">
        <f t="shared" si="3"/>
        <v>1</v>
      </c>
      <c r="N21" s="76">
        <f t="shared" si="3"/>
        <v>1</v>
      </c>
      <c r="O21" s="76">
        <f t="shared" si="3"/>
        <v>1</v>
      </c>
      <c r="P21" s="76">
        <f t="shared" si="3"/>
        <v>1</v>
      </c>
      <c r="Q21" s="76">
        <f t="shared" si="3"/>
        <v>1</v>
      </c>
      <c r="R21" s="76">
        <f t="shared" si="3"/>
        <v>1</v>
      </c>
      <c r="S21" s="76">
        <f t="shared" si="3"/>
        <v>1</v>
      </c>
      <c r="T21" s="76">
        <f t="shared" si="3"/>
        <v>1</v>
      </c>
      <c r="U21" s="76">
        <f t="shared" si="3"/>
        <v>1</v>
      </c>
      <c r="V21" s="76">
        <f t="shared" ref="V21:W21" si="4">IF(V3=0,0,V3/V$3)</f>
        <v>1</v>
      </c>
      <c r="W21" s="76">
        <f t="shared" si="4"/>
        <v>1</v>
      </c>
      <c r="X21" s="76">
        <f t="shared" ref="X21:Y21" si="5">IF(X3=0,0,X3/X$3)</f>
        <v>1</v>
      </c>
      <c r="Y21" s="76">
        <f t="shared" si="5"/>
        <v>1</v>
      </c>
      <c r="Z21" s="76"/>
      <c r="AA21" s="76"/>
      <c r="AB21" s="76"/>
      <c r="AC21" s="76"/>
      <c r="AD21" s="76"/>
      <c r="AE21" s="76"/>
      <c r="AF21" s="76"/>
      <c r="AG21" s="76"/>
      <c r="DA21" s="183"/>
    </row>
    <row r="22" spans="1:105" ht="11.45" customHeight="1" x14ac:dyDescent="0.25">
      <c r="A22" s="55" t="s">
        <v>30</v>
      </c>
      <c r="B22" s="77">
        <f t="shared" ref="B22:U22" si="6">IF(B4=0,0,B4/B$3)</f>
        <v>1</v>
      </c>
      <c r="C22" s="77">
        <f t="shared" si="6"/>
        <v>1</v>
      </c>
      <c r="D22" s="77">
        <f t="shared" si="6"/>
        <v>1</v>
      </c>
      <c r="E22" s="77">
        <f t="shared" si="6"/>
        <v>1</v>
      </c>
      <c r="F22" s="77">
        <f t="shared" si="6"/>
        <v>1</v>
      </c>
      <c r="G22" s="77">
        <f t="shared" si="6"/>
        <v>1</v>
      </c>
      <c r="H22" s="77">
        <f t="shared" si="6"/>
        <v>1</v>
      </c>
      <c r="I22" s="77">
        <f t="shared" si="6"/>
        <v>1</v>
      </c>
      <c r="J22" s="77">
        <f t="shared" si="6"/>
        <v>1</v>
      </c>
      <c r="K22" s="77">
        <f t="shared" si="6"/>
        <v>1</v>
      </c>
      <c r="L22" s="77">
        <f t="shared" si="6"/>
        <v>1</v>
      </c>
      <c r="M22" s="77">
        <f t="shared" si="6"/>
        <v>1</v>
      </c>
      <c r="N22" s="77">
        <f t="shared" si="6"/>
        <v>1</v>
      </c>
      <c r="O22" s="77">
        <f t="shared" si="6"/>
        <v>1</v>
      </c>
      <c r="P22" s="77">
        <f t="shared" si="6"/>
        <v>1</v>
      </c>
      <c r="Q22" s="77">
        <f t="shared" si="6"/>
        <v>1</v>
      </c>
      <c r="R22" s="77">
        <f t="shared" si="6"/>
        <v>1</v>
      </c>
      <c r="S22" s="77">
        <f t="shared" si="6"/>
        <v>1</v>
      </c>
      <c r="T22" s="77">
        <f t="shared" si="6"/>
        <v>1</v>
      </c>
      <c r="U22" s="77">
        <f t="shared" si="6"/>
        <v>1</v>
      </c>
      <c r="V22" s="77">
        <f t="shared" ref="V22:W22" si="7">IF(V4=0,0,V4/V$3)</f>
        <v>1</v>
      </c>
      <c r="W22" s="77">
        <f t="shared" si="7"/>
        <v>1</v>
      </c>
      <c r="X22" s="77">
        <f t="shared" ref="X22:Y22" si="8">IF(X4=0,0,X4/X$3)</f>
        <v>1</v>
      </c>
      <c r="Y22" s="77">
        <f t="shared" si="8"/>
        <v>1</v>
      </c>
      <c r="Z22" s="77"/>
      <c r="AA22" s="77"/>
      <c r="AB22" s="77"/>
      <c r="AC22" s="77"/>
      <c r="AD22" s="77"/>
      <c r="AE22" s="77"/>
      <c r="AF22" s="77"/>
      <c r="AG22" s="77"/>
      <c r="DA22" s="184"/>
    </row>
    <row r="23" spans="1:105" ht="11.45" customHeight="1" x14ac:dyDescent="0.25">
      <c r="A23" s="57" t="s">
        <v>31</v>
      </c>
      <c r="B23" s="78">
        <f t="shared" ref="B23:U23" si="9">IF(B5=0,0,B5/B$3)</f>
        <v>0</v>
      </c>
      <c r="C23" s="78">
        <f t="shared" si="9"/>
        <v>0</v>
      </c>
      <c r="D23" s="78">
        <f t="shared" si="9"/>
        <v>0</v>
      </c>
      <c r="E23" s="78">
        <f t="shared" si="9"/>
        <v>0</v>
      </c>
      <c r="F23" s="78">
        <f t="shared" si="9"/>
        <v>0</v>
      </c>
      <c r="G23" s="78">
        <f t="shared" si="9"/>
        <v>0</v>
      </c>
      <c r="H23" s="78">
        <f t="shared" si="9"/>
        <v>0</v>
      </c>
      <c r="I23" s="78">
        <f t="shared" si="9"/>
        <v>0</v>
      </c>
      <c r="J23" s="78">
        <f t="shared" si="9"/>
        <v>0</v>
      </c>
      <c r="K23" s="78">
        <f t="shared" si="9"/>
        <v>0</v>
      </c>
      <c r="L23" s="78">
        <f t="shared" si="9"/>
        <v>0</v>
      </c>
      <c r="M23" s="78">
        <f t="shared" si="9"/>
        <v>0</v>
      </c>
      <c r="N23" s="78">
        <f t="shared" si="9"/>
        <v>0</v>
      </c>
      <c r="O23" s="78">
        <f t="shared" si="9"/>
        <v>0</v>
      </c>
      <c r="P23" s="78">
        <f t="shared" si="9"/>
        <v>0</v>
      </c>
      <c r="Q23" s="78">
        <f t="shared" si="9"/>
        <v>0</v>
      </c>
      <c r="R23" s="78">
        <f t="shared" si="9"/>
        <v>0</v>
      </c>
      <c r="S23" s="78">
        <f t="shared" si="9"/>
        <v>0</v>
      </c>
      <c r="T23" s="78">
        <f t="shared" si="9"/>
        <v>0</v>
      </c>
      <c r="U23" s="78">
        <f t="shared" si="9"/>
        <v>0</v>
      </c>
      <c r="V23" s="78">
        <f t="shared" ref="V23:W23" si="10">IF(V5=0,0,V5/V$3)</f>
        <v>0</v>
      </c>
      <c r="W23" s="78">
        <f t="shared" si="10"/>
        <v>0</v>
      </c>
      <c r="X23" s="78">
        <f t="shared" ref="X23:Y23" si="11">IF(X5=0,0,X5/X$3)</f>
        <v>0</v>
      </c>
      <c r="Y23" s="78">
        <f t="shared" si="11"/>
        <v>0</v>
      </c>
      <c r="Z23" s="78"/>
      <c r="AA23" s="78"/>
      <c r="AB23" s="78"/>
      <c r="AC23" s="78"/>
      <c r="AD23" s="78"/>
      <c r="AE23" s="78"/>
      <c r="AF23" s="78"/>
      <c r="AG23" s="78"/>
      <c r="DA23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A25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45" customHeight="1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962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DA2" s="181"/>
    </row>
    <row r="3" spans="1:105" ht="11.45" customHeight="1" x14ac:dyDescent="0.25">
      <c r="A3" s="53" t="s">
        <v>164</v>
      </c>
      <c r="B3" s="54">
        <f t="shared" ref="B3:Q3" si="0">SUM(B4:B5)</f>
        <v>610521.44012199994</v>
      </c>
      <c r="C3" s="54">
        <f t="shared" si="0"/>
        <v>733609.77781699994</v>
      </c>
      <c r="D3" s="54">
        <f t="shared" si="0"/>
        <v>775781.49471899995</v>
      </c>
      <c r="E3" s="54">
        <f t="shared" si="0"/>
        <v>820706.49188799993</v>
      </c>
      <c r="F3" s="54">
        <f t="shared" si="0"/>
        <v>920636.79541299993</v>
      </c>
      <c r="G3" s="54">
        <f t="shared" si="0"/>
        <v>1018630.5638059999</v>
      </c>
      <c r="H3" s="54">
        <f t="shared" si="0"/>
        <v>1095158.411202</v>
      </c>
      <c r="I3" s="54">
        <f t="shared" si="0"/>
        <v>1188923.1658719999</v>
      </c>
      <c r="J3" s="54">
        <f t="shared" si="0"/>
        <v>1136546.2627119999</v>
      </c>
      <c r="K3" s="54">
        <f t="shared" si="0"/>
        <v>932697.11116199999</v>
      </c>
      <c r="L3" s="54">
        <f t="shared" si="0"/>
        <v>957852.09275500011</v>
      </c>
      <c r="M3" s="54">
        <f t="shared" si="0"/>
        <v>1063270.4440319999</v>
      </c>
      <c r="N3" s="54">
        <f t="shared" si="0"/>
        <v>1109290.8522910001</v>
      </c>
      <c r="O3" s="54">
        <f t="shared" si="0"/>
        <v>1019308.0460340001</v>
      </c>
      <c r="P3" s="54">
        <f t="shared" si="0"/>
        <v>1042546.029128</v>
      </c>
      <c r="Q3" s="54">
        <f t="shared" si="0"/>
        <v>992160.050911</v>
      </c>
      <c r="R3" s="54">
        <f t="shared" ref="R3:W3" si="1">SUM(R4:R5)</f>
        <v>995687.71158799995</v>
      </c>
      <c r="S3" s="54">
        <f t="shared" si="1"/>
        <v>1049895.7669000002</v>
      </c>
      <c r="T3" s="54">
        <f t="shared" si="1"/>
        <v>1126357.076347</v>
      </c>
      <c r="U3" s="54">
        <f t="shared" si="1"/>
        <v>1236221.1522520001</v>
      </c>
      <c r="V3" s="54">
        <f t="shared" si="1"/>
        <v>1140348.1722589999</v>
      </c>
      <c r="W3" s="54">
        <f t="shared" si="1"/>
        <v>1183262.8305510001</v>
      </c>
      <c r="X3" s="54">
        <f t="shared" ref="X3:Y3" si="2">SUM(X4:X5)</f>
        <v>1259282.299474</v>
      </c>
      <c r="Y3" s="54">
        <f t="shared" si="2"/>
        <v>1239706.6515430002</v>
      </c>
      <c r="DA3" s="172" t="s">
        <v>388</v>
      </c>
    </row>
    <row r="4" spans="1:105" ht="11.45" customHeight="1" x14ac:dyDescent="0.25">
      <c r="A4" s="55" t="s">
        <v>166</v>
      </c>
      <c r="B4" s="56">
        <v>81249.036166000005</v>
      </c>
      <c r="C4" s="56">
        <v>93100.742295000004</v>
      </c>
      <c r="D4" s="56">
        <v>96568.344681000002</v>
      </c>
      <c r="E4" s="56">
        <v>101746.349131</v>
      </c>
      <c r="F4" s="56">
        <v>113810.029779</v>
      </c>
      <c r="G4" s="56">
        <v>120262.57239300001</v>
      </c>
      <c r="H4" s="56">
        <v>116580.53730700001</v>
      </c>
      <c r="I4" s="56">
        <v>115940.437091</v>
      </c>
      <c r="J4" s="56">
        <v>109487.862492</v>
      </c>
      <c r="K4" s="56">
        <v>102737.40494200001</v>
      </c>
      <c r="L4" s="56">
        <v>104352.055398</v>
      </c>
      <c r="M4" s="56">
        <v>106646.28104900001</v>
      </c>
      <c r="N4" s="56">
        <v>106470.35304399999</v>
      </c>
      <c r="O4" s="56">
        <v>106516.72536</v>
      </c>
      <c r="P4" s="56">
        <v>116223.69357399999</v>
      </c>
      <c r="Q4" s="56">
        <v>112961.24156000001</v>
      </c>
      <c r="R4" s="56">
        <v>118230.44491000001</v>
      </c>
      <c r="S4" s="56">
        <v>118689.981436</v>
      </c>
      <c r="T4" s="56">
        <v>128124.232772</v>
      </c>
      <c r="U4" s="56">
        <v>142028.34385400001</v>
      </c>
      <c r="V4" s="56">
        <v>141307.27697599999</v>
      </c>
      <c r="W4" s="56">
        <v>151728.380653</v>
      </c>
      <c r="X4" s="56">
        <v>159921.49429800001</v>
      </c>
      <c r="Y4" s="56">
        <v>161308.92423899999</v>
      </c>
      <c r="DA4" s="181" t="s">
        <v>389</v>
      </c>
    </row>
    <row r="5" spans="1:105" ht="11.45" customHeight="1" x14ac:dyDescent="0.25">
      <c r="A5" s="57" t="s">
        <v>167</v>
      </c>
      <c r="B5" s="58">
        <v>529272.40395599999</v>
      </c>
      <c r="C5" s="58">
        <v>640509.03552199993</v>
      </c>
      <c r="D5" s="58">
        <v>679213.15003799996</v>
      </c>
      <c r="E5" s="58">
        <v>718960.14275699994</v>
      </c>
      <c r="F5" s="58">
        <v>806826.76563399995</v>
      </c>
      <c r="G5" s="58">
        <v>898367.99141299992</v>
      </c>
      <c r="H5" s="58">
        <v>978577.87389499997</v>
      </c>
      <c r="I5" s="58">
        <v>1072982.728781</v>
      </c>
      <c r="J5" s="58">
        <v>1027058.40022</v>
      </c>
      <c r="K5" s="58">
        <v>829959.70621999993</v>
      </c>
      <c r="L5" s="58">
        <v>853500.03735700005</v>
      </c>
      <c r="M5" s="58">
        <v>956624.16298299993</v>
      </c>
      <c r="N5" s="58">
        <v>1002820.499247</v>
      </c>
      <c r="O5" s="58">
        <v>912791.32067400008</v>
      </c>
      <c r="P5" s="58">
        <v>926322.33555399999</v>
      </c>
      <c r="Q5" s="58">
        <v>879198.809351</v>
      </c>
      <c r="R5" s="58">
        <v>877457.26667799999</v>
      </c>
      <c r="S5" s="58">
        <v>931205.78546400007</v>
      </c>
      <c r="T5" s="58">
        <v>998232.84357500006</v>
      </c>
      <c r="U5" s="58">
        <v>1094192.808398</v>
      </c>
      <c r="V5" s="58">
        <v>999040.89528299996</v>
      </c>
      <c r="W5" s="58">
        <v>1031534.449898</v>
      </c>
      <c r="X5" s="58">
        <v>1099360.8051759999</v>
      </c>
      <c r="Y5" s="58">
        <v>1078397.7273040002</v>
      </c>
      <c r="DA5" s="182" t="s">
        <v>390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DA6" s="181"/>
    </row>
    <row r="7" spans="1:105" ht="11.45" customHeight="1" x14ac:dyDescent="0.25">
      <c r="A7" s="53" t="s">
        <v>64</v>
      </c>
      <c r="B7" s="59">
        <f t="shared" ref="B7:W7" si="3">SUM(B8:B9)</f>
        <v>36.130631999999999</v>
      </c>
      <c r="C7" s="59">
        <f t="shared" si="3"/>
        <v>40.171033000000001</v>
      </c>
      <c r="D7" s="59">
        <f t="shared" si="3"/>
        <v>40.798392999999997</v>
      </c>
      <c r="E7" s="59">
        <f t="shared" si="3"/>
        <v>43.938164999999998</v>
      </c>
      <c r="F7" s="59">
        <f t="shared" si="3"/>
        <v>48.181830000000005</v>
      </c>
      <c r="G7" s="59">
        <f t="shared" si="3"/>
        <v>51.589571999999997</v>
      </c>
      <c r="H7" s="59">
        <f t="shared" si="3"/>
        <v>51.867620000000002</v>
      </c>
      <c r="I7" s="59">
        <f t="shared" si="3"/>
        <v>53.817848999999995</v>
      </c>
      <c r="J7" s="59">
        <f t="shared" si="3"/>
        <v>49.392477</v>
      </c>
      <c r="K7" s="59">
        <f t="shared" si="3"/>
        <v>42.931994000000003</v>
      </c>
      <c r="L7" s="59">
        <f t="shared" si="3"/>
        <v>42.153697000000001</v>
      </c>
      <c r="M7" s="59">
        <f t="shared" si="3"/>
        <v>43.788173999999998</v>
      </c>
      <c r="N7" s="59">
        <f t="shared" si="3"/>
        <v>42.929658000000003</v>
      </c>
      <c r="O7" s="59">
        <f t="shared" si="3"/>
        <v>40.134498999999998</v>
      </c>
      <c r="P7" s="59">
        <f t="shared" si="3"/>
        <v>41.659464</v>
      </c>
      <c r="Q7" s="59">
        <f t="shared" si="3"/>
        <v>38.167508000000005</v>
      </c>
      <c r="R7" s="59">
        <f t="shared" si="3"/>
        <v>38.227750999999998</v>
      </c>
      <c r="S7" s="59">
        <f t="shared" si="3"/>
        <v>38.950085000000001</v>
      </c>
      <c r="T7" s="59">
        <f t="shared" si="3"/>
        <v>42.874039999999994</v>
      </c>
      <c r="U7" s="59">
        <f t="shared" si="3"/>
        <v>47.681902999999998</v>
      </c>
      <c r="V7" s="59">
        <f t="shared" si="3"/>
        <v>43.146540999999999</v>
      </c>
      <c r="W7" s="59">
        <f t="shared" si="3"/>
        <v>45.522117999999999</v>
      </c>
      <c r="X7" s="59">
        <f t="shared" ref="X7:Y7" si="4">SUM(X8:X9)</f>
        <v>50.812251000000003</v>
      </c>
      <c r="Y7" s="59">
        <f t="shared" si="4"/>
        <v>48.788297999999998</v>
      </c>
      <c r="DA7" s="172" t="s">
        <v>963</v>
      </c>
    </row>
    <row r="8" spans="1:105" ht="11.45" customHeight="1" x14ac:dyDescent="0.25">
      <c r="A8" s="55" t="s">
        <v>166</v>
      </c>
      <c r="B8" s="60">
        <v>13.329238</v>
      </c>
      <c r="C8" s="60">
        <v>14.483467999999998</v>
      </c>
      <c r="D8" s="60">
        <v>14.294395999999999</v>
      </c>
      <c r="E8" s="60">
        <v>15.040346</v>
      </c>
      <c r="F8" s="60">
        <v>16.538980000000002</v>
      </c>
      <c r="G8" s="60">
        <v>17.426102</v>
      </c>
      <c r="H8" s="60">
        <v>16.597720000000002</v>
      </c>
      <c r="I8" s="60">
        <v>16.050031999999998</v>
      </c>
      <c r="J8" s="60">
        <v>14.704581999999998</v>
      </c>
      <c r="K8" s="60">
        <v>13.832796999999999</v>
      </c>
      <c r="L8" s="60">
        <v>14.192784</v>
      </c>
      <c r="M8" s="60">
        <v>15.295480000000001</v>
      </c>
      <c r="N8" s="60">
        <v>15.021746</v>
      </c>
      <c r="O8" s="60">
        <v>14.846584</v>
      </c>
      <c r="P8" s="60">
        <v>16.206796999999998</v>
      </c>
      <c r="Q8" s="60">
        <v>14.902724000000001</v>
      </c>
      <c r="R8" s="60">
        <v>15.123868</v>
      </c>
      <c r="S8" s="60">
        <v>15.048160000000001</v>
      </c>
      <c r="T8" s="60">
        <v>17.303867999999998</v>
      </c>
      <c r="U8" s="60">
        <v>19.528452999999999</v>
      </c>
      <c r="V8" s="60">
        <v>17.444414999999999</v>
      </c>
      <c r="W8" s="60">
        <v>19.703368999999999</v>
      </c>
      <c r="X8" s="60">
        <v>21.040219</v>
      </c>
      <c r="Y8" s="60">
        <v>20.182616999999997</v>
      </c>
      <c r="DA8" s="181" t="s">
        <v>964</v>
      </c>
    </row>
    <row r="9" spans="1:105" ht="11.45" customHeight="1" x14ac:dyDescent="0.25">
      <c r="A9" s="57" t="s">
        <v>167</v>
      </c>
      <c r="B9" s="61">
        <v>22.801393999999998</v>
      </c>
      <c r="C9" s="61">
        <v>25.687565000000003</v>
      </c>
      <c r="D9" s="61">
        <v>26.503996999999998</v>
      </c>
      <c r="E9" s="61">
        <v>28.897819000000002</v>
      </c>
      <c r="F9" s="61">
        <v>31.642850000000003</v>
      </c>
      <c r="G9" s="61">
        <v>34.163469999999997</v>
      </c>
      <c r="H9" s="61">
        <v>35.2699</v>
      </c>
      <c r="I9" s="61">
        <v>37.767817000000001</v>
      </c>
      <c r="J9" s="61">
        <v>34.687894999999997</v>
      </c>
      <c r="K9" s="61">
        <v>29.099197</v>
      </c>
      <c r="L9" s="61">
        <v>27.960913000000001</v>
      </c>
      <c r="M9" s="61">
        <v>28.492694</v>
      </c>
      <c r="N9" s="61">
        <v>27.907912</v>
      </c>
      <c r="O9" s="61">
        <v>25.287914999999998</v>
      </c>
      <c r="P9" s="61">
        <v>25.452666999999998</v>
      </c>
      <c r="Q9" s="61">
        <v>23.264784000000002</v>
      </c>
      <c r="R9" s="61">
        <v>23.103883</v>
      </c>
      <c r="S9" s="61">
        <v>23.901924999999999</v>
      </c>
      <c r="T9" s="61">
        <v>25.570171999999999</v>
      </c>
      <c r="U9" s="61">
        <v>28.153449999999999</v>
      </c>
      <c r="V9" s="61">
        <v>25.702126</v>
      </c>
      <c r="W9" s="61">
        <v>25.818749</v>
      </c>
      <c r="X9" s="61">
        <v>29.772032000000003</v>
      </c>
      <c r="Y9" s="61">
        <v>28.605681000000001</v>
      </c>
      <c r="DA9" s="182" t="s">
        <v>965</v>
      </c>
    </row>
    <row r="10" spans="1:105" ht="11.45" customHeight="1" x14ac:dyDescent="0.25">
      <c r="A10" s="50"/>
      <c r="B10" s="50"/>
      <c r="C10" s="50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DA10" s="181"/>
    </row>
    <row r="11" spans="1:105" ht="11.45" customHeight="1" x14ac:dyDescent="0.25">
      <c r="A11" s="68" t="s">
        <v>36</v>
      </c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DA11" s="179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DA12" s="181"/>
    </row>
    <row r="13" spans="1:105" ht="11.45" customHeight="1" x14ac:dyDescent="0.25">
      <c r="A13" s="53" t="s">
        <v>143</v>
      </c>
      <c r="B13" s="62">
        <f t="shared" ref="B13:W15" si="5">IF(B3=0,0,B3/B7)</f>
        <v>16897.613086923029</v>
      </c>
      <c r="C13" s="62">
        <f t="shared" si="5"/>
        <v>18262.158650911464</v>
      </c>
      <c r="D13" s="62">
        <f t="shared" si="5"/>
        <v>19015.00127024611</v>
      </c>
      <c r="E13" s="62">
        <f t="shared" si="5"/>
        <v>18678.670169498429</v>
      </c>
      <c r="F13" s="62">
        <f t="shared" si="5"/>
        <v>19107.551444455301</v>
      </c>
      <c r="G13" s="62">
        <f t="shared" si="5"/>
        <v>19744.89270440158</v>
      </c>
      <c r="H13" s="62">
        <f t="shared" si="5"/>
        <v>21114.491299234473</v>
      </c>
      <c r="I13" s="62">
        <f t="shared" si="5"/>
        <v>22091.614361473272</v>
      </c>
      <c r="J13" s="62">
        <f t="shared" si="5"/>
        <v>23010.513579061848</v>
      </c>
      <c r="K13" s="62">
        <f t="shared" si="5"/>
        <v>21724.989320598525</v>
      </c>
      <c r="L13" s="62">
        <f t="shared" si="5"/>
        <v>22722.849024487699</v>
      </c>
      <c r="M13" s="62">
        <f t="shared" si="5"/>
        <v>24282.137090987169</v>
      </c>
      <c r="N13" s="62">
        <f t="shared" si="5"/>
        <v>25839.731876992824</v>
      </c>
      <c r="O13" s="62">
        <f t="shared" si="5"/>
        <v>25397.303353257259</v>
      </c>
      <c r="P13" s="62">
        <f t="shared" si="5"/>
        <v>25025.430695123683</v>
      </c>
      <c r="Q13" s="62">
        <f t="shared" si="5"/>
        <v>25994.886826538423</v>
      </c>
      <c r="R13" s="62">
        <f t="shared" si="5"/>
        <v>26046.201660882431</v>
      </c>
      <c r="S13" s="62">
        <f t="shared" si="5"/>
        <v>26954.903099697989</v>
      </c>
      <c r="T13" s="62">
        <f t="shared" si="5"/>
        <v>26271.30721403908</v>
      </c>
      <c r="U13" s="62">
        <f t="shared" si="5"/>
        <v>25926.422279161136</v>
      </c>
      <c r="V13" s="62">
        <f t="shared" si="5"/>
        <v>26429.654517589253</v>
      </c>
      <c r="W13" s="62">
        <f t="shared" si="5"/>
        <v>25993.140972724515</v>
      </c>
      <c r="X13" s="62">
        <f t="shared" ref="X13:Y13" si="6">IF(X3=0,0,X3/X7)</f>
        <v>24783.044928948333</v>
      </c>
      <c r="Y13" s="62">
        <f t="shared" si="6"/>
        <v>25409.918000070433</v>
      </c>
      <c r="DA13" s="172" t="s">
        <v>966</v>
      </c>
    </row>
    <row r="14" spans="1:105" ht="11.45" customHeight="1" x14ac:dyDescent="0.25">
      <c r="A14" s="55" t="s">
        <v>166</v>
      </c>
      <c r="B14" s="63">
        <f t="shared" si="5"/>
        <v>6095.5499606204048</v>
      </c>
      <c r="C14" s="63">
        <f t="shared" si="5"/>
        <v>6428.0697340581701</v>
      </c>
      <c r="D14" s="63">
        <f t="shared" si="5"/>
        <v>6755.6785666914511</v>
      </c>
      <c r="E14" s="63">
        <f t="shared" si="5"/>
        <v>6764.8941806923858</v>
      </c>
      <c r="F14" s="63">
        <f t="shared" si="5"/>
        <v>6881.3209629009762</v>
      </c>
      <c r="G14" s="63">
        <f t="shared" si="5"/>
        <v>6901.2893642536928</v>
      </c>
      <c r="H14" s="63">
        <f t="shared" si="5"/>
        <v>7023.88866103296</v>
      </c>
      <c r="I14" s="63">
        <f t="shared" si="5"/>
        <v>7223.688843174893</v>
      </c>
      <c r="J14" s="63">
        <f t="shared" si="5"/>
        <v>7445.833039796712</v>
      </c>
      <c r="K14" s="63">
        <f t="shared" si="5"/>
        <v>7427.0883135203976</v>
      </c>
      <c r="L14" s="63">
        <f t="shared" si="5"/>
        <v>7352.4725943831736</v>
      </c>
      <c r="M14" s="63">
        <f t="shared" si="5"/>
        <v>6972.4049882056661</v>
      </c>
      <c r="N14" s="63">
        <f t="shared" si="5"/>
        <v>7087.74819145524</v>
      </c>
      <c r="O14" s="63">
        <f t="shared" si="5"/>
        <v>7174.4938337330659</v>
      </c>
      <c r="P14" s="63">
        <f t="shared" si="5"/>
        <v>7171.2932280203177</v>
      </c>
      <c r="Q14" s="63">
        <f t="shared" si="5"/>
        <v>7579.9056306753046</v>
      </c>
      <c r="R14" s="63">
        <f t="shared" si="5"/>
        <v>7817.4740026823829</v>
      </c>
      <c r="S14" s="63">
        <f t="shared" si="5"/>
        <v>7887.3418036490839</v>
      </c>
      <c r="T14" s="63">
        <f t="shared" si="5"/>
        <v>7404.3695185377064</v>
      </c>
      <c r="U14" s="63">
        <f t="shared" si="5"/>
        <v>7272.8927301102658</v>
      </c>
      <c r="V14" s="63">
        <f t="shared" si="5"/>
        <v>8100.4308241921553</v>
      </c>
      <c r="W14" s="63">
        <f t="shared" si="5"/>
        <v>7700.6313312713173</v>
      </c>
      <c r="X14" s="63">
        <f t="shared" ref="X14:Y14" si="7">IF(X4=0,0,X4/X8)</f>
        <v>7600.7523637467839</v>
      </c>
      <c r="Y14" s="63">
        <f t="shared" si="7"/>
        <v>7992.4681838336428</v>
      </c>
      <c r="DA14" s="181" t="s">
        <v>967</v>
      </c>
    </row>
    <row r="15" spans="1:105" ht="11.45" customHeight="1" x14ac:dyDescent="0.25">
      <c r="A15" s="57" t="s">
        <v>167</v>
      </c>
      <c r="B15" s="64">
        <f t="shared" si="5"/>
        <v>23212.282720784529</v>
      </c>
      <c r="C15" s="64">
        <f t="shared" si="5"/>
        <v>24934.595222318654</v>
      </c>
      <c r="D15" s="64">
        <f t="shared" si="5"/>
        <v>25626.819609057457</v>
      </c>
      <c r="E15" s="64">
        <f t="shared" si="5"/>
        <v>24879.391166406014</v>
      </c>
      <c r="F15" s="64">
        <f t="shared" si="5"/>
        <v>25497.917085028683</v>
      </c>
      <c r="G15" s="64">
        <f t="shared" si="5"/>
        <v>26296.157603808981</v>
      </c>
      <c r="H15" s="64">
        <f t="shared" si="5"/>
        <v>27745.41106992081</v>
      </c>
      <c r="I15" s="64">
        <f t="shared" si="5"/>
        <v>28409.974788349562</v>
      </c>
      <c r="J15" s="64">
        <f t="shared" si="5"/>
        <v>29608.553653082727</v>
      </c>
      <c r="K15" s="64">
        <f t="shared" si="5"/>
        <v>28521.739146959964</v>
      </c>
      <c r="L15" s="64">
        <f t="shared" si="5"/>
        <v>30524.755660053019</v>
      </c>
      <c r="M15" s="64">
        <f t="shared" si="5"/>
        <v>33574.366923078596</v>
      </c>
      <c r="N15" s="64">
        <f t="shared" si="5"/>
        <v>35933.196981809313</v>
      </c>
      <c r="O15" s="64">
        <f t="shared" si="5"/>
        <v>36095.95020680828</v>
      </c>
      <c r="P15" s="64">
        <f t="shared" si="5"/>
        <v>36393.920352393725</v>
      </c>
      <c r="Q15" s="64">
        <f t="shared" si="5"/>
        <v>37790.972370558004</v>
      </c>
      <c r="R15" s="64">
        <f t="shared" si="5"/>
        <v>37978.779007753801</v>
      </c>
      <c r="S15" s="64">
        <f t="shared" si="5"/>
        <v>38959.447218749126</v>
      </c>
      <c r="T15" s="64">
        <f t="shared" si="5"/>
        <v>39038.956936816852</v>
      </c>
      <c r="U15" s="64">
        <f t="shared" si="5"/>
        <v>38865.318758375972</v>
      </c>
      <c r="V15" s="64">
        <f t="shared" si="5"/>
        <v>38869.971117681082</v>
      </c>
      <c r="W15" s="64">
        <f t="shared" si="5"/>
        <v>39952.921417610123</v>
      </c>
      <c r="X15" s="64">
        <f t="shared" ref="X15:Y15" si="8">IF(X5=0,0,X5/X9)</f>
        <v>36925.958066147439</v>
      </c>
      <c r="Y15" s="64">
        <f t="shared" si="8"/>
        <v>37698.725903571394</v>
      </c>
      <c r="DA15" s="182" t="s">
        <v>968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DA16" s="181"/>
    </row>
    <row r="17" spans="1:105" ht="11.45" customHeight="1" x14ac:dyDescent="0.25">
      <c r="A17" s="53" t="s">
        <v>65</v>
      </c>
      <c r="B17" s="65">
        <f t="shared" ref="B17:W19" si="9">IF(B3=0,0,B3/B$3)</f>
        <v>1</v>
      </c>
      <c r="C17" s="65">
        <f t="shared" si="9"/>
        <v>1</v>
      </c>
      <c r="D17" s="65">
        <f t="shared" si="9"/>
        <v>1</v>
      </c>
      <c r="E17" s="65">
        <f t="shared" si="9"/>
        <v>1</v>
      </c>
      <c r="F17" s="65">
        <f t="shared" si="9"/>
        <v>1</v>
      </c>
      <c r="G17" s="65">
        <f t="shared" si="9"/>
        <v>1</v>
      </c>
      <c r="H17" s="65">
        <f t="shared" si="9"/>
        <v>1</v>
      </c>
      <c r="I17" s="65">
        <f t="shared" si="9"/>
        <v>1</v>
      </c>
      <c r="J17" s="65">
        <f t="shared" si="9"/>
        <v>1</v>
      </c>
      <c r="K17" s="65">
        <f t="shared" si="9"/>
        <v>1</v>
      </c>
      <c r="L17" s="65">
        <f t="shared" si="9"/>
        <v>1</v>
      </c>
      <c r="M17" s="65">
        <f t="shared" si="9"/>
        <v>1</v>
      </c>
      <c r="N17" s="65">
        <f t="shared" si="9"/>
        <v>1</v>
      </c>
      <c r="O17" s="65">
        <f t="shared" si="9"/>
        <v>1</v>
      </c>
      <c r="P17" s="65">
        <f t="shared" si="9"/>
        <v>1</v>
      </c>
      <c r="Q17" s="65">
        <f t="shared" si="9"/>
        <v>1</v>
      </c>
      <c r="R17" s="65">
        <f t="shared" si="9"/>
        <v>1</v>
      </c>
      <c r="S17" s="65">
        <f t="shared" si="9"/>
        <v>1</v>
      </c>
      <c r="T17" s="65">
        <f t="shared" si="9"/>
        <v>1</v>
      </c>
      <c r="U17" s="65">
        <f t="shared" si="9"/>
        <v>1</v>
      </c>
      <c r="V17" s="65">
        <f t="shared" si="9"/>
        <v>1</v>
      </c>
      <c r="W17" s="65">
        <f t="shared" si="9"/>
        <v>1</v>
      </c>
      <c r="X17" s="65">
        <f t="shared" ref="X17:Y17" si="10">IF(X3=0,0,X3/X$3)</f>
        <v>1</v>
      </c>
      <c r="Y17" s="65">
        <f t="shared" si="10"/>
        <v>1</v>
      </c>
      <c r="DA17" s="172"/>
    </row>
    <row r="18" spans="1:105" ht="11.45" customHeight="1" x14ac:dyDescent="0.25">
      <c r="A18" s="55" t="s">
        <v>166</v>
      </c>
      <c r="B18" s="66">
        <f t="shared" si="9"/>
        <v>0.13308138064695008</v>
      </c>
      <c r="C18" s="66">
        <f t="shared" si="9"/>
        <v>0.126907717304477</v>
      </c>
      <c r="D18" s="66">
        <f t="shared" si="9"/>
        <v>0.12447879375619619</v>
      </c>
      <c r="E18" s="66">
        <f t="shared" si="9"/>
        <v>0.12397410053006515</v>
      </c>
      <c r="F18" s="66">
        <f t="shared" si="9"/>
        <v>0.12362098750131374</v>
      </c>
      <c r="G18" s="66">
        <f t="shared" si="9"/>
        <v>0.11806299228215995</v>
      </c>
      <c r="H18" s="66">
        <f t="shared" si="9"/>
        <v>0.10645084411034755</v>
      </c>
      <c r="I18" s="66">
        <f t="shared" si="9"/>
        <v>9.7517182286514723E-2</v>
      </c>
      <c r="J18" s="66">
        <f t="shared" si="9"/>
        <v>9.6333837067698977E-2</v>
      </c>
      <c r="K18" s="66">
        <f t="shared" si="9"/>
        <v>0.11015087718456069</v>
      </c>
      <c r="L18" s="66">
        <f t="shared" si="9"/>
        <v>0.10894380895265342</v>
      </c>
      <c r="M18" s="66">
        <f t="shared" si="9"/>
        <v>0.10030024030818487</v>
      </c>
      <c r="N18" s="66">
        <f t="shared" si="9"/>
        <v>9.5980556248263044E-2</v>
      </c>
      <c r="O18" s="66">
        <f t="shared" si="9"/>
        <v>0.10449905283730784</v>
      </c>
      <c r="P18" s="66">
        <f t="shared" si="9"/>
        <v>0.11148063522069246</v>
      </c>
      <c r="Q18" s="66">
        <f t="shared" si="9"/>
        <v>0.11385384994717249</v>
      </c>
      <c r="R18" s="66">
        <f t="shared" si="9"/>
        <v>0.11874249680297543</v>
      </c>
      <c r="S18" s="66">
        <f t="shared" si="9"/>
        <v>0.11304929991903179</v>
      </c>
      <c r="T18" s="66">
        <f t="shared" si="9"/>
        <v>0.11375099021664814</v>
      </c>
      <c r="U18" s="66">
        <f t="shared" si="9"/>
        <v>0.11488910669039251</v>
      </c>
      <c r="V18" s="66">
        <f t="shared" si="9"/>
        <v>0.12391590604830276</v>
      </c>
      <c r="W18" s="66">
        <f t="shared" si="9"/>
        <v>0.12822880659772429</v>
      </c>
      <c r="X18" s="66">
        <f t="shared" ref="X18:Y18" si="11">IF(X4=0,0,X4/X$3)</f>
        <v>0.12699415719954052</v>
      </c>
      <c r="Y18" s="66">
        <f t="shared" si="11"/>
        <v>0.13011862446509173</v>
      </c>
      <c r="DA18" s="181"/>
    </row>
    <row r="19" spans="1:105" ht="11.45" customHeight="1" x14ac:dyDescent="0.25">
      <c r="A19" s="57" t="s">
        <v>167</v>
      </c>
      <c r="B19" s="67">
        <f t="shared" si="9"/>
        <v>0.86691861935305004</v>
      </c>
      <c r="C19" s="67">
        <f t="shared" si="9"/>
        <v>0.87309228269552297</v>
      </c>
      <c r="D19" s="67">
        <f t="shared" si="9"/>
        <v>0.87552120624380381</v>
      </c>
      <c r="E19" s="67">
        <f t="shared" si="9"/>
        <v>0.87602589946993481</v>
      </c>
      <c r="F19" s="67">
        <f t="shared" si="9"/>
        <v>0.87637901249868633</v>
      </c>
      <c r="G19" s="67">
        <f t="shared" si="9"/>
        <v>0.88193700771784</v>
      </c>
      <c r="H19" s="67">
        <f t="shared" si="9"/>
        <v>0.89354915588965245</v>
      </c>
      <c r="I19" s="67">
        <f t="shared" si="9"/>
        <v>0.90248281771348537</v>
      </c>
      <c r="J19" s="67">
        <f t="shared" si="9"/>
        <v>0.90366616293230106</v>
      </c>
      <c r="K19" s="67">
        <f t="shared" si="9"/>
        <v>0.88984912281543926</v>
      </c>
      <c r="L19" s="67">
        <f t="shared" si="9"/>
        <v>0.89105619104734657</v>
      </c>
      <c r="M19" s="67">
        <f t="shared" si="9"/>
        <v>0.89969975969181515</v>
      </c>
      <c r="N19" s="67">
        <f t="shared" si="9"/>
        <v>0.90401944375173682</v>
      </c>
      <c r="O19" s="67">
        <f t="shared" si="9"/>
        <v>0.89550094716269213</v>
      </c>
      <c r="P19" s="67">
        <f t="shared" si="9"/>
        <v>0.88851936477930749</v>
      </c>
      <c r="Q19" s="67">
        <f t="shared" si="9"/>
        <v>0.88614615005282749</v>
      </c>
      <c r="R19" s="67">
        <f t="shared" si="9"/>
        <v>0.88125750319702456</v>
      </c>
      <c r="S19" s="67">
        <f t="shared" si="9"/>
        <v>0.8869507000809681</v>
      </c>
      <c r="T19" s="67">
        <f t="shared" si="9"/>
        <v>0.88624900978335197</v>
      </c>
      <c r="U19" s="67">
        <f t="shared" si="9"/>
        <v>0.88511089330960746</v>
      </c>
      <c r="V19" s="67">
        <f t="shared" si="9"/>
        <v>0.87608409395169728</v>
      </c>
      <c r="W19" s="67">
        <f t="shared" si="9"/>
        <v>0.8717711934022756</v>
      </c>
      <c r="X19" s="67">
        <f t="shared" ref="X19:Y19" si="12">IF(X5=0,0,X5/X$3)</f>
        <v>0.87300584280045945</v>
      </c>
      <c r="Y19" s="67">
        <f t="shared" si="12"/>
        <v>0.86988137553490819</v>
      </c>
      <c r="DA19" s="182"/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DA20" s="181"/>
    </row>
    <row r="21" spans="1:105" ht="11.45" customHeight="1" x14ac:dyDescent="0.25">
      <c r="A21" s="53" t="s">
        <v>66</v>
      </c>
      <c r="B21" s="65">
        <f t="shared" ref="B21:W23" si="13">IF(B7=0,0,B7/B$7)</f>
        <v>1</v>
      </c>
      <c r="C21" s="65">
        <f t="shared" si="13"/>
        <v>1</v>
      </c>
      <c r="D21" s="65">
        <f t="shared" si="13"/>
        <v>1</v>
      </c>
      <c r="E21" s="65">
        <f t="shared" si="13"/>
        <v>1</v>
      </c>
      <c r="F21" s="65">
        <f t="shared" si="13"/>
        <v>1</v>
      </c>
      <c r="G21" s="65">
        <f t="shared" si="13"/>
        <v>1</v>
      </c>
      <c r="H21" s="65">
        <f t="shared" si="13"/>
        <v>1</v>
      </c>
      <c r="I21" s="65">
        <f t="shared" si="13"/>
        <v>1</v>
      </c>
      <c r="J21" s="65">
        <f t="shared" si="13"/>
        <v>1</v>
      </c>
      <c r="K21" s="65">
        <f t="shared" si="13"/>
        <v>1</v>
      </c>
      <c r="L21" s="65">
        <f t="shared" si="13"/>
        <v>1</v>
      </c>
      <c r="M21" s="65">
        <f t="shared" si="13"/>
        <v>1</v>
      </c>
      <c r="N21" s="65">
        <f t="shared" si="13"/>
        <v>1</v>
      </c>
      <c r="O21" s="65">
        <f t="shared" si="13"/>
        <v>1</v>
      </c>
      <c r="P21" s="65">
        <f t="shared" si="13"/>
        <v>1</v>
      </c>
      <c r="Q21" s="65">
        <f t="shared" si="13"/>
        <v>1</v>
      </c>
      <c r="R21" s="65">
        <f t="shared" si="13"/>
        <v>1</v>
      </c>
      <c r="S21" s="65">
        <f t="shared" si="13"/>
        <v>1</v>
      </c>
      <c r="T21" s="65">
        <f t="shared" si="13"/>
        <v>1</v>
      </c>
      <c r="U21" s="65">
        <f t="shared" si="13"/>
        <v>1</v>
      </c>
      <c r="V21" s="65">
        <f t="shared" si="13"/>
        <v>1</v>
      </c>
      <c r="W21" s="65">
        <f t="shared" si="13"/>
        <v>1</v>
      </c>
      <c r="X21" s="65">
        <f t="shared" ref="X21:Y21" si="14">IF(X7=0,0,X7/X$7)</f>
        <v>1</v>
      </c>
      <c r="Y21" s="65">
        <f t="shared" si="14"/>
        <v>1</v>
      </c>
      <c r="DA21" s="172"/>
    </row>
    <row r="22" spans="1:105" ht="11.45" customHeight="1" x14ac:dyDescent="0.25">
      <c r="A22" s="55" t="s">
        <v>166</v>
      </c>
      <c r="B22" s="66">
        <f t="shared" si="13"/>
        <v>0.36891793091247338</v>
      </c>
      <c r="C22" s="66">
        <f t="shared" si="13"/>
        <v>0.36054507236595079</v>
      </c>
      <c r="D22" s="66">
        <f t="shared" si="13"/>
        <v>0.35036664311753651</v>
      </c>
      <c r="E22" s="66">
        <f t="shared" si="13"/>
        <v>0.34230710363075018</v>
      </c>
      <c r="F22" s="66">
        <f t="shared" si="13"/>
        <v>0.34326176486032184</v>
      </c>
      <c r="G22" s="66">
        <f t="shared" si="13"/>
        <v>0.33778341871105272</v>
      </c>
      <c r="H22" s="66">
        <f t="shared" si="13"/>
        <v>0.3200015732358647</v>
      </c>
      <c r="I22" s="66">
        <f t="shared" si="13"/>
        <v>0.2982287902290558</v>
      </c>
      <c r="J22" s="66">
        <f t="shared" si="13"/>
        <v>0.29770894057408781</v>
      </c>
      <c r="K22" s="66">
        <f t="shared" si="13"/>
        <v>0.32220252802606836</v>
      </c>
      <c r="L22" s="66">
        <f t="shared" si="13"/>
        <v>0.33669132270889546</v>
      </c>
      <c r="M22" s="66">
        <f t="shared" si="13"/>
        <v>0.34930618481601911</v>
      </c>
      <c r="N22" s="66">
        <f t="shared" si="13"/>
        <v>0.34991534290815918</v>
      </c>
      <c r="O22" s="66">
        <f t="shared" si="13"/>
        <v>0.36992075072371033</v>
      </c>
      <c r="P22" s="66">
        <f t="shared" si="13"/>
        <v>0.38903037734714968</v>
      </c>
      <c r="Q22" s="66">
        <f t="shared" si="13"/>
        <v>0.39045577720190688</v>
      </c>
      <c r="R22" s="66">
        <f t="shared" si="13"/>
        <v>0.39562536650403529</v>
      </c>
      <c r="S22" s="66">
        <f t="shared" si="13"/>
        <v>0.38634472813088855</v>
      </c>
      <c r="T22" s="66">
        <f t="shared" si="13"/>
        <v>0.40359779484275332</v>
      </c>
      <c r="U22" s="66">
        <f t="shared" si="13"/>
        <v>0.4095569130284083</v>
      </c>
      <c r="V22" s="66">
        <f t="shared" si="13"/>
        <v>0.40430622236901909</v>
      </c>
      <c r="W22" s="66">
        <f t="shared" si="13"/>
        <v>0.43283067365187178</v>
      </c>
      <c r="X22" s="66">
        <f t="shared" ref="X22:Y22" si="15">IF(X8=0,0,X8/X$7)</f>
        <v>0.41407767980993399</v>
      </c>
      <c r="Y22" s="66">
        <f t="shared" si="15"/>
        <v>0.41367741502275807</v>
      </c>
      <c r="DA22" s="181"/>
    </row>
    <row r="23" spans="1:105" ht="11.45" customHeight="1" x14ac:dyDescent="0.25">
      <c r="A23" s="57" t="s">
        <v>167</v>
      </c>
      <c r="B23" s="67">
        <f t="shared" si="13"/>
        <v>0.63108206908752662</v>
      </c>
      <c r="C23" s="67">
        <f t="shared" si="13"/>
        <v>0.63945492763404921</v>
      </c>
      <c r="D23" s="67">
        <f t="shared" si="13"/>
        <v>0.64963335688246349</v>
      </c>
      <c r="E23" s="67">
        <f t="shared" si="13"/>
        <v>0.65769289636924988</v>
      </c>
      <c r="F23" s="67">
        <f t="shared" si="13"/>
        <v>0.65673823513967822</v>
      </c>
      <c r="G23" s="67">
        <f t="shared" si="13"/>
        <v>0.66221658128894734</v>
      </c>
      <c r="H23" s="67">
        <f t="shared" si="13"/>
        <v>0.67999842676413524</v>
      </c>
      <c r="I23" s="67">
        <f t="shared" si="13"/>
        <v>0.70177120977094432</v>
      </c>
      <c r="J23" s="67">
        <f t="shared" si="13"/>
        <v>0.70229105942591208</v>
      </c>
      <c r="K23" s="67">
        <f t="shared" si="13"/>
        <v>0.67779747197393159</v>
      </c>
      <c r="L23" s="67">
        <f t="shared" si="13"/>
        <v>0.66330867729110454</v>
      </c>
      <c r="M23" s="67">
        <f t="shared" si="13"/>
        <v>0.65069381518398095</v>
      </c>
      <c r="N23" s="67">
        <f t="shared" si="13"/>
        <v>0.65008465709184071</v>
      </c>
      <c r="O23" s="67">
        <f t="shared" si="13"/>
        <v>0.63007924927628967</v>
      </c>
      <c r="P23" s="67">
        <f t="shared" si="13"/>
        <v>0.61096962265285026</v>
      </c>
      <c r="Q23" s="67">
        <f t="shared" si="13"/>
        <v>0.60954422279809306</v>
      </c>
      <c r="R23" s="67">
        <f t="shared" si="13"/>
        <v>0.60437463349596476</v>
      </c>
      <c r="S23" s="67">
        <f t="shared" si="13"/>
        <v>0.6136552718691114</v>
      </c>
      <c r="T23" s="67">
        <f t="shared" si="13"/>
        <v>0.59640220515724673</v>
      </c>
      <c r="U23" s="67">
        <f t="shared" si="13"/>
        <v>0.59044308697159176</v>
      </c>
      <c r="V23" s="67">
        <f t="shared" si="13"/>
        <v>0.59569377763098086</v>
      </c>
      <c r="W23" s="67">
        <f t="shared" si="13"/>
        <v>0.56716932634812822</v>
      </c>
      <c r="X23" s="67">
        <f t="shared" ref="X23:Y23" si="16">IF(X9=0,0,X9/X$7)</f>
        <v>0.58592232019006596</v>
      </c>
      <c r="Y23" s="67">
        <f t="shared" si="16"/>
        <v>0.58632258497724188</v>
      </c>
      <c r="DA23" s="182"/>
    </row>
    <row r="24" spans="1:105" ht="11.45" customHeight="1" x14ac:dyDescent="0.25"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</row>
    <row r="25" spans="1:105" ht="11.45" customHeight="1" x14ac:dyDescent="0.25">
      <c r="A25" s="18" t="s">
        <v>168</v>
      </c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A29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45" customHeight="1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969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DA2" s="181"/>
    </row>
    <row r="3" spans="1:105" ht="11.45" customHeight="1" x14ac:dyDescent="0.25">
      <c r="A3" s="53" t="s">
        <v>61</v>
      </c>
      <c r="B3" s="62">
        <f>SUM(B4,B10)</f>
        <v>6016.499484092863</v>
      </c>
      <c r="C3" s="62">
        <f t="shared" ref="C3:W3" si="0">SUM(C4,C10)</f>
        <v>6732.4496130696461</v>
      </c>
      <c r="D3" s="62">
        <f t="shared" si="0"/>
        <v>6870.3162510748052</v>
      </c>
      <c r="E3" s="62">
        <f t="shared" si="0"/>
        <v>6996.9666380051576</v>
      </c>
      <c r="F3" s="62">
        <f t="shared" si="0"/>
        <v>7216.1269131556319</v>
      </c>
      <c r="G3" s="62">
        <f t="shared" si="0"/>
        <v>7917.3306964746316</v>
      </c>
      <c r="H3" s="62">
        <f t="shared" si="0"/>
        <v>8267.8943250214979</v>
      </c>
      <c r="I3" s="62">
        <f t="shared" si="0"/>
        <v>8462.6349097162492</v>
      </c>
      <c r="J3" s="62">
        <f t="shared" si="0"/>
        <v>8785.506878761822</v>
      </c>
      <c r="K3" s="62">
        <f t="shared" si="0"/>
        <v>8729.1725709372313</v>
      </c>
      <c r="L3" s="62">
        <f t="shared" si="0"/>
        <v>8418.9500429922628</v>
      </c>
      <c r="M3" s="62">
        <f t="shared" si="0"/>
        <v>8603.8693035253673</v>
      </c>
      <c r="N3" s="62">
        <f t="shared" si="0"/>
        <v>8398.7962166809957</v>
      </c>
      <c r="O3" s="62">
        <f t="shared" si="0"/>
        <v>7226.6073946689585</v>
      </c>
      <c r="P3" s="62">
        <f t="shared" si="0"/>
        <v>7811.4645743766114</v>
      </c>
      <c r="Q3" s="62">
        <f t="shared" si="0"/>
        <v>7488.5783319002567</v>
      </c>
      <c r="R3" s="62">
        <f t="shared" si="0"/>
        <v>7523.0343078245905</v>
      </c>
      <c r="S3" s="62">
        <f t="shared" si="0"/>
        <v>6681.7832330180554</v>
      </c>
      <c r="T3" s="62">
        <f t="shared" si="0"/>
        <v>7002.7944969905402</v>
      </c>
      <c r="U3" s="62">
        <f t="shared" si="0"/>
        <v>7185.4041272570921</v>
      </c>
      <c r="V3" s="62">
        <f t="shared" si="0"/>
        <v>6377.7345657781589</v>
      </c>
      <c r="W3" s="62">
        <f t="shared" si="0"/>
        <v>7323.307738607049</v>
      </c>
      <c r="X3" s="62">
        <f t="shared" ref="X3:Y3" si="1">SUM(X4,X10)</f>
        <v>8634.0466895958707</v>
      </c>
      <c r="Y3" s="62">
        <f t="shared" si="1"/>
        <v>8348.760361134995</v>
      </c>
      <c r="DA3" s="172" t="s">
        <v>970</v>
      </c>
    </row>
    <row r="4" spans="1:105" ht="11.45" customHeight="1" x14ac:dyDescent="0.25">
      <c r="A4" s="70" t="s">
        <v>166</v>
      </c>
      <c r="B4" s="71">
        <f>SUM(B5:B9)</f>
        <v>2199.5107944083175</v>
      </c>
      <c r="C4" s="71">
        <f t="shared" ref="C4:W4" si="2">SUM(C5:C9)</f>
        <v>2413.7567000894269</v>
      </c>
      <c r="D4" s="71">
        <f t="shared" si="2"/>
        <v>2430.5258244289707</v>
      </c>
      <c r="E4" s="71">
        <f t="shared" si="2"/>
        <v>2460.395865009853</v>
      </c>
      <c r="F4" s="71">
        <f t="shared" si="2"/>
        <v>2545.3168305163526</v>
      </c>
      <c r="G4" s="71">
        <f t="shared" si="2"/>
        <v>2735.2595251276853</v>
      </c>
      <c r="H4" s="71">
        <f t="shared" si="2"/>
        <v>2691.9528093976487</v>
      </c>
      <c r="I4" s="71">
        <f t="shared" si="2"/>
        <v>2622.2172762421674</v>
      </c>
      <c r="J4" s="71">
        <f t="shared" si="2"/>
        <v>2712.8483993765149</v>
      </c>
      <c r="K4" s="71">
        <f t="shared" si="2"/>
        <v>2921.0456405126461</v>
      </c>
      <c r="L4" s="71">
        <f t="shared" si="2"/>
        <v>2822.9831367340321</v>
      </c>
      <c r="M4" s="71">
        <f t="shared" si="2"/>
        <v>2784.4563756688917</v>
      </c>
      <c r="N4" s="71">
        <f t="shared" si="2"/>
        <v>2664.9873374973176</v>
      </c>
      <c r="O4" s="71">
        <f t="shared" si="2"/>
        <v>2410.227177589195</v>
      </c>
      <c r="P4" s="71">
        <f t="shared" si="2"/>
        <v>2705.0343527118976</v>
      </c>
      <c r="Q4" s="71">
        <f t="shared" si="2"/>
        <v>2618.7183855069879</v>
      </c>
      <c r="R4" s="71">
        <f t="shared" si="2"/>
        <v>2682.6913623520531</v>
      </c>
      <c r="S4" s="71">
        <f t="shared" si="2"/>
        <v>2325.9439944699011</v>
      </c>
      <c r="T4" s="71">
        <f t="shared" si="2"/>
        <v>2462.3802887361476</v>
      </c>
      <c r="U4" s="71">
        <f t="shared" si="2"/>
        <v>2553.5243755483139</v>
      </c>
      <c r="V4" s="71">
        <f t="shared" si="2"/>
        <v>2095.2899179876149</v>
      </c>
      <c r="W4" s="71">
        <f t="shared" si="2"/>
        <v>2511.654433051664</v>
      </c>
      <c r="X4" s="71">
        <f t="shared" ref="X4:Y4" si="3">SUM(X5:X9)</f>
        <v>3157.5620870849584</v>
      </c>
      <c r="Y4" s="71">
        <f t="shared" si="3"/>
        <v>3103.4225954407425</v>
      </c>
      <c r="DA4" s="186" t="s">
        <v>971</v>
      </c>
    </row>
    <row r="5" spans="1:105" ht="11.45" customHeight="1" x14ac:dyDescent="0.25">
      <c r="A5" s="72" t="s">
        <v>144</v>
      </c>
      <c r="B5" s="73">
        <v>740.93717267126999</v>
      </c>
      <c r="C5" s="73">
        <v>758.40143346516584</v>
      </c>
      <c r="D5" s="73">
        <v>716.47299111709299</v>
      </c>
      <c r="E5" s="73">
        <v>708.77608011370614</v>
      </c>
      <c r="F5" s="73">
        <v>702.07598328941435</v>
      </c>
      <c r="G5" s="73">
        <v>737.55254412549016</v>
      </c>
      <c r="H5" s="73">
        <v>766.63424132180239</v>
      </c>
      <c r="I5" s="73">
        <v>804.80376498918872</v>
      </c>
      <c r="J5" s="73">
        <v>1031.9685671826503</v>
      </c>
      <c r="K5" s="73">
        <v>1042.5226391538308</v>
      </c>
      <c r="L5" s="73">
        <v>1096.9571825931996</v>
      </c>
      <c r="M5" s="73">
        <v>960.13308724580622</v>
      </c>
      <c r="N5" s="73">
        <v>845.7120408599269</v>
      </c>
      <c r="O5" s="73">
        <v>901.53893379553051</v>
      </c>
      <c r="P5" s="73">
        <v>954.03319381960114</v>
      </c>
      <c r="Q5" s="73">
        <v>1255.7677241483739</v>
      </c>
      <c r="R5" s="73">
        <v>1187.6284792056499</v>
      </c>
      <c r="S5" s="73">
        <v>959.86029633723774</v>
      </c>
      <c r="T5" s="73">
        <v>945.99896201920842</v>
      </c>
      <c r="U5" s="73">
        <v>1214.5354963039965</v>
      </c>
      <c r="V5" s="73">
        <v>1812.6566191778888</v>
      </c>
      <c r="W5" s="73">
        <v>2050.323727222752</v>
      </c>
      <c r="X5" s="73">
        <v>2275.7719526910614</v>
      </c>
      <c r="Y5" s="73">
        <v>1416.6388366004242</v>
      </c>
      <c r="DA5" s="187" t="s">
        <v>972</v>
      </c>
    </row>
    <row r="6" spans="1:105" ht="11.45" customHeight="1" x14ac:dyDescent="0.25">
      <c r="A6" s="72" t="s">
        <v>145</v>
      </c>
      <c r="B6" s="73">
        <v>1458.5736217370472</v>
      </c>
      <c r="C6" s="73">
        <v>1655.3552666242613</v>
      </c>
      <c r="D6" s="73">
        <v>1714.0528333118777</v>
      </c>
      <c r="E6" s="73">
        <v>1751.6197848961467</v>
      </c>
      <c r="F6" s="73">
        <v>1843.2408472269383</v>
      </c>
      <c r="G6" s="73">
        <v>1997.7069810021949</v>
      </c>
      <c r="H6" s="73">
        <v>1925.3185680758465</v>
      </c>
      <c r="I6" s="73">
        <v>1817.4135112529787</v>
      </c>
      <c r="J6" s="73">
        <v>1680.8798321938643</v>
      </c>
      <c r="K6" s="73">
        <v>1878.5230013588152</v>
      </c>
      <c r="L6" s="73">
        <v>1726.0259541408323</v>
      </c>
      <c r="M6" s="73">
        <v>1824.3232884230854</v>
      </c>
      <c r="N6" s="73">
        <v>1819.2752966373905</v>
      </c>
      <c r="O6" s="73">
        <v>1508.6882437936645</v>
      </c>
      <c r="P6" s="73">
        <v>1751.0011588922962</v>
      </c>
      <c r="Q6" s="73">
        <v>1361.3119659414886</v>
      </c>
      <c r="R6" s="73">
        <v>1495.0628831464032</v>
      </c>
      <c r="S6" s="73">
        <v>1365.8217983070638</v>
      </c>
      <c r="T6" s="73">
        <v>1515.7464004061865</v>
      </c>
      <c r="U6" s="73">
        <v>1326.3306892145995</v>
      </c>
      <c r="V6" s="73">
        <v>275.68890060855176</v>
      </c>
      <c r="W6" s="73">
        <v>428.12525740613324</v>
      </c>
      <c r="X6" s="73">
        <v>876.15746845829324</v>
      </c>
      <c r="Y6" s="73">
        <v>1644.7846387667187</v>
      </c>
      <c r="DA6" s="187" t="s">
        <v>973</v>
      </c>
    </row>
    <row r="7" spans="1:105" ht="11.45" customHeight="1" x14ac:dyDescent="0.25">
      <c r="A7" s="72" t="s">
        <v>146</v>
      </c>
      <c r="B7" s="73">
        <v>0</v>
      </c>
      <c r="C7" s="73">
        <v>0</v>
      </c>
      <c r="D7" s="73">
        <v>0</v>
      </c>
      <c r="E7" s="73">
        <v>0</v>
      </c>
      <c r="F7" s="73">
        <v>0</v>
      </c>
      <c r="G7" s="73">
        <v>0</v>
      </c>
      <c r="H7" s="73">
        <v>0</v>
      </c>
      <c r="I7" s="73">
        <v>0</v>
      </c>
      <c r="J7" s="73">
        <v>0</v>
      </c>
      <c r="K7" s="73">
        <v>0</v>
      </c>
      <c r="L7" s="73">
        <v>0</v>
      </c>
      <c r="M7" s="73">
        <v>0</v>
      </c>
      <c r="N7" s="73">
        <v>0</v>
      </c>
      <c r="O7" s="73">
        <v>0</v>
      </c>
      <c r="P7" s="73">
        <v>0</v>
      </c>
      <c r="Q7" s="73">
        <v>0</v>
      </c>
      <c r="R7" s="73">
        <v>0</v>
      </c>
      <c r="S7" s="73">
        <v>0</v>
      </c>
      <c r="T7" s="73">
        <v>0</v>
      </c>
      <c r="U7" s="73">
        <v>0</v>
      </c>
      <c r="V7" s="73">
        <v>0</v>
      </c>
      <c r="W7" s="73">
        <v>0</v>
      </c>
      <c r="X7" s="73">
        <v>0</v>
      </c>
      <c r="Y7" s="73">
        <v>0</v>
      </c>
      <c r="DA7" s="187" t="s">
        <v>974</v>
      </c>
    </row>
    <row r="8" spans="1:105" ht="11.45" customHeight="1" x14ac:dyDescent="0.25">
      <c r="A8" s="72" t="s">
        <v>55</v>
      </c>
      <c r="B8" s="73">
        <v>0</v>
      </c>
      <c r="C8" s="73">
        <v>0</v>
      </c>
      <c r="D8" s="73">
        <v>0</v>
      </c>
      <c r="E8" s="73">
        <v>0</v>
      </c>
      <c r="F8" s="73">
        <v>0</v>
      </c>
      <c r="G8" s="73">
        <v>0</v>
      </c>
      <c r="H8" s="73">
        <v>0</v>
      </c>
      <c r="I8" s="73">
        <v>0</v>
      </c>
      <c r="J8" s="73">
        <v>0</v>
      </c>
      <c r="K8" s="73">
        <v>0</v>
      </c>
      <c r="L8" s="73">
        <v>0</v>
      </c>
      <c r="M8" s="73">
        <v>0</v>
      </c>
      <c r="N8" s="73">
        <v>0</v>
      </c>
      <c r="O8" s="73">
        <v>0</v>
      </c>
      <c r="P8" s="73">
        <v>0</v>
      </c>
      <c r="Q8" s="73">
        <v>1.6386954171256383</v>
      </c>
      <c r="R8" s="73">
        <v>0</v>
      </c>
      <c r="S8" s="73">
        <v>0.26182944034245709</v>
      </c>
      <c r="T8" s="73">
        <v>0.63475113620551138</v>
      </c>
      <c r="U8" s="73">
        <v>12.654937045648117</v>
      </c>
      <c r="V8" s="73">
        <v>6.9423175662280983</v>
      </c>
      <c r="W8" s="73">
        <v>33.196499005420058</v>
      </c>
      <c r="X8" s="73">
        <v>5.6303465406764888</v>
      </c>
      <c r="Y8" s="73">
        <v>41.967852738005362</v>
      </c>
      <c r="DA8" s="187" t="s">
        <v>975</v>
      </c>
    </row>
    <row r="9" spans="1:105" ht="11.45" customHeight="1" x14ac:dyDescent="0.25">
      <c r="A9" s="74" t="s">
        <v>147</v>
      </c>
      <c r="B9" s="75">
        <v>0</v>
      </c>
      <c r="C9" s="75">
        <v>0</v>
      </c>
      <c r="D9" s="75">
        <v>0</v>
      </c>
      <c r="E9" s="75">
        <v>0</v>
      </c>
      <c r="F9" s="75">
        <v>0</v>
      </c>
      <c r="G9" s="75">
        <v>0</v>
      </c>
      <c r="H9" s="75">
        <v>0</v>
      </c>
      <c r="I9" s="75">
        <v>0</v>
      </c>
      <c r="J9" s="75">
        <v>0</v>
      </c>
      <c r="K9" s="75">
        <v>0</v>
      </c>
      <c r="L9" s="75">
        <v>0</v>
      </c>
      <c r="M9" s="75">
        <v>0</v>
      </c>
      <c r="N9" s="75">
        <v>0</v>
      </c>
      <c r="O9" s="75">
        <v>0</v>
      </c>
      <c r="P9" s="75">
        <v>0</v>
      </c>
      <c r="Q9" s="75">
        <v>0</v>
      </c>
      <c r="R9" s="75">
        <v>0</v>
      </c>
      <c r="S9" s="75">
        <v>7.0385257356050327E-5</v>
      </c>
      <c r="T9" s="75">
        <v>1.7517454697143109E-4</v>
      </c>
      <c r="U9" s="75">
        <v>3.2529840694903315E-3</v>
      </c>
      <c r="V9" s="75">
        <v>2.0806349462994893E-3</v>
      </c>
      <c r="W9" s="75">
        <v>8.9494173587085293E-3</v>
      </c>
      <c r="X9" s="75">
        <v>2.3193949274421173E-3</v>
      </c>
      <c r="Y9" s="75">
        <v>3.1267335594898173E-2</v>
      </c>
      <c r="DA9" s="188" t="s">
        <v>976</v>
      </c>
    </row>
    <row r="10" spans="1:105" ht="11.45" customHeight="1" x14ac:dyDescent="0.25">
      <c r="A10" s="70" t="s">
        <v>167</v>
      </c>
      <c r="B10" s="71">
        <f>SUM(B11:B15)</f>
        <v>3816.9886896845455</v>
      </c>
      <c r="C10" s="71">
        <f t="shared" ref="C10:W10" si="4">SUM(C11:C15)</f>
        <v>4318.6929129802193</v>
      </c>
      <c r="D10" s="71">
        <f t="shared" si="4"/>
        <v>4439.7904266458345</v>
      </c>
      <c r="E10" s="71">
        <f t="shared" si="4"/>
        <v>4536.5707729953047</v>
      </c>
      <c r="F10" s="71">
        <f t="shared" si="4"/>
        <v>4670.8100826392792</v>
      </c>
      <c r="G10" s="71">
        <f t="shared" si="4"/>
        <v>5182.0711713469464</v>
      </c>
      <c r="H10" s="71">
        <f t="shared" si="4"/>
        <v>5575.9415156238483</v>
      </c>
      <c r="I10" s="71">
        <f t="shared" si="4"/>
        <v>5840.4176334740823</v>
      </c>
      <c r="J10" s="71">
        <f t="shared" si="4"/>
        <v>6072.6584793853062</v>
      </c>
      <c r="K10" s="71">
        <f t="shared" si="4"/>
        <v>5808.1269304245852</v>
      </c>
      <c r="L10" s="71">
        <f t="shared" si="4"/>
        <v>5595.9669062582298</v>
      </c>
      <c r="M10" s="71">
        <f t="shared" si="4"/>
        <v>5819.4129278564751</v>
      </c>
      <c r="N10" s="71">
        <f t="shared" si="4"/>
        <v>5733.8088791836781</v>
      </c>
      <c r="O10" s="71">
        <f t="shared" si="4"/>
        <v>4816.3802170797635</v>
      </c>
      <c r="P10" s="71">
        <f t="shared" si="4"/>
        <v>5106.4302216647138</v>
      </c>
      <c r="Q10" s="71">
        <f t="shared" si="4"/>
        <v>4869.8599463932687</v>
      </c>
      <c r="R10" s="71">
        <f t="shared" si="4"/>
        <v>4840.3429454725374</v>
      </c>
      <c r="S10" s="71">
        <f t="shared" si="4"/>
        <v>4355.8392385481548</v>
      </c>
      <c r="T10" s="71">
        <f t="shared" si="4"/>
        <v>4540.4142082543931</v>
      </c>
      <c r="U10" s="71">
        <f t="shared" si="4"/>
        <v>4631.8797517087787</v>
      </c>
      <c r="V10" s="71">
        <f t="shared" si="4"/>
        <v>4282.444647790544</v>
      </c>
      <c r="W10" s="71">
        <f t="shared" si="4"/>
        <v>4811.6533055553855</v>
      </c>
      <c r="X10" s="71">
        <f t="shared" ref="X10:Y10" si="5">SUM(X11:X15)</f>
        <v>5476.4846025109127</v>
      </c>
      <c r="Y10" s="71">
        <f t="shared" si="5"/>
        <v>5245.337765694253</v>
      </c>
      <c r="DA10" s="186" t="s">
        <v>977</v>
      </c>
    </row>
    <row r="11" spans="1:105" ht="11.45" customHeight="1" x14ac:dyDescent="0.25">
      <c r="A11" s="72" t="s">
        <v>144</v>
      </c>
      <c r="B11" s="73">
        <v>252.20796920319259</v>
      </c>
      <c r="C11" s="73">
        <v>266.5818855374132</v>
      </c>
      <c r="D11" s="73">
        <v>257.15839323372381</v>
      </c>
      <c r="E11" s="73">
        <v>252.53088463263938</v>
      </c>
      <c r="F11" s="73">
        <v>245.87947672778256</v>
      </c>
      <c r="G11" s="73">
        <v>268.94410247812084</v>
      </c>
      <c r="H11" s="73">
        <v>308.67384122333959</v>
      </c>
      <c r="I11" s="73">
        <v>347.53217654133522</v>
      </c>
      <c r="J11" s="73">
        <v>449.01930899963668</v>
      </c>
      <c r="K11" s="73">
        <v>400.46480710584228</v>
      </c>
      <c r="L11" s="73">
        <v>417.92295498203623</v>
      </c>
      <c r="M11" s="73">
        <v>389.39399787887174</v>
      </c>
      <c r="N11" s="73">
        <v>351.81349654334008</v>
      </c>
      <c r="O11" s="73">
        <v>347.33845227497653</v>
      </c>
      <c r="P11" s="73">
        <v>344.14204263783677</v>
      </c>
      <c r="Q11" s="73">
        <v>449.11430508636414</v>
      </c>
      <c r="R11" s="73">
        <v>414.54976671008512</v>
      </c>
      <c r="S11" s="73">
        <v>345.50419205485127</v>
      </c>
      <c r="T11" s="73">
        <v>336.77068544424856</v>
      </c>
      <c r="U11" s="73">
        <v>422.56201014484259</v>
      </c>
      <c r="V11" s="73">
        <v>717.96341521592001</v>
      </c>
      <c r="W11" s="73">
        <v>759.78813864139192</v>
      </c>
      <c r="X11" s="73">
        <v>767.91592349122539</v>
      </c>
      <c r="Y11" s="73">
        <v>463.14766382949904</v>
      </c>
      <c r="DA11" s="187" t="s">
        <v>978</v>
      </c>
    </row>
    <row r="12" spans="1:105" ht="11.45" customHeight="1" x14ac:dyDescent="0.25">
      <c r="A12" s="72" t="s">
        <v>145</v>
      </c>
      <c r="B12" s="73">
        <v>3564.780720481353</v>
      </c>
      <c r="C12" s="73">
        <v>4052.1110274428056</v>
      </c>
      <c r="D12" s="73">
        <v>4182.632033412111</v>
      </c>
      <c r="E12" s="73">
        <v>4284.0398883626649</v>
      </c>
      <c r="F12" s="73">
        <v>4424.930605911497</v>
      </c>
      <c r="G12" s="73">
        <v>4913.1270688688255</v>
      </c>
      <c r="H12" s="73">
        <v>5267.2676744005084</v>
      </c>
      <c r="I12" s="73">
        <v>5492.8854569327468</v>
      </c>
      <c r="J12" s="73">
        <v>5623.6391703856698</v>
      </c>
      <c r="K12" s="73">
        <v>5407.6621233187434</v>
      </c>
      <c r="L12" s="73">
        <v>5178.0439512761932</v>
      </c>
      <c r="M12" s="73">
        <v>5430.018929977603</v>
      </c>
      <c r="N12" s="73">
        <v>5381.995382640338</v>
      </c>
      <c r="O12" s="73">
        <v>4469.0417648047869</v>
      </c>
      <c r="P12" s="73">
        <v>4762.2881790268775</v>
      </c>
      <c r="Q12" s="73">
        <v>4417.698266216722</v>
      </c>
      <c r="R12" s="73">
        <v>4425.793178762452</v>
      </c>
      <c r="S12" s="73">
        <v>4009.8445817445272</v>
      </c>
      <c r="T12" s="73">
        <v>4202.472774142394</v>
      </c>
      <c r="U12" s="73">
        <v>4186.3568430295963</v>
      </c>
      <c r="V12" s="73">
        <v>3550.2879695548186</v>
      </c>
      <c r="W12" s="73">
        <v>3988.2524726024635</v>
      </c>
      <c r="X12" s="73">
        <v>4698.7993673112669</v>
      </c>
      <c r="Y12" s="73">
        <v>4711.2040972607965</v>
      </c>
      <c r="DA12" s="187" t="s">
        <v>979</v>
      </c>
    </row>
    <row r="13" spans="1:105" ht="11.45" customHeight="1" x14ac:dyDescent="0.25">
      <c r="A13" s="72" t="s">
        <v>146</v>
      </c>
      <c r="B13" s="73">
        <v>0</v>
      </c>
      <c r="C13" s="73">
        <v>0</v>
      </c>
      <c r="D13" s="73">
        <v>0</v>
      </c>
      <c r="E13" s="73">
        <v>0</v>
      </c>
      <c r="F13" s="73">
        <v>0</v>
      </c>
      <c r="G13" s="73">
        <v>0</v>
      </c>
      <c r="H13" s="73">
        <v>0</v>
      </c>
      <c r="I13" s="73">
        <v>0</v>
      </c>
      <c r="J13" s="73">
        <v>0</v>
      </c>
      <c r="K13" s="73">
        <v>0</v>
      </c>
      <c r="L13" s="73">
        <v>0</v>
      </c>
      <c r="M13" s="73">
        <v>0</v>
      </c>
      <c r="N13" s="73">
        <v>0</v>
      </c>
      <c r="O13" s="73">
        <v>0</v>
      </c>
      <c r="P13" s="73">
        <v>0</v>
      </c>
      <c r="Q13" s="73">
        <v>0</v>
      </c>
      <c r="R13" s="73">
        <v>0</v>
      </c>
      <c r="S13" s="73">
        <v>0</v>
      </c>
      <c r="T13" s="73">
        <v>0</v>
      </c>
      <c r="U13" s="73">
        <v>0</v>
      </c>
      <c r="V13" s="73">
        <v>0</v>
      </c>
      <c r="W13" s="73">
        <v>0</v>
      </c>
      <c r="X13" s="73">
        <v>0</v>
      </c>
      <c r="Y13" s="73">
        <v>0</v>
      </c>
      <c r="DA13" s="187" t="s">
        <v>980</v>
      </c>
    </row>
    <row r="14" spans="1:105" ht="11.45" customHeight="1" x14ac:dyDescent="0.25">
      <c r="A14" s="72" t="s">
        <v>55</v>
      </c>
      <c r="B14" s="73">
        <v>0</v>
      </c>
      <c r="C14" s="73">
        <v>0</v>
      </c>
      <c r="D14" s="73">
        <v>0</v>
      </c>
      <c r="E14" s="73">
        <v>0</v>
      </c>
      <c r="F14" s="73">
        <v>0</v>
      </c>
      <c r="G14" s="73">
        <v>0</v>
      </c>
      <c r="H14" s="73">
        <v>0</v>
      </c>
      <c r="I14" s="73">
        <v>0</v>
      </c>
      <c r="J14" s="73">
        <v>0</v>
      </c>
      <c r="K14" s="73">
        <v>0</v>
      </c>
      <c r="L14" s="73">
        <v>0</v>
      </c>
      <c r="M14" s="73">
        <v>0</v>
      </c>
      <c r="N14" s="73">
        <v>0</v>
      </c>
      <c r="O14" s="73">
        <v>0</v>
      </c>
      <c r="P14" s="73">
        <v>0</v>
      </c>
      <c r="Q14" s="73">
        <v>3.0473750901830452</v>
      </c>
      <c r="R14" s="73">
        <v>0</v>
      </c>
      <c r="S14" s="73">
        <v>0.49033293697628461</v>
      </c>
      <c r="T14" s="73">
        <v>1.1704256611850845</v>
      </c>
      <c r="U14" s="73">
        <v>22.954997893176685</v>
      </c>
      <c r="V14" s="73">
        <v>14.189010527626436</v>
      </c>
      <c r="W14" s="73">
        <v>63.595549638659172</v>
      </c>
      <c r="X14" s="73">
        <v>9.7652889433067642</v>
      </c>
      <c r="Y14" s="73">
        <v>70.933157229426953</v>
      </c>
      <c r="DA14" s="187" t="s">
        <v>981</v>
      </c>
    </row>
    <row r="15" spans="1:105" ht="11.45" customHeight="1" x14ac:dyDescent="0.25">
      <c r="A15" s="74" t="s">
        <v>147</v>
      </c>
      <c r="B15" s="75">
        <v>0</v>
      </c>
      <c r="C15" s="75">
        <v>0</v>
      </c>
      <c r="D15" s="75">
        <v>0</v>
      </c>
      <c r="E15" s="75">
        <v>0</v>
      </c>
      <c r="F15" s="75">
        <v>0</v>
      </c>
      <c r="G15" s="75">
        <v>0</v>
      </c>
      <c r="H15" s="75">
        <v>0</v>
      </c>
      <c r="I15" s="75">
        <v>0</v>
      </c>
      <c r="J15" s="75">
        <v>0</v>
      </c>
      <c r="K15" s="75">
        <v>0</v>
      </c>
      <c r="L15" s="75">
        <v>0</v>
      </c>
      <c r="M15" s="75">
        <v>0</v>
      </c>
      <c r="N15" s="75">
        <v>0</v>
      </c>
      <c r="O15" s="75">
        <v>0</v>
      </c>
      <c r="P15" s="75">
        <v>0</v>
      </c>
      <c r="Q15" s="75">
        <v>0</v>
      </c>
      <c r="R15" s="75">
        <v>0</v>
      </c>
      <c r="S15" s="75">
        <v>1.3181180051442614E-4</v>
      </c>
      <c r="T15" s="75">
        <v>3.2300656630168407E-4</v>
      </c>
      <c r="U15" s="75">
        <v>5.900641164182382E-3</v>
      </c>
      <c r="V15" s="75">
        <v>4.2524921793848309E-3</v>
      </c>
      <c r="W15" s="75">
        <v>1.7144672869868038E-2</v>
      </c>
      <c r="X15" s="75">
        <v>4.0227651133869537E-3</v>
      </c>
      <c r="Y15" s="75">
        <v>5.2847374530784294E-2</v>
      </c>
      <c r="DA15" s="188" t="s">
        <v>982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DA16" s="181"/>
    </row>
    <row r="17" spans="1:105" ht="11.45" customHeight="1" x14ac:dyDescent="0.25">
      <c r="A17" s="68" t="s">
        <v>36</v>
      </c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X17" s="69"/>
      <c r="Y17" s="69"/>
      <c r="DA17" s="179"/>
    </row>
    <row r="18" spans="1:105" ht="11.45" customHeight="1" x14ac:dyDescent="0.25">
      <c r="A18" s="50"/>
      <c r="B18" s="50"/>
      <c r="C18" s="50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DA18" s="181"/>
    </row>
    <row r="19" spans="1:105" ht="11.45" customHeight="1" x14ac:dyDescent="0.25">
      <c r="A19" s="53" t="s">
        <v>62</v>
      </c>
      <c r="B19" s="62">
        <f>IF(B3=0,0,B3/MBunk_act!B7*100)</f>
        <v>16652.073742006127</v>
      </c>
      <c r="C19" s="62">
        <f>IF(C3=0,0,C3/MBunk_act!C7*100)</f>
        <v>16759.4634996557</v>
      </c>
      <c r="D19" s="62">
        <f>IF(D3=0,0,D3/MBunk_act!D7*100)</f>
        <v>16839.673687821003</v>
      </c>
      <c r="E19" s="62">
        <f>IF(E3=0,0,E3/MBunk_act!E7*100)</f>
        <v>15924.576363180297</v>
      </c>
      <c r="F19" s="62">
        <f>IF(F3=0,0,F3/MBunk_act!F7*100)</f>
        <v>14976.863504677243</v>
      </c>
      <c r="G19" s="62">
        <f>IF(G3=0,0,G3/MBunk_act!G7*100)</f>
        <v>15346.765614714988</v>
      </c>
      <c r="H19" s="62">
        <f>IF(H3=0,0,H3/MBunk_act!H7*100)</f>
        <v>15940.377300947099</v>
      </c>
      <c r="I19" s="62">
        <f>IF(I3=0,0,I3/MBunk_act!I7*100)</f>
        <v>15724.587784465799</v>
      </c>
      <c r="J19" s="62">
        <f>IF(J3=0,0,J3/MBunk_act!J7*100)</f>
        <v>17787.135637602914</v>
      </c>
      <c r="K19" s="62">
        <f>IF(K3=0,0,K3/MBunk_act!K7*100)</f>
        <v>20332.55797747766</v>
      </c>
      <c r="L19" s="62">
        <f>IF(L3=0,0,L3/MBunk_act!L7*100)</f>
        <v>19972.032448286238</v>
      </c>
      <c r="M19" s="62">
        <f>IF(M3=0,0,M3/MBunk_act!M7*100)</f>
        <v>19648.842410111389</v>
      </c>
      <c r="N19" s="62">
        <f>IF(N3=0,0,N3/MBunk_act!N7*100)</f>
        <v>19564.088343496693</v>
      </c>
      <c r="O19" s="62">
        <f>IF(O3=0,0,O3/MBunk_act!O7*100)</f>
        <v>18005.973849751954</v>
      </c>
      <c r="P19" s="62">
        <f>IF(P3=0,0,P3/MBunk_act!P7*100)</f>
        <v>18750.756309242508</v>
      </c>
      <c r="Q19" s="62">
        <f>IF(Q3=0,0,Q3/MBunk_act!Q7*100)</f>
        <v>19620.296750577101</v>
      </c>
      <c r="R19" s="62">
        <f>IF(R3=0,0,R3/MBunk_act!R7*100)</f>
        <v>19679.510593821204</v>
      </c>
      <c r="S19" s="62">
        <f>IF(S3=0,0,S3/MBunk_act!S7*100)</f>
        <v>17154.733379960671</v>
      </c>
      <c r="T19" s="62">
        <f>IF(T3=0,0,T3/MBunk_act!T7*100)</f>
        <v>16333.414105576572</v>
      </c>
      <c r="U19" s="62">
        <f>IF(U3=0,0,U3/MBunk_act!U7*100)</f>
        <v>15069.457540855894</v>
      </c>
      <c r="V19" s="62">
        <f>IF(V3=0,0,V3/MBunk_act!V7*100)</f>
        <v>14781.566303955071</v>
      </c>
      <c r="W19" s="62">
        <f>IF(W3=0,0,W3/MBunk_act!W7*100)</f>
        <v>16087.361617504373</v>
      </c>
      <c r="X19" s="62">
        <f>IF(X3=0,0,X3/MBunk_act!X7*100)</f>
        <v>16992.057072212505</v>
      </c>
      <c r="Y19" s="62">
        <f>IF(Y3=0,0,Y3/MBunk_act!Y7*100)</f>
        <v>17112.218920067666</v>
      </c>
      <c r="DA19" s="172" t="s">
        <v>983</v>
      </c>
    </row>
    <row r="20" spans="1:105" ht="11.45" customHeight="1" x14ac:dyDescent="0.25">
      <c r="A20" s="55" t="s">
        <v>166</v>
      </c>
      <c r="B20" s="63">
        <f>IF(B4=0,0,B4/MBunk_act!B8*100)</f>
        <v>16501.399362876688</v>
      </c>
      <c r="C20" s="63">
        <f>IF(C4=0,0,C4/MBunk_act!C8*100)</f>
        <v>16665.599013229614</v>
      </c>
      <c r="D20" s="63">
        <f>IF(D4=0,0,D4/MBunk_act!D8*100)</f>
        <v>17003.347496662125</v>
      </c>
      <c r="E20" s="63">
        <f>IF(E4=0,0,E4/MBunk_act!E8*100)</f>
        <v>16358.638724201244</v>
      </c>
      <c r="F20" s="63">
        <f>IF(F4=0,0,F4/MBunk_act!F8*100)</f>
        <v>15389.805359921544</v>
      </c>
      <c r="G20" s="63">
        <f>IF(G4=0,0,G4/MBunk_act!G8*100)</f>
        <v>15696.336020113307</v>
      </c>
      <c r="H20" s="63">
        <f>IF(H4=0,0,H4/MBunk_act!H8*100)</f>
        <v>16218.81083304001</v>
      </c>
      <c r="I20" s="63">
        <f>IF(I4=0,0,I4/MBunk_act!I8*100)</f>
        <v>16337.769770441377</v>
      </c>
      <c r="J20" s="63">
        <f>IF(J4=0,0,J4/MBunk_act!J8*100)</f>
        <v>18449.00045017611</v>
      </c>
      <c r="K20" s="63">
        <f>IF(K4=0,0,K4/MBunk_act!K8*100)</f>
        <v>21116.81130369112</v>
      </c>
      <c r="L20" s="63">
        <f>IF(L4=0,0,L4/MBunk_act!L8*100)</f>
        <v>19890.270553923965</v>
      </c>
      <c r="M20" s="63">
        <f>IF(M4=0,0,M4/MBunk_act!M8*100)</f>
        <v>18204.439322393882</v>
      </c>
      <c r="N20" s="63">
        <f>IF(N4=0,0,N4/MBunk_act!N8*100)</f>
        <v>17740.86272992046</v>
      </c>
      <c r="O20" s="63">
        <f>IF(O4=0,0,O4/MBunk_act!O8*100)</f>
        <v>16234.220461684621</v>
      </c>
      <c r="P20" s="63">
        <f>IF(P4=0,0,P4/MBunk_act!P8*100)</f>
        <v>16690.740019214762</v>
      </c>
      <c r="Q20" s="63">
        <f>IF(Q4=0,0,Q4/MBunk_act!Q8*100)</f>
        <v>17572.078671704501</v>
      </c>
      <c r="R20" s="63">
        <f>IF(R4=0,0,R4/MBunk_act!R8*100)</f>
        <v>17738.129970137619</v>
      </c>
      <c r="S20" s="63">
        <f>IF(S4=0,0,S4/MBunk_act!S8*100)</f>
        <v>15456.667090660261</v>
      </c>
      <c r="T20" s="63">
        <f>IF(T4=0,0,T4/MBunk_act!T8*100)</f>
        <v>14230.230424412321</v>
      </c>
      <c r="U20" s="63">
        <f>IF(U4=0,0,U4/MBunk_act!U8*100)</f>
        <v>13075.917357858885</v>
      </c>
      <c r="V20" s="63">
        <f>IF(V4=0,0,V4/MBunk_act!V8*100)</f>
        <v>12011.236364117771</v>
      </c>
      <c r="W20" s="63">
        <f>IF(W4=0,0,W4/MBunk_act!W8*100)</f>
        <v>12747.334900197344</v>
      </c>
      <c r="X20" s="63">
        <f>IF(X4=0,0,X4/MBunk_act!X8*100)</f>
        <v>15007.26816144337</v>
      </c>
      <c r="Y20" s="63">
        <f>IF(Y4=0,0,Y4/MBunk_act!Y8*100)</f>
        <v>15376.710539771642</v>
      </c>
      <c r="DA20" s="181" t="s">
        <v>984</v>
      </c>
    </row>
    <row r="21" spans="1:105" ht="11.45" customHeight="1" x14ac:dyDescent="0.25">
      <c r="A21" s="57" t="s">
        <v>167</v>
      </c>
      <c r="B21" s="64">
        <f>IF(B10=0,0,B10/MBunk_act!B9*100)</f>
        <v>16740.154964580437</v>
      </c>
      <c r="C21" s="64">
        <f>IF(C10=0,0,C10/MBunk_act!C9*100)</f>
        <v>16812.387289259292</v>
      </c>
      <c r="D21" s="64">
        <f>IF(D10=0,0,D10/MBunk_act!D9*100)</f>
        <v>16751.399521535695</v>
      </c>
      <c r="E21" s="64">
        <f>IF(E10=0,0,E10/MBunk_act!E9*100)</f>
        <v>15698.661456061112</v>
      </c>
      <c r="F21" s="64">
        <f>IF(F10=0,0,F10/MBunk_act!F9*100)</f>
        <v>14761.028423922871</v>
      </c>
      <c r="G21" s="64">
        <f>IF(G10=0,0,G10/MBunk_act!G9*100)</f>
        <v>15168.456750286043</v>
      </c>
      <c r="H21" s="64">
        <f>IF(H10=0,0,H10/MBunk_act!H9*100)</f>
        <v>15809.348809108755</v>
      </c>
      <c r="I21" s="64">
        <f>IF(I10=0,0,I10/MBunk_act!I9*100)</f>
        <v>15464.006387962752</v>
      </c>
      <c r="J21" s="64">
        <f>IF(J10=0,0,J10/MBunk_act!J9*100)</f>
        <v>17506.563829789346</v>
      </c>
      <c r="K21" s="64">
        <f>IF(K10=0,0,K10/MBunk_act!K9*100)</f>
        <v>19959.749852975616</v>
      </c>
      <c r="L21" s="64">
        <f>IF(L10=0,0,L10/MBunk_act!L9*100)</f>
        <v>20013.534272855217</v>
      </c>
      <c r="M21" s="64">
        <f>IF(M10=0,0,M10/MBunk_act!M9*100)</f>
        <v>20424.228498212473</v>
      </c>
      <c r="N21" s="64">
        <f>IF(N10=0,0,N10/MBunk_act!N9*100)</f>
        <v>20545.45993689416</v>
      </c>
      <c r="O21" s="64">
        <f>IF(O10=0,0,O10/MBunk_act!O9*100)</f>
        <v>19046.17370423684</v>
      </c>
      <c r="P21" s="64">
        <f>IF(P10=0,0,P10/MBunk_act!P9*100)</f>
        <v>20062.456408456979</v>
      </c>
      <c r="Q21" s="64">
        <f>IF(Q10=0,0,Q10/MBunk_act!Q9*100)</f>
        <v>20932.32392096685</v>
      </c>
      <c r="R21" s="64">
        <f>IF(R10=0,0,R10/MBunk_act!R9*100)</f>
        <v>20950.343911768152</v>
      </c>
      <c r="S21" s="64">
        <f>IF(S10=0,0,S10/MBunk_act!S9*100)</f>
        <v>18223.800963931379</v>
      </c>
      <c r="T21" s="64">
        <f>IF(T10=0,0,T10/MBunk_act!T9*100)</f>
        <v>17756.682310366912</v>
      </c>
      <c r="U21" s="64">
        <f>IF(U10=0,0,U10/MBunk_act!U9*100)</f>
        <v>16452.263405404236</v>
      </c>
      <c r="V21" s="64">
        <f>IF(V10=0,0,V10/MBunk_act!V9*100)</f>
        <v>16661.830417415837</v>
      </c>
      <c r="W21" s="64">
        <f>IF(W10=0,0,W10/MBunk_act!W9*100)</f>
        <v>18636.275930934473</v>
      </c>
      <c r="X21" s="64">
        <f>IF(X10=0,0,X10/MBunk_act!X9*100)</f>
        <v>18394.728994349167</v>
      </c>
      <c r="Y21" s="64">
        <f>IF(Y10=0,0,Y10/MBunk_act!Y9*100)</f>
        <v>18336.699502781466</v>
      </c>
      <c r="DA21" s="182" t="s">
        <v>985</v>
      </c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DA22" s="181"/>
    </row>
    <row r="23" spans="1:105" ht="11.45" customHeight="1" x14ac:dyDescent="0.25">
      <c r="A23" s="53" t="s">
        <v>63</v>
      </c>
      <c r="B23" s="62">
        <f>IF(B3=0,0,B3/MBunk_act!B3*1000)</f>
        <v>9.8546899235685999</v>
      </c>
      <c r="C23" s="62">
        <f>IF(C3=0,0,C3/MBunk_act!C3*1000)</f>
        <v>9.1771535994290758</v>
      </c>
      <c r="D23" s="62">
        <f>IF(D3=0,0,D3/MBunk_act!D3*1000)</f>
        <v>8.8559939852178857</v>
      </c>
      <c r="E23" s="62">
        <f>IF(E3=0,0,E3/MBunk_act!E3*1000)</f>
        <v>8.5255407471055058</v>
      </c>
      <c r="F23" s="62">
        <f>IF(F3=0,0,F3/MBunk_act!F3*1000)</f>
        <v>7.8381908577947499</v>
      </c>
      <c r="G23" s="62">
        <f>IF(G3=0,0,G3/MBunk_act!G3*1000)</f>
        <v>7.7725241886444136</v>
      </c>
      <c r="H23" s="62">
        <f>IF(H3=0,0,H3/MBunk_act!H3*1000)</f>
        <v>7.5494962559315999</v>
      </c>
      <c r="I23" s="62">
        <f>IF(I3=0,0,I3/MBunk_act!I3*1000)</f>
        <v>7.1178989127606425</v>
      </c>
      <c r="J23" s="62">
        <f>IF(J3=0,0,J3/MBunk_act!J3*1000)</f>
        <v>7.7300037552347867</v>
      </c>
      <c r="K23" s="62">
        <f>IF(K3=0,0,K3/MBunk_act!K3*1000)</f>
        <v>9.3590646593318993</v>
      </c>
      <c r="L23" s="62">
        <f>IF(L3=0,0,L3/MBunk_act!L3*1000)</f>
        <v>8.7894050727367006</v>
      </c>
      <c r="M23" s="62">
        <f>IF(M3=0,0,M3/MBunk_act!M3*1000)</f>
        <v>8.0918917212622414</v>
      </c>
      <c r="N23" s="62">
        <f>IF(N3=0,0,N3/MBunk_act!N3*1000)</f>
        <v>7.5713201811185051</v>
      </c>
      <c r="O23" s="62">
        <f>IF(O3=0,0,O3/MBunk_act!O3*1000)</f>
        <v>7.0897187781326583</v>
      </c>
      <c r="P23" s="62">
        <f>IF(P3=0,0,P3/MBunk_act!P3*1000)</f>
        <v>7.492680760493835</v>
      </c>
      <c r="Q23" s="62">
        <f>IF(Q3=0,0,Q3/MBunk_act!Q3*1000)</f>
        <v>7.5477523258714703</v>
      </c>
      <c r="R23" s="62">
        <f>IF(R3=0,0,R3/MBunk_act!R3*1000)</f>
        <v>7.5556163044598321</v>
      </c>
      <c r="S23" s="62">
        <f>IF(S3=0,0,S3/MBunk_act!S3*1000)</f>
        <v>6.364234854234323</v>
      </c>
      <c r="T23" s="62">
        <f>IF(T3=0,0,T3/MBunk_act!T3*1000)</f>
        <v>6.2172064650243914</v>
      </c>
      <c r="U23" s="62">
        <f>IF(U3=0,0,U3/MBunk_act!U3*1000)</f>
        <v>5.8123937728840671</v>
      </c>
      <c r="V23" s="62">
        <f>IF(V3=0,0,V3/MBunk_act!V3*1000)</f>
        <v>5.5927958854391235</v>
      </c>
      <c r="W23" s="62">
        <f>IF(W3=0,0,W3/MBunk_act!W3*1000)</f>
        <v>6.18907950923876</v>
      </c>
      <c r="X23" s="62">
        <f>IF(X3=0,0,X3/MBunk_act!X3*1000)</f>
        <v>6.8563233940493697</v>
      </c>
      <c r="Y23" s="62">
        <f>IF(Y3=0,0,Y3/MBunk_act!Y3*1000)</f>
        <v>6.7344644402316582</v>
      </c>
      <c r="DA23" s="172" t="s">
        <v>432</v>
      </c>
    </row>
    <row r="24" spans="1:105" ht="11.45" customHeight="1" x14ac:dyDescent="0.25">
      <c r="A24" s="55" t="s">
        <v>166</v>
      </c>
      <c r="B24" s="63">
        <f>IF(B4=0,0,B4/MBunk_act!B4*1000)</f>
        <v>27.071223219368342</v>
      </c>
      <c r="C24" s="63">
        <f>IF(C4=0,0,C4/MBunk_act!C4*1000)</f>
        <v>25.926288454727587</v>
      </c>
      <c r="D24" s="63">
        <f>IF(D4=0,0,D4/MBunk_act!D4*1000)</f>
        <v>25.168970561293893</v>
      </c>
      <c r="E24" s="63">
        <f>IF(E4=0,0,E4/MBunk_act!E4*1000)</f>
        <v>24.181662398933405</v>
      </c>
      <c r="F24" s="63">
        <f>IF(F4=0,0,F4/MBunk_act!F4*1000)</f>
        <v>22.364609125038726</v>
      </c>
      <c r="G24" s="63">
        <f>IF(G4=0,0,G4/MBunk_act!G4*1000)</f>
        <v>22.744063017289108</v>
      </c>
      <c r="H24" s="63">
        <f>IF(H4=0,0,H4/MBunk_act!H4*1000)</f>
        <v>23.09092813930625</v>
      </c>
      <c r="I24" s="63">
        <f>IF(I4=0,0,I4/MBunk_act!I4*1000)</f>
        <v>22.616934540138281</v>
      </c>
      <c r="J24" s="63">
        <f>IF(J4=0,0,J4/MBunk_act!J4*1000)</f>
        <v>24.777617697804047</v>
      </c>
      <c r="K24" s="63">
        <f>IF(K4=0,0,K4/MBunk_act!K4*1000)</f>
        <v>28.432153237291821</v>
      </c>
      <c r="L24" s="63">
        <f>IF(L4=0,0,L4/MBunk_act!L4*1000)</f>
        <v>27.05249193192353</v>
      </c>
      <c r="M24" s="63">
        <f>IF(M4=0,0,M4/MBunk_act!M4*1000)</f>
        <v>26.109268399050286</v>
      </c>
      <c r="N24" s="63">
        <f>IF(N4=0,0,N4/MBunk_act!N4*1000)</f>
        <v>25.030323102206523</v>
      </c>
      <c r="O24" s="63">
        <f>IF(O4=0,0,O4/MBunk_act!O4*1000)</f>
        <v>22.627687524595103</v>
      </c>
      <c r="P24" s="63">
        <f>IF(P4=0,0,P4/MBunk_act!P4*1000)</f>
        <v>23.274379513585099</v>
      </c>
      <c r="Q24" s="63">
        <f>IF(Q4=0,0,Q4/MBunk_act!Q4*1000)</f>
        <v>23.182450452406197</v>
      </c>
      <c r="R24" s="63">
        <f>IF(R4=0,0,R4/MBunk_act!R4*1000)</f>
        <v>22.690360037080005</v>
      </c>
      <c r="S24" s="63">
        <f>IF(S4=0,0,S4/MBunk_act!S4*1000)</f>
        <v>19.596801400833449</v>
      </c>
      <c r="T24" s="63">
        <f>IF(T4=0,0,T4/MBunk_act!T4*1000)</f>
        <v>19.218692947164875</v>
      </c>
      <c r="U24" s="63">
        <f>IF(U4=0,0,U4/MBunk_act!U4*1000)</f>
        <v>17.978977338306812</v>
      </c>
      <c r="V24" s="63">
        <f>IF(V4=0,0,V4/MBunk_act!V4*1000)</f>
        <v>14.827898200483224</v>
      </c>
      <c r="W24" s="63">
        <f>IF(W4=0,0,W4/MBunk_act!W4*1000)</f>
        <v>16.553623140523534</v>
      </c>
      <c r="X24" s="63">
        <f>IF(X4=0,0,X4/MBunk_act!X4*1000)</f>
        <v>19.744450869131523</v>
      </c>
      <c r="Y24" s="63">
        <f>IF(Y4=0,0,Y4/MBunk_act!Y4*1000)</f>
        <v>19.239001252296628</v>
      </c>
      <c r="DA24" s="181" t="s">
        <v>433</v>
      </c>
    </row>
    <row r="25" spans="1:105" ht="11.45" customHeight="1" x14ac:dyDescent="0.25">
      <c r="A25" s="57" t="s">
        <v>167</v>
      </c>
      <c r="B25" s="64">
        <f>IF(B10=0,0,B10/MBunk_act!B5*1000)</f>
        <v>7.211765928385458</v>
      </c>
      <c r="C25" s="64">
        <f>IF(C10=0,0,C10/MBunk_act!C5*1000)</f>
        <v>6.7425948323439107</v>
      </c>
      <c r="D25" s="64">
        <f>IF(D10=0,0,D10/MBunk_act!D5*1000)</f>
        <v>6.5366673575113223</v>
      </c>
      <c r="E25" s="64">
        <f>IF(E10=0,0,E10/MBunk_act!E5*1000)</f>
        <v>6.3099057975576986</v>
      </c>
      <c r="F25" s="64">
        <f>IF(F10=0,0,F10/MBunk_act!F5*1000)</f>
        <v>5.7891114692619094</v>
      </c>
      <c r="G25" s="64">
        <f>IF(G10=0,0,G10/MBunk_act!G5*1000)</f>
        <v>5.7683167932066626</v>
      </c>
      <c r="H25" s="64">
        <f>IF(H10=0,0,H10/MBunk_act!H5*1000)</f>
        <v>5.6980048950321338</v>
      </c>
      <c r="I25" s="64">
        <f>IF(I10=0,0,I10/MBunk_act!I5*1000)</f>
        <v>5.4431608979478119</v>
      </c>
      <c r="J25" s="64">
        <f>IF(J10=0,0,J10/MBunk_act!J5*1000)</f>
        <v>5.9126710594884564</v>
      </c>
      <c r="K25" s="64">
        <f>IF(K10=0,0,K10/MBunk_act!K5*1000)</f>
        <v>6.9980830236654983</v>
      </c>
      <c r="L25" s="64">
        <f>IF(L10=0,0,L10/MBunk_act!L5*1000)</f>
        <v>6.5564928662300241</v>
      </c>
      <c r="M25" s="64">
        <f>IF(M10=0,0,M10/MBunk_act!M5*1000)</f>
        <v>6.0832803027994302</v>
      </c>
      <c r="N25" s="64">
        <f>IF(N10=0,0,N10/MBunk_act!N5*1000)</f>
        <v>5.717682160954122</v>
      </c>
      <c r="O25" s="64">
        <f>IF(O10=0,0,O10/MBunk_act!O5*1000)</f>
        <v>5.2765403307333978</v>
      </c>
      <c r="P25" s="64">
        <f>IF(P10=0,0,P10/MBunk_act!P5*1000)</f>
        <v>5.5125845784672158</v>
      </c>
      <c r="Q25" s="64">
        <f>IF(Q10=0,0,Q10/MBunk_act!Q5*1000)</f>
        <v>5.5389746830845503</v>
      </c>
      <c r="R25" s="64">
        <f>IF(R10=0,0,R10/MBunk_act!R5*1000)</f>
        <v>5.5163289761081842</v>
      </c>
      <c r="S25" s="64">
        <f>IF(S10=0,0,S10/MBunk_act!S5*1000)</f>
        <v>4.6776333508041219</v>
      </c>
      <c r="T25" s="64">
        <f>IF(T10=0,0,T10/MBunk_act!T5*1000)</f>
        <v>4.548452034490948</v>
      </c>
      <c r="U25" s="64">
        <f>IF(U10=0,0,U10/MBunk_act!U5*1000)</f>
        <v>4.2331476830763322</v>
      </c>
      <c r="V25" s="64">
        <f>IF(V10=0,0,V10/MBunk_act!V5*1000)</f>
        <v>4.2865559037775416</v>
      </c>
      <c r="W25" s="64">
        <f>IF(W10=0,0,W10/MBunk_act!W5*1000)</f>
        <v>4.6645590033674305</v>
      </c>
      <c r="X25" s="64">
        <f>IF(X10=0,0,X10/MBunk_act!X5*1000)</f>
        <v>4.9815170567538711</v>
      </c>
      <c r="Y25" s="64">
        <f>IF(Y10=0,0,Y10/MBunk_act!Y5*1000)</f>
        <v>4.8640104044058257</v>
      </c>
      <c r="DA25" s="182" t="s">
        <v>434</v>
      </c>
    </row>
    <row r="26" spans="1:105" ht="11.45" customHeight="1" x14ac:dyDescent="0.25">
      <c r="A26" s="50"/>
      <c r="B26" s="50"/>
      <c r="C26" s="50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DA26" s="181"/>
    </row>
    <row r="27" spans="1:105" ht="11.45" customHeight="1" x14ac:dyDescent="0.25">
      <c r="A27" s="53" t="s">
        <v>40</v>
      </c>
      <c r="B27" s="76">
        <f>IF(B3=0,0,B3/B$3)</f>
        <v>1</v>
      </c>
      <c r="C27" s="76">
        <f t="shared" ref="C27:W28" si="6">IF(C3=0,0,C3/C$3)</f>
        <v>1</v>
      </c>
      <c r="D27" s="76">
        <f t="shared" si="6"/>
        <v>1</v>
      </c>
      <c r="E27" s="76">
        <f t="shared" si="6"/>
        <v>1</v>
      </c>
      <c r="F27" s="76">
        <f t="shared" si="6"/>
        <v>1</v>
      </c>
      <c r="G27" s="76">
        <f t="shared" si="6"/>
        <v>1</v>
      </c>
      <c r="H27" s="76">
        <f t="shared" si="6"/>
        <v>1</v>
      </c>
      <c r="I27" s="76">
        <f t="shared" si="6"/>
        <v>1</v>
      </c>
      <c r="J27" s="76">
        <f t="shared" si="6"/>
        <v>1</v>
      </c>
      <c r="K27" s="76">
        <f t="shared" si="6"/>
        <v>1</v>
      </c>
      <c r="L27" s="76">
        <f t="shared" si="6"/>
        <v>1</v>
      </c>
      <c r="M27" s="76">
        <f t="shared" si="6"/>
        <v>1</v>
      </c>
      <c r="N27" s="76">
        <f t="shared" si="6"/>
        <v>1</v>
      </c>
      <c r="O27" s="76">
        <f t="shared" si="6"/>
        <v>1</v>
      </c>
      <c r="P27" s="76">
        <f t="shared" si="6"/>
        <v>1</v>
      </c>
      <c r="Q27" s="76">
        <f t="shared" si="6"/>
        <v>1</v>
      </c>
      <c r="R27" s="76">
        <f t="shared" si="6"/>
        <v>1</v>
      </c>
      <c r="S27" s="76">
        <f t="shared" si="6"/>
        <v>1</v>
      </c>
      <c r="T27" s="76">
        <f t="shared" si="6"/>
        <v>1</v>
      </c>
      <c r="U27" s="76">
        <f t="shared" si="6"/>
        <v>1</v>
      </c>
      <c r="V27" s="76">
        <f t="shared" si="6"/>
        <v>1</v>
      </c>
      <c r="W27" s="76">
        <f t="shared" si="6"/>
        <v>1</v>
      </c>
      <c r="X27" s="76">
        <f t="shared" ref="X27:Y27" si="7">IF(X3=0,0,X3/X$3)</f>
        <v>1</v>
      </c>
      <c r="Y27" s="76">
        <f t="shared" si="7"/>
        <v>1</v>
      </c>
      <c r="DA27" s="183"/>
    </row>
    <row r="28" spans="1:105" ht="11.45" customHeight="1" x14ac:dyDescent="0.25">
      <c r="A28" s="55" t="s">
        <v>166</v>
      </c>
      <c r="B28" s="77">
        <f>IF(B4=0,0,B4/B$3)</f>
        <v>0.36557981933242839</v>
      </c>
      <c r="C28" s="77">
        <f t="shared" si="6"/>
        <v>0.35852577275938641</v>
      </c>
      <c r="D28" s="77">
        <f t="shared" si="6"/>
        <v>0.35377204419792679</v>
      </c>
      <c r="E28" s="77">
        <f t="shared" si="6"/>
        <v>0.35163750126316373</v>
      </c>
      <c r="F28" s="77">
        <f t="shared" si="6"/>
        <v>0.35272617307714155</v>
      </c>
      <c r="G28" s="77">
        <f t="shared" si="6"/>
        <v>0.34547748856134314</v>
      </c>
      <c r="H28" s="77">
        <f t="shared" si="6"/>
        <v>0.32559110017297532</v>
      </c>
      <c r="I28" s="77">
        <f t="shared" si="6"/>
        <v>0.30985825386742222</v>
      </c>
      <c r="J28" s="77">
        <f t="shared" si="6"/>
        <v>0.30878678223274558</v>
      </c>
      <c r="K28" s="77">
        <f t="shared" si="6"/>
        <v>0.33463030049811698</v>
      </c>
      <c r="L28" s="77">
        <f t="shared" si="6"/>
        <v>0.33531296923228771</v>
      </c>
      <c r="M28" s="77">
        <f t="shared" si="6"/>
        <v>0.32362839060421139</v>
      </c>
      <c r="N28" s="77">
        <f t="shared" si="6"/>
        <v>0.31730586964407348</v>
      </c>
      <c r="O28" s="77">
        <f t="shared" si="6"/>
        <v>0.33352125637366309</v>
      </c>
      <c r="P28" s="77">
        <f t="shared" si="6"/>
        <v>0.34629029255090377</v>
      </c>
      <c r="Q28" s="77">
        <f t="shared" si="6"/>
        <v>0.34969499809484905</v>
      </c>
      <c r="R28" s="77">
        <f t="shared" si="6"/>
        <v>0.35659698634656334</v>
      </c>
      <c r="S28" s="77">
        <f t="shared" si="6"/>
        <v>0.34810228248295166</v>
      </c>
      <c r="T28" s="77">
        <f t="shared" si="6"/>
        <v>0.35162823781197045</v>
      </c>
      <c r="U28" s="77">
        <f t="shared" si="6"/>
        <v>0.35537658429840868</v>
      </c>
      <c r="V28" s="77">
        <f t="shared" si="6"/>
        <v>0.32853200401763111</v>
      </c>
      <c r="W28" s="77">
        <f t="shared" si="6"/>
        <v>0.34296721136143332</v>
      </c>
      <c r="X28" s="77">
        <f t="shared" ref="X28:Y28" si="8">IF(X4=0,0,X4/X$3)</f>
        <v>0.3657105643046682</v>
      </c>
      <c r="Y28" s="77">
        <f t="shared" si="8"/>
        <v>0.37172256253607922</v>
      </c>
      <c r="DA28" s="184"/>
    </row>
    <row r="29" spans="1:105" ht="11.45" customHeight="1" x14ac:dyDescent="0.25">
      <c r="A29" s="57" t="s">
        <v>167</v>
      </c>
      <c r="B29" s="78">
        <f>IF(B10=0,0,B10/B$3)</f>
        <v>0.63442018066757166</v>
      </c>
      <c r="C29" s="78">
        <f t="shared" ref="C29:W29" si="9">IF(C10=0,0,C10/C$3)</f>
        <v>0.64147422724061365</v>
      </c>
      <c r="D29" s="78">
        <f t="shared" si="9"/>
        <v>0.64622795580207315</v>
      </c>
      <c r="E29" s="78">
        <f t="shared" si="9"/>
        <v>0.64836249873683627</v>
      </c>
      <c r="F29" s="78">
        <f t="shared" si="9"/>
        <v>0.6472738269228584</v>
      </c>
      <c r="G29" s="78">
        <f t="shared" si="9"/>
        <v>0.65452251143865692</v>
      </c>
      <c r="H29" s="78">
        <f t="shared" si="9"/>
        <v>0.67440889982702457</v>
      </c>
      <c r="I29" s="78">
        <f t="shared" si="9"/>
        <v>0.69014174613257784</v>
      </c>
      <c r="J29" s="78">
        <f t="shared" si="9"/>
        <v>0.69121321776725431</v>
      </c>
      <c r="K29" s="78">
        <f t="shared" si="9"/>
        <v>0.66536969950188307</v>
      </c>
      <c r="L29" s="78">
        <f t="shared" si="9"/>
        <v>0.66468703076771218</v>
      </c>
      <c r="M29" s="78">
        <f t="shared" si="9"/>
        <v>0.67637160939578855</v>
      </c>
      <c r="N29" s="78">
        <f t="shared" si="9"/>
        <v>0.68269413035592652</v>
      </c>
      <c r="O29" s="78">
        <f t="shared" si="9"/>
        <v>0.66647874362633697</v>
      </c>
      <c r="P29" s="78">
        <f t="shared" si="9"/>
        <v>0.65370970744909629</v>
      </c>
      <c r="Q29" s="78">
        <f t="shared" si="9"/>
        <v>0.65030500190515095</v>
      </c>
      <c r="R29" s="78">
        <f t="shared" si="9"/>
        <v>0.64340301365343666</v>
      </c>
      <c r="S29" s="78">
        <f t="shared" si="9"/>
        <v>0.65189771751704839</v>
      </c>
      <c r="T29" s="78">
        <f t="shared" si="9"/>
        <v>0.64837176218802961</v>
      </c>
      <c r="U29" s="78">
        <f t="shared" si="9"/>
        <v>0.64462341570159132</v>
      </c>
      <c r="V29" s="78">
        <f t="shared" si="9"/>
        <v>0.67146799598236884</v>
      </c>
      <c r="W29" s="78">
        <f t="shared" si="9"/>
        <v>0.65703278863856673</v>
      </c>
      <c r="X29" s="78">
        <f t="shared" ref="X29:Y29" si="10">IF(X10=0,0,X10/X$3)</f>
        <v>0.6342894356953318</v>
      </c>
      <c r="Y29" s="78">
        <f t="shared" si="10"/>
        <v>0.62827743746392084</v>
      </c>
      <c r="DA29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A23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45" customHeight="1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986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DA2" s="181"/>
    </row>
    <row r="3" spans="1:105" ht="11.45" customHeight="1" x14ac:dyDescent="0.25">
      <c r="A3" s="53" t="s">
        <v>44</v>
      </c>
      <c r="B3" s="62">
        <f t="shared" ref="B3" si="0">SUM(B4:B5)</f>
        <v>19355.958993240001</v>
      </c>
      <c r="C3" s="62">
        <f t="shared" ref="C3:W3" si="1">SUM(C4:C5)</f>
        <v>21670.667130599999</v>
      </c>
      <c r="D3" s="62">
        <f t="shared" si="1"/>
        <v>22127.662020960001</v>
      </c>
      <c r="E3" s="62">
        <f t="shared" si="1"/>
        <v>22540.610042999993</v>
      </c>
      <c r="F3" s="62">
        <f t="shared" si="1"/>
        <v>23251.343281560003</v>
      </c>
      <c r="G3" s="62">
        <f t="shared" si="1"/>
        <v>25516.058633640001</v>
      </c>
      <c r="H3" s="62">
        <f t="shared" si="1"/>
        <v>26642.252313000005</v>
      </c>
      <c r="I3" s="62">
        <f t="shared" si="1"/>
        <v>27262.353237120002</v>
      </c>
      <c r="J3" s="62">
        <f t="shared" si="1"/>
        <v>28263.568353479994</v>
      </c>
      <c r="K3" s="62">
        <f t="shared" si="1"/>
        <v>28086.262648560001</v>
      </c>
      <c r="L3" s="62">
        <f t="shared" si="1"/>
        <v>27071.02772568</v>
      </c>
      <c r="M3" s="62">
        <f t="shared" si="1"/>
        <v>27693.119880000006</v>
      </c>
      <c r="N3" s="62">
        <f t="shared" si="1"/>
        <v>27049.564682639997</v>
      </c>
      <c r="O3" s="62">
        <f t="shared" si="1"/>
        <v>23243.894281439992</v>
      </c>
      <c r="P3" s="62">
        <f t="shared" si="1"/>
        <v>25133.020709399992</v>
      </c>
      <c r="Q3" s="62">
        <f t="shared" si="1"/>
        <v>24027.628148279997</v>
      </c>
      <c r="R3" s="62">
        <f t="shared" si="1"/>
        <v>24157.654594920001</v>
      </c>
      <c r="S3" s="62">
        <f t="shared" si="1"/>
        <v>21471.848164720599</v>
      </c>
      <c r="T3" s="62">
        <f t="shared" si="1"/>
        <v>22514.293651194792</v>
      </c>
      <c r="U3" s="62">
        <f t="shared" si="1"/>
        <v>23026.925115292652</v>
      </c>
      <c r="V3" s="62">
        <f t="shared" si="1"/>
        <v>20299.072692943941</v>
      </c>
      <c r="W3" s="62">
        <f t="shared" si="1"/>
        <v>23257.12802001656</v>
      </c>
      <c r="X3" s="62">
        <f t="shared" ref="X3:Y3" si="2">SUM(X4:X5)</f>
        <v>27545.067139687471</v>
      </c>
      <c r="Y3" s="62">
        <f t="shared" si="2"/>
        <v>26694.176601406256</v>
      </c>
      <c r="DA3" s="172" t="s">
        <v>987</v>
      </c>
    </row>
    <row r="4" spans="1:105" ht="11.45" customHeight="1" x14ac:dyDescent="0.25">
      <c r="A4" s="55" t="s">
        <v>166</v>
      </c>
      <c r="B4" s="63">
        <v>7024.2258816912545</v>
      </c>
      <c r="C4" s="63">
        <v>7715.8090382581458</v>
      </c>
      <c r="D4" s="63">
        <v>7776.8509914194547</v>
      </c>
      <c r="E4" s="63">
        <v>7874.950721523267</v>
      </c>
      <c r="F4" s="63">
        <v>8150.6789729767124</v>
      </c>
      <c r="G4" s="63">
        <v>8761.456115309471</v>
      </c>
      <c r="H4" s="63">
        <v>8617.0460591963219</v>
      </c>
      <c r="I4" s="63">
        <v>8385.7443614262593</v>
      </c>
      <c r="J4" s="63">
        <v>8648.1744984915167</v>
      </c>
      <c r="K4" s="63">
        <v>9321.3419877832457</v>
      </c>
      <c r="L4" s="63">
        <v>8996.0568333962583</v>
      </c>
      <c r="M4" s="63">
        <v>8890.1089526463984</v>
      </c>
      <c r="N4" s="63">
        <v>8518.7662306671664</v>
      </c>
      <c r="O4" s="63">
        <v>7685.4819372447155</v>
      </c>
      <c r="P4" s="63">
        <v>8633.7209810555123</v>
      </c>
      <c r="Q4" s="63">
        <v>8311.2110418946177</v>
      </c>
      <c r="R4" s="63">
        <v>8529.3965833708153</v>
      </c>
      <c r="S4" s="63">
        <v>7404.5627861458406</v>
      </c>
      <c r="T4" s="63">
        <v>7848.2781853336537</v>
      </c>
      <c r="U4" s="63">
        <v>8095.8065564412473</v>
      </c>
      <c r="V4" s="63">
        <v>6533.3188724199708</v>
      </c>
      <c r="W4" s="63">
        <v>7826.3101583100661</v>
      </c>
      <c r="X4" s="63">
        <v>9912.8833920588731</v>
      </c>
      <c r="Y4" s="63">
        <v>9823.642301762975</v>
      </c>
      <c r="DA4" s="181" t="s">
        <v>988</v>
      </c>
    </row>
    <row r="5" spans="1:105" ht="11.45" customHeight="1" x14ac:dyDescent="0.25">
      <c r="A5" s="57" t="s">
        <v>167</v>
      </c>
      <c r="B5" s="64">
        <v>12331.733111548747</v>
      </c>
      <c r="C5" s="64">
        <v>13954.858092341852</v>
      </c>
      <c r="D5" s="64">
        <v>14350.811029540548</v>
      </c>
      <c r="E5" s="64">
        <v>14665.659321476727</v>
      </c>
      <c r="F5" s="64">
        <v>15100.664308583291</v>
      </c>
      <c r="G5" s="64">
        <v>16754.602518330528</v>
      </c>
      <c r="H5" s="64">
        <v>18025.206253803684</v>
      </c>
      <c r="I5" s="64">
        <v>18876.608875693742</v>
      </c>
      <c r="J5" s="64">
        <v>19615.393854988477</v>
      </c>
      <c r="K5" s="64">
        <v>18764.920660776756</v>
      </c>
      <c r="L5" s="64">
        <v>18074.970892283742</v>
      </c>
      <c r="M5" s="64">
        <v>18803.010927353607</v>
      </c>
      <c r="N5" s="64">
        <v>18530.798451972831</v>
      </c>
      <c r="O5" s="64">
        <v>15558.412344195276</v>
      </c>
      <c r="P5" s="64">
        <v>16499.299728344482</v>
      </c>
      <c r="Q5" s="64">
        <v>15716.417106385381</v>
      </c>
      <c r="R5" s="64">
        <v>15628.258011549186</v>
      </c>
      <c r="S5" s="64">
        <v>14067.285378574759</v>
      </c>
      <c r="T5" s="64">
        <v>14666.015465861137</v>
      </c>
      <c r="U5" s="64">
        <v>14931.118558851404</v>
      </c>
      <c r="V5" s="64">
        <v>13765.753820523969</v>
      </c>
      <c r="W5" s="64">
        <v>15430.817861706495</v>
      </c>
      <c r="X5" s="64">
        <v>17632.183747628598</v>
      </c>
      <c r="Y5" s="64">
        <v>16870.534299643281</v>
      </c>
      <c r="DA5" s="182" t="s">
        <v>989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DA6" s="181"/>
    </row>
    <row r="7" spans="1:105" ht="11.45" customHeight="1" x14ac:dyDescent="0.25">
      <c r="A7" s="68" t="s">
        <v>36</v>
      </c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X7" s="69"/>
      <c r="Y7" s="69"/>
      <c r="DA7" s="179"/>
    </row>
    <row r="8" spans="1:105" ht="11.45" customHeight="1" x14ac:dyDescent="0.25">
      <c r="A8" s="50"/>
      <c r="B8" s="50"/>
      <c r="C8" s="50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DA8" s="181"/>
    </row>
    <row r="9" spans="1:105" ht="11.45" customHeight="1" x14ac:dyDescent="0.25">
      <c r="A9" s="53" t="s">
        <v>148</v>
      </c>
      <c r="B9" s="79">
        <f>IF(B3=0,0,B3/MBunk_ene!B3)</f>
        <v>3.2171462898676526</v>
      </c>
      <c r="C9" s="79">
        <f>IF(C3=0,0,C3/MBunk_ene!C3)</f>
        <v>3.2188383688057494</v>
      </c>
      <c r="D9" s="79">
        <f>IF(D3=0,0,D3/MBunk_ene!D3)</f>
        <v>3.2207632388826797</v>
      </c>
      <c r="E9" s="79">
        <f>IF(E3=0,0,E3/MBunk_ene!E3)</f>
        <v>3.2214831382169264</v>
      </c>
      <c r="F9" s="79">
        <f>IF(F3=0,0,F3/MBunk_ene!F3)</f>
        <v>3.2221361349910249</v>
      </c>
      <c r="G9" s="79">
        <f>IF(G3=0,0,G3/MBunk_ene!G3)</f>
        <v>3.2228107694177277</v>
      </c>
      <c r="H9" s="79">
        <f>IF(H3=0,0,H3/MBunk_ene!H3)</f>
        <v>3.2223745570104065</v>
      </c>
      <c r="I9" s="79">
        <f>IF(I3=0,0,I3/MBunk_ene!I3)</f>
        <v>3.2214970311219657</v>
      </c>
      <c r="J9" s="79">
        <f>IF(J3=0,0,J3/MBunk_ene!J3)</f>
        <v>3.2170674661702954</v>
      </c>
      <c r="K9" s="79">
        <f>IF(K3=0,0,K3/MBunk_ene!K3)</f>
        <v>3.2175171724832157</v>
      </c>
      <c r="L9" s="79">
        <f>IF(L3=0,0,L3/MBunk_ene!L3)</f>
        <v>3.215487393016816</v>
      </c>
      <c r="M9" s="79">
        <f>IF(M3=0,0,M3/MBunk_ene!M3)</f>
        <v>3.2186820723384266</v>
      </c>
      <c r="N9" s="79">
        <f>IF(N3=0,0,N3/MBunk_ene!N3)</f>
        <v>3.2206478148518931</v>
      </c>
      <c r="O9" s="79">
        <f>IF(O3=0,0,O3/MBunk_ene!O3)</f>
        <v>3.2164324159337792</v>
      </c>
      <c r="P9" s="79">
        <f>IF(P3=0,0,P3/MBunk_ene!P3)</f>
        <v>3.2174530742726586</v>
      </c>
      <c r="Q9" s="79">
        <f>IF(Q3=0,0,Q3/MBunk_ene!Q3)</f>
        <v>3.2085700493945279</v>
      </c>
      <c r="R9" s="79">
        <f>IF(R3=0,0,R3/MBunk_ene!R3)</f>
        <v>3.2111583712696885</v>
      </c>
      <c r="S9" s="79">
        <f>IF(S3=0,0,S3/MBunk_ene!S3)</f>
        <v>3.2134906829388576</v>
      </c>
      <c r="T9" s="79">
        <f>IF(T3=0,0,T3/MBunk_ene!T3)</f>
        <v>3.2150441742750466</v>
      </c>
      <c r="U9" s="79">
        <f>IF(U3=0,0,U3/MBunk_ene!U3)</f>
        <v>3.2046805868499972</v>
      </c>
      <c r="V9" s="79">
        <f>IF(V3=0,0,V3/MBunk_ene!V3)</f>
        <v>3.1828029974570153</v>
      </c>
      <c r="W9" s="79">
        <f>IF(W3=0,0,W3/MBunk_ene!W3)</f>
        <v>3.1757682252528485</v>
      </c>
      <c r="X9" s="79">
        <f>IF(X3=0,0,X3/MBunk_ene!X3)</f>
        <v>3.1902847100513836</v>
      </c>
      <c r="Y9" s="79">
        <f>IF(Y3=0,0,Y3/MBunk_ene!Y3)</f>
        <v>3.1973820599370089</v>
      </c>
      <c r="DA9" s="172"/>
    </row>
    <row r="10" spans="1:105" ht="11.45" customHeight="1" x14ac:dyDescent="0.25">
      <c r="A10" s="55" t="s">
        <v>166</v>
      </c>
      <c r="B10" s="80">
        <f>IF(B4=0,0,B4/MBunk_ene!B4)</f>
        <v>3.1935400815256361</v>
      </c>
      <c r="C10" s="80">
        <f>IF(C4=0,0,C4/MBunk_ene!C4)</f>
        <v>3.1965976678479171</v>
      </c>
      <c r="D10" s="80">
        <f>IF(D4=0,0,D4/MBunk_ene!D4)</f>
        <v>3.1996578325789042</v>
      </c>
      <c r="E10" s="80">
        <f>IF(E4=0,0,E4/MBunk_ene!E4)</f>
        <v>3.2006844238017491</v>
      </c>
      <c r="F10" s="80">
        <f>IF(F4=0,0,F4/MBunk_ene!F4)</f>
        <v>3.2022257014358542</v>
      </c>
      <c r="G10" s="80">
        <f>IF(G4=0,0,G4/MBunk_ene!G4)</f>
        <v>3.2031534978021785</v>
      </c>
      <c r="H10" s="80">
        <f>IF(H4=0,0,H4/MBunk_ene!H4)</f>
        <v>3.2010390483496152</v>
      </c>
      <c r="I10" s="80">
        <f>IF(I4=0,0,I4/MBunk_ene!I4)</f>
        <v>3.1979593900943462</v>
      </c>
      <c r="J10" s="80">
        <f>IF(J4=0,0,J4/MBunk_ene!J4)</f>
        <v>3.1878576408763197</v>
      </c>
      <c r="K10" s="80">
        <f>IF(K4=0,0,K4/MBunk_ene!K4)</f>
        <v>3.1910976872471402</v>
      </c>
      <c r="L10" s="80">
        <f>IF(L4=0,0,L4/MBunk_ene!L4)</f>
        <v>3.1867200042165265</v>
      </c>
      <c r="M10" s="80">
        <f>IF(M4=0,0,M4/MBunk_ene!M4)</f>
        <v>3.1927628783592579</v>
      </c>
      <c r="N10" s="80">
        <f>IF(N4=0,0,N4/MBunk_ene!N4)</f>
        <v>3.1965503590974342</v>
      </c>
      <c r="O10" s="80">
        <f>IF(O4=0,0,O4/MBunk_ene!O4)</f>
        <v>3.1886960734265886</v>
      </c>
      <c r="P10" s="80">
        <f>IF(P4=0,0,P4/MBunk_ene!P4)</f>
        <v>3.1917232298362075</v>
      </c>
      <c r="Q10" s="80">
        <f>IF(Q4=0,0,Q4/MBunk_ene!Q4)</f>
        <v>3.1737704550027646</v>
      </c>
      <c r="R10" s="80">
        <f>IF(R4=0,0,R4/MBunk_ene!R4)</f>
        <v>3.1794177679435536</v>
      </c>
      <c r="S10" s="80">
        <f>IF(S4=0,0,S4/MBunk_ene!S4)</f>
        <v>3.1834656396502754</v>
      </c>
      <c r="T10" s="80">
        <f>IF(T4=0,0,T4/MBunk_ene!T4)</f>
        <v>3.187272989974224</v>
      </c>
      <c r="U10" s="80">
        <f>IF(U4=0,0,U4/MBunk_ene!U4)</f>
        <v>3.1704442040827781</v>
      </c>
      <c r="V10" s="80">
        <f>IF(V4=0,0,V4/MBunk_ene!V4)</f>
        <v>3.1180977946454229</v>
      </c>
      <c r="W10" s="80">
        <f>IF(W4=0,0,W4/MBunk_ene!W4)</f>
        <v>3.115997987350946</v>
      </c>
      <c r="X10" s="80">
        <f>IF(X4=0,0,X4/MBunk_ene!X4)</f>
        <v>3.1394104434571499</v>
      </c>
      <c r="Y10" s="80">
        <f>IF(Y4=0,0,Y4/MBunk_ene!Y4)</f>
        <v>3.1654220460323224</v>
      </c>
      <c r="DA10" s="181"/>
    </row>
    <row r="11" spans="1:105" ht="11.45" customHeight="1" x14ac:dyDescent="0.25">
      <c r="A11" s="57" t="s">
        <v>167</v>
      </c>
      <c r="B11" s="81">
        <f>IF(B5=0,0,B5/MBunk_ene!B10)</f>
        <v>3.2307491884572235</v>
      </c>
      <c r="C11" s="81">
        <f>IF(C5=0,0,C5/MBunk_ene!C10)</f>
        <v>3.2312688986057041</v>
      </c>
      <c r="D11" s="81">
        <f>IF(D5=0,0,D5/MBunk_ene!D10)</f>
        <v>3.2323172155633197</v>
      </c>
      <c r="E11" s="81">
        <f>IF(E5=0,0,E5/MBunk_ene!E10)</f>
        <v>3.2327632600325589</v>
      </c>
      <c r="F11" s="81">
        <f>IF(F5=0,0,F5/MBunk_ene!F10)</f>
        <v>3.2329861504560551</v>
      </c>
      <c r="G11" s="81">
        <f>IF(G5=0,0,G5/MBunk_ene!G10)</f>
        <v>3.2331864932637733</v>
      </c>
      <c r="H11" s="81">
        <f>IF(H5=0,0,H5/MBunk_ene!H10)</f>
        <v>3.2326749129805004</v>
      </c>
      <c r="I11" s="81">
        <f>IF(I5=0,0,I5/MBunk_ene!I10)</f>
        <v>3.2320649070544776</v>
      </c>
      <c r="J11" s="81">
        <f>IF(J5=0,0,J5/MBunk_ene!J10)</f>
        <v>3.2301164179702084</v>
      </c>
      <c r="K11" s="81">
        <f>IF(K5=0,0,K5/MBunk_ene!K10)</f>
        <v>3.2308041620924088</v>
      </c>
      <c r="L11" s="81">
        <f>IF(L5=0,0,L5/MBunk_ene!L10)</f>
        <v>3.2299996041916654</v>
      </c>
      <c r="M11" s="81">
        <f>IF(M5=0,0,M5/MBunk_ene!M10)</f>
        <v>3.2310838155764823</v>
      </c>
      <c r="N11" s="81">
        <f>IF(N5=0,0,N5/MBunk_ene!N10)</f>
        <v>3.231847946527834</v>
      </c>
      <c r="O11" s="81">
        <f>IF(O5=0,0,O5/MBunk_ene!O10)</f>
        <v>3.2303123181642315</v>
      </c>
      <c r="P11" s="81">
        <f>IF(P5=0,0,P5/MBunk_ene!P10)</f>
        <v>3.2310829703192643</v>
      </c>
      <c r="Q11" s="81">
        <f>IF(Q5=0,0,Q5/MBunk_ene!Q10)</f>
        <v>3.2272831825533963</v>
      </c>
      <c r="R11" s="81">
        <f>IF(R5=0,0,R5/MBunk_ene!R10)</f>
        <v>3.2287501500626585</v>
      </c>
      <c r="S11" s="81">
        <f>IF(S5=0,0,S5/MBunk_ene!S10)</f>
        <v>3.2295235448734165</v>
      </c>
      <c r="T11" s="81">
        <f>IF(T5=0,0,T5/MBunk_ene!T10)</f>
        <v>3.2301051827383014</v>
      </c>
      <c r="U11" s="81">
        <f>IF(U5=0,0,U5/MBunk_ene!U10)</f>
        <v>3.2235548760399193</v>
      </c>
      <c r="V11" s="81">
        <f>IF(V5=0,0,V5/MBunk_ene!V10)</f>
        <v>3.2144615874080662</v>
      </c>
      <c r="W11" s="81">
        <f>IF(W5=0,0,W5/MBunk_ene!W10)</f>
        <v>3.2069679342629596</v>
      </c>
      <c r="X11" s="81">
        <f>IF(X5=0,0,X5/MBunk_ene!X10)</f>
        <v>3.2196171499403872</v>
      </c>
      <c r="Y11" s="81">
        <f>IF(Y5=0,0,Y5/MBunk_ene!Y10)</f>
        <v>3.2162913149236179</v>
      </c>
      <c r="DA11" s="182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DA12" s="181"/>
    </row>
    <row r="13" spans="1:105" ht="11.45" customHeight="1" x14ac:dyDescent="0.25">
      <c r="A13" s="53" t="s">
        <v>49</v>
      </c>
      <c r="B13" s="62">
        <f>IF(B3=0,0,B3/MBunk_act!B7*100)</f>
        <v>53572.157257697574</v>
      </c>
      <c r="C13" s="62">
        <f>IF(C3=0,0,C3/MBunk_act!C7*100)</f>
        <v>53946.004153291244</v>
      </c>
      <c r="D13" s="62">
        <f>IF(D3=0,0,D3/MBunk_act!D7*100)</f>
        <v>54236.601968513809</v>
      </c>
      <c r="E13" s="62">
        <f>IF(E3=0,0,E3/MBunk_act!E7*100)</f>
        <v>51300.754237233152</v>
      </c>
      <c r="F13" s="62">
        <f>IF(F3=0,0,F3/MBunk_act!F7*100)</f>
        <v>48257.493087248869</v>
      </c>
      <c r="G13" s="62">
        <f>IF(G3=0,0,G3/MBunk_act!G7*100)</f>
        <v>49459.72149883314</v>
      </c>
      <c r="H13" s="62">
        <f>IF(H3=0,0,H3/MBunk_act!H7*100)</f>
        <v>51365.866243718156</v>
      </c>
      <c r="I13" s="62">
        <f>IF(I3=0,0,I3/MBunk_act!I7*100)</f>
        <v>50656.712863273307</v>
      </c>
      <c r="J13" s="62">
        <f>IF(J3=0,0,J3/MBunk_act!J7*100)</f>
        <v>57222.415376090568</v>
      </c>
      <c r="K13" s="62">
        <f>IF(K3=0,0,K3/MBunk_act!K7*100)</f>
        <v>65420.354453044965</v>
      </c>
      <c r="L13" s="62">
        <f>IF(L3=0,0,L3/MBunk_act!L7*100)</f>
        <v>64219.818550387165</v>
      </c>
      <c r="M13" s="62">
        <f>IF(M3=0,0,M3/MBunk_act!M7*100)</f>
        <v>63243.37680762849</v>
      </c>
      <c r="N13" s="62">
        <f>IF(N3=0,0,N3/MBunk_act!N7*100)</f>
        <v>63009.038373052019</v>
      </c>
      <c r="O13" s="62">
        <f>IF(O3=0,0,O3/MBunk_act!O7*100)</f>
        <v>57914.997970798126</v>
      </c>
      <c r="P13" s="62">
        <f>IF(P3=0,0,P3/MBunk_act!P7*100)</f>
        <v>60329.678532109756</v>
      </c>
      <c r="Q13" s="62">
        <f>IF(Q3=0,0,Q3/MBunk_act!Q7*100)</f>
        <v>62953.096514134464</v>
      </c>
      <c r="R13" s="62">
        <f>IF(R3=0,0,R3/MBunk_act!R7*100)</f>
        <v>63194.025185839477</v>
      </c>
      <c r="S13" s="62">
        <f>IF(S3=0,0,S3/MBunk_act!S7*100)</f>
        <v>55126.575884803846</v>
      </c>
      <c r="T13" s="62">
        <f>IF(T3=0,0,T3/MBunk_act!T7*100)</f>
        <v>52512.647866155829</v>
      </c>
      <c r="U13" s="62">
        <f>IF(U3=0,0,U3/MBunk_act!U7*100)</f>
        <v>48292.798035541186</v>
      </c>
      <c r="V13" s="62">
        <f>IF(V3=0,0,V3/MBunk_act!V7*100)</f>
        <v>47046.813539337811</v>
      </c>
      <c r="W13" s="62">
        <f>IF(W3=0,0,W3/MBunk_act!W7*100)</f>
        <v>51089.731853022662</v>
      </c>
      <c r="X13" s="62">
        <f>IF(X3=0,0,X3/MBunk_act!X7*100)</f>
        <v>54209.499869800042</v>
      </c>
      <c r="Y13" s="62">
        <f>IF(Y3=0,0,Y3/MBunk_act!Y7*100)</f>
        <v>54714.301780739013</v>
      </c>
      <c r="DA13" s="172" t="s">
        <v>990</v>
      </c>
    </row>
    <row r="14" spans="1:105" ht="11.45" customHeight="1" x14ac:dyDescent="0.25">
      <c r="A14" s="55" t="s">
        <v>166</v>
      </c>
      <c r="B14" s="63">
        <f>IF(B4=0,0,B4/MBunk_act!B8*100)</f>
        <v>52697.880266608299</v>
      </c>
      <c r="C14" s="63">
        <f>IF(C4=0,0,C4/MBunk_act!C8*100)</f>
        <v>53273.21493897833</v>
      </c>
      <c r="D14" s="63">
        <f>IF(D4=0,0,D4/MBunk_act!D8*100)</f>
        <v>54404.893997755869</v>
      </c>
      <c r="E14" s="63">
        <f>IF(E4=0,0,E4/MBunk_act!E8*100)</f>
        <v>52358.840159151041</v>
      </c>
      <c r="F14" s="63">
        <f>IF(F4=0,0,F4/MBunk_act!F8*100)</f>
        <v>49281.630263636034</v>
      </c>
      <c r="G14" s="63">
        <f>IF(G4=0,0,G4/MBunk_act!G8*100)</f>
        <v>50277.773625504262</v>
      </c>
      <c r="H14" s="63">
        <f>IF(H4=0,0,H4/MBunk_act!H8*100)</f>
        <v>51917.046794356815</v>
      </c>
      <c r="I14" s="63">
        <f>IF(I4=0,0,I4/MBunk_act!I8*100)</f>
        <v>52247.524250582559</v>
      </c>
      <c r="J14" s="63">
        <f>IF(J4=0,0,J4/MBunk_act!J8*100)</f>
        <v>58812.787051624568</v>
      </c>
      <c r="K14" s="63">
        <f>IF(K4=0,0,K4/MBunk_act!K8*100)</f>
        <v>67385.807713243004</v>
      </c>
      <c r="L14" s="63">
        <f>IF(L4=0,0,L4/MBunk_act!L8*100)</f>
        <v>63384.723063468438</v>
      </c>
      <c r="M14" s="63">
        <f>IF(M4=0,0,M4/MBunk_act!M8*100)</f>
        <v>58122.458089882755</v>
      </c>
      <c r="N14" s="63">
        <f>IF(N4=0,0,N4/MBunk_act!N8*100)</f>
        <v>56709.56113002554</v>
      </c>
      <c r="O14" s="63">
        <f>IF(O4=0,0,O4/MBunk_act!O8*100)</f>
        <v>51765.995041315327</v>
      </c>
      <c r="P14" s="63">
        <f>IF(P4=0,0,P4/MBunk_act!P8*100)</f>
        <v>53272.222642484587</v>
      </c>
      <c r="Q14" s="63">
        <f>IF(Q4=0,0,Q4/MBunk_act!Q8*100)</f>
        <v>55769.744121239964</v>
      </c>
      <c r="R14" s="63">
        <f>IF(R4=0,0,R4/MBunk_act!R8*100)</f>
        <v>56396.925597147609</v>
      </c>
      <c r="S14" s="63">
        <f>IF(S4=0,0,S4/MBunk_act!S8*100)</f>
        <v>49205.768586630125</v>
      </c>
      <c r="T14" s="63">
        <f>IF(T4=0,0,T4/MBunk_act!T8*100)</f>
        <v>45355.629072838827</v>
      </c>
      <c r="U14" s="63">
        <f>IF(U4=0,0,U4/MBunk_act!U8*100)</f>
        <v>41456.466400289093</v>
      </c>
      <c r="V14" s="63">
        <f>IF(V4=0,0,V4/MBunk_act!V8*100)</f>
        <v>37452.209617920525</v>
      </c>
      <c r="W14" s="63">
        <f>IF(W4=0,0,W4/MBunk_act!W8*100)</f>
        <v>39720.66989310339</v>
      </c>
      <c r="X14" s="63">
        <f>IF(X4=0,0,X4/MBunk_act!X8*100)</f>
        <v>47113.974393797289</v>
      </c>
      <c r="Y14" s="63">
        <f>IF(Y4=0,0,Y4/MBunk_act!Y8*100)</f>
        <v>48673.778538050719</v>
      </c>
      <c r="DA14" s="181" t="s">
        <v>991</v>
      </c>
    </row>
    <row r="15" spans="1:105" ht="11.45" customHeight="1" x14ac:dyDescent="0.25">
      <c r="A15" s="57" t="s">
        <v>167</v>
      </c>
      <c r="B15" s="64">
        <f>IF(B5=0,0,B5/MBunk_act!B9*100)</f>
        <v>54083.242066466417</v>
      </c>
      <c r="C15" s="64">
        <f>IF(C5=0,0,C5/MBunk_act!C9*100)</f>
        <v>54325.344159097418</v>
      </c>
      <c r="D15" s="64">
        <f>IF(D5=0,0,D5/MBunk_act!D9*100)</f>
        <v>54145.837058238991</v>
      </c>
      <c r="E15" s="64">
        <f>IF(E5=0,0,E5/MBunk_act!E9*100)</f>
        <v>50750.055986843596</v>
      </c>
      <c r="F15" s="64">
        <f>IF(F5=0,0,F5/MBunk_act!F9*100)</f>
        <v>47722.200461030814</v>
      </c>
      <c r="G15" s="64">
        <f>IF(G5=0,0,G5/MBunk_act!G9*100)</f>
        <v>49042.449488680541</v>
      </c>
      <c r="H15" s="64">
        <f>IF(H5=0,0,H5/MBunk_act!H9*100)</f>
        <v>51106.485285764022</v>
      </c>
      <c r="I15" s="64">
        <f>IF(I5=0,0,I5/MBunk_act!I9*100)</f>
        <v>49980.672369000684</v>
      </c>
      <c r="J15" s="64">
        <f>IF(J5=0,0,J5/MBunk_act!J9*100)</f>
        <v>56548.239248845974</v>
      </c>
      <c r="K15" s="64">
        <f>IF(K5=0,0,K5/MBunk_act!K9*100)</f>
        <v>64486.042899316963</v>
      </c>
      <c r="L15" s="64">
        <f>IF(L5=0,0,L5/MBunk_act!L9*100)</f>
        <v>64643.707779798686</v>
      </c>
      <c r="M15" s="64">
        <f>IF(M5=0,0,M5/MBunk_act!M9*100)</f>
        <v>65992.394146210281</v>
      </c>
      <c r="N15" s="64">
        <f>IF(N5=0,0,N5/MBunk_act!N9*100)</f>
        <v>66399.802507521279</v>
      </c>
      <c r="O15" s="64">
        <f>IF(O5=0,0,O5/MBunk_act!O9*100)</f>
        <v>61525.089530691948</v>
      </c>
      <c r="P15" s="64">
        <f>IF(P5=0,0,P5/MBunk_act!P9*100)</f>
        <v>64823.461244137921</v>
      </c>
      <c r="Q15" s="64">
        <f>IF(Q5=0,0,Q5/MBunk_act!Q9*100)</f>
        <v>67554.536961896491</v>
      </c>
      <c r="R15" s="64">
        <f>IF(R5=0,0,R5/MBunk_act!R9*100)</f>
        <v>67643.426048985726</v>
      </c>
      <c r="S15" s="64">
        <f>IF(S5=0,0,S5/MBunk_act!S9*100)</f>
        <v>58854.194290103245</v>
      </c>
      <c r="T15" s="64">
        <f>IF(T5=0,0,T5/MBunk_act!T9*100)</f>
        <v>57355.951558953675</v>
      </c>
      <c r="U15" s="64">
        <f>IF(U5=0,0,U5/MBunk_act!U9*100)</f>
        <v>53034.773922383953</v>
      </c>
      <c r="V15" s="64">
        <f>IF(V5=0,0,V5/MBunk_act!V9*100)</f>
        <v>53558.813852690517</v>
      </c>
      <c r="W15" s="64">
        <f>IF(W5=0,0,W5/MBunk_act!W9*100)</f>
        <v>59765.939324583436</v>
      </c>
      <c r="X15" s="64">
        <f>IF(X5=0,0,X5/MBunk_act!X9*100)</f>
        <v>59223.984938712274</v>
      </c>
      <c r="Y15" s="64">
        <f>IF(Y5=0,0,Y5/MBunk_act!Y9*100)</f>
        <v>58976.167355160258</v>
      </c>
      <c r="DA15" s="182" t="s">
        <v>992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DA16" s="181"/>
    </row>
    <row r="17" spans="1:105" ht="11.45" customHeight="1" x14ac:dyDescent="0.25">
      <c r="A17" s="53" t="s">
        <v>50</v>
      </c>
      <c r="B17" s="62">
        <f>IF(B3=0,0,B3/MBunk_act!B3*1000)</f>
        <v>31.70397912540486</v>
      </c>
      <c r="C17" s="62">
        <f>IF(C3=0,0,C3/MBunk_act!C3*1000)</f>
        <v>29.539774122266103</v>
      </c>
      <c r="D17" s="62">
        <f>IF(D3=0,0,D3/MBunk_act!D3*1000)</f>
        <v>28.523059871355894</v>
      </c>
      <c r="E17" s="62">
        <f>IF(E3=0,0,E3/MBunk_act!E3*1000)</f>
        <v>27.464885760981726</v>
      </c>
      <c r="F17" s="62">
        <f>IF(F3=0,0,F3/MBunk_act!F3*1000)</f>
        <v>25.255717995856763</v>
      </c>
      <c r="G17" s="62">
        <f>IF(G3=0,0,G3/MBunk_act!G3*1000)</f>
        <v>25.049374660723004</v>
      </c>
      <c r="H17" s="62">
        <f>IF(H3=0,0,H3/MBunk_act!H3*1000)</f>
        <v>24.327304653359313</v>
      </c>
      <c r="I17" s="62">
        <f>IF(I3=0,0,I3/MBunk_act!I3*1000)</f>
        <v>22.930290215284678</v>
      </c>
      <c r="J17" s="62">
        <f>IF(J3=0,0,J3/MBunk_act!J3*1000)</f>
        <v>24.867943594340044</v>
      </c>
      <c r="K17" s="62">
        <f>IF(K3=0,0,K3/MBunk_act!K3*1000)</f>
        <v>30.112951259781163</v>
      </c>
      <c r="L17" s="62">
        <f>IF(L3=0,0,L3/MBunk_act!L3*1000)</f>
        <v>28.262221203502911</v>
      </c>
      <c r="M17" s="62">
        <f>IF(M3=0,0,M3/MBunk_act!M3*1000)</f>
        <v>26.045226814530512</v>
      </c>
      <c r="N17" s="62">
        <f>IF(N3=0,0,N3/MBunk_act!N3*1000)</f>
        <v>24.384555796863356</v>
      </c>
      <c r="O17" s="62">
        <f>IF(O3=0,0,O3/MBunk_act!O3*1000)</f>
        <v>22.803601297840309</v>
      </c>
      <c r="P17" s="62">
        <f>IF(P3=0,0,P3/MBunk_act!P3*1000)</f>
        <v>24.107348747394489</v>
      </c>
      <c r="Q17" s="62">
        <f>IF(Q3=0,0,Q3/MBunk_act!Q3*1000)</f>
        <v>24.217492053039084</v>
      </c>
      <c r="R17" s="62">
        <f>IF(R3=0,0,R3/MBunk_act!R3*1000)</f>
        <v>24.262280546167933</v>
      </c>
      <c r="S17" s="62">
        <f>IF(S3=0,0,S3/MBunk_act!S3*1000)</f>
        <v>20.451409408116735</v>
      </c>
      <c r="T17" s="62">
        <f>IF(T3=0,0,T3/MBunk_act!T3*1000)</f>
        <v>19.988593425641827</v>
      </c>
      <c r="U17" s="62">
        <f>IF(U3=0,0,U3/MBunk_act!U3*1000)</f>
        <v>18.626865487089386</v>
      </c>
      <c r="V17" s="62">
        <f>IF(V3=0,0,V3/MBunk_act!V3*1000)</f>
        <v>17.800767508340904</v>
      </c>
      <c r="W17" s="62">
        <f>IF(W3=0,0,W3/MBunk_act!W3*1000)</f>
        <v>19.655082049003948</v>
      </c>
      <c r="X17" s="62">
        <f>IF(X3=0,0,X3/MBunk_act!X3*1000)</f>
        <v>21.87362369120331</v>
      </c>
      <c r="Y17" s="62">
        <f>IF(Y3=0,0,Y3/MBunk_act!Y3*1000)</f>
        <v>21.532655784480436</v>
      </c>
      <c r="DA17" s="172" t="s">
        <v>452</v>
      </c>
    </row>
    <row r="18" spans="1:105" ht="11.45" customHeight="1" x14ac:dyDescent="0.25">
      <c r="A18" s="55" t="s">
        <v>166</v>
      </c>
      <c r="B18" s="63">
        <f>IF(B4=0,0,B4/MBunk_act!B4*1000)</f>
        <v>86.45303640698026</v>
      </c>
      <c r="C18" s="63">
        <f>IF(C4=0,0,C4/MBunk_act!C4*1000)</f>
        <v>82.875913210334573</v>
      </c>
      <c r="D18" s="63">
        <f>IF(D4=0,0,D4/MBunk_act!D4*1000)</f>
        <v>80.532093794391855</v>
      </c>
      <c r="E18" s="63">
        <f>IF(E4=0,0,E4/MBunk_act!E4*1000)</f>
        <v>77.397870181898568</v>
      </c>
      <c r="F18" s="63">
        <f>IF(F4=0,0,F4/MBunk_act!F4*1000)</f>
        <v>71.616526142765835</v>
      </c>
      <c r="G18" s="63">
        <f>IF(G4=0,0,G4/MBunk_act!G4*1000)</f>
        <v>72.852725008062762</v>
      </c>
      <c r="H18" s="63">
        <f>IF(H4=0,0,H4/MBunk_act!H4*1000)</f>
        <v>73.914962636554222</v>
      </c>
      <c r="I18" s="63">
        <f>IF(I4=0,0,I4/MBunk_act!I4*1000)</f>
        <v>72.328038187784372</v>
      </c>
      <c r="J18" s="63">
        <f>IF(J4=0,0,J4/MBunk_act!J4*1000)</f>
        <v>78.98751790065694</v>
      </c>
      <c r="K18" s="63">
        <f>IF(K4=0,0,K4/MBunk_act!K4*1000)</f>
        <v>90.729778438978215</v>
      </c>
      <c r="L18" s="63">
        <f>IF(L4=0,0,L4/MBunk_act!L4*1000)</f>
        <v>86.208717203366902</v>
      </c>
      <c r="M18" s="63">
        <f>IF(M4=0,0,M4/MBunk_act!M4*1000)</f>
        <v>83.360702925606219</v>
      </c>
      <c r="N18" s="63">
        <f>IF(N4=0,0,N4/MBunk_act!N4*1000)</f>
        <v>80.010688300683071</v>
      </c>
      <c r="O18" s="63">
        <f>IF(O4=0,0,O4/MBunk_act!O4*1000)</f>
        <v>72.152818360400218</v>
      </c>
      <c r="P18" s="63">
        <f>IF(P4=0,0,P4/MBunk_act!P4*1000)</f>
        <v>74.285377753533481</v>
      </c>
      <c r="Q18" s="63">
        <f>IF(Q4=0,0,Q4/MBunk_act!Q4*1000)</f>
        <v>73.57577632041226</v>
      </c>
      <c r="R18" s="63">
        <f>IF(R4=0,0,R4/MBunk_act!R4*1000)</f>
        <v>72.142133862928517</v>
      </c>
      <c r="S18" s="63">
        <f>IF(S4=0,0,S4/MBunk_act!S4*1000)</f>
        <v>62.385743906603672</v>
      </c>
      <c r="T18" s="63">
        <f>IF(T4=0,0,T4/MBunk_act!T4*1000)</f>
        <v>61.255220933106727</v>
      </c>
      <c r="U18" s="63">
        <f>IF(U4=0,0,U4/MBunk_act!U4*1000)</f>
        <v>57.00134449757045</v>
      </c>
      <c r="V18" s="63">
        <f>IF(V4=0,0,V4/MBunk_act!V4*1000)</f>
        <v>46.234836678153577</v>
      </c>
      <c r="W18" s="63">
        <f>IF(W4=0,0,W4/MBunk_act!W4*1000)</f>
        <v>51.581056389237375</v>
      </c>
      <c r="X18" s="63">
        <f>IF(X4=0,0,X4/MBunk_act!X4*1000)</f>
        <v>61.985935258878115</v>
      </c>
      <c r="Y18" s="63">
        <f>IF(Y4=0,0,Y4/MBunk_act!Y4*1000)</f>
        <v>60.899558707663196</v>
      </c>
      <c r="DA18" s="181" t="s">
        <v>453</v>
      </c>
    </row>
    <row r="19" spans="1:105" ht="11.45" customHeight="1" x14ac:dyDescent="0.25">
      <c r="A19" s="57" t="s">
        <v>167</v>
      </c>
      <c r="B19" s="64">
        <f>IF(B5=0,0,B5/MBunk_act!B5*1000)</f>
        <v>23.299406920474773</v>
      </c>
      <c r="C19" s="64">
        <f>IF(C5=0,0,C5/MBunk_act!C5*1000)</f>
        <v>21.78713697765242</v>
      </c>
      <c r="D19" s="64">
        <f>IF(D5=0,0,D5/MBunk_act!D5*1000)</f>
        <v>21.128582432094642</v>
      </c>
      <c r="E19" s="64">
        <f>IF(E5=0,0,E5/MBunk_act!E5*1000)</f>
        <v>20.398431636610969</v>
      </c>
      <c r="F19" s="64">
        <f>IF(F5=0,0,F5/MBunk_act!F5*1000)</f>
        <v>18.716117203570054</v>
      </c>
      <c r="G19" s="64">
        <f>IF(G5=0,0,G5/MBunk_act!G5*1000)</f>
        <v>18.650043944662386</v>
      </c>
      <c r="H19" s="64">
        <f>IF(H5=0,0,H5/MBunk_act!H5*1000)</f>
        <v>18.419797478210469</v>
      </c>
      <c r="I19" s="64">
        <f>IF(I5=0,0,I5/MBunk_act!I5*1000)</f>
        <v>17.592649321708265</v>
      </c>
      <c r="J19" s="64">
        <f>IF(J5=0,0,J5/MBunk_act!J5*1000)</f>
        <v>19.098615863310968</v>
      </c>
      <c r="K19" s="64">
        <f>IF(K5=0,0,K5/MBunk_act!K5*1000)</f>
        <v>22.609435759526715</v>
      </c>
      <c r="L19" s="64">
        <f>IF(L5=0,0,L5/MBunk_act!L5*1000)</f>
        <v>21.177469362808459</v>
      </c>
      <c r="M19" s="64">
        <f>IF(M5=0,0,M5/MBunk_act!M5*1000)</f>
        <v>19.655588531990439</v>
      </c>
      <c r="N19" s="64">
        <f>IF(N5=0,0,N5/MBunk_act!N5*1000)</f>
        <v>18.478679350778407</v>
      </c>
      <c r="O19" s="64">
        <f>IF(O5=0,0,O5/MBunk_act!O5*1000)</f>
        <v>17.044873227658464</v>
      </c>
      <c r="P19" s="64">
        <f>IF(P5=0,0,P5/MBunk_act!P5*1000)</f>
        <v>17.81161815393002</v>
      </c>
      <c r="Q19" s="64">
        <f>IF(Q5=0,0,Q5/MBunk_act!Q5*1000)</f>
        <v>17.875839843307798</v>
      </c>
      <c r="R19" s="64">
        <f>IF(R5=0,0,R5/MBunk_act!R5*1000)</f>
        <v>17.810848009404289</v>
      </c>
      <c r="S19" s="64">
        <f>IF(S5=0,0,S5/MBunk_act!S5*1000)</f>
        <v>15.106527040707043</v>
      </c>
      <c r="T19" s="64">
        <f>IF(T5=0,0,T5/MBunk_act!T5*1000)</f>
        <v>14.691978490045782</v>
      </c>
      <c r="U19" s="64">
        <f>IF(U5=0,0,U5/MBunk_act!U5*1000)</f>
        <v>13.645783854777797</v>
      </c>
      <c r="V19" s="64">
        <f>IF(V5=0,0,V5/MBunk_act!V5*1000)</f>
        <v>13.778969294970173</v>
      </c>
      <c r="W19" s="64">
        <f>IF(W5=0,0,W5/MBunk_act!W5*1000)</f>
        <v>14.959091151276938</v>
      </c>
      <c r="X19" s="64">
        <f>IF(X5=0,0,X5/MBunk_act!X5*1000)</f>
        <v>16.038577748645324</v>
      </c>
      <c r="Y19" s="64">
        <f>IF(Y5=0,0,Y5/MBunk_act!Y5*1000)</f>
        <v>15.64407441938857</v>
      </c>
      <c r="DA19" s="182" t="s">
        <v>454</v>
      </c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DA20" s="181"/>
    </row>
    <row r="21" spans="1:105" ht="11.45" customHeight="1" x14ac:dyDescent="0.25">
      <c r="A21" s="53" t="s">
        <v>41</v>
      </c>
      <c r="B21" s="76">
        <f t="shared" ref="B21:W23" si="3">IF(B3=0,0,B3/B$3)</f>
        <v>1</v>
      </c>
      <c r="C21" s="76">
        <f t="shared" si="3"/>
        <v>1</v>
      </c>
      <c r="D21" s="76">
        <f t="shared" si="3"/>
        <v>1</v>
      </c>
      <c r="E21" s="76">
        <f t="shared" si="3"/>
        <v>1</v>
      </c>
      <c r="F21" s="76">
        <f t="shared" si="3"/>
        <v>1</v>
      </c>
      <c r="G21" s="76">
        <f t="shared" si="3"/>
        <v>1</v>
      </c>
      <c r="H21" s="76">
        <f t="shared" si="3"/>
        <v>1</v>
      </c>
      <c r="I21" s="76">
        <f t="shared" si="3"/>
        <v>1</v>
      </c>
      <c r="J21" s="76">
        <f t="shared" si="3"/>
        <v>1</v>
      </c>
      <c r="K21" s="76">
        <f t="shared" si="3"/>
        <v>1</v>
      </c>
      <c r="L21" s="76">
        <f t="shared" si="3"/>
        <v>1</v>
      </c>
      <c r="M21" s="76">
        <f t="shared" si="3"/>
        <v>1</v>
      </c>
      <c r="N21" s="76">
        <f t="shared" si="3"/>
        <v>1</v>
      </c>
      <c r="O21" s="76">
        <f t="shared" si="3"/>
        <v>1</v>
      </c>
      <c r="P21" s="76">
        <f t="shared" si="3"/>
        <v>1</v>
      </c>
      <c r="Q21" s="76">
        <f t="shared" si="3"/>
        <v>1</v>
      </c>
      <c r="R21" s="76">
        <f t="shared" si="3"/>
        <v>1</v>
      </c>
      <c r="S21" s="76">
        <f t="shared" si="3"/>
        <v>1</v>
      </c>
      <c r="T21" s="76">
        <f t="shared" si="3"/>
        <v>1</v>
      </c>
      <c r="U21" s="76">
        <f t="shared" si="3"/>
        <v>1</v>
      </c>
      <c r="V21" s="76">
        <f t="shared" si="3"/>
        <v>1</v>
      </c>
      <c r="W21" s="76">
        <f t="shared" si="3"/>
        <v>1</v>
      </c>
      <c r="X21" s="76">
        <f t="shared" ref="X21:Y21" si="4">IF(X3=0,0,X3/X$3)</f>
        <v>1</v>
      </c>
      <c r="Y21" s="76">
        <f t="shared" si="4"/>
        <v>1</v>
      </c>
      <c r="DA21" s="183"/>
    </row>
    <row r="22" spans="1:105" ht="11.45" customHeight="1" x14ac:dyDescent="0.25">
      <c r="A22" s="55" t="s">
        <v>166</v>
      </c>
      <c r="B22" s="77">
        <f t="shared" si="3"/>
        <v>0.3628973322450435</v>
      </c>
      <c r="C22" s="77">
        <f t="shared" si="3"/>
        <v>0.35604852364526707</v>
      </c>
      <c r="D22" s="77">
        <f t="shared" si="3"/>
        <v>0.35145380402380438</v>
      </c>
      <c r="E22" s="77">
        <f t="shared" si="3"/>
        <v>0.34936724012795028</v>
      </c>
      <c r="F22" s="77">
        <f t="shared" si="3"/>
        <v>0.35054658452532461</v>
      </c>
      <c r="G22" s="77">
        <f t="shared" si="3"/>
        <v>0.34337027677771892</v>
      </c>
      <c r="H22" s="77">
        <f t="shared" si="3"/>
        <v>0.32343534465333701</v>
      </c>
      <c r="I22" s="77">
        <f t="shared" si="3"/>
        <v>0.30759429637234537</v>
      </c>
      <c r="J22" s="77">
        <f t="shared" si="3"/>
        <v>0.30598310837232617</v>
      </c>
      <c r="K22" s="77">
        <f t="shared" si="3"/>
        <v>0.33188260411931869</v>
      </c>
      <c r="L22" s="77">
        <f t="shared" si="3"/>
        <v>0.3323130885371765</v>
      </c>
      <c r="M22" s="77">
        <f t="shared" si="3"/>
        <v>0.32102229691595141</v>
      </c>
      <c r="N22" s="77">
        <f t="shared" si="3"/>
        <v>0.31493173108750183</v>
      </c>
      <c r="O22" s="77">
        <f t="shared" si="3"/>
        <v>0.33064519413949894</v>
      </c>
      <c r="P22" s="77">
        <f t="shared" si="3"/>
        <v>0.34352102283616143</v>
      </c>
      <c r="Q22" s="77">
        <f t="shared" si="3"/>
        <v>0.3459022667823986</v>
      </c>
      <c r="R22" s="77">
        <f t="shared" si="3"/>
        <v>0.35307221360654861</v>
      </c>
      <c r="S22" s="77">
        <f t="shared" si="3"/>
        <v>0.34484981121988073</v>
      </c>
      <c r="T22" s="77">
        <f t="shared" si="3"/>
        <v>0.34859091326265795</v>
      </c>
      <c r="U22" s="77">
        <f t="shared" si="3"/>
        <v>0.35158000974540266</v>
      </c>
      <c r="V22" s="77">
        <f t="shared" si="3"/>
        <v>0.32185307039621497</v>
      </c>
      <c r="W22" s="77">
        <f t="shared" si="3"/>
        <v>0.33651232222543759</v>
      </c>
      <c r="X22" s="77">
        <f t="shared" ref="X22:Y22" si="5">IF(X4=0,0,X4/X$3)</f>
        <v>0.3598787159162955</v>
      </c>
      <c r="Y22" s="77">
        <f t="shared" si="5"/>
        <v>0.36800694205512458</v>
      </c>
      <c r="DA22" s="184"/>
    </row>
    <row r="23" spans="1:105" ht="11.45" customHeight="1" x14ac:dyDescent="0.25">
      <c r="A23" s="57" t="s">
        <v>167</v>
      </c>
      <c r="B23" s="78">
        <f t="shared" si="3"/>
        <v>0.6371026677549565</v>
      </c>
      <c r="C23" s="78">
        <f t="shared" si="3"/>
        <v>0.64395147635473293</v>
      </c>
      <c r="D23" s="78">
        <f t="shared" si="3"/>
        <v>0.64854619597619567</v>
      </c>
      <c r="E23" s="78">
        <f t="shared" si="3"/>
        <v>0.65063275987204972</v>
      </c>
      <c r="F23" s="78">
        <f t="shared" si="3"/>
        <v>0.64945341547467539</v>
      </c>
      <c r="G23" s="78">
        <f t="shared" si="3"/>
        <v>0.65662972322228108</v>
      </c>
      <c r="H23" s="78">
        <f t="shared" si="3"/>
        <v>0.67656465534666299</v>
      </c>
      <c r="I23" s="78">
        <f t="shared" si="3"/>
        <v>0.69240570362765463</v>
      </c>
      <c r="J23" s="78">
        <f t="shared" si="3"/>
        <v>0.69401689162767388</v>
      </c>
      <c r="K23" s="78">
        <f t="shared" si="3"/>
        <v>0.66811739588068131</v>
      </c>
      <c r="L23" s="78">
        <f t="shared" si="3"/>
        <v>0.66768691146282344</v>
      </c>
      <c r="M23" s="78">
        <f t="shared" si="3"/>
        <v>0.67897770308404859</v>
      </c>
      <c r="N23" s="78">
        <f t="shared" si="3"/>
        <v>0.68506826891249817</v>
      </c>
      <c r="O23" s="78">
        <f t="shared" si="3"/>
        <v>0.669354805860501</v>
      </c>
      <c r="P23" s="78">
        <f t="shared" si="3"/>
        <v>0.65647897716383863</v>
      </c>
      <c r="Q23" s="78">
        <f t="shared" si="3"/>
        <v>0.65409773321760145</v>
      </c>
      <c r="R23" s="78">
        <f t="shared" si="3"/>
        <v>0.64692778639345139</v>
      </c>
      <c r="S23" s="78">
        <f t="shared" si="3"/>
        <v>0.65515018878011932</v>
      </c>
      <c r="T23" s="78">
        <f t="shared" si="3"/>
        <v>0.65140908673734199</v>
      </c>
      <c r="U23" s="78">
        <f t="shared" si="3"/>
        <v>0.64841999025459729</v>
      </c>
      <c r="V23" s="78">
        <f t="shared" si="3"/>
        <v>0.67814692960378498</v>
      </c>
      <c r="W23" s="78">
        <f t="shared" si="3"/>
        <v>0.66348767777456241</v>
      </c>
      <c r="X23" s="78">
        <f t="shared" ref="X23:Y23" si="6">IF(X5=0,0,X5/X$3)</f>
        <v>0.6401212840837045</v>
      </c>
      <c r="Y23" s="78">
        <f t="shared" si="6"/>
        <v>0.63199305794487537</v>
      </c>
      <c r="DA23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cover</vt:lpstr>
      <vt:lpstr>index</vt:lpstr>
      <vt:lpstr>Transport</vt:lpstr>
      <vt:lpstr>TrRoad_act</vt:lpstr>
      <vt:lpstr>TrRoad_ene</vt:lpstr>
      <vt:lpstr>TrRoad_emi</vt:lpstr>
      <vt:lpstr>TrRoad_tech</vt:lpstr>
      <vt:lpstr>TrRail_act</vt:lpstr>
      <vt:lpstr>TrRail_ene</vt:lpstr>
      <vt:lpstr>TrRail_emi</vt:lpstr>
      <vt:lpstr>TrAvia_act</vt:lpstr>
      <vt:lpstr>TrAvia_ene</vt:lpstr>
      <vt:lpstr>TrAvia_emi</vt:lpstr>
      <vt:lpstr>TrAvia_png</vt:lpstr>
      <vt:lpstr>TrNavi_act</vt:lpstr>
      <vt:lpstr>TrNavi_ene</vt:lpstr>
      <vt:lpstr>TrNavi_emi</vt:lpstr>
      <vt:lpstr>MBunk_act</vt:lpstr>
      <vt:lpstr>MBunk_ene</vt:lpstr>
      <vt:lpstr>MBunk_emi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JRC-IDEES-2023</dc:title>
  <dc:creator>JRC C.6</dc:creator>
  <dc:description>v2023-1.00</dc:description>
  <cp:lastModifiedBy>JRC-SVQ-ROZSAMA</cp:lastModifiedBy>
  <dcterms:created xsi:type="dcterms:W3CDTF">2025-11-06T10:23:27Z</dcterms:created>
  <dcterms:modified xsi:type="dcterms:W3CDTF">2025-11-06T10:23:27Z</dcterms:modified>
</cp:coreProperties>
</file>