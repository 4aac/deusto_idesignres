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S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88" i="59" l="1"/>
  <c r="AA84" i="59"/>
  <c r="AA82" i="59"/>
  <c r="AA81" i="59"/>
  <c r="AA79" i="59"/>
  <c r="AA78" i="59"/>
  <c r="AA110" i="59"/>
  <c r="AA74" i="59"/>
  <c r="AA105" i="59"/>
  <c r="AA70" i="59"/>
  <c r="AA101" i="59"/>
  <c r="AA66" i="59"/>
  <c r="AA97" i="59"/>
  <c r="AA94" i="59"/>
  <c r="AA5" i="59"/>
  <c r="Z115" i="59"/>
  <c r="Z111" i="59"/>
  <c r="Z107" i="59"/>
  <c r="Z103" i="59"/>
  <c r="Z99" i="59"/>
  <c r="Y75" i="57"/>
  <c r="J75" i="57"/>
  <c r="E75" i="57"/>
  <c r="S54" i="57"/>
  <c r="K54" i="57"/>
  <c r="J54" i="57"/>
  <c r="U39" i="57"/>
  <c r="Q39" i="57"/>
  <c r="O39" i="57"/>
  <c r="H39" i="57"/>
  <c r="O16" i="57"/>
  <c r="G16" i="57"/>
  <c r="M16" i="57"/>
  <c r="E16" i="57"/>
  <c r="K75" i="57"/>
  <c r="T75" i="57"/>
  <c r="Q75" i="57"/>
  <c r="D75" i="57"/>
  <c r="U75" i="57"/>
  <c r="O75" i="57"/>
  <c r="F75" i="57"/>
  <c r="P54" i="57"/>
  <c r="L54" i="57"/>
  <c r="R54" i="57"/>
  <c r="Q54" i="57"/>
  <c r="I54" i="57"/>
  <c r="I39" i="57"/>
  <c r="E39" i="57"/>
  <c r="S16" i="57"/>
  <c r="Y16" i="57"/>
  <c r="AA89" i="59" l="1"/>
  <c r="AA80" i="59"/>
  <c r="AA98" i="59"/>
  <c r="AA102" i="59"/>
  <c r="AA106" i="59"/>
  <c r="AA113" i="59"/>
  <c r="AA114" i="59"/>
  <c r="Z54" i="55"/>
  <c r="AA93" i="59"/>
  <c r="AA109" i="59"/>
  <c r="AA117" i="59"/>
  <c r="AA121" i="59"/>
  <c r="N16" i="57"/>
  <c r="H16" i="57"/>
  <c r="X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F16" i="57"/>
  <c r="V16" i="57"/>
  <c r="P16" i="57"/>
  <c r="J16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AA95" i="59" s="1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" i="59" l="1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5" i="4"/>
  <c r="B6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<sst xmlns="http://schemas.openxmlformats.org/spreadsheetml/2006/main" count="722" uniqueCount="281">
  <si>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</si>
  <si>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</si>
  <si>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</si>
  <si>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</si>
  <si>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</si>
  <si>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</si>
  <si>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</si>
  <si>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</si>
  <si>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</si>
  <si>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</si>
  <si>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</si>
  <si>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</si>
  <si>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</si>
  <si>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</si>
  <si>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</si>
  <si>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</si>
  <si>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</si>
  <si>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</si>
  <si>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</si>
  <si>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</si>
  <si>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</si>
  <si>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</si>
  <si>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</si>
  <si>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</si>
  <si>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</si>
  <si>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</si>
  <si>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</si>
  <si>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</si>
  <si>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</si>
  <si>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</si>
  <si>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</si>
  <si>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</si>
  <si>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</si>
  <si>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</si>
  <si>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</si>
  <si>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</si>
  <si>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</si>
  <si>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</si>
  <si>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</si>
  <si>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</si>
  <si>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</si>
  <si>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</si>
  <si>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</si>
  <si>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</si>
  <si>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</si>
  <si>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</si>
  <si>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</si>
  <si>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</si>
  <si>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</si>
  <si>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</si>
  <si>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</si>
  <si>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</si>
  <si>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</si>
  <si>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</si>
  <si>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</si>
  <si>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</si>
  <si>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</si>
  <si>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</si>
  <si>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</si>
  <si>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</si>
  <si>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</si>
  <si>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</si>
  <si>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</si>
  <si>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</si>
  <si>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</si>
  <si>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</si>
  <si>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</si>
  <si>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</si>
  <si>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</si>
  <si>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</si>
  <si>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</si>
  <si>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</si>
  <si>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</si>
  <si>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</si>
  <si>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</si>
  <si>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</si>
  <si>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</si>
  <si>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</si>
  <si>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</si>
  <si>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</si>
  <si>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</si>
  <si>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</si>
  <si>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</si>
  <si>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</si>
  <si>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</si>
  <si>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</si>
  <si>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</si>
  <si>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</si>
  <si>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</si>
  <si>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</si>
  <si>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</si>
  <si>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</si>
  <si>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</si>
  <si>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</si>
  <si>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</si>
  <si>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</si>
  <si>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</si>
  <si>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</si>
  <si>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</si>
  <si>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</si>
  <si>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</si>
  <si>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</si>
  <si>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</si>
  <si>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</si>
  <si>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</si>
  <si>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</si>
  <si>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</si>
  <si>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</si>
  <si>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</si>
  <si>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</si>
  <si>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</si>
  <si>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</si>
  <si>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</si>
  <si>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</si>
  <si>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</si>
  <si>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</si>
  <si>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</si>
  <si>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</si>
  <si>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</si>
  <si>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</si>
  <si>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</si>
  <si>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</si>
  <si>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</si>
  <si>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</si>
  <si>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</si>
  <si>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</si>
  <si>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</si>
  <si>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</si>
  <si>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</si>
  <si>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</si>
  <si>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</si>
  <si>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</si>
  <si>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</si>
  <si>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</si>
  <si>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</si>
  <si>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</si>
  <si>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</si>
  <si>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</si>
  <si>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</si>
  <si>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</si>
  <si>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</si>
  <si>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</si>
  <si>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</si>
  <si>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</si>
  <si>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</si>
  <si>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</si>
  <si>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</si>
  <si>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</si>
  <si>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</si>
  <si>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</si>
  <si>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</si>
  <si>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</si>
  <si>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</si>
  <si>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</si>
  <si>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</si>
  <si>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</si>
  <si>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</si>
  <si>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</si>
  <si>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</si>
  <si>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</si>
  <si>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</si>
  <si>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</si>
  <si>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</si>
  <si>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</si>
  <si>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</si>
  <si>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</si>
  <si>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</si>
  <si>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</si>
  <si>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</si>
  <si>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</si>
  <si>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</si>
  <si>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</si>
  <si>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</si>
  <si>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</si>
  <si>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</si>
  <si>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</si>
  <si>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</si>
  <si>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</si>
  <si>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</si>
  <si>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</si>
  <si>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</si>
  <si>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</si>
  <si>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</si>
  <si>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</si>
  <si>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</si>
  <si>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</si>
  <si>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</si>
  <si>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</si>
  <si>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</si>
  <si>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</si>
  <si>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</si>
  <si>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</si>
  <si>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</si>
  <si>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</si>
  <si>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</si>
  <si>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</si>
  <si>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</si>
  <si>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</si>
  <si>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</si>
  <si>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</si>
  <si>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</si>
  <si>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</si>
  <si>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</si>
  <si>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</si>
  <si>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</si>
  <si>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</si>
  <si>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</si>
  <si>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</si>
  <si>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</si>
  <si>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</si>
  <si>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</si>
  <si>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</si>
  <si>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</si>
  <si>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</si>
  <si>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</si>
  <si>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</si>
  <si>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</si>
  <si>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</si>
  <si>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</si>
  <si>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</si>
  <si>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</si>
  <si>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</si>
  <si>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</si>
  <si>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</si>
  <si>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</si>
  <si>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</si>
  <si>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</si>
  <si>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</si>
  <si>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</si>
  <si>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</si>
  <si>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</si>
  <si>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</si>
  <si>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</si>
  <si>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</si>
  <si>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</si>
  <si>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</si>
  <si>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</si>
  <si>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</si>
  <si>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</si>
  <si>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</si>
  <si>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</si>
  <si>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</si>
  <si>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</si>
  <si>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</si>
  <si>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</si>
  <si>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</si>
  <si>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</si>
  <si>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</si>
  <si>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</si>
  <si>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</si>
  <si>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</si>
  <si>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</si>
  <si>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</si>
  <si>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</si>
  <si>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</si>
  <si>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</si>
  <si>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</si>
  <si>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</si>
  <si>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</si>
  <si>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</si>
  <si>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</si>
  <si>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</si>
  <si>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</si>
  <si>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</si>
  <si>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</si>
  <si>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</si>
  <si>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</si>
  <si>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</si>
  <si>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</si>
  <si>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</si>
  <si>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</si>
  <si>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</si>
  <si>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</si>
  <si>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</si>
  <si>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</si>
  <si>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</si>
  <si>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</si>
  <si>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</si>
  <si>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</si>
  <si>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ES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</si>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</sst>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45967.474409722221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647569</v>
      </c>
      <c r="E2" s="19">
        <v>700958</v>
      </c>
      <c r="F2" s="19">
        <v>749744</v>
      </c>
      <c r="G2" s="19">
        <v>802683</v>
      </c>
      <c r="H2" s="19">
        <v>860059</v>
      </c>
      <c r="I2" s="19">
        <v>928122</v>
      </c>
      <c r="J2" s="19">
        <v>1004976</v>
      </c>
      <c r="K2" s="19">
        <v>1077541</v>
      </c>
      <c r="L2" s="19">
        <v>1112432</v>
      </c>
      <c r="M2" s="19">
        <v>1072990</v>
      </c>
      <c r="N2" s="19">
        <v>1077145</v>
      </c>
      <c r="O2" s="19">
        <v>1068690</v>
      </c>
      <c r="P2" s="19">
        <v>1035964</v>
      </c>
      <c r="Q2" s="19">
        <v>1025652</v>
      </c>
      <c r="R2" s="19">
        <v>1038949</v>
      </c>
      <c r="S2" s="19">
        <v>1087112</v>
      </c>
      <c r="T2" s="19">
        <v>1122967</v>
      </c>
      <c r="U2" s="19">
        <v>1170024</v>
      </c>
      <c r="V2" s="19">
        <v>1212276</v>
      </c>
      <c r="W2" s="19">
        <v>1253710</v>
      </c>
      <c r="X2" s="19">
        <v>1129214</v>
      </c>
      <c r="Y2" s="19">
        <v>1235474</v>
      </c>
      <c r="Z2" s="19">
        <v>1375863</v>
      </c>
      <c r="AA2" s="19">
        <v>1497761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386194</v>
      </c>
      <c r="E3" s="23">
        <v>415688</v>
      </c>
      <c r="F3" s="23">
        <v>440229</v>
      </c>
      <c r="G3" s="23">
        <v>465322</v>
      </c>
      <c r="H3" s="23">
        <v>501503</v>
      </c>
      <c r="I3" s="23">
        <v>539887</v>
      </c>
      <c r="J3" s="23">
        <v>581510</v>
      </c>
      <c r="K3" s="23">
        <v>621914</v>
      </c>
      <c r="L3" s="23">
        <v>639994</v>
      </c>
      <c r="M3" s="23">
        <v>611492</v>
      </c>
      <c r="N3" s="23">
        <v>626405</v>
      </c>
      <c r="O3" s="23">
        <v>625508</v>
      </c>
      <c r="P3" s="23">
        <v>617155</v>
      </c>
      <c r="Q3" s="23">
        <v>605124</v>
      </c>
      <c r="R3" s="23">
        <v>616417</v>
      </c>
      <c r="S3" s="23">
        <v>634404</v>
      </c>
      <c r="T3" s="23">
        <v>652537</v>
      </c>
      <c r="U3" s="23">
        <v>682792</v>
      </c>
      <c r="V3" s="23">
        <v>704368</v>
      </c>
      <c r="W3" s="23">
        <v>720025</v>
      </c>
      <c r="X3" s="23">
        <v>633624</v>
      </c>
      <c r="Y3" s="23">
        <v>693559</v>
      </c>
      <c r="Z3" s="23">
        <v>775799</v>
      </c>
      <c r="AA3" s="23">
        <v>830057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588595</v>
      </c>
      <c r="E4" s="27">
        <v>638972</v>
      </c>
      <c r="F4" s="27">
        <v>683365</v>
      </c>
      <c r="G4" s="27">
        <v>728182</v>
      </c>
      <c r="H4" s="27">
        <v>775872</v>
      </c>
      <c r="I4" s="27">
        <v>833031</v>
      </c>
      <c r="J4" s="27">
        <v>898262</v>
      </c>
      <c r="K4" s="27">
        <v>970997</v>
      </c>
      <c r="L4" s="27">
        <v>1025304</v>
      </c>
      <c r="M4" s="27">
        <v>1005567</v>
      </c>
      <c r="N4" s="27">
        <v>989756</v>
      </c>
      <c r="O4" s="27">
        <v>984997</v>
      </c>
      <c r="P4" s="27">
        <v>953037</v>
      </c>
      <c r="Q4" s="27">
        <v>937641</v>
      </c>
      <c r="R4" s="27">
        <v>946493</v>
      </c>
      <c r="S4" s="27">
        <v>987936</v>
      </c>
      <c r="T4" s="27">
        <v>1019400</v>
      </c>
      <c r="U4" s="27">
        <v>1061122</v>
      </c>
      <c r="V4" s="27">
        <v>1097845</v>
      </c>
      <c r="W4" s="27">
        <v>1137968</v>
      </c>
      <c r="X4" s="27">
        <v>1030964</v>
      </c>
      <c r="Y4" s="27">
        <v>1118595</v>
      </c>
      <c r="Z4" s="27">
        <v>1254715</v>
      </c>
      <c r="AA4" s="27">
        <v>1366751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24247</v>
      </c>
      <c r="E6" s="19">
        <v>25755</v>
      </c>
      <c r="F6" s="19">
        <v>26107</v>
      </c>
      <c r="G6" s="19">
        <v>27458</v>
      </c>
      <c r="H6" s="19">
        <v>26815</v>
      </c>
      <c r="I6" s="19">
        <v>25601</v>
      </c>
      <c r="J6" s="19">
        <v>24127</v>
      </c>
      <c r="K6" s="19">
        <v>26881</v>
      </c>
      <c r="L6" s="19">
        <v>26183</v>
      </c>
      <c r="M6" s="19">
        <v>24138</v>
      </c>
      <c r="N6" s="19">
        <v>26039</v>
      </c>
      <c r="O6" s="19">
        <v>25248</v>
      </c>
      <c r="P6" s="19">
        <v>24840</v>
      </c>
      <c r="Q6" s="19">
        <v>26764</v>
      </c>
      <c r="R6" s="19">
        <v>26254</v>
      </c>
      <c r="S6" s="19">
        <v>29605</v>
      </c>
      <c r="T6" s="19">
        <v>31614</v>
      </c>
      <c r="U6" s="19">
        <v>32801</v>
      </c>
      <c r="V6" s="19">
        <v>32747</v>
      </c>
      <c r="W6" s="19">
        <v>31591</v>
      </c>
      <c r="X6" s="19">
        <v>31445</v>
      </c>
      <c r="Y6" s="19">
        <v>34201</v>
      </c>
      <c r="Z6" s="19">
        <v>32603</v>
      </c>
      <c r="AA6" s="19">
        <v>39035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121835</v>
      </c>
      <c r="E7" s="23">
        <v>128638</v>
      </c>
      <c r="F7" s="23">
        <v>133154</v>
      </c>
      <c r="G7" s="23">
        <v>138200</v>
      </c>
      <c r="H7" s="23">
        <v>143100</v>
      </c>
      <c r="I7" s="23">
        <v>150913</v>
      </c>
      <c r="J7" s="23">
        <v>158752</v>
      </c>
      <c r="K7" s="23">
        <v>166575</v>
      </c>
      <c r="L7" s="23">
        <v>172743</v>
      </c>
      <c r="M7" s="23">
        <v>155881</v>
      </c>
      <c r="N7" s="23">
        <v>157907</v>
      </c>
      <c r="O7" s="23">
        <v>158350</v>
      </c>
      <c r="P7" s="23">
        <v>151066</v>
      </c>
      <c r="Q7" s="23">
        <v>149884</v>
      </c>
      <c r="R7" s="23">
        <v>151045</v>
      </c>
      <c r="S7" s="23">
        <v>157662</v>
      </c>
      <c r="T7" s="23">
        <v>160533</v>
      </c>
      <c r="U7" s="23">
        <v>168657</v>
      </c>
      <c r="V7" s="23">
        <v>172142</v>
      </c>
      <c r="W7" s="23">
        <v>176691</v>
      </c>
      <c r="X7" s="23">
        <v>163491</v>
      </c>
      <c r="Y7" s="23">
        <v>185462</v>
      </c>
      <c r="Z7" s="23">
        <v>218941</v>
      </c>
      <c r="AA7" s="23">
        <v>220097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59618</v>
      </c>
      <c r="E8" s="23">
        <v>67550</v>
      </c>
      <c r="F8" s="23">
        <v>75008</v>
      </c>
      <c r="G8" s="23">
        <v>81851</v>
      </c>
      <c r="H8" s="23">
        <v>88836</v>
      </c>
      <c r="I8" s="23">
        <v>100903</v>
      </c>
      <c r="J8" s="23">
        <v>111572</v>
      </c>
      <c r="K8" s="23">
        <v>116462</v>
      </c>
      <c r="L8" s="23">
        <v>118569</v>
      </c>
      <c r="M8" s="23">
        <v>110029</v>
      </c>
      <c r="N8" s="23">
        <v>89685</v>
      </c>
      <c r="O8" s="23">
        <v>75556</v>
      </c>
      <c r="P8" s="23">
        <v>64407</v>
      </c>
      <c r="Q8" s="23">
        <v>55533</v>
      </c>
      <c r="R8" s="23">
        <v>55390</v>
      </c>
      <c r="S8" s="23">
        <v>58924</v>
      </c>
      <c r="T8" s="23">
        <v>61744</v>
      </c>
      <c r="U8" s="23">
        <v>64233</v>
      </c>
      <c r="V8" s="23">
        <v>67144</v>
      </c>
      <c r="W8" s="23">
        <v>73774</v>
      </c>
      <c r="X8" s="23">
        <v>63700</v>
      </c>
      <c r="Y8" s="23">
        <v>65544</v>
      </c>
      <c r="Z8" s="23">
        <v>73065</v>
      </c>
      <c r="AA8" s="23">
        <v>78819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140174</v>
      </c>
      <c r="E9" s="23">
        <v>151805</v>
      </c>
      <c r="F9" s="23">
        <v>161625</v>
      </c>
      <c r="G9" s="23">
        <v>169536</v>
      </c>
      <c r="H9" s="23">
        <v>180918</v>
      </c>
      <c r="I9" s="23">
        <v>188756</v>
      </c>
      <c r="J9" s="23">
        <v>200933</v>
      </c>
      <c r="K9" s="23">
        <v>213958</v>
      </c>
      <c r="L9" s="23">
        <v>224699</v>
      </c>
      <c r="M9" s="23">
        <v>220992</v>
      </c>
      <c r="N9" s="23">
        <v>223574</v>
      </c>
      <c r="O9" s="23">
        <v>227372</v>
      </c>
      <c r="P9" s="23">
        <v>223444</v>
      </c>
      <c r="Q9" s="23">
        <v>219315</v>
      </c>
      <c r="R9" s="23">
        <v>222461</v>
      </c>
      <c r="S9" s="23">
        <v>235719</v>
      </c>
      <c r="T9" s="23">
        <v>246278</v>
      </c>
      <c r="U9" s="23">
        <v>257483</v>
      </c>
      <c r="V9" s="23">
        <v>266217</v>
      </c>
      <c r="W9" s="23">
        <v>274316</v>
      </c>
      <c r="X9" s="23">
        <v>210351</v>
      </c>
      <c r="Y9" s="23">
        <v>248408</v>
      </c>
      <c r="Z9" s="23">
        <v>293370</v>
      </c>
      <c r="AA9" s="23">
        <v>324244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26074</v>
      </c>
      <c r="E10" s="23">
        <v>28567</v>
      </c>
      <c r="F10" s="23">
        <v>31371</v>
      </c>
      <c r="G10" s="23">
        <v>33128</v>
      </c>
      <c r="H10" s="23">
        <v>34498</v>
      </c>
      <c r="I10" s="23">
        <v>36299</v>
      </c>
      <c r="J10" s="23">
        <v>37893</v>
      </c>
      <c r="K10" s="23">
        <v>39890</v>
      </c>
      <c r="L10" s="23">
        <v>41022</v>
      </c>
      <c r="M10" s="23">
        <v>41188</v>
      </c>
      <c r="N10" s="23">
        <v>39693</v>
      </c>
      <c r="O10" s="23">
        <v>38594</v>
      </c>
      <c r="P10" s="23">
        <v>37527</v>
      </c>
      <c r="Q10" s="23">
        <v>36647</v>
      </c>
      <c r="R10" s="23">
        <v>35981</v>
      </c>
      <c r="S10" s="23">
        <v>36794</v>
      </c>
      <c r="T10" s="23">
        <v>37624</v>
      </c>
      <c r="U10" s="23">
        <v>39885</v>
      </c>
      <c r="V10" s="23">
        <v>40648</v>
      </c>
      <c r="W10" s="23">
        <v>42675</v>
      </c>
      <c r="X10" s="23">
        <v>40487</v>
      </c>
      <c r="Y10" s="23">
        <v>43558</v>
      </c>
      <c r="Z10" s="23">
        <v>49632</v>
      </c>
      <c r="AA10" s="23">
        <v>55845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25383</v>
      </c>
      <c r="E11" s="23">
        <v>29787</v>
      </c>
      <c r="F11" s="23">
        <v>31761</v>
      </c>
      <c r="G11" s="23">
        <v>32816</v>
      </c>
      <c r="H11" s="23">
        <v>35212</v>
      </c>
      <c r="I11" s="23">
        <v>37445</v>
      </c>
      <c r="J11" s="23">
        <v>41527</v>
      </c>
      <c r="K11" s="23">
        <v>47932</v>
      </c>
      <c r="L11" s="23">
        <v>52201</v>
      </c>
      <c r="M11" s="23">
        <v>55356</v>
      </c>
      <c r="N11" s="23">
        <v>41244</v>
      </c>
      <c r="O11" s="23">
        <v>38944</v>
      </c>
      <c r="P11" s="23">
        <v>40135</v>
      </c>
      <c r="Q11" s="23">
        <v>33670</v>
      </c>
      <c r="R11" s="23">
        <v>36682</v>
      </c>
      <c r="S11" s="23">
        <v>37138</v>
      </c>
      <c r="T11" s="23">
        <v>39036</v>
      </c>
      <c r="U11" s="23">
        <v>40551</v>
      </c>
      <c r="V11" s="23">
        <v>44539</v>
      </c>
      <c r="W11" s="23">
        <v>43851</v>
      </c>
      <c r="X11" s="23">
        <v>45965</v>
      </c>
      <c r="Y11" s="23">
        <v>46505</v>
      </c>
      <c r="Z11" s="23">
        <v>52948</v>
      </c>
      <c r="AA11" s="23">
        <v>73730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36664</v>
      </c>
      <c r="E12" s="23">
        <v>39986</v>
      </c>
      <c r="F12" s="23">
        <v>46126</v>
      </c>
      <c r="G12" s="23">
        <v>52404</v>
      </c>
      <c r="H12" s="23">
        <v>60041</v>
      </c>
      <c r="I12" s="23">
        <v>69288</v>
      </c>
      <c r="J12" s="23">
        <v>79190</v>
      </c>
      <c r="K12" s="23">
        <v>92356</v>
      </c>
      <c r="L12" s="23">
        <v>98859</v>
      </c>
      <c r="M12" s="23">
        <v>97197</v>
      </c>
      <c r="N12" s="23">
        <v>109377</v>
      </c>
      <c r="O12" s="23">
        <v>115567</v>
      </c>
      <c r="P12" s="23">
        <v>118011</v>
      </c>
      <c r="Q12" s="23">
        <v>122453</v>
      </c>
      <c r="R12" s="23">
        <v>121851</v>
      </c>
      <c r="S12" s="23">
        <v>119749</v>
      </c>
      <c r="T12" s="23">
        <v>121874</v>
      </c>
      <c r="U12" s="23">
        <v>124735</v>
      </c>
      <c r="V12" s="23">
        <v>129739</v>
      </c>
      <c r="W12" s="23">
        <v>133936</v>
      </c>
      <c r="X12" s="23">
        <v>134806</v>
      </c>
      <c r="Y12" s="23">
        <v>138045</v>
      </c>
      <c r="Z12" s="23">
        <v>146180</v>
      </c>
      <c r="AA12" s="23">
        <v>159783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37514</v>
      </c>
      <c r="E13" s="23">
        <v>41637</v>
      </c>
      <c r="F13" s="23">
        <v>44524</v>
      </c>
      <c r="G13" s="23">
        <v>48424</v>
      </c>
      <c r="H13" s="23">
        <v>51130</v>
      </c>
      <c r="I13" s="23">
        <v>56295</v>
      </c>
      <c r="J13" s="23">
        <v>64044</v>
      </c>
      <c r="K13" s="23">
        <v>71623</v>
      </c>
      <c r="L13" s="23">
        <v>77071</v>
      </c>
      <c r="M13" s="23">
        <v>75831</v>
      </c>
      <c r="N13" s="23">
        <v>74231</v>
      </c>
      <c r="O13" s="23">
        <v>76553</v>
      </c>
      <c r="P13" s="23">
        <v>73550</v>
      </c>
      <c r="Q13" s="23">
        <v>73483</v>
      </c>
      <c r="R13" s="23">
        <v>77321</v>
      </c>
      <c r="S13" s="23">
        <v>84287</v>
      </c>
      <c r="T13" s="23">
        <v>87088</v>
      </c>
      <c r="U13" s="23">
        <v>91586</v>
      </c>
      <c r="V13" s="23">
        <v>96643</v>
      </c>
      <c r="W13" s="23">
        <v>103662</v>
      </c>
      <c r="X13" s="23">
        <v>92513</v>
      </c>
      <c r="Y13" s="23">
        <v>101823</v>
      </c>
      <c r="Z13" s="23">
        <v>114694</v>
      </c>
      <c r="AA13" s="23">
        <v>124919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93605</v>
      </c>
      <c r="E14" s="23">
        <v>100032</v>
      </c>
      <c r="F14" s="23">
        <v>106687</v>
      </c>
      <c r="G14" s="23">
        <v>115532</v>
      </c>
      <c r="H14" s="23">
        <v>124378</v>
      </c>
      <c r="I14" s="23">
        <v>133599</v>
      </c>
      <c r="J14" s="23">
        <v>144053</v>
      </c>
      <c r="K14" s="23">
        <v>156599</v>
      </c>
      <c r="L14" s="23">
        <v>171956</v>
      </c>
      <c r="M14" s="23">
        <v>181662</v>
      </c>
      <c r="N14" s="23">
        <v>183087</v>
      </c>
      <c r="O14" s="23">
        <v>183072</v>
      </c>
      <c r="P14" s="23">
        <v>175163</v>
      </c>
      <c r="Q14" s="23">
        <v>175537</v>
      </c>
      <c r="R14" s="23">
        <v>174734</v>
      </c>
      <c r="S14" s="23">
        <v>179838</v>
      </c>
      <c r="T14" s="23">
        <v>184134</v>
      </c>
      <c r="U14" s="23">
        <v>188676</v>
      </c>
      <c r="V14" s="23">
        <v>194134</v>
      </c>
      <c r="W14" s="23">
        <v>202872</v>
      </c>
      <c r="X14" s="23">
        <v>204632</v>
      </c>
      <c r="Y14" s="23">
        <v>210316</v>
      </c>
      <c r="Z14" s="23">
        <v>220307</v>
      </c>
      <c r="AA14" s="23">
        <v>234952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23481</v>
      </c>
      <c r="E15" s="23">
        <v>25215</v>
      </c>
      <c r="F15" s="23">
        <v>27002</v>
      </c>
      <c r="G15" s="23">
        <v>28833</v>
      </c>
      <c r="H15" s="23">
        <v>30944</v>
      </c>
      <c r="I15" s="23">
        <v>33932</v>
      </c>
      <c r="J15" s="23">
        <v>36171</v>
      </c>
      <c r="K15" s="23">
        <v>38721</v>
      </c>
      <c r="L15" s="23">
        <v>42001</v>
      </c>
      <c r="M15" s="23">
        <v>43293</v>
      </c>
      <c r="N15" s="23">
        <v>44919</v>
      </c>
      <c r="O15" s="23">
        <v>45741</v>
      </c>
      <c r="P15" s="23">
        <v>44894</v>
      </c>
      <c r="Q15" s="23">
        <v>44355</v>
      </c>
      <c r="R15" s="23">
        <v>44774</v>
      </c>
      <c r="S15" s="23">
        <v>48220</v>
      </c>
      <c r="T15" s="23">
        <v>49475</v>
      </c>
      <c r="U15" s="23">
        <v>52515</v>
      </c>
      <c r="V15" s="23">
        <v>53892</v>
      </c>
      <c r="W15" s="23">
        <v>54600</v>
      </c>
      <c r="X15" s="23">
        <v>43574</v>
      </c>
      <c r="Y15" s="23">
        <v>44733</v>
      </c>
      <c r="Z15" s="23">
        <v>52975</v>
      </c>
      <c r="AA15" s="23">
        <v>55327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588595</v>
      </c>
      <c r="E16" s="30">
        <f t="shared" ref="E16:Y16" si="0">SUM(E6:E15)</f>
        <v>638972</v>
      </c>
      <c r="F16" s="30">
        <f t="shared" si="0"/>
        <v>683365</v>
      </c>
      <c r="G16" s="30">
        <f t="shared" si="0"/>
        <v>728182</v>
      </c>
      <c r="H16" s="30">
        <f t="shared" si="0"/>
        <v>775872</v>
      </c>
      <c r="I16" s="30">
        <f t="shared" si="0"/>
        <v>833031</v>
      </c>
      <c r="J16" s="30">
        <f t="shared" si="0"/>
        <v>898262</v>
      </c>
      <c r="K16" s="30">
        <f t="shared" si="0"/>
        <v>970997</v>
      </c>
      <c r="L16" s="30">
        <f t="shared" si="0"/>
        <v>1025304</v>
      </c>
      <c r="M16" s="30">
        <f t="shared" si="0"/>
        <v>1005567</v>
      </c>
      <c r="N16" s="30">
        <f t="shared" si="0"/>
        <v>989756</v>
      </c>
      <c r="O16" s="30">
        <f t="shared" si="0"/>
        <v>984997</v>
      </c>
      <c r="P16" s="30">
        <f t="shared" si="0"/>
        <v>953037</v>
      </c>
      <c r="Q16" s="30">
        <f t="shared" si="0"/>
        <v>937641</v>
      </c>
      <c r="R16" s="30">
        <f t="shared" si="0"/>
        <v>946493</v>
      </c>
      <c r="S16" s="30">
        <f t="shared" si="0"/>
        <v>987936</v>
      </c>
      <c r="T16" s="30">
        <f t="shared" si="0"/>
        <v>1019400</v>
      </c>
      <c r="U16" s="30">
        <f t="shared" si="0"/>
        <v>1061122</v>
      </c>
      <c r="V16" s="30">
        <f t="shared" si="0"/>
        <v>1097845</v>
      </c>
      <c r="W16" s="30">
        <f t="shared" si="0"/>
        <v>1137968</v>
      </c>
      <c r="X16" s="30">
        <f t="shared" si="0"/>
        <v>1030964</v>
      </c>
      <c r="Y16" s="30">
        <f t="shared" si="0"/>
        <v>1118595</v>
      </c>
      <c r="Z16" s="30">
        <f t="shared" ref="Z16:AA16" si="1">SUM(Z6:Z15)</f>
        <v>1254715</v>
      </c>
      <c r="AA16" s="30">
        <f t="shared" si="1"/>
        <v>1366751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24247</v>
      </c>
      <c r="E18" s="19">
        <v>25755</v>
      </c>
      <c r="F18" s="19">
        <v>26107</v>
      </c>
      <c r="G18" s="19">
        <v>27458</v>
      </c>
      <c r="H18" s="19">
        <v>26815</v>
      </c>
      <c r="I18" s="19">
        <v>25601</v>
      </c>
      <c r="J18" s="19">
        <v>24127</v>
      </c>
      <c r="K18" s="19">
        <v>26881</v>
      </c>
      <c r="L18" s="19">
        <v>26183</v>
      </c>
      <c r="M18" s="19">
        <v>24138</v>
      </c>
      <c r="N18" s="19">
        <v>26039</v>
      </c>
      <c r="O18" s="19">
        <v>25248</v>
      </c>
      <c r="P18" s="19">
        <v>24840</v>
      </c>
      <c r="Q18" s="19">
        <v>26764</v>
      </c>
      <c r="R18" s="19">
        <v>26254</v>
      </c>
      <c r="S18" s="19">
        <v>29605</v>
      </c>
      <c r="T18" s="19">
        <v>31614</v>
      </c>
      <c r="U18" s="19">
        <v>32801</v>
      </c>
      <c r="V18" s="19">
        <v>32747</v>
      </c>
      <c r="W18" s="19">
        <v>31591</v>
      </c>
      <c r="X18" s="19">
        <v>31445</v>
      </c>
      <c r="Y18" s="19">
        <v>34201</v>
      </c>
      <c r="Z18" s="19">
        <v>32603</v>
      </c>
      <c r="AA18" s="19">
        <v>39035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1772</v>
      </c>
      <c r="E19" s="23">
        <v>2232</v>
      </c>
      <c r="F19" s="23">
        <v>2455</v>
      </c>
      <c r="G19" s="23">
        <v>2688</v>
      </c>
      <c r="H19" s="23">
        <v>2884</v>
      </c>
      <c r="I19" s="23">
        <v>2864</v>
      </c>
      <c r="J19" s="23">
        <v>3100</v>
      </c>
      <c r="K19" s="23">
        <v>3389</v>
      </c>
      <c r="L19" s="23">
        <v>3274</v>
      </c>
      <c r="M19" s="23">
        <v>2598</v>
      </c>
      <c r="N19" s="23">
        <v>2653</v>
      </c>
      <c r="O19" s="23">
        <v>2602</v>
      </c>
      <c r="P19" s="23">
        <v>2306</v>
      </c>
      <c r="Q19" s="23">
        <v>1845</v>
      </c>
      <c r="R19" s="23">
        <v>1636</v>
      </c>
      <c r="S19" s="23">
        <v>1496</v>
      </c>
      <c r="T19" s="23">
        <v>1486</v>
      </c>
      <c r="U19" s="23">
        <v>2214</v>
      </c>
      <c r="V19" s="23">
        <v>2767.9999999999995</v>
      </c>
      <c r="W19" s="23">
        <v>3160</v>
      </c>
      <c r="X19" s="23">
        <v>2492</v>
      </c>
      <c r="Y19" s="23">
        <v>4421</v>
      </c>
      <c r="Z19" s="23">
        <v>6968.470661358594</v>
      </c>
      <c r="AA19" s="23">
        <v>5093.7357172716511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105341</v>
      </c>
      <c r="E20" s="23">
        <v>110960</v>
      </c>
      <c r="F20" s="23">
        <v>113885</v>
      </c>
      <c r="G20" s="23">
        <v>117206</v>
      </c>
      <c r="H20" s="23">
        <v>120560</v>
      </c>
      <c r="I20" s="23">
        <v>125316</v>
      </c>
      <c r="J20" s="23">
        <v>131369</v>
      </c>
      <c r="K20" s="23">
        <v>135843</v>
      </c>
      <c r="L20" s="23">
        <v>137888</v>
      </c>
      <c r="M20" s="23">
        <v>121547</v>
      </c>
      <c r="N20" s="23">
        <v>119716</v>
      </c>
      <c r="O20" s="23">
        <v>119709</v>
      </c>
      <c r="P20" s="23">
        <v>112007</v>
      </c>
      <c r="Q20" s="23">
        <v>111450</v>
      </c>
      <c r="R20" s="23">
        <v>114259</v>
      </c>
      <c r="S20" s="23">
        <v>119732</v>
      </c>
      <c r="T20" s="23">
        <v>122996</v>
      </c>
      <c r="U20" s="23">
        <v>130043</v>
      </c>
      <c r="V20" s="23">
        <v>130788</v>
      </c>
      <c r="W20" s="23">
        <v>134106</v>
      </c>
      <c r="X20" s="23">
        <v>122556</v>
      </c>
      <c r="Y20" s="23">
        <v>139066</v>
      </c>
      <c r="Z20" s="23">
        <v>151730</v>
      </c>
      <c r="AA20" s="23">
        <v>164020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9813</v>
      </c>
      <c r="E21" s="23">
        <v>10072</v>
      </c>
      <c r="F21" s="23">
        <v>10898</v>
      </c>
      <c r="G21" s="23">
        <v>12116</v>
      </c>
      <c r="H21" s="23">
        <v>13110</v>
      </c>
      <c r="I21" s="23">
        <v>15628.999999999998</v>
      </c>
      <c r="J21" s="23">
        <v>16634</v>
      </c>
      <c r="K21" s="23">
        <v>19269</v>
      </c>
      <c r="L21" s="23">
        <v>22993</v>
      </c>
      <c r="M21" s="23">
        <v>22938.000000000004</v>
      </c>
      <c r="N21" s="23">
        <v>25491</v>
      </c>
      <c r="O21" s="23">
        <v>25492</v>
      </c>
      <c r="P21" s="23">
        <v>26165.000000000004</v>
      </c>
      <c r="Q21" s="23">
        <v>25580</v>
      </c>
      <c r="R21" s="23">
        <v>24465</v>
      </c>
      <c r="S21" s="23">
        <v>25447</v>
      </c>
      <c r="T21" s="23">
        <v>24621</v>
      </c>
      <c r="U21" s="23">
        <v>24610</v>
      </c>
      <c r="V21" s="23">
        <v>26595</v>
      </c>
      <c r="W21" s="23">
        <v>27005</v>
      </c>
      <c r="X21" s="23">
        <v>25900</v>
      </c>
      <c r="Y21" s="23">
        <v>28458</v>
      </c>
      <c r="Z21" s="23">
        <v>45510.279177353623</v>
      </c>
      <c r="AA21" s="23">
        <v>36945.456089319305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4909</v>
      </c>
      <c r="E22" s="23">
        <v>5374</v>
      </c>
      <c r="F22" s="23">
        <v>5916</v>
      </c>
      <c r="G22" s="23">
        <v>6190</v>
      </c>
      <c r="H22" s="23">
        <v>6546</v>
      </c>
      <c r="I22" s="23">
        <v>7104</v>
      </c>
      <c r="J22" s="23">
        <v>7649</v>
      </c>
      <c r="K22" s="23">
        <v>8074</v>
      </c>
      <c r="L22" s="23">
        <v>8588</v>
      </c>
      <c r="M22" s="23">
        <v>8798.0000000000018</v>
      </c>
      <c r="N22" s="23">
        <v>10047.000000000002</v>
      </c>
      <c r="O22" s="23">
        <v>10547</v>
      </c>
      <c r="P22" s="23">
        <v>10588</v>
      </c>
      <c r="Q22" s="23">
        <v>11009</v>
      </c>
      <c r="R22" s="23">
        <v>10685</v>
      </c>
      <c r="S22" s="23">
        <v>10987</v>
      </c>
      <c r="T22" s="23">
        <v>11430</v>
      </c>
      <c r="U22" s="23">
        <v>11790</v>
      </c>
      <c r="V22" s="23">
        <v>11991</v>
      </c>
      <c r="W22" s="23">
        <v>12420</v>
      </c>
      <c r="X22" s="23">
        <v>12543</v>
      </c>
      <c r="Y22" s="23">
        <v>13516.999999999998</v>
      </c>
      <c r="Z22" s="23">
        <v>14732.250161287786</v>
      </c>
      <c r="AA22" s="23">
        <v>14037.808193409042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59618</v>
      </c>
      <c r="E23" s="23">
        <v>67550</v>
      </c>
      <c r="F23" s="23">
        <v>75008</v>
      </c>
      <c r="G23" s="23">
        <v>81851</v>
      </c>
      <c r="H23" s="23">
        <v>88836</v>
      </c>
      <c r="I23" s="23">
        <v>100903</v>
      </c>
      <c r="J23" s="23">
        <v>111572</v>
      </c>
      <c r="K23" s="23">
        <v>116462</v>
      </c>
      <c r="L23" s="23">
        <v>118569</v>
      </c>
      <c r="M23" s="23">
        <v>110029</v>
      </c>
      <c r="N23" s="23">
        <v>89685</v>
      </c>
      <c r="O23" s="23">
        <v>75556</v>
      </c>
      <c r="P23" s="23">
        <v>64407</v>
      </c>
      <c r="Q23" s="23">
        <v>55533</v>
      </c>
      <c r="R23" s="23">
        <v>55390</v>
      </c>
      <c r="S23" s="23">
        <v>58924</v>
      </c>
      <c r="T23" s="23">
        <v>61744</v>
      </c>
      <c r="U23" s="23">
        <v>64233</v>
      </c>
      <c r="V23" s="23">
        <v>67144</v>
      </c>
      <c r="W23" s="23">
        <v>73774</v>
      </c>
      <c r="X23" s="23">
        <v>63700</v>
      </c>
      <c r="Y23" s="23">
        <v>65544</v>
      </c>
      <c r="Z23" s="23">
        <v>73065</v>
      </c>
      <c r="AA23" s="23">
        <v>78819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68415</v>
      </c>
      <c r="E24" s="23">
        <v>74878</v>
      </c>
      <c r="F24" s="23">
        <v>80544</v>
      </c>
      <c r="G24" s="23">
        <v>84870</v>
      </c>
      <c r="H24" s="23">
        <v>91739</v>
      </c>
      <c r="I24" s="23">
        <v>97547</v>
      </c>
      <c r="J24" s="23">
        <v>105084</v>
      </c>
      <c r="K24" s="23">
        <v>114096</v>
      </c>
      <c r="L24" s="23">
        <v>120550</v>
      </c>
      <c r="M24" s="23">
        <v>118064</v>
      </c>
      <c r="N24" s="23">
        <v>119726</v>
      </c>
      <c r="O24" s="23">
        <v>122348</v>
      </c>
      <c r="P24" s="23">
        <v>120807</v>
      </c>
      <c r="Q24" s="23">
        <v>120581</v>
      </c>
      <c r="R24" s="23">
        <v>120318</v>
      </c>
      <c r="S24" s="23">
        <v>126859</v>
      </c>
      <c r="T24" s="23">
        <v>134228</v>
      </c>
      <c r="U24" s="23">
        <v>139334</v>
      </c>
      <c r="V24" s="23">
        <v>144466</v>
      </c>
      <c r="W24" s="23">
        <v>147392</v>
      </c>
      <c r="X24" s="23">
        <v>135607</v>
      </c>
      <c r="Y24" s="23">
        <v>154401</v>
      </c>
      <c r="Z24" s="23">
        <v>163263</v>
      </c>
      <c r="AA24" s="23">
        <v>168295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27973</v>
      </c>
      <c r="E25" s="23">
        <v>31039</v>
      </c>
      <c r="F25" s="23">
        <v>32456</v>
      </c>
      <c r="G25" s="23">
        <v>34083</v>
      </c>
      <c r="H25" s="23">
        <v>35761</v>
      </c>
      <c r="I25" s="23">
        <v>35575</v>
      </c>
      <c r="J25" s="23">
        <v>37754</v>
      </c>
      <c r="K25" s="23">
        <v>40373</v>
      </c>
      <c r="L25" s="23">
        <v>42116</v>
      </c>
      <c r="M25" s="23">
        <v>41680</v>
      </c>
      <c r="N25" s="23">
        <v>43578</v>
      </c>
      <c r="O25" s="23">
        <v>44502</v>
      </c>
      <c r="P25" s="23">
        <v>43212</v>
      </c>
      <c r="Q25" s="23">
        <v>42149</v>
      </c>
      <c r="R25" s="23">
        <v>44350</v>
      </c>
      <c r="S25" s="23">
        <v>47420</v>
      </c>
      <c r="T25" s="23">
        <v>46864</v>
      </c>
      <c r="U25" s="23">
        <v>48402</v>
      </c>
      <c r="V25" s="23">
        <v>49836</v>
      </c>
      <c r="W25" s="23">
        <v>51954</v>
      </c>
      <c r="X25" s="23">
        <v>40170</v>
      </c>
      <c r="Y25" s="23">
        <v>43806</v>
      </c>
      <c r="Z25" s="23">
        <v>55900</v>
      </c>
      <c r="AA25" s="23">
        <v>64896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43786</v>
      </c>
      <c r="E26" s="23">
        <v>45888</v>
      </c>
      <c r="F26" s="23">
        <v>48625</v>
      </c>
      <c r="G26" s="23">
        <v>50583</v>
      </c>
      <c r="H26" s="23">
        <v>53418</v>
      </c>
      <c r="I26" s="23">
        <v>55634</v>
      </c>
      <c r="J26" s="23">
        <v>58095</v>
      </c>
      <c r="K26" s="23">
        <v>59489</v>
      </c>
      <c r="L26" s="23">
        <v>62033</v>
      </c>
      <c r="M26" s="23">
        <v>61248</v>
      </c>
      <c r="N26" s="23">
        <v>60270</v>
      </c>
      <c r="O26" s="23">
        <v>60522</v>
      </c>
      <c r="P26" s="23">
        <v>59425</v>
      </c>
      <c r="Q26" s="23">
        <v>56585</v>
      </c>
      <c r="R26" s="23">
        <v>57793</v>
      </c>
      <c r="S26" s="23">
        <v>61440</v>
      </c>
      <c r="T26" s="23">
        <v>65186</v>
      </c>
      <c r="U26" s="23">
        <v>69747</v>
      </c>
      <c r="V26" s="23">
        <v>71915</v>
      </c>
      <c r="W26" s="23">
        <v>74970</v>
      </c>
      <c r="X26" s="23">
        <v>34574</v>
      </c>
      <c r="Y26" s="23">
        <v>50201</v>
      </c>
      <c r="Z26" s="23">
        <v>74207</v>
      </c>
      <c r="AA26" s="23">
        <v>91053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26074</v>
      </c>
      <c r="E27" s="23">
        <v>28567</v>
      </c>
      <c r="F27" s="23">
        <v>31371</v>
      </c>
      <c r="G27" s="23">
        <v>33128</v>
      </c>
      <c r="H27" s="23">
        <v>34498</v>
      </c>
      <c r="I27" s="23">
        <v>36299</v>
      </c>
      <c r="J27" s="23">
        <v>37893</v>
      </c>
      <c r="K27" s="23">
        <v>39890</v>
      </c>
      <c r="L27" s="23">
        <v>41022</v>
      </c>
      <c r="M27" s="23">
        <v>41188</v>
      </c>
      <c r="N27" s="23">
        <v>39693</v>
      </c>
      <c r="O27" s="23">
        <v>38594</v>
      </c>
      <c r="P27" s="23">
        <v>37527</v>
      </c>
      <c r="Q27" s="23">
        <v>36647</v>
      </c>
      <c r="R27" s="23">
        <v>35981</v>
      </c>
      <c r="S27" s="23">
        <v>36794</v>
      </c>
      <c r="T27" s="23">
        <v>37624</v>
      </c>
      <c r="U27" s="23">
        <v>39885</v>
      </c>
      <c r="V27" s="23">
        <v>40648</v>
      </c>
      <c r="W27" s="23">
        <v>42675</v>
      </c>
      <c r="X27" s="23">
        <v>40487</v>
      </c>
      <c r="Y27" s="23">
        <v>43558</v>
      </c>
      <c r="Z27" s="23">
        <v>49632</v>
      </c>
      <c r="AA27" s="23">
        <v>55845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25383</v>
      </c>
      <c r="E28" s="23">
        <v>29787</v>
      </c>
      <c r="F28" s="23">
        <v>31761</v>
      </c>
      <c r="G28" s="23">
        <v>32816</v>
      </c>
      <c r="H28" s="23">
        <v>35212</v>
      </c>
      <c r="I28" s="23">
        <v>37445</v>
      </c>
      <c r="J28" s="23">
        <v>41527</v>
      </c>
      <c r="K28" s="23">
        <v>47932</v>
      </c>
      <c r="L28" s="23">
        <v>52201</v>
      </c>
      <c r="M28" s="23">
        <v>55356</v>
      </c>
      <c r="N28" s="23">
        <v>41244</v>
      </c>
      <c r="O28" s="23">
        <v>38944</v>
      </c>
      <c r="P28" s="23">
        <v>40135</v>
      </c>
      <c r="Q28" s="23">
        <v>33670</v>
      </c>
      <c r="R28" s="23">
        <v>36682</v>
      </c>
      <c r="S28" s="23">
        <v>37138</v>
      </c>
      <c r="T28" s="23">
        <v>39036</v>
      </c>
      <c r="U28" s="23">
        <v>40551</v>
      </c>
      <c r="V28" s="23">
        <v>44539</v>
      </c>
      <c r="W28" s="23">
        <v>43851</v>
      </c>
      <c r="X28" s="23">
        <v>45965</v>
      </c>
      <c r="Y28" s="23">
        <v>46505</v>
      </c>
      <c r="Z28" s="23">
        <v>52948</v>
      </c>
      <c r="AA28" s="23">
        <v>73730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36664</v>
      </c>
      <c r="E29" s="23">
        <v>39986</v>
      </c>
      <c r="F29" s="23">
        <v>46126</v>
      </c>
      <c r="G29" s="23">
        <v>52404</v>
      </c>
      <c r="H29" s="23">
        <v>60041</v>
      </c>
      <c r="I29" s="23">
        <v>69288</v>
      </c>
      <c r="J29" s="23">
        <v>79190</v>
      </c>
      <c r="K29" s="23">
        <v>92356</v>
      </c>
      <c r="L29" s="23">
        <v>98859</v>
      </c>
      <c r="M29" s="23">
        <v>97197</v>
      </c>
      <c r="N29" s="23">
        <v>109377</v>
      </c>
      <c r="O29" s="23">
        <v>115567</v>
      </c>
      <c r="P29" s="23">
        <v>118011</v>
      </c>
      <c r="Q29" s="23">
        <v>122453</v>
      </c>
      <c r="R29" s="23">
        <v>121851</v>
      </c>
      <c r="S29" s="23">
        <v>119749</v>
      </c>
      <c r="T29" s="23">
        <v>121874</v>
      </c>
      <c r="U29" s="23">
        <v>124735</v>
      </c>
      <c r="V29" s="23">
        <v>129739</v>
      </c>
      <c r="W29" s="23">
        <v>133936</v>
      </c>
      <c r="X29" s="23">
        <v>134806</v>
      </c>
      <c r="Y29" s="23">
        <v>138045</v>
      </c>
      <c r="Z29" s="23">
        <v>146180</v>
      </c>
      <c r="AA29" s="23">
        <v>159783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20810</v>
      </c>
      <c r="E30" s="23">
        <v>23112</v>
      </c>
      <c r="F30" s="23">
        <v>24307</v>
      </c>
      <c r="G30" s="23">
        <v>26573</v>
      </c>
      <c r="H30" s="23">
        <v>28194</v>
      </c>
      <c r="I30" s="23">
        <v>31276</v>
      </c>
      <c r="J30" s="23">
        <v>35367</v>
      </c>
      <c r="K30" s="23">
        <v>38603</v>
      </c>
      <c r="L30" s="23">
        <v>42312</v>
      </c>
      <c r="M30" s="23">
        <v>43054</v>
      </c>
      <c r="N30" s="23">
        <v>40947</v>
      </c>
      <c r="O30" s="23">
        <v>41964</v>
      </c>
      <c r="P30" s="23">
        <v>40495</v>
      </c>
      <c r="Q30" s="23">
        <v>40456</v>
      </c>
      <c r="R30" s="23">
        <v>42375</v>
      </c>
      <c r="S30" s="23">
        <v>45368</v>
      </c>
      <c r="T30" s="23">
        <v>46098</v>
      </c>
      <c r="U30" s="23">
        <v>48872</v>
      </c>
      <c r="V30" s="23">
        <v>52204</v>
      </c>
      <c r="W30" s="23">
        <v>55962</v>
      </c>
      <c r="X30" s="23">
        <v>53359</v>
      </c>
      <c r="Y30" s="23">
        <v>59000</v>
      </c>
      <c r="Z30" s="23">
        <v>65854</v>
      </c>
      <c r="AA30" s="23">
        <v>71552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16704</v>
      </c>
      <c r="E31" s="23">
        <v>18525</v>
      </c>
      <c r="F31" s="23">
        <v>20217</v>
      </c>
      <c r="G31" s="23">
        <v>21851</v>
      </c>
      <c r="H31" s="23">
        <v>22936</v>
      </c>
      <c r="I31" s="23">
        <v>25019</v>
      </c>
      <c r="J31" s="23">
        <v>28677</v>
      </c>
      <c r="K31" s="23">
        <v>33020</v>
      </c>
      <c r="L31" s="23">
        <v>34759</v>
      </c>
      <c r="M31" s="23">
        <v>32777</v>
      </c>
      <c r="N31" s="23">
        <v>33284</v>
      </c>
      <c r="O31" s="23">
        <v>34589</v>
      </c>
      <c r="P31" s="23">
        <v>33055</v>
      </c>
      <c r="Q31" s="23">
        <v>33027</v>
      </c>
      <c r="R31" s="23">
        <v>34946</v>
      </c>
      <c r="S31" s="23">
        <v>38919</v>
      </c>
      <c r="T31" s="23">
        <v>40990</v>
      </c>
      <c r="U31" s="23">
        <v>42714</v>
      </c>
      <c r="V31" s="23">
        <v>44439</v>
      </c>
      <c r="W31" s="23">
        <v>47700</v>
      </c>
      <c r="X31" s="23">
        <v>39154</v>
      </c>
      <c r="Y31" s="23">
        <v>42823</v>
      </c>
      <c r="Z31" s="23">
        <v>48840</v>
      </c>
      <c r="AA31" s="23">
        <v>53367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34959</v>
      </c>
      <c r="E32" s="23">
        <v>37138</v>
      </c>
      <c r="F32" s="23">
        <v>38623</v>
      </c>
      <c r="G32" s="23">
        <v>41211</v>
      </c>
      <c r="H32" s="23">
        <v>44100</v>
      </c>
      <c r="I32" s="23">
        <v>47010</v>
      </c>
      <c r="J32" s="23">
        <v>51125</v>
      </c>
      <c r="K32" s="23">
        <v>55329</v>
      </c>
      <c r="L32" s="23">
        <v>60572</v>
      </c>
      <c r="M32" s="23">
        <v>63743</v>
      </c>
      <c r="N32" s="23">
        <v>65358</v>
      </c>
      <c r="O32" s="23">
        <v>65114</v>
      </c>
      <c r="P32" s="23">
        <v>61920</v>
      </c>
      <c r="Q32" s="23">
        <v>62771</v>
      </c>
      <c r="R32" s="23">
        <v>62536</v>
      </c>
      <c r="S32" s="23">
        <v>63221</v>
      </c>
      <c r="T32" s="23">
        <v>63515</v>
      </c>
      <c r="U32" s="23">
        <v>63716</v>
      </c>
      <c r="V32" s="23">
        <v>65339</v>
      </c>
      <c r="W32" s="23">
        <v>68136</v>
      </c>
      <c r="X32" s="23">
        <v>69624</v>
      </c>
      <c r="Y32" s="23">
        <v>72870</v>
      </c>
      <c r="Z32" s="23">
        <v>76113</v>
      </c>
      <c r="AA32" s="23">
        <v>78703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30651</v>
      </c>
      <c r="E33" s="23">
        <v>32968</v>
      </c>
      <c r="F33" s="23">
        <v>34902</v>
      </c>
      <c r="G33" s="23">
        <v>37023</v>
      </c>
      <c r="H33" s="23">
        <v>39578</v>
      </c>
      <c r="I33" s="23">
        <v>41737</v>
      </c>
      <c r="J33" s="23">
        <v>44422</v>
      </c>
      <c r="K33" s="23">
        <v>47810</v>
      </c>
      <c r="L33" s="23">
        <v>51632</v>
      </c>
      <c r="M33" s="23">
        <v>54538</v>
      </c>
      <c r="N33" s="23">
        <v>54366</v>
      </c>
      <c r="O33" s="23">
        <v>54348</v>
      </c>
      <c r="P33" s="23">
        <v>52395</v>
      </c>
      <c r="Q33" s="23">
        <v>52274</v>
      </c>
      <c r="R33" s="23">
        <v>52424</v>
      </c>
      <c r="S33" s="23">
        <v>54258</v>
      </c>
      <c r="T33" s="23">
        <v>55805</v>
      </c>
      <c r="U33" s="23">
        <v>57376</v>
      </c>
      <c r="V33" s="23">
        <v>58701</v>
      </c>
      <c r="W33" s="23">
        <v>60183</v>
      </c>
      <c r="X33" s="23">
        <v>59696</v>
      </c>
      <c r="Y33" s="23">
        <v>60402</v>
      </c>
      <c r="Z33" s="23">
        <v>63814</v>
      </c>
      <c r="AA33" s="23">
        <v>69349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27995</v>
      </c>
      <c r="E34" s="23">
        <v>29926</v>
      </c>
      <c r="F34" s="23">
        <v>33162</v>
      </c>
      <c r="G34" s="23">
        <v>37298</v>
      </c>
      <c r="H34" s="23">
        <v>40700</v>
      </c>
      <c r="I34" s="23">
        <v>44852</v>
      </c>
      <c r="J34" s="23">
        <v>48506</v>
      </c>
      <c r="K34" s="23">
        <v>53460</v>
      </c>
      <c r="L34" s="23">
        <v>59752</v>
      </c>
      <c r="M34" s="23">
        <v>63381</v>
      </c>
      <c r="N34" s="23">
        <v>63363</v>
      </c>
      <c r="O34" s="23">
        <v>63610</v>
      </c>
      <c r="P34" s="23">
        <v>60848</v>
      </c>
      <c r="Q34" s="23">
        <v>60492</v>
      </c>
      <c r="R34" s="23">
        <v>59774</v>
      </c>
      <c r="S34" s="23">
        <v>62359</v>
      </c>
      <c r="T34" s="23">
        <v>64814</v>
      </c>
      <c r="U34" s="23">
        <v>67584</v>
      </c>
      <c r="V34" s="23">
        <v>70094</v>
      </c>
      <c r="W34" s="23">
        <v>74553</v>
      </c>
      <c r="X34" s="23">
        <v>75312</v>
      </c>
      <c r="Y34" s="23">
        <v>77044</v>
      </c>
      <c r="Z34" s="23">
        <v>80380</v>
      </c>
      <c r="AA34" s="23">
        <v>86900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9267</v>
      </c>
      <c r="E35" s="23">
        <v>10204</v>
      </c>
      <c r="F35" s="23">
        <v>11111</v>
      </c>
      <c r="G35" s="23">
        <v>11961</v>
      </c>
      <c r="H35" s="23">
        <v>13029</v>
      </c>
      <c r="I35" s="23">
        <v>14649</v>
      </c>
      <c r="J35" s="23">
        <v>15571</v>
      </c>
      <c r="K35" s="23">
        <v>16434</v>
      </c>
      <c r="L35" s="23">
        <v>18035</v>
      </c>
      <c r="M35" s="23">
        <v>18518</v>
      </c>
      <c r="N35" s="23">
        <v>19100</v>
      </c>
      <c r="O35" s="23">
        <v>19338</v>
      </c>
      <c r="P35" s="23">
        <v>18792</v>
      </c>
      <c r="Q35" s="23">
        <v>18351</v>
      </c>
      <c r="R35" s="23">
        <v>18314</v>
      </c>
      <c r="S35" s="23">
        <v>20359</v>
      </c>
      <c r="T35" s="23">
        <v>20682</v>
      </c>
      <c r="U35" s="23">
        <v>22681</v>
      </c>
      <c r="V35" s="23">
        <v>23643</v>
      </c>
      <c r="W35" s="23">
        <v>23220</v>
      </c>
      <c r="X35" s="23">
        <v>16070</v>
      </c>
      <c r="Y35" s="23">
        <v>16858</v>
      </c>
      <c r="Z35" s="23">
        <v>21905</v>
      </c>
      <c r="AA35" s="23">
        <v>21434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8405</v>
      </c>
      <c r="E36" s="23">
        <v>8833</v>
      </c>
      <c r="F36" s="23">
        <v>9362</v>
      </c>
      <c r="G36" s="23">
        <v>9843</v>
      </c>
      <c r="H36" s="23">
        <v>10423</v>
      </c>
      <c r="I36" s="23">
        <v>11215</v>
      </c>
      <c r="J36" s="23">
        <v>11928</v>
      </c>
      <c r="K36" s="23">
        <v>12993</v>
      </c>
      <c r="L36" s="23">
        <v>14190</v>
      </c>
      <c r="M36" s="23">
        <v>14703</v>
      </c>
      <c r="N36" s="23">
        <v>15197</v>
      </c>
      <c r="O36" s="23">
        <v>15923</v>
      </c>
      <c r="P36" s="23">
        <v>16381</v>
      </c>
      <c r="Q36" s="23">
        <v>16585</v>
      </c>
      <c r="R36" s="23">
        <v>16941</v>
      </c>
      <c r="S36" s="23">
        <v>18143</v>
      </c>
      <c r="T36" s="23">
        <v>19032</v>
      </c>
      <c r="U36" s="23">
        <v>19888</v>
      </c>
      <c r="V36" s="23">
        <v>19989</v>
      </c>
      <c r="W36" s="23">
        <v>21384</v>
      </c>
      <c r="X36" s="23">
        <v>18212</v>
      </c>
      <c r="Y36" s="23">
        <v>17962</v>
      </c>
      <c r="Z36" s="23">
        <v>20918</v>
      </c>
      <c r="AA36" s="23">
        <v>22845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5809</v>
      </c>
      <c r="E37" s="23">
        <v>6178</v>
      </c>
      <c r="F37" s="23">
        <v>6529</v>
      </c>
      <c r="G37" s="23">
        <v>7029</v>
      </c>
      <c r="H37" s="23">
        <v>7492</v>
      </c>
      <c r="I37" s="23">
        <v>8068</v>
      </c>
      <c r="J37" s="23">
        <v>8672</v>
      </c>
      <c r="K37" s="23">
        <v>9294</v>
      </c>
      <c r="L37" s="23">
        <v>9776</v>
      </c>
      <c r="M37" s="23">
        <v>10072</v>
      </c>
      <c r="N37" s="23">
        <v>10622</v>
      </c>
      <c r="O37" s="23">
        <v>10480</v>
      </c>
      <c r="P37" s="23">
        <v>9721</v>
      </c>
      <c r="Q37" s="23">
        <v>9419</v>
      </c>
      <c r="R37" s="23">
        <v>9519</v>
      </c>
      <c r="S37" s="23">
        <v>9718</v>
      </c>
      <c r="T37" s="23">
        <v>9761</v>
      </c>
      <c r="U37" s="23">
        <v>9946</v>
      </c>
      <c r="V37" s="23">
        <v>10260</v>
      </c>
      <c r="W37" s="23">
        <v>9996</v>
      </c>
      <c r="X37" s="23">
        <v>9292</v>
      </c>
      <c r="Y37" s="23">
        <v>9913</v>
      </c>
      <c r="Z37" s="23">
        <v>10152</v>
      </c>
      <c r="AA37" s="23">
        <v>11048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588595</v>
      </c>
      <c r="E39" s="30">
        <f t="shared" ref="E39:Y39" si="2">SUM(E18:E38)</f>
        <v>638972</v>
      </c>
      <c r="F39" s="30">
        <f t="shared" si="2"/>
        <v>683365</v>
      </c>
      <c r="G39" s="30">
        <f t="shared" si="2"/>
        <v>728182</v>
      </c>
      <c r="H39" s="30">
        <f t="shared" si="2"/>
        <v>775872</v>
      </c>
      <c r="I39" s="30">
        <f t="shared" si="2"/>
        <v>833031</v>
      </c>
      <c r="J39" s="30">
        <f t="shared" si="2"/>
        <v>898262</v>
      </c>
      <c r="K39" s="30">
        <f t="shared" si="2"/>
        <v>970997</v>
      </c>
      <c r="L39" s="30">
        <f t="shared" si="2"/>
        <v>1025304</v>
      </c>
      <c r="M39" s="30">
        <f t="shared" si="2"/>
        <v>1005567</v>
      </c>
      <c r="N39" s="30">
        <f t="shared" si="2"/>
        <v>989756</v>
      </c>
      <c r="O39" s="30">
        <f t="shared" si="2"/>
        <v>984997</v>
      </c>
      <c r="P39" s="30">
        <f t="shared" si="2"/>
        <v>953037</v>
      </c>
      <c r="Q39" s="30">
        <f t="shared" si="2"/>
        <v>937641</v>
      </c>
      <c r="R39" s="30">
        <f t="shared" si="2"/>
        <v>946493</v>
      </c>
      <c r="S39" s="30">
        <f t="shared" si="2"/>
        <v>987936</v>
      </c>
      <c r="T39" s="30">
        <f t="shared" si="2"/>
        <v>1019400</v>
      </c>
      <c r="U39" s="30">
        <f t="shared" si="2"/>
        <v>1061122</v>
      </c>
      <c r="V39" s="30">
        <f t="shared" si="2"/>
        <v>1097845</v>
      </c>
      <c r="W39" s="30">
        <f t="shared" si="2"/>
        <v>1137968</v>
      </c>
      <c r="X39" s="30">
        <f t="shared" si="2"/>
        <v>1030964</v>
      </c>
      <c r="Y39" s="30">
        <f t="shared" si="2"/>
        <v>1118595</v>
      </c>
      <c r="Z39" s="30">
        <f t="shared" ref="Z39:AA39" si="3">SUM(Z18:Z38)</f>
        <v>1254715</v>
      </c>
      <c r="AA39" s="30">
        <f t="shared" si="3"/>
        <v>1366751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14564</v>
      </c>
      <c r="E41" s="19">
        <v>15295</v>
      </c>
      <c r="F41" s="19">
        <v>16032</v>
      </c>
      <c r="G41" s="19">
        <v>17263</v>
      </c>
      <c r="H41" s="19">
        <v>18099</v>
      </c>
      <c r="I41" s="19">
        <v>20069</v>
      </c>
      <c r="J41" s="19">
        <v>20596</v>
      </c>
      <c r="K41" s="19">
        <v>22649</v>
      </c>
      <c r="L41" s="19">
        <v>23743</v>
      </c>
      <c r="M41" s="19">
        <v>23520</v>
      </c>
      <c r="N41" s="19">
        <v>23975</v>
      </c>
      <c r="O41" s="19">
        <v>24832</v>
      </c>
      <c r="P41" s="19">
        <v>24208</v>
      </c>
      <c r="Q41" s="19">
        <v>23723</v>
      </c>
      <c r="R41" s="19">
        <v>23693</v>
      </c>
      <c r="S41" s="19">
        <v>24035</v>
      </c>
      <c r="T41" s="19">
        <v>24351</v>
      </c>
      <c r="U41" s="19">
        <v>25002</v>
      </c>
      <c r="V41" s="19">
        <v>23761</v>
      </c>
      <c r="W41" s="19">
        <v>25333</v>
      </c>
      <c r="X41" s="19">
        <v>23924</v>
      </c>
      <c r="Y41" s="19">
        <v>25025</v>
      </c>
      <c r="Z41" s="19">
        <v>29286</v>
      </c>
      <c r="AA41" s="19">
        <v>33188.408555901828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7576</v>
      </c>
      <c r="E42" s="23">
        <v>8106</v>
      </c>
      <c r="F42" s="23">
        <v>8138</v>
      </c>
      <c r="G42" s="23">
        <v>8528</v>
      </c>
      <c r="H42" s="23">
        <v>8303</v>
      </c>
      <c r="I42" s="23">
        <v>8241</v>
      </c>
      <c r="J42" s="23">
        <v>8587</v>
      </c>
      <c r="K42" s="23">
        <v>8641</v>
      </c>
      <c r="L42" s="23">
        <v>8744</v>
      </c>
      <c r="M42" s="23">
        <v>7742</v>
      </c>
      <c r="N42" s="23">
        <v>7921</v>
      </c>
      <c r="O42" s="23">
        <v>8833</v>
      </c>
      <c r="P42" s="23">
        <v>7987</v>
      </c>
      <c r="Q42" s="23">
        <v>8170</v>
      </c>
      <c r="R42" s="23">
        <v>8263</v>
      </c>
      <c r="S42" s="23">
        <v>8715</v>
      </c>
      <c r="T42" s="23">
        <v>9027</v>
      </c>
      <c r="U42" s="23">
        <v>9356</v>
      </c>
      <c r="V42" s="23">
        <v>9105</v>
      </c>
      <c r="W42" s="23">
        <v>8794</v>
      </c>
      <c r="X42" s="23">
        <v>7630</v>
      </c>
      <c r="Y42" s="23">
        <v>8267</v>
      </c>
      <c r="Z42" s="23">
        <v>8235</v>
      </c>
      <c r="AA42" s="23">
        <v>8475.7126200519251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8921</v>
      </c>
      <c r="E43" s="23">
        <v>9167</v>
      </c>
      <c r="F43" s="23">
        <v>9447</v>
      </c>
      <c r="G43" s="23">
        <v>9425</v>
      </c>
      <c r="H43" s="23">
        <v>9553</v>
      </c>
      <c r="I43" s="23">
        <v>10111</v>
      </c>
      <c r="J43" s="23">
        <v>10394</v>
      </c>
      <c r="K43" s="23">
        <v>10614</v>
      </c>
      <c r="L43" s="23">
        <v>10486</v>
      </c>
      <c r="M43" s="23">
        <v>8884</v>
      </c>
      <c r="N43" s="23">
        <v>9041</v>
      </c>
      <c r="O43" s="23">
        <v>8602</v>
      </c>
      <c r="P43" s="23">
        <v>7713</v>
      </c>
      <c r="Q43" s="23">
        <v>7294</v>
      </c>
      <c r="R43" s="23">
        <v>6845</v>
      </c>
      <c r="S43" s="23">
        <v>7178</v>
      </c>
      <c r="T43" s="23">
        <v>7303</v>
      </c>
      <c r="U43" s="23">
        <v>7823</v>
      </c>
      <c r="V43" s="23">
        <v>8076</v>
      </c>
      <c r="W43" s="23">
        <v>8321</v>
      </c>
      <c r="X43" s="23">
        <v>7559</v>
      </c>
      <c r="Y43" s="23">
        <v>8425</v>
      </c>
      <c r="Z43" s="23">
        <v>9331</v>
      </c>
      <c r="AA43" s="23">
        <v>10126.564095631753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2710</v>
      </c>
      <c r="E44" s="23">
        <v>2879</v>
      </c>
      <c r="F44" s="23">
        <v>2753</v>
      </c>
      <c r="G44" s="23">
        <v>3269</v>
      </c>
      <c r="H44" s="23">
        <v>3411</v>
      </c>
      <c r="I44" s="23">
        <v>3684</v>
      </c>
      <c r="J44" s="23">
        <v>3168</v>
      </c>
      <c r="K44" s="23">
        <v>2519</v>
      </c>
      <c r="L44" s="23">
        <v>1712</v>
      </c>
      <c r="M44" s="23">
        <v>1113</v>
      </c>
      <c r="N44" s="23">
        <v>1722</v>
      </c>
      <c r="O44" s="23">
        <v>2371</v>
      </c>
      <c r="P44" s="23">
        <v>2012</v>
      </c>
      <c r="Q44" s="23">
        <v>1184</v>
      </c>
      <c r="R44" s="23">
        <v>772</v>
      </c>
      <c r="S44" s="23">
        <v>2806</v>
      </c>
      <c r="T44" s="23">
        <v>3276</v>
      </c>
      <c r="U44" s="23">
        <v>3679</v>
      </c>
      <c r="V44" s="23">
        <v>3230</v>
      </c>
      <c r="W44" s="23">
        <v>2706</v>
      </c>
      <c r="X44" s="23">
        <v>-458</v>
      </c>
      <c r="Y44" s="23">
        <v>2764</v>
      </c>
      <c r="Z44" s="23">
        <v>8153</v>
      </c>
      <c r="AA44" s="23">
        <v>11630.705253733357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6712</v>
      </c>
      <c r="E45" s="23">
        <v>7218</v>
      </c>
      <c r="F45" s="23">
        <v>7332</v>
      </c>
      <c r="G45" s="23">
        <v>7232</v>
      </c>
      <c r="H45" s="23">
        <v>7597</v>
      </c>
      <c r="I45" s="23">
        <v>7851</v>
      </c>
      <c r="J45" s="23">
        <v>8152</v>
      </c>
      <c r="K45" s="23">
        <v>8313</v>
      </c>
      <c r="L45" s="23">
        <v>8561</v>
      </c>
      <c r="M45" s="23">
        <v>7748</v>
      </c>
      <c r="N45" s="23">
        <v>8527</v>
      </c>
      <c r="O45" s="23">
        <v>8939</v>
      </c>
      <c r="P45" s="23">
        <v>7999</v>
      </c>
      <c r="Q45" s="23">
        <v>7532</v>
      </c>
      <c r="R45" s="23">
        <v>7867</v>
      </c>
      <c r="S45" s="23">
        <v>8276</v>
      </c>
      <c r="T45" s="23">
        <v>8895</v>
      </c>
      <c r="U45" s="23">
        <v>9448</v>
      </c>
      <c r="V45" s="23">
        <v>9092</v>
      </c>
      <c r="W45" s="23">
        <v>9755</v>
      </c>
      <c r="X45" s="23">
        <v>9541</v>
      </c>
      <c r="Y45" s="23">
        <v>11344</v>
      </c>
      <c r="Z45" s="23">
        <v>10665</v>
      </c>
      <c r="AA45" s="23">
        <v>10663.823965451538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3512</v>
      </c>
      <c r="E46" s="23">
        <v>3928</v>
      </c>
      <c r="F46" s="23">
        <v>4188</v>
      </c>
      <c r="G46" s="23">
        <v>4482</v>
      </c>
      <c r="H46" s="23">
        <v>4843</v>
      </c>
      <c r="I46" s="23">
        <v>5304</v>
      </c>
      <c r="J46" s="23">
        <v>5855</v>
      </c>
      <c r="K46" s="23">
        <v>6389</v>
      </c>
      <c r="L46" s="23">
        <v>6966</v>
      </c>
      <c r="M46" s="23">
        <v>6647</v>
      </c>
      <c r="N46" s="23">
        <v>5455</v>
      </c>
      <c r="O46" s="23">
        <v>5021</v>
      </c>
      <c r="P46" s="23">
        <v>5266</v>
      </c>
      <c r="Q46" s="23">
        <v>6221</v>
      </c>
      <c r="R46" s="23">
        <v>7035</v>
      </c>
      <c r="S46" s="23">
        <v>7036</v>
      </c>
      <c r="T46" s="23">
        <v>7229</v>
      </c>
      <c r="U46" s="23">
        <v>7360</v>
      </c>
      <c r="V46" s="23">
        <v>6701</v>
      </c>
      <c r="W46" s="23">
        <v>7164</v>
      </c>
      <c r="X46" s="23">
        <v>7886</v>
      </c>
      <c r="Y46" s="23">
        <v>9004</v>
      </c>
      <c r="Z46" s="23">
        <v>7520</v>
      </c>
      <c r="AA46" s="23">
        <v>6836.2868140525852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12915</v>
      </c>
      <c r="E47" s="23">
        <v>13562</v>
      </c>
      <c r="F47" s="23">
        <v>13870</v>
      </c>
      <c r="G47" s="23">
        <v>13821</v>
      </c>
      <c r="H47" s="23">
        <v>14208</v>
      </c>
      <c r="I47" s="23">
        <v>14996</v>
      </c>
      <c r="J47" s="23">
        <v>15120</v>
      </c>
      <c r="K47" s="23">
        <v>15310</v>
      </c>
      <c r="L47" s="23">
        <v>15736</v>
      </c>
      <c r="M47" s="23">
        <v>12495</v>
      </c>
      <c r="N47" s="23">
        <v>11798</v>
      </c>
      <c r="O47" s="23">
        <v>11176</v>
      </c>
      <c r="P47" s="23">
        <v>9979</v>
      </c>
      <c r="Q47" s="23">
        <v>9965</v>
      </c>
      <c r="R47" s="23">
        <v>10249</v>
      </c>
      <c r="S47" s="23">
        <v>10775</v>
      </c>
      <c r="T47" s="23">
        <v>11132</v>
      </c>
      <c r="U47" s="23">
        <v>11793</v>
      </c>
      <c r="V47" s="23">
        <v>12153</v>
      </c>
      <c r="W47" s="23">
        <v>13159</v>
      </c>
      <c r="X47" s="23">
        <v>12657</v>
      </c>
      <c r="Y47" s="23">
        <v>13620</v>
      </c>
      <c r="Z47" s="23">
        <v>13989</v>
      </c>
      <c r="AA47" s="23">
        <v>14619.961804472972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16512</v>
      </c>
      <c r="E48" s="23">
        <v>17395</v>
      </c>
      <c r="F48" s="23">
        <v>17685</v>
      </c>
      <c r="G48" s="23">
        <v>17688</v>
      </c>
      <c r="H48" s="23">
        <v>17970</v>
      </c>
      <c r="I48" s="23">
        <v>18244</v>
      </c>
      <c r="J48" s="23">
        <v>19510</v>
      </c>
      <c r="K48" s="23">
        <v>19766</v>
      </c>
      <c r="L48" s="23">
        <v>19635</v>
      </c>
      <c r="M48" s="23">
        <v>15593</v>
      </c>
      <c r="N48" s="23">
        <v>15640</v>
      </c>
      <c r="O48" s="23">
        <v>14830</v>
      </c>
      <c r="P48" s="23">
        <v>13467</v>
      </c>
      <c r="Q48" s="23">
        <v>13046</v>
      </c>
      <c r="R48" s="23">
        <v>13790</v>
      </c>
      <c r="S48" s="23">
        <v>14317</v>
      </c>
      <c r="T48" s="23">
        <v>14925</v>
      </c>
      <c r="U48" s="23">
        <v>16586</v>
      </c>
      <c r="V48" s="23">
        <v>17340</v>
      </c>
      <c r="W48" s="23">
        <v>16376</v>
      </c>
      <c r="X48" s="23">
        <v>15347</v>
      </c>
      <c r="Y48" s="23">
        <v>19314</v>
      </c>
      <c r="Z48" s="23">
        <v>19103</v>
      </c>
      <c r="AA48" s="23">
        <v>19591.651033036207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3099</v>
      </c>
      <c r="E49" s="23">
        <v>3127</v>
      </c>
      <c r="F49" s="23">
        <v>2551</v>
      </c>
      <c r="G49" s="23">
        <v>2429</v>
      </c>
      <c r="H49" s="23">
        <v>2228</v>
      </c>
      <c r="I49" s="23">
        <v>2325</v>
      </c>
      <c r="J49" s="23">
        <v>2331</v>
      </c>
      <c r="K49" s="23">
        <v>2612</v>
      </c>
      <c r="L49" s="23">
        <v>2697</v>
      </c>
      <c r="M49" s="23">
        <v>2403</v>
      </c>
      <c r="N49" s="23">
        <v>2123</v>
      </c>
      <c r="O49" s="23">
        <v>2073</v>
      </c>
      <c r="P49" s="23">
        <v>1950</v>
      </c>
      <c r="Q49" s="23">
        <v>1849</v>
      </c>
      <c r="R49" s="23">
        <v>1621</v>
      </c>
      <c r="S49" s="23">
        <v>1554</v>
      </c>
      <c r="T49" s="23">
        <v>1559</v>
      </c>
      <c r="U49" s="23">
        <v>1662</v>
      </c>
      <c r="V49" s="23">
        <v>1756</v>
      </c>
      <c r="W49" s="23">
        <v>1898</v>
      </c>
      <c r="X49" s="23">
        <v>1715</v>
      </c>
      <c r="Y49" s="23">
        <v>1965</v>
      </c>
      <c r="Z49" s="23">
        <v>2169</v>
      </c>
      <c r="AA49" s="23">
        <v>2349.9728090939493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3994</v>
      </c>
      <c r="E50" s="23">
        <v>4191</v>
      </c>
      <c r="F50" s="23">
        <v>4322</v>
      </c>
      <c r="G50" s="23">
        <v>4511</v>
      </c>
      <c r="H50" s="23">
        <v>4694</v>
      </c>
      <c r="I50" s="23">
        <v>4508</v>
      </c>
      <c r="J50" s="23">
        <v>5420</v>
      </c>
      <c r="K50" s="23">
        <v>5544</v>
      </c>
      <c r="L50" s="23">
        <v>5819</v>
      </c>
      <c r="M50" s="23">
        <v>4889</v>
      </c>
      <c r="N50" s="23">
        <v>4729</v>
      </c>
      <c r="O50" s="23">
        <v>3990</v>
      </c>
      <c r="P50" s="23">
        <v>3698</v>
      </c>
      <c r="Q50" s="23">
        <v>3635</v>
      </c>
      <c r="R50" s="23">
        <v>3718</v>
      </c>
      <c r="S50" s="23">
        <v>3999</v>
      </c>
      <c r="T50" s="23">
        <v>4163</v>
      </c>
      <c r="U50" s="23">
        <v>4311</v>
      </c>
      <c r="V50" s="23">
        <v>4695</v>
      </c>
      <c r="W50" s="23">
        <v>4521</v>
      </c>
      <c r="X50" s="23">
        <v>4195</v>
      </c>
      <c r="Y50" s="23">
        <v>4554</v>
      </c>
      <c r="Z50" s="23">
        <v>4721</v>
      </c>
      <c r="AA50" s="23">
        <v>4956.8899155285644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5615</v>
      </c>
      <c r="E51" s="23">
        <v>6049</v>
      </c>
      <c r="F51" s="23">
        <v>6247</v>
      </c>
      <c r="G51" s="23">
        <v>6204</v>
      </c>
      <c r="H51" s="23">
        <v>6504</v>
      </c>
      <c r="I51" s="23">
        <v>6575</v>
      </c>
      <c r="J51" s="23">
        <v>6835</v>
      </c>
      <c r="K51" s="23">
        <v>7018</v>
      </c>
      <c r="L51" s="23">
        <v>7376</v>
      </c>
      <c r="M51" s="23">
        <v>6513</v>
      </c>
      <c r="N51" s="23">
        <v>6186</v>
      </c>
      <c r="O51" s="23">
        <v>6337</v>
      </c>
      <c r="P51" s="23">
        <v>6511</v>
      </c>
      <c r="Q51" s="23">
        <v>6506</v>
      </c>
      <c r="R51" s="23">
        <v>6854</v>
      </c>
      <c r="S51" s="23">
        <v>6520</v>
      </c>
      <c r="T51" s="23">
        <v>6401</v>
      </c>
      <c r="U51" s="23">
        <v>6940</v>
      </c>
      <c r="V51" s="23">
        <v>7277</v>
      </c>
      <c r="W51" s="23">
        <v>7647</v>
      </c>
      <c r="X51" s="23">
        <v>7175</v>
      </c>
      <c r="Y51" s="23">
        <v>7744</v>
      </c>
      <c r="Z51" s="23">
        <v>7941</v>
      </c>
      <c r="AA51" s="23">
        <v>8292.4890823315291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12058</v>
      </c>
      <c r="E52" s="23">
        <v>12381</v>
      </c>
      <c r="F52" s="23">
        <v>13375</v>
      </c>
      <c r="G52" s="23">
        <v>14073</v>
      </c>
      <c r="H52" s="23">
        <v>14106</v>
      </c>
      <c r="I52" s="23">
        <v>13850</v>
      </c>
      <c r="J52" s="23">
        <v>14908</v>
      </c>
      <c r="K52" s="23">
        <v>15420</v>
      </c>
      <c r="L52" s="23">
        <v>14776</v>
      </c>
      <c r="M52" s="23">
        <v>13091</v>
      </c>
      <c r="N52" s="23">
        <v>12330</v>
      </c>
      <c r="O52" s="23">
        <v>12974</v>
      </c>
      <c r="P52" s="23">
        <v>11751</v>
      </c>
      <c r="Q52" s="23">
        <v>13343</v>
      </c>
      <c r="R52" s="23">
        <v>14392</v>
      </c>
      <c r="S52" s="23">
        <v>14742</v>
      </c>
      <c r="T52" s="23">
        <v>14876</v>
      </c>
      <c r="U52" s="23">
        <v>15858</v>
      </c>
      <c r="V52" s="23">
        <v>17113</v>
      </c>
      <c r="W52" s="23">
        <v>17245</v>
      </c>
      <c r="X52" s="23">
        <v>15316</v>
      </c>
      <c r="Y52" s="23">
        <v>16057</v>
      </c>
      <c r="Z52" s="23">
        <v>17847</v>
      </c>
      <c r="AA52" s="23">
        <v>19817.578244469045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7153</v>
      </c>
      <c r="E53" s="23">
        <v>7662</v>
      </c>
      <c r="F53" s="23">
        <v>7945</v>
      </c>
      <c r="G53" s="23">
        <v>8281</v>
      </c>
      <c r="H53" s="23">
        <v>9044</v>
      </c>
      <c r="I53" s="23">
        <v>9558</v>
      </c>
      <c r="J53" s="23">
        <v>10493</v>
      </c>
      <c r="K53" s="23">
        <v>11048</v>
      </c>
      <c r="L53" s="23">
        <v>11637</v>
      </c>
      <c r="M53" s="23">
        <v>10909</v>
      </c>
      <c r="N53" s="23">
        <v>10269</v>
      </c>
      <c r="O53" s="23">
        <v>9731</v>
      </c>
      <c r="P53" s="23">
        <v>9466</v>
      </c>
      <c r="Q53" s="23">
        <v>8982</v>
      </c>
      <c r="R53" s="23">
        <v>9160</v>
      </c>
      <c r="S53" s="23">
        <v>9779</v>
      </c>
      <c r="T53" s="23">
        <v>9859</v>
      </c>
      <c r="U53" s="23">
        <v>10225</v>
      </c>
      <c r="V53" s="23">
        <v>10489</v>
      </c>
      <c r="W53" s="23">
        <v>11187</v>
      </c>
      <c r="X53" s="23">
        <v>10069</v>
      </c>
      <c r="Y53" s="23">
        <v>10983</v>
      </c>
      <c r="Z53" s="23">
        <v>12770</v>
      </c>
      <c r="AA53" s="23">
        <v>13469.955806244747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105341</v>
      </c>
      <c r="E54" s="30">
        <f t="shared" ref="E54:Y54" si="4">SUM(E41:E53)</f>
        <v>110960</v>
      </c>
      <c r="F54" s="30">
        <f t="shared" si="4"/>
        <v>113885</v>
      </c>
      <c r="G54" s="30">
        <f t="shared" si="4"/>
        <v>117206</v>
      </c>
      <c r="H54" s="30">
        <f t="shared" si="4"/>
        <v>120560</v>
      </c>
      <c r="I54" s="30">
        <f t="shared" si="4"/>
        <v>125316</v>
      </c>
      <c r="J54" s="30">
        <f t="shared" si="4"/>
        <v>131369</v>
      </c>
      <c r="K54" s="30">
        <f t="shared" si="4"/>
        <v>135843</v>
      </c>
      <c r="L54" s="30">
        <f t="shared" si="4"/>
        <v>137888</v>
      </c>
      <c r="M54" s="30">
        <f t="shared" si="4"/>
        <v>121547</v>
      </c>
      <c r="N54" s="30">
        <f t="shared" si="4"/>
        <v>119716</v>
      </c>
      <c r="O54" s="30">
        <f t="shared" si="4"/>
        <v>119709</v>
      </c>
      <c r="P54" s="30">
        <f t="shared" si="4"/>
        <v>112007</v>
      </c>
      <c r="Q54" s="30">
        <f t="shared" si="4"/>
        <v>111450</v>
      </c>
      <c r="R54" s="30">
        <f t="shared" si="4"/>
        <v>114259</v>
      </c>
      <c r="S54" s="30">
        <f t="shared" si="4"/>
        <v>119732</v>
      </c>
      <c r="T54" s="30">
        <f t="shared" si="4"/>
        <v>122996</v>
      </c>
      <c r="U54" s="30">
        <f t="shared" si="4"/>
        <v>130043</v>
      </c>
      <c r="V54" s="30">
        <f t="shared" si="4"/>
        <v>130788</v>
      </c>
      <c r="W54" s="30">
        <f t="shared" si="4"/>
        <v>134106</v>
      </c>
      <c r="X54" s="30">
        <f t="shared" si="4"/>
        <v>122556</v>
      </c>
      <c r="Y54" s="30">
        <f t="shared" si="4"/>
        <v>139066</v>
      </c>
      <c r="Z54" s="30">
        <f t="shared" ref="Z54:AA54" si="5">SUM(Z41:Z53)</f>
        <v>151730</v>
      </c>
      <c r="AA54" s="30">
        <f t="shared" si="5"/>
        <v>164020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14564</v>
      </c>
      <c r="E56" s="19">
        <v>15295</v>
      </c>
      <c r="F56" s="19">
        <v>16032</v>
      </c>
      <c r="G56" s="19">
        <v>17263</v>
      </c>
      <c r="H56" s="19">
        <v>18099</v>
      </c>
      <c r="I56" s="19">
        <v>20069</v>
      </c>
      <c r="J56" s="19">
        <v>20596</v>
      </c>
      <c r="K56" s="19">
        <v>22649</v>
      </c>
      <c r="L56" s="19">
        <v>23743</v>
      </c>
      <c r="M56" s="19">
        <v>23520</v>
      </c>
      <c r="N56" s="19">
        <v>23975</v>
      </c>
      <c r="O56" s="19">
        <v>24832</v>
      </c>
      <c r="P56" s="19">
        <v>24208</v>
      </c>
      <c r="Q56" s="19">
        <v>23723</v>
      </c>
      <c r="R56" s="19">
        <v>23693</v>
      </c>
      <c r="S56" s="19">
        <v>24035</v>
      </c>
      <c r="T56" s="19">
        <v>24351</v>
      </c>
      <c r="U56" s="19">
        <v>25002</v>
      </c>
      <c r="V56" s="19">
        <v>23761</v>
      </c>
      <c r="W56" s="19">
        <v>25333</v>
      </c>
      <c r="X56" s="19">
        <v>23924</v>
      </c>
      <c r="Y56" s="19">
        <v>25025</v>
      </c>
      <c r="Z56" s="19">
        <v>29286</v>
      </c>
      <c r="AA56" s="19">
        <v>33188.408555901828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7576</v>
      </c>
      <c r="E57" s="23">
        <v>8106</v>
      </c>
      <c r="F57" s="23">
        <v>8138</v>
      </c>
      <c r="G57" s="23">
        <v>8528</v>
      </c>
      <c r="H57" s="23">
        <v>8303</v>
      </c>
      <c r="I57" s="23">
        <v>8241</v>
      </c>
      <c r="J57" s="23">
        <v>8587</v>
      </c>
      <c r="K57" s="23">
        <v>8641</v>
      </c>
      <c r="L57" s="23">
        <v>8744</v>
      </c>
      <c r="M57" s="23">
        <v>7742</v>
      </c>
      <c r="N57" s="23">
        <v>7921</v>
      </c>
      <c r="O57" s="23">
        <v>8833</v>
      </c>
      <c r="P57" s="23">
        <v>7987</v>
      </c>
      <c r="Q57" s="23">
        <v>8170</v>
      </c>
      <c r="R57" s="23">
        <v>8263</v>
      </c>
      <c r="S57" s="23">
        <v>8715</v>
      </c>
      <c r="T57" s="23">
        <v>9027</v>
      </c>
      <c r="U57" s="23">
        <v>9356</v>
      </c>
      <c r="V57" s="23">
        <v>9105</v>
      </c>
      <c r="W57" s="23">
        <v>8794</v>
      </c>
      <c r="X57" s="23">
        <v>7630</v>
      </c>
      <c r="Y57" s="23">
        <v>8267</v>
      </c>
      <c r="Z57" s="23">
        <v>8235</v>
      </c>
      <c r="AA57" s="23">
        <v>8475.7126200519251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2531</v>
      </c>
      <c r="E58" s="23">
        <v>2556</v>
      </c>
      <c r="F58" s="23">
        <v>2596</v>
      </c>
      <c r="G58" s="23">
        <v>2609</v>
      </c>
      <c r="H58" s="23">
        <v>2637</v>
      </c>
      <c r="I58" s="23">
        <v>2768</v>
      </c>
      <c r="J58" s="23">
        <v>2960</v>
      </c>
      <c r="K58" s="23">
        <v>3020</v>
      </c>
      <c r="L58" s="23">
        <v>2974</v>
      </c>
      <c r="M58" s="23">
        <v>2184</v>
      </c>
      <c r="N58" s="23">
        <v>2009</v>
      </c>
      <c r="O58" s="23">
        <v>1803</v>
      </c>
      <c r="P58" s="23">
        <v>1602</v>
      </c>
      <c r="Q58" s="23">
        <v>1494</v>
      </c>
      <c r="R58" s="23">
        <v>1474</v>
      </c>
      <c r="S58" s="23">
        <v>1607</v>
      </c>
      <c r="T58" s="23">
        <v>1668</v>
      </c>
      <c r="U58" s="23">
        <v>1931</v>
      </c>
      <c r="V58" s="23">
        <v>2017</v>
      </c>
      <c r="W58" s="23">
        <v>2091</v>
      </c>
      <c r="X58" s="23">
        <v>1955</v>
      </c>
      <c r="Y58" s="23">
        <v>2508</v>
      </c>
      <c r="Z58" s="23">
        <v>2887</v>
      </c>
      <c r="AA58" s="23">
        <v>3193.408576599259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2975</v>
      </c>
      <c r="E59" s="23">
        <v>3156</v>
      </c>
      <c r="F59" s="23">
        <v>3200</v>
      </c>
      <c r="G59" s="23">
        <v>3136</v>
      </c>
      <c r="H59" s="23">
        <v>3177</v>
      </c>
      <c r="I59" s="23">
        <v>3206</v>
      </c>
      <c r="J59" s="23">
        <v>3275</v>
      </c>
      <c r="K59" s="23">
        <v>3507</v>
      </c>
      <c r="L59" s="23">
        <v>3507</v>
      </c>
      <c r="M59" s="23">
        <v>3206</v>
      </c>
      <c r="N59" s="23">
        <v>3545</v>
      </c>
      <c r="O59" s="23">
        <v>3647</v>
      </c>
      <c r="P59" s="23">
        <v>3476</v>
      </c>
      <c r="Q59" s="23">
        <v>3398</v>
      </c>
      <c r="R59" s="23">
        <v>3003</v>
      </c>
      <c r="S59" s="23">
        <v>3362</v>
      </c>
      <c r="T59" s="23">
        <v>3423</v>
      </c>
      <c r="U59" s="23">
        <v>3681</v>
      </c>
      <c r="V59" s="23">
        <v>3830</v>
      </c>
      <c r="W59" s="23">
        <v>3957</v>
      </c>
      <c r="X59" s="23">
        <v>3697</v>
      </c>
      <c r="Y59" s="23">
        <v>3801</v>
      </c>
      <c r="Z59" s="23">
        <v>4135</v>
      </c>
      <c r="AA59" s="23">
        <v>4446.4397675095461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3415</v>
      </c>
      <c r="E60" s="23">
        <v>3455</v>
      </c>
      <c r="F60" s="23">
        <v>3651</v>
      </c>
      <c r="G60" s="23">
        <v>3680</v>
      </c>
      <c r="H60" s="23">
        <v>3739</v>
      </c>
      <c r="I60" s="23">
        <v>4137</v>
      </c>
      <c r="J60" s="23">
        <v>4159</v>
      </c>
      <c r="K60" s="23">
        <v>4087</v>
      </c>
      <c r="L60" s="23">
        <v>4005</v>
      </c>
      <c r="M60" s="23">
        <v>3494</v>
      </c>
      <c r="N60" s="23">
        <v>3487</v>
      </c>
      <c r="O60" s="23">
        <v>3152</v>
      </c>
      <c r="P60" s="23">
        <v>2635</v>
      </c>
      <c r="Q60" s="23">
        <v>2402</v>
      </c>
      <c r="R60" s="23">
        <v>2368</v>
      </c>
      <c r="S60" s="23">
        <v>2209</v>
      </c>
      <c r="T60" s="23">
        <v>2212</v>
      </c>
      <c r="U60" s="23">
        <v>2211</v>
      </c>
      <c r="V60" s="23">
        <v>2229</v>
      </c>
      <c r="W60" s="23">
        <v>2273</v>
      </c>
      <c r="X60" s="23">
        <v>1907</v>
      </c>
      <c r="Y60" s="23">
        <v>2116</v>
      </c>
      <c r="Z60" s="23">
        <v>2309</v>
      </c>
      <c r="AA60" s="23">
        <v>2486.7157515229483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2710</v>
      </c>
      <c r="E61" s="23">
        <v>2879</v>
      </c>
      <c r="F61" s="23">
        <v>2753</v>
      </c>
      <c r="G61" s="23">
        <v>3269</v>
      </c>
      <c r="H61" s="23">
        <v>3411</v>
      </c>
      <c r="I61" s="23">
        <v>3684</v>
      </c>
      <c r="J61" s="23">
        <v>3168</v>
      </c>
      <c r="K61" s="23">
        <v>2519</v>
      </c>
      <c r="L61" s="23">
        <v>1712</v>
      </c>
      <c r="M61" s="23">
        <v>1113</v>
      </c>
      <c r="N61" s="23">
        <v>1722</v>
      </c>
      <c r="O61" s="23">
        <v>2371</v>
      </c>
      <c r="P61" s="23">
        <v>2012</v>
      </c>
      <c r="Q61" s="23">
        <v>1184</v>
      </c>
      <c r="R61" s="23">
        <v>772</v>
      </c>
      <c r="S61" s="23">
        <v>2806</v>
      </c>
      <c r="T61" s="23">
        <v>3276</v>
      </c>
      <c r="U61" s="23">
        <v>3679</v>
      </c>
      <c r="V61" s="23">
        <v>3230</v>
      </c>
      <c r="W61" s="23">
        <v>2706</v>
      </c>
      <c r="X61" s="23">
        <v>-458</v>
      </c>
      <c r="Y61" s="23">
        <v>2764</v>
      </c>
      <c r="Z61" s="23">
        <v>8153</v>
      </c>
      <c r="AA61" s="23">
        <v>11630.705253733357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6712</v>
      </c>
      <c r="E62" s="23">
        <v>7218</v>
      </c>
      <c r="F62" s="23">
        <v>7332</v>
      </c>
      <c r="G62" s="23">
        <v>7232</v>
      </c>
      <c r="H62" s="23">
        <v>7597</v>
      </c>
      <c r="I62" s="23">
        <v>7851</v>
      </c>
      <c r="J62" s="23">
        <v>8152</v>
      </c>
      <c r="K62" s="23">
        <v>8313</v>
      </c>
      <c r="L62" s="23">
        <v>8561</v>
      </c>
      <c r="M62" s="23">
        <v>7748</v>
      </c>
      <c r="N62" s="23">
        <v>8527</v>
      </c>
      <c r="O62" s="23">
        <v>8939</v>
      </c>
      <c r="P62" s="23">
        <v>7999</v>
      </c>
      <c r="Q62" s="23">
        <v>7532</v>
      </c>
      <c r="R62" s="23">
        <v>7867</v>
      </c>
      <c r="S62" s="23">
        <v>8276</v>
      </c>
      <c r="T62" s="23">
        <v>8895</v>
      </c>
      <c r="U62" s="23">
        <v>9448</v>
      </c>
      <c r="V62" s="23">
        <v>9092</v>
      </c>
      <c r="W62" s="23">
        <v>9755</v>
      </c>
      <c r="X62" s="23">
        <v>9541</v>
      </c>
      <c r="Y62" s="23">
        <v>11344</v>
      </c>
      <c r="Z62" s="23">
        <v>10665</v>
      </c>
      <c r="AA62" s="23">
        <v>10663.823965451538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3512</v>
      </c>
      <c r="E63" s="23">
        <v>3928</v>
      </c>
      <c r="F63" s="23">
        <v>4188</v>
      </c>
      <c r="G63" s="23">
        <v>4482</v>
      </c>
      <c r="H63" s="23">
        <v>4843</v>
      </c>
      <c r="I63" s="23">
        <v>5304</v>
      </c>
      <c r="J63" s="23">
        <v>5855</v>
      </c>
      <c r="K63" s="23">
        <v>6389</v>
      </c>
      <c r="L63" s="23">
        <v>6966</v>
      </c>
      <c r="M63" s="23">
        <v>6647</v>
      </c>
      <c r="N63" s="23">
        <v>5455</v>
      </c>
      <c r="O63" s="23">
        <v>5021</v>
      </c>
      <c r="P63" s="23">
        <v>5266</v>
      </c>
      <c r="Q63" s="23">
        <v>6221</v>
      </c>
      <c r="R63" s="23">
        <v>7035</v>
      </c>
      <c r="S63" s="23">
        <v>7036</v>
      </c>
      <c r="T63" s="23">
        <v>7229</v>
      </c>
      <c r="U63" s="23">
        <v>7360</v>
      </c>
      <c r="V63" s="23">
        <v>6701</v>
      </c>
      <c r="W63" s="23">
        <v>7164</v>
      </c>
      <c r="X63" s="23">
        <v>7886</v>
      </c>
      <c r="Y63" s="23">
        <v>9004</v>
      </c>
      <c r="Z63" s="23">
        <v>7520</v>
      </c>
      <c r="AA63" s="23">
        <v>6836.2868140525852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4801</v>
      </c>
      <c r="E64" s="23">
        <v>4925</v>
      </c>
      <c r="F64" s="23">
        <v>5117</v>
      </c>
      <c r="G64" s="23">
        <v>5134</v>
      </c>
      <c r="H64" s="23">
        <v>5190</v>
      </c>
      <c r="I64" s="23">
        <v>5196</v>
      </c>
      <c r="J64" s="23">
        <v>5091</v>
      </c>
      <c r="K64" s="23">
        <v>5275</v>
      </c>
      <c r="L64" s="23">
        <v>5812</v>
      </c>
      <c r="M64" s="23">
        <v>5244</v>
      </c>
      <c r="N64" s="23">
        <v>5476</v>
      </c>
      <c r="O64" s="23">
        <v>5384</v>
      </c>
      <c r="P64" s="23">
        <v>5068</v>
      </c>
      <c r="Q64" s="23">
        <v>5430</v>
      </c>
      <c r="R64" s="23">
        <v>5528</v>
      </c>
      <c r="S64" s="23">
        <v>5819</v>
      </c>
      <c r="T64" s="23">
        <v>5863</v>
      </c>
      <c r="U64" s="23">
        <v>6173</v>
      </c>
      <c r="V64" s="23">
        <v>6373</v>
      </c>
      <c r="W64" s="23">
        <v>6577</v>
      </c>
      <c r="X64" s="23">
        <v>6379</v>
      </c>
      <c r="Y64" s="23">
        <v>6950</v>
      </c>
      <c r="Z64" s="23">
        <v>7351</v>
      </c>
      <c r="AA64" s="23">
        <v>7726.9511384749621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8114</v>
      </c>
      <c r="E65" s="23">
        <v>8637</v>
      </c>
      <c r="F65" s="23">
        <v>8753</v>
      </c>
      <c r="G65" s="23">
        <v>8687</v>
      </c>
      <c r="H65" s="23">
        <v>9018</v>
      </c>
      <c r="I65" s="23">
        <v>9800</v>
      </c>
      <c r="J65" s="23">
        <v>10029</v>
      </c>
      <c r="K65" s="23">
        <v>10035</v>
      </c>
      <c r="L65" s="23">
        <v>9924</v>
      </c>
      <c r="M65" s="23">
        <v>7251</v>
      </c>
      <c r="N65" s="23">
        <v>6322</v>
      </c>
      <c r="O65" s="23">
        <v>5792</v>
      </c>
      <c r="P65" s="23">
        <v>4911</v>
      </c>
      <c r="Q65" s="23">
        <v>4535</v>
      </c>
      <c r="R65" s="23">
        <v>4721</v>
      </c>
      <c r="S65" s="23">
        <v>4956</v>
      </c>
      <c r="T65" s="23">
        <v>5269</v>
      </c>
      <c r="U65" s="23">
        <v>5620</v>
      </c>
      <c r="V65" s="23">
        <v>5780</v>
      </c>
      <c r="W65" s="23">
        <v>6582</v>
      </c>
      <c r="X65" s="23">
        <v>6278</v>
      </c>
      <c r="Y65" s="23">
        <v>6670</v>
      </c>
      <c r="Z65" s="23">
        <v>6638</v>
      </c>
      <c r="AA65" s="23">
        <v>6893.0106659980102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6585</v>
      </c>
      <c r="E66" s="23">
        <v>6707</v>
      </c>
      <c r="F66" s="23">
        <v>6386</v>
      </c>
      <c r="G66" s="23">
        <v>5892</v>
      </c>
      <c r="H66" s="23">
        <v>5967</v>
      </c>
      <c r="I66" s="23">
        <v>5499</v>
      </c>
      <c r="J66" s="23">
        <v>6076</v>
      </c>
      <c r="K66" s="23">
        <v>5332</v>
      </c>
      <c r="L66" s="23">
        <v>4698</v>
      </c>
      <c r="M66" s="23">
        <v>3658</v>
      </c>
      <c r="N66" s="23">
        <v>4362</v>
      </c>
      <c r="O66" s="23">
        <v>3993</v>
      </c>
      <c r="P66" s="23">
        <v>3812</v>
      </c>
      <c r="Q66" s="23">
        <v>3588</v>
      </c>
      <c r="R66" s="23">
        <v>3986</v>
      </c>
      <c r="S66" s="23">
        <v>4304</v>
      </c>
      <c r="T66" s="23">
        <v>4447</v>
      </c>
      <c r="U66" s="23">
        <v>5126</v>
      </c>
      <c r="V66" s="23">
        <v>5123</v>
      </c>
      <c r="W66" s="23">
        <v>4183</v>
      </c>
      <c r="X66" s="23">
        <v>3796</v>
      </c>
      <c r="Y66" s="23">
        <v>6397</v>
      </c>
      <c r="Z66" s="23">
        <v>5891</v>
      </c>
      <c r="AA66" s="23">
        <v>5881.3316795383589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9927</v>
      </c>
      <c r="E67" s="23">
        <v>10688</v>
      </c>
      <c r="F67" s="23">
        <v>11299</v>
      </c>
      <c r="G67" s="23">
        <v>11796</v>
      </c>
      <c r="H67" s="23">
        <v>12003</v>
      </c>
      <c r="I67" s="23">
        <v>12745</v>
      </c>
      <c r="J67" s="23">
        <v>13434</v>
      </c>
      <c r="K67" s="23">
        <v>14434</v>
      </c>
      <c r="L67" s="23">
        <v>14937</v>
      </c>
      <c r="M67" s="23">
        <v>11935</v>
      </c>
      <c r="N67" s="23">
        <v>11278</v>
      </c>
      <c r="O67" s="23">
        <v>10837</v>
      </c>
      <c r="P67" s="23">
        <v>9655</v>
      </c>
      <c r="Q67" s="23">
        <v>9458</v>
      </c>
      <c r="R67" s="23">
        <v>9804</v>
      </c>
      <c r="S67" s="23">
        <v>10013</v>
      </c>
      <c r="T67" s="23">
        <v>10478</v>
      </c>
      <c r="U67" s="23">
        <v>11460</v>
      </c>
      <c r="V67" s="23">
        <v>12217</v>
      </c>
      <c r="W67" s="23">
        <v>12193</v>
      </c>
      <c r="X67" s="23">
        <v>11551</v>
      </c>
      <c r="Y67" s="23">
        <v>12917</v>
      </c>
      <c r="Z67" s="23">
        <v>13212</v>
      </c>
      <c r="AA67" s="23">
        <v>13710.319353497849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3099</v>
      </c>
      <c r="E68" s="23">
        <v>3127</v>
      </c>
      <c r="F68" s="23">
        <v>2551</v>
      </c>
      <c r="G68" s="23">
        <v>2429</v>
      </c>
      <c r="H68" s="23">
        <v>2228</v>
      </c>
      <c r="I68" s="23">
        <v>2325</v>
      </c>
      <c r="J68" s="23">
        <v>2331</v>
      </c>
      <c r="K68" s="23">
        <v>2612</v>
      </c>
      <c r="L68" s="23">
        <v>2697</v>
      </c>
      <c r="M68" s="23">
        <v>2403</v>
      </c>
      <c r="N68" s="23">
        <v>2123</v>
      </c>
      <c r="O68" s="23">
        <v>2073</v>
      </c>
      <c r="P68" s="23">
        <v>1950</v>
      </c>
      <c r="Q68" s="23">
        <v>1849</v>
      </c>
      <c r="R68" s="23">
        <v>1621</v>
      </c>
      <c r="S68" s="23">
        <v>1554</v>
      </c>
      <c r="T68" s="23">
        <v>1559</v>
      </c>
      <c r="U68" s="23">
        <v>1662</v>
      </c>
      <c r="V68" s="23">
        <v>1756</v>
      </c>
      <c r="W68" s="23">
        <v>1898</v>
      </c>
      <c r="X68" s="23">
        <v>1715</v>
      </c>
      <c r="Y68" s="23">
        <v>1965</v>
      </c>
      <c r="Z68" s="23">
        <v>2169</v>
      </c>
      <c r="AA68" s="23">
        <v>2349.9728090939493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3994</v>
      </c>
      <c r="E69" s="23">
        <v>4191</v>
      </c>
      <c r="F69" s="23">
        <v>4322</v>
      </c>
      <c r="G69" s="23">
        <v>4511</v>
      </c>
      <c r="H69" s="23">
        <v>4694</v>
      </c>
      <c r="I69" s="23">
        <v>4508</v>
      </c>
      <c r="J69" s="23">
        <v>5420</v>
      </c>
      <c r="K69" s="23">
        <v>5544</v>
      </c>
      <c r="L69" s="23">
        <v>5819</v>
      </c>
      <c r="M69" s="23">
        <v>4889</v>
      </c>
      <c r="N69" s="23">
        <v>4729</v>
      </c>
      <c r="O69" s="23">
        <v>3990</v>
      </c>
      <c r="P69" s="23">
        <v>3698</v>
      </c>
      <c r="Q69" s="23">
        <v>3635</v>
      </c>
      <c r="R69" s="23">
        <v>3718</v>
      </c>
      <c r="S69" s="23">
        <v>3999</v>
      </c>
      <c r="T69" s="23">
        <v>4163</v>
      </c>
      <c r="U69" s="23">
        <v>4311</v>
      </c>
      <c r="V69" s="23">
        <v>4695</v>
      </c>
      <c r="W69" s="23">
        <v>4521</v>
      </c>
      <c r="X69" s="23">
        <v>4195</v>
      </c>
      <c r="Y69" s="23">
        <v>4554</v>
      </c>
      <c r="Z69" s="23">
        <v>4721</v>
      </c>
      <c r="AA69" s="23">
        <v>4956.8899155285644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5615</v>
      </c>
      <c r="E70" s="23">
        <v>6049</v>
      </c>
      <c r="F70" s="23">
        <v>6247</v>
      </c>
      <c r="G70" s="23">
        <v>6204</v>
      </c>
      <c r="H70" s="23">
        <v>6504</v>
      </c>
      <c r="I70" s="23">
        <v>6575</v>
      </c>
      <c r="J70" s="23">
        <v>6835</v>
      </c>
      <c r="K70" s="23">
        <v>7018</v>
      </c>
      <c r="L70" s="23">
        <v>7376</v>
      </c>
      <c r="M70" s="23">
        <v>6513</v>
      </c>
      <c r="N70" s="23">
        <v>6186</v>
      </c>
      <c r="O70" s="23">
        <v>6337</v>
      </c>
      <c r="P70" s="23">
        <v>6511</v>
      </c>
      <c r="Q70" s="23">
        <v>6506</v>
      </c>
      <c r="R70" s="23">
        <v>6854</v>
      </c>
      <c r="S70" s="23">
        <v>6520</v>
      </c>
      <c r="T70" s="23">
        <v>6401</v>
      </c>
      <c r="U70" s="23">
        <v>6940</v>
      </c>
      <c r="V70" s="23">
        <v>7277</v>
      </c>
      <c r="W70" s="23">
        <v>7647</v>
      </c>
      <c r="X70" s="23">
        <v>7175</v>
      </c>
      <c r="Y70" s="23">
        <v>7744</v>
      </c>
      <c r="Z70" s="23">
        <v>7941</v>
      </c>
      <c r="AA70" s="23">
        <v>8292.4890823315291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9812</v>
      </c>
      <c r="E71" s="23">
        <v>9986</v>
      </c>
      <c r="F71" s="23">
        <v>10416</v>
      </c>
      <c r="G71" s="23">
        <v>10940</v>
      </c>
      <c r="H71" s="23">
        <v>11192</v>
      </c>
      <c r="I71" s="23">
        <v>10680</v>
      </c>
      <c r="J71" s="23">
        <v>11310</v>
      </c>
      <c r="K71" s="23">
        <v>11601</v>
      </c>
      <c r="L71" s="23">
        <v>10479</v>
      </c>
      <c r="M71" s="23">
        <v>8989</v>
      </c>
      <c r="N71" s="23">
        <v>8751</v>
      </c>
      <c r="O71" s="23">
        <v>8386</v>
      </c>
      <c r="P71" s="23">
        <v>7318</v>
      </c>
      <c r="Q71" s="23">
        <v>8418</v>
      </c>
      <c r="R71" s="23">
        <v>9683</v>
      </c>
      <c r="S71" s="23">
        <v>10759</v>
      </c>
      <c r="T71" s="23">
        <v>11164</v>
      </c>
      <c r="U71" s="23">
        <v>11738</v>
      </c>
      <c r="V71" s="23">
        <v>12335</v>
      </c>
      <c r="W71" s="23">
        <v>12321</v>
      </c>
      <c r="X71" s="23">
        <v>10939</v>
      </c>
      <c r="Y71" s="23">
        <v>11785</v>
      </c>
      <c r="Z71" s="23">
        <v>12985</v>
      </c>
      <c r="AA71" s="23">
        <v>14507.09525751639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2246</v>
      </c>
      <c r="E72" s="23">
        <v>2395</v>
      </c>
      <c r="F72" s="23">
        <v>2959</v>
      </c>
      <c r="G72" s="23">
        <v>3133</v>
      </c>
      <c r="H72" s="23">
        <v>2914</v>
      </c>
      <c r="I72" s="23">
        <v>3170</v>
      </c>
      <c r="J72" s="23">
        <v>3598</v>
      </c>
      <c r="K72" s="23">
        <v>3819</v>
      </c>
      <c r="L72" s="23">
        <v>4297</v>
      </c>
      <c r="M72" s="23">
        <v>4102</v>
      </c>
      <c r="N72" s="23">
        <v>3579</v>
      </c>
      <c r="O72" s="23">
        <v>4588</v>
      </c>
      <c r="P72" s="23">
        <v>4433</v>
      </c>
      <c r="Q72" s="23">
        <v>4925</v>
      </c>
      <c r="R72" s="23">
        <v>4709</v>
      </c>
      <c r="S72" s="23">
        <v>3983</v>
      </c>
      <c r="T72" s="23">
        <v>3712</v>
      </c>
      <c r="U72" s="23">
        <v>4120</v>
      </c>
      <c r="V72" s="23">
        <v>4778</v>
      </c>
      <c r="W72" s="23">
        <v>4924</v>
      </c>
      <c r="X72" s="23">
        <v>4377</v>
      </c>
      <c r="Y72" s="23">
        <v>4272</v>
      </c>
      <c r="Z72" s="23">
        <v>4862</v>
      </c>
      <c r="AA72" s="23">
        <v>5310.4829869526548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5237</v>
      </c>
      <c r="E73" s="23">
        <v>5436</v>
      </c>
      <c r="F73" s="23">
        <v>5447</v>
      </c>
      <c r="G73" s="23">
        <v>5582</v>
      </c>
      <c r="H73" s="23">
        <v>6092</v>
      </c>
      <c r="I73" s="23">
        <v>6311</v>
      </c>
      <c r="J73" s="23">
        <v>6649</v>
      </c>
      <c r="K73" s="23">
        <v>6742</v>
      </c>
      <c r="L73" s="23">
        <v>6847</v>
      </c>
      <c r="M73" s="23">
        <v>5877</v>
      </c>
      <c r="N73" s="23">
        <v>5204</v>
      </c>
      <c r="O73" s="23">
        <v>4894</v>
      </c>
      <c r="P73" s="23">
        <v>4826</v>
      </c>
      <c r="Q73" s="23">
        <v>4377</v>
      </c>
      <c r="R73" s="23">
        <v>4395</v>
      </c>
      <c r="S73" s="23">
        <v>4349</v>
      </c>
      <c r="T73" s="23">
        <v>4404</v>
      </c>
      <c r="U73" s="23">
        <v>4669</v>
      </c>
      <c r="V73" s="23">
        <v>4797</v>
      </c>
      <c r="W73" s="23">
        <v>5199</v>
      </c>
      <c r="X73" s="23">
        <v>4508</v>
      </c>
      <c r="Y73" s="23">
        <v>5390</v>
      </c>
      <c r="Z73" s="23">
        <v>5896</v>
      </c>
      <c r="AA73" s="23">
        <v>6210.2126699539676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1916</v>
      </c>
      <c r="E74" s="23">
        <v>2226</v>
      </c>
      <c r="F74" s="23">
        <v>2498</v>
      </c>
      <c r="G74" s="23">
        <v>2699</v>
      </c>
      <c r="H74" s="23">
        <v>2952</v>
      </c>
      <c r="I74" s="23">
        <v>3247</v>
      </c>
      <c r="J74" s="23">
        <v>3844</v>
      </c>
      <c r="K74" s="23">
        <v>4306</v>
      </c>
      <c r="L74" s="23">
        <v>4790</v>
      </c>
      <c r="M74" s="23">
        <v>5032</v>
      </c>
      <c r="N74" s="23">
        <v>5065</v>
      </c>
      <c r="O74" s="23">
        <v>4837</v>
      </c>
      <c r="P74" s="23">
        <v>4640</v>
      </c>
      <c r="Q74" s="23">
        <v>4605</v>
      </c>
      <c r="R74" s="23">
        <v>4765</v>
      </c>
      <c r="S74" s="23">
        <v>5430</v>
      </c>
      <c r="T74" s="23">
        <v>5455</v>
      </c>
      <c r="U74" s="23">
        <v>5556</v>
      </c>
      <c r="V74" s="23">
        <v>5692</v>
      </c>
      <c r="W74" s="23">
        <v>5988</v>
      </c>
      <c r="X74" s="23">
        <v>5561</v>
      </c>
      <c r="Y74" s="23">
        <v>5593</v>
      </c>
      <c r="Z74" s="23">
        <v>6874</v>
      </c>
      <c r="AA74" s="23">
        <v>7259.7431362907791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105341</v>
      </c>
      <c r="E75" s="30">
        <f t="shared" ref="E75:Y75" si="6">SUM(E56:E74)</f>
        <v>110960</v>
      </c>
      <c r="F75" s="30">
        <f t="shared" si="6"/>
        <v>113885</v>
      </c>
      <c r="G75" s="30">
        <f t="shared" si="6"/>
        <v>117206</v>
      </c>
      <c r="H75" s="30">
        <f t="shared" si="6"/>
        <v>120560</v>
      </c>
      <c r="I75" s="30">
        <f t="shared" si="6"/>
        <v>125316</v>
      </c>
      <c r="J75" s="30">
        <f t="shared" si="6"/>
        <v>131369</v>
      </c>
      <c r="K75" s="30">
        <f t="shared" si="6"/>
        <v>135843</v>
      </c>
      <c r="L75" s="30">
        <f t="shared" si="6"/>
        <v>137888</v>
      </c>
      <c r="M75" s="30">
        <f t="shared" si="6"/>
        <v>121547</v>
      </c>
      <c r="N75" s="30">
        <f t="shared" si="6"/>
        <v>119716</v>
      </c>
      <c r="O75" s="30">
        <f t="shared" si="6"/>
        <v>119709</v>
      </c>
      <c r="P75" s="30">
        <f t="shared" si="6"/>
        <v>112007</v>
      </c>
      <c r="Q75" s="30">
        <f t="shared" si="6"/>
        <v>111450</v>
      </c>
      <c r="R75" s="30">
        <f t="shared" si="6"/>
        <v>114259</v>
      </c>
      <c r="S75" s="30">
        <f t="shared" si="6"/>
        <v>119732</v>
      </c>
      <c r="T75" s="30">
        <f t="shared" si="6"/>
        <v>122996</v>
      </c>
      <c r="U75" s="30">
        <f t="shared" si="6"/>
        <v>130043</v>
      </c>
      <c r="V75" s="30">
        <f t="shared" si="6"/>
        <v>130788</v>
      </c>
      <c r="W75" s="30">
        <f t="shared" si="6"/>
        <v>134106</v>
      </c>
      <c r="X75" s="30">
        <f t="shared" si="6"/>
        <v>122556</v>
      </c>
      <c r="Y75" s="30">
        <f t="shared" si="6"/>
        <v>139066</v>
      </c>
      <c r="Z75" s="30">
        <f t="shared" ref="Z75:AA75" si="7">SUM(Z56:Z74)</f>
        <v>151730</v>
      </c>
      <c r="AA75" s="30">
        <f t="shared" si="7"/>
        <v>164020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1060744.9412389235</v>
      </c>
      <c r="E2" s="19">
        <v>1102315.4215746487</v>
      </c>
      <c r="F2" s="19">
        <v>1132677.5104259513</v>
      </c>
      <c r="G2" s="19">
        <v>1165976.3607898992</v>
      </c>
      <c r="H2" s="19">
        <v>1202286.2938422756</v>
      </c>
      <c r="I2" s="19">
        <v>1244993.0079698595</v>
      </c>
      <c r="J2" s="19">
        <v>1295327.2761468184</v>
      </c>
      <c r="K2" s="19">
        <v>1341097.9090514211</v>
      </c>
      <c r="L2" s="19">
        <v>1351385.3986251173</v>
      </c>
      <c r="M2" s="19">
        <v>1300464.9174153004</v>
      </c>
      <c r="N2" s="19">
        <v>1301685.8659610576</v>
      </c>
      <c r="O2" s="19">
        <v>1293351.5555421468</v>
      </c>
      <c r="P2" s="19">
        <v>1256297.912934822</v>
      </c>
      <c r="Q2" s="19">
        <v>1238364.3485467187</v>
      </c>
      <c r="R2" s="19">
        <v>1257194.0006435332</v>
      </c>
      <c r="S2" s="19">
        <v>1308252.3230399999</v>
      </c>
      <c r="T2" s="19">
        <v>1346392.3675327781</v>
      </c>
      <c r="U2" s="19">
        <v>1385379.3300339449</v>
      </c>
      <c r="V2" s="19">
        <v>1418561.6615001652</v>
      </c>
      <c r="W2" s="19">
        <v>1446385.9882466851</v>
      </c>
      <c r="X2" s="19">
        <v>1288147.8680114509</v>
      </c>
      <c r="Y2" s="19">
        <v>1374243.5724928367</v>
      </c>
      <c r="Z2" s="19">
        <v>1461790.6659074053</v>
      </c>
      <c r="AA2" s="19">
        <v>1497761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639116.22788140643</v>
      </c>
      <c r="E3" s="23">
        <v>664329.21618657897</v>
      </c>
      <c r="F3" s="23">
        <v>684981.53601979034</v>
      </c>
      <c r="G3" s="23">
        <v>701528.62355553312</v>
      </c>
      <c r="H3" s="23">
        <v>730449.0916159855</v>
      </c>
      <c r="I3" s="23">
        <v>761106.22526571585</v>
      </c>
      <c r="J3" s="23">
        <v>792143.23724196106</v>
      </c>
      <c r="K3" s="23">
        <v>819657.61768955062</v>
      </c>
      <c r="L3" s="23">
        <v>814447.36299356807</v>
      </c>
      <c r="M3" s="23">
        <v>785706.2075520386</v>
      </c>
      <c r="N3" s="23">
        <v>789420.38142742647</v>
      </c>
      <c r="O3" s="23">
        <v>770352.84892204951</v>
      </c>
      <c r="P3" s="23">
        <v>744926.92944004526</v>
      </c>
      <c r="Q3" s="23">
        <v>723542.96521156211</v>
      </c>
      <c r="R3" s="23">
        <v>736103.22260304773</v>
      </c>
      <c r="S3" s="23">
        <v>758150.84424000001</v>
      </c>
      <c r="T3" s="23">
        <v>778295.40821988892</v>
      </c>
      <c r="U3" s="23">
        <v>802235.11991584161</v>
      </c>
      <c r="V3" s="23">
        <v>816151.19750237546</v>
      </c>
      <c r="W3" s="23">
        <v>825465.10154353862</v>
      </c>
      <c r="X3" s="23">
        <v>725819.73567471199</v>
      </c>
      <c r="Y3" s="23">
        <v>777389.22569148091</v>
      </c>
      <c r="Z3" s="23">
        <v>815550.84221637738</v>
      </c>
      <c r="AA3" s="23">
        <v>830057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963620.62043398421</v>
      </c>
      <c r="E4" s="27">
        <v>1001879.5229644687</v>
      </c>
      <c r="F4" s="27">
        <v>1028701.9268585582</v>
      </c>
      <c r="G4" s="27">
        <v>1056098.2199002097</v>
      </c>
      <c r="H4" s="27">
        <v>1085683.0964080978</v>
      </c>
      <c r="I4" s="27">
        <v>1122099.4146835615</v>
      </c>
      <c r="J4" s="27">
        <v>1169034.5729024722</v>
      </c>
      <c r="K4" s="27">
        <v>1215453.1911354749</v>
      </c>
      <c r="L4" s="27">
        <v>1228863.6826452864</v>
      </c>
      <c r="M4" s="27">
        <v>1188727.8329715021</v>
      </c>
      <c r="N4" s="27">
        <v>1186636.3193687545</v>
      </c>
      <c r="O4" s="27">
        <v>1183654.7500848796</v>
      </c>
      <c r="P4" s="27">
        <v>1150660.8696912844</v>
      </c>
      <c r="Q4" s="27">
        <v>1135970.1627822691</v>
      </c>
      <c r="R4" s="27">
        <v>1148255.1477609533</v>
      </c>
      <c r="S4" s="27">
        <v>1188872.3030399999</v>
      </c>
      <c r="T4" s="27">
        <v>1220438.3043495563</v>
      </c>
      <c r="U4" s="27">
        <v>1257366.4085981271</v>
      </c>
      <c r="V4" s="27">
        <v>1288209.0707028357</v>
      </c>
      <c r="W4" s="27">
        <v>1314903.415896914</v>
      </c>
      <c r="X4" s="27">
        <v>1172051.5884859192</v>
      </c>
      <c r="Y4" s="27">
        <v>1245690.8940783446</v>
      </c>
      <c r="Z4" s="27">
        <v>1331773.4651513549</v>
      </c>
      <c r="AA4" s="27">
        <v>1366751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39696.071464526227</v>
      </c>
      <c r="E6" s="19">
        <v>40382.688308642464</v>
      </c>
      <c r="F6" s="19">
        <v>39300.112245280892</v>
      </c>
      <c r="G6" s="19">
        <v>39822.935642490411</v>
      </c>
      <c r="H6" s="19">
        <v>37522.416365306577</v>
      </c>
      <c r="I6" s="19">
        <v>34484.751606259379</v>
      </c>
      <c r="J6" s="19">
        <v>31399.855655051586</v>
      </c>
      <c r="K6" s="19">
        <v>33648.504816093868</v>
      </c>
      <c r="L6" s="19">
        <v>31381.266241721027</v>
      </c>
      <c r="M6" s="19">
        <v>28534.659980156583</v>
      </c>
      <c r="N6" s="19">
        <v>31218.626732288565</v>
      </c>
      <c r="O6" s="19">
        <v>30340.107766970901</v>
      </c>
      <c r="P6" s="19">
        <v>29990.87758726209</v>
      </c>
      <c r="Q6" s="19">
        <v>32425.102397084436</v>
      </c>
      <c r="R6" s="19">
        <v>31850.516220739159</v>
      </c>
      <c r="S6" s="19">
        <v>35626.360950000002</v>
      </c>
      <c r="T6" s="19">
        <v>37848.672310875882</v>
      </c>
      <c r="U6" s="19">
        <v>38867.232578748881</v>
      </c>
      <c r="V6" s="19">
        <v>38425.262617496781</v>
      </c>
      <c r="W6" s="19">
        <v>36502.88392257024</v>
      </c>
      <c r="X6" s="19">
        <v>35748.253285216291</v>
      </c>
      <c r="Y6" s="19">
        <v>38086.952175160324</v>
      </c>
      <c r="Z6" s="19">
        <v>34605.316971845896</v>
      </c>
      <c r="AA6" s="19">
        <v>39035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199462.649683695</v>
      </c>
      <c r="E7" s="23">
        <v>201698.63166946804</v>
      </c>
      <c r="F7" s="23">
        <v>200443.06683679213</v>
      </c>
      <c r="G7" s="23">
        <v>200434.47103912066</v>
      </c>
      <c r="H7" s="23">
        <v>200240.82721892116</v>
      </c>
      <c r="I7" s="23">
        <v>203281.01711477761</v>
      </c>
      <c r="J7" s="23">
        <v>206606.28693790149</v>
      </c>
      <c r="K7" s="23">
        <v>208511.57656861114</v>
      </c>
      <c r="L7" s="23">
        <v>207038.69206712811</v>
      </c>
      <c r="M7" s="23">
        <v>184274.22870025638</v>
      </c>
      <c r="N7" s="23">
        <v>189317.55026750223</v>
      </c>
      <c r="O7" s="23">
        <v>190286.59952866929</v>
      </c>
      <c r="P7" s="23">
        <v>182391.38138475583</v>
      </c>
      <c r="Q7" s="23">
        <v>181587.35793172184</v>
      </c>
      <c r="R7" s="23">
        <v>183242.98097667197</v>
      </c>
      <c r="S7" s="23">
        <v>189728.87417999998</v>
      </c>
      <c r="T7" s="23">
        <v>192192.09565641289</v>
      </c>
      <c r="U7" s="23">
        <v>199848.5059917091</v>
      </c>
      <c r="V7" s="23">
        <v>201991.06964000157</v>
      </c>
      <c r="W7" s="23">
        <v>204163.56124095019</v>
      </c>
      <c r="X7" s="23">
        <v>185864.76952944178</v>
      </c>
      <c r="Y7" s="23">
        <v>206534.37982250765</v>
      </c>
      <c r="Z7" s="23">
        <v>232387.28654212531</v>
      </c>
      <c r="AA7" s="23">
        <v>220097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97603.843303176662</v>
      </c>
      <c r="E8" s="23">
        <v>105915.37935347694</v>
      </c>
      <c r="F8" s="23">
        <v>112913.11982587157</v>
      </c>
      <c r="G8" s="23">
        <v>118710.28863258369</v>
      </c>
      <c r="H8" s="23">
        <v>124308.8338701613</v>
      </c>
      <c r="I8" s="23">
        <v>135917.14742886566</v>
      </c>
      <c r="J8" s="23">
        <v>145204.32275647265</v>
      </c>
      <c r="K8" s="23">
        <v>145782.23160938671</v>
      </c>
      <c r="L8" s="23">
        <v>142109.20662317611</v>
      </c>
      <c r="M8" s="23">
        <v>130070.43263553936</v>
      </c>
      <c r="N8" s="23">
        <v>107524.96403415261</v>
      </c>
      <c r="O8" s="23">
        <v>90794.406782369042</v>
      </c>
      <c r="P8" s="23">
        <v>77762.578613638863</v>
      </c>
      <c r="Q8" s="23">
        <v>67279.30097957293</v>
      </c>
      <c r="R8" s="23">
        <v>67197.383007036711</v>
      </c>
      <c r="S8" s="23">
        <v>70908.552360000001</v>
      </c>
      <c r="T8" s="23">
        <v>73920.681443750247</v>
      </c>
      <c r="U8" s="23">
        <v>76112.281644790608</v>
      </c>
      <c r="V8" s="23">
        <v>78786.631849916143</v>
      </c>
      <c r="W8" s="23">
        <v>85244.650644287831</v>
      </c>
      <c r="X8" s="23">
        <v>72417.355200136037</v>
      </c>
      <c r="Y8" s="23">
        <v>72991.175502725309</v>
      </c>
      <c r="Z8" s="23">
        <v>77552.295327053347</v>
      </c>
      <c r="AA8" s="23">
        <v>78819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229486.41569961229</v>
      </c>
      <c r="E9" s="23">
        <v>238023.45170621117</v>
      </c>
      <c r="F9" s="23">
        <v>243301.82103051001</v>
      </c>
      <c r="G9" s="23">
        <v>245881.75457372188</v>
      </c>
      <c r="H9" s="23">
        <v>253159.81816067631</v>
      </c>
      <c r="I9" s="23">
        <v>254255.84056056777</v>
      </c>
      <c r="J9" s="23">
        <v>261502.34991240024</v>
      </c>
      <c r="K9" s="23">
        <v>267823.62238911545</v>
      </c>
      <c r="L9" s="23">
        <v>269309.82481948106</v>
      </c>
      <c r="M9" s="23">
        <v>261244.99040246764</v>
      </c>
      <c r="N9" s="23">
        <v>268046.90091957001</v>
      </c>
      <c r="O9" s="23">
        <v>273229.2056080366</v>
      </c>
      <c r="P9" s="23">
        <v>269777.84426764055</v>
      </c>
      <c r="Q9" s="23">
        <v>265704.3540657814</v>
      </c>
      <c r="R9" s="23">
        <v>269882.59651793452</v>
      </c>
      <c r="S9" s="23">
        <v>283661.88740999997</v>
      </c>
      <c r="T9" s="23">
        <v>294847.07153090055</v>
      </c>
      <c r="U9" s="23">
        <v>305102.02878186636</v>
      </c>
      <c r="V9" s="23">
        <v>312378.48163929954</v>
      </c>
      <c r="W9" s="23">
        <v>316967.65237263072</v>
      </c>
      <c r="X9" s="23">
        <v>239137.56803302694</v>
      </c>
      <c r="Y9" s="23">
        <v>276632.36794032995</v>
      </c>
      <c r="Z9" s="23">
        <v>311387.3520850974</v>
      </c>
      <c r="AA9" s="23">
        <v>324244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42687.151703965719</v>
      </c>
      <c r="E10" s="23">
        <v>44791.77856389009</v>
      </c>
      <c r="F10" s="23">
        <v>47224.262506098246</v>
      </c>
      <c r="G10" s="23">
        <v>48046.260177887045</v>
      </c>
      <c r="H10" s="23">
        <v>48273.291805718676</v>
      </c>
      <c r="I10" s="23">
        <v>48895.043105957157</v>
      </c>
      <c r="J10" s="23">
        <v>49315.485984037376</v>
      </c>
      <c r="K10" s="23">
        <v>49932.62367895482</v>
      </c>
      <c r="L10" s="23">
        <v>49166.340899357601</v>
      </c>
      <c r="M10" s="23">
        <v>48690.263288702023</v>
      </c>
      <c r="N10" s="23">
        <v>47588.653592101458</v>
      </c>
      <c r="O10" s="23">
        <v>46377.777216352777</v>
      </c>
      <c r="P10" s="23">
        <v>45308.682094089556</v>
      </c>
      <c r="Q10" s="23">
        <v>44398.547584290587</v>
      </c>
      <c r="R10" s="23">
        <v>43651.002671532551</v>
      </c>
      <c r="S10" s="23">
        <v>44277.531660000001</v>
      </c>
      <c r="T10" s="23">
        <v>45043.918739305183</v>
      </c>
      <c r="U10" s="23">
        <v>47261.350916234231</v>
      </c>
      <c r="V10" s="23">
        <v>47696.279808104846</v>
      </c>
      <c r="W10" s="23">
        <v>49310.264676511819</v>
      </c>
      <c r="X10" s="23">
        <v>46027.652433091178</v>
      </c>
      <c r="Y10" s="23">
        <v>48507.103969054508</v>
      </c>
      <c r="Z10" s="23">
        <v>52680.154953429301</v>
      </c>
      <c r="AA10" s="23">
        <v>55845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41555.878334807159</v>
      </c>
      <c r="E11" s="23">
        <v>46704.684008912176</v>
      </c>
      <c r="F11" s="23">
        <v>47811.348106728714</v>
      </c>
      <c r="G11" s="23">
        <v>47593.759780172099</v>
      </c>
      <c r="H11" s="23">
        <v>49272.396981360253</v>
      </c>
      <c r="I11" s="23">
        <v>50438.714264926464</v>
      </c>
      <c r="J11" s="23">
        <v>54044.920868211018</v>
      </c>
      <c r="K11" s="23">
        <v>59999.260922027133</v>
      </c>
      <c r="L11" s="23">
        <v>62564.77405507693</v>
      </c>
      <c r="M11" s="23">
        <v>65438.919457351389</v>
      </c>
      <c r="N11" s="23">
        <v>49448.175465513632</v>
      </c>
      <c r="O11" s="23">
        <v>46798.366479598968</v>
      </c>
      <c r="P11" s="23">
        <v>48457.482768307731</v>
      </c>
      <c r="Q11" s="23">
        <v>40791.854644665706</v>
      </c>
      <c r="R11" s="23">
        <v>44501.433534286349</v>
      </c>
      <c r="S11" s="23">
        <v>44691.497819999997</v>
      </c>
      <c r="T11" s="23">
        <v>46734.382625651633</v>
      </c>
      <c r="U11" s="23">
        <v>48050.521273767445</v>
      </c>
      <c r="V11" s="23">
        <v>52261.971225476816</v>
      </c>
      <c r="W11" s="23">
        <v>50669.113446507785</v>
      </c>
      <c r="X11" s="23">
        <v>52255.317610270846</v>
      </c>
      <c r="Y11" s="23">
        <v>51788.945086571468</v>
      </c>
      <c r="Z11" s="23">
        <v>56199.807472480948</v>
      </c>
      <c r="AA11" s="23">
        <v>73730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60024.611876743082</v>
      </c>
      <c r="E12" s="23">
        <v>62696.259938240248</v>
      </c>
      <c r="F12" s="23">
        <v>69435.667729950845</v>
      </c>
      <c r="G12" s="23">
        <v>76002.662954660482</v>
      </c>
      <c r="H12" s="23">
        <v>84015.78970685706</v>
      </c>
      <c r="I12" s="23">
        <v>93331.489757997726</v>
      </c>
      <c r="J12" s="23">
        <v>103061.07553046526</v>
      </c>
      <c r="K12" s="23">
        <v>115607.3550386952</v>
      </c>
      <c r="L12" s="23">
        <v>118486.06345301527</v>
      </c>
      <c r="M12" s="23">
        <v>114901.12462056839</v>
      </c>
      <c r="N12" s="23">
        <v>131134.05799368356</v>
      </c>
      <c r="O12" s="23">
        <v>138874.96967306425</v>
      </c>
      <c r="P12" s="23">
        <v>142482.02314615084</v>
      </c>
      <c r="Q12" s="23">
        <v>148354.17216522869</v>
      </c>
      <c r="R12" s="23">
        <v>147825.7504385346</v>
      </c>
      <c r="S12" s="23">
        <v>144104.74911</v>
      </c>
      <c r="T12" s="23">
        <v>145909.06209956622</v>
      </c>
      <c r="U12" s="23">
        <v>147803.55037072778</v>
      </c>
      <c r="V12" s="23">
        <v>152235.47643238815</v>
      </c>
      <c r="W12" s="23">
        <v>154760.85787260192</v>
      </c>
      <c r="X12" s="23">
        <v>153254.22268617799</v>
      </c>
      <c r="Y12" s="23">
        <v>153729.81237449218</v>
      </c>
      <c r="Z12" s="23">
        <v>155157.66140982218</v>
      </c>
      <c r="AA12" s="23">
        <v>159783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61416.192721583568</v>
      </c>
      <c r="E13" s="23">
        <v>65284.95411015128</v>
      </c>
      <c r="F13" s="23">
        <v>67024.100724284159</v>
      </c>
      <c r="G13" s="23">
        <v>70230.382240219828</v>
      </c>
      <c r="H13" s="23">
        <v>71546.565308898949</v>
      </c>
      <c r="I13" s="23">
        <v>75829.814916384974</v>
      </c>
      <c r="J13" s="23">
        <v>83349.457270780607</v>
      </c>
      <c r="K13" s="23">
        <v>89654.657953316142</v>
      </c>
      <c r="L13" s="23">
        <v>92372.362621383392</v>
      </c>
      <c r="M13" s="23">
        <v>89643.375629930146</v>
      </c>
      <c r="N13" s="23">
        <v>88996.884710031576</v>
      </c>
      <c r="O13" s="23">
        <v>91992.485340816042</v>
      </c>
      <c r="P13" s="23">
        <v>88801.491406728135</v>
      </c>
      <c r="Q13" s="23">
        <v>89026.072315235229</v>
      </c>
      <c r="R13" s="23">
        <v>93803.373379438272</v>
      </c>
      <c r="S13" s="23">
        <v>101430.13292999999</v>
      </c>
      <c r="T13" s="23">
        <v>104262.83210633132</v>
      </c>
      <c r="U13" s="23">
        <v>108523.95850606063</v>
      </c>
      <c r="V13" s="23">
        <v>113400.69793088654</v>
      </c>
      <c r="W13" s="23">
        <v>119779.74591438941</v>
      </c>
      <c r="X13" s="23">
        <v>105173.41886389616</v>
      </c>
      <c r="Y13" s="23">
        <v>113392.23213740386</v>
      </c>
      <c r="Z13" s="23">
        <v>121737.94512066046</v>
      </c>
      <c r="AA13" s="23">
        <v>124919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153245.79409563975</v>
      </c>
      <c r="E14" s="23">
        <v>156845.70284954854</v>
      </c>
      <c r="F14" s="23">
        <v>160601.02942169851</v>
      </c>
      <c r="G14" s="23">
        <v>167558.57675898474</v>
      </c>
      <c r="H14" s="23">
        <v>174043.00215118783</v>
      </c>
      <c r="I14" s="23">
        <v>179958.92073921513</v>
      </c>
      <c r="J14" s="23">
        <v>187476.41259489974</v>
      </c>
      <c r="K14" s="23">
        <v>196024.03949613051</v>
      </c>
      <c r="L14" s="23">
        <v>206095.44429062295</v>
      </c>
      <c r="M14" s="23">
        <v>214751.15590832735</v>
      </c>
      <c r="N14" s="23">
        <v>219506.30640710151</v>
      </c>
      <c r="O14" s="23">
        <v>219994.62171716164</v>
      </c>
      <c r="P14" s="23">
        <v>211485.18884128783</v>
      </c>
      <c r="Q14" s="23">
        <v>212666.46239265471</v>
      </c>
      <c r="R14" s="23">
        <v>211981.72093070144</v>
      </c>
      <c r="S14" s="23">
        <v>216415.25081999999</v>
      </c>
      <c r="T14" s="23">
        <v>220447.50513351106</v>
      </c>
      <c r="U14" s="23">
        <v>223569.82939629961</v>
      </c>
      <c r="V14" s="23">
        <v>227796.43732204844</v>
      </c>
      <c r="W14" s="23">
        <v>234415.2786280798</v>
      </c>
      <c r="X14" s="23">
        <v>232635.92196725649</v>
      </c>
      <c r="Y14" s="23">
        <v>234212.31641387733</v>
      </c>
      <c r="Z14" s="23">
        <v>233837.17958827264</v>
      </c>
      <c r="AA14" s="23">
        <v>234952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38442.011550234682</v>
      </c>
      <c r="E15" s="23">
        <v>39535.992455927772</v>
      </c>
      <c r="F15" s="23">
        <v>40647.398431343114</v>
      </c>
      <c r="G15" s="23">
        <v>41817.128100368784</v>
      </c>
      <c r="H15" s="23">
        <v>43300.15483900976</v>
      </c>
      <c r="I15" s="23">
        <v>45706.675188609559</v>
      </c>
      <c r="J15" s="23">
        <v>47074.405392252287</v>
      </c>
      <c r="K15" s="23">
        <v>48469.318663143888</v>
      </c>
      <c r="L15" s="23">
        <v>50339.707574323984</v>
      </c>
      <c r="M15" s="23">
        <v>51178.68234820279</v>
      </c>
      <c r="N15" s="23">
        <v>53854.199246809403</v>
      </c>
      <c r="O15" s="23">
        <v>54966.209971839991</v>
      </c>
      <c r="P15" s="23">
        <v>54203.319581422882</v>
      </c>
      <c r="Q15" s="23">
        <v>53736.93830603348</v>
      </c>
      <c r="R15" s="23">
        <v>54318.390084077662</v>
      </c>
      <c r="S15" s="23">
        <v>58027.465799999998</v>
      </c>
      <c r="T15" s="23">
        <v>59232.082703251217</v>
      </c>
      <c r="U15" s="23">
        <v>62227.149137922548</v>
      </c>
      <c r="V15" s="23">
        <v>63236.762237216746</v>
      </c>
      <c r="W15" s="23">
        <v>63089.407178384194</v>
      </c>
      <c r="X15" s="23">
        <v>49537.108877405459</v>
      </c>
      <c r="Y15" s="23">
        <v>49815.608656221943</v>
      </c>
      <c r="Z15" s="23">
        <v>56228.465680567315</v>
      </c>
      <c r="AA15" s="23">
        <v>55327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963620.62043398398</v>
      </c>
      <c r="E16" s="30">
        <f t="shared" ref="E16:S16" si="0">SUM(E6:E15)</f>
        <v>1001879.5229644688</v>
      </c>
      <c r="F16" s="30">
        <f t="shared" si="0"/>
        <v>1028701.9268585583</v>
      </c>
      <c r="G16" s="30">
        <f t="shared" si="0"/>
        <v>1056098.2199002097</v>
      </c>
      <c r="H16" s="30">
        <f t="shared" si="0"/>
        <v>1085683.096408098</v>
      </c>
      <c r="I16" s="30">
        <f t="shared" si="0"/>
        <v>1122099.4146835615</v>
      </c>
      <c r="J16" s="30">
        <f t="shared" si="0"/>
        <v>1169034.5729024722</v>
      </c>
      <c r="K16" s="30">
        <f t="shared" si="0"/>
        <v>1215453.1911354747</v>
      </c>
      <c r="L16" s="30">
        <f t="shared" si="0"/>
        <v>1228863.6826452864</v>
      </c>
      <c r="M16" s="30">
        <f t="shared" si="0"/>
        <v>1188727.8329715021</v>
      </c>
      <c r="N16" s="30">
        <f t="shared" si="0"/>
        <v>1186636.3193687543</v>
      </c>
      <c r="O16" s="30">
        <f t="shared" si="0"/>
        <v>1183654.7500848796</v>
      </c>
      <c r="P16" s="30">
        <f t="shared" si="0"/>
        <v>1150660.8696912846</v>
      </c>
      <c r="Q16" s="30">
        <f t="shared" si="0"/>
        <v>1135970.1627822691</v>
      </c>
      <c r="R16" s="30">
        <f t="shared" si="0"/>
        <v>1148255.1477609533</v>
      </c>
      <c r="S16" s="30">
        <f t="shared" si="0"/>
        <v>1188872.3030399999</v>
      </c>
      <c r="T16" s="30">
        <f t="shared" ref="T16:Y16" si="1">SUM(T6:T15)</f>
        <v>1220438.3043495563</v>
      </c>
      <c r="U16" s="30">
        <f t="shared" si="1"/>
        <v>1257366.4085981271</v>
      </c>
      <c r="V16" s="30">
        <f t="shared" si="1"/>
        <v>1288209.0707028357</v>
      </c>
      <c r="W16" s="30">
        <f t="shared" si="1"/>
        <v>1314903.415896914</v>
      </c>
      <c r="X16" s="30">
        <f t="shared" si="1"/>
        <v>1172051.5884859192</v>
      </c>
      <c r="Y16" s="30">
        <f t="shared" si="1"/>
        <v>1245690.8940783446</v>
      </c>
      <c r="Z16" s="30">
        <f t="shared" ref="Z16:AA16" si="2">SUM(Z6:Z15)</f>
        <v>1331773.4651513549</v>
      </c>
      <c r="AA16" s="30">
        <f t="shared" si="2"/>
        <v>1366751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39696.071464526227</v>
      </c>
      <c r="E18" s="19">
        <v>40382.688308642464</v>
      </c>
      <c r="F18" s="19">
        <v>39300.112245280892</v>
      </c>
      <c r="G18" s="19">
        <v>39822.935642490411</v>
      </c>
      <c r="H18" s="19">
        <v>37522.416365306577</v>
      </c>
      <c r="I18" s="19">
        <v>34484.751606259379</v>
      </c>
      <c r="J18" s="19">
        <v>31399.855655051586</v>
      </c>
      <c r="K18" s="19">
        <v>33648.504816093868</v>
      </c>
      <c r="L18" s="19">
        <v>31381.266241721027</v>
      </c>
      <c r="M18" s="19">
        <v>28534.659980156583</v>
      </c>
      <c r="N18" s="19">
        <v>31218.626732288565</v>
      </c>
      <c r="O18" s="19">
        <v>30340.107766970901</v>
      </c>
      <c r="P18" s="19">
        <v>29990.87758726209</v>
      </c>
      <c r="Q18" s="19">
        <v>32425.102397084436</v>
      </c>
      <c r="R18" s="19">
        <v>31850.516220739159</v>
      </c>
      <c r="S18" s="19">
        <v>35626.360950000002</v>
      </c>
      <c r="T18" s="19">
        <v>37848.672310875882</v>
      </c>
      <c r="U18" s="19">
        <v>38867.232578748881</v>
      </c>
      <c r="V18" s="19">
        <v>38425.262617496781</v>
      </c>
      <c r="W18" s="19">
        <v>36502.88392257024</v>
      </c>
      <c r="X18" s="19">
        <v>35748.253285216291</v>
      </c>
      <c r="Y18" s="19">
        <v>38086.952175160324</v>
      </c>
      <c r="Z18" s="19">
        <v>34605.316971845896</v>
      </c>
      <c r="AA18" s="19">
        <v>39035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2901.0367730086391</v>
      </c>
      <c r="E19" s="23">
        <v>3499.676191220733</v>
      </c>
      <c r="F19" s="23">
        <v>3695.6285885840807</v>
      </c>
      <c r="G19" s="23">
        <v>3898.4649649287726</v>
      </c>
      <c r="H19" s="23">
        <v>4035.6012976895081</v>
      </c>
      <c r="I19" s="23">
        <v>3857.8308894311494</v>
      </c>
      <c r="J19" s="23">
        <v>4034.4656414249562</v>
      </c>
      <c r="K19" s="23">
        <v>4242.2076121328118</v>
      </c>
      <c r="L19" s="23">
        <v>3924.0066331357998</v>
      </c>
      <c r="M19" s="23">
        <v>3071.2174425572462</v>
      </c>
      <c r="N19" s="23">
        <v>3180.7295487830393</v>
      </c>
      <c r="O19" s="23">
        <v>3126.7807513331072</v>
      </c>
      <c r="P19" s="23">
        <v>2784.1772832619317</v>
      </c>
      <c r="Q19" s="23">
        <v>2235.2530982895228</v>
      </c>
      <c r="R19" s="23">
        <v>1984.7430691372463</v>
      </c>
      <c r="S19" s="23">
        <v>1800.27144</v>
      </c>
      <c r="T19" s="23">
        <v>1779.0576027697082</v>
      </c>
      <c r="U19" s="23">
        <v>2623.4582155833668</v>
      </c>
      <c r="V19" s="23">
        <v>3247.9655212761804</v>
      </c>
      <c r="W19" s="23">
        <v>3651.3283275401841</v>
      </c>
      <c r="X19" s="23">
        <v>2833.030599038289</v>
      </c>
      <c r="Y19" s="23">
        <v>4923.318486780614</v>
      </c>
      <c r="Z19" s="23">
        <v>7396.4400835911647</v>
      </c>
      <c r="AA19" s="23">
        <v>5093.7357172716511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172459.43267804911</v>
      </c>
      <c r="E20" s="23">
        <v>173980.31818004145</v>
      </c>
      <c r="F20" s="23">
        <v>171436.52212256539</v>
      </c>
      <c r="G20" s="23">
        <v>169986.4154313399</v>
      </c>
      <c r="H20" s="23">
        <v>168700.44814474587</v>
      </c>
      <c r="I20" s="23">
        <v>168801.6535404867</v>
      </c>
      <c r="J20" s="23">
        <v>170968.94091882423</v>
      </c>
      <c r="K20" s="23">
        <v>170042.55197844721</v>
      </c>
      <c r="L20" s="23">
        <v>165263.7222449081</v>
      </c>
      <c r="M20" s="23">
        <v>143686.39972690746</v>
      </c>
      <c r="N20" s="23">
        <v>143529.67156506231</v>
      </c>
      <c r="O20" s="23">
        <v>143852.3431826806</v>
      </c>
      <c r="P20" s="23">
        <v>135233.02036700744</v>
      </c>
      <c r="Q20" s="23">
        <v>135023.82536822074</v>
      </c>
      <c r="R20" s="23">
        <v>138615.37795632801</v>
      </c>
      <c r="S20" s="23">
        <v>144084.29147999999</v>
      </c>
      <c r="T20" s="23">
        <v>147252.33439452425</v>
      </c>
      <c r="U20" s="23">
        <v>154093.2144214579</v>
      </c>
      <c r="V20" s="23">
        <v>153466.37088029954</v>
      </c>
      <c r="W20" s="23">
        <v>154957.29009275441</v>
      </c>
      <c r="X20" s="23">
        <v>139327.80822461337</v>
      </c>
      <c r="Y20" s="23">
        <v>154866.8194260649</v>
      </c>
      <c r="Z20" s="23">
        <v>161048.51529424216</v>
      </c>
      <c r="AA20" s="23">
        <v>164020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16065.391565199647</v>
      </c>
      <c r="E21" s="23">
        <v>15792.445608411837</v>
      </c>
      <c r="F21" s="23">
        <v>16405.279168386685</v>
      </c>
      <c r="G21" s="23">
        <v>17572.098777930434</v>
      </c>
      <c r="H21" s="23">
        <v>18344.914359469298</v>
      </c>
      <c r="I21" s="23">
        <v>21052.387908840585</v>
      </c>
      <c r="J21" s="23">
        <v>21648.161767568621</v>
      </c>
      <c r="K21" s="23">
        <v>24120.123481318136</v>
      </c>
      <c r="L21" s="23">
        <v>27557.936626662016</v>
      </c>
      <c r="M21" s="23">
        <v>27116.083794217906</v>
      </c>
      <c r="N21" s="23">
        <v>30561.619648710312</v>
      </c>
      <c r="O21" s="23">
        <v>30633.31856763396</v>
      </c>
      <c r="P21" s="23">
        <v>31590.632531027084</v>
      </c>
      <c r="Q21" s="23">
        <v>30990.66355243685</v>
      </c>
      <c r="R21" s="23">
        <v>29680.158426920982</v>
      </c>
      <c r="S21" s="23">
        <v>30622.66533</v>
      </c>
      <c r="T21" s="23">
        <v>29476.566108878185</v>
      </c>
      <c r="U21" s="23">
        <v>29161.385133471846</v>
      </c>
      <c r="V21" s="23">
        <v>31206.518438706658</v>
      </c>
      <c r="W21" s="23">
        <v>31203.83591304515</v>
      </c>
      <c r="X21" s="23">
        <v>29444.419147308061</v>
      </c>
      <c r="Y21" s="23">
        <v>31691.426712690052</v>
      </c>
      <c r="Z21" s="23">
        <v>48305.298175306569</v>
      </c>
      <c r="AA21" s="23">
        <v>36945.456089319305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8036.7886674375895</v>
      </c>
      <c r="E22" s="23">
        <v>8426.1916897940046</v>
      </c>
      <c r="F22" s="23">
        <v>8905.6369572559761</v>
      </c>
      <c r="G22" s="23">
        <v>8977.4918649215415</v>
      </c>
      <c r="H22" s="23">
        <v>9159.8634170164769</v>
      </c>
      <c r="I22" s="23">
        <v>9569.1447760191641</v>
      </c>
      <c r="J22" s="23">
        <v>9954.7186100837062</v>
      </c>
      <c r="K22" s="23">
        <v>10106.693496712991</v>
      </c>
      <c r="L22" s="23">
        <v>10293.02656242219</v>
      </c>
      <c r="M22" s="23">
        <v>10400.527736573771</v>
      </c>
      <c r="N22" s="23">
        <v>12045.529504946551</v>
      </c>
      <c r="O22" s="23">
        <v>12674.157027021629</v>
      </c>
      <c r="P22" s="23">
        <v>12783.551203459381</v>
      </c>
      <c r="Q22" s="23">
        <v>13337.615912774718</v>
      </c>
      <c r="R22" s="23">
        <v>12962.701524285743</v>
      </c>
      <c r="S22" s="23">
        <v>13221.645929999999</v>
      </c>
      <c r="T22" s="23">
        <v>13684.137550240757</v>
      </c>
      <c r="U22" s="23">
        <v>13970.448221195978</v>
      </c>
      <c r="V22" s="23">
        <v>14070.214799719179</v>
      </c>
      <c r="W22" s="23">
        <v>14351.10690761047</v>
      </c>
      <c r="X22" s="23">
        <v>14259.511558482047</v>
      </c>
      <c r="Y22" s="23">
        <v>15052.815196972077</v>
      </c>
      <c r="Z22" s="23">
        <v>15637.032988985418</v>
      </c>
      <c r="AA22" s="23">
        <v>14037.808193409042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97603.843303176662</v>
      </c>
      <c r="E23" s="23">
        <v>105915.37935347694</v>
      </c>
      <c r="F23" s="23">
        <v>112913.11982587157</v>
      </c>
      <c r="G23" s="23">
        <v>118710.28863258369</v>
      </c>
      <c r="H23" s="23">
        <v>124308.8338701613</v>
      </c>
      <c r="I23" s="23">
        <v>135917.14742886566</v>
      </c>
      <c r="J23" s="23">
        <v>145204.32275647265</v>
      </c>
      <c r="K23" s="23">
        <v>145782.23160938671</v>
      </c>
      <c r="L23" s="23">
        <v>142109.20662317611</v>
      </c>
      <c r="M23" s="23">
        <v>130070.43263553936</v>
      </c>
      <c r="N23" s="23">
        <v>107524.96403415261</v>
      </c>
      <c r="O23" s="23">
        <v>90794.406782369042</v>
      </c>
      <c r="P23" s="23">
        <v>77762.578613638863</v>
      </c>
      <c r="Q23" s="23">
        <v>67279.30097957293</v>
      </c>
      <c r="R23" s="23">
        <v>67197.383007036711</v>
      </c>
      <c r="S23" s="23">
        <v>70908.552360000001</v>
      </c>
      <c r="T23" s="23">
        <v>73920.681443750247</v>
      </c>
      <c r="U23" s="23">
        <v>76112.281644790608</v>
      </c>
      <c r="V23" s="23">
        <v>78786.631849916143</v>
      </c>
      <c r="W23" s="23">
        <v>85244.650644287831</v>
      </c>
      <c r="X23" s="23">
        <v>72417.355200136037</v>
      </c>
      <c r="Y23" s="23">
        <v>72991.175502725309</v>
      </c>
      <c r="Z23" s="23">
        <v>77552.295327053347</v>
      </c>
      <c r="AA23" s="23">
        <v>78819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112005.88647030815</v>
      </c>
      <c r="E24" s="23">
        <v>117405.35566587189</v>
      </c>
      <c r="F24" s="23">
        <v>121246.72465943634</v>
      </c>
      <c r="G24" s="23">
        <v>123088.81010919082</v>
      </c>
      <c r="H24" s="23">
        <v>128371.02200025582</v>
      </c>
      <c r="I24" s="23">
        <v>131396.58860731157</v>
      </c>
      <c r="J24" s="23">
        <v>136760.57660112905</v>
      </c>
      <c r="K24" s="23">
        <v>142820.57235582927</v>
      </c>
      <c r="L24" s="23">
        <v>144483.50629948705</v>
      </c>
      <c r="M24" s="23">
        <v>139568.98234722044</v>
      </c>
      <c r="N24" s="23">
        <v>143541.66074541959</v>
      </c>
      <c r="O24" s="23">
        <v>147023.58622755687</v>
      </c>
      <c r="P24" s="23">
        <v>145857.80791805038</v>
      </c>
      <c r="Q24" s="23">
        <v>146086.20804598858</v>
      </c>
      <c r="R24" s="23">
        <v>145965.9636873198</v>
      </c>
      <c r="S24" s="23">
        <v>152660.85201</v>
      </c>
      <c r="T24" s="23">
        <v>160699.42389271359</v>
      </c>
      <c r="U24" s="23">
        <v>165102.4963911892</v>
      </c>
      <c r="V24" s="23">
        <v>169516.10801903351</v>
      </c>
      <c r="W24" s="23">
        <v>170309.04583949456</v>
      </c>
      <c r="X24" s="23">
        <v>154164.83966444031</v>
      </c>
      <c r="Y24" s="23">
        <v>171944.19761986283</v>
      </c>
      <c r="Z24" s="23">
        <v>173289.81580757833</v>
      </c>
      <c r="AA24" s="23">
        <v>168295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45796.107026732876</v>
      </c>
      <c r="E25" s="23">
        <v>48667.764022984018</v>
      </c>
      <c r="F25" s="23">
        <v>48857.564754006082</v>
      </c>
      <c r="G25" s="23">
        <v>49431.317484995292</v>
      </c>
      <c r="H25" s="23">
        <v>50040.616507168692</v>
      </c>
      <c r="I25" s="23">
        <v>47919.80931966241</v>
      </c>
      <c r="J25" s="23">
        <v>49134.585750437996</v>
      </c>
      <c r="K25" s="23">
        <v>50537.22275734377</v>
      </c>
      <c r="L25" s="23">
        <v>50477.539206214824</v>
      </c>
      <c r="M25" s="23">
        <v>49271.879524936878</v>
      </c>
      <c r="N25" s="23">
        <v>52246.450160899847</v>
      </c>
      <c r="O25" s="23">
        <v>53477.323979948473</v>
      </c>
      <c r="P25" s="23">
        <v>52172.53632450763</v>
      </c>
      <c r="Q25" s="23">
        <v>51064.326742441786</v>
      </c>
      <c r="R25" s="23">
        <v>53804.00679476581</v>
      </c>
      <c r="S25" s="23">
        <v>57064.753799999999</v>
      </c>
      <c r="T25" s="23">
        <v>56106.161168371204</v>
      </c>
      <c r="U25" s="23">
        <v>57353.48895694044</v>
      </c>
      <c r="V25" s="23">
        <v>58477.460158352515</v>
      </c>
      <c r="W25" s="23">
        <v>60031.997445893263</v>
      </c>
      <c r="X25" s="23">
        <v>45667.270932330684</v>
      </c>
      <c r="Y25" s="23">
        <v>48783.281979622618</v>
      </c>
      <c r="Z25" s="23">
        <v>59333.104889923794</v>
      </c>
      <c r="AA25" s="23">
        <v>64896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71684.422202571252</v>
      </c>
      <c r="E26" s="23">
        <v>71950.332017355278</v>
      </c>
      <c r="F26" s="23">
        <v>73197.531617067594</v>
      </c>
      <c r="G26" s="23">
        <v>73361.626979535751</v>
      </c>
      <c r="H26" s="23">
        <v>74748.179653251791</v>
      </c>
      <c r="I26" s="23">
        <v>74939.442633593775</v>
      </c>
      <c r="J26" s="23">
        <v>75607.187560833176</v>
      </c>
      <c r="K26" s="23">
        <v>74465.827275942429</v>
      </c>
      <c r="L26" s="23">
        <v>74348.779313779189</v>
      </c>
      <c r="M26" s="23">
        <v>72404.128530310321</v>
      </c>
      <c r="N26" s="23">
        <v>72258.790013250575</v>
      </c>
      <c r="O26" s="23">
        <v>72728.295400531249</v>
      </c>
      <c r="P26" s="23">
        <v>71747.500025082525</v>
      </c>
      <c r="Q26" s="23">
        <v>68553.819277351024</v>
      </c>
      <c r="R26" s="23">
        <v>70112.626035848938</v>
      </c>
      <c r="S26" s="23">
        <v>73936.281600000002</v>
      </c>
      <c r="T26" s="23">
        <v>78041.486469815747</v>
      </c>
      <c r="U26" s="23">
        <v>82646.043433736719</v>
      </c>
      <c r="V26" s="23">
        <v>84384.9134619135</v>
      </c>
      <c r="W26" s="23">
        <v>86626.609087242905</v>
      </c>
      <c r="X26" s="23">
        <v>39305.457436255943</v>
      </c>
      <c r="Y26" s="23">
        <v>55904.888340844518</v>
      </c>
      <c r="Z26" s="23">
        <v>78764.431387595265</v>
      </c>
      <c r="AA26" s="23">
        <v>91053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42687.151703965719</v>
      </c>
      <c r="E27" s="23">
        <v>44791.77856389009</v>
      </c>
      <c r="F27" s="23">
        <v>47224.262506098246</v>
      </c>
      <c r="G27" s="23">
        <v>48046.260177887045</v>
      </c>
      <c r="H27" s="23">
        <v>48273.291805718676</v>
      </c>
      <c r="I27" s="23">
        <v>48895.043105957157</v>
      </c>
      <c r="J27" s="23">
        <v>49315.485984037376</v>
      </c>
      <c r="K27" s="23">
        <v>49932.62367895482</v>
      </c>
      <c r="L27" s="23">
        <v>49166.340899357601</v>
      </c>
      <c r="M27" s="23">
        <v>48690.263288702023</v>
      </c>
      <c r="N27" s="23">
        <v>47588.653592101458</v>
      </c>
      <c r="O27" s="23">
        <v>46377.777216352777</v>
      </c>
      <c r="P27" s="23">
        <v>45308.682094089556</v>
      </c>
      <c r="Q27" s="23">
        <v>44398.547584290587</v>
      </c>
      <c r="R27" s="23">
        <v>43651.002671532551</v>
      </c>
      <c r="S27" s="23">
        <v>44277.531660000001</v>
      </c>
      <c r="T27" s="23">
        <v>45043.918739305183</v>
      </c>
      <c r="U27" s="23">
        <v>47261.350916234231</v>
      </c>
      <c r="V27" s="23">
        <v>47696.279808104846</v>
      </c>
      <c r="W27" s="23">
        <v>49310.264676511819</v>
      </c>
      <c r="X27" s="23">
        <v>46027.652433091178</v>
      </c>
      <c r="Y27" s="23">
        <v>48507.103969054508</v>
      </c>
      <c r="Z27" s="23">
        <v>52680.154953429301</v>
      </c>
      <c r="AA27" s="23">
        <v>55845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41555.878334807159</v>
      </c>
      <c r="E28" s="23">
        <v>46704.684008912176</v>
      </c>
      <c r="F28" s="23">
        <v>47811.348106728714</v>
      </c>
      <c r="G28" s="23">
        <v>47593.759780172099</v>
      </c>
      <c r="H28" s="23">
        <v>49272.396981360253</v>
      </c>
      <c r="I28" s="23">
        <v>50438.714264926464</v>
      </c>
      <c r="J28" s="23">
        <v>54044.920868211018</v>
      </c>
      <c r="K28" s="23">
        <v>59999.260922027133</v>
      </c>
      <c r="L28" s="23">
        <v>62564.77405507693</v>
      </c>
      <c r="M28" s="23">
        <v>65438.919457351389</v>
      </c>
      <c r="N28" s="23">
        <v>49448.175465513632</v>
      </c>
      <c r="O28" s="23">
        <v>46798.366479598968</v>
      </c>
      <c r="P28" s="23">
        <v>48457.482768307731</v>
      </c>
      <c r="Q28" s="23">
        <v>40791.854644665706</v>
      </c>
      <c r="R28" s="23">
        <v>44501.433534286349</v>
      </c>
      <c r="S28" s="23">
        <v>44691.497819999997</v>
      </c>
      <c r="T28" s="23">
        <v>46734.382625651633</v>
      </c>
      <c r="U28" s="23">
        <v>48050.521273767445</v>
      </c>
      <c r="V28" s="23">
        <v>52261.971225476816</v>
      </c>
      <c r="W28" s="23">
        <v>50669.113446507785</v>
      </c>
      <c r="X28" s="23">
        <v>52255.317610270846</v>
      </c>
      <c r="Y28" s="23">
        <v>51788.945086571468</v>
      </c>
      <c r="Z28" s="23">
        <v>56199.807472480948</v>
      </c>
      <c r="AA28" s="23">
        <v>73730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60024.611876743082</v>
      </c>
      <c r="E29" s="23">
        <v>62696.259938240248</v>
      </c>
      <c r="F29" s="23">
        <v>69435.667729950845</v>
      </c>
      <c r="G29" s="23">
        <v>76002.662954660482</v>
      </c>
      <c r="H29" s="23">
        <v>84015.78970685706</v>
      </c>
      <c r="I29" s="23">
        <v>93331.489757997726</v>
      </c>
      <c r="J29" s="23">
        <v>103061.07553046526</v>
      </c>
      <c r="K29" s="23">
        <v>115607.3550386952</v>
      </c>
      <c r="L29" s="23">
        <v>118486.06345301527</v>
      </c>
      <c r="M29" s="23">
        <v>114901.12462056839</v>
      </c>
      <c r="N29" s="23">
        <v>131134.05799368356</v>
      </c>
      <c r="O29" s="23">
        <v>138874.96967306425</v>
      </c>
      <c r="P29" s="23">
        <v>142482.02314615084</v>
      </c>
      <c r="Q29" s="23">
        <v>148354.17216522869</v>
      </c>
      <c r="R29" s="23">
        <v>147825.7504385346</v>
      </c>
      <c r="S29" s="23">
        <v>144104.74911</v>
      </c>
      <c r="T29" s="23">
        <v>145909.06209956622</v>
      </c>
      <c r="U29" s="23">
        <v>147803.55037072778</v>
      </c>
      <c r="V29" s="23">
        <v>152235.47643238815</v>
      </c>
      <c r="W29" s="23">
        <v>154760.85787260192</v>
      </c>
      <c r="X29" s="23">
        <v>153254.22268617799</v>
      </c>
      <c r="Y29" s="23">
        <v>153729.81237449218</v>
      </c>
      <c r="Z29" s="23">
        <v>155157.66140982218</v>
      </c>
      <c r="AA29" s="23">
        <v>159783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34069.173389565338</v>
      </c>
      <c r="E30" s="23">
        <v>36238.582496188879</v>
      </c>
      <c r="F30" s="23">
        <v>36590.486396217209</v>
      </c>
      <c r="G30" s="23">
        <v>38539.400860510519</v>
      </c>
      <c r="H30" s="23">
        <v>39452.060675124136</v>
      </c>
      <c r="I30" s="23">
        <v>42129.021961539329</v>
      </c>
      <c r="J30" s="23">
        <v>46028.047206540781</v>
      </c>
      <c r="K30" s="23">
        <v>48321.611227843896</v>
      </c>
      <c r="L30" s="23">
        <v>50712.452248394002</v>
      </c>
      <c r="M30" s="23">
        <v>50896.149257836674</v>
      </c>
      <c r="N30" s="23">
        <v>49092.096808902796</v>
      </c>
      <c r="O30" s="23">
        <v>50427.450979608955</v>
      </c>
      <c r="P30" s="23">
        <v>48892.133168123124</v>
      </c>
      <c r="Q30" s="23">
        <v>49013.224576911074</v>
      </c>
      <c r="R30" s="23">
        <v>51407.999727806113</v>
      </c>
      <c r="S30" s="23">
        <v>54595.397519999999</v>
      </c>
      <c r="T30" s="23">
        <v>55189.09648215209</v>
      </c>
      <c r="U30" s="23">
        <v>57910.410981025438</v>
      </c>
      <c r="V30" s="23">
        <v>61256.066500253524</v>
      </c>
      <c r="W30" s="23">
        <v>64663.175906899931</v>
      </c>
      <c r="X30" s="23">
        <v>60661.187694255241</v>
      </c>
      <c r="Y30" s="23">
        <v>65703.639610960468</v>
      </c>
      <c r="Z30" s="23">
        <v>69898.430937764613</v>
      </c>
      <c r="AA30" s="23">
        <v>71552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27347.019332018233</v>
      </c>
      <c r="E31" s="23">
        <v>29046.371613962401</v>
      </c>
      <c r="F31" s="23">
        <v>30433.614328066949</v>
      </c>
      <c r="G31" s="23">
        <v>31690.981379709305</v>
      </c>
      <c r="H31" s="23">
        <v>32094.504633774814</v>
      </c>
      <c r="I31" s="23">
        <v>33700.792954845645</v>
      </c>
      <c r="J31" s="23">
        <v>37321.410064239826</v>
      </c>
      <c r="K31" s="23">
        <v>41333.046725472253</v>
      </c>
      <c r="L31" s="23">
        <v>41659.91037298939</v>
      </c>
      <c r="M31" s="23">
        <v>38747.226372093479</v>
      </c>
      <c r="N31" s="23">
        <v>39904.787901128788</v>
      </c>
      <c r="O31" s="23">
        <v>41565.034361207086</v>
      </c>
      <c r="P31" s="23">
        <v>39909.358238605011</v>
      </c>
      <c r="Q31" s="23">
        <v>40012.847738324155</v>
      </c>
      <c r="R31" s="23">
        <v>42395.373651632151</v>
      </c>
      <c r="S31" s="23">
        <v>46834.735410000001</v>
      </c>
      <c r="T31" s="23">
        <v>49073.735624179229</v>
      </c>
      <c r="U31" s="23">
        <v>50613.547525035203</v>
      </c>
      <c r="V31" s="23">
        <v>52144.631430633024</v>
      </c>
      <c r="W31" s="23">
        <v>55116.570007489485</v>
      </c>
      <c r="X31" s="23">
        <v>44512.231169640916</v>
      </c>
      <c r="Y31" s="23">
        <v>47688.59252644339</v>
      </c>
      <c r="Z31" s="23">
        <v>51839.514182895851</v>
      </c>
      <c r="AA31" s="23">
        <v>53367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57233.264417386577</v>
      </c>
      <c r="E32" s="23">
        <v>58230.723292811643</v>
      </c>
      <c r="F32" s="23">
        <v>58141.043982437048</v>
      </c>
      <c r="G32" s="23">
        <v>59769.21118663677</v>
      </c>
      <c r="H32" s="23">
        <v>61709.437319038596</v>
      </c>
      <c r="I32" s="23">
        <v>63322.845709552494</v>
      </c>
      <c r="J32" s="23">
        <v>66536.147070274485</v>
      </c>
      <c r="K32" s="23">
        <v>69258.514302654585</v>
      </c>
      <c r="L32" s="23">
        <v>72597.718320800748</v>
      </c>
      <c r="M32" s="23">
        <v>75353.584850241168</v>
      </c>
      <c r="N32" s="23">
        <v>78358.884979028226</v>
      </c>
      <c r="O32" s="23">
        <v>78246.426534321261</v>
      </c>
      <c r="P32" s="23">
        <v>74759.868768247528</v>
      </c>
      <c r="Q32" s="23">
        <v>76048.27763291687</v>
      </c>
      <c r="R32" s="23">
        <v>75866.682500957715</v>
      </c>
      <c r="S32" s="23">
        <v>76079.519189999992</v>
      </c>
      <c r="T32" s="23">
        <v>76040.944575987902</v>
      </c>
      <c r="U32" s="23">
        <v>75499.667418297118</v>
      </c>
      <c r="V32" s="23">
        <v>76668.648552985687</v>
      </c>
      <c r="W32" s="23">
        <v>78730.033837113282</v>
      </c>
      <c r="X32" s="23">
        <v>79152.055548732678</v>
      </c>
      <c r="Y32" s="23">
        <v>81149.563024587958</v>
      </c>
      <c r="Z32" s="23">
        <v>80787.488595469942</v>
      </c>
      <c r="AA32" s="23">
        <v>78703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50180.405264947964</v>
      </c>
      <c r="E33" s="23">
        <v>51692.349763514838</v>
      </c>
      <c r="F33" s="23">
        <v>52539.64521334484</v>
      </c>
      <c r="G33" s="23">
        <v>53695.263540386142</v>
      </c>
      <c r="H33" s="23">
        <v>55381.771206641941</v>
      </c>
      <c r="I33" s="23">
        <v>56220.072567104711</v>
      </c>
      <c r="J33" s="23">
        <v>57812.59120109013</v>
      </c>
      <c r="K33" s="23">
        <v>59846.546455022057</v>
      </c>
      <c r="L33" s="23">
        <v>61882.80711119964</v>
      </c>
      <c r="M33" s="23">
        <v>64471.923357269858</v>
      </c>
      <c r="N33" s="23">
        <v>65180.377930319904</v>
      </c>
      <c r="O33" s="23">
        <v>65309.10079686845</v>
      </c>
      <c r="P33" s="23">
        <v>63259.743606465272</v>
      </c>
      <c r="Q33" s="23">
        <v>63330.959598908674</v>
      </c>
      <c r="R33" s="23">
        <v>63599.126318124079</v>
      </c>
      <c r="S33" s="23">
        <v>65293.534619999999</v>
      </c>
      <c r="T33" s="23">
        <v>66810.437094591907</v>
      </c>
      <c r="U33" s="23">
        <v>67987.144795533546</v>
      </c>
      <c r="V33" s="23">
        <v>68879.63297125473</v>
      </c>
      <c r="W33" s="23">
        <v>69540.472384921173</v>
      </c>
      <c r="X33" s="23">
        <v>67865.407158984628</v>
      </c>
      <c r="Y33" s="23">
        <v>67264.936267478552</v>
      </c>
      <c r="Z33" s="23">
        <v>67733.144104572391</v>
      </c>
      <c r="AA33" s="23">
        <v>69349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45832.124413305224</v>
      </c>
      <c r="E34" s="23">
        <v>46922.62979322207</v>
      </c>
      <c r="F34" s="23">
        <v>49920.340225916611</v>
      </c>
      <c r="G34" s="23">
        <v>54094.102031961811</v>
      </c>
      <c r="H34" s="23">
        <v>56951.793625507278</v>
      </c>
      <c r="I34" s="23">
        <v>60416.002462557932</v>
      </c>
      <c r="J34" s="23">
        <v>63127.674323535139</v>
      </c>
      <c r="K34" s="23">
        <v>66918.978738453865</v>
      </c>
      <c r="L34" s="23">
        <v>71614.918858622579</v>
      </c>
      <c r="M34" s="23">
        <v>74925.64770081632</v>
      </c>
      <c r="N34" s="23">
        <v>75967.043497753388</v>
      </c>
      <c r="O34" s="23">
        <v>76439.094385971926</v>
      </c>
      <c r="P34" s="23">
        <v>73465.576466575032</v>
      </c>
      <c r="Q34" s="23">
        <v>73287.225160829155</v>
      </c>
      <c r="R34" s="23">
        <v>72515.912111619647</v>
      </c>
      <c r="S34" s="23">
        <v>75042.197010000004</v>
      </c>
      <c r="T34" s="23">
        <v>77596.123462931268</v>
      </c>
      <c r="U34" s="23">
        <v>80083.017182468961</v>
      </c>
      <c r="V34" s="23">
        <v>82248.155797808038</v>
      </c>
      <c r="W34" s="23">
        <v>86144.772406045362</v>
      </c>
      <c r="X34" s="23">
        <v>85618.459259539173</v>
      </c>
      <c r="Y34" s="23">
        <v>85797.817121810818</v>
      </c>
      <c r="Z34" s="23">
        <v>85316.54688823031</v>
      </c>
      <c r="AA34" s="23">
        <v>86900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15171.505516631523</v>
      </c>
      <c r="E35" s="23">
        <v>15999.415705742096</v>
      </c>
      <c r="F35" s="23">
        <v>16725.918227192553</v>
      </c>
      <c r="G35" s="23">
        <v>17347.298900860507</v>
      </c>
      <c r="H35" s="23">
        <v>18231.570495005759</v>
      </c>
      <c r="I35" s="23">
        <v>19732.320076563166</v>
      </c>
      <c r="J35" s="23">
        <v>20264.730484718708</v>
      </c>
      <c r="K35" s="23">
        <v>20571.38976033952</v>
      </c>
      <c r="L35" s="23">
        <v>21615.595488272495</v>
      </c>
      <c r="M35" s="23">
        <v>21890.99484267709</v>
      </c>
      <c r="N35" s="23">
        <v>22899.33448238072</v>
      </c>
      <c r="O35" s="23">
        <v>23238.157636156659</v>
      </c>
      <c r="P35" s="23">
        <v>22688.750870363496</v>
      </c>
      <c r="Q35" s="23">
        <v>22232.590572743105</v>
      </c>
      <c r="R35" s="23">
        <v>22217.961227493597</v>
      </c>
      <c r="S35" s="23">
        <v>24499.817009999999</v>
      </c>
      <c r="T35" s="23">
        <v>24760.746527915951</v>
      </c>
      <c r="U35" s="23">
        <v>26875.634953769804</v>
      </c>
      <c r="V35" s="23">
        <v>27742.647694917901</v>
      </c>
      <c r="W35" s="23">
        <v>26830.330305532618</v>
      </c>
      <c r="X35" s="23">
        <v>18269.18207325253</v>
      </c>
      <c r="Y35" s="23">
        <v>18773.422992569009</v>
      </c>
      <c r="Z35" s="23">
        <v>23250.298078958509</v>
      </c>
      <c r="AA35" s="23">
        <v>21434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13760.278824569757</v>
      </c>
      <c r="E36" s="23">
        <v>13849.749013016457</v>
      </c>
      <c r="F36" s="23">
        <v>14093.065110519008</v>
      </c>
      <c r="G36" s="23">
        <v>14275.517354834043</v>
      </c>
      <c r="H36" s="23">
        <v>14584.976534610869</v>
      </c>
      <c r="I36" s="23">
        <v>15106.694631623723</v>
      </c>
      <c r="J36" s="23">
        <v>15523.582635779638</v>
      </c>
      <c r="K36" s="23">
        <v>16264.090736040611</v>
      </c>
      <c r="L36" s="23">
        <v>17007.224839400427</v>
      </c>
      <c r="M36" s="23">
        <v>17381.104718213697</v>
      </c>
      <c r="N36" s="23">
        <v>18219.957388939256</v>
      </c>
      <c r="O36" s="23">
        <v>19134.408110483113</v>
      </c>
      <c r="P36" s="23">
        <v>19777.800553822075</v>
      </c>
      <c r="Q36" s="23">
        <v>20093.047498716387</v>
      </c>
      <c r="R36" s="23">
        <v>20552.281377905922</v>
      </c>
      <c r="S36" s="23">
        <v>21833.104769999998</v>
      </c>
      <c r="T36" s="23">
        <v>22785.346094154163</v>
      </c>
      <c r="U36" s="23">
        <v>23566.096202132794</v>
      </c>
      <c r="V36" s="23">
        <v>23455.051591325715</v>
      </c>
      <c r="W36" s="23">
        <v>24708.862327885854</v>
      </c>
      <c r="X36" s="23">
        <v>20704.315116246114</v>
      </c>
      <c r="Y36" s="23">
        <v>20002.860588001218</v>
      </c>
      <c r="Z36" s="23">
        <v>22202.681361134633</v>
      </c>
      <c r="AA36" s="23">
        <v>22845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9510.227209033399</v>
      </c>
      <c r="E37" s="23">
        <v>9686.8277371692147</v>
      </c>
      <c r="F37" s="23">
        <v>9828.4150936315527</v>
      </c>
      <c r="G37" s="23">
        <v>10194.311844674234</v>
      </c>
      <c r="H37" s="23">
        <v>10483.607809393134</v>
      </c>
      <c r="I37" s="23">
        <v>10867.660480422666</v>
      </c>
      <c r="J37" s="23">
        <v>11286.092271753942</v>
      </c>
      <c r="K37" s="23">
        <v>11633.838166763753</v>
      </c>
      <c r="L37" s="23">
        <v>11716.887246651062</v>
      </c>
      <c r="M37" s="23">
        <v>11906.582787312003</v>
      </c>
      <c r="N37" s="23">
        <v>12734.907375489425</v>
      </c>
      <c r="O37" s="23">
        <v>12593.644225200216</v>
      </c>
      <c r="P37" s="23">
        <v>11736.768157237311</v>
      </c>
      <c r="Q37" s="23">
        <v>11411.300234573991</v>
      </c>
      <c r="R37" s="23">
        <v>11548.147478678145</v>
      </c>
      <c r="S37" s="23">
        <v>11694.544019999999</v>
      </c>
      <c r="T37" s="23">
        <v>11685.990081181104</v>
      </c>
      <c r="U37" s="23">
        <v>11785.41798201995</v>
      </c>
      <c r="V37" s="23">
        <v>12039.062950973128</v>
      </c>
      <c r="W37" s="23">
        <v>11550.214544965722</v>
      </c>
      <c r="X37" s="23">
        <v>10563.611687906814</v>
      </c>
      <c r="Y37" s="23">
        <v>11039.325075651714</v>
      </c>
      <c r="Z37" s="23">
        <v>10775.486240474174</v>
      </c>
      <c r="AA37" s="23">
        <v>11048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963620.62043398409</v>
      </c>
      <c r="E39" s="30">
        <f t="shared" ref="E39:S39" si="3">SUM(E18:E38)</f>
        <v>1001879.5229644688</v>
      </c>
      <c r="F39" s="30">
        <f t="shared" si="3"/>
        <v>1028701.9268585583</v>
      </c>
      <c r="G39" s="30">
        <f t="shared" si="3"/>
        <v>1056098.2199002097</v>
      </c>
      <c r="H39" s="30">
        <f t="shared" si="3"/>
        <v>1085683.096408098</v>
      </c>
      <c r="I39" s="30">
        <f t="shared" si="3"/>
        <v>1122099.4146835613</v>
      </c>
      <c r="J39" s="30">
        <f t="shared" si="3"/>
        <v>1169034.5729024725</v>
      </c>
      <c r="K39" s="30">
        <f t="shared" si="3"/>
        <v>1215453.1911354749</v>
      </c>
      <c r="L39" s="30">
        <f t="shared" si="3"/>
        <v>1228863.6826452869</v>
      </c>
      <c r="M39" s="30">
        <f t="shared" si="3"/>
        <v>1188727.8329715023</v>
      </c>
      <c r="N39" s="30">
        <f t="shared" si="3"/>
        <v>1186636.3193687543</v>
      </c>
      <c r="O39" s="30">
        <f t="shared" si="3"/>
        <v>1183654.7500848796</v>
      </c>
      <c r="P39" s="30">
        <f t="shared" si="3"/>
        <v>1150660.8696912844</v>
      </c>
      <c r="Q39" s="30">
        <f t="shared" si="3"/>
        <v>1135970.1627822693</v>
      </c>
      <c r="R39" s="30">
        <f t="shared" si="3"/>
        <v>1148255.1477609533</v>
      </c>
      <c r="S39" s="30">
        <f t="shared" si="3"/>
        <v>1188872.3030400001</v>
      </c>
      <c r="T39" s="30">
        <f t="shared" ref="T39:Y39" si="4">SUM(T18:T38)</f>
        <v>1220438.3043495563</v>
      </c>
      <c r="U39" s="30">
        <f t="shared" si="4"/>
        <v>1257366.4085981271</v>
      </c>
      <c r="V39" s="30">
        <f t="shared" si="4"/>
        <v>1288209.0707028355</v>
      </c>
      <c r="W39" s="30">
        <f t="shared" si="4"/>
        <v>1314903.415896914</v>
      </c>
      <c r="X39" s="30">
        <f t="shared" si="4"/>
        <v>1172051.5884859192</v>
      </c>
      <c r="Y39" s="30">
        <f t="shared" si="4"/>
        <v>1245690.8940783448</v>
      </c>
      <c r="Z39" s="30">
        <f t="shared" ref="Z39:AA39" si="5">SUM(Z18:Z38)</f>
        <v>1331773.4651513549</v>
      </c>
      <c r="AA39" s="30">
        <f t="shared" si="5"/>
        <v>1366751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23843.509910890418</v>
      </c>
      <c r="E41" s="19">
        <v>23981.876050502291</v>
      </c>
      <c r="F41" s="19">
        <v>24133.734228993882</v>
      </c>
      <c r="G41" s="19">
        <v>25036.905018439509</v>
      </c>
      <c r="H41" s="19">
        <v>25326.056826242166</v>
      </c>
      <c r="I41" s="19">
        <v>27033.103393852565</v>
      </c>
      <c r="J41" s="19">
        <v>26804.469145415613</v>
      </c>
      <c r="K41" s="19">
        <v>28351.065272114509</v>
      </c>
      <c r="L41" s="19">
        <v>28456.838573776204</v>
      </c>
      <c r="M41" s="19">
        <v>27804.093244398162</v>
      </c>
      <c r="N41" s="19">
        <v>28744.059906548573</v>
      </c>
      <c r="O41" s="19">
        <v>29840.207385512571</v>
      </c>
      <c r="P41" s="19">
        <v>29227.824663141735</v>
      </c>
      <c r="Q41" s="19">
        <v>28740.872222613736</v>
      </c>
      <c r="R41" s="19">
        <v>28743.592626570156</v>
      </c>
      <c r="S41" s="19">
        <v>28923.478649999997</v>
      </c>
      <c r="T41" s="19">
        <v>29153.318765171713</v>
      </c>
      <c r="U41" s="19">
        <v>29625.881800368268</v>
      </c>
      <c r="V41" s="19">
        <v>27881.108652833576</v>
      </c>
      <c r="W41" s="19">
        <v>29271.867253663127</v>
      </c>
      <c r="X41" s="19">
        <v>27198.003230895676</v>
      </c>
      <c r="Y41" s="19">
        <v>27868.365784140435</v>
      </c>
      <c r="Z41" s="19">
        <v>31084.603037679932</v>
      </c>
      <c r="AA41" s="19">
        <v>33188.408555901828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12403.078212366507</v>
      </c>
      <c r="E42" s="23">
        <v>12709.845522417232</v>
      </c>
      <c r="F42" s="23">
        <v>12250.519533155702</v>
      </c>
      <c r="G42" s="23">
        <v>12368.344204208546</v>
      </c>
      <c r="H42" s="23">
        <v>11618.445760997221</v>
      </c>
      <c r="I42" s="23">
        <v>11100.692863059394</v>
      </c>
      <c r="J42" s="23">
        <v>11175.469826747129</v>
      </c>
      <c r="K42" s="23">
        <v>10816.440240908714</v>
      </c>
      <c r="L42" s="23">
        <v>10479.99816742194</v>
      </c>
      <c r="M42" s="23">
        <v>9152.1806929477279</v>
      </c>
      <c r="N42" s="23">
        <v>9496.6297609915018</v>
      </c>
      <c r="O42" s="23">
        <v>10614.471320724571</v>
      </c>
      <c r="P42" s="23">
        <v>9643.2020647931695</v>
      </c>
      <c r="Q42" s="23">
        <v>9898.1126357861249</v>
      </c>
      <c r="R42" s="23">
        <v>10024.408300905296</v>
      </c>
      <c r="S42" s="23">
        <v>10487.54385</v>
      </c>
      <c r="T42" s="23">
        <v>10807.236191253132</v>
      </c>
      <c r="U42" s="23">
        <v>11086.303100721761</v>
      </c>
      <c r="V42" s="23">
        <v>10683.788320527323</v>
      </c>
      <c r="W42" s="23">
        <v>10161.323200122904</v>
      </c>
      <c r="X42" s="23">
        <v>8674.1667217745362</v>
      </c>
      <c r="Y42" s="23">
        <v>9206.3048926069532</v>
      </c>
      <c r="Z42" s="23">
        <v>8740.7534663420829</v>
      </c>
      <c r="AA42" s="23">
        <v>8475.7126200519251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14605.050255084689</v>
      </c>
      <c r="E43" s="23">
        <v>14373.446077473323</v>
      </c>
      <c r="F43" s="23">
        <v>14221.01966450257</v>
      </c>
      <c r="G43" s="23">
        <v>13669.282847639019</v>
      </c>
      <c r="H43" s="23">
        <v>13367.579471854326</v>
      </c>
      <c r="I43" s="23">
        <v>13619.597808323448</v>
      </c>
      <c r="J43" s="23">
        <v>13527.17286353903</v>
      </c>
      <c r="K43" s="23">
        <v>13286.158629441627</v>
      </c>
      <c r="L43" s="23">
        <v>12567.847756585827</v>
      </c>
      <c r="M43" s="23">
        <v>10502.192363232707</v>
      </c>
      <c r="N43" s="23">
        <v>10839.417961005449</v>
      </c>
      <c r="O43" s="23">
        <v>10336.882406982086</v>
      </c>
      <c r="P43" s="23">
        <v>9312.3848160447869</v>
      </c>
      <c r="Q43" s="23">
        <v>8836.8217338340255</v>
      </c>
      <c r="R43" s="23">
        <v>8304.1358852349931</v>
      </c>
      <c r="S43" s="23">
        <v>8637.9334199999994</v>
      </c>
      <c r="T43" s="23">
        <v>8743.2420410680879</v>
      </c>
      <c r="U43" s="23">
        <v>9269.7893498232515</v>
      </c>
      <c r="V43" s="23">
        <v>9476.3618315846961</v>
      </c>
      <c r="W43" s="23">
        <v>9614.7794346398332</v>
      </c>
      <c r="X43" s="23">
        <v>8593.450360405468</v>
      </c>
      <c r="Y43" s="23">
        <v>9382.2570122430843</v>
      </c>
      <c r="Z43" s="23">
        <v>9904.0644316257403</v>
      </c>
      <c r="AA43" s="23">
        <v>10126.564095631753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4436.6871641384942</v>
      </c>
      <c r="E44" s="23">
        <v>4514.1432591955599</v>
      </c>
      <c r="F44" s="23">
        <v>4144.2222013735127</v>
      </c>
      <c r="G44" s="23">
        <v>4741.1019234941059</v>
      </c>
      <c r="H44" s="23">
        <v>4773.0360701868631</v>
      </c>
      <c r="I44" s="23">
        <v>4962.3774429693976</v>
      </c>
      <c r="J44" s="23">
        <v>4122.9635974304065</v>
      </c>
      <c r="K44" s="23">
        <v>3153.1782162769414</v>
      </c>
      <c r="L44" s="23">
        <v>2051.8935112793188</v>
      </c>
      <c r="M44" s="23">
        <v>1315.7294124581274</v>
      </c>
      <c r="N44" s="23">
        <v>2064.5368575214452</v>
      </c>
      <c r="O44" s="23">
        <v>2849.1918375906212</v>
      </c>
      <c r="P44" s="23">
        <v>2429.2127900793612</v>
      </c>
      <c r="Q44" s="23">
        <v>1434.4388446475853</v>
      </c>
      <c r="R44" s="23">
        <v>936.56580035082766</v>
      </c>
      <c r="S44" s="23">
        <v>3376.71234</v>
      </c>
      <c r="T44" s="23">
        <v>3922.0677703052247</v>
      </c>
      <c r="U44" s="23">
        <v>4359.3960140610689</v>
      </c>
      <c r="V44" s="23">
        <v>3790.0753734545033</v>
      </c>
      <c r="W44" s="23">
        <v>3126.7387513682716</v>
      </c>
      <c r="X44" s="23">
        <v>-520.67737333849777</v>
      </c>
      <c r="Y44" s="23">
        <v>3078.0484726219447</v>
      </c>
      <c r="Z44" s="23">
        <v>8653.7174269686711</v>
      </c>
      <c r="AA44" s="23">
        <v>11630.705253733357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10988.577212434529</v>
      </c>
      <c r="E45" s="23">
        <v>11317.501231286402</v>
      </c>
      <c r="F45" s="23">
        <v>11037.209291852741</v>
      </c>
      <c r="G45" s="23">
        <v>10488.72716754646</v>
      </c>
      <c r="H45" s="23">
        <v>10630.535041105129</v>
      </c>
      <c r="I45" s="23">
        <v>10575.359746132666</v>
      </c>
      <c r="J45" s="23">
        <v>10609.343196418144</v>
      </c>
      <c r="K45" s="23">
        <v>10405.863641091788</v>
      </c>
      <c r="L45" s="23">
        <v>10260.666092326079</v>
      </c>
      <c r="M45" s="23">
        <v>9159.2735738774227</v>
      </c>
      <c r="N45" s="23">
        <v>10223.174090641905</v>
      </c>
      <c r="O45" s="23">
        <v>10741.849783307704</v>
      </c>
      <c r="P45" s="23">
        <v>9657.6904114536828</v>
      </c>
      <c r="Q45" s="23">
        <v>9125.163325916903</v>
      </c>
      <c r="R45" s="23">
        <v>9543.993719378188</v>
      </c>
      <c r="S45" s="23">
        <v>9959.2556399999994</v>
      </c>
      <c r="T45" s="23">
        <v>10649.20415655219</v>
      </c>
      <c r="U45" s="23">
        <v>11195.317624585208</v>
      </c>
      <c r="V45" s="23">
        <v>10668.53414719763</v>
      </c>
      <c r="W45" s="23">
        <v>11271.742985808385</v>
      </c>
      <c r="X45" s="23">
        <v>10846.687377778619</v>
      </c>
      <c r="Y45" s="23">
        <v>12632.916741470093</v>
      </c>
      <c r="Z45" s="23">
        <v>11319.992194115157</v>
      </c>
      <c r="AA45" s="23">
        <v>10663.823965451538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5749.6846200938717</v>
      </c>
      <c r="E46" s="23">
        <v>6158.928350857992</v>
      </c>
      <c r="F46" s="23">
        <v>6304.3961421548393</v>
      </c>
      <c r="G46" s="23">
        <v>6500.3422517897161</v>
      </c>
      <c r="H46" s="23">
        <v>6776.8436493447607</v>
      </c>
      <c r="I46" s="23">
        <v>7144.5303902034975</v>
      </c>
      <c r="J46" s="23">
        <v>7619.9343001751995</v>
      </c>
      <c r="K46" s="23">
        <v>7997.48139094616</v>
      </c>
      <c r="L46" s="23">
        <v>8349.0012847965736</v>
      </c>
      <c r="M46" s="23">
        <v>7857.7299232786818</v>
      </c>
      <c r="N46" s="23">
        <v>6540.0978848893628</v>
      </c>
      <c r="O46" s="23">
        <v>6033.6534021689204</v>
      </c>
      <c r="P46" s="23">
        <v>6357.969459521827</v>
      </c>
      <c r="Q46" s="23">
        <v>7536.8615308721519</v>
      </c>
      <c r="R46" s="23">
        <v>8534.6378309171923</v>
      </c>
      <c r="S46" s="23">
        <v>8467.0520400000005</v>
      </c>
      <c r="T46" s="23">
        <v>8654.6483246448315</v>
      </c>
      <c r="U46" s="23">
        <v>8721.1619090756922</v>
      </c>
      <c r="V46" s="23">
        <v>7862.939652482547</v>
      </c>
      <c r="W46" s="23">
        <v>8277.8848539550254</v>
      </c>
      <c r="X46" s="23">
        <v>8965.2003627672348</v>
      </c>
      <c r="Y46" s="23">
        <v>10027.043577238781</v>
      </c>
      <c r="Z46" s="23">
        <v>7981.8416596104998</v>
      </c>
      <c r="AA46" s="23">
        <v>6836.2868140525852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21143.843071899872</v>
      </c>
      <c r="E47" s="23">
        <v>21264.609545401247</v>
      </c>
      <c r="F47" s="23">
        <v>20879.172514729613</v>
      </c>
      <c r="G47" s="23">
        <v>20044.897425699615</v>
      </c>
      <c r="H47" s="23">
        <v>19881.353411086176</v>
      </c>
      <c r="I47" s="23">
        <v>20199.731849828742</v>
      </c>
      <c r="J47" s="23">
        <v>19677.78080591785</v>
      </c>
      <c r="K47" s="23">
        <v>19164.413851210786</v>
      </c>
      <c r="L47" s="23">
        <v>18860.161386385138</v>
      </c>
      <c r="M47" s="23">
        <v>14770.924536086524</v>
      </c>
      <c r="N47" s="23">
        <v>14144.834985504071</v>
      </c>
      <c r="O47" s="23">
        <v>13430.016017255497</v>
      </c>
      <c r="P47" s="23">
        <v>12048.267610438343</v>
      </c>
      <c r="Q47" s="23">
        <v>12072.789769352354</v>
      </c>
      <c r="R47" s="23">
        <v>12433.760217351855</v>
      </c>
      <c r="S47" s="23">
        <v>12966.527249999999</v>
      </c>
      <c r="T47" s="23">
        <v>13327.368259779536</v>
      </c>
      <c r="U47" s="23">
        <v>13974.003042626309</v>
      </c>
      <c r="V47" s="23">
        <v>14260.305267366122</v>
      </c>
      <c r="W47" s="23">
        <v>15205.009323449773</v>
      </c>
      <c r="X47" s="23">
        <v>14389.112476736607</v>
      </c>
      <c r="Y47" s="23">
        <v>15167.518161038672</v>
      </c>
      <c r="Z47" s="23">
        <v>14848.136034081288</v>
      </c>
      <c r="AA47" s="23">
        <v>14619.961804472972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27032.685776477792</v>
      </c>
      <c r="E48" s="23">
        <v>27274.582144392763</v>
      </c>
      <c r="F48" s="23">
        <v>26622.073967050699</v>
      </c>
      <c r="G48" s="23">
        <v>25653.29177814737</v>
      </c>
      <c r="H48" s="23">
        <v>25145.546227281713</v>
      </c>
      <c r="I48" s="23">
        <v>24574.813808233903</v>
      </c>
      <c r="J48" s="23">
        <v>25391.104730387386</v>
      </c>
      <c r="K48" s="23">
        <v>24742.24717067488</v>
      </c>
      <c r="L48" s="23">
        <v>23533.252975449428</v>
      </c>
      <c r="M48" s="23">
        <v>18433.215389451554</v>
      </c>
      <c r="N48" s="23">
        <v>18751.078078766201</v>
      </c>
      <c r="O48" s="23">
        <v>17820.967925545727</v>
      </c>
      <c r="P48" s="23">
        <v>16259.547039760813</v>
      </c>
      <c r="Q48" s="23">
        <v>15805.480715601687</v>
      </c>
      <c r="R48" s="23">
        <v>16729.588583986933</v>
      </c>
      <c r="S48" s="23">
        <v>17228.93463</v>
      </c>
      <c r="T48" s="23">
        <v>17868.394832663456</v>
      </c>
      <c r="U48" s="23">
        <v>19653.422747816498</v>
      </c>
      <c r="V48" s="23">
        <v>20346.720425913649</v>
      </c>
      <c r="W48" s="23">
        <v>18922.200218923434</v>
      </c>
      <c r="X48" s="23">
        <v>17447.239407480185</v>
      </c>
      <c r="Y48" s="23">
        <v>21508.476194001534</v>
      </c>
      <c r="Z48" s="23">
        <v>20276.212928662149</v>
      </c>
      <c r="AA48" s="23">
        <v>19591.651033036207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5073.5400448949058</v>
      </c>
      <c r="E49" s="23">
        <v>4902.9961693311971</v>
      </c>
      <c r="F49" s="23">
        <v>3840.1419672008105</v>
      </c>
      <c r="G49" s="23">
        <v>3522.8316219538647</v>
      </c>
      <c r="H49" s="23">
        <v>3117.6559262317005</v>
      </c>
      <c r="I49" s="23">
        <v>3131.7935816785694</v>
      </c>
      <c r="J49" s="23">
        <v>3033.6578742456686</v>
      </c>
      <c r="K49" s="23">
        <v>3269.5917034201552</v>
      </c>
      <c r="L49" s="23">
        <v>3232.4514018226182</v>
      </c>
      <c r="M49" s="23">
        <v>2840.6988123422102</v>
      </c>
      <c r="N49" s="23">
        <v>2545.3029898478676</v>
      </c>
      <c r="O49" s="23">
        <v>2491.0901220267219</v>
      </c>
      <c r="P49" s="23">
        <v>2354.3563323333769</v>
      </c>
      <c r="Q49" s="23">
        <v>2240.099175467386</v>
      </c>
      <c r="R49" s="23">
        <v>1966.5455471097041</v>
      </c>
      <c r="S49" s="23">
        <v>1870.0680599999998</v>
      </c>
      <c r="T49" s="23">
        <v>1866.4541068088661</v>
      </c>
      <c r="U49" s="23">
        <v>1969.3710724026901</v>
      </c>
      <c r="V49" s="23">
        <v>2060.4867974569993</v>
      </c>
      <c r="W49" s="23">
        <v>2193.1079638200217</v>
      </c>
      <c r="X49" s="23">
        <v>1949.6980246190471</v>
      </c>
      <c r="Y49" s="23">
        <v>2188.2652853480904</v>
      </c>
      <c r="Z49" s="23">
        <v>2302.2093829381879</v>
      </c>
      <c r="AA49" s="23">
        <v>2349.9728090939493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6538.792816815183</v>
      </c>
      <c r="E50" s="23">
        <v>6571.3005902357045</v>
      </c>
      <c r="F50" s="23">
        <v>6506.1127331406915</v>
      </c>
      <c r="G50" s="23">
        <v>6542.4015836286062</v>
      </c>
      <c r="H50" s="23">
        <v>6568.3469110105934</v>
      </c>
      <c r="I50" s="23">
        <v>6072.3120284761253</v>
      </c>
      <c r="J50" s="23">
        <v>7053.8076698462137</v>
      </c>
      <c r="K50" s="23">
        <v>6939.7459432470678</v>
      </c>
      <c r="L50" s="23">
        <v>6974.2805736766095</v>
      </c>
      <c r="M50" s="23">
        <v>5779.5158108785126</v>
      </c>
      <c r="N50" s="23">
        <v>5669.68339095175</v>
      </c>
      <c r="O50" s="23">
        <v>4794.7176010065705</v>
      </c>
      <c r="P50" s="23">
        <v>4464.8254958814496</v>
      </c>
      <c r="Q50" s="23">
        <v>4403.8726353834227</v>
      </c>
      <c r="R50" s="23">
        <v>4510.5591265600742</v>
      </c>
      <c r="S50" s="23">
        <v>4812.3566099999998</v>
      </c>
      <c r="T50" s="23">
        <v>4983.9951550001988</v>
      </c>
      <c r="U50" s="23">
        <v>5108.2783953838734</v>
      </c>
      <c r="V50" s="23">
        <v>5509.1033679160655</v>
      </c>
      <c r="W50" s="23">
        <v>5223.9415724079654</v>
      </c>
      <c r="X50" s="23">
        <v>4769.0864217358039</v>
      </c>
      <c r="Y50" s="23">
        <v>5071.4300811578642</v>
      </c>
      <c r="Z50" s="23">
        <v>5010.9407546570701</v>
      </c>
      <c r="AA50" s="23">
        <v>4956.8899155285644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9192.6193456227466</v>
      </c>
      <c r="E51" s="23">
        <v>9484.5615056873721</v>
      </c>
      <c r="F51" s="23">
        <v>9403.9070439449097</v>
      </c>
      <c r="G51" s="23">
        <v>8997.7963699472111</v>
      </c>
      <c r="H51" s="23">
        <v>9101.0925243316797</v>
      </c>
      <c r="I51" s="23">
        <v>8856.5775481877827</v>
      </c>
      <c r="J51" s="23">
        <v>8895.3460190772821</v>
      </c>
      <c r="K51" s="23">
        <v>8784.8371265706919</v>
      </c>
      <c r="L51" s="23">
        <v>8840.4010158856618</v>
      </c>
      <c r="M51" s="23">
        <v>7699.3222491821953</v>
      </c>
      <c r="N51" s="23">
        <v>7416.5069690056089</v>
      </c>
      <c r="O51" s="23">
        <v>7615.0690319745963</v>
      </c>
      <c r="P51" s="23">
        <v>7861.1354255500592</v>
      </c>
      <c r="Q51" s="23">
        <v>7882.144529794924</v>
      </c>
      <c r="R51" s="23">
        <v>8315.0543984515189</v>
      </c>
      <c r="S51" s="23">
        <v>7846.1027999999997</v>
      </c>
      <c r="T51" s="23">
        <v>7663.3564706116431</v>
      </c>
      <c r="U51" s="23">
        <v>8223.4869088295236</v>
      </c>
      <c r="V51" s="23">
        <v>8538.8168707827917</v>
      </c>
      <c r="W51" s="23">
        <v>8835.9834559176543</v>
      </c>
      <c r="X51" s="23">
        <v>8156.899898916422</v>
      </c>
      <c r="Y51" s="23">
        <v>8623.8811041911504</v>
      </c>
      <c r="Z51" s="23">
        <v>8428.697422734971</v>
      </c>
      <c r="AA51" s="23">
        <v>8292.4890823315291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19740.802149513638</v>
      </c>
      <c r="E52" s="23">
        <v>19412.854356408556</v>
      </c>
      <c r="F52" s="23">
        <v>20134.025406237099</v>
      </c>
      <c r="G52" s="23">
        <v>20410.378516161687</v>
      </c>
      <c r="H52" s="23">
        <v>19738.624100280238</v>
      </c>
      <c r="I52" s="23">
        <v>18656.060690859435</v>
      </c>
      <c r="J52" s="23">
        <v>19401.875413665563</v>
      </c>
      <c r="K52" s="23">
        <v>19302.107223100611</v>
      </c>
      <c r="L52" s="23">
        <v>17709.56689407898</v>
      </c>
      <c r="M52" s="23">
        <v>15475.484041769403</v>
      </c>
      <c r="N52" s="23">
        <v>14782.659380510695</v>
      </c>
      <c r="O52" s="23">
        <v>15590.643146731642</v>
      </c>
      <c r="P52" s="23">
        <v>14187.713467307442</v>
      </c>
      <c r="Q52" s="23">
        <v>16165.301946058049</v>
      </c>
      <c r="R52" s="23">
        <v>17459.915801358951</v>
      </c>
      <c r="S52" s="23">
        <v>17740.375379999998</v>
      </c>
      <c r="T52" s="23">
        <v>17809.731425842652</v>
      </c>
      <c r="U52" s="23">
        <v>18790.786080723141</v>
      </c>
      <c r="V52" s="23">
        <v>20080.35909161824</v>
      </c>
      <c r="W52" s="23">
        <v>19926.315508996984</v>
      </c>
      <c r="X52" s="23">
        <v>17411.997052516224</v>
      </c>
      <c r="Y52" s="23">
        <v>17881.412563274444</v>
      </c>
      <c r="Z52" s="23">
        <v>18943.075545088908</v>
      </c>
      <c r="AA52" s="23">
        <v>19817.578244469045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11710.562097816475</v>
      </c>
      <c r="E53" s="23">
        <v>12013.673376851817</v>
      </c>
      <c r="F53" s="23">
        <v>11959.987428228318</v>
      </c>
      <c r="G53" s="23">
        <v>12010.114722684213</v>
      </c>
      <c r="H53" s="23">
        <v>12655.332224793312</v>
      </c>
      <c r="I53" s="23">
        <v>12874.702388681189</v>
      </c>
      <c r="J53" s="23">
        <v>13656.015475958731</v>
      </c>
      <c r="K53" s="23">
        <v>13829.42156944329</v>
      </c>
      <c r="L53" s="23">
        <v>13947.362611423732</v>
      </c>
      <c r="M53" s="23">
        <v>12896.039677004233</v>
      </c>
      <c r="N53" s="23">
        <v>12311.689308877885</v>
      </c>
      <c r="O53" s="23">
        <v>11693.583201853369</v>
      </c>
      <c r="P53" s="23">
        <v>11428.890790701407</v>
      </c>
      <c r="Q53" s="23">
        <v>10881.866302892407</v>
      </c>
      <c r="R53" s="23">
        <v>11112.620118152307</v>
      </c>
      <c r="S53" s="23">
        <v>11767.95081</v>
      </c>
      <c r="T53" s="23">
        <v>11803.316894822714</v>
      </c>
      <c r="U53" s="23">
        <v>12116.016375040617</v>
      </c>
      <c r="V53" s="23">
        <v>12307.771081165412</v>
      </c>
      <c r="W53" s="23">
        <v>12926.395569681024</v>
      </c>
      <c r="X53" s="23">
        <v>11446.944262326057</v>
      </c>
      <c r="Y53" s="23">
        <v>12230.899556731845</v>
      </c>
      <c r="Z53" s="23">
        <v>13554.271009737511</v>
      </c>
      <c r="AA53" s="23">
        <v>13469.955806244747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172459.43267804911</v>
      </c>
      <c r="E54" s="30">
        <f t="shared" ref="E54:S54" si="6">SUM(E41:E53)</f>
        <v>173980.31818004145</v>
      </c>
      <c r="F54" s="30">
        <f t="shared" si="6"/>
        <v>171436.52212256539</v>
      </c>
      <c r="G54" s="30">
        <f t="shared" si="6"/>
        <v>169986.41543133993</v>
      </c>
      <c r="H54" s="30">
        <f t="shared" si="6"/>
        <v>168700.4481447459</v>
      </c>
      <c r="I54" s="30">
        <f t="shared" si="6"/>
        <v>168801.6535404867</v>
      </c>
      <c r="J54" s="30">
        <f t="shared" si="6"/>
        <v>170968.9409188242</v>
      </c>
      <c r="K54" s="30">
        <f t="shared" si="6"/>
        <v>170042.55197844721</v>
      </c>
      <c r="L54" s="30">
        <f t="shared" si="6"/>
        <v>165263.72224490813</v>
      </c>
      <c r="M54" s="30">
        <f t="shared" si="6"/>
        <v>143686.39972690743</v>
      </c>
      <c r="N54" s="30">
        <f t="shared" si="6"/>
        <v>143529.67156506234</v>
      </c>
      <c r="O54" s="30">
        <f t="shared" si="6"/>
        <v>143852.3431826806</v>
      </c>
      <c r="P54" s="30">
        <f t="shared" si="6"/>
        <v>135233.02036700747</v>
      </c>
      <c r="Q54" s="30">
        <f t="shared" si="6"/>
        <v>135023.82536822077</v>
      </c>
      <c r="R54" s="30">
        <f t="shared" si="6"/>
        <v>138615.37795632801</v>
      </c>
      <c r="S54" s="30">
        <f t="shared" si="6"/>
        <v>144084.29148000001</v>
      </c>
      <c r="T54" s="30">
        <f t="shared" ref="T54:Y54" si="7">SUM(T41:T53)</f>
        <v>147252.33439452428</v>
      </c>
      <c r="U54" s="30">
        <f t="shared" si="7"/>
        <v>154093.2144214579</v>
      </c>
      <c r="V54" s="30">
        <f t="shared" si="7"/>
        <v>153466.37088029951</v>
      </c>
      <c r="W54" s="30">
        <f t="shared" si="7"/>
        <v>154957.29009275438</v>
      </c>
      <c r="X54" s="30">
        <f t="shared" si="7"/>
        <v>139327.8082246134</v>
      </c>
      <c r="Y54" s="30">
        <f t="shared" si="7"/>
        <v>154866.81942606487</v>
      </c>
      <c r="Z54" s="30">
        <f t="shared" ref="Z54:AA54" si="8">SUM(Z41:Z53)</f>
        <v>161048.51529424216</v>
      </c>
      <c r="AA54" s="30">
        <f t="shared" si="8"/>
        <v>164020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23843.509910890418</v>
      </c>
      <c r="E56" s="19">
        <v>23981.876050502291</v>
      </c>
      <c r="F56" s="19">
        <v>24133.734228993882</v>
      </c>
      <c r="G56" s="19">
        <v>25036.905018439509</v>
      </c>
      <c r="H56" s="19">
        <v>25326.056826242166</v>
      </c>
      <c r="I56" s="19">
        <v>27033.103393852565</v>
      </c>
      <c r="J56" s="19">
        <v>26804.469145415613</v>
      </c>
      <c r="K56" s="19">
        <v>28351.065272114509</v>
      </c>
      <c r="L56" s="19">
        <v>28456.838573776204</v>
      </c>
      <c r="M56" s="19">
        <v>27804.093244398162</v>
      </c>
      <c r="N56" s="19">
        <v>28744.059906548573</v>
      </c>
      <c r="O56" s="19">
        <v>29840.207385512571</v>
      </c>
      <c r="P56" s="19">
        <v>29227.824663141735</v>
      </c>
      <c r="Q56" s="19">
        <v>28740.872222613736</v>
      </c>
      <c r="R56" s="19">
        <v>28743.592626570156</v>
      </c>
      <c r="S56" s="19">
        <v>28923.478649999997</v>
      </c>
      <c r="T56" s="19">
        <v>29153.318765171713</v>
      </c>
      <c r="U56" s="19">
        <v>29625.881800368268</v>
      </c>
      <c r="V56" s="19">
        <v>27881.108652833576</v>
      </c>
      <c r="W56" s="19">
        <v>29271.867253663127</v>
      </c>
      <c r="X56" s="19">
        <v>27198.003230895676</v>
      </c>
      <c r="Y56" s="19">
        <v>27868.365784140435</v>
      </c>
      <c r="Z56" s="19">
        <v>31084.603037679932</v>
      </c>
      <c r="AA56" s="19">
        <v>33188.408555901828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12403.078212366507</v>
      </c>
      <c r="E57" s="23">
        <v>12709.845522417232</v>
      </c>
      <c r="F57" s="23">
        <v>12250.519533155702</v>
      </c>
      <c r="G57" s="23">
        <v>12368.344204208546</v>
      </c>
      <c r="H57" s="23">
        <v>11618.445760997221</v>
      </c>
      <c r="I57" s="23">
        <v>11100.692863059394</v>
      </c>
      <c r="J57" s="23">
        <v>11175.469826747129</v>
      </c>
      <c r="K57" s="23">
        <v>10816.440240908714</v>
      </c>
      <c r="L57" s="23">
        <v>10479.99816742194</v>
      </c>
      <c r="M57" s="23">
        <v>9152.1806929477279</v>
      </c>
      <c r="N57" s="23">
        <v>9496.6297609915018</v>
      </c>
      <c r="O57" s="23">
        <v>10614.471320724571</v>
      </c>
      <c r="P57" s="23">
        <v>9643.2020647931695</v>
      </c>
      <c r="Q57" s="23">
        <v>9898.1126357861249</v>
      </c>
      <c r="R57" s="23">
        <v>10024.408300905296</v>
      </c>
      <c r="S57" s="23">
        <v>10487.54385</v>
      </c>
      <c r="T57" s="23">
        <v>10807.236191253132</v>
      </c>
      <c r="U57" s="23">
        <v>11086.303100721761</v>
      </c>
      <c r="V57" s="23">
        <v>10683.788320527323</v>
      </c>
      <c r="W57" s="23">
        <v>10161.323200122904</v>
      </c>
      <c r="X57" s="23">
        <v>8674.1667217745362</v>
      </c>
      <c r="Y57" s="23">
        <v>9206.3048926069532</v>
      </c>
      <c r="Z57" s="23">
        <v>8740.7534663420829</v>
      </c>
      <c r="AA57" s="23">
        <v>8475.7126200519251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4143.6366097544387</v>
      </c>
      <c r="E58" s="23">
        <v>4007.693702849549</v>
      </c>
      <c r="F58" s="23">
        <v>3907.8826134274027</v>
      </c>
      <c r="G58" s="23">
        <v>3783.8895437124879</v>
      </c>
      <c r="H58" s="23">
        <v>3689.9724764241446</v>
      </c>
      <c r="I58" s="23">
        <v>3728.5181221876474</v>
      </c>
      <c r="J58" s="23">
        <v>3852.2639672960872</v>
      </c>
      <c r="K58" s="23">
        <v>3780.3089373387706</v>
      </c>
      <c r="L58" s="23">
        <v>3564.4458542901248</v>
      </c>
      <c r="M58" s="23">
        <v>2581.8086584084008</v>
      </c>
      <c r="N58" s="23">
        <v>2408.6263337750192</v>
      </c>
      <c r="O58" s="23">
        <v>2166.6355475225182</v>
      </c>
      <c r="P58" s="23">
        <v>1934.1942791784973</v>
      </c>
      <c r="Q58" s="23">
        <v>1810.0098259320037</v>
      </c>
      <c r="R58" s="23">
        <v>1788.2098312397927</v>
      </c>
      <c r="S58" s="23">
        <v>1933.84773</v>
      </c>
      <c r="T58" s="23">
        <v>1996.9502566755541</v>
      </c>
      <c r="U58" s="23">
        <v>2288.1200606555926</v>
      </c>
      <c r="V58" s="23">
        <v>2366.7436619992982</v>
      </c>
      <c r="W58" s="23">
        <v>2416.1163078754826</v>
      </c>
      <c r="X58" s="23">
        <v>2222.542063049701</v>
      </c>
      <c r="Y58" s="23">
        <v>2792.9614939709977</v>
      </c>
      <c r="Z58" s="23">
        <v>3064.3054350127013</v>
      </c>
      <c r="AA58" s="23">
        <v>3193.408576599259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4870.5329569417054</v>
      </c>
      <c r="E59" s="23">
        <v>4948.4668725325419</v>
      </c>
      <c r="F59" s="23">
        <v>4817.1126205576611</v>
      </c>
      <c r="G59" s="23">
        <v>4548.2091257502343</v>
      </c>
      <c r="H59" s="23">
        <v>4445.5982395144129</v>
      </c>
      <c r="I59" s="23">
        <v>4318.507622736126</v>
      </c>
      <c r="J59" s="23">
        <v>4262.2177340860426</v>
      </c>
      <c r="K59" s="23">
        <v>4389.9150474328044</v>
      </c>
      <c r="L59" s="23">
        <v>4203.2655047059407</v>
      </c>
      <c r="M59" s="23">
        <v>3789.9627100995117</v>
      </c>
      <c r="N59" s="23">
        <v>4250.164436651291</v>
      </c>
      <c r="O59" s="23">
        <v>4382.5401230253037</v>
      </c>
      <c r="P59" s="23">
        <v>4196.7910826619582</v>
      </c>
      <c r="Q59" s="23">
        <v>4116.7425625950127</v>
      </c>
      <c r="R59" s="23">
        <v>3643.1439099139061</v>
      </c>
      <c r="S59" s="23">
        <v>4045.79718</v>
      </c>
      <c r="T59" s="23">
        <v>4098.0579907676383</v>
      </c>
      <c r="U59" s="23">
        <v>4361.7658950146224</v>
      </c>
      <c r="V59" s="23">
        <v>4494.1141425172591</v>
      </c>
      <c r="W59" s="23">
        <v>4572.2487949609203</v>
      </c>
      <c r="X59" s="23">
        <v>4202.9350419921966</v>
      </c>
      <c r="Y59" s="23">
        <v>4232.8734603603516</v>
      </c>
      <c r="Z59" s="23">
        <v>4388.9514976714645</v>
      </c>
      <c r="AA59" s="23">
        <v>4446.4397675095461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5590.8806883885454</v>
      </c>
      <c r="E60" s="23">
        <v>5417.285502091233</v>
      </c>
      <c r="F60" s="23">
        <v>5496.0244305175065</v>
      </c>
      <c r="G60" s="23">
        <v>5337.184178176296</v>
      </c>
      <c r="H60" s="23">
        <v>5232.0087559157664</v>
      </c>
      <c r="I60" s="23">
        <v>5572.5720633996734</v>
      </c>
      <c r="J60" s="23">
        <v>5412.6911621569006</v>
      </c>
      <c r="K60" s="23">
        <v>5115.9346446700511</v>
      </c>
      <c r="L60" s="23">
        <v>4800.1363975897611</v>
      </c>
      <c r="M60" s="23">
        <v>4130.4209947247955</v>
      </c>
      <c r="N60" s="23">
        <v>4180.62719057914</v>
      </c>
      <c r="O60" s="23">
        <v>3787.7067364342633</v>
      </c>
      <c r="P60" s="23">
        <v>3181.399454204332</v>
      </c>
      <c r="Q60" s="23">
        <v>2910.0693453070098</v>
      </c>
      <c r="R60" s="23">
        <v>2872.782144081295</v>
      </c>
      <c r="S60" s="23">
        <v>2658.2885099999999</v>
      </c>
      <c r="T60" s="23">
        <v>2648.2337936248955</v>
      </c>
      <c r="U60" s="23">
        <v>2619.9033941530374</v>
      </c>
      <c r="V60" s="23">
        <v>2615.5040270681384</v>
      </c>
      <c r="W60" s="23">
        <v>2626.4143318034298</v>
      </c>
      <c r="X60" s="23">
        <v>2167.9732553635704</v>
      </c>
      <c r="Y60" s="23">
        <v>2356.4220579117346</v>
      </c>
      <c r="Z60" s="23">
        <v>2450.807498941575</v>
      </c>
      <c r="AA60" s="23">
        <v>2486.7157515229483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4436.6871641384942</v>
      </c>
      <c r="E61" s="23">
        <v>4514.1432591955599</v>
      </c>
      <c r="F61" s="23">
        <v>4144.2222013735127</v>
      </c>
      <c r="G61" s="23">
        <v>4741.1019234941059</v>
      </c>
      <c r="H61" s="23">
        <v>4773.0360701868631</v>
      </c>
      <c r="I61" s="23">
        <v>4962.3774429693976</v>
      </c>
      <c r="J61" s="23">
        <v>4122.9635974304065</v>
      </c>
      <c r="K61" s="23">
        <v>3153.1782162769414</v>
      </c>
      <c r="L61" s="23">
        <v>2051.8935112793188</v>
      </c>
      <c r="M61" s="23">
        <v>1315.7294124581274</v>
      </c>
      <c r="N61" s="23">
        <v>2064.5368575214452</v>
      </c>
      <c r="O61" s="23">
        <v>2849.1918375906212</v>
      </c>
      <c r="P61" s="23">
        <v>2429.2127900793612</v>
      </c>
      <c r="Q61" s="23">
        <v>1434.4388446475853</v>
      </c>
      <c r="R61" s="23">
        <v>936.56580035082766</v>
      </c>
      <c r="S61" s="23">
        <v>3376.71234</v>
      </c>
      <c r="T61" s="23">
        <v>3922.0677703052247</v>
      </c>
      <c r="U61" s="23">
        <v>4359.3960140610689</v>
      </c>
      <c r="V61" s="23">
        <v>3790.0753734545033</v>
      </c>
      <c r="W61" s="23">
        <v>3126.7387513682716</v>
      </c>
      <c r="X61" s="23">
        <v>-520.67737333849777</v>
      </c>
      <c r="Y61" s="23">
        <v>3078.0484726219447</v>
      </c>
      <c r="Z61" s="23">
        <v>8653.7174269686711</v>
      </c>
      <c r="AA61" s="23">
        <v>11630.705253733357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10988.577212434529</v>
      </c>
      <c r="E62" s="23">
        <v>11317.501231286402</v>
      </c>
      <c r="F62" s="23">
        <v>11037.209291852741</v>
      </c>
      <c r="G62" s="23">
        <v>10488.72716754646</v>
      </c>
      <c r="H62" s="23">
        <v>10630.535041105129</v>
      </c>
      <c r="I62" s="23">
        <v>10575.359746132666</v>
      </c>
      <c r="J62" s="23">
        <v>10609.343196418144</v>
      </c>
      <c r="K62" s="23">
        <v>10405.863641091788</v>
      </c>
      <c r="L62" s="23">
        <v>10260.666092326079</v>
      </c>
      <c r="M62" s="23">
        <v>9159.2735738774227</v>
      </c>
      <c r="N62" s="23">
        <v>10223.174090641905</v>
      </c>
      <c r="O62" s="23">
        <v>10741.849783307704</v>
      </c>
      <c r="P62" s="23">
        <v>9657.6904114536828</v>
      </c>
      <c r="Q62" s="23">
        <v>9125.163325916903</v>
      </c>
      <c r="R62" s="23">
        <v>9543.993719378188</v>
      </c>
      <c r="S62" s="23">
        <v>9959.2556399999994</v>
      </c>
      <c r="T62" s="23">
        <v>10649.20415655219</v>
      </c>
      <c r="U62" s="23">
        <v>11195.317624585208</v>
      </c>
      <c r="V62" s="23">
        <v>10668.53414719763</v>
      </c>
      <c r="W62" s="23">
        <v>11271.742985808385</v>
      </c>
      <c r="X62" s="23">
        <v>10846.687377778619</v>
      </c>
      <c r="Y62" s="23">
        <v>12632.916741470093</v>
      </c>
      <c r="Z62" s="23">
        <v>11319.992194115157</v>
      </c>
      <c r="AA62" s="23">
        <v>10663.823965451538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5749.6846200938717</v>
      </c>
      <c r="E63" s="23">
        <v>6158.928350857992</v>
      </c>
      <c r="F63" s="23">
        <v>6304.3961421548393</v>
      </c>
      <c r="G63" s="23">
        <v>6500.3422517897161</v>
      </c>
      <c r="H63" s="23">
        <v>6776.8436493447607</v>
      </c>
      <c r="I63" s="23">
        <v>7144.5303902034975</v>
      </c>
      <c r="J63" s="23">
        <v>7619.9343001751995</v>
      </c>
      <c r="K63" s="23">
        <v>7997.48139094616</v>
      </c>
      <c r="L63" s="23">
        <v>8349.0012847965736</v>
      </c>
      <c r="M63" s="23">
        <v>7857.7299232786818</v>
      </c>
      <c r="N63" s="23">
        <v>6540.0978848893628</v>
      </c>
      <c r="O63" s="23">
        <v>6033.6534021689204</v>
      </c>
      <c r="P63" s="23">
        <v>6357.969459521827</v>
      </c>
      <c r="Q63" s="23">
        <v>7536.8615308721519</v>
      </c>
      <c r="R63" s="23">
        <v>8534.6378309171923</v>
      </c>
      <c r="S63" s="23">
        <v>8467.0520400000005</v>
      </c>
      <c r="T63" s="23">
        <v>8654.6483246448315</v>
      </c>
      <c r="U63" s="23">
        <v>8721.1619090756922</v>
      </c>
      <c r="V63" s="23">
        <v>7862.939652482547</v>
      </c>
      <c r="W63" s="23">
        <v>8277.8848539550254</v>
      </c>
      <c r="X63" s="23">
        <v>8965.2003627672348</v>
      </c>
      <c r="Y63" s="23">
        <v>10027.043577238781</v>
      </c>
      <c r="Z63" s="23">
        <v>7981.8416596104998</v>
      </c>
      <c r="AA63" s="23">
        <v>6836.2868140525852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7859.9760424460928</v>
      </c>
      <c r="E64" s="23">
        <v>7722.1797678145649</v>
      </c>
      <c r="F64" s="23">
        <v>7702.8641498104853</v>
      </c>
      <c r="G64" s="23">
        <v>7445.9520572709516</v>
      </c>
      <c r="H64" s="23">
        <v>7262.403167478692</v>
      </c>
      <c r="I64" s="23">
        <v>6999.0535270545579</v>
      </c>
      <c r="J64" s="23">
        <v>6625.6337356433714</v>
      </c>
      <c r="K64" s="23">
        <v>6603.0230610801373</v>
      </c>
      <c r="L64" s="23">
        <v>6965.8908221702104</v>
      </c>
      <c r="M64" s="23">
        <v>6199.1779325520392</v>
      </c>
      <c r="N64" s="23">
        <v>6565.2751636396242</v>
      </c>
      <c r="O64" s="23">
        <v>6469.8645523356836</v>
      </c>
      <c r="P64" s="23">
        <v>6118.9117396233605</v>
      </c>
      <c r="Q64" s="23">
        <v>6578.5497689496524</v>
      </c>
      <c r="R64" s="23">
        <v>6706.3934512168071</v>
      </c>
      <c r="S64" s="23">
        <v>7002.5264099999995</v>
      </c>
      <c r="T64" s="23">
        <v>7019.2562079668905</v>
      </c>
      <c r="U64" s="23">
        <v>7314.6375631418814</v>
      </c>
      <c r="V64" s="23">
        <v>7478.0651253949063</v>
      </c>
      <c r="W64" s="23">
        <v>7599.6159526049969</v>
      </c>
      <c r="X64" s="23">
        <v>7251.967171454754</v>
      </c>
      <c r="Y64" s="23">
        <v>7739.6660219690721</v>
      </c>
      <c r="Z64" s="23">
        <v>7802.4625052921256</v>
      </c>
      <c r="AA64" s="23">
        <v>7726.9511384749621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13283.867029453779</v>
      </c>
      <c r="E65" s="23">
        <v>13542.42977758668</v>
      </c>
      <c r="F65" s="23">
        <v>13176.308364919129</v>
      </c>
      <c r="G65" s="23">
        <v>12598.945368428664</v>
      </c>
      <c r="H65" s="23">
        <v>12618.950243607485</v>
      </c>
      <c r="I65" s="23">
        <v>13200.678322774185</v>
      </c>
      <c r="J65" s="23">
        <v>13052.147070274479</v>
      </c>
      <c r="K65" s="23">
        <v>12561.39079013065</v>
      </c>
      <c r="L65" s="23">
        <v>11894.270564214929</v>
      </c>
      <c r="M65" s="23">
        <v>8571.7466035344842</v>
      </c>
      <c r="N65" s="23">
        <v>7579.5598218644454</v>
      </c>
      <c r="O65" s="23">
        <v>6960.1514649198143</v>
      </c>
      <c r="P65" s="23">
        <v>5929.3558708149812</v>
      </c>
      <c r="Q65" s="23">
        <v>5494.2400004027022</v>
      </c>
      <c r="R65" s="23">
        <v>5727.3667661350482</v>
      </c>
      <c r="S65" s="23">
        <v>5964.0008399999997</v>
      </c>
      <c r="T65" s="23">
        <v>6308.1120518126463</v>
      </c>
      <c r="U65" s="23">
        <v>6659.3654794844279</v>
      </c>
      <c r="V65" s="23">
        <v>6782.240141971216</v>
      </c>
      <c r="W65" s="23">
        <v>7605.3933708447757</v>
      </c>
      <c r="X65" s="23">
        <v>7137.1453052818533</v>
      </c>
      <c r="Y65" s="23">
        <v>7427.8521390695987</v>
      </c>
      <c r="Z65" s="23">
        <v>7045.6735287891615</v>
      </c>
      <c r="AA65" s="23">
        <v>6893.0106659980102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10780.658662676009</v>
      </c>
      <c r="E66" s="23">
        <v>10516.276081773054</v>
      </c>
      <c r="F66" s="23">
        <v>9613.1503734003836</v>
      </c>
      <c r="G66" s="23">
        <v>8545.2959722322648</v>
      </c>
      <c r="H66" s="23">
        <v>8349.6646821474678</v>
      </c>
      <c r="I66" s="23">
        <v>7407.1969486668613</v>
      </c>
      <c r="J66" s="23">
        <v>7907.552657192914</v>
      </c>
      <c r="K66" s="23">
        <v>6674.3732628775906</v>
      </c>
      <c r="L66" s="23">
        <v>5630.72179672327</v>
      </c>
      <c r="M66" s="23">
        <v>4324.2930734697484</v>
      </c>
      <c r="N66" s="23">
        <v>5229.6804718400363</v>
      </c>
      <c r="O66" s="23">
        <v>4798.3226518343954</v>
      </c>
      <c r="P66" s="23">
        <v>4602.4647891563245</v>
      </c>
      <c r="Q66" s="23">
        <v>4346.9312285435271</v>
      </c>
      <c r="R66" s="23">
        <v>4835.6881867854909</v>
      </c>
      <c r="S66" s="23">
        <v>5179.3905599999998</v>
      </c>
      <c r="T66" s="23">
        <v>5324.0034720840458</v>
      </c>
      <c r="U66" s="23">
        <v>6074.0048839567926</v>
      </c>
      <c r="V66" s="23">
        <v>6011.3176898474985</v>
      </c>
      <c r="W66" s="23">
        <v>4833.3880993989205</v>
      </c>
      <c r="X66" s="23">
        <v>4315.4832078448417</v>
      </c>
      <c r="Y66" s="23">
        <v>7123.8336032426123</v>
      </c>
      <c r="Z66" s="23">
        <v>6252.7964383996614</v>
      </c>
      <c r="AA66" s="23">
        <v>5881.3316795383589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16252.027113801783</v>
      </c>
      <c r="E67" s="23">
        <v>16758.306062619711</v>
      </c>
      <c r="F67" s="23">
        <v>17008.923593650317</v>
      </c>
      <c r="G67" s="23">
        <v>17107.995805915103</v>
      </c>
      <c r="H67" s="23">
        <v>16795.881545134245</v>
      </c>
      <c r="I67" s="23">
        <v>17167.616859567039</v>
      </c>
      <c r="J67" s="23">
        <v>17483.552073194471</v>
      </c>
      <c r="K67" s="23">
        <v>18067.87390779729</v>
      </c>
      <c r="L67" s="23">
        <v>17902.531178726156</v>
      </c>
      <c r="M67" s="23">
        <v>14108.922315981807</v>
      </c>
      <c r="N67" s="23">
        <v>13521.397606926166</v>
      </c>
      <c r="O67" s="23">
        <v>13022.64527371133</v>
      </c>
      <c r="P67" s="23">
        <v>11657.082250604488</v>
      </c>
      <c r="Q67" s="23">
        <v>11458.549487058161</v>
      </c>
      <c r="R67" s="23">
        <v>11893.900397201443</v>
      </c>
      <c r="S67" s="23">
        <v>12049.54407</v>
      </c>
      <c r="T67" s="23">
        <v>12544.39136057941</v>
      </c>
      <c r="U67" s="23">
        <v>13579.417863859704</v>
      </c>
      <c r="V67" s="23">
        <v>14335.402736066149</v>
      </c>
      <c r="W67" s="23">
        <v>14088.812119524513</v>
      </c>
      <c r="X67" s="23">
        <v>13131.756199635343</v>
      </c>
      <c r="Y67" s="23">
        <v>14384.642590758922</v>
      </c>
      <c r="Z67" s="23">
        <v>14023.416490262489</v>
      </c>
      <c r="AA67" s="23">
        <v>13710.319353497849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5073.5400448949058</v>
      </c>
      <c r="E68" s="23">
        <v>4902.9961693311971</v>
      </c>
      <c r="F68" s="23">
        <v>3840.1419672008105</v>
      </c>
      <c r="G68" s="23">
        <v>3522.8316219538647</v>
      </c>
      <c r="H68" s="23">
        <v>3117.6559262317005</v>
      </c>
      <c r="I68" s="23">
        <v>3131.7935816785694</v>
      </c>
      <c r="J68" s="23">
        <v>3033.6578742456686</v>
      </c>
      <c r="K68" s="23">
        <v>3269.5917034201552</v>
      </c>
      <c r="L68" s="23">
        <v>3232.4514018226182</v>
      </c>
      <c r="M68" s="23">
        <v>2840.6988123422102</v>
      </c>
      <c r="N68" s="23">
        <v>2545.3029898478676</v>
      </c>
      <c r="O68" s="23">
        <v>2491.0901220267219</v>
      </c>
      <c r="P68" s="23">
        <v>2354.3563323333769</v>
      </c>
      <c r="Q68" s="23">
        <v>2240.099175467386</v>
      </c>
      <c r="R68" s="23">
        <v>1966.5455471097041</v>
      </c>
      <c r="S68" s="23">
        <v>1870.0680599999998</v>
      </c>
      <c r="T68" s="23">
        <v>1866.4541068088661</v>
      </c>
      <c r="U68" s="23">
        <v>1969.3710724026901</v>
      </c>
      <c r="V68" s="23">
        <v>2060.4867974569993</v>
      </c>
      <c r="W68" s="23">
        <v>2193.1079638200217</v>
      </c>
      <c r="X68" s="23">
        <v>1949.6980246190471</v>
      </c>
      <c r="Y68" s="23">
        <v>2188.2652853480904</v>
      </c>
      <c r="Z68" s="23">
        <v>2302.2093829381879</v>
      </c>
      <c r="AA68" s="23">
        <v>2349.9728090939493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6538.792816815183</v>
      </c>
      <c r="E69" s="23">
        <v>6571.3005902357045</v>
      </c>
      <c r="F69" s="23">
        <v>6506.1127331406915</v>
      </c>
      <c r="G69" s="23">
        <v>6542.4015836286062</v>
      </c>
      <c r="H69" s="23">
        <v>6568.3469110105934</v>
      </c>
      <c r="I69" s="23">
        <v>6072.3120284761253</v>
      </c>
      <c r="J69" s="23">
        <v>7053.8076698462137</v>
      </c>
      <c r="K69" s="23">
        <v>6939.7459432470678</v>
      </c>
      <c r="L69" s="23">
        <v>6974.2805736766095</v>
      </c>
      <c r="M69" s="23">
        <v>5779.5158108785126</v>
      </c>
      <c r="N69" s="23">
        <v>5669.68339095175</v>
      </c>
      <c r="O69" s="23">
        <v>4794.7176010065705</v>
      </c>
      <c r="P69" s="23">
        <v>4464.8254958814496</v>
      </c>
      <c r="Q69" s="23">
        <v>4403.8726353834227</v>
      </c>
      <c r="R69" s="23">
        <v>4510.5591265600742</v>
      </c>
      <c r="S69" s="23">
        <v>4812.3566099999998</v>
      </c>
      <c r="T69" s="23">
        <v>4983.9951550001988</v>
      </c>
      <c r="U69" s="23">
        <v>5108.2783953838734</v>
      </c>
      <c r="V69" s="23">
        <v>5509.1033679160655</v>
      </c>
      <c r="W69" s="23">
        <v>5223.9415724079654</v>
      </c>
      <c r="X69" s="23">
        <v>4769.0864217358039</v>
      </c>
      <c r="Y69" s="23">
        <v>5071.4300811578642</v>
      </c>
      <c r="Z69" s="23">
        <v>5010.9407546570701</v>
      </c>
      <c r="AA69" s="23">
        <v>4956.8899155285644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9192.6193456227466</v>
      </c>
      <c r="E70" s="23">
        <v>9484.5615056873721</v>
      </c>
      <c r="F70" s="23">
        <v>9403.9070439449097</v>
      </c>
      <c r="G70" s="23">
        <v>8997.7963699472111</v>
      </c>
      <c r="H70" s="23">
        <v>9101.0925243316797</v>
      </c>
      <c r="I70" s="23">
        <v>8856.5775481877827</v>
      </c>
      <c r="J70" s="23">
        <v>8895.3460190772821</v>
      </c>
      <c r="K70" s="23">
        <v>8784.8371265706919</v>
      </c>
      <c r="L70" s="23">
        <v>8840.4010158856618</v>
      </c>
      <c r="M70" s="23">
        <v>7699.3222491821953</v>
      </c>
      <c r="N70" s="23">
        <v>7416.5069690056089</v>
      </c>
      <c r="O70" s="23">
        <v>7615.0690319745963</v>
      </c>
      <c r="P70" s="23">
        <v>7861.1354255500592</v>
      </c>
      <c r="Q70" s="23">
        <v>7882.144529794924</v>
      </c>
      <c r="R70" s="23">
        <v>8315.0543984515189</v>
      </c>
      <c r="S70" s="23">
        <v>7846.1027999999997</v>
      </c>
      <c r="T70" s="23">
        <v>7663.3564706116431</v>
      </c>
      <c r="U70" s="23">
        <v>8223.4869088295236</v>
      </c>
      <c r="V70" s="23">
        <v>8538.8168707827917</v>
      </c>
      <c r="W70" s="23">
        <v>8835.9834559176543</v>
      </c>
      <c r="X70" s="23">
        <v>8156.899898916422</v>
      </c>
      <c r="Y70" s="23">
        <v>8623.8811041911504</v>
      </c>
      <c r="Z70" s="23">
        <v>8428.697422734971</v>
      </c>
      <c r="AA70" s="23">
        <v>8292.4890823315291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16063.754411264541</v>
      </c>
      <c r="E71" s="23">
        <v>15657.601454090609</v>
      </c>
      <c r="F71" s="23">
        <v>15679.701579915187</v>
      </c>
      <c r="G71" s="23">
        <v>15866.520355774097</v>
      </c>
      <c r="H71" s="23">
        <v>15661.043593530159</v>
      </c>
      <c r="I71" s="23">
        <v>14386.045355839622</v>
      </c>
      <c r="J71" s="23">
        <v>14719.292388553631</v>
      </c>
      <c r="K71" s="23">
        <v>14521.643702671217</v>
      </c>
      <c r="L71" s="23">
        <v>12559.458005079427</v>
      </c>
      <c r="M71" s="23">
        <v>10626.317779502342</v>
      </c>
      <c r="N71" s="23">
        <v>10491.731730644695</v>
      </c>
      <c r="O71" s="23">
        <v>10077.318747378722</v>
      </c>
      <c r="P71" s="23">
        <v>8835.4767384695642</v>
      </c>
      <c r="Q71" s="23">
        <v>10198.569420813659</v>
      </c>
      <c r="R71" s="23">
        <v>11747.107052845939</v>
      </c>
      <c r="S71" s="23">
        <v>12947.273009999999</v>
      </c>
      <c r="T71" s="23">
        <v>13365.679056070674</v>
      </c>
      <c r="U71" s="23">
        <v>13908.831316403595</v>
      </c>
      <c r="V71" s="23">
        <v>14473.863693981826</v>
      </c>
      <c r="W71" s="23">
        <v>14236.714026462851</v>
      </c>
      <c r="X71" s="23">
        <v>12436.003901637176</v>
      </c>
      <c r="Y71" s="23">
        <v>13124.023607036765</v>
      </c>
      <c r="Z71" s="23">
        <v>13782.47525931414</v>
      </c>
      <c r="AA71" s="23">
        <v>14507.09525751639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3677.047738249099</v>
      </c>
      <c r="E72" s="23">
        <v>3755.2529023179459</v>
      </c>
      <c r="F72" s="23">
        <v>4454.3238263219127</v>
      </c>
      <c r="G72" s="23">
        <v>4543.8581603875909</v>
      </c>
      <c r="H72" s="23">
        <v>4077.5805067500787</v>
      </c>
      <c r="I72" s="23">
        <v>4270.0153350198134</v>
      </c>
      <c r="J72" s="23">
        <v>4682.5830251119332</v>
      </c>
      <c r="K72" s="23">
        <v>4780.4635204293918</v>
      </c>
      <c r="L72" s="23">
        <v>5150.1088889995517</v>
      </c>
      <c r="M72" s="23">
        <v>4849.166262267061</v>
      </c>
      <c r="N72" s="23">
        <v>4290.9276498660001</v>
      </c>
      <c r="O72" s="23">
        <v>5513.3243993529186</v>
      </c>
      <c r="P72" s="23">
        <v>5352.2367288378764</v>
      </c>
      <c r="Q72" s="23">
        <v>5966.7325252443898</v>
      </c>
      <c r="R72" s="23">
        <v>5712.8087485130145</v>
      </c>
      <c r="S72" s="23">
        <v>4793.1023699999996</v>
      </c>
      <c r="T72" s="23">
        <v>4444.0523697719764</v>
      </c>
      <c r="U72" s="23">
        <v>4881.9547643195447</v>
      </c>
      <c r="V72" s="23">
        <v>5606.4953976364131</v>
      </c>
      <c r="W72" s="23">
        <v>5689.6014825341344</v>
      </c>
      <c r="X72" s="23">
        <v>4975.9931508790496</v>
      </c>
      <c r="Y72" s="23">
        <v>4757.3889562376798</v>
      </c>
      <c r="Z72" s="23">
        <v>5160.6002857747671</v>
      </c>
      <c r="AA72" s="23">
        <v>5310.4829869526548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8573.7751581525081</v>
      </c>
      <c r="E73" s="23">
        <v>8523.4049173279145</v>
      </c>
      <c r="F73" s="23">
        <v>8199.6288888054933</v>
      </c>
      <c r="G73" s="23">
        <v>8095.6962180924138</v>
      </c>
      <c r="H73" s="23">
        <v>8524.5780532331773</v>
      </c>
      <c r="I73" s="23">
        <v>8500.9674382681515</v>
      </c>
      <c r="J73" s="23">
        <v>8653.2780805917846</v>
      </c>
      <c r="K73" s="23">
        <v>8439.3519389198646</v>
      </c>
      <c r="L73" s="23">
        <v>8206.3755091877883</v>
      </c>
      <c r="M73" s="23">
        <v>6947.476870634694</v>
      </c>
      <c r="N73" s="23">
        <v>6239.1694579219511</v>
      </c>
      <c r="O73" s="23">
        <v>5881.0395837910164</v>
      </c>
      <c r="P73" s="23">
        <v>5826.7300819696802</v>
      </c>
      <c r="Q73" s="23">
        <v>5302.8199518770953</v>
      </c>
      <c r="R73" s="23">
        <v>5331.8739540698025</v>
      </c>
      <c r="S73" s="23">
        <v>5233.5431099999996</v>
      </c>
      <c r="T73" s="23">
        <v>5272.5233395678297</v>
      </c>
      <c r="U73" s="23">
        <v>5532.487086069892</v>
      </c>
      <c r="V73" s="23">
        <v>5628.7899586567346</v>
      </c>
      <c r="W73" s="23">
        <v>6007.3594857219668</v>
      </c>
      <c r="X73" s="23">
        <v>5124.9205218557809</v>
      </c>
      <c r="Y73" s="23">
        <v>6002.4172458148632</v>
      </c>
      <c r="Z73" s="23">
        <v>6258.1035139712112</v>
      </c>
      <c r="AA73" s="23">
        <v>6210.2126699539676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3136.7869396639685</v>
      </c>
      <c r="E74" s="23">
        <v>3490.2684595239029</v>
      </c>
      <c r="F74" s="23">
        <v>3760.3585394228244</v>
      </c>
      <c r="G74" s="23">
        <v>3914.4185045917993</v>
      </c>
      <c r="H74" s="23">
        <v>4130.7541715601346</v>
      </c>
      <c r="I74" s="23">
        <v>4373.7349504130389</v>
      </c>
      <c r="J74" s="23">
        <v>5002.7373953669457</v>
      </c>
      <c r="K74" s="23">
        <v>5390.069630523426</v>
      </c>
      <c r="L74" s="23">
        <v>5740.9871022359439</v>
      </c>
      <c r="M74" s="23">
        <v>5948.5628063695394</v>
      </c>
      <c r="N74" s="23">
        <v>6072.5198509559341</v>
      </c>
      <c r="O74" s="23">
        <v>5812.5436180623519</v>
      </c>
      <c r="P74" s="23">
        <v>5602.160708731727</v>
      </c>
      <c r="Q74" s="23">
        <v>5579.0463510153122</v>
      </c>
      <c r="R74" s="23">
        <v>5780.7461640825049</v>
      </c>
      <c r="S74" s="23">
        <v>6534.4076999999997</v>
      </c>
      <c r="T74" s="23">
        <v>6530.7935552548843</v>
      </c>
      <c r="U74" s="23">
        <v>6583.5292889707262</v>
      </c>
      <c r="V74" s="23">
        <v>6678.9811225086787</v>
      </c>
      <c r="W74" s="23">
        <v>6919.0360839590576</v>
      </c>
      <c r="X74" s="23">
        <v>6322.0237404702748</v>
      </c>
      <c r="Y74" s="23">
        <v>6228.4823109169811</v>
      </c>
      <c r="Z74" s="23">
        <v>7296.1674957662999</v>
      </c>
      <c r="AA74" s="23">
        <v>7259.7431362907791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172459.43267804914</v>
      </c>
      <c r="E75" s="30">
        <f t="shared" ref="E75:S75" si="9">SUM(E56:E74)</f>
        <v>173980.31818004147</v>
      </c>
      <c r="F75" s="30">
        <f t="shared" si="9"/>
        <v>171436.52212256539</v>
      </c>
      <c r="G75" s="30">
        <f t="shared" si="9"/>
        <v>169986.41543133988</v>
      </c>
      <c r="H75" s="30">
        <f t="shared" si="9"/>
        <v>168700.44814474593</v>
      </c>
      <c r="I75" s="30">
        <f t="shared" si="9"/>
        <v>168801.65354048673</v>
      </c>
      <c r="J75" s="30">
        <f t="shared" si="9"/>
        <v>170968.9409188242</v>
      </c>
      <c r="K75" s="30">
        <f t="shared" si="9"/>
        <v>170042.55197844721</v>
      </c>
      <c r="L75" s="30">
        <f t="shared" si="9"/>
        <v>165263.7222449081</v>
      </c>
      <c r="M75" s="30">
        <f t="shared" si="9"/>
        <v>143686.3997269074</v>
      </c>
      <c r="N75" s="30">
        <f t="shared" si="9"/>
        <v>143529.67156506234</v>
      </c>
      <c r="O75" s="30">
        <f t="shared" si="9"/>
        <v>143852.34318268063</v>
      </c>
      <c r="P75" s="30">
        <f t="shared" si="9"/>
        <v>135233.02036700747</v>
      </c>
      <c r="Q75" s="30">
        <f t="shared" si="9"/>
        <v>135023.82536822077</v>
      </c>
      <c r="R75" s="30">
        <f t="shared" si="9"/>
        <v>138615.37795632801</v>
      </c>
      <c r="S75" s="30">
        <f t="shared" si="9"/>
        <v>144084.29148000001</v>
      </c>
      <c r="T75" s="30">
        <f t="shared" ref="T75:Y75" si="10">SUM(T56:T74)</f>
        <v>147252.33439452422</v>
      </c>
      <c r="U75" s="30">
        <f t="shared" si="10"/>
        <v>154093.2144214579</v>
      </c>
      <c r="V75" s="30">
        <f t="shared" si="10"/>
        <v>153466.37088029951</v>
      </c>
      <c r="W75" s="30">
        <f t="shared" si="10"/>
        <v>154957.29009275441</v>
      </c>
      <c r="X75" s="30">
        <f t="shared" si="10"/>
        <v>139327.80822461337</v>
      </c>
      <c r="Y75" s="30">
        <f t="shared" si="10"/>
        <v>154866.8194260649</v>
      </c>
      <c r="Z75" s="30">
        <f t="shared" ref="Z75:AA75" si="11">SUM(Z56:Z74)</f>
        <v>161048.51529424216</v>
      </c>
      <c r="AA75" s="30">
        <f t="shared" si="11"/>
        <v>164020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40470182</v>
      </c>
      <c r="E3" s="42">
        <v>40665545</v>
      </c>
      <c r="F3" s="42">
        <v>41035278</v>
      </c>
      <c r="G3" s="42">
        <v>41827838</v>
      </c>
      <c r="H3" s="42">
        <v>42547451</v>
      </c>
      <c r="I3" s="42">
        <v>43296338</v>
      </c>
      <c r="J3" s="42">
        <v>44009971</v>
      </c>
      <c r="K3" s="42">
        <v>44784666</v>
      </c>
      <c r="L3" s="42">
        <v>45668939</v>
      </c>
      <c r="M3" s="42">
        <v>46239273</v>
      </c>
      <c r="N3" s="42">
        <v>46486619</v>
      </c>
      <c r="O3" s="42">
        <v>46667174</v>
      </c>
      <c r="P3" s="42">
        <v>46818219</v>
      </c>
      <c r="Q3" s="42">
        <v>46712650</v>
      </c>
      <c r="R3" s="42">
        <v>46495744</v>
      </c>
      <c r="S3" s="42">
        <v>46425722</v>
      </c>
      <c r="T3" s="42">
        <v>46418884</v>
      </c>
      <c r="U3" s="42">
        <v>46497393</v>
      </c>
      <c r="V3" s="42">
        <v>46645070</v>
      </c>
      <c r="W3" s="42">
        <v>46918951</v>
      </c>
      <c r="X3" s="42">
        <v>47318050</v>
      </c>
      <c r="Y3" s="42">
        <v>47400798</v>
      </c>
      <c r="Z3" s="42">
        <v>47486843</v>
      </c>
      <c r="AA3" s="42">
        <v>48085361</v>
      </c>
    </row>
    <row r="4" spans="1:27" x14ac:dyDescent="0.25">
      <c r="A4" s="43" t="s">
        <v>239</v>
      </c>
      <c r="B4" s="44"/>
      <c r="C4" s="44"/>
      <c r="D4" s="45">
        <v>14471308</v>
      </c>
      <c r="E4" s="45">
        <v>14622972</v>
      </c>
      <c r="F4" s="45">
        <v>14839410</v>
      </c>
      <c r="G4" s="45">
        <v>15212086</v>
      </c>
      <c r="H4" s="45">
        <v>15562345</v>
      </c>
      <c r="I4" s="45">
        <v>15784301</v>
      </c>
      <c r="J4" s="45">
        <v>16215907</v>
      </c>
      <c r="K4" s="45">
        <v>16611523</v>
      </c>
      <c r="L4" s="45">
        <v>17130135</v>
      </c>
      <c r="M4" s="45">
        <v>17475160</v>
      </c>
      <c r="N4" s="45">
        <v>17763324</v>
      </c>
      <c r="O4" s="45">
        <v>18011260</v>
      </c>
      <c r="P4" s="45">
        <v>18281226</v>
      </c>
      <c r="Q4" s="45">
        <v>18441630</v>
      </c>
      <c r="R4" s="45">
        <v>18509452</v>
      </c>
      <c r="S4" s="45">
        <v>18570289</v>
      </c>
      <c r="T4" s="45">
        <v>18664610</v>
      </c>
      <c r="U4" s="45">
        <v>18718757</v>
      </c>
      <c r="V4" s="45">
        <v>18755557</v>
      </c>
      <c r="W4" s="45">
        <v>18865682</v>
      </c>
      <c r="X4" s="45">
        <v>19018509</v>
      </c>
      <c r="Y4" s="45">
        <v>19090132</v>
      </c>
      <c r="Z4" s="45">
        <v>19202120</v>
      </c>
      <c r="AA4" s="45">
        <v>19531016</v>
      </c>
    </row>
    <row r="5" spans="1:27" x14ac:dyDescent="0.25">
      <c r="A5" s="46" t="s">
        <v>240</v>
      </c>
      <c r="B5" s="47"/>
      <c r="C5" s="47"/>
      <c r="D5" s="48">
        <f>D3/D4</f>
        <v>2.7965807928350359</v>
      </c>
      <c r="E5" s="48">
        <f t="shared" ref="E5:S5" si="0">E3/E4</f>
        <v>2.7809357085550053</v>
      </c>
      <c r="F5" s="48">
        <f t="shared" si="0"/>
        <v>2.7652903990118207</v>
      </c>
      <c r="G5" s="48">
        <f t="shared" si="0"/>
        <v>2.7496451177044356</v>
      </c>
      <c r="H5" s="48">
        <f t="shared" si="0"/>
        <v>2.7339999852207364</v>
      </c>
      <c r="I5" s="48">
        <f t="shared" si="0"/>
        <v>2.7430000226174096</v>
      </c>
      <c r="J5" s="48">
        <f t="shared" si="0"/>
        <v>2.7139999631226299</v>
      </c>
      <c r="K5" s="48">
        <f t="shared" si="0"/>
        <v>2.6959999995184067</v>
      </c>
      <c r="L5" s="48">
        <f t="shared" si="0"/>
        <v>2.6659999468772431</v>
      </c>
      <c r="M5" s="48">
        <f t="shared" si="0"/>
        <v>2.6459999793993303</v>
      </c>
      <c r="N5" s="48">
        <f t="shared" si="0"/>
        <v>2.6170000051792108</v>
      </c>
      <c r="O5" s="48">
        <f t="shared" si="0"/>
        <v>2.5909999633562562</v>
      </c>
      <c r="P5" s="48">
        <f t="shared" si="0"/>
        <v>2.5609999570050719</v>
      </c>
      <c r="Q5" s="48">
        <f t="shared" si="0"/>
        <v>2.5330000656124216</v>
      </c>
      <c r="R5" s="48">
        <f t="shared" si="0"/>
        <v>2.5120000311192356</v>
      </c>
      <c r="S5" s="48">
        <f t="shared" si="0"/>
        <v>2.4999999730752709</v>
      </c>
      <c r="T5" s="48">
        <f t="shared" ref="T5:Y5" si="1">T3/T4</f>
        <v>2.4869999426722553</v>
      </c>
      <c r="U5" s="48">
        <f t="shared" si="1"/>
        <v>2.4840000326944787</v>
      </c>
      <c r="V5" s="48">
        <f t="shared" si="1"/>
        <v>2.4869999861907592</v>
      </c>
      <c r="W5" s="48">
        <f t="shared" si="1"/>
        <v>2.486999992897156</v>
      </c>
      <c r="X5" s="48">
        <f t="shared" si="1"/>
        <v>2.4879999793884999</v>
      </c>
      <c r="Y5" s="48">
        <f t="shared" si="1"/>
        <v>2.4830000127814729</v>
      </c>
      <c r="Z5" s="48">
        <f t="shared" ref="Z5:AA5" si="2">Z3/Z4</f>
        <v>2.4730000124986198</v>
      </c>
      <c r="AA5" s="48">
        <f t="shared" si="2"/>
        <v>2.4619999799293595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2091.44</v>
      </c>
      <c r="E8" s="42">
        <v>1874.38</v>
      </c>
      <c r="F8" s="42">
        <v>1918.24</v>
      </c>
      <c r="G8" s="42">
        <v>1921.38</v>
      </c>
      <c r="H8" s="42">
        <v>2147.19</v>
      </c>
      <c r="I8" s="42">
        <v>1994.63</v>
      </c>
      <c r="J8" s="42">
        <v>2038.89</v>
      </c>
      <c r="K8" s="42">
        <v>1864.29</v>
      </c>
      <c r="L8" s="42">
        <v>1887.96</v>
      </c>
      <c r="M8" s="42">
        <v>1710.55</v>
      </c>
      <c r="N8" s="42">
        <v>1832.76</v>
      </c>
      <c r="O8" s="42">
        <v>2033.18</v>
      </c>
      <c r="P8" s="42">
        <v>1982.2</v>
      </c>
      <c r="Q8" s="42">
        <v>2065.62</v>
      </c>
      <c r="R8" s="42">
        <v>1725.77</v>
      </c>
      <c r="S8" s="42">
        <v>1598.32</v>
      </c>
      <c r="T8" s="42">
        <v>1864.24</v>
      </c>
      <c r="U8" s="42">
        <v>1537.13</v>
      </c>
      <c r="V8" s="42">
        <v>1816.32</v>
      </c>
      <c r="W8" s="42">
        <v>1888.15</v>
      </c>
      <c r="X8" s="42">
        <v>1814.6</v>
      </c>
      <c r="Y8" s="42">
        <v>1787.38</v>
      </c>
      <c r="Z8" s="42">
        <v>1680.7</v>
      </c>
      <c r="AA8" s="42">
        <v>1776.37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1886.0590476190475</v>
      </c>
      <c r="E9" s="45">
        <f t="shared" si="3"/>
        <v>1886.0590476190475</v>
      </c>
      <c r="F9" s="45">
        <f t="shared" si="3"/>
        <v>1886.0590476190475</v>
      </c>
      <c r="G9" s="45">
        <f t="shared" si="3"/>
        <v>1886.0590476190475</v>
      </c>
      <c r="H9" s="45">
        <f t="shared" si="3"/>
        <v>1886.0590476190475</v>
      </c>
      <c r="I9" s="45">
        <f t="shared" si="3"/>
        <v>1886.0590476190475</v>
      </c>
      <c r="J9" s="45">
        <f t="shared" si="3"/>
        <v>1886.0590476190475</v>
      </c>
      <c r="K9" s="45">
        <f t="shared" si="3"/>
        <v>1886.0590476190475</v>
      </c>
      <c r="L9" s="45">
        <f t="shared" si="3"/>
        <v>1886.0590476190475</v>
      </c>
      <c r="M9" s="45">
        <f t="shared" si="3"/>
        <v>1886.0590476190475</v>
      </c>
      <c r="N9" s="45">
        <f t="shared" si="3"/>
        <v>1886.0590476190475</v>
      </c>
      <c r="O9" s="45">
        <f t="shared" si="3"/>
        <v>1886.0590476190475</v>
      </c>
      <c r="P9" s="45">
        <f t="shared" si="3"/>
        <v>1886.0590476190475</v>
      </c>
      <c r="Q9" s="45">
        <f t="shared" si="3"/>
        <v>1886.0590476190475</v>
      </c>
      <c r="R9" s="45">
        <f t="shared" si="3"/>
        <v>1886.0590476190475</v>
      </c>
      <c r="S9" s="45">
        <f t="shared" si="3"/>
        <v>1886.0590476190475</v>
      </c>
      <c r="T9" s="45">
        <f t="shared" si="3"/>
        <v>1886.0590476190475</v>
      </c>
      <c r="U9" s="45">
        <f t="shared" si="3"/>
        <v>1886.0590476190475</v>
      </c>
      <c r="V9" s="45">
        <f t="shared" si="3"/>
        <v>1886.0590476190475</v>
      </c>
      <c r="W9" s="45">
        <f t="shared" si="3"/>
        <v>1886.0590476190475</v>
      </c>
      <c r="X9" s="45">
        <f>AVERAGE($D8:$X8)</f>
        <v>1886.0590476190475</v>
      </c>
      <c r="Y9" s="45">
        <f t="shared" ref="Y9:AA9" si="4">AVERAGE($D8:$X8)</f>
        <v>1886.0590476190475</v>
      </c>
      <c r="Z9" s="45">
        <f t="shared" si="4"/>
        <v>1886.0590476190475</v>
      </c>
      <c r="AA9" s="45">
        <f t="shared" si="4"/>
        <v>1886.0590476190475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1.1088942324686093</v>
      </c>
      <c r="E10" s="53">
        <f t="shared" si="5"/>
        <v>0.99380769778454658</v>
      </c>
      <c r="F10" s="53">
        <f t="shared" si="5"/>
        <v>1.0170625370513069</v>
      </c>
      <c r="G10" s="53">
        <f t="shared" si="5"/>
        <v>1.0187273841853157</v>
      </c>
      <c r="H10" s="53">
        <f t="shared" si="5"/>
        <v>1.1384532221886707</v>
      </c>
      <c r="I10" s="53">
        <f t="shared" si="5"/>
        <v>1.0575649805439613</v>
      </c>
      <c r="J10" s="53">
        <f t="shared" si="5"/>
        <v>1.0810319022481749</v>
      </c>
      <c r="K10" s="53">
        <f t="shared" si="5"/>
        <v>0.98845791829978558</v>
      </c>
      <c r="L10" s="53">
        <f t="shared" si="5"/>
        <v>1.001007896536088</v>
      </c>
      <c r="M10" s="53">
        <f t="shared" si="5"/>
        <v>0.90694403346458885</v>
      </c>
      <c r="N10" s="53">
        <f t="shared" si="5"/>
        <v>0.97174052016752499</v>
      </c>
      <c r="O10" s="53">
        <f t="shared" si="5"/>
        <v>1.0780044254535284</v>
      </c>
      <c r="P10" s="53">
        <f t="shared" si="5"/>
        <v>1.0509745188000983</v>
      </c>
      <c r="Q10" s="53">
        <f t="shared" si="5"/>
        <v>1.0952043111309953</v>
      </c>
      <c r="R10" s="53">
        <f t="shared" si="5"/>
        <v>0.91501377020968899</v>
      </c>
      <c r="S10" s="53">
        <f t="shared" si="5"/>
        <v>0.8474390035761139</v>
      </c>
      <c r="T10" s="53">
        <f t="shared" ref="T10:Y10" si="6">IF(T8=0,0,T8/T9)</f>
        <v>0.98843140799510398</v>
      </c>
      <c r="U10" s="53">
        <f t="shared" si="6"/>
        <v>0.81499569270668704</v>
      </c>
      <c r="V10" s="53">
        <f t="shared" si="6"/>
        <v>0.96302393198819203</v>
      </c>
      <c r="W10" s="53">
        <f t="shared" si="6"/>
        <v>1.0011086356938783</v>
      </c>
      <c r="X10" s="53">
        <f t="shared" si="6"/>
        <v>0.96211197750714261</v>
      </c>
      <c r="Y10" s="53">
        <f t="shared" si="6"/>
        <v>0.94767976763844197</v>
      </c>
      <c r="Z10" s="53">
        <f t="shared" ref="Z10:AA10" si="7">IF(Z8=0,0,Z8/Z9)</f>
        <v>0.89111738156963227</v>
      </c>
      <c r="AA10" s="53">
        <f t="shared" si="7"/>
        <v>0.94184219854753826</v>
      </c>
    </row>
    <row r="11" spans="1:27" x14ac:dyDescent="0.25">
      <c r="A11" s="43" t="s">
        <v>251</v>
      </c>
      <c r="B11" s="44"/>
      <c r="C11" s="44"/>
      <c r="D11" s="45">
        <v>145.24</v>
      </c>
      <c r="E11" s="45">
        <v>146.97</v>
      </c>
      <c r="F11" s="45">
        <v>142.62</v>
      </c>
      <c r="G11" s="45">
        <v>129.57</v>
      </c>
      <c r="H11" s="45">
        <v>108.19</v>
      </c>
      <c r="I11" s="45">
        <v>164.97</v>
      </c>
      <c r="J11" s="45">
        <v>136.78</v>
      </c>
      <c r="K11" s="45">
        <v>185.5</v>
      </c>
      <c r="L11" s="45">
        <v>160.80000000000001</v>
      </c>
      <c r="M11" s="45">
        <v>199.78</v>
      </c>
      <c r="N11" s="45">
        <v>151.38</v>
      </c>
      <c r="O11" s="45">
        <v>214.71</v>
      </c>
      <c r="P11" s="45">
        <v>170.89</v>
      </c>
      <c r="Q11" s="45">
        <v>155.32</v>
      </c>
      <c r="R11" s="45">
        <v>211.27</v>
      </c>
      <c r="S11" s="45">
        <v>182.05</v>
      </c>
      <c r="T11" s="45">
        <v>135.16</v>
      </c>
      <c r="U11" s="45">
        <v>124.83</v>
      </c>
      <c r="V11" s="45">
        <v>206.95</v>
      </c>
      <c r="W11" s="45">
        <v>200.18</v>
      </c>
      <c r="X11" s="45">
        <v>179.83</v>
      </c>
      <c r="Y11" s="45">
        <v>204.33</v>
      </c>
      <c r="Z11" s="45">
        <v>148.1</v>
      </c>
      <c r="AA11" s="45">
        <v>283.2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164.42809523809524</v>
      </c>
      <c r="E12" s="45">
        <f t="shared" ref="E12" si="9">AVERAGE($D11:$X11)</f>
        <v>164.42809523809524</v>
      </c>
      <c r="F12" s="45">
        <f t="shared" ref="F12" si="10">AVERAGE($D11:$X11)</f>
        <v>164.42809523809524</v>
      </c>
      <c r="G12" s="45">
        <f t="shared" ref="G12" si="11">AVERAGE($D11:$X11)</f>
        <v>164.42809523809524</v>
      </c>
      <c r="H12" s="45">
        <f t="shared" ref="H12" si="12">AVERAGE($D11:$X11)</f>
        <v>164.42809523809524</v>
      </c>
      <c r="I12" s="45">
        <f t="shared" ref="I12" si="13">AVERAGE($D11:$X11)</f>
        <v>164.42809523809524</v>
      </c>
      <c r="J12" s="45">
        <f t="shared" ref="J12" si="14">AVERAGE($D11:$X11)</f>
        <v>164.42809523809524</v>
      </c>
      <c r="K12" s="45">
        <f t="shared" ref="K12" si="15">AVERAGE($D11:$X11)</f>
        <v>164.42809523809524</v>
      </c>
      <c r="L12" s="45">
        <f t="shared" ref="L12" si="16">AVERAGE($D11:$X11)</f>
        <v>164.42809523809524</v>
      </c>
      <c r="M12" s="45">
        <f t="shared" ref="M12" si="17">AVERAGE($D11:$X11)</f>
        <v>164.42809523809524</v>
      </c>
      <c r="N12" s="45">
        <f t="shared" ref="N12" si="18">AVERAGE($D11:$X11)</f>
        <v>164.42809523809524</v>
      </c>
      <c r="O12" s="45">
        <f t="shared" ref="O12" si="19">AVERAGE($D11:$X11)</f>
        <v>164.42809523809524</v>
      </c>
      <c r="P12" s="45">
        <f t="shared" ref="P12" si="20">AVERAGE($D11:$X11)</f>
        <v>164.42809523809524</v>
      </c>
      <c r="Q12" s="45">
        <f t="shared" ref="Q12" si="21">AVERAGE($D11:$X11)</f>
        <v>164.42809523809524</v>
      </c>
      <c r="R12" s="45">
        <f t="shared" ref="R12" si="22">AVERAGE($D11:$X11)</f>
        <v>164.42809523809524</v>
      </c>
      <c r="S12" s="45">
        <f t="shared" ref="S12" si="23">AVERAGE($D11:$X11)</f>
        <v>164.42809523809524</v>
      </c>
      <c r="T12" s="45">
        <f t="shared" ref="T12" si="24">AVERAGE($D11:$X11)</f>
        <v>164.42809523809524</v>
      </c>
      <c r="U12" s="45">
        <f t="shared" ref="U12" si="25">AVERAGE($D11:$X11)</f>
        <v>164.42809523809524</v>
      </c>
      <c r="V12" s="45">
        <f t="shared" ref="V12" si="26">AVERAGE($D11:$X11)</f>
        <v>164.42809523809524</v>
      </c>
      <c r="W12" s="45">
        <f t="shared" ref="W12" si="27">AVERAGE($D11:$X11)</f>
        <v>164.42809523809524</v>
      </c>
      <c r="X12" s="45">
        <f>AVERAGE($D11:$X11)</f>
        <v>164.42809523809524</v>
      </c>
      <c r="Y12" s="45">
        <f t="shared" ref="Y12:AA12" si="28">AVERAGE($D11:$X11)</f>
        <v>164.42809523809524</v>
      </c>
      <c r="Z12" s="45">
        <f t="shared" si="28"/>
        <v>164.42809523809524</v>
      </c>
      <c r="AA12" s="45">
        <f t="shared" si="28"/>
        <v>164.42809523809524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0.88330403505367816</v>
      </c>
      <c r="E13" s="55">
        <f t="shared" si="29"/>
        <v>0.8938253513621528</v>
      </c>
      <c r="F13" s="55">
        <f t="shared" ref="F13" si="30">IF(F11=0,0,F11/F12)</f>
        <v>0.86737001844778006</v>
      </c>
      <c r="G13" s="55">
        <f t="shared" ref="G13" si="31">IF(G11=0,0,G11/G12)</f>
        <v>0.78800401970466172</v>
      </c>
      <c r="H13" s="55">
        <f t="shared" ref="H13" si="32">IF(H11=0,0,H11/H12)</f>
        <v>0.65797757885195152</v>
      </c>
      <c r="I13" s="55">
        <f t="shared" ref="I13" si="33">IF(I11=0,0,I11/I12)</f>
        <v>1.0032956944561091</v>
      </c>
      <c r="J13" s="55">
        <f t="shared" ref="J13" si="34">IF(J11=0,0,J11/J12)</f>
        <v>0.83185297379951872</v>
      </c>
      <c r="K13" s="55">
        <f t="shared" ref="K13" si="35">IF(K11=0,0,K11/K12)</f>
        <v>1.1281527024404936</v>
      </c>
      <c r="L13" s="55">
        <f t="shared" ref="L13" si="36">IF(L11=0,0,L11/L12)</f>
        <v>0.9779350649726759</v>
      </c>
      <c r="M13" s="55">
        <f t="shared" ref="M13" si="37">IF(M11=0,0,M11/M12)</f>
        <v>1.2149991746283655</v>
      </c>
      <c r="N13" s="55">
        <f t="shared" ref="N13" si="38">IF(N11=0,0,N11/N12)</f>
        <v>0.92064558542017205</v>
      </c>
      <c r="O13" s="55">
        <f t="shared" ref="O13" si="39">IF(O11=0,0,O11/O12)</f>
        <v>1.3057987425390749</v>
      </c>
      <c r="P13" s="55">
        <f t="shared" ref="P13" si="40">IF(P11=0,0,P11/P12)</f>
        <v>1.0392992739625657</v>
      </c>
      <c r="Q13" s="55">
        <f t="shared" ref="Q13" si="41">IF(Q11=0,0,Q11/Q12)</f>
        <v>0.94460742718629354</v>
      </c>
      <c r="R13" s="55">
        <f t="shared" ref="R13" si="42">IF(R11=0,0,R11/R12)</f>
        <v>1.2848777436366743</v>
      </c>
      <c r="S13" s="55">
        <f t="shared" ref="S13:Y13" si="43">IF(S11=0,0,S11/S12)</f>
        <v>1.1071708866808188</v>
      </c>
      <c r="T13" s="55">
        <f t="shared" si="43"/>
        <v>0.82200064292106256</v>
      </c>
      <c r="U13" s="55">
        <f t="shared" si="43"/>
        <v>0.75917682935658659</v>
      </c>
      <c r="V13" s="55">
        <f t="shared" si="43"/>
        <v>1.2586048612941247</v>
      </c>
      <c r="W13" s="55">
        <f t="shared" si="43"/>
        <v>1.2174318489193423</v>
      </c>
      <c r="X13" s="55">
        <f t="shared" si="43"/>
        <v>1.0936695443658975</v>
      </c>
      <c r="Y13" s="55">
        <f t="shared" si="43"/>
        <v>1.2426708446882269</v>
      </c>
      <c r="Z13" s="55">
        <f t="shared" ref="Z13:AA13" si="44">IF(Z11=0,0,Z11/Z12)</f>
        <v>0.9006976562341622</v>
      </c>
      <c r="AA13" s="55">
        <f t="shared" si="44"/>
        <v>1.7223333980115783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1060744.9412389235</v>
      </c>
      <c r="E16" s="42">
        <v>1102315.4215746487</v>
      </c>
      <c r="F16" s="42">
        <v>1132677.5104259513</v>
      </c>
      <c r="G16" s="42">
        <v>1165976.3607898992</v>
      </c>
      <c r="H16" s="42">
        <v>1202286.2938422756</v>
      </c>
      <c r="I16" s="42">
        <v>1244993.0079698595</v>
      </c>
      <c r="J16" s="42">
        <v>1295327.2761468184</v>
      </c>
      <c r="K16" s="42">
        <v>1341097.9090514211</v>
      </c>
      <c r="L16" s="42">
        <v>1351385.3986251173</v>
      </c>
      <c r="M16" s="42">
        <v>1300464.9174153004</v>
      </c>
      <c r="N16" s="42">
        <v>1301685.8659610576</v>
      </c>
      <c r="O16" s="42">
        <v>1293351.5555421468</v>
      </c>
      <c r="P16" s="42">
        <v>1256297.912934822</v>
      </c>
      <c r="Q16" s="42">
        <v>1238364.3485467187</v>
      </c>
      <c r="R16" s="42">
        <v>1257194.0006435332</v>
      </c>
      <c r="S16" s="42">
        <v>1308252.3230399999</v>
      </c>
      <c r="T16" s="42">
        <v>1346392.3675327781</v>
      </c>
      <c r="U16" s="42">
        <v>1385379.3300339449</v>
      </c>
      <c r="V16" s="42">
        <v>1418561.6615001652</v>
      </c>
      <c r="W16" s="42">
        <v>1446385.9882466851</v>
      </c>
      <c r="X16" s="42">
        <v>1288147.8680114509</v>
      </c>
      <c r="Y16" s="42">
        <v>1374243.5724928367</v>
      </c>
      <c r="Z16" s="42">
        <v>1461790.6659074053</v>
      </c>
      <c r="AA16" s="42">
        <v>1497761</v>
      </c>
    </row>
    <row r="17" spans="1:27" x14ac:dyDescent="0.25">
      <c r="A17" s="46" t="s">
        <v>141</v>
      </c>
      <c r="B17" s="47"/>
      <c r="C17" s="47"/>
      <c r="D17" s="57">
        <v>639116.22788140643</v>
      </c>
      <c r="E17" s="57">
        <v>664329.21618657897</v>
      </c>
      <c r="F17" s="57">
        <v>684981.53601979034</v>
      </c>
      <c r="G17" s="57">
        <v>701528.62355553312</v>
      </c>
      <c r="H17" s="57">
        <v>730449.0916159855</v>
      </c>
      <c r="I17" s="57">
        <v>761106.22526571585</v>
      </c>
      <c r="J17" s="57">
        <v>792143.23724196106</v>
      </c>
      <c r="K17" s="57">
        <v>819657.61768955062</v>
      </c>
      <c r="L17" s="57">
        <v>814447.36299356807</v>
      </c>
      <c r="M17" s="57">
        <v>785706.2075520386</v>
      </c>
      <c r="N17" s="57">
        <v>789420.38142742647</v>
      </c>
      <c r="O17" s="57">
        <v>770352.84892204951</v>
      </c>
      <c r="P17" s="57">
        <v>744926.92944004526</v>
      </c>
      <c r="Q17" s="57">
        <v>723542.96521156211</v>
      </c>
      <c r="R17" s="57">
        <v>736103.22260304773</v>
      </c>
      <c r="S17" s="57">
        <v>758150.84424000001</v>
      </c>
      <c r="T17" s="57">
        <v>778295.40821988892</v>
      </c>
      <c r="U17" s="57">
        <v>802235.11991584161</v>
      </c>
      <c r="V17" s="57">
        <v>816151.19750237546</v>
      </c>
      <c r="W17" s="57">
        <v>825465.10154353862</v>
      </c>
      <c r="X17" s="57">
        <v>725819.73567471199</v>
      </c>
      <c r="Y17" s="57">
        <v>777389.22569148091</v>
      </c>
      <c r="Z17" s="57">
        <v>815550.84221637738</v>
      </c>
      <c r="AA17" s="57">
        <v>830057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26210.530539223259</v>
      </c>
      <c r="E20" s="42">
        <f t="shared" ref="E20:S20" si="45">1000000*E16/E$3</f>
        <v>27106.864584616993</v>
      </c>
      <c r="F20" s="42">
        <f t="shared" si="45"/>
        <v>27602.530447727233</v>
      </c>
      <c r="G20" s="42">
        <f t="shared" si="45"/>
        <v>27875.606690211891</v>
      </c>
      <c r="H20" s="42">
        <f t="shared" si="45"/>
        <v>28257.539889810923</v>
      </c>
      <c r="I20" s="42">
        <f t="shared" si="45"/>
        <v>28755.157259947933</v>
      </c>
      <c r="J20" s="42">
        <f t="shared" si="45"/>
        <v>29432.586450620893</v>
      </c>
      <c r="K20" s="42">
        <f t="shared" si="45"/>
        <v>29945.47082368374</v>
      </c>
      <c r="L20" s="42">
        <f t="shared" si="45"/>
        <v>29590.908574099285</v>
      </c>
      <c r="M20" s="42">
        <f t="shared" si="45"/>
        <v>28124.683478810322</v>
      </c>
      <c r="N20" s="42">
        <f t="shared" si="45"/>
        <v>28001.302180334034</v>
      </c>
      <c r="O20" s="42">
        <f t="shared" si="45"/>
        <v>27714.374895341782</v>
      </c>
      <c r="P20" s="42">
        <f t="shared" si="45"/>
        <v>26833.526344409256</v>
      </c>
      <c r="Q20" s="42">
        <f t="shared" si="45"/>
        <v>26510.256826506713</v>
      </c>
      <c r="R20" s="42">
        <f t="shared" si="45"/>
        <v>27038.90490801767</v>
      </c>
      <c r="S20" s="42">
        <f t="shared" si="45"/>
        <v>28179.471781612789</v>
      </c>
      <c r="T20" s="42">
        <f t="shared" ref="T20:Y20" si="46">1000000*T16/T$3</f>
        <v>29005.272240771192</v>
      </c>
      <c r="U20" s="42">
        <f t="shared" si="46"/>
        <v>29794.774301302114</v>
      </c>
      <c r="V20" s="42">
        <f t="shared" si="46"/>
        <v>30411.824047003582</v>
      </c>
      <c r="W20" s="42">
        <f t="shared" si="46"/>
        <v>30827.330053621299</v>
      </c>
      <c r="X20" s="42">
        <f t="shared" si="46"/>
        <v>27223.18159796211</v>
      </c>
      <c r="Y20" s="42">
        <f t="shared" si="46"/>
        <v>28991.992339302742</v>
      </c>
      <c r="Z20" s="42">
        <f t="shared" ref="Z20:AA20" si="47">1000000*Z16/Z$3</f>
        <v>30783.06692039741</v>
      </c>
      <c r="AA20" s="42">
        <f t="shared" si="47"/>
        <v>31147.962058556655</v>
      </c>
    </row>
    <row r="21" spans="1:27" x14ac:dyDescent="0.25">
      <c r="A21" s="46" t="s">
        <v>141</v>
      </c>
      <c r="B21" s="47"/>
      <c r="C21" s="47"/>
      <c r="D21" s="57">
        <f>1000000*D17/D$3</f>
        <v>15792.274615454076</v>
      </c>
      <c r="E21" s="57">
        <f t="shared" ref="E21:S21" si="48">1000000*E17/E$3</f>
        <v>16336.414922917644</v>
      </c>
      <c r="F21" s="57">
        <f t="shared" si="48"/>
        <v>16692.503850462286</v>
      </c>
      <c r="G21" s="57">
        <f t="shared" si="48"/>
        <v>16771.81171916017</v>
      </c>
      <c r="H21" s="57">
        <f t="shared" si="48"/>
        <v>17167.869624339786</v>
      </c>
      <c r="I21" s="57">
        <f t="shared" si="48"/>
        <v>17578.997680259145</v>
      </c>
      <c r="J21" s="57">
        <f t="shared" si="48"/>
        <v>17999.176533017053</v>
      </c>
      <c r="K21" s="57">
        <f t="shared" si="48"/>
        <v>18302.193382206995</v>
      </c>
      <c r="L21" s="57">
        <f t="shared" si="48"/>
        <v>17833.726397575563</v>
      </c>
      <c r="M21" s="57">
        <f t="shared" si="48"/>
        <v>16992.183409804878</v>
      </c>
      <c r="N21" s="57">
        <f t="shared" si="48"/>
        <v>16981.669099820458</v>
      </c>
      <c r="O21" s="57">
        <f t="shared" si="48"/>
        <v>16507.381589509783</v>
      </c>
      <c r="P21" s="57">
        <f t="shared" si="48"/>
        <v>15911.047992663824</v>
      </c>
      <c r="Q21" s="57">
        <f t="shared" si="48"/>
        <v>15489.229688565349</v>
      </c>
      <c r="R21" s="57">
        <f t="shared" si="48"/>
        <v>15831.62584951964</v>
      </c>
      <c r="S21" s="57">
        <f t="shared" si="48"/>
        <v>16330.405033657851</v>
      </c>
      <c r="T21" s="57">
        <f t="shared" ref="T21:Y21" si="49">1000000*T17/T$3</f>
        <v>16766.784143709465</v>
      </c>
      <c r="U21" s="57">
        <f t="shared" si="49"/>
        <v>17253.335470137896</v>
      </c>
      <c r="V21" s="57">
        <f t="shared" si="49"/>
        <v>17497.051617724563</v>
      </c>
      <c r="W21" s="57">
        <f t="shared" si="49"/>
        <v>17593.426194535736</v>
      </c>
      <c r="X21" s="57">
        <f t="shared" si="49"/>
        <v>15339.172592165402</v>
      </c>
      <c r="Y21" s="57">
        <f t="shared" si="49"/>
        <v>16400.340468771876</v>
      </c>
      <c r="Z21" s="57">
        <f t="shared" ref="Z21:AA21" si="50">1000000*Z17/Z$3</f>
        <v>17174.24850113488</v>
      </c>
      <c r="AA21" s="57">
        <f t="shared" si="50"/>
        <v>17262.155939725606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963620.62043398421</v>
      </c>
      <c r="E23" s="60">
        <v>1001879.5229644687</v>
      </c>
      <c r="F23" s="60">
        <v>1028701.9268585582</v>
      </c>
      <c r="G23" s="60">
        <v>1056098.2199002097</v>
      </c>
      <c r="H23" s="60">
        <v>1085683.0964080978</v>
      </c>
      <c r="I23" s="60">
        <v>1122099.4146835615</v>
      </c>
      <c r="J23" s="60">
        <v>1169034.5729024722</v>
      </c>
      <c r="K23" s="60">
        <v>1215453.1911354749</v>
      </c>
      <c r="L23" s="60">
        <v>1228863.6826452864</v>
      </c>
      <c r="M23" s="60">
        <v>1188727.8329715021</v>
      </c>
      <c r="N23" s="60">
        <v>1186636.3193687545</v>
      </c>
      <c r="O23" s="60">
        <v>1183654.7500848796</v>
      </c>
      <c r="P23" s="60">
        <v>1150660.8696912844</v>
      </c>
      <c r="Q23" s="60">
        <v>1135970.1627822691</v>
      </c>
      <c r="R23" s="60">
        <v>1148255.1477609533</v>
      </c>
      <c r="S23" s="60">
        <v>1188872.3030399999</v>
      </c>
      <c r="T23" s="60">
        <v>1220438.3043495563</v>
      </c>
      <c r="U23" s="60">
        <v>1257366.4085981271</v>
      </c>
      <c r="V23" s="60">
        <v>1288209.0707028357</v>
      </c>
      <c r="W23" s="60">
        <v>1314903.415896914</v>
      </c>
      <c r="X23" s="60">
        <v>1172051.5884859192</v>
      </c>
      <c r="Y23" s="60">
        <v>1245690.8940783446</v>
      </c>
      <c r="Z23" s="60">
        <v>1331773.4651513549</v>
      </c>
      <c r="AA23" s="60">
        <v>1366751</v>
      </c>
    </row>
    <row r="24" spans="1:27" x14ac:dyDescent="0.25">
      <c r="A24" s="61" t="s">
        <v>33</v>
      </c>
      <c r="B24" s="62"/>
      <c r="C24" s="62"/>
      <c r="D24" s="63">
        <v>39696.071464526227</v>
      </c>
      <c r="E24" s="63">
        <v>40382.688308642464</v>
      </c>
      <c r="F24" s="63">
        <v>39300.112245280892</v>
      </c>
      <c r="G24" s="63">
        <v>39822.935642490411</v>
      </c>
      <c r="H24" s="63">
        <v>37522.416365306577</v>
      </c>
      <c r="I24" s="63">
        <v>34484.751606259379</v>
      </c>
      <c r="J24" s="63">
        <v>31399.855655051586</v>
      </c>
      <c r="K24" s="63">
        <v>33648.504816093868</v>
      </c>
      <c r="L24" s="63">
        <v>31381.266241721027</v>
      </c>
      <c r="M24" s="63">
        <v>28534.659980156583</v>
      </c>
      <c r="N24" s="63">
        <v>31218.626732288565</v>
      </c>
      <c r="O24" s="63">
        <v>30340.107766970901</v>
      </c>
      <c r="P24" s="63">
        <v>29990.87758726209</v>
      </c>
      <c r="Q24" s="63">
        <v>32425.102397084436</v>
      </c>
      <c r="R24" s="63">
        <v>31850.516220739159</v>
      </c>
      <c r="S24" s="63">
        <v>35626.360950000002</v>
      </c>
      <c r="T24" s="63">
        <v>37848.672310875882</v>
      </c>
      <c r="U24" s="63">
        <v>38867.232578748881</v>
      </c>
      <c r="V24" s="63">
        <v>38425.262617496781</v>
      </c>
      <c r="W24" s="63">
        <v>36502.88392257024</v>
      </c>
      <c r="X24" s="63">
        <v>35748.253285216291</v>
      </c>
      <c r="Y24" s="63">
        <v>38086.952175160324</v>
      </c>
      <c r="Z24" s="63">
        <v>34605.316971845896</v>
      </c>
      <c r="AA24" s="63">
        <v>39035</v>
      </c>
    </row>
    <row r="25" spans="1:27" x14ac:dyDescent="0.25">
      <c r="A25" s="64" t="s">
        <v>56</v>
      </c>
      <c r="B25" s="65"/>
      <c r="C25" s="65"/>
      <c r="D25" s="66">
        <v>2901.0367730086391</v>
      </c>
      <c r="E25" s="66">
        <v>3499.676191220733</v>
      </c>
      <c r="F25" s="66">
        <v>3695.6285885840807</v>
      </c>
      <c r="G25" s="66">
        <v>3898.4649649287726</v>
      </c>
      <c r="H25" s="66">
        <v>4035.6012976895081</v>
      </c>
      <c r="I25" s="66">
        <v>3857.8308894311494</v>
      </c>
      <c r="J25" s="66">
        <v>4034.4656414249562</v>
      </c>
      <c r="K25" s="66">
        <v>4242.2076121328118</v>
      </c>
      <c r="L25" s="66">
        <v>3924.0066331357998</v>
      </c>
      <c r="M25" s="66">
        <v>3071.2174425572462</v>
      </c>
      <c r="N25" s="66">
        <v>3180.7295487830393</v>
      </c>
      <c r="O25" s="66">
        <v>3126.7807513331072</v>
      </c>
      <c r="P25" s="66">
        <v>2784.1772832619317</v>
      </c>
      <c r="Q25" s="66">
        <v>2235.2530982895228</v>
      </c>
      <c r="R25" s="66">
        <v>1984.7430691372463</v>
      </c>
      <c r="S25" s="66">
        <v>1800.27144</v>
      </c>
      <c r="T25" s="66">
        <v>1779.0576027697082</v>
      </c>
      <c r="U25" s="66">
        <v>2623.4582155833668</v>
      </c>
      <c r="V25" s="66">
        <v>3247.9655212761804</v>
      </c>
      <c r="W25" s="66">
        <v>3651.3283275401841</v>
      </c>
      <c r="X25" s="66">
        <v>2833.030599038289</v>
      </c>
      <c r="Y25" s="66">
        <v>4923.318486780614</v>
      </c>
      <c r="Z25" s="66">
        <v>7396.4400835911647</v>
      </c>
      <c r="AA25" s="66">
        <v>5093.7357172716511</v>
      </c>
    </row>
    <row r="26" spans="1:27" x14ac:dyDescent="0.25">
      <c r="A26" s="67" t="s">
        <v>146</v>
      </c>
      <c r="B26" s="44"/>
      <c r="C26" s="44"/>
      <c r="D26" s="45">
        <v>638031.63158968778</v>
      </c>
      <c r="E26" s="45">
        <v>665799.28378219914</v>
      </c>
      <c r="F26" s="45">
        <v>688711.62344729248</v>
      </c>
      <c r="G26" s="45">
        <v>710022.43495552812</v>
      </c>
      <c r="H26" s="45">
        <v>736901.63654228544</v>
      </c>
      <c r="I26" s="45">
        <v>762359.37826009083</v>
      </c>
      <c r="J26" s="45">
        <v>800781.56355849723</v>
      </c>
      <c r="K26" s="45">
        <v>843007.64126861957</v>
      </c>
      <c r="L26" s="45">
        <v>864368.53137791925</v>
      </c>
      <c r="M26" s="45">
        <v>862197.60219849297</v>
      </c>
      <c r="N26" s="45">
        <v>876693.22769071371</v>
      </c>
      <c r="O26" s="45">
        <v>890720.33665195433</v>
      </c>
      <c r="P26" s="45">
        <v>878901.74401781871</v>
      </c>
      <c r="Q26" s="45">
        <v>873595.06373767985</v>
      </c>
      <c r="R26" s="45">
        <v>884707.71524487378</v>
      </c>
      <c r="S26" s="45">
        <v>912364.56917999987</v>
      </c>
      <c r="T26" s="45">
        <v>936691.78604401276</v>
      </c>
      <c r="U26" s="45">
        <v>963092.36589304532</v>
      </c>
      <c r="V26" s="45">
        <v>989755.3025176489</v>
      </c>
      <c r="W26" s="45">
        <v>1010262.463080675</v>
      </c>
      <c r="X26" s="45">
        <v>898602.74577007745</v>
      </c>
      <c r="Y26" s="45">
        <v>949359.68408584036</v>
      </c>
      <c r="Z26" s="45">
        <v>1010161.766795082</v>
      </c>
      <c r="AA26" s="45">
        <v>1050097.5513296998</v>
      </c>
    </row>
    <row r="27" spans="1:27" x14ac:dyDescent="0.25">
      <c r="A27" s="68" t="s">
        <v>148</v>
      </c>
      <c r="B27" s="69"/>
      <c r="C27" s="69"/>
      <c r="D27" s="70">
        <v>285897.82884157542</v>
      </c>
      <c r="E27" s="70">
        <v>293463.21459562989</v>
      </c>
      <c r="F27" s="70">
        <v>299382.0440199647</v>
      </c>
      <c r="G27" s="70">
        <v>307698.82012437622</v>
      </c>
      <c r="H27" s="70">
        <v>317063.36880661407</v>
      </c>
      <c r="I27" s="70">
        <v>322550.49276903446</v>
      </c>
      <c r="J27" s="70">
        <v>332482.91639088962</v>
      </c>
      <c r="K27" s="70">
        <v>341598.47928975621</v>
      </c>
      <c r="L27" s="70">
        <v>352537.35829888948</v>
      </c>
      <c r="M27" s="70">
        <v>358318.15880625165</v>
      </c>
      <c r="N27" s="70">
        <v>366910.88106363267</v>
      </c>
      <c r="O27" s="70">
        <v>369438.39873379807</v>
      </c>
      <c r="P27" s="70">
        <v>358093.97606124147</v>
      </c>
      <c r="Q27" s="70">
        <v>354517.1989851906</v>
      </c>
      <c r="R27" s="70">
        <v>358116.31498880981</v>
      </c>
      <c r="S27" s="70">
        <v>371916.10323000001</v>
      </c>
      <c r="T27" s="70">
        <v>379355.89929961396</v>
      </c>
      <c r="U27" s="70">
        <v>390444.9967407466</v>
      </c>
      <c r="V27" s="70">
        <v>398401.45863723237</v>
      </c>
      <c r="W27" s="70">
        <v>407904.21546674857</v>
      </c>
      <c r="X27" s="70">
        <v>335877.8324090956</v>
      </c>
      <c r="Y27" s="70">
        <v>357673.90972691344</v>
      </c>
      <c r="Z27" s="70">
        <v>395185.01394475024</v>
      </c>
      <c r="AA27" s="70">
        <v>412335</v>
      </c>
    </row>
    <row r="28" spans="1:27" x14ac:dyDescent="0.25">
      <c r="A28" s="68" t="s">
        <v>150</v>
      </c>
      <c r="B28" s="71"/>
      <c r="C28" s="71"/>
      <c r="D28" s="70">
        <v>228954.34067070269</v>
      </c>
      <c r="E28" s="70">
        <v>243014.25337137948</v>
      </c>
      <c r="F28" s="70">
        <v>255416.85927121248</v>
      </c>
      <c r="G28" s="70">
        <v>266342.89435244771</v>
      </c>
      <c r="H28" s="70">
        <v>278176.62814683892</v>
      </c>
      <c r="I28" s="70">
        <v>294469.41715731274</v>
      </c>
      <c r="J28" s="70">
        <v>316580.61456102779</v>
      </c>
      <c r="K28" s="70">
        <v>343091.82649579772</v>
      </c>
      <c r="L28" s="70">
        <v>351313.65311488468</v>
      </c>
      <c r="M28" s="70">
        <v>347961.37050207763</v>
      </c>
      <c r="N28" s="70">
        <v>348122.63652575889</v>
      </c>
      <c r="O28" s="70">
        <v>355771.65104551538</v>
      </c>
      <c r="P28" s="70">
        <v>356564.24812633567</v>
      </c>
      <c r="Q28" s="70">
        <v>354074.99444271059</v>
      </c>
      <c r="R28" s="70">
        <v>361881.98888037587</v>
      </c>
      <c r="S28" s="70">
        <v>368031.56030999997</v>
      </c>
      <c r="T28" s="70">
        <v>376421.53174618963</v>
      </c>
      <c r="U28" s="70">
        <v>386990.89525094291</v>
      </c>
      <c r="V28" s="70">
        <v>401088.53993915516</v>
      </c>
      <c r="W28" s="70">
        <v>410779.0587828625</v>
      </c>
      <c r="X28" s="70">
        <v>387978.53839758912</v>
      </c>
      <c r="Y28" s="70">
        <v>398460.27923117491</v>
      </c>
      <c r="Z28" s="70">
        <v>418753.73655800166</v>
      </c>
      <c r="AA28" s="70">
        <v>448170</v>
      </c>
    </row>
    <row r="29" spans="1:27" x14ac:dyDescent="0.25">
      <c r="A29" s="68" t="s">
        <v>152</v>
      </c>
      <c r="B29" s="71"/>
      <c r="C29" s="71"/>
      <c r="D29" s="70">
        <v>123179.46207740971</v>
      </c>
      <c r="E29" s="70">
        <v>129321.8158151898</v>
      </c>
      <c r="F29" s="70">
        <v>133912.72015611513</v>
      </c>
      <c r="G29" s="70">
        <v>135980.72047870417</v>
      </c>
      <c r="H29" s="70">
        <v>141661.63958883245</v>
      </c>
      <c r="I29" s="70">
        <v>145339.46833374375</v>
      </c>
      <c r="J29" s="70">
        <v>151718.03260657971</v>
      </c>
      <c r="K29" s="70">
        <v>158317.33548306566</v>
      </c>
      <c r="L29" s="70">
        <v>160517.51996414521</v>
      </c>
      <c r="M29" s="70">
        <v>155918.07289016375</v>
      </c>
      <c r="N29" s="70">
        <v>161659.71010132207</v>
      </c>
      <c r="O29" s="70">
        <v>165510.28687264086</v>
      </c>
      <c r="P29" s="70">
        <v>164243.51983024151</v>
      </c>
      <c r="Q29" s="70">
        <v>165002.87030977861</v>
      </c>
      <c r="R29" s="70">
        <v>164709.41137568804</v>
      </c>
      <c r="S29" s="70">
        <v>172416.90564000001</v>
      </c>
      <c r="T29" s="70">
        <v>180914.35499820922</v>
      </c>
      <c r="U29" s="70">
        <v>185656.4739013559</v>
      </c>
      <c r="V29" s="70">
        <v>190265.30394126134</v>
      </c>
      <c r="W29" s="70">
        <v>191579.18883106409</v>
      </c>
      <c r="X29" s="70">
        <v>174746.37496339262</v>
      </c>
      <c r="Y29" s="70">
        <v>193225.4951277519</v>
      </c>
      <c r="Z29" s="70">
        <v>196223.01629233005</v>
      </c>
      <c r="AA29" s="70">
        <v>189592.55132969981</v>
      </c>
    </row>
    <row r="30" spans="1:27" x14ac:dyDescent="0.25">
      <c r="A30" s="64" t="s">
        <v>154</v>
      </c>
      <c r="B30" s="65"/>
      <c r="C30" s="65"/>
      <c r="D30" s="66">
        <v>20502.07872933814</v>
      </c>
      <c r="E30" s="66">
        <v>20306.588867607396</v>
      </c>
      <c r="F30" s="66">
        <v>20549.501369760197</v>
      </c>
      <c r="G30" s="66">
        <v>22313.200701424539</v>
      </c>
      <c r="H30" s="66">
        <v>23117.950429656161</v>
      </c>
      <c r="I30" s="66">
        <v>26014.765351809983</v>
      </c>
      <c r="J30" s="66">
        <v>25771.125364999029</v>
      </c>
      <c r="K30" s="66">
        <v>27273.301697595078</v>
      </c>
      <c r="L30" s="66">
        <v>29609.830137941335</v>
      </c>
      <c r="M30" s="66">
        <v>28431.813206676034</v>
      </c>
      <c r="N30" s="66">
        <v>32626.156506231757</v>
      </c>
      <c r="O30" s="66">
        <v>33482.510405224581</v>
      </c>
      <c r="P30" s="66">
        <v>34019.845321106448</v>
      </c>
      <c r="Q30" s="66">
        <v>32425.102397084436</v>
      </c>
      <c r="R30" s="66">
        <v>30616.72422727181</v>
      </c>
      <c r="S30" s="66">
        <v>33999.377670000002</v>
      </c>
      <c r="T30" s="66">
        <v>33398.633879183413</v>
      </c>
      <c r="U30" s="66">
        <v>33520.781147532914</v>
      </c>
      <c r="V30" s="66">
        <v>34996.593812161162</v>
      </c>
      <c r="W30" s="66">
        <v>34330.57466441342</v>
      </c>
      <c r="X30" s="66">
        <v>28923.741773969563</v>
      </c>
      <c r="Y30" s="66">
        <v>34769.475185311996</v>
      </c>
      <c r="Z30" s="66">
        <v>56959.015602275242</v>
      </c>
      <c r="AA30" s="66">
        <v>48576.161343052663</v>
      </c>
    </row>
    <row r="31" spans="1:27" x14ac:dyDescent="0.25">
      <c r="A31" s="64" t="s">
        <v>37</v>
      </c>
      <c r="B31" s="65"/>
      <c r="C31" s="65"/>
      <c r="D31" s="66">
        <v>97603.843303176662</v>
      </c>
      <c r="E31" s="66">
        <v>105915.37935347694</v>
      </c>
      <c r="F31" s="66">
        <v>112913.11982587157</v>
      </c>
      <c r="G31" s="66">
        <v>118710.28863258369</v>
      </c>
      <c r="H31" s="66">
        <v>124308.8338701613</v>
      </c>
      <c r="I31" s="66">
        <v>135917.14742886566</v>
      </c>
      <c r="J31" s="66">
        <v>145204.32275647265</v>
      </c>
      <c r="K31" s="66">
        <v>145782.23160938671</v>
      </c>
      <c r="L31" s="66">
        <v>142109.20662317611</v>
      </c>
      <c r="M31" s="66">
        <v>130070.43263553936</v>
      </c>
      <c r="N31" s="66">
        <v>107524.96403415261</v>
      </c>
      <c r="O31" s="66">
        <v>90794.406782369042</v>
      </c>
      <c r="P31" s="66">
        <v>77762.578613638863</v>
      </c>
      <c r="Q31" s="66">
        <v>67279.30097957293</v>
      </c>
      <c r="R31" s="66">
        <v>67197.383007036711</v>
      </c>
      <c r="S31" s="66">
        <v>70908.552360000001</v>
      </c>
      <c r="T31" s="66">
        <v>73920.681443750247</v>
      </c>
      <c r="U31" s="66">
        <v>76112.281644790608</v>
      </c>
      <c r="V31" s="66">
        <v>78786.631849916143</v>
      </c>
      <c r="W31" s="66">
        <v>85244.650644287831</v>
      </c>
      <c r="X31" s="66">
        <v>72417.355200136037</v>
      </c>
      <c r="Y31" s="66">
        <v>72991.175502725309</v>
      </c>
      <c r="Z31" s="66">
        <v>77552.295327053347</v>
      </c>
      <c r="AA31" s="66">
        <v>78819</v>
      </c>
    </row>
    <row r="32" spans="1:27" x14ac:dyDescent="0.25">
      <c r="A32" s="64" t="s">
        <v>58</v>
      </c>
      <c r="B32" s="65"/>
      <c r="C32" s="65"/>
      <c r="D32" s="66">
        <v>164885.95857424664</v>
      </c>
      <c r="E32" s="66">
        <v>165975.90646132198</v>
      </c>
      <c r="F32" s="66">
        <v>163531.94138176905</v>
      </c>
      <c r="G32" s="66">
        <v>161330.895003254</v>
      </c>
      <c r="H32" s="66">
        <v>159796.65790299885</v>
      </c>
      <c r="I32" s="66">
        <v>159465.54114710429</v>
      </c>
      <c r="J32" s="66">
        <v>161843.23992602687</v>
      </c>
      <c r="K32" s="66">
        <v>161499.30413164684</v>
      </c>
      <c r="L32" s="66">
        <v>157470.84163139283</v>
      </c>
      <c r="M32" s="66">
        <v>136422.10750807979</v>
      </c>
      <c r="N32" s="66">
        <v>135392.61485658493</v>
      </c>
      <c r="O32" s="66">
        <v>135190.60772702761</v>
      </c>
      <c r="P32" s="66">
        <v>127201.64686819636</v>
      </c>
      <c r="Q32" s="66">
        <v>128010.34017255786</v>
      </c>
      <c r="R32" s="66">
        <v>131898.06599189469</v>
      </c>
      <c r="S32" s="66">
        <v>134173.17143999998</v>
      </c>
      <c r="T32" s="66">
        <v>136799.47306896414</v>
      </c>
      <c r="U32" s="66">
        <v>143150.28911842612</v>
      </c>
      <c r="V32" s="66">
        <v>142997.31438433635</v>
      </c>
      <c r="W32" s="66">
        <v>144911.51525742709</v>
      </c>
      <c r="X32" s="66">
        <v>133526.4618574816</v>
      </c>
      <c r="Y32" s="66">
        <v>145560.28864252596</v>
      </c>
      <c r="Z32" s="66">
        <v>145098.63037150717</v>
      </c>
      <c r="AA32" s="66">
        <v>145129.55160997587</v>
      </c>
    </row>
    <row r="33" spans="1:27" x14ac:dyDescent="0.25">
      <c r="A33" s="72" t="s">
        <v>158</v>
      </c>
      <c r="B33" s="65"/>
      <c r="C33" s="65"/>
      <c r="D33" s="66">
        <v>10780.658662676009</v>
      </c>
      <c r="E33" s="66">
        <v>10516.276081773054</v>
      </c>
      <c r="F33" s="66">
        <v>9613.1503734003836</v>
      </c>
      <c r="G33" s="66">
        <v>8545.2959722322648</v>
      </c>
      <c r="H33" s="66">
        <v>8349.6646821474678</v>
      </c>
      <c r="I33" s="66">
        <v>7407.1969486668613</v>
      </c>
      <c r="J33" s="66">
        <v>7907.552657192914</v>
      </c>
      <c r="K33" s="66">
        <v>6674.3732628775906</v>
      </c>
      <c r="L33" s="66">
        <v>5630.72179672327</v>
      </c>
      <c r="M33" s="66">
        <v>4324.2930734697484</v>
      </c>
      <c r="N33" s="66">
        <v>5229.6804718400363</v>
      </c>
      <c r="O33" s="66">
        <v>4798.3226518343954</v>
      </c>
      <c r="P33" s="66">
        <v>4602.4647891563245</v>
      </c>
      <c r="Q33" s="66">
        <v>4346.9312285435271</v>
      </c>
      <c r="R33" s="66">
        <v>4835.6881867854909</v>
      </c>
      <c r="S33" s="66">
        <v>5179.3905599999998</v>
      </c>
      <c r="T33" s="66">
        <v>5324.0034720840458</v>
      </c>
      <c r="U33" s="66">
        <v>6074.0048839567926</v>
      </c>
      <c r="V33" s="66">
        <v>6011.3176898474985</v>
      </c>
      <c r="W33" s="66">
        <v>4833.3880993989205</v>
      </c>
      <c r="X33" s="66">
        <v>4315.4832078448417</v>
      </c>
      <c r="Y33" s="66">
        <v>7123.8336032426123</v>
      </c>
      <c r="Z33" s="66">
        <v>6252.7964383996614</v>
      </c>
      <c r="AA33" s="66">
        <v>5881.3316795383589</v>
      </c>
    </row>
    <row r="34" spans="1:27" x14ac:dyDescent="0.25">
      <c r="A34" s="73" t="s">
        <v>5</v>
      </c>
      <c r="B34" s="65"/>
      <c r="C34" s="65"/>
      <c r="D34" s="66">
        <v>7829.1982687198015</v>
      </c>
      <c r="E34" s="66">
        <v>7637.1966749905296</v>
      </c>
      <c r="F34" s="66">
        <v>6981.32299846764</v>
      </c>
      <c r="G34" s="66">
        <v>6205.8190065070048</v>
      </c>
      <c r="H34" s="66">
        <v>6063.7464109853563</v>
      </c>
      <c r="I34" s="66">
        <v>5379.3015196136575</v>
      </c>
      <c r="J34" s="66">
        <v>5742.6730138340163</v>
      </c>
      <c r="K34" s="66">
        <v>4847.1056574144486</v>
      </c>
      <c r="L34" s="66">
        <v>4089.1784743332191</v>
      </c>
      <c r="M34" s="66">
        <v>2644.495982133878</v>
      </c>
      <c r="N34" s="66">
        <v>3296.5912165706627</v>
      </c>
      <c r="O34" s="66">
        <v>3066.9759348538396</v>
      </c>
      <c r="P34" s="66">
        <v>2832.3587893552112</v>
      </c>
      <c r="Q34" s="66">
        <v>2759.7304678880514</v>
      </c>
      <c r="R34" s="66">
        <v>2965.3936523569623</v>
      </c>
      <c r="S34" s="66">
        <v>3181.9618963877938</v>
      </c>
      <c r="T34" s="66">
        <v>3232.7691832008663</v>
      </c>
      <c r="U34" s="66">
        <v>3653.3100803690004</v>
      </c>
      <c r="V34" s="66">
        <v>3865.2798782168325</v>
      </c>
      <c r="W34" s="66">
        <v>3035.1538130576942</v>
      </c>
      <c r="X34" s="66">
        <v>2538.9238679200162</v>
      </c>
      <c r="Y34" s="66">
        <v>4931.7511882866538</v>
      </c>
      <c r="Z34" s="66">
        <v>4699.7565360408535</v>
      </c>
      <c r="AA34" s="66">
        <v>4271.079883171682</v>
      </c>
    </row>
    <row r="35" spans="1:27" x14ac:dyDescent="0.25">
      <c r="A35" s="74" t="s">
        <v>264</v>
      </c>
      <c r="B35" s="44"/>
      <c r="C35" s="44"/>
      <c r="D35" s="45">
        <v>2299.6586103608956</v>
      </c>
      <c r="E35" s="45">
        <v>2165.9576470478341</v>
      </c>
      <c r="F35" s="45">
        <v>1983.0713579978299</v>
      </c>
      <c r="G35" s="45">
        <v>1599.7309082220449</v>
      </c>
      <c r="H35" s="45">
        <v>1620.9796768514207</v>
      </c>
      <c r="I35" s="45">
        <v>1473.7265640512944</v>
      </c>
      <c r="J35" s="45">
        <v>1267.3938683551635</v>
      </c>
      <c r="K35" s="45">
        <v>1205.5346139989886</v>
      </c>
      <c r="L35" s="45">
        <v>1009.5992476259869</v>
      </c>
      <c r="M35" s="45">
        <v>646.07085305216719</v>
      </c>
      <c r="N35" s="45">
        <v>875.87234639263363</v>
      </c>
      <c r="O35" s="45">
        <v>858.60262114128136</v>
      </c>
      <c r="P35" s="45">
        <v>801.60311599846546</v>
      </c>
      <c r="Q35" s="45">
        <v>914.80815684499987</v>
      </c>
      <c r="R35" s="45">
        <v>980.93036373967504</v>
      </c>
      <c r="S35" s="45">
        <v>1124.9872203081579</v>
      </c>
      <c r="T35" s="45">
        <v>1199.9672886052151</v>
      </c>
      <c r="U35" s="45">
        <v>1353.7973675831561</v>
      </c>
      <c r="V35" s="45">
        <v>1467.5753999519893</v>
      </c>
      <c r="W35" s="45">
        <v>1057.1827883348194</v>
      </c>
      <c r="X35" s="45">
        <v>783.05701921188927</v>
      </c>
      <c r="Y35" s="45">
        <v>1508.3593133124259</v>
      </c>
      <c r="Z35" s="45">
        <v>1657.0055232495163</v>
      </c>
      <c r="AA35" s="45">
        <v>1331.4312034420091</v>
      </c>
    </row>
    <row r="36" spans="1:27" x14ac:dyDescent="0.25">
      <c r="A36" s="74" t="s">
        <v>15</v>
      </c>
      <c r="B36" s="44"/>
      <c r="C36" s="44"/>
      <c r="D36" s="45">
        <v>5529.5396583589063</v>
      </c>
      <c r="E36" s="45">
        <v>5471.2390279426954</v>
      </c>
      <c r="F36" s="45">
        <v>4998.2516404698099</v>
      </c>
      <c r="G36" s="45">
        <v>4606.0880982849594</v>
      </c>
      <c r="H36" s="45">
        <v>4442.7667341339356</v>
      </c>
      <c r="I36" s="45">
        <v>3905.5749555623634</v>
      </c>
      <c r="J36" s="45">
        <v>4475.279145478853</v>
      </c>
      <c r="K36" s="45">
        <v>3641.5710434154598</v>
      </c>
      <c r="L36" s="45">
        <v>3079.579226707232</v>
      </c>
      <c r="M36" s="45">
        <v>1998.4251290817108</v>
      </c>
      <c r="N36" s="45">
        <v>2420.7188701780292</v>
      </c>
      <c r="O36" s="45">
        <v>2208.3733137125582</v>
      </c>
      <c r="P36" s="45">
        <v>2030.7556733567458</v>
      </c>
      <c r="Q36" s="45">
        <v>1844.9223110430516</v>
      </c>
      <c r="R36" s="45">
        <v>1984.4632886172872</v>
      </c>
      <c r="S36" s="45">
        <v>2056.9746760796361</v>
      </c>
      <c r="T36" s="45">
        <v>2032.8018945956512</v>
      </c>
      <c r="U36" s="45">
        <v>2299.5127127858441</v>
      </c>
      <c r="V36" s="45">
        <v>2397.7044782648431</v>
      </c>
      <c r="W36" s="45">
        <v>1977.9710247228747</v>
      </c>
      <c r="X36" s="45">
        <v>1755.8668487081268</v>
      </c>
      <c r="Y36" s="45">
        <v>3423.3918749742279</v>
      </c>
      <c r="Z36" s="45">
        <v>3042.7510127913374</v>
      </c>
      <c r="AA36" s="45">
        <v>2939.6486797296729</v>
      </c>
    </row>
    <row r="37" spans="1:27" x14ac:dyDescent="0.25">
      <c r="A37" s="73" t="s">
        <v>263</v>
      </c>
      <c r="B37" s="65"/>
      <c r="C37" s="65"/>
      <c r="D37" s="66">
        <v>2951.4603939562066</v>
      </c>
      <c r="E37" s="66">
        <v>2879.0794067825245</v>
      </c>
      <c r="F37" s="66">
        <v>2631.8273749327436</v>
      </c>
      <c r="G37" s="66">
        <v>2339.4769657252609</v>
      </c>
      <c r="H37" s="66">
        <v>2285.9182711621115</v>
      </c>
      <c r="I37" s="66">
        <v>2027.8954290532038</v>
      </c>
      <c r="J37" s="66">
        <v>2164.8796433588977</v>
      </c>
      <c r="K37" s="66">
        <v>1827.267605463142</v>
      </c>
      <c r="L37" s="66">
        <v>1541.5433223900518</v>
      </c>
      <c r="M37" s="66">
        <v>1679.7970913358704</v>
      </c>
      <c r="N37" s="66">
        <v>1933.0892552693736</v>
      </c>
      <c r="O37" s="66">
        <v>1731.3467169805558</v>
      </c>
      <c r="P37" s="66">
        <v>1770.1059998011133</v>
      </c>
      <c r="Q37" s="66">
        <v>1587.2007606554757</v>
      </c>
      <c r="R37" s="66">
        <v>1870.2945344285286</v>
      </c>
      <c r="S37" s="66">
        <v>1997.428663612206</v>
      </c>
      <c r="T37" s="66">
        <v>2091.234288883179</v>
      </c>
      <c r="U37" s="66">
        <v>2420.6948035877926</v>
      </c>
      <c r="V37" s="66">
        <v>2146.0378116306661</v>
      </c>
      <c r="W37" s="66">
        <v>1798.2342863412264</v>
      </c>
      <c r="X37" s="66">
        <v>1776.5593399248255</v>
      </c>
      <c r="Y37" s="66">
        <v>2192.0824149559585</v>
      </c>
      <c r="Z37" s="66">
        <v>1553.0399023588079</v>
      </c>
      <c r="AA37" s="66">
        <v>1610.2517963666769</v>
      </c>
    </row>
    <row r="38" spans="1:27" x14ac:dyDescent="0.25">
      <c r="A38" s="74" t="s">
        <v>14</v>
      </c>
      <c r="B38" s="44"/>
      <c r="C38" s="44"/>
      <c r="D38" s="45">
        <v>581.86963223352757</v>
      </c>
      <c r="E38" s="45">
        <v>567.59998508742569</v>
      </c>
      <c r="F38" s="45">
        <v>518.85515045029888</v>
      </c>
      <c r="G38" s="45">
        <v>461.21933550349553</v>
      </c>
      <c r="H38" s="45">
        <v>450.66043457018685</v>
      </c>
      <c r="I38" s="45">
        <v>399.79217404627911</v>
      </c>
      <c r="J38" s="45">
        <v>426.7981113656723</v>
      </c>
      <c r="K38" s="45">
        <v>360.23913170587952</v>
      </c>
      <c r="L38" s="45">
        <v>303.90963331505878</v>
      </c>
      <c r="M38" s="45">
        <v>233.76912323964615</v>
      </c>
      <c r="N38" s="45">
        <v>291.93329550894589</v>
      </c>
      <c r="O38" s="45">
        <v>266.14976162931566</v>
      </c>
      <c r="P38" s="45">
        <v>237.69903478860462</v>
      </c>
      <c r="Q38" s="45">
        <v>231.56744259604426</v>
      </c>
      <c r="R38" s="45">
        <v>279.34025948672166</v>
      </c>
      <c r="S38" s="45">
        <v>305.95423628217196</v>
      </c>
      <c r="T38" s="45">
        <v>336.36980993652224</v>
      </c>
      <c r="U38" s="45">
        <v>415.04293507165767</v>
      </c>
      <c r="V38" s="45">
        <v>328.07312741068841</v>
      </c>
      <c r="W38" s="45">
        <v>302.47774333369057</v>
      </c>
      <c r="X38" s="45">
        <v>296.05069421717462</v>
      </c>
      <c r="Y38" s="45">
        <v>426.57768968359943</v>
      </c>
      <c r="Z38" s="45">
        <v>262.4725966898406</v>
      </c>
      <c r="AA38" s="45">
        <v>208.6451715923225</v>
      </c>
    </row>
    <row r="39" spans="1:27" x14ac:dyDescent="0.25">
      <c r="A39" s="74" t="s">
        <v>19</v>
      </c>
      <c r="B39" s="44"/>
      <c r="C39" s="44"/>
      <c r="D39" s="45">
        <v>1357.6958085448975</v>
      </c>
      <c r="E39" s="45">
        <v>1324.3999652039931</v>
      </c>
      <c r="F39" s="45">
        <v>1210.6620177173638</v>
      </c>
      <c r="G39" s="45">
        <v>1076.1784495081561</v>
      </c>
      <c r="H39" s="45">
        <v>1051.5410139971027</v>
      </c>
      <c r="I39" s="45">
        <v>932.84840610798472</v>
      </c>
      <c r="J39" s="45">
        <v>995.8622598532354</v>
      </c>
      <c r="K39" s="45">
        <v>840.55797398038567</v>
      </c>
      <c r="L39" s="45">
        <v>709.12247773513718</v>
      </c>
      <c r="M39" s="45">
        <v>545.46128755917448</v>
      </c>
      <c r="N39" s="45">
        <v>681.17768952087374</v>
      </c>
      <c r="O39" s="45">
        <v>621.01611046840321</v>
      </c>
      <c r="P39" s="45">
        <v>554.63108117341085</v>
      </c>
      <c r="Q39" s="45">
        <v>540.32403272410329</v>
      </c>
      <c r="R39" s="45">
        <v>651.79393880235057</v>
      </c>
      <c r="S39" s="45">
        <v>713.89321799173467</v>
      </c>
      <c r="T39" s="45">
        <v>784.86288985188526</v>
      </c>
      <c r="U39" s="45">
        <v>968.43351516720145</v>
      </c>
      <c r="V39" s="45">
        <v>765.50396395827295</v>
      </c>
      <c r="W39" s="45">
        <v>705.78140111194466</v>
      </c>
      <c r="X39" s="45">
        <v>690.78495317340742</v>
      </c>
      <c r="Y39" s="45">
        <v>995.34794259506543</v>
      </c>
      <c r="Z39" s="45">
        <v>612.43605894296138</v>
      </c>
      <c r="AA39" s="45">
        <v>486.8387337154191</v>
      </c>
    </row>
    <row r="40" spans="1:27" x14ac:dyDescent="0.25">
      <c r="A40" s="75" t="s">
        <v>267</v>
      </c>
      <c r="B40" s="76"/>
      <c r="C40" s="76"/>
      <c r="D40" s="45">
        <v>877.01841236140308</v>
      </c>
      <c r="E40" s="45">
        <v>888.61990781427016</v>
      </c>
      <c r="F40" s="45">
        <v>792.5716135567942</v>
      </c>
      <c r="G40" s="45">
        <v>709.7747775821008</v>
      </c>
      <c r="H40" s="45">
        <v>699.12634466170186</v>
      </c>
      <c r="I40" s="45">
        <v>621.90787122808456</v>
      </c>
      <c r="J40" s="45">
        <v>634.16329994647879</v>
      </c>
      <c r="K40" s="45">
        <v>568.0181358324013</v>
      </c>
      <c r="L40" s="45">
        <v>480.83127721756483</v>
      </c>
      <c r="M40" s="45">
        <v>368.6446550200518</v>
      </c>
      <c r="N40" s="45">
        <v>420.82102144937124</v>
      </c>
      <c r="O40" s="45">
        <v>377.71079229378978</v>
      </c>
      <c r="P40" s="45">
        <v>277.02507907782376</v>
      </c>
      <c r="Q40" s="45">
        <v>244.34568162181006</v>
      </c>
      <c r="R40" s="45">
        <v>213.51360444424625</v>
      </c>
      <c r="S40" s="45">
        <v>255.12461165786365</v>
      </c>
      <c r="T40" s="45">
        <v>279.41733581667648</v>
      </c>
      <c r="U40" s="45">
        <v>588.14980108831776</v>
      </c>
      <c r="V40" s="45">
        <v>475.05239748658528</v>
      </c>
      <c r="W40" s="45">
        <v>302.01873517365811</v>
      </c>
      <c r="X40" s="45">
        <v>343.46126066214526</v>
      </c>
      <c r="Y40" s="45">
        <v>397.36627975123855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480.67739618349447</v>
      </c>
      <c r="E41" s="45">
        <v>435.78005738972297</v>
      </c>
      <c r="F41" s="45">
        <v>418.09040416056962</v>
      </c>
      <c r="G41" s="45">
        <v>366.40367192605527</v>
      </c>
      <c r="H41" s="45">
        <v>352.41466933540084</v>
      </c>
      <c r="I41" s="45">
        <v>310.94053487990016</v>
      </c>
      <c r="J41" s="45">
        <v>361.69895990675661</v>
      </c>
      <c r="K41" s="45">
        <v>272.53983814798437</v>
      </c>
      <c r="L41" s="45">
        <v>228.29120051757235</v>
      </c>
      <c r="M41" s="45">
        <v>176.81663253912268</v>
      </c>
      <c r="N41" s="45">
        <v>260.3566680715025</v>
      </c>
      <c r="O41" s="45">
        <v>243.30531817461343</v>
      </c>
      <c r="P41" s="45">
        <v>277.60600209558709</v>
      </c>
      <c r="Q41" s="45">
        <v>295.97835110229323</v>
      </c>
      <c r="R41" s="45">
        <v>438.28033435810431</v>
      </c>
      <c r="S41" s="45">
        <v>458.76860633387105</v>
      </c>
      <c r="T41" s="45">
        <v>505.44555403520877</v>
      </c>
      <c r="U41" s="45">
        <v>380.28371407888369</v>
      </c>
      <c r="V41" s="45">
        <v>290.45156647168767</v>
      </c>
      <c r="W41" s="45">
        <v>403.76266593828655</v>
      </c>
      <c r="X41" s="45">
        <v>347.32369251126215</v>
      </c>
      <c r="Y41" s="45">
        <v>597.98166284382683</v>
      </c>
      <c r="Z41" s="45">
        <v>612.43605894296138</v>
      </c>
      <c r="AA41" s="45">
        <v>486.8387337154191</v>
      </c>
    </row>
    <row r="42" spans="1:27" x14ac:dyDescent="0.25">
      <c r="A42" s="74" t="s">
        <v>13</v>
      </c>
      <c r="B42" s="44"/>
      <c r="C42" s="44"/>
      <c r="D42" s="45">
        <v>1011.8949531777814</v>
      </c>
      <c r="E42" s="45">
        <v>987.07945649110547</v>
      </c>
      <c r="F42" s="45">
        <v>902.31020676508092</v>
      </c>
      <c r="G42" s="45">
        <v>802.07918071360928</v>
      </c>
      <c r="H42" s="45">
        <v>783.71682259482191</v>
      </c>
      <c r="I42" s="45">
        <v>695.25484889894005</v>
      </c>
      <c r="J42" s="45">
        <v>742.21927213998993</v>
      </c>
      <c r="K42" s="45">
        <v>626.47049977687686</v>
      </c>
      <c r="L42" s="45">
        <v>528.51121133985589</v>
      </c>
      <c r="M42" s="45">
        <v>900.56668053704971</v>
      </c>
      <c r="N42" s="45">
        <v>959.97827023955392</v>
      </c>
      <c r="O42" s="45">
        <v>844.18084488283694</v>
      </c>
      <c r="P42" s="45">
        <v>977.77588383909767</v>
      </c>
      <c r="Q42" s="45">
        <v>815.30928533532824</v>
      </c>
      <c r="R42" s="45">
        <v>939.16033613945638</v>
      </c>
      <c r="S42" s="45">
        <v>977.58120933829946</v>
      </c>
      <c r="T42" s="45">
        <v>970.00158909477159</v>
      </c>
      <c r="U42" s="45">
        <v>1037.2183533489335</v>
      </c>
      <c r="V42" s="45">
        <v>1052.4607202617046</v>
      </c>
      <c r="W42" s="45">
        <v>789.97514189559115</v>
      </c>
      <c r="X42" s="45">
        <v>789.72369253424347</v>
      </c>
      <c r="Y42" s="45">
        <v>770.15678267729368</v>
      </c>
      <c r="Z42" s="45">
        <v>678.13124672600588</v>
      </c>
      <c r="AA42" s="45">
        <v>914.76789105893522</v>
      </c>
    </row>
    <row r="43" spans="1:27" x14ac:dyDescent="0.25">
      <c r="A43" s="72" t="s">
        <v>265</v>
      </c>
      <c r="B43" s="65"/>
      <c r="C43" s="65"/>
      <c r="D43" s="66">
        <v>16738.261832528402</v>
      </c>
      <c r="E43" s="66">
        <v>17476.429582144396</v>
      </c>
      <c r="F43" s="66">
        <v>17341.605434007579</v>
      </c>
      <c r="G43" s="66">
        <v>16989.069419336178</v>
      </c>
      <c r="H43" s="66">
        <v>17407.378690449892</v>
      </c>
      <c r="I43" s="66">
        <v>17719.890136336166</v>
      </c>
      <c r="J43" s="66">
        <v>18229.277496593342</v>
      </c>
      <c r="K43" s="66">
        <v>18403.345032037949</v>
      </c>
      <c r="L43" s="66">
        <v>18609.667377122652</v>
      </c>
      <c r="M43" s="66">
        <v>17017.003497156104</v>
      </c>
      <c r="N43" s="66">
        <v>16763.271975531268</v>
      </c>
      <c r="O43" s="66">
        <v>16775.503185476624</v>
      </c>
      <c r="P43" s="66">
        <v>16015.659870975509</v>
      </c>
      <c r="Q43" s="66">
        <v>16662.024856789056</v>
      </c>
      <c r="R43" s="66">
        <v>18078.63155029538</v>
      </c>
      <c r="S43" s="66">
        <v>18426.307679999998</v>
      </c>
      <c r="T43" s="66">
        <v>19303.85248119702</v>
      </c>
      <c r="U43" s="66">
        <v>19916.479533660902</v>
      </c>
      <c r="V43" s="66">
        <v>18531.473799680178</v>
      </c>
      <c r="W43" s="66">
        <v>19549.627839763409</v>
      </c>
      <c r="X43" s="66">
        <v>19811.887740545855</v>
      </c>
      <c r="Y43" s="66">
        <v>22659.960318708872</v>
      </c>
      <c r="Z43" s="66">
        <v>19301.833853725657</v>
      </c>
      <c r="AA43" s="66">
        <v>17500.110779504124</v>
      </c>
    </row>
    <row r="44" spans="1:27" x14ac:dyDescent="0.25">
      <c r="A44" s="73" t="s">
        <v>266</v>
      </c>
      <c r="B44" s="65"/>
      <c r="C44" s="65"/>
      <c r="D44" s="66">
        <v>10988.577212434529</v>
      </c>
      <c r="E44" s="66">
        <v>11317.501231286402</v>
      </c>
      <c r="F44" s="66">
        <v>11037.209291852741</v>
      </c>
      <c r="G44" s="66">
        <v>10488.72716754646</v>
      </c>
      <c r="H44" s="66">
        <v>10630.535041105129</v>
      </c>
      <c r="I44" s="66">
        <v>10575.359746132666</v>
      </c>
      <c r="J44" s="66">
        <v>10609.343196418144</v>
      </c>
      <c r="K44" s="66">
        <v>10405.863641091788</v>
      </c>
      <c r="L44" s="66">
        <v>10260.666092326079</v>
      </c>
      <c r="M44" s="66">
        <v>9159.2735738774227</v>
      </c>
      <c r="N44" s="66">
        <v>10223.174090641905</v>
      </c>
      <c r="O44" s="66">
        <v>10741.849783307704</v>
      </c>
      <c r="P44" s="66">
        <v>9657.6904114536828</v>
      </c>
      <c r="Q44" s="66">
        <v>9125.163325916903</v>
      </c>
      <c r="R44" s="66">
        <v>9543.993719378188</v>
      </c>
      <c r="S44" s="66">
        <v>9959.2556399999994</v>
      </c>
      <c r="T44" s="66">
        <v>10649.20415655219</v>
      </c>
      <c r="U44" s="66">
        <v>11195.317624585208</v>
      </c>
      <c r="V44" s="66">
        <v>10668.53414719763</v>
      </c>
      <c r="W44" s="66">
        <v>11271.742985808385</v>
      </c>
      <c r="X44" s="66">
        <v>10846.687377778619</v>
      </c>
      <c r="Y44" s="66">
        <v>12632.916741470093</v>
      </c>
      <c r="Z44" s="66">
        <v>11319.992194115157</v>
      </c>
      <c r="AA44" s="66">
        <v>10663.823965451538</v>
      </c>
    </row>
    <row r="45" spans="1:27" x14ac:dyDescent="0.25">
      <c r="A45" s="74" t="s">
        <v>20</v>
      </c>
      <c r="B45" s="44"/>
      <c r="C45" s="44"/>
      <c r="D45" s="45">
        <v>3946.6561201734812</v>
      </c>
      <c r="E45" s="45">
        <v>4005.2887451284028</v>
      </c>
      <c r="F45" s="45">
        <v>3955.3798247260861</v>
      </c>
      <c r="G45" s="45">
        <v>3855.8483906428851</v>
      </c>
      <c r="H45" s="45">
        <v>3881.8264663693099</v>
      </c>
      <c r="I45" s="45">
        <v>3871.739506635161</v>
      </c>
      <c r="J45" s="45">
        <v>3917.1266149417306</v>
      </c>
      <c r="K45" s="45">
        <v>3879.3809224292772</v>
      </c>
      <c r="L45" s="45">
        <v>3852.220498245696</v>
      </c>
      <c r="M45" s="45">
        <v>2701.3834631582977</v>
      </c>
      <c r="N45" s="45">
        <v>3658.2702779864176</v>
      </c>
      <c r="O45" s="45">
        <v>4414.5785169351984</v>
      </c>
      <c r="P45" s="45">
        <v>3414.4510501246614</v>
      </c>
      <c r="Q45" s="45">
        <v>2794.3926672567322</v>
      </c>
      <c r="R45" s="45">
        <v>3439.0628128840003</v>
      </c>
      <c r="S45" s="45">
        <v>3954.1122091602456</v>
      </c>
      <c r="T45" s="45">
        <v>4374.6271372628717</v>
      </c>
      <c r="U45" s="45">
        <v>4825.7709768485911</v>
      </c>
      <c r="V45" s="45">
        <v>4291.5528974852186</v>
      </c>
      <c r="W45" s="45">
        <v>4401.2350841434127</v>
      </c>
      <c r="X45" s="45">
        <v>4052.7900376051502</v>
      </c>
      <c r="Y45" s="45">
        <v>5633.9490814932251</v>
      </c>
      <c r="Z45" s="45">
        <v>4746.0796916652826</v>
      </c>
      <c r="AA45" s="45">
        <v>3940.4076428321287</v>
      </c>
    </row>
    <row r="46" spans="1:27" x14ac:dyDescent="0.25">
      <c r="A46" s="74" t="s">
        <v>12</v>
      </c>
      <c r="B46" s="44"/>
      <c r="C46" s="44"/>
      <c r="D46" s="45">
        <v>7041.9210922610482</v>
      </c>
      <c r="E46" s="45">
        <v>7312.2124861579996</v>
      </c>
      <c r="F46" s="45">
        <v>7081.8294671266558</v>
      </c>
      <c r="G46" s="45">
        <v>6632.8787769035753</v>
      </c>
      <c r="H46" s="45">
        <v>6748.7085747358196</v>
      </c>
      <c r="I46" s="45">
        <v>6703.6202394975053</v>
      </c>
      <c r="J46" s="45">
        <v>6692.216581476413</v>
      </c>
      <c r="K46" s="45">
        <v>6526.4827186625107</v>
      </c>
      <c r="L46" s="45">
        <v>6408.4455940803828</v>
      </c>
      <c r="M46" s="45">
        <v>6457.890110719125</v>
      </c>
      <c r="N46" s="45">
        <v>6564.9038126554879</v>
      </c>
      <c r="O46" s="45">
        <v>6327.2712663725051</v>
      </c>
      <c r="P46" s="45">
        <v>6243.2393613290214</v>
      </c>
      <c r="Q46" s="45">
        <v>6330.7706586601707</v>
      </c>
      <c r="R46" s="45">
        <v>6104.9309064941881</v>
      </c>
      <c r="S46" s="45">
        <v>6005.1434308397538</v>
      </c>
      <c r="T46" s="45">
        <v>6274.5770192893187</v>
      </c>
      <c r="U46" s="45">
        <v>6369.5466477366172</v>
      </c>
      <c r="V46" s="45">
        <v>6376.9812497124112</v>
      </c>
      <c r="W46" s="45">
        <v>6870.5079016649725</v>
      </c>
      <c r="X46" s="45">
        <v>6793.8973401734684</v>
      </c>
      <c r="Y46" s="45">
        <v>6998.9676599768682</v>
      </c>
      <c r="Z46" s="45">
        <v>6573.9125024498744</v>
      </c>
      <c r="AA46" s="45">
        <v>6723.4163226194096</v>
      </c>
    </row>
    <row r="47" spans="1:27" x14ac:dyDescent="0.25">
      <c r="A47" s="73" t="s">
        <v>11</v>
      </c>
      <c r="B47" s="65"/>
      <c r="C47" s="65"/>
      <c r="D47" s="66">
        <v>5749.6846200938717</v>
      </c>
      <c r="E47" s="66">
        <v>6158.928350857992</v>
      </c>
      <c r="F47" s="66">
        <v>6304.3961421548393</v>
      </c>
      <c r="G47" s="66">
        <v>6500.3422517897161</v>
      </c>
      <c r="H47" s="66">
        <v>6776.8436493447607</v>
      </c>
      <c r="I47" s="66">
        <v>7144.5303902034975</v>
      </c>
      <c r="J47" s="66">
        <v>7619.9343001751995</v>
      </c>
      <c r="K47" s="66">
        <v>7997.48139094616</v>
      </c>
      <c r="L47" s="66">
        <v>8349.0012847965736</v>
      </c>
      <c r="M47" s="66">
        <v>7857.7299232786818</v>
      </c>
      <c r="N47" s="66">
        <v>6540.0978848893628</v>
      </c>
      <c r="O47" s="66">
        <v>6033.6534021689204</v>
      </c>
      <c r="P47" s="66">
        <v>6357.969459521827</v>
      </c>
      <c r="Q47" s="66">
        <v>7536.8615308721519</v>
      </c>
      <c r="R47" s="66">
        <v>8534.6378309171923</v>
      </c>
      <c r="S47" s="66">
        <v>8467.0520400000005</v>
      </c>
      <c r="T47" s="66">
        <v>8654.6483246448315</v>
      </c>
      <c r="U47" s="66">
        <v>8721.1619090756922</v>
      </c>
      <c r="V47" s="66">
        <v>7862.939652482547</v>
      </c>
      <c r="W47" s="66">
        <v>8277.8848539550254</v>
      </c>
      <c r="X47" s="66">
        <v>8965.2003627672348</v>
      </c>
      <c r="Y47" s="66">
        <v>10027.043577238781</v>
      </c>
      <c r="Z47" s="66">
        <v>7981.8416596104998</v>
      </c>
      <c r="AA47" s="66">
        <v>6836.2868140525852</v>
      </c>
    </row>
    <row r="48" spans="1:27" x14ac:dyDescent="0.25">
      <c r="A48" s="72" t="s">
        <v>4</v>
      </c>
      <c r="B48" s="65"/>
      <c r="C48" s="65"/>
      <c r="D48" s="66">
        <v>13283.867029453779</v>
      </c>
      <c r="E48" s="66">
        <v>13542.42977758668</v>
      </c>
      <c r="F48" s="66">
        <v>13176.308364919129</v>
      </c>
      <c r="G48" s="66">
        <v>12598.945368428664</v>
      </c>
      <c r="H48" s="66">
        <v>12618.950243607485</v>
      </c>
      <c r="I48" s="66">
        <v>13200.678322774185</v>
      </c>
      <c r="J48" s="66">
        <v>13052.147070274479</v>
      </c>
      <c r="K48" s="66">
        <v>12561.39079013065</v>
      </c>
      <c r="L48" s="66">
        <v>11894.270564214929</v>
      </c>
      <c r="M48" s="66">
        <v>8571.7466035344842</v>
      </c>
      <c r="N48" s="66">
        <v>7579.5598218644454</v>
      </c>
      <c r="O48" s="66">
        <v>6960.1514649198143</v>
      </c>
      <c r="P48" s="66">
        <v>5929.3558708149812</v>
      </c>
      <c r="Q48" s="66">
        <v>5494.2400004027022</v>
      </c>
      <c r="R48" s="66">
        <v>5727.3667661350482</v>
      </c>
      <c r="S48" s="66">
        <v>5964.0008399999997</v>
      </c>
      <c r="T48" s="66">
        <v>6308.1120518126463</v>
      </c>
      <c r="U48" s="66">
        <v>6659.3654794844279</v>
      </c>
      <c r="V48" s="66">
        <v>6782.240141971216</v>
      </c>
      <c r="W48" s="66">
        <v>7605.3933708447757</v>
      </c>
      <c r="X48" s="66">
        <v>7137.1453052818533</v>
      </c>
      <c r="Y48" s="66">
        <v>7427.8521390695987</v>
      </c>
      <c r="Z48" s="66">
        <v>7045.6735287891615</v>
      </c>
      <c r="AA48" s="66">
        <v>6893.0106659980102</v>
      </c>
    </row>
    <row r="49" spans="1:27" x14ac:dyDescent="0.25">
      <c r="A49" s="77" t="s">
        <v>10</v>
      </c>
      <c r="B49" s="44"/>
      <c r="C49" s="44"/>
      <c r="D49" s="45">
        <v>6276.2285441408712</v>
      </c>
      <c r="E49" s="45">
        <v>6167.7993941396571</v>
      </c>
      <c r="F49" s="45">
        <v>6664.6562158249835</v>
      </c>
      <c r="G49" s="45">
        <v>5986.1573624823468</v>
      </c>
      <c r="H49" s="45">
        <v>6269.15041488516</v>
      </c>
      <c r="I49" s="45">
        <v>6115.5646364145241</v>
      </c>
      <c r="J49" s="45">
        <v>7260.5689566607471</v>
      </c>
      <c r="K49" s="45">
        <v>7144.9601905294385</v>
      </c>
      <c r="L49" s="45">
        <v>5824.5192763896357</v>
      </c>
      <c r="M49" s="45">
        <v>4127.2944901427081</v>
      </c>
      <c r="N49" s="45">
        <v>3144.5388577708222</v>
      </c>
      <c r="O49" s="45">
        <v>2618.0449209562034</v>
      </c>
      <c r="P49" s="45">
        <v>1966.8430519582935</v>
      </c>
      <c r="Q49" s="45">
        <v>1499.0946077033655</v>
      </c>
      <c r="R49" s="45">
        <v>1619.2082270451635</v>
      </c>
      <c r="S49" s="45">
        <v>1626.3408354545129</v>
      </c>
      <c r="T49" s="45">
        <v>1658.3743250119312</v>
      </c>
      <c r="U49" s="45">
        <v>1729.0477505281551</v>
      </c>
      <c r="V49" s="45">
        <v>1975.2015892754657</v>
      </c>
      <c r="W49" s="45">
        <v>2335.0745522800416</v>
      </c>
      <c r="X49" s="45">
        <v>2312.1953183801761</v>
      </c>
      <c r="Y49" s="45">
        <v>2773.6274634602651</v>
      </c>
      <c r="Z49" s="45">
        <v>2482.1816379133334</v>
      </c>
      <c r="AA49" s="45">
        <v>2747.2425777154131</v>
      </c>
    </row>
    <row r="50" spans="1:27" x14ac:dyDescent="0.25">
      <c r="A50" s="77" t="s">
        <v>18</v>
      </c>
      <c r="B50" s="44"/>
      <c r="C50" s="44"/>
      <c r="D50" s="45">
        <v>1794.69268440779</v>
      </c>
      <c r="E50" s="45">
        <v>1767.0992151275245</v>
      </c>
      <c r="F50" s="45">
        <v>1928.9439630401421</v>
      </c>
      <c r="G50" s="45">
        <v>1574.2288119154239</v>
      </c>
      <c r="H50" s="45">
        <v>1646.3029905194473</v>
      </c>
      <c r="I50" s="45">
        <v>1491.1873727996885</v>
      </c>
      <c r="J50" s="45">
        <v>1636.057149815615</v>
      </c>
      <c r="K50" s="45">
        <v>1571.8835494522968</v>
      </c>
      <c r="L50" s="45">
        <v>1575.076980536898</v>
      </c>
      <c r="M50" s="45">
        <v>1217.7831330302854</v>
      </c>
      <c r="N50" s="45">
        <v>1224.0369286718817</v>
      </c>
      <c r="O50" s="45">
        <v>1211.8609436114748</v>
      </c>
      <c r="P50" s="45">
        <v>1157.4557837251582</v>
      </c>
      <c r="Q50" s="45">
        <v>1163.7356489283336</v>
      </c>
      <c r="R50" s="45">
        <v>1160.5005242404859</v>
      </c>
      <c r="S50" s="45">
        <v>1199.0425653062528</v>
      </c>
      <c r="T50" s="45">
        <v>1300.8754741863956</v>
      </c>
      <c r="U50" s="45">
        <v>1373.956999295104</v>
      </c>
      <c r="V50" s="45">
        <v>1349.4504764206265</v>
      </c>
      <c r="W50" s="45">
        <v>1489.4565512157733</v>
      </c>
      <c r="X50" s="45">
        <v>1351.9752608392657</v>
      </c>
      <c r="Y50" s="45">
        <v>1252.0013053072082</v>
      </c>
      <c r="Z50" s="45">
        <v>1242.5130670429999</v>
      </c>
      <c r="AA50" s="45">
        <v>1231.1612924160427</v>
      </c>
    </row>
    <row r="51" spans="1:27" x14ac:dyDescent="0.25">
      <c r="A51" s="77" t="s">
        <v>9</v>
      </c>
      <c r="B51" s="44"/>
      <c r="C51" s="44"/>
      <c r="D51" s="45">
        <v>5212.9458009051177</v>
      </c>
      <c r="E51" s="45">
        <v>5607.5311683194977</v>
      </c>
      <c r="F51" s="45">
        <v>4582.7081860540029</v>
      </c>
      <c r="G51" s="45">
        <v>5038.5591940308932</v>
      </c>
      <c r="H51" s="45">
        <v>4703.4968382028783</v>
      </c>
      <c r="I51" s="45">
        <v>5593.9263135599722</v>
      </c>
      <c r="J51" s="45">
        <v>4155.520963798117</v>
      </c>
      <c r="K51" s="45">
        <v>3844.5470501489149</v>
      </c>
      <c r="L51" s="45">
        <v>4494.6743072883946</v>
      </c>
      <c r="M51" s="45">
        <v>3226.6689803614909</v>
      </c>
      <c r="N51" s="45">
        <v>3210.9840354217413</v>
      </c>
      <c r="O51" s="45">
        <v>3130.2456003521365</v>
      </c>
      <c r="P51" s="45">
        <v>2805.0570351315296</v>
      </c>
      <c r="Q51" s="45">
        <v>2831.4097437710034</v>
      </c>
      <c r="R51" s="45">
        <v>2947.6580148493986</v>
      </c>
      <c r="S51" s="45">
        <v>3138.617439239234</v>
      </c>
      <c r="T51" s="45">
        <v>3348.862252614319</v>
      </c>
      <c r="U51" s="45">
        <v>3556.360729661169</v>
      </c>
      <c r="V51" s="45">
        <v>3457.588076275124</v>
      </c>
      <c r="W51" s="45">
        <v>3780.8622673489608</v>
      </c>
      <c r="X51" s="45">
        <v>3472.9747260624117</v>
      </c>
      <c r="Y51" s="45">
        <v>3402.2233703021257</v>
      </c>
      <c r="Z51" s="45">
        <v>3320.9788238328283</v>
      </c>
      <c r="AA51" s="45">
        <v>2914.6067958665544</v>
      </c>
    </row>
    <row r="52" spans="1:27" x14ac:dyDescent="0.25">
      <c r="A52" s="72" t="s">
        <v>3</v>
      </c>
      <c r="B52" s="65"/>
      <c r="C52" s="65"/>
      <c r="D52" s="66">
        <v>10461.413645330251</v>
      </c>
      <c r="E52" s="66">
        <v>10365.752374623775</v>
      </c>
      <c r="F52" s="66">
        <v>10313.137051075168</v>
      </c>
      <c r="G52" s="66">
        <v>9885.3933039265303</v>
      </c>
      <c r="H52" s="66">
        <v>9677.6069954301784</v>
      </c>
      <c r="I52" s="66">
        <v>9891.0796861357994</v>
      </c>
      <c r="J52" s="66">
        <v>9674.9088962429432</v>
      </c>
      <c r="K52" s="66">
        <v>9505.8496921028564</v>
      </c>
      <c r="L52" s="66">
        <v>9003.4019022957018</v>
      </c>
      <c r="M52" s="66">
        <v>7920.3837048243076</v>
      </c>
      <c r="N52" s="66">
        <v>8430.7916272304319</v>
      </c>
      <c r="O52" s="66">
        <v>8170.2468594595666</v>
      </c>
      <c r="P52" s="66">
        <v>7378.1905368662901</v>
      </c>
      <c r="Q52" s="66">
        <v>7026.8119079020225</v>
      </c>
      <c r="R52" s="66">
        <v>6515.9260539952011</v>
      </c>
      <c r="S52" s="66">
        <v>6704.0856899999999</v>
      </c>
      <c r="T52" s="66">
        <v>6746.2917843925334</v>
      </c>
      <c r="U52" s="66">
        <v>6981.6692891676594</v>
      </c>
      <c r="V52" s="66">
        <v>7109.6181695853975</v>
      </c>
      <c r="W52" s="66">
        <v>7198.6631267643497</v>
      </c>
      <c r="X52" s="66">
        <v>6370.908297355767</v>
      </c>
      <c r="Y52" s="66">
        <v>6589.2955182720862</v>
      </c>
      <c r="Z52" s="66">
        <v>6839.7589966130399</v>
      </c>
      <c r="AA52" s="66">
        <v>6933.1555190324943</v>
      </c>
    </row>
    <row r="53" spans="1:27" x14ac:dyDescent="0.25">
      <c r="A53" s="73" t="s">
        <v>21</v>
      </c>
      <c r="B53" s="65"/>
      <c r="C53" s="65"/>
      <c r="D53" s="66">
        <v>4870.5329569417054</v>
      </c>
      <c r="E53" s="66">
        <v>4948.4668725325419</v>
      </c>
      <c r="F53" s="66">
        <v>4817.1126205576611</v>
      </c>
      <c r="G53" s="66">
        <v>4548.2091257502343</v>
      </c>
      <c r="H53" s="66">
        <v>4445.5982395144129</v>
      </c>
      <c r="I53" s="66">
        <v>4318.507622736126</v>
      </c>
      <c r="J53" s="66">
        <v>4262.2177340860426</v>
      </c>
      <c r="K53" s="66">
        <v>4389.9150474328044</v>
      </c>
      <c r="L53" s="66">
        <v>4203.2655047059407</v>
      </c>
      <c r="M53" s="66">
        <v>3789.9627100995117</v>
      </c>
      <c r="N53" s="66">
        <v>4250.164436651291</v>
      </c>
      <c r="O53" s="66">
        <v>4382.5401230253037</v>
      </c>
      <c r="P53" s="66">
        <v>4196.7910826619582</v>
      </c>
      <c r="Q53" s="66">
        <v>4116.7425625950127</v>
      </c>
      <c r="R53" s="66">
        <v>3643.1439099139061</v>
      </c>
      <c r="S53" s="66">
        <v>4045.79718</v>
      </c>
      <c r="T53" s="66">
        <v>4098.0579907676383</v>
      </c>
      <c r="U53" s="66">
        <v>4361.7658950146224</v>
      </c>
      <c r="V53" s="66">
        <v>4494.1141425172591</v>
      </c>
      <c r="W53" s="66">
        <v>4572.2487949609203</v>
      </c>
      <c r="X53" s="66">
        <v>4202.9350419921966</v>
      </c>
      <c r="Y53" s="66">
        <v>4232.8734603603516</v>
      </c>
      <c r="Z53" s="66">
        <v>4388.9514976714645</v>
      </c>
      <c r="AA53" s="66">
        <v>4446.4397675095461</v>
      </c>
    </row>
    <row r="54" spans="1:27" x14ac:dyDescent="0.25">
      <c r="A54" s="74" t="s">
        <v>8</v>
      </c>
      <c r="B54" s="44"/>
      <c r="C54" s="44"/>
      <c r="D54" s="45">
        <v>330.22684420665229</v>
      </c>
      <c r="E54" s="45">
        <v>306.41517318142024</v>
      </c>
      <c r="F54" s="45">
        <v>285.2716986243496</v>
      </c>
      <c r="G54" s="45">
        <v>292.49726601131323</v>
      </c>
      <c r="H54" s="45">
        <v>296.23467340626769</v>
      </c>
      <c r="I54" s="45">
        <v>285.34182920392897</v>
      </c>
      <c r="J54" s="45">
        <v>237.16842015643769</v>
      </c>
      <c r="K54" s="45">
        <v>251.13472862280878</v>
      </c>
      <c r="L54" s="45">
        <v>243.05236607237353</v>
      </c>
      <c r="M54" s="45">
        <v>181.81410705657044</v>
      </c>
      <c r="N54" s="45">
        <v>273.97971256029444</v>
      </c>
      <c r="O54" s="45">
        <v>328.72285118704042</v>
      </c>
      <c r="P54" s="45">
        <v>349.1666924705778</v>
      </c>
      <c r="Q54" s="45">
        <v>332.63251948424698</v>
      </c>
      <c r="R54" s="45">
        <v>272.67099007152399</v>
      </c>
      <c r="S54" s="45">
        <v>350.49195573786886</v>
      </c>
      <c r="T54" s="45">
        <v>251.72436971677831</v>
      </c>
      <c r="U54" s="45">
        <v>353.42060345050385</v>
      </c>
      <c r="V54" s="45">
        <v>439.72783419346348</v>
      </c>
      <c r="W54" s="45">
        <v>213.58780590913346</v>
      </c>
      <c r="X54" s="45">
        <v>120.87558939461739</v>
      </c>
      <c r="Y54" s="45">
        <v>197.2118869031097</v>
      </c>
      <c r="Z54" s="45">
        <v>269.62287549010426</v>
      </c>
      <c r="AA54" s="45">
        <v>138.62544378971026</v>
      </c>
    </row>
    <row r="55" spans="1:27" x14ac:dyDescent="0.25">
      <c r="A55" s="74" t="s">
        <v>17</v>
      </c>
      <c r="B55" s="44"/>
      <c r="C55" s="44"/>
      <c r="D55" s="45">
        <v>4540.3061127350529</v>
      </c>
      <c r="E55" s="45">
        <v>4642.0516993511219</v>
      </c>
      <c r="F55" s="45">
        <v>4531.8409219333116</v>
      </c>
      <c r="G55" s="45">
        <v>4255.7118597389208</v>
      </c>
      <c r="H55" s="45">
        <v>4149.3635661081453</v>
      </c>
      <c r="I55" s="45">
        <v>4033.1657935321969</v>
      </c>
      <c r="J55" s="45">
        <v>4025.049313929605</v>
      </c>
      <c r="K55" s="45">
        <v>4138.7803188099952</v>
      </c>
      <c r="L55" s="45">
        <v>3960.2131386335673</v>
      </c>
      <c r="M55" s="45">
        <v>3608.1486030429414</v>
      </c>
      <c r="N55" s="45">
        <v>3976.1847240909965</v>
      </c>
      <c r="O55" s="45">
        <v>4053.8172718382634</v>
      </c>
      <c r="P55" s="45">
        <v>3847.6243901913804</v>
      </c>
      <c r="Q55" s="45">
        <v>3784.1100431107657</v>
      </c>
      <c r="R55" s="45">
        <v>3370.472919842382</v>
      </c>
      <c r="S55" s="45">
        <v>3695.3052242621311</v>
      </c>
      <c r="T55" s="45">
        <v>3846.3336210508601</v>
      </c>
      <c r="U55" s="45">
        <v>4008.3452915641187</v>
      </c>
      <c r="V55" s="45">
        <v>4054.3863083237957</v>
      </c>
      <c r="W55" s="45">
        <v>4358.6609890517866</v>
      </c>
      <c r="X55" s="45">
        <v>4082.0594525975794</v>
      </c>
      <c r="Y55" s="45">
        <v>4035.661573457242</v>
      </c>
      <c r="Z55" s="45">
        <v>4119.3286221813605</v>
      </c>
      <c r="AA55" s="45">
        <v>4307.8143237198356</v>
      </c>
    </row>
    <row r="56" spans="1:27" x14ac:dyDescent="0.25">
      <c r="A56" s="73" t="s">
        <v>16</v>
      </c>
      <c r="B56" s="65"/>
      <c r="C56" s="65"/>
      <c r="D56" s="66">
        <v>5590.8806883885454</v>
      </c>
      <c r="E56" s="66">
        <v>5417.285502091233</v>
      </c>
      <c r="F56" s="66">
        <v>5496.0244305175065</v>
      </c>
      <c r="G56" s="66">
        <v>5337.184178176296</v>
      </c>
      <c r="H56" s="66">
        <v>5232.0087559157664</v>
      </c>
      <c r="I56" s="66">
        <v>5572.5720633996734</v>
      </c>
      <c r="J56" s="66">
        <v>5412.6911621569006</v>
      </c>
      <c r="K56" s="66">
        <v>5115.9346446700511</v>
      </c>
      <c r="L56" s="66">
        <v>4800.1363975897611</v>
      </c>
      <c r="M56" s="66">
        <v>4130.4209947247955</v>
      </c>
      <c r="N56" s="66">
        <v>4180.62719057914</v>
      </c>
      <c r="O56" s="66">
        <v>3787.7067364342633</v>
      </c>
      <c r="P56" s="66">
        <v>3181.399454204332</v>
      </c>
      <c r="Q56" s="66">
        <v>2910.0693453070098</v>
      </c>
      <c r="R56" s="66">
        <v>2872.782144081295</v>
      </c>
      <c r="S56" s="66">
        <v>2658.2885099999999</v>
      </c>
      <c r="T56" s="66">
        <v>2648.2337936248955</v>
      </c>
      <c r="U56" s="66">
        <v>2619.9033941530374</v>
      </c>
      <c r="V56" s="66">
        <v>2615.5040270681384</v>
      </c>
      <c r="W56" s="66">
        <v>2626.4143318034298</v>
      </c>
      <c r="X56" s="66">
        <v>2167.9732553635704</v>
      </c>
      <c r="Y56" s="66">
        <v>2356.4220579117346</v>
      </c>
      <c r="Z56" s="66">
        <v>2450.807498941575</v>
      </c>
      <c r="AA56" s="66">
        <v>2486.7157515229483</v>
      </c>
    </row>
    <row r="57" spans="1:27" x14ac:dyDescent="0.25">
      <c r="A57" s="72" t="s">
        <v>2</v>
      </c>
      <c r="B57" s="65"/>
      <c r="C57" s="65"/>
      <c r="D57" s="66">
        <v>23843.509910890418</v>
      </c>
      <c r="E57" s="66">
        <v>23981.876050502291</v>
      </c>
      <c r="F57" s="66">
        <v>24133.734228993882</v>
      </c>
      <c r="G57" s="66">
        <v>25036.905018439509</v>
      </c>
      <c r="H57" s="66">
        <v>25326.056826242166</v>
      </c>
      <c r="I57" s="66">
        <v>27033.103393852565</v>
      </c>
      <c r="J57" s="66">
        <v>26804.469145415613</v>
      </c>
      <c r="K57" s="66">
        <v>28351.065272114509</v>
      </c>
      <c r="L57" s="66">
        <v>28456.838573776204</v>
      </c>
      <c r="M57" s="66">
        <v>27804.093244398162</v>
      </c>
      <c r="N57" s="66">
        <v>28744.059906548573</v>
      </c>
      <c r="O57" s="66">
        <v>29840.207385512571</v>
      </c>
      <c r="P57" s="66">
        <v>29227.824663141735</v>
      </c>
      <c r="Q57" s="66">
        <v>28740.872222613736</v>
      </c>
      <c r="R57" s="66">
        <v>28743.592626570156</v>
      </c>
      <c r="S57" s="66">
        <v>28923.478649999997</v>
      </c>
      <c r="T57" s="66">
        <v>29153.318765171713</v>
      </c>
      <c r="U57" s="66">
        <v>29625.881800368268</v>
      </c>
      <c r="V57" s="66">
        <v>27881.108652833576</v>
      </c>
      <c r="W57" s="66">
        <v>29271.867253663127</v>
      </c>
      <c r="X57" s="66">
        <v>27198.003230895676</v>
      </c>
      <c r="Y57" s="66">
        <v>27868.365784140435</v>
      </c>
      <c r="Z57" s="66">
        <v>31084.603037679932</v>
      </c>
      <c r="AA57" s="66">
        <v>33188.408555901828</v>
      </c>
    </row>
    <row r="58" spans="1:27" x14ac:dyDescent="0.25">
      <c r="A58" s="72" t="s">
        <v>269</v>
      </c>
      <c r="B58" s="65"/>
      <c r="C58" s="65"/>
      <c r="D58" s="66">
        <v>19740.802149513638</v>
      </c>
      <c r="E58" s="66">
        <v>19412.854356408556</v>
      </c>
      <c r="F58" s="66">
        <v>20134.025406237099</v>
      </c>
      <c r="G58" s="66">
        <v>20410.378516161687</v>
      </c>
      <c r="H58" s="66">
        <v>19738.624100280238</v>
      </c>
      <c r="I58" s="66">
        <v>18656.060690859435</v>
      </c>
      <c r="J58" s="66">
        <v>19401.875413665563</v>
      </c>
      <c r="K58" s="66">
        <v>19302.107223100611</v>
      </c>
      <c r="L58" s="66">
        <v>17709.56689407898</v>
      </c>
      <c r="M58" s="66">
        <v>15475.484041769403</v>
      </c>
      <c r="N58" s="66">
        <v>14782.659380510695</v>
      </c>
      <c r="O58" s="66">
        <v>15590.643146731642</v>
      </c>
      <c r="P58" s="66">
        <v>14187.713467307442</v>
      </c>
      <c r="Q58" s="66">
        <v>16165.301946058049</v>
      </c>
      <c r="R58" s="66">
        <v>17459.915801358951</v>
      </c>
      <c r="S58" s="66">
        <v>17740.375379999998</v>
      </c>
      <c r="T58" s="66">
        <v>17809.731425842652</v>
      </c>
      <c r="U58" s="66">
        <v>18790.786080723141</v>
      </c>
      <c r="V58" s="66">
        <v>20080.35909161824</v>
      </c>
      <c r="W58" s="66">
        <v>19926.315508996984</v>
      </c>
      <c r="X58" s="66">
        <v>17411.997052516224</v>
      </c>
      <c r="Y58" s="66">
        <v>17881.412563274444</v>
      </c>
      <c r="Z58" s="66">
        <v>18943.075545088908</v>
      </c>
      <c r="AA58" s="66">
        <v>19817.578244469045</v>
      </c>
    </row>
    <row r="59" spans="1:27" x14ac:dyDescent="0.25">
      <c r="A59" s="72" t="s">
        <v>270</v>
      </c>
      <c r="B59" s="65"/>
      <c r="C59" s="65"/>
      <c r="D59" s="66">
        <v>37056.979321134619</v>
      </c>
      <c r="E59" s="66">
        <v>37717.164327873987</v>
      </c>
      <c r="F59" s="66">
        <v>36759.085337936733</v>
      </c>
      <c r="G59" s="66">
        <v>36171.025381444786</v>
      </c>
      <c r="H59" s="66">
        <v>35582.976906708216</v>
      </c>
      <c r="I59" s="66">
        <v>35228.300017909518</v>
      </c>
      <c r="J59" s="66">
        <v>36466.363636363632</v>
      </c>
      <c r="K59" s="66">
        <v>37062.048681035201</v>
      </c>
      <c r="L59" s="66">
        <v>36949.664170111049</v>
      </c>
      <c r="M59" s="66">
        <v>30428.459188384724</v>
      </c>
      <c r="N59" s="66">
        <v>29152.890956731393</v>
      </c>
      <c r="O59" s="66">
        <v>27923.522028719221</v>
      </c>
      <c r="P59" s="66">
        <v>26337.399504369372</v>
      </c>
      <c r="Q59" s="66">
        <v>25984.665827703895</v>
      </c>
      <c r="R59" s="66">
        <v>26686.059469322739</v>
      </c>
      <c r="S59" s="66">
        <v>26578.071539999997</v>
      </c>
      <c r="T59" s="66">
        <v>27058.197093000119</v>
      </c>
      <c r="U59" s="66">
        <v>28880.554240475791</v>
      </c>
      <c r="V59" s="66">
        <v>30443.809772222005</v>
      </c>
      <c r="W59" s="66">
        <v>30341.845111670154</v>
      </c>
      <c r="X59" s="66">
        <v>28007.440544906618</v>
      </c>
      <c r="Y59" s="66">
        <v>30268.219061456028</v>
      </c>
      <c r="Z59" s="66">
        <v>29765.264050592719</v>
      </c>
      <c r="AA59" s="66">
        <v>29309.671160451893</v>
      </c>
    </row>
    <row r="60" spans="1:27" x14ac:dyDescent="0.25">
      <c r="A60" s="72" t="s">
        <v>1</v>
      </c>
      <c r="B60" s="65"/>
      <c r="C60" s="65"/>
      <c r="D60" s="66">
        <v>12403.078212366507</v>
      </c>
      <c r="E60" s="66">
        <v>12709.845522417232</v>
      </c>
      <c r="F60" s="66">
        <v>12250.519533155702</v>
      </c>
      <c r="G60" s="66">
        <v>12368.344204208546</v>
      </c>
      <c r="H60" s="66">
        <v>11618.445760997221</v>
      </c>
      <c r="I60" s="66">
        <v>11100.692863059394</v>
      </c>
      <c r="J60" s="66">
        <v>11175.469826747129</v>
      </c>
      <c r="K60" s="66">
        <v>10816.440240908714</v>
      </c>
      <c r="L60" s="66">
        <v>10479.99816742194</v>
      </c>
      <c r="M60" s="66">
        <v>9152.1806929477279</v>
      </c>
      <c r="N60" s="66">
        <v>9496.6297609915018</v>
      </c>
      <c r="O60" s="66">
        <v>10614.471320724571</v>
      </c>
      <c r="P60" s="66">
        <v>9643.2020647931695</v>
      </c>
      <c r="Q60" s="66">
        <v>9898.1126357861249</v>
      </c>
      <c r="R60" s="66">
        <v>10024.408300905296</v>
      </c>
      <c r="S60" s="66">
        <v>10487.54385</v>
      </c>
      <c r="T60" s="66">
        <v>10807.236191253132</v>
      </c>
      <c r="U60" s="66">
        <v>11086.303100721761</v>
      </c>
      <c r="V60" s="66">
        <v>10683.788320527323</v>
      </c>
      <c r="W60" s="66">
        <v>10161.323200122904</v>
      </c>
      <c r="X60" s="66">
        <v>8674.1667217745362</v>
      </c>
      <c r="Y60" s="66">
        <v>9206.3048926069532</v>
      </c>
      <c r="Z60" s="66">
        <v>8740.7534663420829</v>
      </c>
      <c r="AA60" s="66">
        <v>8475.7126200519251</v>
      </c>
    </row>
    <row r="61" spans="1:27" x14ac:dyDescent="0.25">
      <c r="A61" s="72" t="s">
        <v>0</v>
      </c>
      <c r="B61" s="65"/>
      <c r="C61" s="65"/>
      <c r="D61" s="66">
        <v>4143.6366097544387</v>
      </c>
      <c r="E61" s="66">
        <v>4007.693702849549</v>
      </c>
      <c r="F61" s="66">
        <v>3907.8826134274027</v>
      </c>
      <c r="G61" s="66">
        <v>3783.8895437124879</v>
      </c>
      <c r="H61" s="66">
        <v>3689.9724764241446</v>
      </c>
      <c r="I61" s="66">
        <v>3728.5181221876474</v>
      </c>
      <c r="J61" s="66">
        <v>3852.2639672960872</v>
      </c>
      <c r="K61" s="66">
        <v>3780.3089373387706</v>
      </c>
      <c r="L61" s="66">
        <v>3564.4458542901248</v>
      </c>
      <c r="M61" s="66">
        <v>2581.8086584084008</v>
      </c>
      <c r="N61" s="66">
        <v>2408.6263337750192</v>
      </c>
      <c r="O61" s="66">
        <v>2166.6355475225182</v>
      </c>
      <c r="P61" s="66">
        <v>1934.1942791784973</v>
      </c>
      <c r="Q61" s="66">
        <v>1810.0098259320037</v>
      </c>
      <c r="R61" s="66">
        <v>1788.2098312397927</v>
      </c>
      <c r="S61" s="66">
        <v>1933.84773</v>
      </c>
      <c r="T61" s="66">
        <v>1996.9502566755541</v>
      </c>
      <c r="U61" s="66">
        <v>2288.1200606555926</v>
      </c>
      <c r="V61" s="66">
        <v>2366.7436619992982</v>
      </c>
      <c r="W61" s="66">
        <v>2416.1163078754826</v>
      </c>
      <c r="X61" s="66">
        <v>2222.542063049701</v>
      </c>
      <c r="Y61" s="66">
        <v>2792.9614939709977</v>
      </c>
      <c r="Z61" s="66">
        <v>3064.3054350127013</v>
      </c>
      <c r="AA61" s="66">
        <v>3193.408576599259</v>
      </c>
    </row>
    <row r="62" spans="1:27" x14ac:dyDescent="0.25">
      <c r="A62" s="78" t="s">
        <v>271</v>
      </c>
      <c r="B62" s="79"/>
      <c r="C62" s="79"/>
      <c r="D62" s="80">
        <v>16433.751200598599</v>
      </c>
      <c r="E62" s="80">
        <v>16245.584685142479</v>
      </c>
      <c r="F62" s="80">
        <v>15902.493038615979</v>
      </c>
      <c r="G62" s="80">
        <v>15541.648275363365</v>
      </c>
      <c r="H62" s="80">
        <v>15786.98122071187</v>
      </c>
      <c r="I62" s="80">
        <v>15500.02096532271</v>
      </c>
      <c r="J62" s="80">
        <v>15278.911816235155</v>
      </c>
      <c r="K62" s="80">
        <v>15042.375000000002</v>
      </c>
      <c r="L62" s="80">
        <v>15172.266331357998</v>
      </c>
      <c r="M62" s="80">
        <v>13146.654803186733</v>
      </c>
      <c r="N62" s="80">
        <v>12804.444621561575</v>
      </c>
      <c r="O62" s="80">
        <v>12350.904136126701</v>
      </c>
      <c r="P62" s="80">
        <v>11945.641821593041</v>
      </c>
      <c r="Q62" s="80">
        <v>11881.369720826748</v>
      </c>
      <c r="R62" s="80">
        <v>12038.26740528661</v>
      </c>
      <c r="S62" s="80">
        <v>12236.069519999999</v>
      </c>
      <c r="T62" s="80">
        <v>12291.779547534719</v>
      </c>
      <c r="U62" s="80">
        <v>12847.124649211773</v>
      </c>
      <c r="V62" s="80">
        <v>13106.85508405164</v>
      </c>
      <c r="W62" s="80">
        <v>13606.975438326965</v>
      </c>
      <c r="X62" s="80">
        <v>12376.887693310535</v>
      </c>
      <c r="Y62" s="80">
        <v>13742.083267783935</v>
      </c>
      <c r="Z62" s="80">
        <v>14060.566019263337</v>
      </c>
      <c r="AA62" s="80">
        <v>13937.16380842893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4.1194709435180388E-2</v>
      </c>
      <c r="E66" s="83">
        <f t="shared" ref="E66:S66" si="55">E24/E$23</f>
        <v>4.0306930507127074E-2</v>
      </c>
      <c r="F66" s="83">
        <f t="shared" si="55"/>
        <v>3.8203595443137998E-2</v>
      </c>
      <c r="G66" s="83">
        <f t="shared" si="55"/>
        <v>3.7707606065516583E-2</v>
      </c>
      <c r="H66" s="83">
        <f t="shared" si="55"/>
        <v>3.4561113173306943E-2</v>
      </c>
      <c r="I66" s="83">
        <f t="shared" si="55"/>
        <v>3.0732349696469877E-2</v>
      </c>
      <c r="J66" s="83">
        <f t="shared" si="55"/>
        <v>2.6859646740037983E-2</v>
      </c>
      <c r="K66" s="83">
        <f t="shared" si="55"/>
        <v>2.7683916634139959E-2</v>
      </c>
      <c r="L66" s="83">
        <f t="shared" si="55"/>
        <v>2.5536816397868339E-2</v>
      </c>
      <c r="M66" s="83">
        <f t="shared" si="55"/>
        <v>2.4004367685097061E-2</v>
      </c>
      <c r="N66" s="83">
        <f t="shared" si="55"/>
        <v>2.630850431823601E-2</v>
      </c>
      <c r="O66" s="83">
        <f t="shared" si="55"/>
        <v>2.5632565378371708E-2</v>
      </c>
      <c r="P66" s="83">
        <f t="shared" si="55"/>
        <v>2.6064045782063023E-2</v>
      </c>
      <c r="Q66" s="83">
        <f t="shared" si="55"/>
        <v>2.8543973653029249E-2</v>
      </c>
      <c r="R66" s="83">
        <f t="shared" si="55"/>
        <v>2.7738187181521681E-2</v>
      </c>
      <c r="S66" s="83">
        <f t="shared" si="55"/>
        <v>2.9966516049622652E-2</v>
      </c>
      <c r="T66" s="83">
        <f t="shared" ref="T66:Y66" si="56">T24/T$23</f>
        <v>3.1012360211889346E-2</v>
      </c>
      <c r="U66" s="83">
        <f t="shared" si="56"/>
        <v>3.0911619964528115E-2</v>
      </c>
      <c r="V66" s="83">
        <f t="shared" si="56"/>
        <v>2.9828436619012699E-2</v>
      </c>
      <c r="W66" s="83">
        <f t="shared" si="56"/>
        <v>2.7760886070610072E-2</v>
      </c>
      <c r="X66" s="83">
        <f t="shared" si="56"/>
        <v>3.0500580039652208E-2</v>
      </c>
      <c r="Y66" s="83">
        <f t="shared" si="56"/>
        <v>3.0574962341151177E-2</v>
      </c>
      <c r="Z66" s="83">
        <f t="shared" ref="Z66:AA66" si="57">Z24/Z$23</f>
        <v>2.5984386892640959E-2</v>
      </c>
      <c r="AA66" s="83">
        <f t="shared" si="57"/>
        <v>2.856043273427274E-2</v>
      </c>
    </row>
    <row r="67" spans="1:27" x14ac:dyDescent="0.25">
      <c r="A67" s="64" t="s">
        <v>56</v>
      </c>
      <c r="B67" s="65"/>
      <c r="C67" s="65"/>
      <c r="D67" s="83">
        <f t="shared" si="51"/>
        <v>3.0105590431451167E-3</v>
      </c>
      <c r="E67" s="83">
        <f t="shared" ref="E67:S67" si="58">E25/E$23</f>
        <v>3.4931108092373375E-3</v>
      </c>
      <c r="F67" s="83">
        <f t="shared" si="58"/>
        <v>3.5925164443598953E-3</v>
      </c>
      <c r="G67" s="83">
        <f t="shared" si="58"/>
        <v>3.6913848460961682E-3</v>
      </c>
      <c r="H67" s="83">
        <f t="shared" si="58"/>
        <v>3.7171079765734557E-3</v>
      </c>
      <c r="I67" s="83">
        <f t="shared" si="58"/>
        <v>3.4380473235689902E-3</v>
      </c>
      <c r="J67" s="83">
        <f t="shared" si="58"/>
        <v>3.4511089192240125E-3</v>
      </c>
      <c r="K67" s="83">
        <f t="shared" si="58"/>
        <v>3.4902270552844132E-3</v>
      </c>
      <c r="L67" s="83">
        <f t="shared" si="58"/>
        <v>3.1931992852851448E-3</v>
      </c>
      <c r="M67" s="83">
        <f t="shared" si="58"/>
        <v>2.5836170041379637E-3</v>
      </c>
      <c r="N67" s="83">
        <f t="shared" si="58"/>
        <v>2.6804586180836491E-3</v>
      </c>
      <c r="O67" s="83">
        <f t="shared" si="58"/>
        <v>2.641632411063181E-3</v>
      </c>
      <c r="P67" s="83">
        <f t="shared" si="58"/>
        <v>2.4196332356456254E-3</v>
      </c>
      <c r="Q67" s="83">
        <f t="shared" si="58"/>
        <v>1.9677040573097804E-3</v>
      </c>
      <c r="R67" s="83">
        <f t="shared" si="58"/>
        <v>1.7284861060779108E-3</v>
      </c>
      <c r="S67" s="83">
        <f t="shared" si="58"/>
        <v>1.5142681307291162E-3</v>
      </c>
      <c r="T67" s="83">
        <f t="shared" ref="T67:Y67" si="59">T25/T$23</f>
        <v>1.4577202275848538E-3</v>
      </c>
      <c r="U67" s="83">
        <f t="shared" si="59"/>
        <v>2.086470735692974E-3</v>
      </c>
      <c r="V67" s="83">
        <f t="shared" si="59"/>
        <v>2.5213030983426616E-3</v>
      </c>
      <c r="W67" s="83">
        <f t="shared" si="59"/>
        <v>2.7768794904601888E-3</v>
      </c>
      <c r="X67" s="83">
        <f t="shared" si="59"/>
        <v>2.4171552061953666E-3</v>
      </c>
      <c r="Y67" s="83">
        <f t="shared" si="59"/>
        <v>3.9522794219534326E-3</v>
      </c>
      <c r="Z67" s="83">
        <f t="shared" ref="Z67:AA67" si="60">Z25/Z$23</f>
        <v>5.5538274917878517E-3</v>
      </c>
      <c r="AA67" s="83">
        <f t="shared" si="60"/>
        <v>3.7268937189522092E-3</v>
      </c>
    </row>
    <row r="68" spans="1:27" x14ac:dyDescent="0.25">
      <c r="A68" s="64" t="s">
        <v>146</v>
      </c>
      <c r="B68" s="65"/>
      <c r="C68" s="65"/>
      <c r="D68" s="83">
        <f t="shared" si="51"/>
        <v>0.66211911416169</v>
      </c>
      <c r="E68" s="83">
        <f t="shared" ref="E68:S68" si="61">E26/E$23</f>
        <v>0.66455024633317261</v>
      </c>
      <c r="F68" s="83">
        <f t="shared" si="61"/>
        <v>0.66949580385299223</v>
      </c>
      <c r="G68" s="83">
        <f t="shared" si="61"/>
        <v>0.67230719792579319</v>
      </c>
      <c r="H68" s="83">
        <f t="shared" si="61"/>
        <v>0.67874468984574776</v>
      </c>
      <c r="I68" s="83">
        <f t="shared" si="61"/>
        <v>0.67940448794822739</v>
      </c>
      <c r="J68" s="83">
        <f t="shared" si="61"/>
        <v>0.68499391046264901</v>
      </c>
      <c r="K68" s="83">
        <f t="shared" si="61"/>
        <v>0.69357474842867695</v>
      </c>
      <c r="L68" s="83">
        <f t="shared" si="61"/>
        <v>0.7033884584474458</v>
      </c>
      <c r="M68" s="83">
        <f t="shared" si="61"/>
        <v>0.72531119259084664</v>
      </c>
      <c r="N68" s="83">
        <f t="shared" si="61"/>
        <v>0.73880532171565527</v>
      </c>
      <c r="O68" s="83">
        <f t="shared" si="61"/>
        <v>0.75251701274217087</v>
      </c>
      <c r="P68" s="83">
        <f t="shared" si="61"/>
        <v>0.76382344022320225</v>
      </c>
      <c r="Q68" s="83">
        <f t="shared" si="61"/>
        <v>0.7690299378973402</v>
      </c>
      <c r="R68" s="83">
        <f t="shared" si="61"/>
        <v>0.77048007750717662</v>
      </c>
      <c r="S68" s="83">
        <f t="shared" si="61"/>
        <v>0.76742015677128883</v>
      </c>
      <c r="T68" s="83">
        <f t="shared" ref="T68:Y68" si="62">T26/T$23</f>
        <v>0.76750441436138894</v>
      </c>
      <c r="U68" s="83">
        <f t="shared" si="62"/>
        <v>0.76595999329012132</v>
      </c>
      <c r="V68" s="83">
        <f t="shared" si="62"/>
        <v>0.76831884282389584</v>
      </c>
      <c r="W68" s="83">
        <f t="shared" si="62"/>
        <v>0.76831685952504802</v>
      </c>
      <c r="X68" s="83">
        <f t="shared" si="62"/>
        <v>0.76669214443957312</v>
      </c>
      <c r="Y68" s="83">
        <f t="shared" si="62"/>
        <v>0.76211497458865807</v>
      </c>
      <c r="Z68" s="83">
        <f t="shared" ref="Z68:AA68" si="63">Z26/Z$23</f>
        <v>0.75850870529266623</v>
      </c>
      <c r="AA68" s="83">
        <f t="shared" si="63"/>
        <v>0.76831665118935333</v>
      </c>
    </row>
    <row r="69" spans="1:27" x14ac:dyDescent="0.25">
      <c r="A69" s="68" t="s">
        <v>148</v>
      </c>
      <c r="B69" s="69"/>
      <c r="C69" s="69"/>
      <c r="D69" s="84">
        <f t="shared" si="51"/>
        <v>0.29669127328638534</v>
      </c>
      <c r="E69" s="84">
        <f t="shared" ref="E69:S69" si="64">E27/E$23</f>
        <v>0.29291267848982422</v>
      </c>
      <c r="F69" s="84">
        <f t="shared" si="64"/>
        <v>0.29102895231684384</v>
      </c>
      <c r="G69" s="84">
        <f t="shared" si="64"/>
        <v>0.29135435921239461</v>
      </c>
      <c r="H69" s="84">
        <f t="shared" si="64"/>
        <v>0.29204043966015014</v>
      </c>
      <c r="I69" s="84">
        <f t="shared" si="64"/>
        <v>0.28745268783514655</v>
      </c>
      <c r="J69" s="84">
        <f t="shared" si="64"/>
        <v>0.28440811255513426</v>
      </c>
      <c r="K69" s="84">
        <f t="shared" si="64"/>
        <v>0.28104618242898793</v>
      </c>
      <c r="L69" s="84">
        <f t="shared" si="64"/>
        <v>0.2868807690207002</v>
      </c>
      <c r="M69" s="84">
        <f t="shared" si="64"/>
        <v>0.30142993952665509</v>
      </c>
      <c r="N69" s="84">
        <f t="shared" si="64"/>
        <v>0.30920247010374274</v>
      </c>
      <c r="O69" s="84">
        <f t="shared" si="64"/>
        <v>0.31211668664980707</v>
      </c>
      <c r="P69" s="84">
        <f t="shared" si="64"/>
        <v>0.31120722490312547</v>
      </c>
      <c r="Q69" s="84">
        <f t="shared" si="64"/>
        <v>0.31208319602065177</v>
      </c>
      <c r="R69" s="84">
        <f t="shared" si="64"/>
        <v>0.31187869323914702</v>
      </c>
      <c r="S69" s="84">
        <f t="shared" si="64"/>
        <v>0.31283099310076767</v>
      </c>
      <c r="T69" s="84">
        <f t="shared" ref="T69:Y69" si="65">T27/T$23</f>
        <v>0.3108357857563272</v>
      </c>
      <c r="U69" s="84">
        <f t="shared" si="65"/>
        <v>0.31052602810986868</v>
      </c>
      <c r="V69" s="84">
        <f t="shared" si="65"/>
        <v>0.30926770172474255</v>
      </c>
      <c r="W69" s="84">
        <f t="shared" si="65"/>
        <v>0.31021610449502973</v>
      </c>
      <c r="X69" s="84">
        <f t="shared" si="65"/>
        <v>0.28657256703434841</v>
      </c>
      <c r="Y69" s="84">
        <f t="shared" si="65"/>
        <v>0.28712894300439384</v>
      </c>
      <c r="Z69" s="84">
        <f t="shared" ref="Z69:AA69" si="66">Z27/Z$23</f>
        <v>0.29673591213941014</v>
      </c>
      <c r="AA69" s="84">
        <f t="shared" si="66"/>
        <v>0.30168992010980789</v>
      </c>
    </row>
    <row r="70" spans="1:27" x14ac:dyDescent="0.25">
      <c r="A70" s="68" t="s">
        <v>150</v>
      </c>
      <c r="B70" s="71"/>
      <c r="C70" s="71"/>
      <c r="D70" s="84">
        <f t="shared" si="51"/>
        <v>0.23759800881760801</v>
      </c>
      <c r="E70" s="84">
        <f t="shared" ref="E70:S70" si="67">E28/E$23</f>
        <v>0.24255835936472964</v>
      </c>
      <c r="F70" s="84">
        <f t="shared" si="67"/>
        <v>0.24829044507693543</v>
      </c>
      <c r="G70" s="84">
        <f t="shared" si="67"/>
        <v>0.2521951929600017</v>
      </c>
      <c r="H70" s="84">
        <f t="shared" si="67"/>
        <v>0.25622267590530395</v>
      </c>
      <c r="I70" s="84">
        <f t="shared" si="67"/>
        <v>0.26242720859127694</v>
      </c>
      <c r="J70" s="84">
        <f t="shared" si="67"/>
        <v>0.27080517710868318</v>
      </c>
      <c r="K70" s="84">
        <f t="shared" si="67"/>
        <v>0.28227481650303765</v>
      </c>
      <c r="L70" s="84">
        <f t="shared" si="67"/>
        <v>0.28588496680009051</v>
      </c>
      <c r="M70" s="84">
        <f t="shared" si="67"/>
        <v>0.29271744200038385</v>
      </c>
      <c r="N70" s="84">
        <f t="shared" si="67"/>
        <v>0.29336927485157954</v>
      </c>
      <c r="O70" s="84">
        <f t="shared" si="67"/>
        <v>0.30057045859022918</v>
      </c>
      <c r="P70" s="84">
        <f t="shared" si="67"/>
        <v>0.30987779068388743</v>
      </c>
      <c r="Q70" s="84">
        <f t="shared" si="67"/>
        <v>0.31169392123424638</v>
      </c>
      <c r="R70" s="84">
        <f t="shared" si="67"/>
        <v>0.31515816810055652</v>
      </c>
      <c r="S70" s="84">
        <f t="shared" si="67"/>
        <v>0.30956357496841902</v>
      </c>
      <c r="T70" s="84">
        <f t="shared" ref="T70:Y70" si="68">T28/T$23</f>
        <v>0.30843143025309</v>
      </c>
      <c r="U70" s="84">
        <f t="shared" si="68"/>
        <v>0.30777893588107691</v>
      </c>
      <c r="V70" s="84">
        <f t="shared" si="68"/>
        <v>0.31135360638341469</v>
      </c>
      <c r="W70" s="84">
        <f t="shared" si="68"/>
        <v>0.31240245771410091</v>
      </c>
      <c r="X70" s="84">
        <f t="shared" si="68"/>
        <v>0.33102513763817165</v>
      </c>
      <c r="Y70" s="84">
        <f t="shared" si="68"/>
        <v>0.31987090948913588</v>
      </c>
      <c r="Z70" s="84">
        <f t="shared" ref="Z70:AA70" si="69">Z28/Z$23</f>
        <v>0.31443315812754286</v>
      </c>
      <c r="AA70" s="84">
        <f t="shared" si="69"/>
        <v>0.32790903390595655</v>
      </c>
    </row>
    <row r="71" spans="1:27" x14ac:dyDescent="0.25">
      <c r="A71" s="68" t="s">
        <v>152</v>
      </c>
      <c r="B71" s="71"/>
      <c r="C71" s="71"/>
      <c r="D71" s="84">
        <f t="shared" si="51"/>
        <v>0.12782983205769671</v>
      </c>
      <c r="E71" s="84">
        <f t="shared" ref="E71:S71" si="70">E29/E$23</f>
        <v>0.12907920847861878</v>
      </c>
      <c r="F71" s="84">
        <f t="shared" si="70"/>
        <v>0.13017640645921286</v>
      </c>
      <c r="G71" s="84">
        <f t="shared" si="70"/>
        <v>0.12875764575339682</v>
      </c>
      <c r="H71" s="84">
        <f t="shared" si="70"/>
        <v>0.13048157428029367</v>
      </c>
      <c r="I71" s="84">
        <f t="shared" si="70"/>
        <v>0.12952459152180407</v>
      </c>
      <c r="J71" s="84">
        <f t="shared" si="70"/>
        <v>0.12978062079883151</v>
      </c>
      <c r="K71" s="84">
        <f t="shared" si="70"/>
        <v>0.13025374949665136</v>
      </c>
      <c r="L71" s="84">
        <f t="shared" si="70"/>
        <v>0.13062272262665514</v>
      </c>
      <c r="M71" s="84">
        <f t="shared" si="70"/>
        <v>0.13116381106380778</v>
      </c>
      <c r="N71" s="84">
        <f t="shared" si="70"/>
        <v>0.13623357676033285</v>
      </c>
      <c r="O71" s="84">
        <f t="shared" si="70"/>
        <v>0.13982986750213452</v>
      </c>
      <c r="P71" s="84">
        <f t="shared" si="70"/>
        <v>0.14273842463618935</v>
      </c>
      <c r="Q71" s="84">
        <f t="shared" si="70"/>
        <v>0.14525282064244202</v>
      </c>
      <c r="R71" s="84">
        <f t="shared" si="70"/>
        <v>0.14344321616747296</v>
      </c>
      <c r="S71" s="84">
        <f t="shared" si="70"/>
        <v>0.14502558870210219</v>
      </c>
      <c r="T71" s="84">
        <f t="shared" ref="T71:Y71" si="71">T29/T$23</f>
        <v>0.14823719835197172</v>
      </c>
      <c r="U71" s="84">
        <f t="shared" si="71"/>
        <v>0.14765502929917579</v>
      </c>
      <c r="V71" s="84">
        <f t="shared" si="71"/>
        <v>0.14769753471573854</v>
      </c>
      <c r="W71" s="84">
        <f t="shared" si="71"/>
        <v>0.14569829731591749</v>
      </c>
      <c r="X71" s="84">
        <f t="shared" si="71"/>
        <v>0.14909443976705297</v>
      </c>
      <c r="Y71" s="84">
        <f t="shared" si="71"/>
        <v>0.15511512209512826</v>
      </c>
      <c r="Z71" s="84">
        <f t="shared" ref="Z71:AA71" si="72">Z29/Z$23</f>
        <v>0.14733963502571323</v>
      </c>
      <c r="AA71" s="84">
        <f t="shared" si="72"/>
        <v>0.13871769717358889</v>
      </c>
    </row>
    <row r="72" spans="1:27" x14ac:dyDescent="0.25">
      <c r="A72" s="64" t="s">
        <v>154</v>
      </c>
      <c r="B72" s="65"/>
      <c r="C72" s="65"/>
      <c r="D72" s="83">
        <f t="shared" si="51"/>
        <v>2.1276089671166079E-2</v>
      </c>
      <c r="E72" s="83">
        <f t="shared" ref="E72:S72" si="73">E30/E$23</f>
        <v>2.0268493768115032E-2</v>
      </c>
      <c r="F72" s="83">
        <f t="shared" si="73"/>
        <v>1.9976147446825635E-2</v>
      </c>
      <c r="G72" s="83">
        <f t="shared" si="73"/>
        <v>2.1127959768299679E-2</v>
      </c>
      <c r="H72" s="83">
        <f t="shared" si="73"/>
        <v>2.1293460777035388E-2</v>
      </c>
      <c r="I72" s="83">
        <f t="shared" si="73"/>
        <v>2.3184011159248574E-2</v>
      </c>
      <c r="J72" s="83">
        <f t="shared" si="73"/>
        <v>2.2044793167249648E-2</v>
      </c>
      <c r="K72" s="83">
        <f t="shared" si="73"/>
        <v>2.2438792292870113E-2</v>
      </c>
      <c r="L72" s="83">
        <f t="shared" si="73"/>
        <v>2.4095292713185553E-2</v>
      </c>
      <c r="M72" s="83">
        <f t="shared" si="73"/>
        <v>2.3917849332764501E-2</v>
      </c>
      <c r="N72" s="83">
        <f t="shared" si="73"/>
        <v>2.7494655248364246E-2</v>
      </c>
      <c r="O72" s="83">
        <f t="shared" si="73"/>
        <v>2.8287395799175021E-2</v>
      </c>
      <c r="P72" s="83">
        <f t="shared" si="73"/>
        <v>2.9565483816473028E-2</v>
      </c>
      <c r="Q72" s="83">
        <f t="shared" si="73"/>
        <v>2.8543973653029249E-2</v>
      </c>
      <c r="R72" s="83">
        <f t="shared" si="73"/>
        <v>2.666369429039623E-2</v>
      </c>
      <c r="S72" s="83">
        <f t="shared" si="73"/>
        <v>2.8598006348589385E-2</v>
      </c>
      <c r="T72" s="83">
        <f t="shared" ref="T72:Y72" si="74">T30/T$23</f>
        <v>2.7366097704532077E-2</v>
      </c>
      <c r="U72" s="83">
        <f t="shared" si="74"/>
        <v>2.6659517001815063E-2</v>
      </c>
      <c r="V72" s="83">
        <f t="shared" si="74"/>
        <v>2.7166858709562824E-2</v>
      </c>
      <c r="W72" s="83">
        <f t="shared" si="74"/>
        <v>2.6108818525652742E-2</v>
      </c>
      <c r="X72" s="83">
        <f t="shared" si="74"/>
        <v>2.4677874300169551E-2</v>
      </c>
      <c r="Y72" s="83">
        <f t="shared" si="74"/>
        <v>2.7911800070624309E-2</v>
      </c>
      <c r="Z72" s="83">
        <f t="shared" ref="Z72:AA72" si="75">Z30/Z$23</f>
        <v>4.2769297551518565E-2</v>
      </c>
      <c r="AA72" s="83">
        <f t="shared" si="75"/>
        <v>3.5541339529330994E-2</v>
      </c>
    </row>
    <row r="73" spans="1:27" x14ac:dyDescent="0.25">
      <c r="A73" s="64" t="s">
        <v>37</v>
      </c>
      <c r="B73" s="65"/>
      <c r="C73" s="65"/>
      <c r="D73" s="83">
        <f t="shared" si="51"/>
        <v>0.10128866198319728</v>
      </c>
      <c r="E73" s="83">
        <f t="shared" ref="E73:S73" si="76">E31/E$23</f>
        <v>0.10571668242113896</v>
      </c>
      <c r="F73" s="83">
        <f t="shared" si="76"/>
        <v>0.10976271831305377</v>
      </c>
      <c r="G73" s="83">
        <f t="shared" si="76"/>
        <v>0.11240459115990233</v>
      </c>
      <c r="H73" s="83">
        <f t="shared" si="76"/>
        <v>0.11449826775550608</v>
      </c>
      <c r="I73" s="83">
        <f t="shared" si="76"/>
        <v>0.12112754507335259</v>
      </c>
      <c r="J73" s="83">
        <f t="shared" si="76"/>
        <v>0.12420874978569728</v>
      </c>
      <c r="K73" s="83">
        <f t="shared" si="76"/>
        <v>0.11994063833358908</v>
      </c>
      <c r="L73" s="83">
        <f t="shared" si="76"/>
        <v>0.11564277521593595</v>
      </c>
      <c r="M73" s="83">
        <f t="shared" si="76"/>
        <v>0.10941985964137646</v>
      </c>
      <c r="N73" s="83">
        <f t="shared" si="76"/>
        <v>9.0613242051576351E-2</v>
      </c>
      <c r="O73" s="83">
        <f t="shared" si="76"/>
        <v>7.6706832609642464E-2</v>
      </c>
      <c r="P73" s="83">
        <f t="shared" si="76"/>
        <v>6.7580796968008575E-2</v>
      </c>
      <c r="Q73" s="83">
        <f t="shared" si="76"/>
        <v>5.9226292365628201E-2</v>
      </c>
      <c r="R73" s="83">
        <f t="shared" si="76"/>
        <v>5.852129915382364E-2</v>
      </c>
      <c r="S73" s="83">
        <f t="shared" si="76"/>
        <v>5.9643539662488261E-2</v>
      </c>
      <c r="T73" s="83">
        <f t="shared" ref="T73:Y73" si="77">T31/T$23</f>
        <v>6.0568962134588969E-2</v>
      </c>
      <c r="U73" s="83">
        <f t="shared" si="77"/>
        <v>6.0533096100165676E-2</v>
      </c>
      <c r="V73" s="83">
        <f t="shared" si="77"/>
        <v>6.1159817642745549E-2</v>
      </c>
      <c r="W73" s="83">
        <f t="shared" si="77"/>
        <v>6.4829590990256314E-2</v>
      </c>
      <c r="X73" s="83">
        <f t="shared" si="77"/>
        <v>6.1786832517915273E-2</v>
      </c>
      <c r="Y73" s="83">
        <f t="shared" si="77"/>
        <v>5.8594933823233608E-2</v>
      </c>
      <c r="Z73" s="83">
        <f t="shared" ref="Z73:AA73" si="78">Z31/Z$23</f>
        <v>5.8232347584909715E-2</v>
      </c>
      <c r="AA73" s="83">
        <f t="shared" si="78"/>
        <v>5.7668880432500139E-2</v>
      </c>
    </row>
    <row r="74" spans="1:27" x14ac:dyDescent="0.25">
      <c r="A74" s="64" t="s">
        <v>58</v>
      </c>
      <c r="B74" s="65"/>
      <c r="C74" s="65"/>
      <c r="D74" s="83">
        <f t="shared" si="51"/>
        <v>0.17111086570562098</v>
      </c>
      <c r="E74" s="83">
        <f t="shared" ref="E74:S74" si="79">E32/E$23</f>
        <v>0.16566453616120894</v>
      </c>
      <c r="F74" s="83">
        <f t="shared" si="79"/>
        <v>0.1589692184996305</v>
      </c>
      <c r="G74" s="83">
        <f t="shared" si="79"/>
        <v>0.15276126023439193</v>
      </c>
      <c r="H74" s="83">
        <f t="shared" si="79"/>
        <v>0.1471853604718304</v>
      </c>
      <c r="I74" s="83">
        <f t="shared" si="79"/>
        <v>0.14211355879913232</v>
      </c>
      <c r="J74" s="83">
        <f t="shared" si="79"/>
        <v>0.13844179092514211</v>
      </c>
      <c r="K74" s="83">
        <f t="shared" si="79"/>
        <v>0.1328716772554395</v>
      </c>
      <c r="L74" s="83">
        <f t="shared" si="79"/>
        <v>0.12814345794027918</v>
      </c>
      <c r="M74" s="83">
        <f t="shared" si="79"/>
        <v>0.11476311374577725</v>
      </c>
      <c r="N74" s="83">
        <f t="shared" si="79"/>
        <v>0.11409781804808457</v>
      </c>
      <c r="O74" s="83">
        <f t="shared" si="79"/>
        <v>0.11421456105957682</v>
      </c>
      <c r="P74" s="83">
        <f t="shared" si="79"/>
        <v>0.11054659997460749</v>
      </c>
      <c r="Q74" s="83">
        <f t="shared" si="79"/>
        <v>0.11268811837366326</v>
      </c>
      <c r="R74" s="83">
        <f t="shared" si="79"/>
        <v>0.11486825576100405</v>
      </c>
      <c r="S74" s="83">
        <f t="shared" si="79"/>
        <v>0.11285751303728175</v>
      </c>
      <c r="T74" s="83">
        <f t="shared" ref="T74:Y74" si="80">T32/T$23</f>
        <v>0.11209044536001569</v>
      </c>
      <c r="U74" s="83">
        <f t="shared" si="80"/>
        <v>0.11384930290767699</v>
      </c>
      <c r="V74" s="83">
        <f t="shared" si="80"/>
        <v>0.11100474110644032</v>
      </c>
      <c r="W74" s="83">
        <f t="shared" si="80"/>
        <v>0.11020696539797253</v>
      </c>
      <c r="X74" s="83">
        <f t="shared" si="80"/>
        <v>0.11392541349649454</v>
      </c>
      <c r="Y74" s="83">
        <f t="shared" si="80"/>
        <v>0.11685104975437938</v>
      </c>
      <c r="Z74" s="83">
        <f t="shared" ref="Z74:AA74" si="81">Z32/Z$23</f>
        <v>0.10895143518647658</v>
      </c>
      <c r="AA74" s="83">
        <f t="shared" si="81"/>
        <v>0.10618580239559061</v>
      </c>
    </row>
    <row r="75" spans="1:27" x14ac:dyDescent="0.25">
      <c r="A75" s="85" t="s">
        <v>158</v>
      </c>
      <c r="B75" s="86"/>
      <c r="C75" s="86"/>
      <c r="D75" s="87">
        <f t="shared" si="51"/>
        <v>1.1187658746676406E-2</v>
      </c>
      <c r="E75" s="87">
        <f t="shared" ref="E75:S75" si="82">E33/E$23</f>
        <v>1.0496547579549651E-2</v>
      </c>
      <c r="F75" s="87">
        <f t="shared" si="82"/>
        <v>9.3449327957972686E-3</v>
      </c>
      <c r="G75" s="87">
        <f t="shared" si="82"/>
        <v>8.0913837474697256E-3</v>
      </c>
      <c r="H75" s="87">
        <f t="shared" si="82"/>
        <v>7.6907015590200458E-3</v>
      </c>
      <c r="I75" s="87">
        <f t="shared" si="82"/>
        <v>6.6011949135146219E-3</v>
      </c>
      <c r="J75" s="87">
        <f t="shared" si="82"/>
        <v>6.7641734816790648E-3</v>
      </c>
      <c r="K75" s="87">
        <f t="shared" si="82"/>
        <v>5.4912631037994965E-3</v>
      </c>
      <c r="L75" s="87">
        <f t="shared" si="82"/>
        <v>4.5820556634910232E-3</v>
      </c>
      <c r="M75" s="87">
        <f t="shared" si="82"/>
        <v>3.6377486532473717E-3</v>
      </c>
      <c r="N75" s="87">
        <f t="shared" si="82"/>
        <v>4.4071468119415286E-3</v>
      </c>
      <c r="O75" s="87">
        <f t="shared" si="82"/>
        <v>4.0538194532572175E-3</v>
      </c>
      <c r="P75" s="87">
        <f t="shared" si="82"/>
        <v>3.999844706973601E-3</v>
      </c>
      <c r="Q75" s="87">
        <f t="shared" si="82"/>
        <v>3.8266244756788577E-3</v>
      </c>
      <c r="R75" s="87">
        <f t="shared" si="82"/>
        <v>4.2113359528279659E-3</v>
      </c>
      <c r="S75" s="87">
        <f t="shared" si="82"/>
        <v>4.3565575097982059E-3</v>
      </c>
      <c r="T75" s="87">
        <f t="shared" ref="T75:Y75" si="83">T33/T$23</f>
        <v>4.3623700215813218E-3</v>
      </c>
      <c r="U75" s="87">
        <f t="shared" si="83"/>
        <v>4.8307357683659378E-3</v>
      </c>
      <c r="V75" s="87">
        <f t="shared" si="83"/>
        <v>4.6664146578068852E-3</v>
      </c>
      <c r="W75" s="87">
        <f t="shared" si="83"/>
        <v>3.6758502875300532E-3</v>
      </c>
      <c r="X75" s="87">
        <f t="shared" si="83"/>
        <v>3.6819908357614817E-3</v>
      </c>
      <c r="Y75" s="87">
        <f t="shared" si="83"/>
        <v>5.7187811495670905E-3</v>
      </c>
      <c r="Z75" s="87">
        <f t="shared" ref="Z75:AA75" si="84">Z33/Z$23</f>
        <v>4.6950901200671063E-3</v>
      </c>
      <c r="AA75" s="87">
        <f t="shared" si="84"/>
        <v>4.3031478883412992E-3</v>
      </c>
    </row>
    <row r="76" spans="1:27" x14ac:dyDescent="0.25">
      <c r="A76" s="88" t="s">
        <v>5</v>
      </c>
      <c r="B76" s="44"/>
      <c r="C76" s="44"/>
      <c r="D76" s="89">
        <f t="shared" si="51"/>
        <v>8.1247724495494694E-3</v>
      </c>
      <c r="E76" s="89">
        <f t="shared" ref="E76:S76" si="85">E34/E$23</f>
        <v>7.6228693170539829E-3</v>
      </c>
      <c r="F76" s="89">
        <f t="shared" si="85"/>
        <v>6.7865363291261145E-3</v>
      </c>
      <c r="G76" s="89">
        <f t="shared" si="85"/>
        <v>5.8761759934538946E-3</v>
      </c>
      <c r="H76" s="89">
        <f t="shared" si="85"/>
        <v>5.5851900347779317E-3</v>
      </c>
      <c r="I76" s="89">
        <f t="shared" si="85"/>
        <v>4.7939616126888825E-3</v>
      </c>
      <c r="J76" s="89">
        <f t="shared" si="85"/>
        <v>4.9123209415236893E-3</v>
      </c>
      <c r="K76" s="89">
        <f t="shared" si="85"/>
        <v>3.9878998983797053E-3</v>
      </c>
      <c r="L76" s="89">
        <f t="shared" si="85"/>
        <v>3.3276095079404892E-3</v>
      </c>
      <c r="M76" s="89">
        <f t="shared" si="85"/>
        <v>2.2246437820197616E-3</v>
      </c>
      <c r="N76" s="89">
        <f t="shared" si="85"/>
        <v>2.7780973519539029E-3</v>
      </c>
      <c r="O76" s="89">
        <f t="shared" si="85"/>
        <v>2.5911068532728041E-3</v>
      </c>
      <c r="P76" s="89">
        <f t="shared" si="85"/>
        <v>2.4615061343965894E-3</v>
      </c>
      <c r="Q76" s="89">
        <f t="shared" si="85"/>
        <v>2.4294040092820712E-3</v>
      </c>
      <c r="R76" s="89">
        <f t="shared" si="85"/>
        <v>2.5825215398679888E-3</v>
      </c>
      <c r="S76" s="89">
        <f t="shared" si="85"/>
        <v>2.6764538868063242E-3</v>
      </c>
      <c r="T76" s="89">
        <f t="shared" ref="T76:Y76" si="86">T34/T$23</f>
        <v>2.648859161236995E-3</v>
      </c>
      <c r="U76" s="89">
        <f t="shared" si="86"/>
        <v>2.9055254342623786E-3</v>
      </c>
      <c r="V76" s="89">
        <f t="shared" si="86"/>
        <v>3.0005066461051772E-3</v>
      </c>
      <c r="W76" s="89">
        <f t="shared" si="86"/>
        <v>2.308271296859757E-3</v>
      </c>
      <c r="X76" s="89">
        <f t="shared" si="86"/>
        <v>2.1662219418172976E-3</v>
      </c>
      <c r="Y76" s="89">
        <f t="shared" si="86"/>
        <v>3.9590489195439876E-3</v>
      </c>
      <c r="Z76" s="89">
        <f t="shared" ref="Z76:AA76" si="87">Z34/Z$23</f>
        <v>3.5289459198728891E-3</v>
      </c>
      <c r="AA76" s="89">
        <f t="shared" si="87"/>
        <v>3.1249875677220517E-3</v>
      </c>
    </row>
    <row r="77" spans="1:27" x14ac:dyDescent="0.25">
      <c r="A77" s="88" t="s">
        <v>263</v>
      </c>
      <c r="B77" s="44"/>
      <c r="C77" s="44"/>
      <c r="D77" s="89">
        <f>D37/D$23</f>
        <v>3.0628862971269362E-3</v>
      </c>
      <c r="E77" s="89">
        <f t="shared" ref="E77:S77" si="88">E37/E$23</f>
        <v>2.8736782624956695E-3</v>
      </c>
      <c r="F77" s="89">
        <f t="shared" si="88"/>
        <v>2.5583964666711545E-3</v>
      </c>
      <c r="G77" s="89">
        <f t="shared" si="88"/>
        <v>2.2152077540158314E-3</v>
      </c>
      <c r="H77" s="89">
        <f t="shared" si="88"/>
        <v>2.1055115242421137E-3</v>
      </c>
      <c r="I77" s="89">
        <f t="shared" si="88"/>
        <v>1.8072333008257401E-3</v>
      </c>
      <c r="J77" s="89">
        <f t="shared" si="88"/>
        <v>1.8518525401553755E-3</v>
      </c>
      <c r="K77" s="89">
        <f t="shared" si="88"/>
        <v>1.5033632054197914E-3</v>
      </c>
      <c r="L77" s="89">
        <f t="shared" si="88"/>
        <v>1.2544461555505347E-3</v>
      </c>
      <c r="M77" s="89">
        <f t="shared" si="88"/>
        <v>1.4131048712276101E-3</v>
      </c>
      <c r="N77" s="89">
        <f t="shared" si="88"/>
        <v>1.6290494599876259E-3</v>
      </c>
      <c r="O77" s="89">
        <f t="shared" si="88"/>
        <v>1.4627125999844138E-3</v>
      </c>
      <c r="P77" s="89">
        <f t="shared" si="88"/>
        <v>1.5383385725770116E-3</v>
      </c>
      <c r="Q77" s="89">
        <f t="shared" si="88"/>
        <v>1.3972204663967867E-3</v>
      </c>
      <c r="R77" s="89">
        <f t="shared" si="88"/>
        <v>1.6288144129599769E-3</v>
      </c>
      <c r="S77" s="89">
        <f t="shared" si="88"/>
        <v>1.6801036229918817E-3</v>
      </c>
      <c r="T77" s="89">
        <f t="shared" ref="T77:Y77" si="89">T37/T$23</f>
        <v>1.7135108603443263E-3</v>
      </c>
      <c r="U77" s="89">
        <f t="shared" si="89"/>
        <v>1.9252103341035592E-3</v>
      </c>
      <c r="V77" s="89">
        <f t="shared" si="89"/>
        <v>1.665908011701708E-3</v>
      </c>
      <c r="W77" s="89">
        <f t="shared" si="89"/>
        <v>1.3675789906702962E-3</v>
      </c>
      <c r="X77" s="89">
        <f t="shared" si="89"/>
        <v>1.5157688939441839E-3</v>
      </c>
      <c r="Y77" s="89">
        <f t="shared" si="89"/>
        <v>1.7597322300231032E-3</v>
      </c>
      <c r="Z77" s="89">
        <f t="shared" ref="Z77:AA77" si="90">Z37/Z$23</f>
        <v>1.1661442001942171E-3</v>
      </c>
      <c r="AA77" s="89">
        <f t="shared" si="90"/>
        <v>1.1781603206192472E-3</v>
      </c>
    </row>
    <row r="78" spans="1:27" x14ac:dyDescent="0.25">
      <c r="A78" s="68" t="s">
        <v>265</v>
      </c>
      <c r="B78" s="44"/>
      <c r="C78" s="44"/>
      <c r="D78" s="89">
        <f>D43/D$23</f>
        <v>1.7370178136069794E-2</v>
      </c>
      <c r="E78" s="89">
        <f t="shared" ref="E78:S78" si="91">E43/E$23</f>
        <v>1.7443643852938784E-2</v>
      </c>
      <c r="F78" s="89">
        <f t="shared" si="91"/>
        <v>1.6857755372312013E-2</v>
      </c>
      <c r="G78" s="89">
        <f t="shared" si="91"/>
        <v>1.6086637681239031E-2</v>
      </c>
      <c r="H78" s="89">
        <f t="shared" si="91"/>
        <v>1.6033572548049164E-2</v>
      </c>
      <c r="I78" s="89">
        <f t="shared" si="91"/>
        <v>1.5791729239368044E-2</v>
      </c>
      <c r="J78" s="89">
        <f t="shared" si="91"/>
        <v>1.5593446010184111E-2</v>
      </c>
      <c r="K78" s="89">
        <f t="shared" si="91"/>
        <v>1.5141138438120818E-2</v>
      </c>
      <c r="L78" s="89">
        <f t="shared" si="91"/>
        <v>1.5143801253091766E-2</v>
      </c>
      <c r="M78" s="89">
        <f t="shared" si="91"/>
        <v>1.4315306687669742E-2</v>
      </c>
      <c r="N78" s="89">
        <f t="shared" si="91"/>
        <v>1.4126714058818537E-2</v>
      </c>
      <c r="O78" s="89">
        <f t="shared" si="91"/>
        <v>1.4172631997863953E-2</v>
      </c>
      <c r="P78" s="89">
        <f t="shared" si="91"/>
        <v>1.391866212959203E-2</v>
      </c>
      <c r="Q78" s="89">
        <f t="shared" si="91"/>
        <v>1.4667660650504831E-2</v>
      </c>
      <c r="R78" s="89">
        <f t="shared" si="91"/>
        <v>1.5744437623944393E-2</v>
      </c>
      <c r="S78" s="89">
        <f t="shared" si="91"/>
        <v>1.5498979690992129E-2</v>
      </c>
      <c r="T78" s="89">
        <f t="shared" ref="T78:Y78" si="92">T43/T$23</f>
        <v>1.5817147341573471E-2</v>
      </c>
      <c r="U78" s="89">
        <f t="shared" si="92"/>
        <v>1.5839837455071146E-2</v>
      </c>
      <c r="V78" s="89">
        <f t="shared" si="92"/>
        <v>1.4385455141663896E-2</v>
      </c>
      <c r="W78" s="89">
        <f t="shared" si="92"/>
        <v>1.4867729145283523E-2</v>
      </c>
      <c r="X78" s="89">
        <f t="shared" si="92"/>
        <v>1.6903597021816479E-2</v>
      </c>
      <c r="Y78" s="89">
        <f t="shared" si="92"/>
        <v>1.8190676697106636E-2</v>
      </c>
      <c r="Z78" s="89">
        <f t="shared" ref="Z78:AA78" si="93">Z43/Z$23</f>
        <v>1.4493331154883778E-2</v>
      </c>
      <c r="AA78" s="89">
        <f t="shared" si="93"/>
        <v>1.280416899603814E-2</v>
      </c>
    </row>
    <row r="79" spans="1:27" x14ac:dyDescent="0.25">
      <c r="A79" s="88" t="s">
        <v>266</v>
      </c>
      <c r="B79" s="44"/>
      <c r="C79" s="44"/>
      <c r="D79" s="89">
        <f>D44/D$23</f>
        <v>1.1403426804509042E-2</v>
      </c>
      <c r="E79" s="89">
        <f t="shared" ref="E79:S79" si="94">E44/E$23</f>
        <v>1.1296269633098164E-2</v>
      </c>
      <c r="F79" s="89">
        <f t="shared" si="94"/>
        <v>1.0729258888002751E-2</v>
      </c>
      <c r="G79" s="89">
        <f t="shared" si="94"/>
        <v>9.9315830383063571E-3</v>
      </c>
      <c r="H79" s="89">
        <f t="shared" si="94"/>
        <v>9.7915635568753615E-3</v>
      </c>
      <c r="I79" s="89">
        <f t="shared" si="94"/>
        <v>9.4246192518645765E-3</v>
      </c>
      <c r="J79" s="89">
        <f t="shared" si="94"/>
        <v>9.0753031966174687E-3</v>
      </c>
      <c r="K79" s="89">
        <f t="shared" si="94"/>
        <v>8.5613034849747211E-3</v>
      </c>
      <c r="L79" s="89">
        <f t="shared" si="94"/>
        <v>8.349718717570594E-3</v>
      </c>
      <c r="M79" s="89">
        <f t="shared" si="94"/>
        <v>7.7051056766978231E-3</v>
      </c>
      <c r="N79" s="89">
        <f t="shared" si="94"/>
        <v>8.6152546688274684E-3</v>
      </c>
      <c r="O79" s="89">
        <f t="shared" si="94"/>
        <v>9.0751545436178992E-3</v>
      </c>
      <c r="P79" s="89">
        <f t="shared" si="94"/>
        <v>8.3931683659711001E-3</v>
      </c>
      <c r="Q79" s="89">
        <f t="shared" si="94"/>
        <v>8.0329251813860535E-3</v>
      </c>
      <c r="R79" s="89">
        <f t="shared" si="94"/>
        <v>8.3117360614394405E-3</v>
      </c>
      <c r="S79" s="89">
        <f t="shared" si="94"/>
        <v>8.3770608622420889E-3</v>
      </c>
      <c r="T79" s="89">
        <f t="shared" ref="T79:Y79" si="95">T44/T$23</f>
        <v>8.7257210123602106E-3</v>
      </c>
      <c r="U79" s="89">
        <f t="shared" si="95"/>
        <v>8.9037829768867302E-3</v>
      </c>
      <c r="V79" s="89">
        <f t="shared" si="95"/>
        <v>8.2816791077064619E-3</v>
      </c>
      <c r="W79" s="89">
        <f t="shared" si="95"/>
        <v>8.5722972877971971E-3</v>
      </c>
      <c r="X79" s="89">
        <f t="shared" si="95"/>
        <v>9.2544453540569799E-3</v>
      </c>
      <c r="Y79" s="89">
        <f t="shared" si="95"/>
        <v>1.0141293318850879E-2</v>
      </c>
      <c r="Z79" s="89">
        <f t="shared" ref="Z79:AA79" si="96">Z44/Z$23</f>
        <v>8.49993823298518E-3</v>
      </c>
      <c r="AA79" s="89">
        <f t="shared" si="96"/>
        <v>7.8023165634790378E-3</v>
      </c>
    </row>
    <row r="80" spans="1:27" x14ac:dyDescent="0.25">
      <c r="A80" s="88" t="s">
        <v>11</v>
      </c>
      <c r="B80" s="44"/>
      <c r="C80" s="44"/>
      <c r="D80" s="89">
        <f>D47/D$23</f>
        <v>5.9667513315607504E-3</v>
      </c>
      <c r="E80" s="89">
        <f t="shared" ref="E80:S80" si="97">E47/E$23</f>
        <v>6.1473742198406185E-3</v>
      </c>
      <c r="F80" s="89">
        <f t="shared" si="97"/>
        <v>6.1284964843092635E-3</v>
      </c>
      <c r="G80" s="89">
        <f t="shared" si="97"/>
        <v>6.1550546429326725E-3</v>
      </c>
      <c r="H80" s="89">
        <f t="shared" si="97"/>
        <v>6.242008991173803E-3</v>
      </c>
      <c r="I80" s="89">
        <f t="shared" si="97"/>
        <v>6.3671099875034654E-3</v>
      </c>
      <c r="J80" s="89">
        <f t="shared" si="97"/>
        <v>6.5181428135666431E-3</v>
      </c>
      <c r="K80" s="89">
        <f t="shared" si="97"/>
        <v>6.5798349531460956E-3</v>
      </c>
      <c r="L80" s="89">
        <f t="shared" si="97"/>
        <v>6.7940825355211733E-3</v>
      </c>
      <c r="M80" s="89">
        <f t="shared" si="97"/>
        <v>6.6102010109719191E-3</v>
      </c>
      <c r="N80" s="89">
        <f t="shared" si="97"/>
        <v>5.5114593899910688E-3</v>
      </c>
      <c r="O80" s="89">
        <f t="shared" si="97"/>
        <v>5.0974774542460535E-3</v>
      </c>
      <c r="P80" s="89">
        <f t="shared" si="97"/>
        <v>5.5254937636209298E-3</v>
      </c>
      <c r="Q80" s="89">
        <f t="shared" si="97"/>
        <v>6.6347354691187778E-3</v>
      </c>
      <c r="R80" s="89">
        <f t="shared" si="97"/>
        <v>7.4327015625049522E-3</v>
      </c>
      <c r="S80" s="89">
        <f t="shared" si="97"/>
        <v>7.1219188287500413E-3</v>
      </c>
      <c r="T80" s="89">
        <f t="shared" ref="T80:Y80" si="98">T47/T$23</f>
        <v>7.0914263292132613E-3</v>
      </c>
      <c r="U80" s="89">
        <f t="shared" si="98"/>
        <v>6.9360544781844136E-3</v>
      </c>
      <c r="V80" s="89">
        <f t="shared" si="98"/>
        <v>6.1037760339574349E-3</v>
      </c>
      <c r="W80" s="89">
        <f t="shared" si="98"/>
        <v>6.2954318574863274E-3</v>
      </c>
      <c r="X80" s="89">
        <f t="shared" si="98"/>
        <v>7.649151667759496E-3</v>
      </c>
      <c r="Y80" s="89">
        <f t="shared" si="98"/>
        <v>8.0493833782557585E-3</v>
      </c>
      <c r="Z80" s="89">
        <f t="shared" ref="Z80:AA80" si="99">Z47/Z$23</f>
        <v>5.9933929218985984E-3</v>
      </c>
      <c r="AA80" s="89">
        <f t="shared" si="99"/>
        <v>5.0018524325591016E-3</v>
      </c>
    </row>
    <row r="81" spans="1:27" x14ac:dyDescent="0.25">
      <c r="A81" s="68" t="s">
        <v>4</v>
      </c>
      <c r="B81" s="44"/>
      <c r="C81" s="44"/>
      <c r="D81" s="89">
        <f>D48/D$23</f>
        <v>1.3785370246094511E-2</v>
      </c>
      <c r="E81" s="89">
        <f t="shared" ref="E81:S81" si="100">E48/E$23</f>
        <v>1.3517024220153622E-2</v>
      </c>
      <c r="F81" s="89">
        <f t="shared" si="100"/>
        <v>1.2808674719952003E-2</v>
      </c>
      <c r="G81" s="89">
        <f t="shared" si="100"/>
        <v>1.1929709880222251E-2</v>
      </c>
      <c r="H81" s="89">
        <f t="shared" si="100"/>
        <v>1.1623051224944322E-2</v>
      </c>
      <c r="I81" s="89">
        <f t="shared" si="100"/>
        <v>1.1764268076458138E-2</v>
      </c>
      <c r="J81" s="89">
        <f t="shared" si="100"/>
        <v>1.1164893984160524E-2</v>
      </c>
      <c r="K81" s="89">
        <f t="shared" si="100"/>
        <v>1.0334738418347327E-2</v>
      </c>
      <c r="L81" s="89">
        <f t="shared" si="100"/>
        <v>9.6790805458673718E-3</v>
      </c>
      <c r="M81" s="89">
        <f t="shared" si="100"/>
        <v>7.2108571582002977E-3</v>
      </c>
      <c r="N81" s="89">
        <f t="shared" si="100"/>
        <v>6.3874328622407946E-3</v>
      </c>
      <c r="O81" s="89">
        <f t="shared" si="100"/>
        <v>5.8802209549876803E-3</v>
      </c>
      <c r="P81" s="89">
        <f t="shared" si="100"/>
        <v>5.153000355704972E-3</v>
      </c>
      <c r="Q81" s="89">
        <f t="shared" si="100"/>
        <v>4.8366059078047991E-3</v>
      </c>
      <c r="R81" s="89">
        <f t="shared" si="100"/>
        <v>4.9878868623434089E-3</v>
      </c>
      <c r="S81" s="89">
        <f t="shared" si="100"/>
        <v>5.0165192886988631E-3</v>
      </c>
      <c r="T81" s="89">
        <f t="shared" ref="T81:Y81" si="101">T48/T$23</f>
        <v>5.1687267019815573E-3</v>
      </c>
      <c r="U81" s="89">
        <f t="shared" si="101"/>
        <v>5.2962807292658157E-3</v>
      </c>
      <c r="V81" s="89">
        <f t="shared" si="101"/>
        <v>5.264859793504547E-3</v>
      </c>
      <c r="W81" s="89">
        <f t="shared" si="101"/>
        <v>5.7839939260154946E-3</v>
      </c>
      <c r="X81" s="89">
        <f t="shared" si="101"/>
        <v>6.0894463822209121E-3</v>
      </c>
      <c r="Y81" s="89">
        <f t="shared" si="101"/>
        <v>5.9628373093031876E-3</v>
      </c>
      <c r="Z81" s="89">
        <f t="shared" ref="Z81:AA81" si="102">Z48/Z$23</f>
        <v>5.2904444435588954E-3</v>
      </c>
      <c r="AA81" s="89">
        <f t="shared" si="102"/>
        <v>5.0433551290600918E-3</v>
      </c>
    </row>
    <row r="82" spans="1:27" x14ac:dyDescent="0.25">
      <c r="A82" s="68" t="s">
        <v>3</v>
      </c>
      <c r="B82" s="44"/>
      <c r="C82" s="44"/>
      <c r="D82" s="89">
        <f>D52/D$23</f>
        <v>1.0856361335043621E-2</v>
      </c>
      <c r="E82" s="89">
        <f t="shared" ref="E82:S82" si="103">E52/E$23</f>
        <v>1.0346306254421164E-2</v>
      </c>
      <c r="F82" s="89">
        <f t="shared" si="103"/>
        <v>1.0025389067335903E-2</v>
      </c>
      <c r="G82" s="89">
        <f t="shared" si="103"/>
        <v>9.3602972883152832E-3</v>
      </c>
      <c r="H82" s="89">
        <f t="shared" si="103"/>
        <v>8.9138414583848878E-3</v>
      </c>
      <c r="I82" s="89">
        <f t="shared" si="103"/>
        <v>8.8147980087175618E-3</v>
      </c>
      <c r="J82" s="89">
        <f t="shared" si="103"/>
        <v>8.2759818404875198E-3</v>
      </c>
      <c r="K82" s="89">
        <f t="shared" si="103"/>
        <v>7.8208274587872051E-3</v>
      </c>
      <c r="L82" s="89">
        <f t="shared" si="103"/>
        <v>7.3266075232321344E-3</v>
      </c>
      <c r="M82" s="89">
        <f t="shared" si="103"/>
        <v>6.6629075934273906E-3</v>
      </c>
      <c r="N82" s="89">
        <f t="shared" si="103"/>
        <v>7.1047813804614481E-3</v>
      </c>
      <c r="O82" s="89">
        <f t="shared" si="103"/>
        <v>6.9025590940886101E-3</v>
      </c>
      <c r="P82" s="89">
        <f t="shared" si="103"/>
        <v>6.4121330021814473E-3</v>
      </c>
      <c r="Q82" s="89">
        <f t="shared" si="103"/>
        <v>6.1857363319223454E-3</v>
      </c>
      <c r="R82" s="89">
        <f t="shared" si="103"/>
        <v>5.6746325646359766E-3</v>
      </c>
      <c r="S82" s="89">
        <f t="shared" si="103"/>
        <v>5.639029248858226E-3</v>
      </c>
      <c r="T82" s="89">
        <f t="shared" ref="T82:Y82" si="104">T52/T$23</f>
        <v>5.5277614282911508E-3</v>
      </c>
      <c r="U82" s="89">
        <f t="shared" si="104"/>
        <v>5.5526131773726301E-3</v>
      </c>
      <c r="V82" s="89">
        <f t="shared" si="104"/>
        <v>5.5189940292117738E-3</v>
      </c>
      <c r="W82" s="89">
        <f t="shared" si="104"/>
        <v>5.4746706410022071E-3</v>
      </c>
      <c r="X82" s="89">
        <f t="shared" si="104"/>
        <v>5.4356893160187941E-3</v>
      </c>
      <c r="Y82" s="89">
        <f t="shared" si="104"/>
        <v>5.2896714181629627E-3</v>
      </c>
      <c r="Z82" s="89">
        <f t="shared" ref="Z82:AA82" si="105">Z52/Z$23</f>
        <v>5.1358276580737456E-3</v>
      </c>
      <c r="AA82" s="89">
        <f t="shared" si="105"/>
        <v>5.0727275992719185E-3</v>
      </c>
    </row>
    <row r="83" spans="1:27" x14ac:dyDescent="0.25">
      <c r="A83" s="88" t="s">
        <v>21</v>
      </c>
      <c r="B83" s="44"/>
      <c r="C83" s="44"/>
      <c r="D83" s="89">
        <f>D53/D$23</f>
        <v>5.0544092287566154E-3</v>
      </c>
      <c r="E83" s="89">
        <f t="shared" ref="E83:S83" si="106">E53/E$23</f>
        <v>4.9391835635990309E-3</v>
      </c>
      <c r="F83" s="89">
        <f t="shared" si="106"/>
        <v>4.6827098256422258E-3</v>
      </c>
      <c r="G83" s="89">
        <f t="shared" si="106"/>
        <v>4.3066156537788624E-3</v>
      </c>
      <c r="H83" s="89">
        <f t="shared" si="106"/>
        <v>4.094747587230883E-3</v>
      </c>
      <c r="I83" s="89">
        <f t="shared" si="106"/>
        <v>3.8485962707270191E-3</v>
      </c>
      <c r="J83" s="89">
        <f t="shared" si="106"/>
        <v>3.6459295840189166E-3</v>
      </c>
      <c r="K83" s="89">
        <f t="shared" si="106"/>
        <v>3.6117516326003066E-3</v>
      </c>
      <c r="L83" s="89">
        <f t="shared" si="106"/>
        <v>3.420448959528101E-3</v>
      </c>
      <c r="M83" s="89">
        <f t="shared" si="106"/>
        <v>3.1882510066460015E-3</v>
      </c>
      <c r="N83" s="89">
        <f t="shared" si="106"/>
        <v>3.5816908409749479E-3</v>
      </c>
      <c r="O83" s="89">
        <f t="shared" si="106"/>
        <v>3.7025493478660336E-3</v>
      </c>
      <c r="P83" s="89">
        <f t="shared" si="106"/>
        <v>3.6472875659601884E-3</v>
      </c>
      <c r="Q83" s="89">
        <f t="shared" si="106"/>
        <v>3.6239882854951951E-3</v>
      </c>
      <c r="R83" s="89">
        <f t="shared" si="106"/>
        <v>3.1727651445916665E-3</v>
      </c>
      <c r="S83" s="89">
        <f t="shared" si="106"/>
        <v>3.4030544488711824E-3</v>
      </c>
      <c r="T83" s="89">
        <f t="shared" ref="T83:Y83" si="107">T53/T$23</f>
        <v>3.3578575632725125E-3</v>
      </c>
      <c r="U83" s="89">
        <f t="shared" si="107"/>
        <v>3.4689696377984817E-3</v>
      </c>
      <c r="V83" s="89">
        <f t="shared" si="107"/>
        <v>3.4886527697443625E-3</v>
      </c>
      <c r="W83" s="89">
        <f t="shared" si="107"/>
        <v>3.4772506784022045E-3</v>
      </c>
      <c r="X83" s="89">
        <f t="shared" si="107"/>
        <v>3.5859642043757104E-3</v>
      </c>
      <c r="Y83" s="89">
        <f t="shared" si="107"/>
        <v>3.3980126855564343E-3</v>
      </c>
      <c r="Z83" s="89">
        <f t="shared" ref="Z83:AA83" si="108">Z53/Z$23</f>
        <v>3.2955691133046143E-3</v>
      </c>
      <c r="AA83" s="89">
        <f t="shared" si="108"/>
        <v>3.2532917609056412E-3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5.8019521062870052E-3</v>
      </c>
      <c r="E84" s="89">
        <f t="shared" ref="E84:S84" si="110">E56/E$23</f>
        <v>5.4071226908221333E-3</v>
      </c>
      <c r="F84" s="89">
        <f t="shared" si="110"/>
        <v>5.3426792416936776E-3</v>
      </c>
      <c r="G84" s="89">
        <f t="shared" si="110"/>
        <v>5.0536816345364208E-3</v>
      </c>
      <c r="H84" s="89">
        <f t="shared" si="110"/>
        <v>4.8190938711540048E-3</v>
      </c>
      <c r="I84" s="89">
        <f t="shared" si="110"/>
        <v>4.9662017379905419E-3</v>
      </c>
      <c r="J84" s="89">
        <f t="shared" si="110"/>
        <v>4.6300522564686024E-3</v>
      </c>
      <c r="K84" s="89">
        <f t="shared" si="110"/>
        <v>4.209075826186898E-3</v>
      </c>
      <c r="L84" s="89">
        <f t="shared" si="110"/>
        <v>3.9061585637040334E-3</v>
      </c>
      <c r="M84" s="89">
        <f t="shared" si="110"/>
        <v>3.4746565867813882E-3</v>
      </c>
      <c r="N84" s="89">
        <f t="shared" si="110"/>
        <v>3.5230905394865002E-3</v>
      </c>
      <c r="O84" s="89">
        <f t="shared" si="110"/>
        <v>3.200009746222577E-3</v>
      </c>
      <c r="P84" s="89">
        <f t="shared" si="110"/>
        <v>2.7648454362212585E-3</v>
      </c>
      <c r="Q84" s="89">
        <f t="shared" si="110"/>
        <v>2.5617480464271503E-3</v>
      </c>
      <c r="R84" s="89">
        <f t="shared" si="110"/>
        <v>2.5018674200443106E-3</v>
      </c>
      <c r="S84" s="89">
        <f t="shared" si="110"/>
        <v>2.2359747999870436E-3</v>
      </c>
      <c r="T84" s="89">
        <f t="shared" ref="T84:Y84" si="111">T56/T$23</f>
        <v>2.1699038650186383E-3</v>
      </c>
      <c r="U84" s="89">
        <f t="shared" si="111"/>
        <v>2.0836435395741493E-3</v>
      </c>
      <c r="V84" s="89">
        <f t="shared" si="111"/>
        <v>2.0303412594674108E-3</v>
      </c>
      <c r="W84" s="89">
        <f t="shared" si="111"/>
        <v>1.9974199626000026E-3</v>
      </c>
      <c r="X84" s="89">
        <f t="shared" si="111"/>
        <v>1.8497251116430836E-3</v>
      </c>
      <c r="Y84" s="89">
        <f t="shared" si="111"/>
        <v>1.8916587326065284E-3</v>
      </c>
      <c r="Z84" s="89">
        <f t="shared" ref="Z84:AA84" si="112">Z56/Z$23</f>
        <v>1.8402585447691306E-3</v>
      </c>
      <c r="AA84" s="89">
        <f t="shared" si="112"/>
        <v>1.8194358383662775E-3</v>
      </c>
    </row>
    <row r="85" spans="1:27" x14ac:dyDescent="0.25">
      <c r="A85" s="68" t="s">
        <v>2</v>
      </c>
      <c r="B85" s="44"/>
      <c r="C85" s="44"/>
      <c r="D85" s="89">
        <f t="shared" si="109"/>
        <v>2.4743669246255914E-2</v>
      </c>
      <c r="E85" s="89">
        <f t="shared" ref="E85:S85" si="113">E57/E$23</f>
        <v>2.393688612333561E-2</v>
      </c>
      <c r="F85" s="89">
        <f t="shared" si="113"/>
        <v>2.3460376226467555E-2</v>
      </c>
      <c r="G85" s="89">
        <f t="shared" si="113"/>
        <v>2.3706985341576694E-2</v>
      </c>
      <c r="H85" s="89">
        <f t="shared" si="113"/>
        <v>2.3327301410541946E-2</v>
      </c>
      <c r="I85" s="89">
        <f t="shared" si="113"/>
        <v>2.4091540410861059E-2</v>
      </c>
      <c r="J85" s="89">
        <f t="shared" si="113"/>
        <v>2.2928722354947667E-2</v>
      </c>
      <c r="K85" s="89">
        <f t="shared" si="113"/>
        <v>2.3325509759556416E-2</v>
      </c>
      <c r="L85" s="89">
        <f t="shared" si="113"/>
        <v>2.3157034401504337E-2</v>
      </c>
      <c r="M85" s="89">
        <f t="shared" si="113"/>
        <v>2.3389789044389878E-2</v>
      </c>
      <c r="N85" s="89">
        <f t="shared" si="113"/>
        <v>2.4223141865267802E-2</v>
      </c>
      <c r="O85" s="89">
        <f t="shared" si="113"/>
        <v>2.521022906668751E-2</v>
      </c>
      <c r="P85" s="89">
        <f t="shared" si="113"/>
        <v>2.5400902588252082E-2</v>
      </c>
      <c r="Q85" s="89">
        <f t="shared" si="113"/>
        <v>2.5300728103826515E-2</v>
      </c>
      <c r="R85" s="89">
        <f t="shared" si="113"/>
        <v>2.5032409114488962E-2</v>
      </c>
      <c r="S85" s="89">
        <f t="shared" si="113"/>
        <v>2.4328499012081752E-2</v>
      </c>
      <c r="T85" s="89">
        <f t="shared" ref="T85:Y85" si="114">T57/T$23</f>
        <v>2.3887580929958796E-2</v>
      </c>
      <c r="U85" s="89">
        <f t="shared" si="114"/>
        <v>2.3561852454288955E-2</v>
      </c>
      <c r="V85" s="89">
        <f t="shared" si="114"/>
        <v>2.1643310303367049E-2</v>
      </c>
      <c r="W85" s="89">
        <f t="shared" si="114"/>
        <v>2.2261610168299986E-2</v>
      </c>
      <c r="X85" s="89">
        <f t="shared" si="114"/>
        <v>2.3205465952254395E-2</v>
      </c>
      <c r="Y85" s="89">
        <f t="shared" si="114"/>
        <v>2.2371814642475604E-2</v>
      </c>
      <c r="Z85" s="89">
        <f t="shared" ref="Z85:AA85" si="115">Z57/Z$23</f>
        <v>2.3340758658340736E-2</v>
      </c>
      <c r="AA85" s="89">
        <f t="shared" si="115"/>
        <v>2.4282702961916126E-2</v>
      </c>
    </row>
    <row r="86" spans="1:27" x14ac:dyDescent="0.25">
      <c r="A86" s="68" t="s">
        <v>269</v>
      </c>
      <c r="B86" s="44"/>
      <c r="C86" s="44"/>
      <c r="D86" s="89">
        <f t="shared" si="109"/>
        <v>2.0486072766503279E-2</v>
      </c>
      <c r="E86" s="89">
        <f t="shared" ref="E86:S86" si="116">E58/E$23</f>
        <v>1.9376435900164642E-2</v>
      </c>
      <c r="F86" s="89">
        <f t="shared" si="116"/>
        <v>1.9572263724363992E-2</v>
      </c>
      <c r="G86" s="89">
        <f t="shared" si="116"/>
        <v>1.9326212402943219E-2</v>
      </c>
      <c r="H86" s="89">
        <f t="shared" si="116"/>
        <v>1.8180833951992083E-2</v>
      </c>
      <c r="I86" s="89">
        <f t="shared" si="116"/>
        <v>1.6626031924382164E-2</v>
      </c>
      <c r="J86" s="89">
        <f t="shared" si="116"/>
        <v>1.6596494118642446E-2</v>
      </c>
      <c r="K86" s="89">
        <f t="shared" si="116"/>
        <v>1.5880584595009049E-2</v>
      </c>
      <c r="L86" s="89">
        <f t="shared" si="116"/>
        <v>1.4411335564866618E-2</v>
      </c>
      <c r="M86" s="89">
        <f t="shared" si="116"/>
        <v>1.3018525866501188E-2</v>
      </c>
      <c r="N86" s="89">
        <f t="shared" si="116"/>
        <v>1.2457615816423443E-2</v>
      </c>
      <c r="O86" s="89">
        <f t="shared" si="116"/>
        <v>1.3171613720650925E-2</v>
      </c>
      <c r="P86" s="89">
        <f t="shared" si="116"/>
        <v>1.2330056440620877E-2</v>
      </c>
      <c r="Q86" s="89">
        <f t="shared" si="116"/>
        <v>1.4230393082213768E-2</v>
      </c>
      <c r="R86" s="89">
        <f t="shared" si="116"/>
        <v>1.5205606380607145E-2</v>
      </c>
      <c r="S86" s="89">
        <f t="shared" si="116"/>
        <v>1.492201924011272E-2</v>
      </c>
      <c r="T86" s="89">
        <f t="shared" ref="T86:Y86" si="117">T58/T$23</f>
        <v>1.4592897783009613E-2</v>
      </c>
      <c r="U86" s="89">
        <f t="shared" si="117"/>
        <v>1.494455868410984E-2</v>
      </c>
      <c r="V86" s="89">
        <f t="shared" si="117"/>
        <v>1.5587810665440021E-2</v>
      </c>
      <c r="W86" s="89">
        <f t="shared" si="117"/>
        <v>1.5154204687653782E-2</v>
      </c>
      <c r="X86" s="89">
        <f t="shared" si="117"/>
        <v>1.4855998851560286E-2</v>
      </c>
      <c r="Y86" s="89">
        <f t="shared" si="117"/>
        <v>1.4354614494075156E-2</v>
      </c>
      <c r="Z86" s="89">
        <f t="shared" ref="Z86:AA86" si="118">Z58/Z$23</f>
        <v>1.4223947270894186E-2</v>
      </c>
      <c r="AA86" s="89">
        <f t="shared" si="118"/>
        <v>1.4499772266103368E-2</v>
      </c>
    </row>
    <row r="87" spans="1:27" x14ac:dyDescent="0.25">
      <c r="A87" s="68" t="s">
        <v>270</v>
      </c>
      <c r="B87" s="44"/>
      <c r="C87" s="44"/>
      <c r="D87" s="89">
        <f t="shared" si="109"/>
        <v>3.8455984165682681E-2</v>
      </c>
      <c r="E87" s="89">
        <f t="shared" ref="E87:S87" si="119">E59/E$23</f>
        <v>3.7646407041310108E-2</v>
      </c>
      <c r="F87" s="89">
        <f t="shared" si="119"/>
        <v>3.5733466010111729E-2</v>
      </c>
      <c r="G87" s="89">
        <f t="shared" si="119"/>
        <v>3.4249679338407155E-2</v>
      </c>
      <c r="H87" s="89">
        <f t="shared" si="119"/>
        <v>3.2774736038934257E-2</v>
      </c>
      <c r="I87" s="89">
        <f t="shared" si="119"/>
        <v>3.1394990102409155E-2</v>
      </c>
      <c r="J87" s="89">
        <f t="shared" si="119"/>
        <v>3.1193571586018331E-2</v>
      </c>
      <c r="K87" s="89">
        <f t="shared" si="119"/>
        <v>3.0492370213296226E-2</v>
      </c>
      <c r="L87" s="89">
        <f t="shared" si="119"/>
        <v>3.0068155395863085E-2</v>
      </c>
      <c r="M87" s="89">
        <f t="shared" si="119"/>
        <v>2.559749872460015E-2</v>
      </c>
      <c r="N87" s="89">
        <f t="shared" si="119"/>
        <v>2.4567671224018851E-2</v>
      </c>
      <c r="O87" s="89">
        <f t="shared" si="119"/>
        <v>2.3590934794725262E-2</v>
      </c>
      <c r="P87" s="89">
        <f t="shared" si="119"/>
        <v>2.2888932958531512E-2</v>
      </c>
      <c r="Q87" s="89">
        <f t="shared" si="119"/>
        <v>2.2874426352943185E-2</v>
      </c>
      <c r="R87" s="89">
        <f t="shared" si="119"/>
        <v>2.3240531097430194E-2</v>
      </c>
      <c r="S87" s="89">
        <f t="shared" si="119"/>
        <v>2.2355699154601106E-2</v>
      </c>
      <c r="T87" s="89">
        <f t="shared" ref="T87:Y87" si="120">T59/T$23</f>
        <v>2.2170884834216205E-2</v>
      </c>
      <c r="U87" s="89">
        <f t="shared" si="120"/>
        <v>2.2969083668041942E-2</v>
      </c>
      <c r="V87" s="89">
        <f t="shared" si="120"/>
        <v>2.3632662169978454E-2</v>
      </c>
      <c r="W87" s="89">
        <f t="shared" si="120"/>
        <v>2.3075341310124713E-2</v>
      </c>
      <c r="X87" s="89">
        <f t="shared" si="120"/>
        <v>2.3896081725453072E-2</v>
      </c>
      <c r="Y87" s="89">
        <f t="shared" si="120"/>
        <v>2.4298338540758718E-2</v>
      </c>
      <c r="Z87" s="89">
        <f t="shared" ref="Z87:AA87" si="121">Z59/Z$23</f>
        <v>2.2350095440000318E-2</v>
      </c>
      <c r="AA87" s="89">
        <f t="shared" si="121"/>
        <v>2.1444777549423335E-2</v>
      </c>
    </row>
    <row r="88" spans="1:27" x14ac:dyDescent="0.25">
      <c r="A88" s="68" t="s">
        <v>1</v>
      </c>
      <c r="B88" s="44"/>
      <c r="C88" s="44"/>
      <c r="D88" s="89">
        <f t="shared" si="109"/>
        <v>1.2871329182205082E-2</v>
      </c>
      <c r="E88" s="89">
        <f t="shared" ref="E88:S88" si="122">E60/E$23</f>
        <v>1.2686001890536674E-2</v>
      </c>
      <c r="F88" s="89">
        <f t="shared" si="122"/>
        <v>1.1908716425336387E-2</v>
      </c>
      <c r="G88" s="89">
        <f t="shared" si="122"/>
        <v>1.1711357874817009E-2</v>
      </c>
      <c r="H88" s="89">
        <f t="shared" si="122"/>
        <v>1.0701507465148891E-2</v>
      </c>
      <c r="I88" s="89">
        <f t="shared" si="122"/>
        <v>9.8927891038868895E-3</v>
      </c>
      <c r="J88" s="89">
        <f t="shared" si="122"/>
        <v>9.5595717062505157E-3</v>
      </c>
      <c r="K88" s="89">
        <f t="shared" si="122"/>
        <v>8.899100615140933E-3</v>
      </c>
      <c r="L88" s="89">
        <f t="shared" si="122"/>
        <v>8.5282023672978938E-3</v>
      </c>
      <c r="M88" s="89">
        <f t="shared" si="122"/>
        <v>7.6991388937783347E-3</v>
      </c>
      <c r="N88" s="89">
        <f t="shared" si="122"/>
        <v>8.0029825532757573E-3</v>
      </c>
      <c r="O88" s="89">
        <f t="shared" si="122"/>
        <v>8.9675400026599066E-3</v>
      </c>
      <c r="P88" s="89">
        <f t="shared" si="122"/>
        <v>8.3805770395063359E-3</v>
      </c>
      <c r="Q88" s="89">
        <f t="shared" si="122"/>
        <v>8.7133561778975112E-3</v>
      </c>
      <c r="R88" s="89">
        <f t="shared" si="122"/>
        <v>8.7301226739130659E-3</v>
      </c>
      <c r="S88" s="89">
        <f t="shared" si="122"/>
        <v>8.8214216305509668E-3</v>
      </c>
      <c r="T88" s="89">
        <f t="shared" ref="T88:Y88" si="123">T60/T$23</f>
        <v>8.8552089464390797E-3</v>
      </c>
      <c r="U88" s="89">
        <f t="shared" si="123"/>
        <v>8.8170822959094241E-3</v>
      </c>
      <c r="V88" s="89">
        <f t="shared" si="123"/>
        <v>8.2935204878648618E-3</v>
      </c>
      <c r="W88" s="89">
        <f t="shared" si="123"/>
        <v>7.7278095693376261E-3</v>
      </c>
      <c r="X88" s="89">
        <f t="shared" si="123"/>
        <v>7.400840378519521E-3</v>
      </c>
      <c r="Y88" s="89">
        <f t="shared" si="123"/>
        <v>7.3905211448290044E-3</v>
      </c>
      <c r="Z88" s="89">
        <f t="shared" ref="Z88:AA88" si="124">Z60/Z$23</f>
        <v>6.5632434457227329E-3</v>
      </c>
      <c r="AA88" s="89">
        <f t="shared" si="124"/>
        <v>6.2013582723202138E-3</v>
      </c>
    </row>
    <row r="89" spans="1:27" x14ac:dyDescent="0.25">
      <c r="A89" s="68" t="s">
        <v>0</v>
      </c>
      <c r="B89" s="44"/>
      <c r="C89" s="44"/>
      <c r="D89" s="89">
        <f t="shared" si="109"/>
        <v>4.3000705068850396E-3</v>
      </c>
      <c r="E89" s="89">
        <f t="shared" ref="E89:S89" si="125">E61/E$23</f>
        <v>4.0001752815459835E-3</v>
      </c>
      <c r="F89" s="89">
        <f t="shared" si="125"/>
        <v>3.7988483460522559E-3</v>
      </c>
      <c r="G89" s="89">
        <f t="shared" si="125"/>
        <v>3.5828954849199787E-3</v>
      </c>
      <c r="H89" s="89">
        <f t="shared" si="125"/>
        <v>3.3987564959168525E-3</v>
      </c>
      <c r="I89" s="89">
        <f t="shared" si="125"/>
        <v>3.322805513840421E-3</v>
      </c>
      <c r="J89" s="89">
        <f t="shared" si="125"/>
        <v>3.2952523873880897E-3</v>
      </c>
      <c r="K89" s="89">
        <f t="shared" si="125"/>
        <v>3.1102052838474269E-3</v>
      </c>
      <c r="L89" s="89">
        <f t="shared" si="125"/>
        <v>2.9006031381912096E-3</v>
      </c>
      <c r="M89" s="89">
        <f t="shared" si="125"/>
        <v>2.1719089826933461E-3</v>
      </c>
      <c r="N89" s="89">
        <f t="shared" si="125"/>
        <v>2.0297932015567476E-3</v>
      </c>
      <c r="O89" s="89">
        <f t="shared" si="125"/>
        <v>1.8304624278043487E-3</v>
      </c>
      <c r="P89" s="89">
        <f t="shared" si="125"/>
        <v>1.6809420830460936E-3</v>
      </c>
      <c r="Q89" s="89">
        <f t="shared" si="125"/>
        <v>1.5933603586020661E-3</v>
      </c>
      <c r="R89" s="89">
        <f t="shared" si="125"/>
        <v>1.557327946429609E-3</v>
      </c>
      <c r="S89" s="89">
        <f t="shared" si="125"/>
        <v>1.6266235869530012E-3</v>
      </c>
      <c r="T89" s="89">
        <f t="shared" ref="T89:Y89" si="126">T61/T$23</f>
        <v>1.6362566215420834E-3</v>
      </c>
      <c r="U89" s="89">
        <f t="shared" si="126"/>
        <v>1.8197719018171335E-3</v>
      </c>
      <c r="V89" s="89">
        <f t="shared" si="126"/>
        <v>1.837235675345791E-3</v>
      </c>
      <c r="W89" s="89">
        <f t="shared" si="126"/>
        <v>1.8374857640988148E-3</v>
      </c>
      <c r="X89" s="89">
        <f t="shared" si="126"/>
        <v>1.8962834783755786E-3</v>
      </c>
      <c r="Y89" s="89">
        <f t="shared" si="126"/>
        <v>2.242098346586566E-3</v>
      </c>
      <c r="Z89" s="89">
        <f t="shared" ref="Z89:AA89" si="127">Z61/Z$23</f>
        <v>2.3009209262661243E-3</v>
      </c>
      <c r="AA89" s="89">
        <f t="shared" si="127"/>
        <v>2.3364962429873906E-3</v>
      </c>
    </row>
    <row r="90" spans="1:27" x14ac:dyDescent="0.25">
      <c r="A90" s="90" t="s">
        <v>272</v>
      </c>
      <c r="B90" s="47"/>
      <c r="C90" s="47"/>
      <c r="D90" s="91">
        <f t="shared" si="109"/>
        <v>1.7054171374204671E-2</v>
      </c>
      <c r="E90" s="91">
        <f t="shared" ref="E90:S90" si="128">E62/E$23</f>
        <v>1.6215108017252712E-2</v>
      </c>
      <c r="F90" s="91">
        <f t="shared" si="128"/>
        <v>1.5458795811901399E-2</v>
      </c>
      <c r="G90" s="91">
        <f t="shared" si="128"/>
        <v>1.4716101194481598E-2</v>
      </c>
      <c r="H90" s="91">
        <f t="shared" si="128"/>
        <v>1.4541058318897964E-2</v>
      </c>
      <c r="I90" s="91">
        <f t="shared" si="128"/>
        <v>1.3813411505694265E-2</v>
      </c>
      <c r="J90" s="91">
        <f t="shared" si="128"/>
        <v>1.306968345538384E-2</v>
      </c>
      <c r="K90" s="91">
        <f t="shared" si="128"/>
        <v>1.2375939369534612E-2</v>
      </c>
      <c r="L90" s="91">
        <f t="shared" si="128"/>
        <v>1.2346582086873746E-2</v>
      </c>
      <c r="M90" s="91">
        <f t="shared" si="128"/>
        <v>1.1059432141269551E-2</v>
      </c>
      <c r="N90" s="91">
        <f t="shared" si="128"/>
        <v>1.0790538274079673E-2</v>
      </c>
      <c r="O90" s="91">
        <f t="shared" si="128"/>
        <v>1.0434549546851411E-2</v>
      </c>
      <c r="P90" s="91">
        <f t="shared" si="128"/>
        <v>1.0381548670198533E-2</v>
      </c>
      <c r="Q90" s="91">
        <f t="shared" si="128"/>
        <v>1.0459226932269387E-2</v>
      </c>
      <c r="R90" s="91">
        <f t="shared" si="128"/>
        <v>1.0483965544383318E-2</v>
      </c>
      <c r="S90" s="91">
        <f t="shared" si="128"/>
        <v>1.0292164674634794E-2</v>
      </c>
      <c r="T90" s="91">
        <f t="shared" ref="T90:Y90" si="129">T62/T$23</f>
        <v>1.0071610751422403E-2</v>
      </c>
      <c r="U90" s="91">
        <f t="shared" si="129"/>
        <v>1.0217486773434158E-2</v>
      </c>
      <c r="V90" s="91">
        <f t="shared" si="129"/>
        <v>1.0174478182257057E-2</v>
      </c>
      <c r="W90" s="91">
        <f t="shared" si="129"/>
        <v>1.0348269898626323E-2</v>
      </c>
      <c r="X90" s="91">
        <f t="shared" si="129"/>
        <v>1.0560019554514027E-2</v>
      </c>
      <c r="Y90" s="91">
        <f t="shared" si="129"/>
        <v>1.1031696011514444E-2</v>
      </c>
      <c r="Z90" s="91">
        <f t="shared" ref="Z90:AA90" si="130">Z62/Z$23</f>
        <v>1.055777606866898E-2</v>
      </c>
      <c r="AA90" s="91">
        <f t="shared" si="130"/>
        <v>1.0197295490128728E-2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3.9189892611858124E-2</v>
      </c>
      <c r="F93" s="92">
        <f t="shared" ref="F93:F94" si="132">IF(E16=0,"",F16/E16-1)</f>
        <v>2.7543920965861668E-2</v>
      </c>
      <c r="G93" s="92">
        <f t="shared" ref="G93:G94" si="133">IF(F16=0,"",G16/F16-1)</f>
        <v>2.9398350419640229E-2</v>
      </c>
      <c r="H93" s="92">
        <f t="shared" ref="H93:H94" si="134">IF(G16=0,"",H16/G16-1)</f>
        <v>3.1141225734437672E-2</v>
      </c>
      <c r="I93" s="92">
        <f t="shared" ref="I93:I94" si="135">IF(H16=0,"",I16/H16-1)</f>
        <v>3.5521251757018257E-2</v>
      </c>
      <c r="J93" s="92">
        <f t="shared" ref="J93:J94" si="136">IF(I16=0,"",J16/I16-1)</f>
        <v>4.0429358120682268E-2</v>
      </c>
      <c r="K93" s="92">
        <f t="shared" ref="K93:K94" si="137">IF(J16=0,"",K16/J16-1)</f>
        <v>3.5335188062090017E-2</v>
      </c>
      <c r="L93" s="92">
        <f t="shared" ref="L93:L94" si="138">IF(K16=0,"",L16/K16-1)</f>
        <v>7.670945949779906E-3</v>
      </c>
      <c r="M93" s="92">
        <f t="shared" ref="M93:M94" si="139">IF(L16=0,"",M16/L16-1)</f>
        <v>-3.7680206743111677E-2</v>
      </c>
      <c r="N93" s="92">
        <f t="shared" ref="N93:N94" si="140">IF(M16=0,"",N16/M16-1)</f>
        <v>9.388554273219718E-4</v>
      </c>
      <c r="O93" s="92">
        <f t="shared" ref="O93:O94" si="141">IF(N16=0,"",O16/N16-1)</f>
        <v>-6.4027048590232782E-3</v>
      </c>
      <c r="P93" s="92">
        <f t="shared" ref="P93:P94" si="142">IF(O16=0,"",P16/O16-1)</f>
        <v>-2.8649320015540991E-2</v>
      </c>
      <c r="Q93" s="92">
        <f t="shared" ref="Q93:Q94" si="143">IF(P16=0,"",Q16/P16-1)</f>
        <v>-1.4274929698966821E-2</v>
      </c>
      <c r="R93" s="92">
        <f t="shared" ref="R93:R94" si="144">IF(Q16=0,"",R16/Q16-1)</f>
        <v>1.5205260163466461E-2</v>
      </c>
      <c r="S93" s="92">
        <f t="shared" ref="S93:S94" si="145">IF(R16=0,"",S16/R16-1)</f>
        <v>4.0612922405238061E-2</v>
      </c>
      <c r="T93" s="92">
        <f t="shared" ref="T93:T94" si="146">IF(S16=0,"",T16/S16-1)</f>
        <v>2.9153431506356187E-2</v>
      </c>
      <c r="U93" s="92">
        <f t="shared" ref="U93:U94" si="147">IF(T16=0,"",U16/T16-1)</f>
        <v>2.8956612827959916E-2</v>
      </c>
      <c r="V93" s="92">
        <f t="shared" ref="V93:V94" si="148">IF(U16=0,"",V16/U16-1)</f>
        <v>2.3951802042121662E-2</v>
      </c>
      <c r="W93" s="92">
        <f t="shared" ref="W93:W94" si="149">IF(V16=0,"",W16/V16-1)</f>
        <v>1.9614464074191096E-2</v>
      </c>
      <c r="X93" s="92">
        <f t="shared" ref="X93:X94" si="150">IF(W16=0,"",X16/W16-1)</f>
        <v>-0.10940241506836712</v>
      </c>
      <c r="Y93" s="92">
        <f t="shared" ref="Y93:Y94" si="151">IF(X16=0,"",Y16/X16-1)</f>
        <v>6.6836817899092793E-2</v>
      </c>
      <c r="Z93" s="92">
        <f t="shared" ref="Z93:Z94" si="152">IF(Y16=0,"",Z16/Y16-1)</f>
        <v>6.3705659729418107E-2</v>
      </c>
      <c r="AA93" s="92">
        <f t="shared" ref="AA93:AA94" si="153">IF(Z16=0,"",AA16/Z16-1)</f>
        <v>2.4607035009534872E-2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3.9449770175216115E-2</v>
      </c>
      <c r="F94" s="93">
        <f t="shared" si="132"/>
        <v>3.1087477910065386E-2</v>
      </c>
      <c r="G94" s="93">
        <f t="shared" si="133"/>
        <v>2.4156983313583291E-2</v>
      </c>
      <c r="H94" s="93">
        <f t="shared" si="134"/>
        <v>4.1224929517309938E-2</v>
      </c>
      <c r="I94" s="93">
        <f t="shared" si="135"/>
        <v>4.1970253644791455E-2</v>
      </c>
      <c r="J94" s="93">
        <f t="shared" si="136"/>
        <v>4.0778817655064747E-2</v>
      </c>
      <c r="K94" s="93">
        <f t="shared" si="137"/>
        <v>3.4734097514216744E-2</v>
      </c>
      <c r="L94" s="93">
        <f t="shared" si="138"/>
        <v>-6.3566232821323787E-3</v>
      </c>
      <c r="M94" s="93">
        <f t="shared" si="139"/>
        <v>-3.528915034593394E-2</v>
      </c>
      <c r="N94" s="93">
        <f t="shared" si="140"/>
        <v>4.7271789883902571E-3</v>
      </c>
      <c r="O94" s="93">
        <f t="shared" si="141"/>
        <v>-2.4153838631451485E-2</v>
      </c>
      <c r="P94" s="93">
        <f t="shared" si="142"/>
        <v>-3.3005550012027096E-2</v>
      </c>
      <c r="Q94" s="93">
        <f t="shared" si="143"/>
        <v>-2.8706123222793534E-2</v>
      </c>
      <c r="R94" s="93">
        <f t="shared" si="144"/>
        <v>1.7359380154864823E-2</v>
      </c>
      <c r="S94" s="93">
        <f t="shared" si="145"/>
        <v>2.9951806974823914E-2</v>
      </c>
      <c r="T94" s="93">
        <f t="shared" si="146"/>
        <v>2.6570654287251472E-2</v>
      </c>
      <c r="U94" s="93">
        <f t="shared" si="147"/>
        <v>3.0759158339000559E-2</v>
      </c>
      <c r="V94" s="93">
        <f t="shared" si="148"/>
        <v>1.7346632229207071E-2</v>
      </c>
      <c r="W94" s="93">
        <f t="shared" si="149"/>
        <v>1.1411983551167904E-2</v>
      </c>
      <c r="X94" s="93">
        <f t="shared" si="150"/>
        <v>-0.12071420788413656</v>
      </c>
      <c r="Y94" s="93">
        <f t="shared" si="151"/>
        <v>7.1049996964922091E-2</v>
      </c>
      <c r="Z94" s="93">
        <f t="shared" si="152"/>
        <v>4.9089459004209912E-2</v>
      </c>
      <c r="AA94" s="93">
        <f t="shared" si="153"/>
        <v>1.7786944765086687E-2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3.4197478149188942E-2</v>
      </c>
      <c r="F95" s="92">
        <f t="shared" ref="F95:F96" si="155">IF(E20=0,"",F20/E20-1)</f>
        <v>1.8285621399072749E-2</v>
      </c>
      <c r="G95" s="92">
        <f t="shared" ref="G95:G96" si="156">IF(F20=0,"",G20/F20-1)</f>
        <v>9.8931597232290169E-3</v>
      </c>
      <c r="H95" s="92">
        <f t="shared" ref="H95:H96" si="157">IF(G20=0,"",H20/G20-1)</f>
        <v>1.3701341242310594E-2</v>
      </c>
      <c r="I95" s="92">
        <f t="shared" ref="I95:I96" si="158">IF(H20=0,"",I20/H20-1)</f>
        <v>1.7610074057311742E-2</v>
      </c>
      <c r="J95" s="92">
        <f t="shared" ref="J95:J96" si="159">IF(I20=0,"",J20/I20-1)</f>
        <v>2.3558528459746153E-2</v>
      </c>
      <c r="K95" s="92">
        <f t="shared" ref="K95:K96" si="160">IF(J20=0,"",K20/J20-1)</f>
        <v>1.7425732323026244E-2</v>
      </c>
      <c r="L95" s="92">
        <f t="shared" ref="L95:L96" si="161">IF(K20=0,"",L20/K20-1)</f>
        <v>-1.1840262979069038E-2</v>
      </c>
      <c r="M95" s="92">
        <f t="shared" ref="M95:M96" si="162">IF(L20=0,"",M20/L20-1)</f>
        <v>-4.9549850475775536E-2</v>
      </c>
      <c r="N95" s="92">
        <f t="shared" ref="N95:N96" si="163">IF(M20=0,"",N20/M20-1)</f>
        <v>-4.3869399834933764E-3</v>
      </c>
      <c r="O95" s="92">
        <f t="shared" ref="O95:O96" si="164">IF(N20=0,"",O20/N20-1)</f>
        <v>-1.0246926487360586E-2</v>
      </c>
      <c r="P95" s="92">
        <f t="shared" ref="P95:P96" si="165">IF(O20=0,"",P20/O20-1)</f>
        <v>-3.178309286277925E-2</v>
      </c>
      <c r="Q95" s="92">
        <f t="shared" ref="Q95:Q96" si="166">IF(P20=0,"",Q20/P20-1)</f>
        <v>-1.204722457098506E-2</v>
      </c>
      <c r="R95" s="92">
        <f t="shared" ref="R95:R96" si="167">IF(Q20=0,"",R20/Q20-1)</f>
        <v>1.9941265939844799E-2</v>
      </c>
      <c r="S95" s="92">
        <f t="shared" ref="S95:S96" si="168">IF(R20=0,"",S20/R20-1)</f>
        <v>4.2182435918731054E-2</v>
      </c>
      <c r="T95" s="92">
        <f t="shared" ref="T95:T96" si="169">IF(S20=0,"",T20/S20-1)</f>
        <v>2.9305036856554612E-2</v>
      </c>
      <c r="U95" s="92">
        <f t="shared" ref="U95:U96" si="170">IF(T20=0,"",U20/T20-1)</f>
        <v>2.7219260484001362E-2</v>
      </c>
      <c r="V95" s="92">
        <f t="shared" ref="V95:V96" si="171">IF(U20=0,"",V20/U20-1)</f>
        <v>2.0709998990477319E-2</v>
      </c>
      <c r="W95" s="92">
        <f t="shared" ref="W95:W96" si="172">IF(V20=0,"",W20/V20-1)</f>
        <v>1.3662646672410128E-2</v>
      </c>
      <c r="X95" s="92">
        <f t="shared" ref="X95:X96" si="173">IF(W20=0,"",X20/W20-1)</f>
        <v>-0.11691406454565167</v>
      </c>
      <c r="Y95" s="92">
        <f t="shared" ref="Y95:Y96" si="174">IF(X20=0,"",Y20/X20-1)</f>
        <v>6.497443125725777E-2</v>
      </c>
      <c r="Z95" s="92">
        <f t="shared" ref="Z95:Z96" si="175">IF(Y20=0,"",Z20/Y20-1)</f>
        <v>6.1778251047156063E-2</v>
      </c>
      <c r="AA95" s="92">
        <f t="shared" ref="AA95:AA96" si="176">IF(Z20=0,"",AA20/Z20-1)</f>
        <v>1.1853761650937322E-2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3.4456107224166477E-2</v>
      </c>
      <c r="F96" s="93">
        <f t="shared" si="155"/>
        <v>2.1797250450899197E-2</v>
      </c>
      <c r="G96" s="93">
        <f t="shared" si="156"/>
        <v>4.7511068086820707E-3</v>
      </c>
      <c r="H96" s="93">
        <f t="shared" si="157"/>
        <v>2.3614497456297956E-2</v>
      </c>
      <c r="I96" s="93">
        <f t="shared" si="158"/>
        <v>2.39475290129465E-2</v>
      </c>
      <c r="J96" s="93">
        <f t="shared" si="159"/>
        <v>2.3902321417890615E-2</v>
      </c>
      <c r="K96" s="93">
        <f t="shared" si="160"/>
        <v>1.6835039571621468E-2</v>
      </c>
      <c r="L96" s="93">
        <f t="shared" si="161"/>
        <v>-2.5596220892675436E-2</v>
      </c>
      <c r="M96" s="93">
        <f t="shared" si="162"/>
        <v>-4.7188286340710595E-2</v>
      </c>
      <c r="N96" s="93">
        <f t="shared" si="163"/>
        <v>-6.1877333423521197E-4</v>
      </c>
      <c r="O96" s="93">
        <f t="shared" si="164"/>
        <v>-2.792938123589328E-2</v>
      </c>
      <c r="P96" s="93">
        <f t="shared" si="165"/>
        <v>-3.6125268784294784E-2</v>
      </c>
      <c r="Q96" s="93">
        <f t="shared" si="166"/>
        <v>-2.6511032101277365E-2</v>
      </c>
      <c r="R96" s="93">
        <f t="shared" si="167"/>
        <v>2.2105435056402944E-2</v>
      </c>
      <c r="S96" s="93">
        <f t="shared" si="168"/>
        <v>3.1505240768012754E-2</v>
      </c>
      <c r="T96" s="93">
        <f t="shared" si="169"/>
        <v>2.6721879166635043E-2</v>
      </c>
      <c r="U96" s="93">
        <f t="shared" si="170"/>
        <v>2.9018762468590253E-2</v>
      </c>
      <c r="V96" s="93">
        <f t="shared" si="171"/>
        <v>1.4125740962290578E-2</v>
      </c>
      <c r="W96" s="93">
        <f t="shared" si="172"/>
        <v>5.5080466650476723E-3</v>
      </c>
      <c r="X96" s="93">
        <f t="shared" si="173"/>
        <v>-0.12813044926237693</v>
      </c>
      <c r="Y96" s="93">
        <f t="shared" si="174"/>
        <v>6.9180255338444629E-2</v>
      </c>
      <c r="Z96" s="93">
        <f t="shared" si="175"/>
        <v>4.7188534520768766E-2</v>
      </c>
      <c r="AA96" s="93">
        <f t="shared" si="176"/>
        <v>5.1185610004953475E-3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3.9703283345321028E-2</v>
      </c>
      <c r="F97" s="89">
        <f t="shared" ref="F97:F106" si="178">IF(E23=0,"",F23/E23-1)</f>
        <v>2.67720851452522E-2</v>
      </c>
      <c r="G97" s="89">
        <f t="shared" ref="G97:G106" si="179">IF(F23=0,"",G23/F23-1)</f>
        <v>2.6631906022878793E-2</v>
      </c>
      <c r="H97" s="89">
        <f t="shared" ref="H97:H106" si="180">IF(G23=0,"",H23/G23-1)</f>
        <v>2.8013375981907673E-2</v>
      </c>
      <c r="I97" s="89">
        <f t="shared" ref="I97:I106" si="181">IF(H23=0,"",I23/H23-1)</f>
        <v>3.3542309349702926E-2</v>
      </c>
      <c r="J97" s="89">
        <f t="shared" ref="J97:J106" si="182">IF(I23=0,"",J23/I23-1)</f>
        <v>4.1827985653255739E-2</v>
      </c>
      <c r="K97" s="89">
        <f t="shared" ref="K97:K106" si="183">IF(J23=0,"",K23/J23-1)</f>
        <v>3.9706796795371702E-2</v>
      </c>
      <c r="L97" s="89">
        <f t="shared" ref="L97:L106" si="184">IF(K23=0,"",L23/K23-1)</f>
        <v>1.1033326176290936E-2</v>
      </c>
      <c r="M97" s="89">
        <f t="shared" ref="M97:M106" si="185">IF(L23=0,"",M23/L23-1)</f>
        <v>-3.2660945425115662E-2</v>
      </c>
      <c r="N97" s="89">
        <f t="shared" ref="N97:N106" si="186">IF(M23=0,"",N23/M23-1)</f>
        <v>-1.7594553982296368E-3</v>
      </c>
      <c r="O97" s="89">
        <f t="shared" ref="O97:O106" si="187">IF(N23=0,"",O23/N23-1)</f>
        <v>-2.5126226420080222E-3</v>
      </c>
      <c r="P97" s="89">
        <f t="shared" ref="P97:P106" si="188">IF(O23=0,"",P23/O23-1)</f>
        <v>-2.7874581157410372E-2</v>
      </c>
      <c r="Q97" s="89">
        <f t="shared" ref="Q97:Q106" si="189">IF(P23=0,"",Q23/P23-1)</f>
        <v>-1.2767190834391373E-2</v>
      </c>
      <c r="R97" s="89">
        <f t="shared" ref="R97:R106" si="190">IF(Q23=0,"",R23/Q23-1)</f>
        <v>1.0814531385749948E-2</v>
      </c>
      <c r="S97" s="89">
        <f t="shared" ref="S97:S106" si="191">IF(R23=0,"",S23/R23-1)</f>
        <v>3.5372935499786928E-2</v>
      </c>
      <c r="T97" s="89">
        <f t="shared" ref="T97:T106" si="192">IF(S23=0,"",T23/S23-1)</f>
        <v>2.6551212631365617E-2</v>
      </c>
      <c r="U97" s="89">
        <f t="shared" ref="U97:U106" si="193">IF(T23=0,"",U23/T23-1)</f>
        <v>3.0258067218114748E-2</v>
      </c>
      <c r="V97" s="89">
        <f t="shared" ref="V97:V106" si="194">IF(U23=0,"",V23/U23-1)</f>
        <v>2.4529573793128367E-2</v>
      </c>
      <c r="W97" s="89">
        <f t="shared" ref="W97:W106" si="195">IF(V23=0,"",W23/V23-1)</f>
        <v>2.0722059641696156E-2</v>
      </c>
      <c r="X97" s="89">
        <f t="shared" ref="X97:X106" si="196">IF(W23=0,"",X23/W23-1)</f>
        <v>-0.10864054780293775</v>
      </c>
      <c r="Y97" s="89">
        <f t="shared" ref="Y97:Y106" si="197">IF(X23=0,"",Y23/X23-1)</f>
        <v>6.2829406415082945E-2</v>
      </c>
      <c r="Z97" s="89">
        <f t="shared" ref="Z97:Z108" si="198">IF(Y23=0,"",Z23/Y23-1)</f>
        <v>6.9104278984635892E-2</v>
      </c>
      <c r="AA97" s="89">
        <f t="shared" ref="AA97:AA108" si="199">IF(Z23=0,"",AA23/Z23-1)</f>
        <v>2.6263877276357928E-2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1.7296846231492191E-2</v>
      </c>
      <c r="F98" s="83">
        <f t="shared" si="178"/>
        <v>-2.6807924600945499E-2</v>
      </c>
      <c r="G98" s="83">
        <f t="shared" si="179"/>
        <v>1.330335633512858E-2</v>
      </c>
      <c r="H98" s="83">
        <f t="shared" si="180"/>
        <v>-5.7768701379443677E-2</v>
      </c>
      <c r="I98" s="83">
        <f t="shared" si="181"/>
        <v>-8.0956000527083294E-2</v>
      </c>
      <c r="J98" s="83">
        <f t="shared" si="182"/>
        <v>-8.945681228708191E-2</v>
      </c>
      <c r="K98" s="83">
        <f t="shared" si="183"/>
        <v>7.1613359811115052E-2</v>
      </c>
      <c r="L98" s="83">
        <f t="shared" si="184"/>
        <v>-6.7380068944057014E-2</v>
      </c>
      <c r="M98" s="83">
        <f t="shared" si="185"/>
        <v>-9.0710369672078905E-2</v>
      </c>
      <c r="N98" s="83">
        <f t="shared" si="186"/>
        <v>9.4059882052158761E-2</v>
      </c>
      <c r="O98" s="83">
        <f t="shared" si="187"/>
        <v>-2.81408587524139E-2</v>
      </c>
      <c r="P98" s="83">
        <f t="shared" si="188"/>
        <v>-1.1510512170592624E-2</v>
      </c>
      <c r="Q98" s="83">
        <f t="shared" si="189"/>
        <v>8.1165507836163719E-2</v>
      </c>
      <c r="R98" s="83">
        <f t="shared" si="190"/>
        <v>-1.7720412084093917E-2</v>
      </c>
      <c r="S98" s="83">
        <f t="shared" si="191"/>
        <v>0.11854893349584827</v>
      </c>
      <c r="T98" s="83">
        <f t="shared" si="192"/>
        <v>6.2378286797093674E-2</v>
      </c>
      <c r="U98" s="83">
        <f t="shared" si="193"/>
        <v>2.6911386996798736E-2</v>
      </c>
      <c r="V98" s="83">
        <f t="shared" si="194"/>
        <v>-1.1371274256705144E-2</v>
      </c>
      <c r="W98" s="83">
        <f t="shared" si="195"/>
        <v>-5.0029032047557043E-2</v>
      </c>
      <c r="X98" s="83">
        <f t="shared" si="196"/>
        <v>-2.0673178561854688E-2</v>
      </c>
      <c r="Y98" s="83">
        <f t="shared" si="197"/>
        <v>6.5421347199394519E-2</v>
      </c>
      <c r="Z98" s="83">
        <f t="shared" si="198"/>
        <v>-9.1412806866312923E-2</v>
      </c>
      <c r="AA98" s="83">
        <f t="shared" si="199"/>
        <v>0.12800585042344781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0.20635361253668294</v>
      </c>
      <c r="F99" s="83">
        <f t="shared" si="178"/>
        <v>5.5991579408092962E-2</v>
      </c>
      <c r="G99" s="83">
        <f t="shared" si="179"/>
        <v>5.4885487402944078E-2</v>
      </c>
      <c r="H99" s="83">
        <f t="shared" si="180"/>
        <v>3.5177007872184696E-2</v>
      </c>
      <c r="I99" s="83">
        <f t="shared" si="181"/>
        <v>-4.4050537985538152E-2</v>
      </c>
      <c r="J99" s="83">
        <f t="shared" si="182"/>
        <v>4.5786027707360732E-2</v>
      </c>
      <c r="K99" s="83">
        <f t="shared" si="183"/>
        <v>5.1491818042719073E-2</v>
      </c>
      <c r="L99" s="83">
        <f t="shared" si="184"/>
        <v>-7.5008346618149924E-2</v>
      </c>
      <c r="M99" s="83">
        <f t="shared" si="185"/>
        <v>-0.21732613379836785</v>
      </c>
      <c r="N99" s="83">
        <f t="shared" si="186"/>
        <v>3.5657555439841504E-2</v>
      </c>
      <c r="O99" s="83">
        <f t="shared" si="187"/>
        <v>-1.6961139456378227E-2</v>
      </c>
      <c r="P99" s="83">
        <f t="shared" si="188"/>
        <v>-0.10957067198431036</v>
      </c>
      <c r="Q99" s="83">
        <f t="shared" si="189"/>
        <v>-0.19715848853176887</v>
      </c>
      <c r="R99" s="83">
        <f t="shared" si="190"/>
        <v>-0.11207233281276907</v>
      </c>
      <c r="S99" s="83">
        <f t="shared" si="191"/>
        <v>-9.2944841075794704E-2</v>
      </c>
      <c r="T99" s="83">
        <f t="shared" si="192"/>
        <v>-1.1783688147767202E-2</v>
      </c>
      <c r="U99" s="83">
        <f t="shared" si="193"/>
        <v>0.47463365519984402</v>
      </c>
      <c r="V99" s="83">
        <f t="shared" si="194"/>
        <v>0.23804736129709791</v>
      </c>
      <c r="W99" s="83">
        <f t="shared" si="195"/>
        <v>0.12418937443200306</v>
      </c>
      <c r="X99" s="83">
        <f t="shared" si="196"/>
        <v>-0.22410959932851715</v>
      </c>
      <c r="Y99" s="83">
        <f t="shared" si="197"/>
        <v>0.73782750121085949</v>
      </c>
      <c r="Z99" s="83">
        <f t="shared" si="198"/>
        <v>0.50232817630039994</v>
      </c>
      <c r="AA99" s="83">
        <f t="shared" si="199"/>
        <v>-0.31132603526769742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4.3520808088036045E-2</v>
      </c>
      <c r="F100" s="83">
        <f t="shared" si="178"/>
        <v>3.4413283737608547E-2</v>
      </c>
      <c r="G100" s="83">
        <f t="shared" si="179"/>
        <v>3.0943011244047192E-2</v>
      </c>
      <c r="H100" s="83">
        <f t="shared" si="180"/>
        <v>3.7856834183614074E-2</v>
      </c>
      <c r="I100" s="83">
        <f t="shared" si="181"/>
        <v>3.4547001194432214E-2</v>
      </c>
      <c r="J100" s="83">
        <f t="shared" si="182"/>
        <v>5.0399045901548645E-2</v>
      </c>
      <c r="K100" s="83">
        <f t="shared" si="183"/>
        <v>5.2731081273248659E-2</v>
      </c>
      <c r="L100" s="83">
        <f t="shared" si="184"/>
        <v>2.5338904493385384E-2</v>
      </c>
      <c r="M100" s="83">
        <f t="shared" si="185"/>
        <v>-2.511578222272326E-3</v>
      </c>
      <c r="N100" s="83">
        <f t="shared" si="186"/>
        <v>1.6812416846508027E-2</v>
      </c>
      <c r="O100" s="83">
        <f t="shared" si="187"/>
        <v>1.6000019753990014E-2</v>
      </c>
      <c r="P100" s="83">
        <f t="shared" si="188"/>
        <v>-1.3268578416609889E-2</v>
      </c>
      <c r="Q100" s="83">
        <f t="shared" si="189"/>
        <v>-6.0378538514213043E-3</v>
      </c>
      <c r="R100" s="83">
        <f t="shared" si="190"/>
        <v>1.2720597870194528E-2</v>
      </c>
      <c r="S100" s="83">
        <f t="shared" si="191"/>
        <v>3.1261006837123739E-2</v>
      </c>
      <c r="T100" s="83">
        <f t="shared" si="192"/>
        <v>2.666392107474902E-2</v>
      </c>
      <c r="U100" s="83">
        <f t="shared" si="193"/>
        <v>2.8184916578089858E-2</v>
      </c>
      <c r="V100" s="83">
        <f t="shared" si="194"/>
        <v>2.768471391617755E-2</v>
      </c>
      <c r="W100" s="83">
        <f t="shared" si="195"/>
        <v>2.0719424802132291E-2</v>
      </c>
      <c r="X100" s="83">
        <f t="shared" si="196"/>
        <v>-0.11052545392026591</v>
      </c>
      <c r="Y100" s="83">
        <f t="shared" si="197"/>
        <v>5.6484290254717129E-2</v>
      </c>
      <c r="Z100" s="83">
        <f t="shared" si="198"/>
        <v>6.4045359971009574E-2</v>
      </c>
      <c r="AA100" s="83">
        <f t="shared" si="199"/>
        <v>3.9534048750747397E-2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2.6461851021074567E-2</v>
      </c>
      <c r="F101" s="84">
        <f t="shared" si="178"/>
        <v>2.016889725852189E-2</v>
      </c>
      <c r="G101" s="84">
        <f t="shared" si="179"/>
        <v>2.7779809345736428E-2</v>
      </c>
      <c r="H101" s="84">
        <f t="shared" si="180"/>
        <v>3.0434139066417565E-2</v>
      </c>
      <c r="I101" s="84">
        <f t="shared" si="181"/>
        <v>1.7306079800619045E-2</v>
      </c>
      <c r="J101" s="84">
        <f t="shared" si="182"/>
        <v>3.0793391560456795E-2</v>
      </c>
      <c r="K101" s="84">
        <f t="shared" si="183"/>
        <v>2.7416635410373091E-2</v>
      </c>
      <c r="L101" s="84">
        <f t="shared" si="184"/>
        <v>3.2022622090932984E-2</v>
      </c>
      <c r="M101" s="84">
        <f t="shared" si="185"/>
        <v>1.6397696219363711E-2</v>
      </c>
      <c r="N101" s="84">
        <f t="shared" si="186"/>
        <v>2.398070554394427E-2</v>
      </c>
      <c r="O101" s="84">
        <f t="shared" si="187"/>
        <v>6.8886419035554258E-3</v>
      </c>
      <c r="P101" s="84">
        <f t="shared" si="188"/>
        <v>-3.0707210488780112E-2</v>
      </c>
      <c r="Q101" s="84">
        <f t="shared" si="189"/>
        <v>-9.9883754409740844E-3</v>
      </c>
      <c r="R101" s="84">
        <f t="shared" si="190"/>
        <v>1.015216190898971E-2</v>
      </c>
      <c r="S101" s="84">
        <f t="shared" si="191"/>
        <v>3.8534374625242673E-2</v>
      </c>
      <c r="T101" s="84">
        <f t="shared" si="192"/>
        <v>2.0003963272902547E-2</v>
      </c>
      <c r="U101" s="84">
        <f t="shared" si="193"/>
        <v>2.9231382618817525E-2</v>
      </c>
      <c r="V101" s="84">
        <f t="shared" si="194"/>
        <v>2.0377932776454166E-2</v>
      </c>
      <c r="W101" s="84">
        <f t="shared" si="195"/>
        <v>2.385221395027326E-2</v>
      </c>
      <c r="X101" s="84">
        <f t="shared" si="196"/>
        <v>-0.17657670680170845</v>
      </c>
      <c r="Y101" s="84">
        <f t="shared" si="197"/>
        <v>6.4892872391978607E-2</v>
      </c>
      <c r="Z101" s="84">
        <f t="shared" si="198"/>
        <v>0.10487514799856879</v>
      </c>
      <c r="AA101" s="84">
        <f t="shared" si="199"/>
        <v>4.3397359338245067E-2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6.1409242818849519E-2</v>
      </c>
      <c r="F102" s="84">
        <f t="shared" si="178"/>
        <v>5.1036536860572745E-2</v>
      </c>
      <c r="G102" s="84">
        <f t="shared" si="179"/>
        <v>4.2777266592388452E-2</v>
      </c>
      <c r="H102" s="84">
        <f t="shared" si="180"/>
        <v>4.4430446786133615E-2</v>
      </c>
      <c r="I102" s="84">
        <f t="shared" si="181"/>
        <v>5.8569942122792096E-2</v>
      </c>
      <c r="J102" s="84">
        <f t="shared" si="182"/>
        <v>7.5088264231876867E-2</v>
      </c>
      <c r="K102" s="84">
        <f t="shared" si="183"/>
        <v>8.3742373080962329E-2</v>
      </c>
      <c r="L102" s="84">
        <f t="shared" si="184"/>
        <v>2.396392447777429E-2</v>
      </c>
      <c r="M102" s="84">
        <f t="shared" si="185"/>
        <v>-9.5421358751202057E-3</v>
      </c>
      <c r="N102" s="84">
        <f t="shared" si="186"/>
        <v>4.6345956003279731E-4</v>
      </c>
      <c r="O102" s="84">
        <f t="shared" si="187"/>
        <v>2.1972183699667358E-2</v>
      </c>
      <c r="P102" s="84">
        <f t="shared" si="188"/>
        <v>2.2278252876277715E-3</v>
      </c>
      <c r="Q102" s="84">
        <f t="shared" si="189"/>
        <v>-6.9812206263122345E-3</v>
      </c>
      <c r="R102" s="84">
        <f t="shared" si="190"/>
        <v>2.2048985554466993E-2</v>
      </c>
      <c r="S102" s="84">
        <f t="shared" si="191"/>
        <v>1.6993306156656729E-2</v>
      </c>
      <c r="T102" s="84">
        <f t="shared" si="192"/>
        <v>2.2796880324944535E-2</v>
      </c>
      <c r="U102" s="84">
        <f t="shared" si="193"/>
        <v>2.8078530618912412E-2</v>
      </c>
      <c r="V102" s="84">
        <f t="shared" si="194"/>
        <v>3.6428879493587862E-2</v>
      </c>
      <c r="W102" s="84">
        <f t="shared" si="195"/>
        <v>2.4160547806171051E-2</v>
      </c>
      <c r="X102" s="84">
        <f t="shared" si="196"/>
        <v>-5.5505556813999379E-2</v>
      </c>
      <c r="Y102" s="84">
        <f t="shared" si="197"/>
        <v>2.7016290325946768E-2</v>
      </c>
      <c r="Z102" s="84">
        <f t="shared" si="198"/>
        <v>5.0929687059354523E-2</v>
      </c>
      <c r="AA102" s="84">
        <f t="shared" si="199"/>
        <v>7.0247166470176481E-2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4.9865080056284317E-2</v>
      </c>
      <c r="F103" s="84">
        <f t="shared" si="178"/>
        <v>3.5499844415160853E-2</v>
      </c>
      <c r="G103" s="84">
        <f t="shared" si="179"/>
        <v>1.5442896837418951E-2</v>
      </c>
      <c r="H103" s="84">
        <f t="shared" si="180"/>
        <v>4.1777386456912868E-2</v>
      </c>
      <c r="I103" s="84">
        <f t="shared" si="181"/>
        <v>2.5962065352243879E-2</v>
      </c>
      <c r="J103" s="84">
        <f t="shared" si="182"/>
        <v>4.3887351082011916E-2</v>
      </c>
      <c r="K103" s="84">
        <f t="shared" si="183"/>
        <v>4.3497155632109985E-2</v>
      </c>
      <c r="L103" s="84">
        <f t="shared" si="184"/>
        <v>1.3897306156437139E-2</v>
      </c>
      <c r="M103" s="84">
        <f t="shared" si="185"/>
        <v>-2.865386329796793E-2</v>
      </c>
      <c r="N103" s="84">
        <f t="shared" si="186"/>
        <v>3.6824706108335548E-2</v>
      </c>
      <c r="O103" s="84">
        <f t="shared" si="187"/>
        <v>2.3819025587175746E-2</v>
      </c>
      <c r="P103" s="84">
        <f t="shared" si="188"/>
        <v>-7.6537057988070867E-3</v>
      </c>
      <c r="Q103" s="84">
        <f t="shared" si="189"/>
        <v>4.6233207880710392E-3</v>
      </c>
      <c r="R103" s="84">
        <f t="shared" si="190"/>
        <v>-1.7785080558878619E-3</v>
      </c>
      <c r="S103" s="84">
        <f t="shared" si="191"/>
        <v>4.6794498261740758E-2</v>
      </c>
      <c r="T103" s="84">
        <f t="shared" si="192"/>
        <v>4.9284316562040464E-2</v>
      </c>
      <c r="U103" s="84">
        <f t="shared" si="193"/>
        <v>2.6211954840143159E-2</v>
      </c>
      <c r="V103" s="84">
        <f t="shared" si="194"/>
        <v>2.482450486673704E-2</v>
      </c>
      <c r="W103" s="84">
        <f t="shared" si="195"/>
        <v>6.9055411711236303E-3</v>
      </c>
      <c r="X103" s="84">
        <f t="shared" si="196"/>
        <v>-8.7863478128173744E-2</v>
      </c>
      <c r="Y103" s="84">
        <f t="shared" si="197"/>
        <v>0.10574823179153481</v>
      </c>
      <c r="Z103" s="84">
        <f t="shared" si="198"/>
        <v>1.5513072757797008E-2</v>
      </c>
      <c r="AA103" s="84">
        <f t="shared" si="199"/>
        <v>-3.3790454799411895E-2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-9.5351239409202648E-3</v>
      </c>
      <c r="F104" s="83">
        <f t="shared" si="178"/>
        <v>1.1962250466413415E-2</v>
      </c>
      <c r="G104" s="83">
        <f t="shared" si="179"/>
        <v>8.5826867519994021E-2</v>
      </c>
      <c r="H104" s="83">
        <f t="shared" si="180"/>
        <v>3.6066082091944951E-2</v>
      </c>
      <c r="I104" s="83">
        <f t="shared" si="181"/>
        <v>0.12530587133873827</v>
      </c>
      <c r="J104" s="83">
        <f t="shared" si="182"/>
        <v>-9.365450101743944E-3</v>
      </c>
      <c r="K104" s="83">
        <f t="shared" si="183"/>
        <v>5.8289124410384696E-2</v>
      </c>
      <c r="L104" s="83">
        <f t="shared" si="184"/>
        <v>8.5670905057757984E-2</v>
      </c>
      <c r="M104" s="83">
        <f t="shared" si="185"/>
        <v>-3.9784656844613853E-2</v>
      </c>
      <c r="N104" s="83">
        <f t="shared" si="186"/>
        <v>0.14752289166597565</v>
      </c>
      <c r="O104" s="83">
        <f t="shared" si="187"/>
        <v>2.6247464939036069E-2</v>
      </c>
      <c r="P104" s="83">
        <f t="shared" si="188"/>
        <v>1.6048226652623399E-2</v>
      </c>
      <c r="Q104" s="83">
        <f t="shared" si="189"/>
        <v>-4.6876842295123788E-2</v>
      </c>
      <c r="R104" s="83">
        <f t="shared" si="190"/>
        <v>-5.57709316586531E-2</v>
      </c>
      <c r="S104" s="83">
        <f t="shared" si="191"/>
        <v>0.11048384594048422</v>
      </c>
      <c r="T104" s="83">
        <f t="shared" si="192"/>
        <v>-1.7669258439005686E-2</v>
      </c>
      <c r="U104" s="83">
        <f t="shared" si="193"/>
        <v>3.6572534311241078E-3</v>
      </c>
      <c r="V104" s="83">
        <f t="shared" si="194"/>
        <v>4.4026798126596267E-2</v>
      </c>
      <c r="W104" s="83">
        <f t="shared" si="195"/>
        <v>-1.9030970594524077E-2</v>
      </c>
      <c r="X104" s="83">
        <f t="shared" si="196"/>
        <v>-0.157493224139021</v>
      </c>
      <c r="Y104" s="83">
        <f t="shared" si="197"/>
        <v>0.20210847742401739</v>
      </c>
      <c r="Z104" s="83">
        <f t="shared" si="198"/>
        <v>0.6381902602411722</v>
      </c>
      <c r="AA104" s="83">
        <f t="shared" si="199"/>
        <v>-0.14717343989504839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8.5155827568008879E-2</v>
      </c>
      <c r="F105" s="83">
        <f t="shared" si="178"/>
        <v>6.6069163091421412E-2</v>
      </c>
      <c r="G105" s="83">
        <f t="shared" si="179"/>
        <v>5.1341853060584919E-2</v>
      </c>
      <c r="H105" s="83">
        <f t="shared" si="180"/>
        <v>4.7161415426302922E-2</v>
      </c>
      <c r="I105" s="83">
        <f t="shared" si="181"/>
        <v>9.3382852990392173E-2</v>
      </c>
      <c r="J105" s="83">
        <f t="shared" si="182"/>
        <v>6.8329681010025567E-2</v>
      </c>
      <c r="K105" s="83">
        <f t="shared" si="183"/>
        <v>3.979970030804747E-3</v>
      </c>
      <c r="L105" s="83">
        <f t="shared" si="184"/>
        <v>-2.5195285774278764E-2</v>
      </c>
      <c r="M105" s="83">
        <f t="shared" si="185"/>
        <v>-8.4714947565356358E-2</v>
      </c>
      <c r="N105" s="83">
        <f t="shared" si="186"/>
        <v>-0.17333277167271155</v>
      </c>
      <c r="O105" s="83">
        <f t="shared" si="187"/>
        <v>-0.15559695743278301</v>
      </c>
      <c r="P105" s="83">
        <f t="shared" si="188"/>
        <v>-0.14353117808200466</v>
      </c>
      <c r="Q105" s="83">
        <f t="shared" si="189"/>
        <v>-0.13481134269160233</v>
      </c>
      <c r="R105" s="83">
        <f t="shared" si="190"/>
        <v>-1.2175806131085043E-3</v>
      </c>
      <c r="S105" s="83">
        <f t="shared" si="191"/>
        <v>5.5227885177830061E-2</v>
      </c>
      <c r="T105" s="83">
        <f t="shared" si="192"/>
        <v>4.2479066114025077E-2</v>
      </c>
      <c r="U105" s="83">
        <f t="shared" si="193"/>
        <v>2.9647997802997095E-2</v>
      </c>
      <c r="V105" s="83">
        <f t="shared" si="194"/>
        <v>3.5136907570403553E-2</v>
      </c>
      <c r="W105" s="83">
        <f t="shared" si="195"/>
        <v>8.1968458896349627E-2</v>
      </c>
      <c r="X105" s="83">
        <f t="shared" si="196"/>
        <v>-0.15047625096943651</v>
      </c>
      <c r="Y105" s="83">
        <f t="shared" si="197"/>
        <v>7.923795352694718E-3</v>
      </c>
      <c r="Z105" s="83">
        <f t="shared" si="198"/>
        <v>6.2488647331864655E-2</v>
      </c>
      <c r="AA105" s="83">
        <f t="shared" si="199"/>
        <v>1.6333554894857771E-2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6.6103135555022341E-3</v>
      </c>
      <c r="F106" s="83">
        <f t="shared" si="178"/>
        <v>-1.4724818388760941E-2</v>
      </c>
      <c r="G106" s="83">
        <f t="shared" si="179"/>
        <v>-1.3459427925316736E-2</v>
      </c>
      <c r="H106" s="83">
        <f t="shared" si="180"/>
        <v>-9.5098778211341051E-3</v>
      </c>
      <c r="I106" s="83">
        <f t="shared" si="181"/>
        <v>-2.0721131482960287E-3</v>
      </c>
      <c r="J106" s="83">
        <f t="shared" si="182"/>
        <v>1.49104236678268E-2</v>
      </c>
      <c r="K106" s="83">
        <f t="shared" si="183"/>
        <v>-2.1251168385978403E-3</v>
      </c>
      <c r="L106" s="83">
        <f t="shared" si="184"/>
        <v>-2.4944147728154897E-2</v>
      </c>
      <c r="M106" s="83">
        <f t="shared" si="185"/>
        <v>-0.13366750253728776</v>
      </c>
      <c r="N106" s="83">
        <f t="shared" si="186"/>
        <v>-7.5463769787743606E-3</v>
      </c>
      <c r="O106" s="83">
        <f t="shared" si="187"/>
        <v>-1.4920099576427592E-3</v>
      </c>
      <c r="P106" s="83">
        <f t="shared" si="188"/>
        <v>-5.9094052413480536E-2</v>
      </c>
      <c r="Q106" s="83">
        <f t="shared" si="189"/>
        <v>6.3575694519069081E-3</v>
      </c>
      <c r="R106" s="83">
        <f t="shared" si="190"/>
        <v>3.0370404563382802E-2</v>
      </c>
      <c r="S106" s="83">
        <f t="shared" si="191"/>
        <v>1.7248967458287856E-2</v>
      </c>
      <c r="T106" s="83">
        <f t="shared" si="192"/>
        <v>1.9573969973115002E-2</v>
      </c>
      <c r="U106" s="83">
        <f t="shared" si="193"/>
        <v>4.6424272747456863E-2</v>
      </c>
      <c r="V106" s="83">
        <f t="shared" si="194"/>
        <v>-1.0686302838216477E-3</v>
      </c>
      <c r="W106" s="83">
        <f t="shared" si="195"/>
        <v>1.3386271492805246E-2</v>
      </c>
      <c r="X106" s="83">
        <f t="shared" si="196"/>
        <v>-7.8565553467028426E-2</v>
      </c>
      <c r="Y106" s="83">
        <f t="shared" si="197"/>
        <v>9.0123160740142927E-2</v>
      </c>
      <c r="Z106" s="83">
        <f t="shared" si="198"/>
        <v>-3.1715949131740917E-3</v>
      </c>
      <c r="AA106" s="83">
        <f t="shared" si="199"/>
        <v>2.1310496446136362E-4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-2.4523787384000961E-2</v>
      </c>
      <c r="F107" s="87">
        <f t="shared" ref="F107:F108" si="201">IF(E33=0,"",F33/E33-1)</f>
        <v>-8.5878851158917358E-2</v>
      </c>
      <c r="G107" s="87">
        <f t="shared" ref="G107:G108" si="202">IF(F33=0,"",G33/F33-1)</f>
        <v>-0.11108266902002029</v>
      </c>
      <c r="H107" s="87">
        <f t="shared" ref="H107:H108" si="203">IF(G33=0,"",H33/G33-1)</f>
        <v>-2.2893448128712746E-2</v>
      </c>
      <c r="I107" s="87">
        <f t="shared" ref="I107:I108" si="204">IF(H33=0,"",I33/H33-1)</f>
        <v>-0.11287492005465916</v>
      </c>
      <c r="J107" s="87">
        <f t="shared" ref="J107:J108" si="205">IF(I33=0,"",J33/I33-1)</f>
        <v>6.7549939875178655E-2</v>
      </c>
      <c r="K107" s="87">
        <f t="shared" ref="K107:K108" si="206">IF(J33=0,"",K33/J33-1)</f>
        <v>-0.15594956464736176</v>
      </c>
      <c r="L107" s="87">
        <f t="shared" ref="L107:L108" si="207">IF(K33=0,"",L33/K33-1)</f>
        <v>-0.15636696136834882</v>
      </c>
      <c r="M107" s="87">
        <f t="shared" ref="M107:M108" si="208">IF(L33=0,"",M33/L33-1)</f>
        <v>-0.23201798462388634</v>
      </c>
      <c r="N107" s="87">
        <f t="shared" ref="N107:N108" si="209">IF(M33=0,"",N33/M33-1)</f>
        <v>0.20937234895687085</v>
      </c>
      <c r="O107" s="87">
        <f t="shared" ref="O107:O108" si="210">IF(N33=0,"",O33/N33-1)</f>
        <v>-8.248263394453037E-2</v>
      </c>
      <c r="P107" s="87">
        <f t="shared" ref="P107:P108" si="211">IF(O33=0,"",P33/O33-1)</f>
        <v>-4.0817985135533696E-2</v>
      </c>
      <c r="Q107" s="87">
        <f t="shared" ref="Q107:Q108" si="212">IF(P33=0,"",Q33/P33-1)</f>
        <v>-5.5521024563805366E-2</v>
      </c>
      <c r="R107" s="87">
        <f t="shared" ref="R107:R108" si="213">IF(Q33=0,"",R33/Q33-1)</f>
        <v>0.11243724194038496</v>
      </c>
      <c r="S107" s="87">
        <f t="shared" ref="S107:S108" si="214">IF(R33=0,"",S33/R33-1)</f>
        <v>7.1076206723532431E-2</v>
      </c>
      <c r="T107" s="87">
        <f t="shared" ref="T107:T108" si="215">IF(S33=0,"",T33/S33-1)</f>
        <v>2.7920835551749956E-2</v>
      </c>
      <c r="U107" s="87">
        <f t="shared" ref="U107:U108" si="216">IF(T33=0,"",U33/T33-1)</f>
        <v>0.14087169848879966</v>
      </c>
      <c r="V107" s="87">
        <f t="shared" ref="V107:V108" si="217">IF(U33=0,"",V33/U33-1)</f>
        <v>-1.0320570250917815E-2</v>
      </c>
      <c r="W107" s="87">
        <f t="shared" ref="W107:W108" si="218">IF(V33=0,"",W33/V33-1)</f>
        <v>-0.19595197778982476</v>
      </c>
      <c r="X107" s="87">
        <f t="shared" ref="X107:X108" si="219">IF(W33=0,"",X33/W33-1)</f>
        <v>-0.10715152205933665</v>
      </c>
      <c r="Y107" s="87">
        <f t="shared" ref="Y107:Y108" si="220">IF(X33=0,"",Y33/X33-1)</f>
        <v>0.65076151618262568</v>
      </c>
      <c r="Z107" s="87">
        <f t="shared" si="198"/>
        <v>-0.12227084647885011</v>
      </c>
      <c r="AA107" s="87">
        <f t="shared" si="199"/>
        <v>-5.9407780585989278E-2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-2.452378738400085E-2</v>
      </c>
      <c r="F108" s="89">
        <f t="shared" si="201"/>
        <v>-8.5878851158917247E-2</v>
      </c>
      <c r="G108" s="89">
        <f t="shared" si="202"/>
        <v>-0.11108266902002006</v>
      </c>
      <c r="H108" s="89">
        <f t="shared" si="203"/>
        <v>-2.2893448128712857E-2</v>
      </c>
      <c r="I108" s="89">
        <f t="shared" si="204"/>
        <v>-0.11287492005465916</v>
      </c>
      <c r="J108" s="89">
        <f t="shared" si="205"/>
        <v>6.7549939875178433E-2</v>
      </c>
      <c r="K108" s="89">
        <f t="shared" si="206"/>
        <v>-0.15594956464736176</v>
      </c>
      <c r="L108" s="89">
        <f t="shared" si="207"/>
        <v>-0.15636696136834871</v>
      </c>
      <c r="M108" s="89">
        <f t="shared" si="208"/>
        <v>-0.35329406658752183</v>
      </c>
      <c r="N108" s="89">
        <f t="shared" si="209"/>
        <v>0.24658582914941718</v>
      </c>
      <c r="O108" s="89">
        <f t="shared" si="210"/>
        <v>-6.9652336802524251E-2</v>
      </c>
      <c r="P108" s="89">
        <f t="shared" si="211"/>
        <v>-7.649787624101767E-2</v>
      </c>
      <c r="Q108" s="89">
        <f t="shared" si="212"/>
        <v>-2.5642345080050255E-2</v>
      </c>
      <c r="R108" s="89">
        <f t="shared" si="213"/>
        <v>7.4522924199296625E-2</v>
      </c>
      <c r="S108" s="89">
        <f t="shared" si="214"/>
        <v>7.3031870105575436E-2</v>
      </c>
      <c r="T108" s="89">
        <f t="shared" si="215"/>
        <v>1.596728322571983E-2</v>
      </c>
      <c r="U108" s="89">
        <f t="shared" si="216"/>
        <v>0.13008689248631833</v>
      </c>
      <c r="V108" s="89">
        <f t="shared" si="217"/>
        <v>5.8021299365429879E-2</v>
      </c>
      <c r="W108" s="89">
        <f t="shared" si="218"/>
        <v>-0.21476480133751663</v>
      </c>
      <c r="X108" s="89">
        <f t="shared" si="219"/>
        <v>-0.16349416724873089</v>
      </c>
      <c r="Y108" s="89">
        <f t="shared" si="220"/>
        <v>0.94245729484079943</v>
      </c>
      <c r="Z108" s="89">
        <f t="shared" si="198"/>
        <v>-4.7041029319728866E-2</v>
      </c>
      <c r="AA108" s="89">
        <f t="shared" si="199"/>
        <v>-9.1212523368347731E-2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-2.4523787384001072E-2</v>
      </c>
      <c r="F109" s="89">
        <f t="shared" ref="F109" si="222">IF(E37=0,"",F37/E37-1)</f>
        <v>-8.5878851158917469E-2</v>
      </c>
      <c r="G109" s="89">
        <f t="shared" ref="G109" si="223">IF(F37=0,"",G37/F37-1)</f>
        <v>-0.11108266902002029</v>
      </c>
      <c r="H109" s="89">
        <f t="shared" ref="H109" si="224">IF(G37=0,"",H37/G37-1)</f>
        <v>-2.2893448128712635E-2</v>
      </c>
      <c r="I109" s="89">
        <f t="shared" ref="I109" si="225">IF(H37=0,"",I37/H37-1)</f>
        <v>-0.11287492005465904</v>
      </c>
      <c r="J109" s="89">
        <f t="shared" ref="J109" si="226">IF(I37=0,"",J37/I37-1)</f>
        <v>6.7549939875178877E-2</v>
      </c>
      <c r="K109" s="89">
        <f t="shared" ref="K109" si="227">IF(J37=0,"",K37/J37-1)</f>
        <v>-0.15594956464736165</v>
      </c>
      <c r="L109" s="89">
        <f t="shared" ref="L109" si="228">IF(K37=0,"",L37/K37-1)</f>
        <v>-0.15636696136834871</v>
      </c>
      <c r="M109" s="89">
        <f t="shared" ref="M109" si="229">IF(L37=0,"",M37/L37-1)</f>
        <v>8.9685295857573566E-2</v>
      </c>
      <c r="N109" s="89">
        <f t="shared" ref="N109" si="230">IF(M37=0,"",N37/M37-1)</f>
        <v>0.15078735713970715</v>
      </c>
      <c r="O109" s="89">
        <f t="shared" ref="O109" si="231">IF(N37=0,"",O37/N37-1)</f>
        <v>-0.10436276428462443</v>
      </c>
      <c r="P109" s="89">
        <f t="shared" ref="P109" si="232">IF(O37=0,"",P37/O37-1)</f>
        <v>2.2386782751494749E-2</v>
      </c>
      <c r="Q109" s="89">
        <f t="shared" ref="Q109" si="233">IF(P37=0,"",Q37/P37-1)</f>
        <v>-0.10333010518363794</v>
      </c>
      <c r="R109" s="89">
        <f t="shared" ref="R109" si="234">IF(Q37=0,"",R37/Q37-1)</f>
        <v>0.17836040707045897</v>
      </c>
      <c r="S109" s="89">
        <f t="shared" ref="S109" si="235">IF(R37=0,"",S37/R37-1)</f>
        <v>6.7975458861362359E-2</v>
      </c>
      <c r="T109" s="89">
        <f t="shared" ref="T109" si="236">IF(S37=0,"",T37/S37-1)</f>
        <v>4.6963191717361408E-2</v>
      </c>
      <c r="U109" s="89">
        <f t="shared" ref="U109" si="237">IF(T37=0,"",U37/T37-1)</f>
        <v>0.15754356958280447</v>
      </c>
      <c r="V109" s="89">
        <f t="shared" ref="V109" si="238">IF(U37=0,"",V37/U37-1)</f>
        <v>-0.11346204880931221</v>
      </c>
      <c r="W109" s="89">
        <f t="shared" ref="W109" si="239">IF(V37=0,"",W37/V37-1)</f>
        <v>-0.16206775267634321</v>
      </c>
      <c r="X109" s="89">
        <f t="shared" ref="X109" si="240">IF(W37=0,"",X37/W37-1)</f>
        <v>-1.2053460764838264E-2</v>
      </c>
      <c r="Y109" s="89">
        <f t="shared" ref="Y109" si="241">IF(X37=0,"",Y37/X37-1)</f>
        <v>0.23389203258964364</v>
      </c>
      <c r="Z109" s="89">
        <f t="shared" ref="Z109" si="242">IF(Y37=0,"",Z37/Y37-1)</f>
        <v>-0.29152303227157161</v>
      </c>
      <c r="AA109" s="89">
        <f t="shared" ref="AA109" si="243">IF(Z37=0,"",AA37/Z37-1)</f>
        <v>3.6838650392030381E-2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4.4100621498313064E-2</v>
      </c>
      <c r="F110" s="89">
        <f t="shared" ref="F110:F111" si="245">IF(E43=0,"",F43/E43-1)</f>
        <v>-7.7146277220472292E-3</v>
      </c>
      <c r="G110" s="89">
        <f t="shared" ref="G110:G111" si="246">IF(F43=0,"",G43/F43-1)</f>
        <v>-2.0328914529450848E-2</v>
      </c>
      <c r="H110" s="89">
        <f t="shared" ref="H110:H111" si="247">IF(G43=0,"",H43/G43-1)</f>
        <v>2.4622259217895293E-2</v>
      </c>
      <c r="I110" s="89">
        <f t="shared" ref="I110:I111" si="248">IF(H43=0,"",I43/H43-1)</f>
        <v>1.7952814805926254E-2</v>
      </c>
      <c r="J110" s="89">
        <f t="shared" ref="J110:J111" si="249">IF(I43=0,"",J43/I43-1)</f>
        <v>2.8746643254442761E-2</v>
      </c>
      <c r="K110" s="89">
        <f t="shared" ref="K110:K111" si="250">IF(J43=0,"",K43/J43-1)</f>
        <v>9.5487896038193298E-3</v>
      </c>
      <c r="L110" s="89">
        <f t="shared" ref="L110:L111" si="251">IF(K43=0,"",L43/K43-1)</f>
        <v>1.121113279816921E-2</v>
      </c>
      <c r="M110" s="89">
        <f t="shared" ref="M110:M111" si="252">IF(L43=0,"",M43/L43-1)</f>
        <v>-8.5582608635146884E-2</v>
      </c>
      <c r="N110" s="89">
        <f t="shared" ref="N110:N111" si="253">IF(M43=0,"",N43/M43-1)</f>
        <v>-1.4910470087594385E-2</v>
      </c>
      <c r="O110" s="89">
        <f t="shared" ref="O110:O111" si="254">IF(N43=0,"",O43/N43-1)</f>
        <v>7.296433514416556E-4</v>
      </c>
      <c r="P110" s="89">
        <f t="shared" ref="P110:P111" si="255">IF(O43=0,"",P43/O43-1)</f>
        <v>-4.529481507052191E-2</v>
      </c>
      <c r="Q110" s="89">
        <f t="shared" ref="Q110:Q111" si="256">IF(P43=0,"",Q43/P43-1)</f>
        <v>4.0358311241669442E-2</v>
      </c>
      <c r="R110" s="89">
        <f t="shared" ref="R110:R111" si="257">IF(Q43=0,"",R43/Q43-1)</f>
        <v>8.5020080433328538E-2</v>
      </c>
      <c r="S110" s="89">
        <f t="shared" ref="S110:S111" si="258">IF(R43=0,"",S43/R43-1)</f>
        <v>1.923133002281574E-2</v>
      </c>
      <c r="T110" s="89">
        <f t="shared" ref="T110:T111" si="259">IF(S43=0,"",T43/S43-1)</f>
        <v>4.7624560299159402E-2</v>
      </c>
      <c r="U110" s="89">
        <f t="shared" ref="U110:U111" si="260">IF(T43=0,"",U43/T43-1)</f>
        <v>3.1735999488216926E-2</v>
      </c>
      <c r="V110" s="89">
        <f t="shared" ref="V110:V111" si="261">IF(U43=0,"",V43/U43-1)</f>
        <v>-6.9540690242968051E-2</v>
      </c>
      <c r="W110" s="89">
        <f t="shared" ref="W110:W111" si="262">IF(V43=0,"",W43/V43-1)</f>
        <v>5.4941881638189027E-2</v>
      </c>
      <c r="X110" s="89">
        <f t="shared" ref="X110:X111" si="263">IF(W43=0,"",X43/W43-1)</f>
        <v>1.3415084058481019E-2</v>
      </c>
      <c r="Y110" s="89">
        <f t="shared" ref="Y110:Y111" si="264">IF(X43=0,"",Y43/X43-1)</f>
        <v>0.14375573975892864</v>
      </c>
      <c r="Z110" s="89">
        <f t="shared" ref="Z110:Z111" si="265">IF(Y43=0,"",Z43/Y43-1)</f>
        <v>-0.14819648480190084</v>
      </c>
      <c r="AA110" s="89">
        <f t="shared" ref="AA110:AA111" si="266">IF(Z43=0,"",AA43/Z43-1)</f>
        <v>-9.3344657708457235E-2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2.9933267291389232E-2</v>
      </c>
      <c r="F111" s="89">
        <f t="shared" si="245"/>
        <v>-2.4766238916662409E-2</v>
      </c>
      <c r="G111" s="89">
        <f t="shared" si="246"/>
        <v>-4.9693913543086499E-2</v>
      </c>
      <c r="H111" s="89">
        <f t="shared" si="247"/>
        <v>1.3520026910170957E-2</v>
      </c>
      <c r="I111" s="89">
        <f t="shared" si="248"/>
        <v>-5.1902650956999752E-3</v>
      </c>
      <c r="J111" s="89">
        <f t="shared" si="249"/>
        <v>3.2134557217218251E-3</v>
      </c>
      <c r="K111" s="89">
        <f t="shared" si="250"/>
        <v>-1.9179279203169974E-2</v>
      </c>
      <c r="L111" s="89">
        <f t="shared" si="251"/>
        <v>-1.3953435656444468E-2</v>
      </c>
      <c r="M111" s="89">
        <f t="shared" si="252"/>
        <v>-0.10734122994923145</v>
      </c>
      <c r="N111" s="89">
        <f t="shared" si="253"/>
        <v>0.116155556243976</v>
      </c>
      <c r="O111" s="89">
        <f t="shared" si="254"/>
        <v>5.0735289066492939E-2</v>
      </c>
      <c r="P111" s="89">
        <f t="shared" si="255"/>
        <v>-0.10092855455293648</v>
      </c>
      <c r="Q111" s="89">
        <f t="shared" si="256"/>
        <v>-5.5140210842254955E-2</v>
      </c>
      <c r="R111" s="89">
        <f t="shared" si="257"/>
        <v>4.5898399678145019E-2</v>
      </c>
      <c r="S111" s="89">
        <f t="shared" si="258"/>
        <v>4.3510288547095488E-2</v>
      </c>
      <c r="T111" s="89">
        <f t="shared" si="259"/>
        <v>6.9277116834023822E-2</v>
      </c>
      <c r="U111" s="89">
        <f t="shared" si="260"/>
        <v>5.1282092070420893E-2</v>
      </c>
      <c r="V111" s="89">
        <f t="shared" si="261"/>
        <v>-4.7053910844900737E-2</v>
      </c>
      <c r="W111" s="89">
        <f t="shared" si="262"/>
        <v>5.6540929643010385E-2</v>
      </c>
      <c r="X111" s="89">
        <f t="shared" si="263"/>
        <v>-3.7709838537387741E-2</v>
      </c>
      <c r="Y111" s="89">
        <f t="shared" si="264"/>
        <v>0.16467971293713934</v>
      </c>
      <c r="Z111" s="89">
        <f t="shared" si="265"/>
        <v>-0.10392885302924515</v>
      </c>
      <c r="AA111" s="89">
        <f t="shared" si="266"/>
        <v>-5.7965431195680206E-2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7.1176726691043912E-2</v>
      </c>
      <c r="F112" s="89">
        <f t="shared" ref="F112:F113" si="268">IF(E47=0,"",F47/E47-1)</f>
        <v>2.3619010160522924E-2</v>
      </c>
      <c r="G112" s="89">
        <f t="shared" ref="G112:G113" si="269">IF(F47=0,"",G47/F47-1)</f>
        <v>3.1080868843990972E-2</v>
      </c>
      <c r="H112" s="89">
        <f t="shared" ref="H112:H113" si="270">IF(G47=0,"",H47/G47-1)</f>
        <v>4.2536436828217283E-2</v>
      </c>
      <c r="I112" s="89">
        <f t="shared" ref="I112:I113" si="271">IF(H47=0,"",I47/H47-1)</f>
        <v>5.4256341135196173E-2</v>
      </c>
      <c r="J112" s="89">
        <f t="shared" ref="J112:J113" si="272">IF(I47=0,"",J47/I47-1)</f>
        <v>6.6540959868204963E-2</v>
      </c>
      <c r="K112" s="89">
        <f t="shared" ref="K112:K113" si="273">IF(J47=0,"",K47/J47-1)</f>
        <v>4.9547289503832026E-2</v>
      </c>
      <c r="L112" s="89">
        <f t="shared" ref="L112:L113" si="274">IF(K47=0,"",L47/K47-1)</f>
        <v>4.3953824543857545E-2</v>
      </c>
      <c r="M112" s="89">
        <f t="shared" ref="M112:M113" si="275">IF(L47=0,"",M47/L47-1)</f>
        <v>-5.8841931478977094E-2</v>
      </c>
      <c r="N112" s="89">
        <f t="shared" ref="N112:N113" si="276">IF(M47=0,"",N47/M47-1)</f>
        <v>-0.16768609398063017</v>
      </c>
      <c r="O112" s="89">
        <f t="shared" ref="O112:O113" si="277">IF(N47=0,"",O47/N47-1)</f>
        <v>-7.7436835294248829E-2</v>
      </c>
      <c r="P112" s="89">
        <f t="shared" ref="P112:P113" si="278">IF(O47=0,"",P47/O47-1)</f>
        <v>5.3751191150012811E-2</v>
      </c>
      <c r="Q112" s="89">
        <f t="shared" ref="Q112:Q113" si="279">IF(P47=0,"",Q47/P47-1)</f>
        <v>0.18541958700112837</v>
      </c>
      <c r="R112" s="89">
        <f t="shared" ref="R112:R113" si="280">IF(Q47=0,"",R47/Q47-1)</f>
        <v>0.13238617904256222</v>
      </c>
      <c r="S112" s="89">
        <f t="shared" ref="S112:S113" si="281">IF(R47=0,"",S47/R47-1)</f>
        <v>-7.9189992892678696E-3</v>
      </c>
      <c r="T112" s="89">
        <f t="shared" ref="T112:T113" si="282">IF(S47=0,"",T47/S47-1)</f>
        <v>2.2156033027621591E-2</v>
      </c>
      <c r="U112" s="89">
        <f t="shared" ref="U112:U113" si="283">IF(T47=0,"",U47/T47-1)</f>
        <v>7.6853018096019188E-3</v>
      </c>
      <c r="V112" s="89">
        <f t="shared" ref="V112:V113" si="284">IF(U47=0,"",V47/U47-1)</f>
        <v>-9.8406871187660783E-2</v>
      </c>
      <c r="W112" s="89">
        <f t="shared" ref="W112:W113" si="285">IF(V47=0,"",W47/V47-1)</f>
        <v>5.277227345137625E-2</v>
      </c>
      <c r="X112" s="89">
        <f t="shared" ref="X112:X113" si="286">IF(W47=0,"",X47/W47-1)</f>
        <v>8.3030329720498841E-2</v>
      </c>
      <c r="Y112" s="89">
        <f t="shared" ref="Y112:Y113" si="287">IF(X47=0,"",Y47/X47-1)</f>
        <v>0.11844054471793131</v>
      </c>
      <c r="Z112" s="89">
        <f t="shared" ref="Z112:Z113" si="288">IF(Y47=0,"",Z47/Y47-1)</f>
        <v>-0.20396858773715265</v>
      </c>
      <c r="AA112" s="89">
        <f t="shared" ref="AA112:AA113" si="289">IF(Z47=0,"",AA47/Z47-1)</f>
        <v>-0.14352011658595287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1.9464418573266418E-2</v>
      </c>
      <c r="F113" s="89">
        <f t="shared" si="268"/>
        <v>-2.7035134660509663E-2</v>
      </c>
      <c r="G113" s="89">
        <f t="shared" si="269"/>
        <v>-4.3818266884801171E-2</v>
      </c>
      <c r="H113" s="89">
        <f t="shared" si="270"/>
        <v>1.5878214083657749E-3</v>
      </c>
      <c r="I113" s="89">
        <f t="shared" si="271"/>
        <v>4.6099562002900552E-2</v>
      </c>
      <c r="J113" s="89">
        <f t="shared" si="272"/>
        <v>-1.1251789405659296E-2</v>
      </c>
      <c r="K113" s="89">
        <f t="shared" si="273"/>
        <v>-3.7599659083025427E-2</v>
      </c>
      <c r="L113" s="89">
        <f t="shared" si="274"/>
        <v>-5.3108786842287481E-2</v>
      </c>
      <c r="M113" s="89">
        <f t="shared" si="275"/>
        <v>-0.279338185788087</v>
      </c>
      <c r="N113" s="89">
        <f t="shared" si="276"/>
        <v>-0.11575082973882111</v>
      </c>
      <c r="O113" s="89">
        <f t="shared" si="277"/>
        <v>-8.1720887690318045E-2</v>
      </c>
      <c r="P113" s="89">
        <f t="shared" si="278"/>
        <v>-0.14809959227183411</v>
      </c>
      <c r="Q113" s="89">
        <f t="shared" si="279"/>
        <v>-7.3383328626634325E-2</v>
      </c>
      <c r="R113" s="89">
        <f t="shared" si="280"/>
        <v>4.2431121631974378E-2</v>
      </c>
      <c r="S113" s="89">
        <f t="shared" si="281"/>
        <v>4.1316382122431605E-2</v>
      </c>
      <c r="T113" s="89">
        <f t="shared" si="282"/>
        <v>5.7698048850819195E-2</v>
      </c>
      <c r="U113" s="89">
        <f t="shared" si="283"/>
        <v>5.5682813619464477E-2</v>
      </c>
      <c r="V113" s="89">
        <f t="shared" si="284"/>
        <v>1.845140694940528E-2</v>
      </c>
      <c r="W113" s="89">
        <f t="shared" si="285"/>
        <v>0.12136892997633009</v>
      </c>
      <c r="X113" s="89">
        <f t="shared" si="286"/>
        <v>-6.1567895667033912E-2</v>
      </c>
      <c r="Y113" s="89">
        <f t="shared" si="287"/>
        <v>4.0731527992376337E-2</v>
      </c>
      <c r="Z113" s="89">
        <f t="shared" si="288"/>
        <v>-5.1452102589687243E-2</v>
      </c>
      <c r="AA113" s="89">
        <f t="shared" si="289"/>
        <v>-2.1667603837640104E-2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-9.1442011519329292E-3</v>
      </c>
      <c r="F114" s="89">
        <f t="shared" ref="F114:F115" si="291">IF(E52=0,"",F52/E52-1)</f>
        <v>-5.0758808089429452E-3</v>
      </c>
      <c r="G114" s="89">
        <f t="shared" ref="G114:G115" si="292">IF(F52=0,"",G52/F52-1)</f>
        <v>-4.1475619399826025E-2</v>
      </c>
      <c r="H114" s="89">
        <f t="shared" ref="H114:H115" si="293">IF(G52=0,"",H52/G52-1)</f>
        <v>-2.1019528723638992E-2</v>
      </c>
      <c r="I114" s="89">
        <f t="shared" ref="I114:I115" si="294">IF(H52=0,"",I52/H52-1)</f>
        <v>2.2058417003958164E-2</v>
      </c>
      <c r="J114" s="89">
        <f t="shared" ref="J114:J115" si="295">IF(I52=0,"",J52/I52-1)</f>
        <v>-2.1855125704412282E-2</v>
      </c>
      <c r="K114" s="89">
        <f t="shared" ref="K114:K115" si="296">IF(J52=0,"",K52/J52-1)</f>
        <v>-1.7473984091543993E-2</v>
      </c>
      <c r="L114" s="89">
        <f t="shared" ref="L114:L115" si="297">IF(K52=0,"",L52/K52-1)</f>
        <v>-5.2856694149558403E-2</v>
      </c>
      <c r="M114" s="89">
        <f t="shared" ref="M114:M115" si="298">IF(L52=0,"",M52/L52-1)</f>
        <v>-0.1202898870031831</v>
      </c>
      <c r="N114" s="89">
        <f t="shared" ref="N114:N115" si="299">IF(M52=0,"",N52/M52-1)</f>
        <v>6.4442322673740504E-2</v>
      </c>
      <c r="O114" s="89">
        <f t="shared" ref="O114:O115" si="300">IF(N52=0,"",O52/N52-1)</f>
        <v>-3.0903950576756878E-2</v>
      </c>
      <c r="P114" s="89">
        <f t="shared" ref="P114:P115" si="301">IF(O52=0,"",P52/O52-1)</f>
        <v>-9.6943989112915019E-2</v>
      </c>
      <c r="Q114" s="89">
        <f t="shared" ref="Q114:Q115" si="302">IF(P52=0,"",Q52/P52-1)</f>
        <v>-4.7623957013382734E-2</v>
      </c>
      <c r="R114" s="89">
        <f t="shared" ref="R114:R115" si="303">IF(Q52=0,"",R52/Q52-1)</f>
        <v>-7.2705212634523897E-2</v>
      </c>
      <c r="S114" s="89">
        <f t="shared" ref="S114:S115" si="304">IF(R52=0,"",S52/R52-1)</f>
        <v>2.8876883261962361E-2</v>
      </c>
      <c r="T114" s="89">
        <f t="shared" ref="T114:T115" si="305">IF(S52=0,"",T52/S52-1)</f>
        <v>6.2955780018578711E-3</v>
      </c>
      <c r="U114" s="89">
        <f t="shared" ref="U114:U115" si="306">IF(T52=0,"",U52/T52-1)</f>
        <v>3.4889908752489651E-2</v>
      </c>
      <c r="V114" s="89">
        <f t="shared" ref="V114:V115" si="307">IF(U52=0,"",V52/U52-1)</f>
        <v>1.8326402342811576E-2</v>
      </c>
      <c r="W114" s="89">
        <f t="shared" ref="W114:W115" si="308">IF(V52=0,"",W52/V52-1)</f>
        <v>1.252457657429229E-2</v>
      </c>
      <c r="X114" s="89">
        <f t="shared" ref="X114:X115" si="309">IF(W52=0,"",X52/W52-1)</f>
        <v>-0.11498729900709237</v>
      </c>
      <c r="Y114" s="89">
        <f t="shared" ref="Y114:Y115" si="310">IF(X52=0,"",Y52/X52-1)</f>
        <v>3.427882033821783E-2</v>
      </c>
      <c r="Z114" s="89">
        <f t="shared" ref="Z114:Z115" si="311">IF(Y52=0,"",Z52/Y52-1)</f>
        <v>3.8010661025358328E-2</v>
      </c>
      <c r="AA114" s="89">
        <f t="shared" ref="AA114:AA115" si="312">IF(Z52=0,"",AA52/Z52-1)</f>
        <v>1.36549434659472E-2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1.6001106301880563E-2</v>
      </c>
      <c r="F115" s="89">
        <f t="shared" si="291"/>
        <v>-2.6544433934475475E-2</v>
      </c>
      <c r="G115" s="89">
        <f t="shared" si="292"/>
        <v>-5.5822546821896135E-2</v>
      </c>
      <c r="H115" s="89">
        <f t="shared" si="293"/>
        <v>-2.2560723000813132E-2</v>
      </c>
      <c r="I115" s="89">
        <f t="shared" si="294"/>
        <v>-2.8587967227593825E-2</v>
      </c>
      <c r="J115" s="89">
        <f t="shared" si="295"/>
        <v>-1.3034569709620913E-2</v>
      </c>
      <c r="K115" s="89">
        <f t="shared" si="296"/>
        <v>2.9960297974815697E-2</v>
      </c>
      <c r="L115" s="89">
        <f t="shared" si="297"/>
        <v>-4.2517802898262236E-2</v>
      </c>
      <c r="M115" s="89">
        <f t="shared" si="298"/>
        <v>-9.8328976397921708E-2</v>
      </c>
      <c r="N115" s="89">
        <f t="shared" si="299"/>
        <v>0.1214264523831412</v>
      </c>
      <c r="O115" s="89">
        <f t="shared" si="300"/>
        <v>3.1146015253544324E-2</v>
      </c>
      <c r="P115" s="89">
        <f t="shared" si="301"/>
        <v>-4.2383876735650139E-2</v>
      </c>
      <c r="Q115" s="89">
        <f t="shared" si="302"/>
        <v>-1.9073744318044983E-2</v>
      </c>
      <c r="R115" s="89">
        <f t="shared" si="303"/>
        <v>-0.1150420861834438</v>
      </c>
      <c r="S115" s="89">
        <f t="shared" si="304"/>
        <v>0.11052356976356981</v>
      </c>
      <c r="T115" s="89">
        <f t="shared" si="305"/>
        <v>1.2917308614970757E-2</v>
      </c>
      <c r="U115" s="89">
        <f t="shared" si="306"/>
        <v>6.4349480861686681E-2</v>
      </c>
      <c r="V115" s="89">
        <f t="shared" si="307"/>
        <v>3.0342813137657743E-2</v>
      </c>
      <c r="W115" s="89">
        <f t="shared" si="308"/>
        <v>1.7385996431300343E-2</v>
      </c>
      <c r="X115" s="89">
        <f t="shared" si="309"/>
        <v>-8.0772890874998948E-2</v>
      </c>
      <c r="Y115" s="89">
        <f t="shared" si="310"/>
        <v>7.1232170064574607E-3</v>
      </c>
      <c r="Z115" s="89">
        <f t="shared" si="311"/>
        <v>3.6872833259188775E-2</v>
      </c>
      <c r="AA115" s="89">
        <f t="shared" si="312"/>
        <v>1.3098406275070973E-2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-3.1049703252985617E-2</v>
      </c>
      <c r="F116" s="89">
        <f t="shared" ref="F116:F122" si="314">IF(E56=0,"",F56/E56-1)</f>
        <v>1.4534757009922794E-2</v>
      </c>
      <c r="G116" s="89">
        <f t="shared" ref="G116:G122" si="315">IF(F56=0,"",G56/F56-1)</f>
        <v>-2.8900936367608931E-2</v>
      </c>
      <c r="H116" s="89">
        <f t="shared" ref="H116:H122" si="316">IF(G56=0,"",H56/G56-1)</f>
        <v>-1.9706163165699064E-2</v>
      </c>
      <c r="I116" s="89">
        <f t="shared" ref="I116:I122" si="317">IF(H56=0,"",I56/H56-1)</f>
        <v>6.5092266349676242E-2</v>
      </c>
      <c r="J116" s="89">
        <f t="shared" ref="J116:J122" si="318">IF(I56=0,"",J56/I56-1)</f>
        <v>-2.8690683480409596E-2</v>
      </c>
      <c r="K116" s="89">
        <f t="shared" ref="K116:K122" si="319">IF(J56=0,"",K56/J56-1)</f>
        <v>-5.4826057610978696E-2</v>
      </c>
      <c r="L116" s="89">
        <f t="shared" ref="L116:L122" si="320">IF(K56=0,"",L56/K56-1)</f>
        <v>-6.1728358357607038E-2</v>
      </c>
      <c r="M116" s="89">
        <f t="shared" ref="M116:M122" si="321">IF(L56=0,"",M56/L56-1)</f>
        <v>-0.13952007763805263</v>
      </c>
      <c r="N116" s="89">
        <f t="shared" ref="N116:N122" si="322">IF(M56=0,"",N56/M56-1)</f>
        <v>1.2155224835062928E-2</v>
      </c>
      <c r="O116" s="89">
        <f t="shared" ref="O116:O122" si="323">IF(N56=0,"",O56/N56-1)</f>
        <v>-9.3986006461017513E-2</v>
      </c>
      <c r="P116" s="89">
        <f t="shared" ref="P116:P122" si="324">IF(O56=0,"",P56/O56-1)</f>
        <v>-0.1600723932499345</v>
      </c>
      <c r="Q116" s="89">
        <f t="shared" ref="Q116:Q122" si="325">IF(P56=0,"",Q56/P56-1)</f>
        <v>-8.5286400781501959E-2</v>
      </c>
      <c r="R116" s="89">
        <f t="shared" ref="R116:R122" si="326">IF(Q56=0,"",R56/Q56-1)</f>
        <v>-1.2813165873812205E-2</v>
      </c>
      <c r="S116" s="89">
        <f t="shared" ref="S116:S122" si="327">IF(R56=0,"",S56/R56-1)</f>
        <v>-7.4664079391891902E-2</v>
      </c>
      <c r="T116" s="89">
        <f t="shared" ref="T116:T122" si="328">IF(S56=0,"",T56/S56-1)</f>
        <v>-3.7824022250708689E-3</v>
      </c>
      <c r="U116" s="89">
        <f t="shared" ref="U116:U122" si="329">IF(T56=0,"",U56/T56-1)</f>
        <v>-1.0697846821552504E-2</v>
      </c>
      <c r="V116" s="89">
        <f t="shared" ref="V116:V122" si="330">IF(U56=0,"",V56/U56-1)</f>
        <v>-1.679209658919989E-3</v>
      </c>
      <c r="W116" s="89">
        <f t="shared" ref="W116:W122" si="331">IF(V56=0,"",W56/V56-1)</f>
        <v>4.1713966495098287E-3</v>
      </c>
      <c r="X116" s="89">
        <f t="shared" ref="X116:X122" si="332">IF(W56=0,"",X56/W56-1)</f>
        <v>-0.17455017317281785</v>
      </c>
      <c r="Y116" s="89">
        <f t="shared" ref="Y116:Y122" si="333">IF(X56=0,"",Y56/X56-1)</f>
        <v>8.6923951705558E-2</v>
      </c>
      <c r="Z116" s="89">
        <f t="shared" ref="Z116:Z122" si="334">IF(Y56=0,"",Z56/Y56-1)</f>
        <v>4.0054556743321701E-2</v>
      </c>
      <c r="AA116" s="89">
        <f t="shared" ref="AA116:AA122" si="335">IF(Z56=0,"",AA56/Z56-1)</f>
        <v>1.4651600583432511E-2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5.8030944323625988E-3</v>
      </c>
      <c r="F117" s="89">
        <f t="shared" si="314"/>
        <v>6.3322059613601933E-3</v>
      </c>
      <c r="G117" s="89">
        <f t="shared" si="315"/>
        <v>3.7423582313282022E-2</v>
      </c>
      <c r="H117" s="89">
        <f t="shared" si="316"/>
        <v>1.154902363489807E-2</v>
      </c>
      <c r="I117" s="89">
        <f t="shared" si="317"/>
        <v>6.7402777278838144E-2</v>
      </c>
      <c r="J117" s="89">
        <f t="shared" si="318"/>
        <v>-8.4575657151130246E-3</v>
      </c>
      <c r="K117" s="89">
        <f t="shared" si="319"/>
        <v>5.769918882961389E-2</v>
      </c>
      <c r="L117" s="89">
        <f t="shared" si="320"/>
        <v>3.7308404691844821E-3</v>
      </c>
      <c r="M117" s="89">
        <f t="shared" si="321"/>
        <v>-2.2938083149530386E-2</v>
      </c>
      <c r="N117" s="89">
        <f t="shared" si="322"/>
        <v>3.3806772761409531E-2</v>
      </c>
      <c r="O117" s="89">
        <f t="shared" si="323"/>
        <v>3.8134747928015189E-2</v>
      </c>
      <c r="P117" s="89">
        <f t="shared" si="324"/>
        <v>-2.0522066568081199E-2</v>
      </c>
      <c r="Q117" s="89">
        <f t="shared" si="325"/>
        <v>-1.6660577587974901E-2</v>
      </c>
      <c r="R117" s="89">
        <f t="shared" si="326"/>
        <v>9.4652797429040092E-5</v>
      </c>
      <c r="S117" s="89">
        <f t="shared" si="327"/>
        <v>6.2582999198073086E-3</v>
      </c>
      <c r="T117" s="89">
        <f t="shared" si="328"/>
        <v>7.946489353960029E-3</v>
      </c>
      <c r="U117" s="89">
        <f t="shared" si="329"/>
        <v>1.6209579396535334E-2</v>
      </c>
      <c r="V117" s="89">
        <f t="shared" si="330"/>
        <v>-5.8893543128664017E-2</v>
      </c>
      <c r="W117" s="89">
        <f t="shared" si="331"/>
        <v>4.9881753919717609E-2</v>
      </c>
      <c r="X117" s="89">
        <f t="shared" si="332"/>
        <v>-7.0848367984038485E-2</v>
      </c>
      <c r="Y117" s="89">
        <f t="shared" si="333"/>
        <v>2.4647491492436391E-2</v>
      </c>
      <c r="Z117" s="89">
        <f t="shared" si="334"/>
        <v>0.11540817565161365</v>
      </c>
      <c r="AA117" s="89">
        <f t="shared" si="335"/>
        <v>6.7679986637491085E-2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-1.6612688310295498E-2</v>
      </c>
      <c r="F118" s="89">
        <f t="shared" si="314"/>
        <v>3.7149150587969526E-2</v>
      </c>
      <c r="G118" s="89">
        <f t="shared" si="315"/>
        <v>1.372567603093322E-2</v>
      </c>
      <c r="H118" s="89">
        <f t="shared" si="316"/>
        <v>-3.2912393826970421E-2</v>
      </c>
      <c r="I118" s="89">
        <f t="shared" si="317"/>
        <v>-5.4844927585678827E-2</v>
      </c>
      <c r="J118" s="89">
        <f t="shared" si="318"/>
        <v>3.997707421543395E-2</v>
      </c>
      <c r="K118" s="89">
        <f t="shared" si="319"/>
        <v>-5.1421931353440309E-3</v>
      </c>
      <c r="L118" s="89">
        <f t="shared" si="320"/>
        <v>-8.2506034735714828E-2</v>
      </c>
      <c r="M118" s="89">
        <f t="shared" si="321"/>
        <v>-0.12615118515724522</v>
      </c>
      <c r="N118" s="89">
        <f t="shared" si="322"/>
        <v>-4.4769175515849913E-2</v>
      </c>
      <c r="O118" s="89">
        <f t="shared" si="323"/>
        <v>5.4657537958710201E-2</v>
      </c>
      <c r="P118" s="89">
        <f t="shared" si="324"/>
        <v>-8.9985362773074895E-2</v>
      </c>
      <c r="Q118" s="89">
        <f t="shared" si="325"/>
        <v>0.13938739905535424</v>
      </c>
      <c r="R118" s="89">
        <f t="shared" si="326"/>
        <v>8.008596805806012E-2</v>
      </c>
      <c r="S118" s="89">
        <f t="shared" si="327"/>
        <v>1.6063054474708238E-2</v>
      </c>
      <c r="T118" s="89">
        <f t="shared" si="328"/>
        <v>3.9095027222955103E-3</v>
      </c>
      <c r="U118" s="89">
        <f t="shared" si="329"/>
        <v>5.5085314394855978E-2</v>
      </c>
      <c r="V118" s="89">
        <f t="shared" si="330"/>
        <v>6.8627943788792889E-2</v>
      </c>
      <c r="W118" s="89">
        <f t="shared" si="331"/>
        <v>-7.6713559711965029E-3</v>
      </c>
      <c r="X118" s="89">
        <f t="shared" si="332"/>
        <v>-0.12618080122968611</v>
      </c>
      <c r="Y118" s="89">
        <f t="shared" si="333"/>
        <v>2.6959314852995853E-2</v>
      </c>
      <c r="Z118" s="89">
        <f t="shared" si="334"/>
        <v>5.9372433696594618E-2</v>
      </c>
      <c r="AA118" s="89">
        <f t="shared" si="335"/>
        <v>4.6164768614189278E-2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1.7815402626809584E-2</v>
      </c>
      <c r="F119" s="89">
        <f t="shared" si="314"/>
        <v>-2.5401670751510008E-2</v>
      </c>
      <c r="G119" s="89">
        <f t="shared" si="315"/>
        <v>-1.599767652230033E-2</v>
      </c>
      <c r="H119" s="89">
        <f t="shared" si="316"/>
        <v>-1.625744552539643E-2</v>
      </c>
      <c r="I119" s="89">
        <f t="shared" si="317"/>
        <v>-9.9676002299805555E-3</v>
      </c>
      <c r="J119" s="89">
        <f t="shared" si="318"/>
        <v>3.5144006887209978E-2</v>
      </c>
      <c r="K119" s="89">
        <f t="shared" si="319"/>
        <v>1.6335191811600369E-2</v>
      </c>
      <c r="L119" s="89">
        <f t="shared" si="320"/>
        <v>-3.032334016161875E-3</v>
      </c>
      <c r="M119" s="89">
        <f t="shared" si="321"/>
        <v>-0.17648888367979787</v>
      </c>
      <c r="N119" s="89">
        <f t="shared" si="322"/>
        <v>-4.1920237359249768E-2</v>
      </c>
      <c r="O119" s="89">
        <f t="shared" si="323"/>
        <v>-4.2169708995131838E-2</v>
      </c>
      <c r="P119" s="89">
        <f t="shared" si="324"/>
        <v>-5.6802380542057995E-2</v>
      </c>
      <c r="Q119" s="89">
        <f t="shared" si="325"/>
        <v>-1.3392881731051687E-2</v>
      </c>
      <c r="R119" s="89">
        <f t="shared" si="326"/>
        <v>2.6992598106497345E-2</v>
      </c>
      <c r="S119" s="89">
        <f t="shared" si="327"/>
        <v>-4.0466045369823567E-3</v>
      </c>
      <c r="T119" s="89">
        <f t="shared" si="328"/>
        <v>1.8064724984938607E-2</v>
      </c>
      <c r="U119" s="89">
        <f t="shared" si="329"/>
        <v>6.7349540740358815E-2</v>
      </c>
      <c r="V119" s="89">
        <f t="shared" si="330"/>
        <v>5.4128307882517213E-2</v>
      </c>
      <c r="W119" s="89">
        <f t="shared" si="331"/>
        <v>-3.3492740006832999E-3</v>
      </c>
      <c r="X119" s="89">
        <f t="shared" si="332"/>
        <v>-7.6936803222480088E-2</v>
      </c>
      <c r="Y119" s="89">
        <f t="shared" si="333"/>
        <v>8.0720639678749651E-2</v>
      </c>
      <c r="Z119" s="89">
        <f t="shared" si="334"/>
        <v>-1.6616604030852189E-2</v>
      </c>
      <c r="AA119" s="89">
        <f t="shared" si="335"/>
        <v>-1.5306193466533502E-2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2.473315936562126E-2</v>
      </c>
      <c r="F120" s="89">
        <f t="shared" si="314"/>
        <v>-3.6139384105918881E-2</v>
      </c>
      <c r="G120" s="89">
        <f t="shared" si="315"/>
        <v>9.6179325892224998E-3</v>
      </c>
      <c r="H120" s="89">
        <f t="shared" si="316"/>
        <v>-6.0630463611787144E-2</v>
      </c>
      <c r="I120" s="89">
        <f t="shared" si="317"/>
        <v>-4.4563008563151207E-2</v>
      </c>
      <c r="J120" s="89">
        <f t="shared" si="318"/>
        <v>6.7362429183654982E-3</v>
      </c>
      <c r="K120" s="89">
        <f t="shared" si="319"/>
        <v>-3.2126576457583988E-2</v>
      </c>
      <c r="L120" s="89">
        <f t="shared" si="320"/>
        <v>-3.1104694889758755E-2</v>
      </c>
      <c r="M120" s="89">
        <f t="shared" si="321"/>
        <v>-0.12670016284944186</v>
      </c>
      <c r="N120" s="89">
        <f t="shared" si="322"/>
        <v>3.7635737273980174E-2</v>
      </c>
      <c r="O120" s="89">
        <f t="shared" si="323"/>
        <v>0.11770929138721731</v>
      </c>
      <c r="P120" s="89">
        <f t="shared" si="324"/>
        <v>-9.150425175062793E-2</v>
      </c>
      <c r="Q120" s="89">
        <f t="shared" si="325"/>
        <v>2.6434224781374249E-2</v>
      </c>
      <c r="R120" s="89">
        <f t="shared" si="326"/>
        <v>1.2759570411691845E-2</v>
      </c>
      <c r="S120" s="89">
        <f t="shared" si="327"/>
        <v>4.6200786639235325E-2</v>
      </c>
      <c r="T120" s="89">
        <f t="shared" si="328"/>
        <v>3.0483051687372198E-2</v>
      </c>
      <c r="U120" s="89">
        <f t="shared" si="329"/>
        <v>2.5822227304932222E-2</v>
      </c>
      <c r="V120" s="89">
        <f t="shared" si="330"/>
        <v>-3.6307394497290368E-2</v>
      </c>
      <c r="W120" s="89">
        <f t="shared" si="331"/>
        <v>-4.8902608768518818E-2</v>
      </c>
      <c r="X120" s="89">
        <f t="shared" si="332"/>
        <v>-0.14635460845595194</v>
      </c>
      <c r="Y120" s="89">
        <f t="shared" si="333"/>
        <v>6.1347468627344304E-2</v>
      </c>
      <c r="Z120" s="89">
        <f t="shared" si="334"/>
        <v>-5.0568760397966761E-2</v>
      </c>
      <c r="AA120" s="89">
        <f t="shared" si="335"/>
        <v>-3.0322425556417731E-2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-3.2807632451376079E-2</v>
      </c>
      <c r="F121" s="89">
        <f t="shared" si="314"/>
        <v>-2.4904869688813447E-2</v>
      </c>
      <c r="G121" s="89">
        <f t="shared" si="315"/>
        <v>-3.1728964756739919E-2</v>
      </c>
      <c r="H121" s="89">
        <f t="shared" si="316"/>
        <v>-2.4820245465251745E-2</v>
      </c>
      <c r="I121" s="89">
        <f t="shared" si="317"/>
        <v>1.0446052378378701E-2</v>
      </c>
      <c r="J121" s="89">
        <f t="shared" si="318"/>
        <v>3.3189015328114913E-2</v>
      </c>
      <c r="K121" s="89">
        <f t="shared" si="319"/>
        <v>-1.8678634322097598E-2</v>
      </c>
      <c r="L121" s="89">
        <f t="shared" si="320"/>
        <v>-5.7101968814381454E-2</v>
      </c>
      <c r="M121" s="89">
        <f t="shared" si="321"/>
        <v>-0.27567740850910483</v>
      </c>
      <c r="N121" s="89">
        <f t="shared" si="322"/>
        <v>-6.7077908376115936E-2</v>
      </c>
      <c r="O121" s="89">
        <f t="shared" si="323"/>
        <v>-0.10046838019628845</v>
      </c>
      <c r="P121" s="89">
        <f t="shared" si="324"/>
        <v>-0.10728212624860256</v>
      </c>
      <c r="Q121" s="89">
        <f t="shared" si="325"/>
        <v>-6.4204746432834026E-2</v>
      </c>
      <c r="R121" s="89">
        <f t="shared" si="326"/>
        <v>-1.2044130578675594E-2</v>
      </c>
      <c r="S121" s="89">
        <f t="shared" si="327"/>
        <v>8.1443405698778726E-2</v>
      </c>
      <c r="T121" s="89">
        <f t="shared" si="328"/>
        <v>3.2630556013608203E-2</v>
      </c>
      <c r="U121" s="89">
        <f t="shared" si="329"/>
        <v>0.14580723931740125</v>
      </c>
      <c r="V121" s="89">
        <f t="shared" si="330"/>
        <v>3.4361659029892966E-2</v>
      </c>
      <c r="W121" s="89">
        <f t="shared" si="331"/>
        <v>2.0861002680145457E-2</v>
      </c>
      <c r="X121" s="89">
        <f t="shared" si="332"/>
        <v>-8.0117933145359865E-2</v>
      </c>
      <c r="Y121" s="89">
        <f t="shared" si="333"/>
        <v>0.25665180443810609</v>
      </c>
      <c r="Z121" s="89">
        <f t="shared" si="334"/>
        <v>9.7152768352674279E-2</v>
      </c>
      <c r="AA121" s="89">
        <f t="shared" si="335"/>
        <v>4.2131290213902162E-2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-1.1450003907158224E-2</v>
      </c>
      <c r="F122" s="91">
        <f t="shared" si="314"/>
        <v>-2.1119070392109474E-2</v>
      </c>
      <c r="G122" s="91">
        <f t="shared" si="315"/>
        <v>-2.2691081352865683E-2</v>
      </c>
      <c r="H122" s="91">
        <f t="shared" si="316"/>
        <v>1.5785516503896702E-2</v>
      </c>
      <c r="I122" s="91">
        <f t="shared" si="317"/>
        <v>-1.817701885986156E-2</v>
      </c>
      <c r="J122" s="91">
        <f t="shared" si="318"/>
        <v>-1.4265087097767748E-2</v>
      </c>
      <c r="K122" s="91">
        <f t="shared" si="319"/>
        <v>-1.5481260647359218E-2</v>
      </c>
      <c r="L122" s="91">
        <f t="shared" si="320"/>
        <v>8.6350281360487724E-3</v>
      </c>
      <c r="M122" s="91">
        <f t="shared" si="321"/>
        <v>-0.13350751192554111</v>
      </c>
      <c r="N122" s="91">
        <f t="shared" si="322"/>
        <v>-2.6030209718612696E-2</v>
      </c>
      <c r="O122" s="91">
        <f t="shared" si="323"/>
        <v>-3.5420551131999267E-2</v>
      </c>
      <c r="P122" s="91">
        <f t="shared" si="324"/>
        <v>-3.2812360137122076E-2</v>
      </c>
      <c r="Q122" s="91">
        <f t="shared" si="325"/>
        <v>-5.380380705046317E-3</v>
      </c>
      <c r="R122" s="91">
        <f t="shared" si="326"/>
        <v>1.3205353267042641E-2</v>
      </c>
      <c r="S122" s="91">
        <f t="shared" si="327"/>
        <v>1.6431111559004341E-2</v>
      </c>
      <c r="T122" s="91">
        <f t="shared" si="328"/>
        <v>4.5529348655350965E-3</v>
      </c>
      <c r="U122" s="91">
        <f t="shared" si="329"/>
        <v>4.5180203527847684E-2</v>
      </c>
      <c r="V122" s="91">
        <f t="shared" si="330"/>
        <v>2.0217009014215748E-2</v>
      </c>
      <c r="W122" s="91">
        <f t="shared" si="331"/>
        <v>3.8157159064333257E-2</v>
      </c>
      <c r="X122" s="91">
        <f t="shared" si="332"/>
        <v>-9.0401261514121978E-2</v>
      </c>
      <c r="Y122" s="91">
        <f t="shared" si="333"/>
        <v>0.11030200873611085</v>
      </c>
      <c r="Z122" s="91">
        <f t="shared" si="334"/>
        <v>2.3175725635867117E-2</v>
      </c>
      <c r="AA122" s="91">
        <f t="shared" si="335"/>
        <v>-8.7764753328808398E-3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2025-11-06T10:23:09Z</dcterms:created>
  <dcterms:modified xsi:type="dcterms:W3CDTF">2025-11-06T10:23:09Z</dcterms:modified>
</cp:coreProperties>
</file>