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ES\"/>
    </mc:Choice>
  </mc:AlternateContent>
  <bookViews>
    <workbookView xWindow="-120" yWindow="-120" windowWidth="29040" windowHeight="15720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5" i="6" l="1"/>
  <c r="X95" i="6"/>
  <c r="Y67" i="6"/>
  <c r="X67" i="6"/>
  <c r="Y27" i="6"/>
  <c r="Y119" i="6"/>
  <c r="Y173" i="6" s="1"/>
  <c r="X119" i="6"/>
  <c r="X173" i="6" s="1"/>
  <c r="X26" i="12"/>
  <c r="X24" i="12"/>
  <c r="Y16" i="7"/>
  <c r="X16" i="7"/>
  <c r="Y14" i="13"/>
  <c r="X13" i="12"/>
  <c r="X21" i="12"/>
  <c r="X20" i="12"/>
  <c r="X16" i="8"/>
  <c r="X7" i="12"/>
  <c r="Y6" i="12"/>
  <c r="Y33" i="10"/>
  <c r="Y22" i="13"/>
  <c r="X22" i="13"/>
  <c r="Y21" i="13"/>
  <c r="X21" i="13"/>
  <c r="Y20" i="13"/>
  <c r="Y18" i="13"/>
  <c r="Y17" i="13"/>
  <c r="X17" i="10"/>
  <c r="Y6" i="13"/>
  <c r="X18" i="10"/>
  <c r="X6" i="10"/>
  <c r="Y33" i="14"/>
  <c r="Y33" i="17" s="1"/>
  <c r="X33" i="14"/>
  <c r="X33" i="17" s="1"/>
  <c r="Y26" i="14"/>
  <c r="Y26" i="17" s="1"/>
  <c r="X26" i="14"/>
  <c r="X26" i="17" s="1"/>
  <c r="Y25" i="14"/>
  <c r="Y25" i="17" s="1"/>
  <c r="X25" i="14"/>
  <c r="X25" i="17" s="1"/>
  <c r="X22" i="14"/>
  <c r="Y21" i="14"/>
  <c r="X21" i="14"/>
  <c r="Y20" i="14"/>
  <c r="X20" i="14"/>
  <c r="Y18" i="14"/>
  <c r="Y18" i="17" s="1"/>
  <c r="X18" i="14"/>
  <c r="X18" i="17" s="1"/>
  <c r="Y17" i="14"/>
  <c r="X16" i="1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Y6" i="14"/>
  <c r="X32" i="12"/>
  <c r="Y31" i="12"/>
  <c r="X31" i="12"/>
  <c r="X23" i="12"/>
  <c r="Y22" i="12"/>
  <c r="X17" i="12"/>
  <c r="X14" i="12"/>
  <c r="Y33" i="13"/>
  <c r="X33" i="13"/>
  <c r="X32" i="13"/>
  <c r="Y28" i="14"/>
  <c r="Y28" i="17" s="1"/>
  <c r="X28" i="14"/>
  <c r="X28" i="17" s="1"/>
  <c r="Y27" i="14"/>
  <c r="Y27" i="17" s="1"/>
  <c r="X27" i="14"/>
  <c r="X27" i="17" s="1"/>
  <c r="Y15" i="14"/>
  <c r="Y15" i="17" s="1"/>
  <c r="X15" i="14"/>
  <c r="X15" i="17" s="1"/>
  <c r="Y29" i="18"/>
  <c r="X28" i="23"/>
  <c r="Y26" i="23"/>
  <c r="Y24" i="25"/>
  <c r="Y24" i="28" s="1"/>
  <c r="Y14" i="24"/>
  <c r="X13" i="23"/>
  <c r="Y10" i="24"/>
  <c r="X9" i="23"/>
  <c r="Y8" i="23"/>
  <c r="Y7" i="25"/>
  <c r="Y7" i="28" s="1"/>
  <c r="X24" i="23"/>
  <c r="Y23" i="23"/>
  <c r="X23" i="23"/>
  <c r="Y22" i="23"/>
  <c r="Y20" i="23"/>
  <c r="Y20" i="26" s="1"/>
  <c r="X5" i="21"/>
  <c r="Y33" i="24"/>
  <c r="Y22" i="24"/>
  <c r="X20" i="21"/>
  <c r="Y18" i="21"/>
  <c r="X18" i="24"/>
  <c r="Y17" i="24"/>
  <c r="Y20" i="21"/>
  <c r="Y33" i="25"/>
  <c r="Y33" i="28" s="1"/>
  <c r="X33" i="25"/>
  <c r="X33" i="28" s="1"/>
  <c r="Y26" i="25"/>
  <c r="Y26" i="28" s="1"/>
  <c r="X25" i="25"/>
  <c r="X25" i="28" s="1"/>
  <c r="Y23" i="25"/>
  <c r="X23" i="25"/>
  <c r="Y22" i="25"/>
  <c r="Y20" i="25"/>
  <c r="Y20" i="28" s="1"/>
  <c r="X20" i="25"/>
  <c r="X20" i="28" s="1"/>
  <c r="Y18" i="25"/>
  <c r="Y18" i="28" s="1"/>
  <c r="X18" i="25"/>
  <c r="X18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Y33" i="23"/>
  <c r="Y21" i="24"/>
  <c r="X21" i="24"/>
  <c r="Y20" i="24"/>
  <c r="Y20" i="27" s="1"/>
  <c r="X20" i="24"/>
  <c r="X20" i="27" s="1"/>
  <c r="Y18" i="24"/>
  <c r="Y28" i="25"/>
  <c r="Y28" i="28" s="1"/>
  <c r="X28" i="25"/>
  <c r="X28" i="28" s="1"/>
  <c r="Y27" i="25"/>
  <c r="Y27" i="28" s="1"/>
  <c r="X27" i="25"/>
  <c r="X27" i="28" s="1"/>
  <c r="X26" i="25"/>
  <c r="X26" i="28" s="1"/>
  <c r="Y25" i="25"/>
  <c r="Y25" i="28" s="1"/>
  <c r="X24" i="25"/>
  <c r="Y15" i="25"/>
  <c r="Y15" i="28" s="1"/>
  <c r="X15" i="25"/>
  <c r="X15" i="28" s="1"/>
  <c r="X11" i="25"/>
  <c r="X11" i="28" s="1"/>
  <c r="Y15" i="35"/>
  <c r="X15" i="35"/>
  <c r="Y15" i="34"/>
  <c r="X15" i="34"/>
  <c r="Y15" i="33"/>
  <c r="X15" i="33"/>
  <c r="Y15" i="32"/>
  <c r="X15" i="32"/>
  <c r="Y15" i="31"/>
  <c r="X15" i="31"/>
  <c r="Y15" i="30"/>
  <c r="X15" i="30"/>
  <c r="Y14" i="35"/>
  <c r="X14" i="35"/>
  <c r="Y14" i="34"/>
  <c r="X14" i="34"/>
  <c r="Y14" i="33"/>
  <c r="X14" i="33"/>
  <c r="Y14" i="32"/>
  <c r="Y14" i="31"/>
  <c r="X14" i="31"/>
  <c r="Y14" i="30"/>
  <c r="X14" i="30"/>
  <c r="Y12" i="35"/>
  <c r="X12" i="35"/>
  <c r="Y12" i="34"/>
  <c r="X12" i="34"/>
  <c r="Y12" i="33"/>
  <c r="X12" i="33"/>
  <c r="Y12" i="32"/>
  <c r="X12" i="32"/>
  <c r="Y12" i="31"/>
  <c r="X12" i="31"/>
  <c r="Y12" i="30"/>
  <c r="X12" i="30"/>
  <c r="Y10" i="35"/>
  <c r="X10" i="35"/>
  <c r="X10" i="34"/>
  <c r="Y10" i="33"/>
  <c r="X10" i="33"/>
  <c r="Y10" i="32"/>
  <c r="X10" i="32"/>
  <c r="Y10" i="31"/>
  <c r="X10" i="31"/>
  <c r="X10" i="30"/>
  <c r="Y9" i="35"/>
  <c r="X9" i="35"/>
  <c r="Y9" i="34"/>
  <c r="X9" i="34"/>
  <c r="Y9" i="33"/>
  <c r="X9" i="33"/>
  <c r="Y9" i="32"/>
  <c r="X9" i="32"/>
  <c r="Y9" i="31"/>
  <c r="X9" i="31"/>
  <c r="Y9" i="30"/>
  <c r="X9" i="30"/>
  <c r="Y8" i="32"/>
  <c r="Y10" i="30"/>
  <c r="X8" i="30"/>
  <c r="X14" i="32"/>
  <c r="Y10" i="34"/>
  <c r="Y49" i="38"/>
  <c r="X49" i="38"/>
  <c r="Y45" i="38"/>
  <c r="X45" i="38"/>
  <c r="Y40" i="39"/>
  <c r="X40" i="39"/>
  <c r="Y52" i="39"/>
  <c r="X52" i="39"/>
  <c r="Y47" i="39"/>
  <c r="X47" i="39"/>
  <c r="Y46" i="39"/>
  <c r="X46" i="39"/>
  <c r="Y32" i="39"/>
  <c r="X32" i="39"/>
  <c r="Y14" i="36"/>
  <c r="Y9" i="36"/>
  <c r="Y33" i="27" l="1"/>
  <c r="Y17" i="10"/>
  <c r="Y18" i="10"/>
  <c r="X8" i="12"/>
  <c r="Y5" i="10"/>
  <c r="X25" i="23"/>
  <c r="Y24" i="12"/>
  <c r="X25" i="12"/>
  <c r="Y23" i="10"/>
  <c r="Y10" i="12"/>
  <c r="X8" i="13"/>
  <c r="X11" i="12"/>
  <c r="Y8" i="13"/>
  <c r="X9" i="21"/>
  <c r="X25" i="24"/>
  <c r="X17" i="24"/>
  <c r="X25" i="13"/>
  <c r="X12" i="12"/>
  <c r="Y7" i="24"/>
  <c r="Y7" i="27" s="1"/>
  <c r="Y23" i="28"/>
  <c r="X7" i="14"/>
  <c r="Y25" i="13"/>
  <c r="X21" i="21"/>
  <c r="X31" i="23"/>
  <c r="X26" i="13"/>
  <c r="Y26" i="24"/>
  <c r="Y31" i="23"/>
  <c r="Y10" i="13"/>
  <c r="Y26" i="13"/>
  <c r="X27" i="21"/>
  <c r="X32" i="23"/>
  <c r="X11" i="13"/>
  <c r="Y14" i="12"/>
  <c r="X5" i="10"/>
  <c r="Y19" i="22"/>
  <c r="X8" i="24"/>
  <c r="Y11" i="24"/>
  <c r="Y11" i="27" s="1"/>
  <c r="X13" i="29"/>
  <c r="X5" i="31" s="1"/>
  <c r="X12" i="24"/>
  <c r="X12" i="13"/>
  <c r="X30" i="13"/>
  <c r="X23" i="21"/>
  <c r="Y8" i="24"/>
  <c r="Y8" i="27" s="1"/>
  <c r="X12" i="29"/>
  <c r="X5" i="30" s="1"/>
  <c r="Y13" i="29"/>
  <c r="Y5" i="29" s="1"/>
  <c r="Y9" i="25"/>
  <c r="Y9" i="28" s="1"/>
  <c r="Y12" i="24"/>
  <c r="Y12" i="27" s="1"/>
  <c r="Y21" i="25"/>
  <c r="X10" i="14"/>
  <c r="X30" i="14"/>
  <c r="Y12" i="13"/>
  <c r="X7" i="21"/>
  <c r="Y52" i="38"/>
  <c r="X14" i="29"/>
  <c r="X6" i="29" s="1"/>
  <c r="X10" i="25"/>
  <c r="X13" i="21"/>
  <c r="X31" i="24"/>
  <c r="X17" i="23"/>
  <c r="X22" i="24"/>
  <c r="Y10" i="14"/>
  <c r="X31" i="13"/>
  <c r="Y33" i="12"/>
  <c r="X8" i="25"/>
  <c r="Y17" i="23"/>
  <c r="Y17" i="26" s="1"/>
  <c r="X31" i="14"/>
  <c r="Y31" i="13"/>
  <c r="X9" i="36"/>
  <c r="Y53" i="38"/>
  <c r="Y31" i="14"/>
  <c r="X32" i="10"/>
  <c r="Y24" i="23"/>
  <c r="Y24" i="26" s="1"/>
  <c r="Y8" i="25"/>
  <c r="Y8" i="28" s="1"/>
  <c r="Y14" i="21"/>
  <c r="Y32" i="21"/>
  <c r="X17" i="13"/>
  <c r="Y45" i="37"/>
  <c r="X15" i="21"/>
  <c r="X33" i="21"/>
  <c r="X33" i="10"/>
  <c r="Y33" i="21"/>
  <c r="Y12" i="23"/>
  <c r="Y12" i="26" s="1"/>
  <c r="X6" i="14"/>
  <c r="X10" i="12"/>
  <c r="X14" i="13"/>
  <c r="X13" i="24"/>
  <c r="X32" i="25"/>
  <c r="X11" i="24"/>
  <c r="X29" i="19"/>
  <c r="X71" i="6"/>
  <c r="X7" i="25"/>
  <c r="X7" i="28" s="1"/>
  <c r="X17" i="25"/>
  <c r="Y31" i="21"/>
  <c r="Y6" i="23"/>
  <c r="Y6" i="26" s="1"/>
  <c r="Y10" i="23"/>
  <c r="Y10" i="26" s="1"/>
  <c r="Y14" i="23"/>
  <c r="Y14" i="26" s="1"/>
  <c r="Y19" i="19"/>
  <c r="Y5" i="23"/>
  <c r="Y5" i="26" s="1"/>
  <c r="X14" i="36"/>
  <c r="X22" i="25"/>
  <c r="X17" i="21"/>
  <c r="X32" i="21"/>
  <c r="X7" i="23"/>
  <c r="X11" i="23"/>
  <c r="Y26" i="12"/>
  <c r="Y29" i="7"/>
  <c r="Y23" i="26"/>
  <c r="Y37" i="6"/>
  <c r="X33" i="24"/>
  <c r="Y30" i="14"/>
  <c r="Y24" i="13"/>
  <c r="Y30" i="13"/>
  <c r="X18" i="12"/>
  <c r="X23" i="14"/>
  <c r="X28" i="12"/>
  <c r="X33" i="12"/>
  <c r="X27" i="6"/>
  <c r="X25" i="27" s="1"/>
  <c r="Y8" i="14"/>
  <c r="Y12" i="12"/>
  <c r="Y18" i="12"/>
  <c r="Y28" i="12"/>
  <c r="X82" i="6"/>
  <c r="X81" i="6" s="1"/>
  <c r="X93" i="6" s="1"/>
  <c r="X107" i="6"/>
  <c r="X24" i="28"/>
  <c r="X9" i="25"/>
  <c r="X8" i="21"/>
  <c r="X9" i="14"/>
  <c r="X20" i="13"/>
  <c r="X24" i="14"/>
  <c r="Y8" i="36"/>
  <c r="X45" i="37"/>
  <c r="Y8" i="21"/>
  <c r="X71" i="29"/>
  <c r="X6" i="33" s="1"/>
  <c r="X20" i="6"/>
  <c r="Y8" i="33"/>
  <c r="X23" i="6"/>
  <c r="X162" i="6" s="1"/>
  <c r="Y115" i="6"/>
  <c r="X19" i="6"/>
  <c r="X21" i="6"/>
  <c r="X116" i="6"/>
  <c r="Y71" i="29"/>
  <c r="Y6" i="33" s="1"/>
  <c r="Y19" i="6"/>
  <c r="Y26" i="6"/>
  <c r="Y24" i="15" s="1"/>
  <c r="Y68" i="29"/>
  <c r="Y6" i="30" s="1"/>
  <c r="X101" i="6"/>
  <c r="X122" i="6" s="1"/>
  <c r="X118" i="6"/>
  <c r="Y73" i="29"/>
  <c r="Y6" i="35" s="1"/>
  <c r="Y118" i="6"/>
  <c r="X48" i="6"/>
  <c r="X47" i="6" s="1"/>
  <c r="X60" i="6" s="1"/>
  <c r="X37" i="6"/>
  <c r="X29" i="8"/>
  <c r="X30" i="12"/>
  <c r="X30" i="10"/>
  <c r="X4" i="7"/>
  <c r="X3" i="7" s="1"/>
  <c r="X5" i="12"/>
  <c r="X32" i="14"/>
  <c r="X29" i="11"/>
  <c r="Y20" i="12"/>
  <c r="Y20" i="10"/>
  <c r="X33" i="6"/>
  <c r="X5" i="24"/>
  <c r="X5" i="23"/>
  <c r="X5" i="26" s="1"/>
  <c r="X30" i="23"/>
  <c r="X18" i="13"/>
  <c r="X20" i="10"/>
  <c r="X10" i="13"/>
  <c r="X14" i="10"/>
  <c r="X19" i="9"/>
  <c r="X19" i="10" s="1"/>
  <c r="X24" i="13"/>
  <c r="X29" i="9"/>
  <c r="Y8" i="12"/>
  <c r="X22" i="12"/>
  <c r="Y31" i="10"/>
  <c r="Y24" i="14"/>
  <c r="Y101" i="6"/>
  <c r="Y122" i="6" s="1"/>
  <c r="X117" i="6"/>
  <c r="X9" i="13"/>
  <c r="X23" i="13"/>
  <c r="X52" i="37"/>
  <c r="Y31" i="24"/>
  <c r="Y31" i="27" s="1"/>
  <c r="X21" i="25"/>
  <c r="Y12" i="21"/>
  <c r="X9" i="24"/>
  <c r="X12" i="21"/>
  <c r="X17" i="14"/>
  <c r="X5" i="13"/>
  <c r="X6" i="12"/>
  <c r="Y14" i="10"/>
  <c r="X4" i="8"/>
  <c r="X9" i="12"/>
  <c r="Y117" i="6"/>
  <c r="Y29" i="22"/>
  <c r="Y29" i="25" s="1"/>
  <c r="Y29" i="28" s="1"/>
  <c r="Y5" i="21"/>
  <c r="Y23" i="24"/>
  <c r="Y23" i="27" s="1"/>
  <c r="Y28" i="24"/>
  <c r="Y28" i="27" s="1"/>
  <c r="Y16" i="18"/>
  <c r="Y32" i="25"/>
  <c r="Y32" i="28" s="1"/>
  <c r="Y5" i="13"/>
  <c r="X5" i="14"/>
  <c r="X19" i="11"/>
  <c r="X4" i="9"/>
  <c r="X15" i="10"/>
  <c r="Y13" i="12"/>
  <c r="X27" i="10"/>
  <c r="Y11" i="12"/>
  <c r="Y21" i="27"/>
  <c r="X5" i="25"/>
  <c r="X5" i="28" s="1"/>
  <c r="X28" i="13"/>
  <c r="X11" i="26"/>
  <c r="Y9" i="13"/>
  <c r="Y16" i="9"/>
  <c r="Y16" i="13" s="1"/>
  <c r="Y9" i="39"/>
  <c r="Y5" i="39" s="1"/>
  <c r="Y37" i="39" s="1"/>
  <c r="Y17" i="38"/>
  <c r="Y46" i="37"/>
  <c r="Y17" i="27"/>
  <c r="X6" i="25"/>
  <c r="X6" i="28" s="1"/>
  <c r="Y15" i="21"/>
  <c r="X51" i="39"/>
  <c r="Y32" i="24"/>
  <c r="Y32" i="27" s="1"/>
  <c r="Y16" i="22"/>
  <c r="X6" i="24"/>
  <c r="X24" i="24"/>
  <c r="X30" i="24"/>
  <c r="X6" i="13"/>
  <c r="Y11" i="10"/>
  <c r="Y15" i="10"/>
  <c r="X8" i="14"/>
  <c r="Y22" i="26"/>
  <c r="X13" i="13"/>
  <c r="X9" i="39"/>
  <c r="X5" i="39" s="1"/>
  <c r="X46" i="37"/>
  <c r="X25" i="26"/>
  <c r="X21" i="23"/>
  <c r="Y13" i="13"/>
  <c r="X19" i="7"/>
  <c r="X27" i="12" s="1"/>
  <c r="X29" i="7"/>
  <c r="X29" i="13" s="1"/>
  <c r="Y19" i="18"/>
  <c r="Y19" i="23" s="1"/>
  <c r="Y19" i="26" s="1"/>
  <c r="Y31" i="25"/>
  <c r="Y31" i="28" s="1"/>
  <c r="Y9" i="38"/>
  <c r="Y52" i="37"/>
  <c r="X32" i="24"/>
  <c r="X32" i="27" s="1"/>
  <c r="Y51" i="39"/>
  <c r="Y6" i="24"/>
  <c r="Y6" i="27" s="1"/>
  <c r="Y24" i="24"/>
  <c r="Y24" i="27" s="1"/>
  <c r="Y18" i="23"/>
  <c r="Y18" i="26" s="1"/>
  <c r="X16" i="9"/>
  <c r="X16" i="13" s="1"/>
  <c r="X19" i="8"/>
  <c r="Y33" i="6"/>
  <c r="Y31" i="6" s="1"/>
  <c r="X16" i="10"/>
  <c r="X103" i="6"/>
  <c r="X124" i="6" s="1"/>
  <c r="X17" i="37"/>
  <c r="X50" i="37" s="1"/>
  <c r="Y11" i="23"/>
  <c r="Y11" i="26" s="1"/>
  <c r="Y71" i="6"/>
  <c r="Y104" i="6"/>
  <c r="Y10" i="21"/>
  <c r="X21" i="10"/>
  <c r="X105" i="6"/>
  <c r="X8" i="33"/>
  <c r="Y9" i="21"/>
  <c r="Y25" i="21"/>
  <c r="Y13" i="23"/>
  <c r="Y13" i="26" s="1"/>
  <c r="Y21" i="10"/>
  <c r="Y9" i="12"/>
  <c r="Y105" i="6"/>
  <c r="X72" i="29"/>
  <c r="X6" i="34" s="1"/>
  <c r="X10" i="21"/>
  <c r="X26" i="21"/>
  <c r="X14" i="23"/>
  <c r="X22" i="10"/>
  <c r="Y72" i="29"/>
  <c r="Y6" i="34" s="1"/>
  <c r="Y22" i="10"/>
  <c r="Y25" i="12"/>
  <c r="X29" i="18"/>
  <c r="X17" i="29"/>
  <c r="X5" i="35" s="1"/>
  <c r="X11" i="21"/>
  <c r="X23" i="10"/>
  <c r="X24" i="10"/>
  <c r="X104" i="6"/>
  <c r="Y8" i="30"/>
  <c r="Y24" i="10"/>
  <c r="Y16" i="11"/>
  <c r="Y16" i="14" s="1"/>
  <c r="Y6" i="10"/>
  <c r="X25" i="10"/>
  <c r="X16" i="19"/>
  <c r="X7" i="10"/>
  <c r="Y25" i="10"/>
  <c r="Y19" i="9"/>
  <c r="X12" i="23"/>
  <c r="X12" i="26" s="1"/>
  <c r="Y22" i="21"/>
  <c r="Y13" i="21"/>
  <c r="Y16" i="19"/>
  <c r="Y16" i="23" s="1"/>
  <c r="Y16" i="26" s="1"/>
  <c r="X8" i="10"/>
  <c r="X26" i="10"/>
  <c r="X114" i="6"/>
  <c r="X30" i="25"/>
  <c r="Y23" i="21"/>
  <c r="X14" i="21"/>
  <c r="X33" i="23"/>
  <c r="X4" i="11"/>
  <c r="X4" i="14" s="1"/>
  <c r="Y8" i="10"/>
  <c r="Y26" i="10"/>
  <c r="X15" i="7"/>
  <c r="X15" i="13" s="1"/>
  <c r="Y19" i="7"/>
  <c r="Y27" i="12" s="1"/>
  <c r="Y17" i="37"/>
  <c r="X31" i="25"/>
  <c r="Y24" i="21"/>
  <c r="X7" i="13"/>
  <c r="X9" i="10"/>
  <c r="X115" i="6"/>
  <c r="X23" i="24"/>
  <c r="X25" i="21"/>
  <c r="Y9" i="10"/>
  <c r="Y6" i="21"/>
  <c r="Y103" i="6"/>
  <c r="Y19" i="36"/>
  <c r="Y12" i="36" s="1"/>
  <c r="Y34" i="39"/>
  <c r="Y9" i="37"/>
  <c r="Y48" i="37" s="1"/>
  <c r="Y53" i="37"/>
  <c r="Y10" i="25"/>
  <c r="Y10" i="28" s="1"/>
  <c r="Y26" i="21"/>
  <c r="X10" i="10"/>
  <c r="Y30" i="10"/>
  <c r="X8" i="32"/>
  <c r="X34" i="39"/>
  <c r="Y27" i="21"/>
  <c r="Y19" i="11"/>
  <c r="Y10" i="10"/>
  <c r="X31" i="10"/>
  <c r="X102" i="6"/>
  <c r="X123" i="6" s="1"/>
  <c r="Y33" i="39"/>
  <c r="X30" i="21"/>
  <c r="X19" i="19"/>
  <c r="X11" i="10"/>
  <c r="X19" i="36"/>
  <c r="X12" i="36" s="1"/>
  <c r="X9" i="37"/>
  <c r="X48" i="37" s="1"/>
  <c r="X12" i="10"/>
  <c r="Y23" i="6"/>
  <c r="Y70" i="29"/>
  <c r="Y6" i="32" s="1"/>
  <c r="Y25" i="24"/>
  <c r="Y25" i="27" s="1"/>
  <c r="X29" i="22"/>
  <c r="Y12" i="10"/>
  <c r="X24" i="6"/>
  <c r="X17" i="38"/>
  <c r="X53" i="37"/>
  <c r="X17" i="39"/>
  <c r="X47" i="38"/>
  <c r="Y14" i="29"/>
  <c r="X7" i="24"/>
  <c r="X26" i="24"/>
  <c r="Y21" i="23"/>
  <c r="Y21" i="26" s="1"/>
  <c r="X13" i="10"/>
  <c r="Y24" i="6"/>
  <c r="Y17" i="39"/>
  <c r="Y47" i="38"/>
  <c r="X15" i="29"/>
  <c r="X7" i="29" s="1"/>
  <c r="Y17" i="25"/>
  <c r="Y17" i="28" s="1"/>
  <c r="Y25" i="23"/>
  <c r="Y25" i="26" s="1"/>
  <c r="X25" i="6"/>
  <c r="X51" i="38"/>
  <c r="Y15" i="29"/>
  <c r="Y5" i="33" s="1"/>
  <c r="X28" i="24"/>
  <c r="X4" i="19"/>
  <c r="X26" i="23"/>
  <c r="Y9" i="14"/>
  <c r="Y25" i="6"/>
  <c r="Y49" i="37"/>
  <c r="X16" i="29"/>
  <c r="Y9" i="23"/>
  <c r="Y9" i="26" s="1"/>
  <c r="X26" i="6"/>
  <c r="X33" i="39"/>
  <c r="Y51" i="38"/>
  <c r="X9" i="38"/>
  <c r="X52" i="38"/>
  <c r="X68" i="29"/>
  <c r="X6" i="30" s="1"/>
  <c r="X6" i="27"/>
  <c r="X10" i="23"/>
  <c r="Y12" i="29"/>
  <c r="Y16" i="29"/>
  <c r="X8" i="23"/>
  <c r="Y30" i="23"/>
  <c r="Y30" i="26" s="1"/>
  <c r="X24" i="21"/>
  <c r="X29" i="20"/>
  <c r="X31" i="21"/>
  <c r="X4" i="18"/>
  <c r="X3" i="18" s="1"/>
  <c r="X15" i="18"/>
  <c r="X6" i="23"/>
  <c r="Y32" i="14"/>
  <c r="Y29" i="11"/>
  <c r="Y29" i="8"/>
  <c r="Y30" i="12"/>
  <c r="X69" i="29"/>
  <c r="X6" i="31" s="1"/>
  <c r="Y22" i="28"/>
  <c r="Y8" i="26"/>
  <c r="Y13" i="24"/>
  <c r="Y13" i="27" s="1"/>
  <c r="X4" i="22"/>
  <c r="Y48" i="6"/>
  <c r="Y102" i="6"/>
  <c r="X8" i="35"/>
  <c r="Y4" i="18"/>
  <c r="Y3" i="18" s="1"/>
  <c r="Y15" i="18"/>
  <c r="Y15" i="24" s="1"/>
  <c r="Y15" i="27" s="1"/>
  <c r="X16" i="14"/>
  <c r="X16" i="12"/>
  <c r="Y8" i="35"/>
  <c r="X8" i="34"/>
  <c r="Y26" i="26"/>
  <c r="Y31" i="26"/>
  <c r="Y5" i="25"/>
  <c r="Y5" i="28" s="1"/>
  <c r="X20" i="23"/>
  <c r="X20" i="26" s="1"/>
  <c r="Y30" i="25"/>
  <c r="Y30" i="28" s="1"/>
  <c r="Y11" i="21"/>
  <c r="Y19" i="20"/>
  <c r="Y21" i="21"/>
  <c r="Y19" i="8"/>
  <c r="Y21" i="12"/>
  <c r="Y82" i="6"/>
  <c r="Y116" i="6"/>
  <c r="X73" i="29"/>
  <c r="X6" i="35" s="1"/>
  <c r="Y4" i="19"/>
  <c r="Y7" i="23"/>
  <c r="Y7" i="26" s="1"/>
  <c r="Y21" i="6"/>
  <c r="Y20" i="6"/>
  <c r="Y69" i="29"/>
  <c r="Y6" i="31" s="1"/>
  <c r="Y5" i="24"/>
  <c r="Y5" i="27" s="1"/>
  <c r="Y32" i="12"/>
  <c r="Y7" i="10"/>
  <c r="Y4" i="9"/>
  <c r="Y23" i="12"/>
  <c r="Y23" i="14"/>
  <c r="X70" i="29"/>
  <c r="X6" i="32" s="1"/>
  <c r="Y29" i="20"/>
  <c r="Y30" i="21"/>
  <c r="Y30" i="24"/>
  <c r="Y30" i="27" s="1"/>
  <c r="X8" i="31"/>
  <c r="Y8" i="34"/>
  <c r="Y8" i="31"/>
  <c r="Y17" i="29"/>
  <c r="Y6" i="25"/>
  <c r="Y6" i="28" s="1"/>
  <c r="Y4" i="22"/>
  <c r="X22" i="21"/>
  <c r="X19" i="20"/>
  <c r="X19" i="18"/>
  <c r="X22" i="23"/>
  <c r="Y22" i="14"/>
  <c r="Y13" i="10"/>
  <c r="Y16" i="8"/>
  <c r="Y16" i="12" s="1"/>
  <c r="Y17" i="12"/>
  <c r="Y107" i="6"/>
  <c r="Y32" i="10"/>
  <c r="Y29" i="9"/>
  <c r="Y32" i="13"/>
  <c r="Y9" i="24"/>
  <c r="Y9" i="27" s="1"/>
  <c r="X4" i="20"/>
  <c r="X6" i="21"/>
  <c r="Y27" i="10"/>
  <c r="Y28" i="13"/>
  <c r="Y7" i="12"/>
  <c r="Y4" i="7"/>
  <c r="Y3" i="7" s="1"/>
  <c r="Y7" i="14"/>
  <c r="Y15" i="7"/>
  <c r="Y15" i="12" s="1"/>
  <c r="X10" i="24"/>
  <c r="X19" i="22"/>
  <c r="Y4" i="20"/>
  <c r="Y16" i="20"/>
  <c r="Y17" i="21"/>
  <c r="Y32" i="23"/>
  <c r="Y32" i="26" s="1"/>
  <c r="Y29" i="19"/>
  <c r="Y29" i="23" s="1"/>
  <c r="Y29" i="26" s="1"/>
  <c r="Y4" i="11"/>
  <c r="Y5" i="14"/>
  <c r="Y4" i="8"/>
  <c r="Y5" i="12"/>
  <c r="Y149" i="6"/>
  <c r="X14" i="24"/>
  <c r="Y21" i="28"/>
  <c r="Y10" i="27"/>
  <c r="Y14" i="27"/>
  <c r="Y18" i="27"/>
  <c r="Y22" i="27"/>
  <c r="Y26" i="27"/>
  <c r="Y33" i="26"/>
  <c r="X16" i="22"/>
  <c r="Y7" i="21"/>
  <c r="X16" i="20"/>
  <c r="X18" i="21"/>
  <c r="Y28" i="23"/>
  <c r="Y28" i="26" s="1"/>
  <c r="X16" i="18"/>
  <c r="X18" i="23"/>
  <c r="Y7" i="13"/>
  <c r="Y11" i="13"/>
  <c r="Y23" i="13"/>
  <c r="X90" i="6"/>
  <c r="X149" i="6"/>
  <c r="X53" i="38"/>
  <c r="X45" i="39"/>
  <c r="X47" i="37"/>
  <c r="Y53" i="39"/>
  <c r="Y47" i="37"/>
  <c r="Y51" i="37"/>
  <c r="X53" i="39"/>
  <c r="Y49" i="39"/>
  <c r="X39" i="39"/>
  <c r="Y45" i="39"/>
  <c r="Y46" i="38"/>
  <c r="Y39" i="39"/>
  <c r="X49" i="39"/>
  <c r="X51" i="37"/>
  <c r="X49" i="37"/>
  <c r="X46" i="38"/>
  <c r="X18" i="27" l="1"/>
  <c r="X5" i="29"/>
  <c r="X29" i="23"/>
  <c r="X15" i="12"/>
  <c r="X8" i="27"/>
  <c r="Y28" i="16"/>
  <c r="Y29" i="12"/>
  <c r="Y29" i="15" s="1"/>
  <c r="Y29" i="14"/>
  <c r="X30" i="28"/>
  <c r="X4" i="13"/>
  <c r="Y5" i="31"/>
  <c r="X4" i="29"/>
  <c r="X17" i="28"/>
  <c r="X14" i="27"/>
  <c r="X31" i="26"/>
  <c r="X21" i="26"/>
  <c r="X10" i="26"/>
  <c r="X17" i="27"/>
  <c r="X29" i="26"/>
  <c r="X26" i="27"/>
  <c r="X30" i="26"/>
  <c r="X8" i="28"/>
  <c r="X14" i="26"/>
  <c r="Y139" i="6"/>
  <c r="X26" i="26"/>
  <c r="X23" i="27"/>
  <c r="Y10" i="16"/>
  <c r="X22" i="28"/>
  <c r="X21" i="27"/>
  <c r="X9" i="28"/>
  <c r="X23" i="26"/>
  <c r="X8" i="26"/>
  <c r="X31" i="28"/>
  <c r="X28" i="27"/>
  <c r="X10" i="27"/>
  <c r="X163" i="6"/>
  <c r="X10" i="28"/>
  <c r="X31" i="6"/>
  <c r="X4" i="23"/>
  <c r="X4" i="26" s="1"/>
  <c r="X29" i="10"/>
  <c r="Y5" i="37"/>
  <c r="Y37" i="37" s="1"/>
  <c r="X3" i="8"/>
  <c r="X91" i="6"/>
  <c r="X3" i="19"/>
  <c r="X3" i="23" s="1"/>
  <c r="X9" i="29"/>
  <c r="X3" i="35" s="1"/>
  <c r="Y27" i="24"/>
  <c r="Y27" i="27" s="1"/>
  <c r="X13" i="26"/>
  <c r="X5" i="27"/>
  <c r="X5" i="32"/>
  <c r="X17" i="26"/>
  <c r="X11" i="27"/>
  <c r="X94" i="6"/>
  <c r="X92" i="6"/>
  <c r="X27" i="13"/>
  <c r="X27" i="16" s="1"/>
  <c r="X28" i="26"/>
  <c r="X33" i="27"/>
  <c r="X9" i="27"/>
  <c r="X13" i="27"/>
  <c r="X113" i="6"/>
  <c r="X143" i="6" s="1"/>
  <c r="X89" i="6"/>
  <c r="X21" i="28"/>
  <c r="X22" i="26"/>
  <c r="X4" i="12"/>
  <c r="X4" i="15" s="1"/>
  <c r="X7" i="27"/>
  <c r="X30" i="27"/>
  <c r="X24" i="27"/>
  <c r="Y30" i="15"/>
  <c r="Y15" i="13"/>
  <c r="X33" i="26"/>
  <c r="X32" i="26"/>
  <c r="Y16" i="25"/>
  <c r="Y16" i="28" s="1"/>
  <c r="Y10" i="17"/>
  <c r="X22" i="15"/>
  <c r="X18" i="26"/>
  <c r="X6" i="26"/>
  <c r="X23" i="28"/>
  <c r="X22" i="27"/>
  <c r="X7" i="26"/>
  <c r="X57" i="6"/>
  <c r="X56" i="6"/>
  <c r="X19" i="13"/>
  <c r="X19" i="16" s="1"/>
  <c r="Y19" i="25"/>
  <c r="Y19" i="28" s="1"/>
  <c r="Y172" i="6"/>
  <c r="X9" i="26"/>
  <c r="X59" i="6"/>
  <c r="X61" i="6"/>
  <c r="Y19" i="14"/>
  <c r="Y19" i="17" s="1"/>
  <c r="X100" i="6"/>
  <c r="X130" i="6" s="1"/>
  <c r="Y48" i="39"/>
  <c r="X29" i="14"/>
  <c r="X29" i="17" s="1"/>
  <c r="X48" i="38"/>
  <c r="X99" i="6"/>
  <c r="X12" i="27"/>
  <c r="X24" i="26"/>
  <c r="X58" i="6"/>
  <c r="Y50" i="39"/>
  <c r="Y48" i="38"/>
  <c r="X19" i="14"/>
  <c r="X31" i="27"/>
  <c r="X16" i="23"/>
  <c r="X16" i="26" s="1"/>
  <c r="X5" i="37"/>
  <c r="X35" i="37" s="1"/>
  <c r="X48" i="39"/>
  <c r="Y27" i="23"/>
  <c r="Y27" i="26" s="1"/>
  <c r="X55" i="6"/>
  <c r="X32" i="28"/>
  <c r="X161" i="6"/>
  <c r="Y5" i="16"/>
  <c r="X169" i="6"/>
  <c r="X159" i="6"/>
  <c r="X155" i="6"/>
  <c r="X171" i="6"/>
  <c r="X131" i="6"/>
  <c r="X165" i="6"/>
  <c r="Y14" i="15"/>
  <c r="Y9" i="17"/>
  <c r="Y23" i="16"/>
  <c r="X156" i="6"/>
  <c r="X11" i="29"/>
  <c r="Y147" i="6"/>
  <c r="X168" i="6"/>
  <c r="Y11" i="15"/>
  <c r="Y158" i="6"/>
  <c r="X164" i="6"/>
  <c r="X16" i="17"/>
  <c r="X172" i="6"/>
  <c r="Y12" i="15"/>
  <c r="X170" i="6"/>
  <c r="Y24" i="17"/>
  <c r="Y10" i="15"/>
  <c r="Y6" i="16"/>
  <c r="Y138" i="6"/>
  <c r="Y7" i="15"/>
  <c r="Y16" i="17"/>
  <c r="Y24" i="16"/>
  <c r="Y15" i="16"/>
  <c r="Y9" i="16"/>
  <c r="Y18" i="15"/>
  <c r="Y14" i="16"/>
  <c r="Y5" i="15"/>
  <c r="Y32" i="15"/>
  <c r="Y20" i="15"/>
  <c r="Y25" i="15"/>
  <c r="Y11" i="16"/>
  <c r="Y17" i="16"/>
  <c r="Y22" i="15"/>
  <c r="Y18" i="16"/>
  <c r="Y17" i="15"/>
  <c r="Y29" i="17"/>
  <c r="Y6" i="17"/>
  <c r="Y27" i="15"/>
  <c r="Y12" i="16"/>
  <c r="Y7" i="16"/>
  <c r="Y148" i="6"/>
  <c r="Y21" i="16"/>
  <c r="Y26" i="15"/>
  <c r="Y22" i="16"/>
  <c r="Y5" i="17"/>
  <c r="Y16" i="15"/>
  <c r="Y145" i="6"/>
  <c r="Y32" i="17"/>
  <c r="Y133" i="6"/>
  <c r="Y8" i="16"/>
  <c r="Y20" i="16"/>
  <c r="Y8" i="15"/>
  <c r="Y33" i="15"/>
  <c r="Y25" i="16"/>
  <c r="Y141" i="6"/>
  <c r="Y26" i="16"/>
  <c r="Y15" i="15"/>
  <c r="Y21" i="15"/>
  <c r="Y9" i="15"/>
  <c r="Y31" i="17"/>
  <c r="Y13" i="15"/>
  <c r="X27" i="15"/>
  <c r="X4" i="16"/>
  <c r="X32" i="17"/>
  <c r="Y8" i="17"/>
  <c r="Y33" i="16"/>
  <c r="Y17" i="17"/>
  <c r="Y30" i="16"/>
  <c r="Y7" i="17"/>
  <c r="Y32" i="16"/>
  <c r="Y22" i="17"/>
  <c r="Y23" i="17"/>
  <c r="Y31" i="16"/>
  <c r="Y28" i="15"/>
  <c r="Y30" i="17"/>
  <c r="Y140" i="6"/>
  <c r="Y13" i="16"/>
  <c r="X19" i="17"/>
  <c r="Y20" i="17"/>
  <c r="Y6" i="15"/>
  <c r="Y21" i="17"/>
  <c r="Y31" i="15"/>
  <c r="Y23" i="15"/>
  <c r="Y16" i="16"/>
  <c r="Y50" i="38"/>
  <c r="X10" i="16"/>
  <c r="X6" i="15"/>
  <c r="X31" i="16"/>
  <c r="Y131" i="6"/>
  <c r="X11" i="16"/>
  <c r="X22" i="16"/>
  <c r="X10" i="15"/>
  <c r="X50" i="39"/>
  <c r="X29" i="16"/>
  <c r="X8" i="16"/>
  <c r="X36" i="39"/>
  <c r="X138" i="6"/>
  <c r="X146" i="6"/>
  <c r="Y19" i="13"/>
  <c r="Y19" i="16" s="1"/>
  <c r="X7" i="16"/>
  <c r="X29" i="12"/>
  <c r="X29" i="15" s="1"/>
  <c r="X3" i="9"/>
  <c r="X134" i="6"/>
  <c r="X28" i="15"/>
  <c r="X25" i="15"/>
  <c r="X24" i="15"/>
  <c r="X33" i="16"/>
  <c r="X148" i="6"/>
  <c r="X9" i="15"/>
  <c r="X50" i="38"/>
  <c r="X21" i="17"/>
  <c r="X7" i="15"/>
  <c r="X132" i="6"/>
  <c r="Y19" i="12"/>
  <c r="Y19" i="15" s="1"/>
  <c r="X23" i="17"/>
  <c r="X28" i="16"/>
  <c r="Y50" i="37"/>
  <c r="X4" i="10"/>
  <c r="X10" i="17"/>
  <c r="X14" i="16"/>
  <c r="X21" i="16"/>
  <c r="X135" i="6"/>
  <c r="X5" i="15"/>
  <c r="X30" i="17"/>
  <c r="X23" i="16"/>
  <c r="X19" i="12"/>
  <c r="X19" i="15" s="1"/>
  <c r="X30" i="15"/>
  <c r="X26" i="16"/>
  <c r="Y5" i="38"/>
  <c r="Y33" i="36" s="1"/>
  <c r="X145" i="6"/>
  <c r="Y27" i="13"/>
  <c r="Y27" i="16" s="1"/>
  <c r="X144" i="6"/>
  <c r="X29" i="25"/>
  <c r="X29" i="28" s="1"/>
  <c r="X4" i="17"/>
  <c r="X140" i="6"/>
  <c r="X16" i="15"/>
  <c r="X20" i="17"/>
  <c r="X32" i="16"/>
  <c r="X8" i="15"/>
  <c r="X23" i="15"/>
  <c r="Y31" i="36"/>
  <c r="Y34" i="36"/>
  <c r="Y32" i="36"/>
  <c r="X8" i="36"/>
  <c r="X3" i="11"/>
  <c r="Y44" i="37"/>
  <c r="Y159" i="6"/>
  <c r="Y135" i="6"/>
  <c r="Y34" i="37"/>
  <c r="X5" i="38"/>
  <c r="X38" i="38" s="1"/>
  <c r="X44" i="37"/>
  <c r="X3" i="31"/>
  <c r="Y163" i="6"/>
  <c r="Y165" i="6"/>
  <c r="Y3" i="31"/>
  <c r="X158" i="6"/>
  <c r="X125" i="6"/>
  <c r="Y164" i="6"/>
  <c r="X3" i="32"/>
  <c r="X3" i="33"/>
  <c r="Y171" i="6"/>
  <c r="Y162" i="6"/>
  <c r="Y157" i="6"/>
  <c r="Y124" i="6"/>
  <c r="Y134" i="6"/>
  <c r="Y125" i="6"/>
  <c r="X12" i="15"/>
  <c r="X13" i="16"/>
  <c r="X16" i="16"/>
  <c r="Y169" i="6"/>
  <c r="X35" i="39"/>
  <c r="X15" i="15"/>
  <c r="X16" i="25"/>
  <c r="X16" i="28" s="1"/>
  <c r="X30" i="16"/>
  <c r="X9" i="17"/>
  <c r="X31" i="17"/>
  <c r="X147" i="6"/>
  <c r="X26" i="15"/>
  <c r="X5" i="33"/>
  <c r="X139" i="6"/>
  <c r="X22" i="17"/>
  <c r="X31" i="15"/>
  <c r="X6" i="16"/>
  <c r="X5" i="16"/>
  <c r="X7" i="17"/>
  <c r="X6" i="17"/>
  <c r="X21" i="15"/>
  <c r="X14" i="15"/>
  <c r="X20" i="15"/>
  <c r="X18" i="16"/>
  <c r="X18" i="15"/>
  <c r="X17" i="16"/>
  <c r="X141" i="6"/>
  <c r="X17" i="15"/>
  <c r="X20" i="16"/>
  <c r="X137" i="6"/>
  <c r="X13" i="15"/>
  <c r="X133" i="6"/>
  <c r="X157" i="6"/>
  <c r="X25" i="16"/>
  <c r="Y5" i="32"/>
  <c r="Y6" i="29"/>
  <c r="X17" i="17"/>
  <c r="X9" i="16"/>
  <c r="Y36" i="39"/>
  <c r="Y155" i="6"/>
  <c r="X8" i="29"/>
  <c r="X5" i="34"/>
  <c r="X15" i="16"/>
  <c r="X32" i="15"/>
  <c r="X33" i="15"/>
  <c r="X5" i="17"/>
  <c r="X11" i="15"/>
  <c r="X24" i="17"/>
  <c r="Y7" i="29"/>
  <c r="X12" i="16"/>
  <c r="X24" i="16"/>
  <c r="X8" i="17"/>
  <c r="X3" i="20"/>
  <c r="X4" i="24"/>
  <c r="X4" i="27" s="1"/>
  <c r="X4" i="21"/>
  <c r="Y137" i="6"/>
  <c r="Y161" i="6"/>
  <c r="Y9" i="29"/>
  <c r="Y5" i="35"/>
  <c r="Y146" i="6"/>
  <c r="Y170" i="6"/>
  <c r="Y100" i="6"/>
  <c r="Y47" i="6"/>
  <c r="X29" i="24"/>
  <c r="X29" i="27" s="1"/>
  <c r="X29" i="21"/>
  <c r="Y3" i="11"/>
  <c r="Y4" i="14"/>
  <c r="Y4" i="17" s="1"/>
  <c r="Y114" i="6"/>
  <c r="Y81" i="6"/>
  <c r="Y19" i="10"/>
  <c r="X16" i="24"/>
  <c r="X16" i="27" s="1"/>
  <c r="X16" i="21"/>
  <c r="X27" i="23"/>
  <c r="X27" i="26" s="1"/>
  <c r="X27" i="24"/>
  <c r="X27" i="27" s="1"/>
  <c r="X3" i="22"/>
  <c r="X4" i="25"/>
  <c r="X4" i="28" s="1"/>
  <c r="X19" i="21"/>
  <c r="X19" i="24"/>
  <c r="X19" i="27" s="1"/>
  <c r="Y4" i="10"/>
  <c r="Y4" i="13"/>
  <c r="Y4" i="16" s="1"/>
  <c r="Y3" i="9"/>
  <c r="X19" i="23"/>
  <c r="X19" i="26" s="1"/>
  <c r="Y16" i="21"/>
  <c r="Y16" i="24"/>
  <c r="Y16" i="27" s="1"/>
  <c r="Y3" i="22"/>
  <c r="Y4" i="25"/>
  <c r="Y4" i="28" s="1"/>
  <c r="Y4" i="23"/>
  <c r="Y4" i="26" s="1"/>
  <c r="Y3" i="19"/>
  <c r="X15" i="23"/>
  <c r="X15" i="26" s="1"/>
  <c r="X15" i="24"/>
  <c r="X15" i="27" s="1"/>
  <c r="Y5" i="34"/>
  <c r="Y8" i="29"/>
  <c r="Y29" i="10"/>
  <c r="Y29" i="13"/>
  <c r="Y29" i="16" s="1"/>
  <c r="Y3" i="20"/>
  <c r="Y4" i="21"/>
  <c r="Y4" i="24"/>
  <c r="Y4" i="27" s="1"/>
  <c r="Y15" i="23"/>
  <c r="Y15" i="26" s="1"/>
  <c r="Y29" i="21"/>
  <c r="Y29" i="24"/>
  <c r="Y29" i="27" s="1"/>
  <c r="Y19" i="24"/>
  <c r="Y19" i="27" s="1"/>
  <c r="Y19" i="21"/>
  <c r="Y4" i="29"/>
  <c r="Y5" i="30"/>
  <c r="Y11" i="29"/>
  <c r="Y3" i="8"/>
  <c r="Y4" i="12"/>
  <c r="Y4" i="15" s="1"/>
  <c r="X19" i="25"/>
  <c r="X19" i="28" s="1"/>
  <c r="X129" i="6"/>
  <c r="X153" i="6"/>
  <c r="Y123" i="6"/>
  <c r="Y132" i="6"/>
  <c r="Y156" i="6"/>
  <c r="Y16" i="10"/>
  <c r="Y38" i="39"/>
  <c r="Y35" i="39"/>
  <c r="X31" i="36"/>
  <c r="X34" i="36"/>
  <c r="X32" i="36"/>
  <c r="X38" i="39"/>
  <c r="X37" i="39"/>
  <c r="X39" i="37" l="1"/>
  <c r="X40" i="37"/>
  <c r="X3" i="12"/>
  <c r="X34" i="37"/>
  <c r="X3" i="30"/>
  <c r="Y32" i="37"/>
  <c r="Y40" i="37"/>
  <c r="Y38" i="37"/>
  <c r="Y39" i="37"/>
  <c r="X36" i="37"/>
  <c r="Y35" i="37"/>
  <c r="Y44" i="39"/>
  <c r="Y36" i="37"/>
  <c r="X38" i="37"/>
  <c r="X3" i="29"/>
  <c r="Y33" i="37"/>
  <c r="X32" i="37"/>
  <c r="X37" i="37"/>
  <c r="X33" i="37"/>
  <c r="X31" i="37" s="1"/>
  <c r="Y44" i="38"/>
  <c r="Y39" i="38"/>
  <c r="X167" i="6"/>
  <c r="X3" i="10"/>
  <c r="X44" i="39"/>
  <c r="X3" i="14"/>
  <c r="X3" i="13"/>
  <c r="X154" i="6"/>
  <c r="X121" i="6"/>
  <c r="X31" i="39"/>
  <c r="Y33" i="38"/>
  <c r="Y34" i="38"/>
  <c r="Y35" i="38"/>
  <c r="Y32" i="38"/>
  <c r="Y36" i="38"/>
  <c r="Y40" i="38"/>
  <c r="Y38" i="38"/>
  <c r="Y37" i="38"/>
  <c r="Y3" i="32"/>
  <c r="Y31" i="39"/>
  <c r="Y3" i="12"/>
  <c r="Y3" i="33"/>
  <c r="X36" i="38"/>
  <c r="X35" i="38"/>
  <c r="X44" i="38"/>
  <c r="X33" i="38"/>
  <c r="Y121" i="6"/>
  <c r="X3" i="26"/>
  <c r="X39" i="38"/>
  <c r="X37" i="38"/>
  <c r="Y3" i="35"/>
  <c r="X32" i="38"/>
  <c r="Y3" i="14"/>
  <c r="Y3" i="34"/>
  <c r="Y3" i="25"/>
  <c r="X3" i="15"/>
  <c r="X34" i="38"/>
  <c r="X33" i="36"/>
  <c r="X3" i="34"/>
  <c r="X3" i="25"/>
  <c r="X40" i="38"/>
  <c r="Y3" i="23"/>
  <c r="Y3" i="10"/>
  <c r="Y3" i="13"/>
  <c r="Y144" i="6"/>
  <c r="Y168" i="6"/>
  <c r="Y99" i="6"/>
  <c r="Y61" i="6"/>
  <c r="Y57" i="6"/>
  <c r="Y60" i="6"/>
  <c r="Y55" i="6"/>
  <c r="Y59" i="6"/>
  <c r="Y58" i="6"/>
  <c r="Y3" i="24"/>
  <c r="Y3" i="21"/>
  <c r="Y56" i="6"/>
  <c r="Y3" i="30"/>
  <c r="Y3" i="29"/>
  <c r="Y130" i="6"/>
  <c r="Y154" i="6"/>
  <c r="Y93" i="6"/>
  <c r="Y89" i="6"/>
  <c r="Y113" i="6"/>
  <c r="Y91" i="6"/>
  <c r="Y94" i="6"/>
  <c r="Y92" i="6"/>
  <c r="Y90" i="6"/>
  <c r="X3" i="21"/>
  <c r="X3" i="24"/>
  <c r="Y31" i="37" l="1"/>
  <c r="X3" i="17"/>
  <c r="X3" i="16"/>
  <c r="Y31" i="38"/>
  <c r="X31" i="38"/>
  <c r="Y3" i="27"/>
  <c r="Y3" i="28"/>
  <c r="Y3" i="16"/>
  <c r="X3" i="27"/>
  <c r="Y3" i="26"/>
  <c r="Y3" i="17"/>
  <c r="Y3" i="15"/>
  <c r="X3" i="28"/>
  <c r="Y143" i="6"/>
  <c r="Y167" i="6"/>
  <c r="Y129" i="6"/>
  <c r="Y153" i="6"/>
  <c r="Y14" i="6" l="1"/>
  <c r="X14" i="6"/>
  <c r="H9" i="36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D5" i="38" l="1"/>
  <c r="I5" i="38"/>
  <c r="X15" i="6"/>
  <c r="Y15" i="6"/>
  <c r="B5" i="38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L9" i="29" s="1"/>
  <c r="K17" i="29"/>
  <c r="K9" i="29" s="1"/>
  <c r="J17" i="29"/>
  <c r="J9" i="29" s="1"/>
  <c r="I17" i="29"/>
  <c r="I9" i="29" s="1"/>
  <c r="H17" i="29"/>
  <c r="H9" i="29" s="1"/>
  <c r="G17" i="29"/>
  <c r="G9" i="29" s="1"/>
  <c r="F17" i="29"/>
  <c r="F9" i="29" s="1"/>
  <c r="E17" i="29"/>
  <c r="E9" i="29" s="1"/>
  <c r="D17" i="29"/>
  <c r="D9" i="29" s="1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P8" i="29" s="1"/>
  <c r="O16" i="29"/>
  <c r="O8" i="29" s="1"/>
  <c r="N16" i="29"/>
  <c r="N8" i="29" s="1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G8" i="29" s="1"/>
  <c r="F16" i="29"/>
  <c r="F8" i="29" s="1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L7" i="29" s="1"/>
  <c r="K15" i="29"/>
  <c r="K7" i="29" s="1"/>
  <c r="J15" i="29"/>
  <c r="J7" i="29" s="1"/>
  <c r="I15" i="29"/>
  <c r="I7" i="29" s="1"/>
  <c r="H15" i="29"/>
  <c r="H7" i="29" s="1"/>
  <c r="G15" i="29"/>
  <c r="G7" i="29" s="1"/>
  <c r="F15" i="29"/>
  <c r="F7" i="29" s="1"/>
  <c r="E15" i="29"/>
  <c r="E7" i="29" s="1"/>
  <c r="D15" i="29"/>
  <c r="D7" i="29" s="1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P6" i="29" s="1"/>
  <c r="O14" i="29"/>
  <c r="O6" i="29" s="1"/>
  <c r="N14" i="29"/>
  <c r="N6" i="29" s="1"/>
  <c r="M14" i="29"/>
  <c r="M6" i="29" s="1"/>
  <c r="L14" i="29"/>
  <c r="L6" i="29" s="1"/>
  <c r="K14" i="29"/>
  <c r="K6" i="29" s="1"/>
  <c r="J14" i="29"/>
  <c r="J6" i="29" s="1"/>
  <c r="I14" i="29"/>
  <c r="I6" i="29" s="1"/>
  <c r="H14" i="29"/>
  <c r="H6" i="29" s="1"/>
  <c r="G14" i="29"/>
  <c r="G6" i="29" s="1"/>
  <c r="F14" i="29"/>
  <c r="F6" i="29" s="1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L5" i="29" s="1"/>
  <c r="K13" i="29"/>
  <c r="J13" i="29"/>
  <c r="J5" i="29" s="1"/>
  <c r="I13" i="29"/>
  <c r="I5" i="29" s="1"/>
  <c r="H13" i="29"/>
  <c r="H5" i="29" s="1"/>
  <c r="G13" i="29"/>
  <c r="F13" i="29"/>
  <c r="F5" i="29" s="1"/>
  <c r="E13" i="29"/>
  <c r="D13" i="29"/>
  <c r="D5" i="29" s="1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P4" i="29" s="1"/>
  <c r="O12" i="29"/>
  <c r="O4" i="29" s="1"/>
  <c r="N12" i="29"/>
  <c r="N4" i="29" s="1"/>
  <c r="M12" i="29"/>
  <c r="M4" i="29" s="1"/>
  <c r="L12" i="29"/>
  <c r="K12" i="29"/>
  <c r="J12" i="29"/>
  <c r="I12" i="29"/>
  <c r="H12" i="29"/>
  <c r="H4" i="29" s="1"/>
  <c r="G12" i="29"/>
  <c r="G4" i="29" s="1"/>
  <c r="F12" i="29"/>
  <c r="F4" i="29" s="1"/>
  <c r="E12" i="29"/>
  <c r="E4" i="29" s="1"/>
  <c r="D12" i="29"/>
  <c r="H8" i="29"/>
  <c r="K5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T7" i="29" l="1"/>
  <c r="V4" i="29"/>
  <c r="R7" i="29"/>
  <c r="V8" i="29"/>
  <c r="W8" i="29"/>
  <c r="S7" i="29"/>
  <c r="N11" i="29"/>
  <c r="L11" i="29"/>
  <c r="U8" i="29"/>
  <c r="W4" i="29"/>
  <c r="J11" i="29"/>
  <c r="K11" i="29"/>
  <c r="R5" i="29"/>
  <c r="S5" i="29"/>
  <c r="T5" i="29"/>
  <c r="T11" i="29"/>
  <c r="U6" i="29"/>
  <c r="V6" i="29"/>
  <c r="W6" i="29"/>
  <c r="R9" i="29"/>
  <c r="S9" i="29"/>
  <c r="G11" i="29"/>
  <c r="T9" i="29"/>
  <c r="U11" i="29"/>
  <c r="V11" i="29"/>
  <c r="W11" i="29"/>
  <c r="U4" i="29"/>
  <c r="D11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19" i="23" s="1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8" i="34"/>
  <c r="S3" i="33"/>
  <c r="S8" i="32"/>
  <c r="W8" i="30"/>
  <c r="W8" i="35"/>
  <c r="S8" i="33"/>
  <c r="U8" i="32"/>
  <c r="W8" i="31"/>
  <c r="B69" i="29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S8" i="30"/>
  <c r="G3" i="29"/>
  <c r="P11" i="29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R3" i="35" l="1"/>
  <c r="N3" i="29"/>
  <c r="W3" i="31"/>
  <c r="T3" i="35"/>
  <c r="U3" i="32"/>
  <c r="K3" i="29"/>
  <c r="V3" i="32"/>
  <c r="W3" i="32"/>
  <c r="W3" i="35"/>
  <c r="V3" i="31"/>
  <c r="W3" i="8"/>
  <c r="W3" i="29"/>
  <c r="V4" i="14"/>
  <c r="U19" i="25"/>
  <c r="U3" i="30"/>
  <c r="R3" i="8"/>
  <c r="U27" i="24"/>
  <c r="R3" i="29"/>
  <c r="S3" i="30"/>
  <c r="T15" i="12"/>
  <c r="T19" i="14"/>
  <c r="T3" i="11"/>
  <c r="T27" i="13"/>
  <c r="S3" i="32"/>
  <c r="S15" i="24"/>
  <c r="S3" i="29"/>
  <c r="S3" i="34"/>
  <c r="U3" i="22"/>
  <c r="V3" i="19"/>
  <c r="V3" i="23" s="1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T3" i="14" l="1"/>
  <c r="U3" i="25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C113" i="6" s="1"/>
  <c r="S81" i="6"/>
  <c r="S113" i="6" s="1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T56" i="6" l="1"/>
  <c r="L90" i="6"/>
  <c r="S91" i="6"/>
  <c r="O56" i="6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5" s="1"/>
  <c r="D15" i="13"/>
  <c r="D15" i="16" s="1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I15" i="16" s="1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32" i="17" s="1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P23" i="28" s="1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I30" i="17" s="1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C16" i="8"/>
  <c r="C16" i="12" s="1"/>
  <c r="M4" i="8"/>
  <c r="E4" i="8"/>
  <c r="Q4" i="8"/>
  <c r="J33" i="10"/>
  <c r="B32" i="10"/>
  <c r="J31" i="10"/>
  <c r="N29" i="9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Q29" i="9"/>
  <c r="Q19" i="9"/>
  <c r="Q16" i="9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J32" i="21"/>
  <c r="J29" i="20"/>
  <c r="F32" i="21"/>
  <c r="Q31" i="21"/>
  <c r="Q29" i="20"/>
  <c r="M31" i="21"/>
  <c r="E31" i="21"/>
  <c r="P30" i="21"/>
  <c r="P29" i="20"/>
  <c r="P30" i="27"/>
  <c r="L30" i="21"/>
  <c r="L29" i="20"/>
  <c r="H30" i="21"/>
  <c r="H29" i="20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H4" i="19"/>
  <c r="D4" i="19"/>
  <c r="J4" i="19"/>
  <c r="O29" i="20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5" i="21"/>
  <c r="O4" i="19"/>
  <c r="J33" i="27"/>
  <c r="J33" i="21"/>
  <c r="H31" i="21"/>
  <c r="D31" i="27"/>
  <c r="K29" i="20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F16" i="12" s="1"/>
  <c r="B16" i="8"/>
  <c r="N4" i="8"/>
  <c r="J4" i="8"/>
  <c r="F4" i="8"/>
  <c r="B4" i="8"/>
  <c r="O29" i="9"/>
  <c r="K29" i="9"/>
  <c r="G29" i="9"/>
  <c r="C29" i="9"/>
  <c r="O19" i="9"/>
  <c r="K19" i="9"/>
  <c r="K19" i="13" s="1"/>
  <c r="G19" i="9"/>
  <c r="C19" i="9"/>
  <c r="O16" i="9"/>
  <c r="K16" i="9"/>
  <c r="K16" i="13" s="1"/>
  <c r="G16" i="9"/>
  <c r="C16" i="9"/>
  <c r="C4" i="9"/>
  <c r="E29" i="11"/>
  <c r="E19" i="1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C4" i="24" l="1"/>
  <c r="P29" i="25"/>
  <c r="P29" i="28" s="1"/>
  <c r="K29" i="24"/>
  <c r="E4" i="24"/>
  <c r="K29" i="12"/>
  <c r="K16" i="24"/>
  <c r="J19" i="24"/>
  <c r="K29" i="13"/>
  <c r="N19" i="24"/>
  <c r="O4" i="24"/>
  <c r="E19" i="14"/>
  <c r="E19" i="17" s="1"/>
  <c r="O4" i="23"/>
  <c r="N19" i="23"/>
  <c r="F4" i="24"/>
  <c r="G16" i="12"/>
  <c r="C4" i="13"/>
  <c r="O4" i="12"/>
  <c r="C16" i="13"/>
  <c r="E4" i="23"/>
  <c r="H4" i="12"/>
  <c r="J29" i="13"/>
  <c r="C4" i="12"/>
  <c r="C4" i="15" s="1"/>
  <c r="P29" i="24"/>
  <c r="G19" i="24"/>
  <c r="G19" i="27" s="1"/>
  <c r="P29" i="12"/>
  <c r="P29" i="15" s="1"/>
  <c r="H29" i="23"/>
  <c r="H29" i="26" s="1"/>
  <c r="O29" i="13"/>
  <c r="O29" i="16" s="1"/>
  <c r="P19" i="24"/>
  <c r="P19" i="27" s="1"/>
  <c r="J19" i="23"/>
  <c r="J19" i="26" s="1"/>
  <c r="P29" i="13"/>
  <c r="P29" i="16" s="1"/>
  <c r="H29" i="24"/>
  <c r="H29" i="27" s="1"/>
  <c r="G19" i="23"/>
  <c r="G19" i="26" s="1"/>
  <c r="O29" i="23"/>
  <c r="O29" i="26" s="1"/>
  <c r="O29" i="12"/>
  <c r="C17" i="16"/>
  <c r="E4" i="13"/>
  <c r="P4" i="12"/>
  <c r="P4" i="15" s="1"/>
  <c r="O4" i="13"/>
  <c r="O4" i="16" s="1"/>
  <c r="K4" i="24"/>
  <c r="K4" i="27" s="1"/>
  <c r="D16" i="13"/>
  <c r="O16" i="24"/>
  <c r="B16" i="13"/>
  <c r="M29" i="24"/>
  <c r="L19" i="24"/>
  <c r="N29" i="13"/>
  <c r="K19" i="12"/>
  <c r="K19" i="15" s="1"/>
  <c r="H29" i="12"/>
  <c r="D16" i="25"/>
  <c r="O29" i="24"/>
  <c r="O29" i="27" s="1"/>
  <c r="J4" i="12"/>
  <c r="H4" i="23"/>
  <c r="Q16" i="13"/>
  <c r="O16" i="12"/>
  <c r="N4" i="12"/>
  <c r="N4" i="15" s="1"/>
  <c r="L4" i="23"/>
  <c r="L4" i="26" s="1"/>
  <c r="N29" i="24"/>
  <c r="N29" i="27" s="1"/>
  <c r="D16" i="14"/>
  <c r="D16" i="17" s="1"/>
  <c r="K16" i="12"/>
  <c r="K16" i="15" s="1"/>
  <c r="I29" i="23"/>
  <c r="I29" i="26" s="1"/>
  <c r="C19" i="23"/>
  <c r="C19" i="26" s="1"/>
  <c r="F4" i="12"/>
  <c r="E19" i="24"/>
  <c r="E19" i="27" s="1"/>
  <c r="P16" i="25"/>
  <c r="G29" i="12"/>
  <c r="G29" i="13"/>
  <c r="G29" i="16" s="1"/>
  <c r="I4" i="23"/>
  <c r="I4" i="26" s="1"/>
  <c r="G16" i="13"/>
  <c r="G16" i="16" s="1"/>
  <c r="N29" i="23"/>
  <c r="C19" i="13"/>
  <c r="C19" i="16" s="1"/>
  <c r="K19" i="24"/>
  <c r="K19" i="27" s="1"/>
  <c r="O19" i="23"/>
  <c r="O19" i="26" s="1"/>
  <c r="Q29" i="24"/>
  <c r="G29" i="24"/>
  <c r="G29" i="27" s="1"/>
  <c r="C19" i="12"/>
  <c r="C19" i="15" s="1"/>
  <c r="P16" i="23"/>
  <c r="P16" i="26" s="1"/>
  <c r="M4" i="14"/>
  <c r="M4" i="17" s="1"/>
  <c r="O16" i="13"/>
  <c r="O16" i="23"/>
  <c r="O16" i="26" s="1"/>
  <c r="F19" i="12"/>
  <c r="F19" i="15" s="1"/>
  <c r="M16" i="24"/>
  <c r="M16" i="27" s="1"/>
  <c r="J4" i="23"/>
  <c r="J4" i="26" s="1"/>
  <c r="P19" i="12"/>
  <c r="P19" i="15" s="1"/>
  <c r="H4" i="24"/>
  <c r="H4" i="27" s="1"/>
  <c r="M4" i="12"/>
  <c r="M4" i="15" s="1"/>
  <c r="O19" i="24"/>
  <c r="O19" i="27" s="1"/>
  <c r="P16" i="24"/>
  <c r="P16" i="27" s="1"/>
  <c r="L19" i="13"/>
  <c r="L19" i="16" s="1"/>
  <c r="G4" i="23"/>
  <c r="G4" i="26" s="1"/>
  <c r="P4" i="24"/>
  <c r="P4" i="27" s="1"/>
  <c r="C29" i="24"/>
  <c r="C29" i="27" s="1"/>
  <c r="G4" i="24"/>
  <c r="G4" i="27" s="1"/>
  <c r="I4" i="24"/>
  <c r="I4" i="27" s="1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M29" i="16" s="1"/>
  <c r="D19" i="24"/>
  <c r="D19" i="27" s="1"/>
  <c r="D4" i="24"/>
  <c r="D4" i="27" s="1"/>
  <c r="P19" i="23"/>
  <c r="P19" i="26" s="1"/>
  <c r="N16" i="14"/>
  <c r="D4" i="13"/>
  <c r="D4" i="16" s="1"/>
  <c r="N16" i="12"/>
  <c r="N16" i="15" s="1"/>
  <c r="E16" i="12"/>
  <c r="E16" i="15" s="1"/>
  <c r="I16" i="14"/>
  <c r="I16" i="17" s="1"/>
  <c r="Q4" i="23"/>
  <c r="Q4" i="26" s="1"/>
  <c r="J29" i="24"/>
  <c r="J29" i="27" s="1"/>
  <c r="P16" i="13"/>
  <c r="P16" i="16" s="1"/>
  <c r="C29" i="12"/>
  <c r="G16" i="24"/>
  <c r="I4" i="12"/>
  <c r="I4" i="15" s="1"/>
  <c r="L16" i="13"/>
  <c r="L16" i="16" s="1"/>
  <c r="B29" i="13"/>
  <c r="B29" i="16" s="1"/>
  <c r="L4" i="24"/>
  <c r="L4" i="27" s="1"/>
  <c r="Q29" i="23"/>
  <c r="Q29" i="26" s="1"/>
  <c r="G16" i="25"/>
  <c r="G16" i="28" s="1"/>
  <c r="Q4" i="24"/>
  <c r="D4" i="23"/>
  <c r="C29" i="13"/>
  <c r="B29" i="12"/>
  <c r="H19" i="24"/>
  <c r="H19" i="27" s="1"/>
  <c r="Q4" i="12"/>
  <c r="B4" i="14"/>
  <c r="B4" i="17" s="1"/>
  <c r="N19" i="12"/>
  <c r="D29" i="25"/>
  <c r="D29" i="28" s="1"/>
  <c r="F16" i="24"/>
  <c r="F16" i="27" s="1"/>
  <c r="D29" i="24"/>
  <c r="D29" i="27" s="1"/>
  <c r="G19" i="14"/>
  <c r="G19" i="17" s="1"/>
  <c r="D29" i="23"/>
  <c r="D29" i="26" s="1"/>
  <c r="I16" i="13"/>
  <c r="I16" i="16" s="1"/>
  <c r="B4" i="13"/>
  <c r="B4" i="16" s="1"/>
  <c r="M4" i="23"/>
  <c r="M4" i="26" s="1"/>
  <c r="B4" i="12"/>
  <c r="B4" i="15" s="1"/>
  <c r="I16" i="23"/>
  <c r="I16" i="26" s="1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H19" i="16" s="1"/>
  <c r="I19" i="24"/>
  <c r="I19" i="27" s="1"/>
  <c r="K16" i="23"/>
  <c r="E29" i="13"/>
  <c r="L16" i="24"/>
  <c r="L16" i="27" s="1"/>
  <c r="M4" i="13"/>
  <c r="M4" i="16" s="1"/>
  <c r="D27" i="13"/>
  <c r="D27" i="16" s="1"/>
  <c r="D27" i="12"/>
  <c r="D27" i="15" s="1"/>
  <c r="M27" i="12"/>
  <c r="M27" i="15" s="1"/>
  <c r="M27" i="13"/>
  <c r="M27" i="16" s="1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E15" i="26" s="1"/>
  <c r="Q19" i="13"/>
  <c r="Q19" i="16" s="1"/>
  <c r="I29" i="12"/>
  <c r="I29" i="15" s="1"/>
  <c r="D19" i="13"/>
  <c r="D19" i="16" s="1"/>
  <c r="E4" i="12"/>
  <c r="M19" i="12"/>
  <c r="M19" i="15" s="1"/>
  <c r="N27" i="12"/>
  <c r="N27" i="13"/>
  <c r="N27" i="16" s="1"/>
  <c r="E29" i="23"/>
  <c r="E29" i="26" s="1"/>
  <c r="N19" i="13"/>
  <c r="N19" i="16" s="1"/>
  <c r="M16" i="12"/>
  <c r="E29" i="12"/>
  <c r="E29" i="15" s="1"/>
  <c r="P27" i="13"/>
  <c r="P27" i="16" s="1"/>
  <c r="P27" i="12"/>
  <c r="P27" i="15" s="1"/>
  <c r="N27" i="23"/>
  <c r="N27" i="26" s="1"/>
  <c r="N27" i="24"/>
  <c r="N27" i="27" s="1"/>
  <c r="C27" i="12"/>
  <c r="C27" i="15" s="1"/>
  <c r="C27" i="13"/>
  <c r="C27" i="16" s="1"/>
  <c r="L19" i="12"/>
  <c r="L19" i="15" s="1"/>
  <c r="I27" i="13"/>
  <c r="I27" i="16" s="1"/>
  <c r="I27" i="12"/>
  <c r="I27" i="15" s="1"/>
  <c r="E27" i="12"/>
  <c r="E27" i="15" s="1"/>
  <c r="E27" i="13"/>
  <c r="E27" i="16" s="1"/>
  <c r="E19" i="23"/>
  <c r="E19" i="26" s="1"/>
  <c r="D15" i="23"/>
  <c r="D15" i="24"/>
  <c r="D15" i="27" s="1"/>
  <c r="E19" i="13"/>
  <c r="E19" i="16" s="1"/>
  <c r="C16" i="23"/>
  <c r="C16" i="26" s="1"/>
  <c r="F16" i="23"/>
  <c r="F16" i="26" s="1"/>
  <c r="F3" i="19"/>
  <c r="F3" i="23" s="1"/>
  <c r="F3" i="26" s="1"/>
  <c r="F19" i="23"/>
  <c r="F19" i="26" s="1"/>
  <c r="B16" i="10"/>
  <c r="B16" i="12"/>
  <c r="B16" i="15" s="1"/>
  <c r="Q27" i="13"/>
  <c r="Q27" i="16" s="1"/>
  <c r="Q27" i="12"/>
  <c r="Q27" i="15" s="1"/>
  <c r="F29" i="12"/>
  <c r="L29" i="23"/>
  <c r="L29" i="26" s="1"/>
  <c r="I15" i="24"/>
  <c r="I15" i="27" s="1"/>
  <c r="I15" i="23"/>
  <c r="I15" i="26" s="1"/>
  <c r="M4" i="24"/>
  <c r="M4" i="27" s="1"/>
  <c r="I19" i="23"/>
  <c r="I19" i="26" s="1"/>
  <c r="Q19" i="23"/>
  <c r="Q19" i="26" s="1"/>
  <c r="G15" i="23"/>
  <c r="G15" i="26" s="1"/>
  <c r="G15" i="24"/>
  <c r="G15" i="27" s="1"/>
  <c r="H27" i="23"/>
  <c r="H27" i="26" s="1"/>
  <c r="H27" i="24"/>
  <c r="H27" i="27" s="1"/>
  <c r="Q29" i="13"/>
  <c r="I16" i="12"/>
  <c r="I16" i="15" s="1"/>
  <c r="F29" i="13"/>
  <c r="F29" i="16" s="1"/>
  <c r="D29" i="13"/>
  <c r="C4" i="23"/>
  <c r="C4" i="26" s="1"/>
  <c r="K4" i="23"/>
  <c r="K4" i="26" s="1"/>
  <c r="M19" i="13"/>
  <c r="M19" i="16" s="1"/>
  <c r="N4" i="21"/>
  <c r="N4" i="24"/>
  <c r="N4" i="27" s="1"/>
  <c r="P4" i="13"/>
  <c r="G29" i="23"/>
  <c r="G29" i="26" s="1"/>
  <c r="B19" i="13"/>
  <c r="K27" i="12"/>
  <c r="K27" i="15" s="1"/>
  <c r="K27" i="13"/>
  <c r="K27" i="16" s="1"/>
  <c r="H15" i="23"/>
  <c r="H15" i="26" s="1"/>
  <c r="H15" i="24"/>
  <c r="L16" i="12"/>
  <c r="L16" i="15" s="1"/>
  <c r="P15" i="23"/>
  <c r="P15" i="26" s="1"/>
  <c r="P15" i="24"/>
  <c r="P15" i="27" s="1"/>
  <c r="M29" i="12"/>
  <c r="M29" i="15" s="1"/>
  <c r="H16" i="12"/>
  <c r="H16" i="15" s="1"/>
  <c r="J15" i="24"/>
  <c r="J15" i="27" s="1"/>
  <c r="J15" i="23"/>
  <c r="J15" i="26" s="1"/>
  <c r="L27" i="23"/>
  <c r="L27" i="26" s="1"/>
  <c r="L27" i="24"/>
  <c r="L27" i="27" s="1"/>
  <c r="O19" i="12"/>
  <c r="O19" i="15" s="1"/>
  <c r="G27" i="24"/>
  <c r="G27" i="27" s="1"/>
  <c r="G27" i="23"/>
  <c r="G27" i="26" s="1"/>
  <c r="L4" i="13"/>
  <c r="K4" i="12"/>
  <c r="K4" i="15" s="1"/>
  <c r="P4" i="23"/>
  <c r="P4" i="26" s="1"/>
  <c r="K29" i="23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4"/>
  <c r="K27" i="27" s="1"/>
  <c r="B27" i="12"/>
  <c r="B27" i="15" s="1"/>
  <c r="B27" i="13"/>
  <c r="B27" i="16" s="1"/>
  <c r="Q19" i="24"/>
  <c r="Q19" i="27" s="1"/>
  <c r="K15" i="23"/>
  <c r="K15" i="26" s="1"/>
  <c r="K15" i="24"/>
  <c r="K15" i="27" s="1"/>
  <c r="P27" i="23"/>
  <c r="P27" i="26" s="1"/>
  <c r="P27" i="24"/>
  <c r="P27" i="27" s="1"/>
  <c r="P16" i="12"/>
  <c r="P16" i="15" s="1"/>
  <c r="F4" i="13"/>
  <c r="F4" i="16" s="1"/>
  <c r="L29" i="13"/>
  <c r="L29" i="16" s="1"/>
  <c r="L15" i="23"/>
  <c r="L15" i="26" s="1"/>
  <c r="L15" i="24"/>
  <c r="J27" i="12"/>
  <c r="J27" i="15" s="1"/>
  <c r="J27" i="13"/>
  <c r="J27" i="16" s="1"/>
  <c r="E16" i="24"/>
  <c r="E16" i="27" s="1"/>
  <c r="D16" i="12"/>
  <c r="D16" i="15" s="1"/>
  <c r="M15" i="23"/>
  <c r="M15" i="26" s="1"/>
  <c r="M15" i="24"/>
  <c r="M15" i="27" s="1"/>
  <c r="D19" i="23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H19" i="12"/>
  <c r="H19" i="15" s="1"/>
  <c r="L4" i="12"/>
  <c r="L4" i="15" s="1"/>
  <c r="I16" i="24"/>
  <c r="I16" i="27" s="1"/>
  <c r="H16" i="13"/>
  <c r="H16" i="16" s="1"/>
  <c r="L29" i="12"/>
  <c r="L29" i="15" s="1"/>
  <c r="M19" i="21"/>
  <c r="M19" i="24"/>
  <c r="M19" i="27" s="1"/>
  <c r="E27" i="23"/>
  <c r="E27" i="26" s="1"/>
  <c r="E27" i="24"/>
  <c r="E27" i="27" s="1"/>
  <c r="G19" i="13"/>
  <c r="G19" i="16" s="1"/>
  <c r="Q15" i="23"/>
  <c r="Q15" i="24"/>
  <c r="Q15" i="27" s="1"/>
  <c r="M16" i="23"/>
  <c r="M16" i="26" s="1"/>
  <c r="H19" i="23"/>
  <c r="O27" i="24"/>
  <c r="O27" i="27" s="1"/>
  <c r="O27" i="23"/>
  <c r="O27" i="26" s="1"/>
  <c r="Q19" i="12"/>
  <c r="Q19" i="15" s="1"/>
  <c r="J27" i="24"/>
  <c r="J27" i="27" s="1"/>
  <c r="J27" i="23"/>
  <c r="J27" i="26" s="1"/>
  <c r="N4" i="13"/>
  <c r="N4" i="16" s="1"/>
  <c r="Q16" i="12"/>
  <c r="Q16" i="15" s="1"/>
  <c r="L27" i="13"/>
  <c r="L27" i="16" s="1"/>
  <c r="L27" i="12"/>
  <c r="L27" i="15" s="1"/>
  <c r="K4" i="13"/>
  <c r="K4" i="16" s="1"/>
  <c r="I29" i="13"/>
  <c r="I29" i="16" s="1"/>
  <c r="J16" i="24"/>
  <c r="J16" i="27" s="1"/>
  <c r="H29" i="13"/>
  <c r="H29" i="16" s="1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6" s="1"/>
  <c r="G27" i="12"/>
  <c r="G27" i="15" s="1"/>
  <c r="O27" i="13"/>
  <c r="O27" i="16" s="1"/>
  <c r="O27" i="12"/>
  <c r="O27" i="15" s="1"/>
  <c r="B19" i="12"/>
  <c r="I27" i="23"/>
  <c r="I27" i="24"/>
  <c r="I27" i="27" s="1"/>
  <c r="D27" i="23"/>
  <c r="D27" i="26" s="1"/>
  <c r="D27" i="24"/>
  <c r="D27" i="27" s="1"/>
  <c r="L29" i="24"/>
  <c r="L29" i="27" s="1"/>
  <c r="L19" i="23"/>
  <c r="L19" i="26" s="1"/>
  <c r="C15" i="24"/>
  <c r="C15" i="27" s="1"/>
  <c r="C15" i="23"/>
  <c r="F27" i="13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M16" i="16" s="1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15" i="26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N19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D25" i="26"/>
  <c r="I5" i="15"/>
  <c r="D15" i="26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3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J16" i="14"/>
  <c r="J16" i="17" s="1"/>
  <c r="J16" i="21"/>
  <c r="H19" i="10"/>
  <c r="L31" i="37"/>
  <c r="P44" i="37"/>
  <c r="Q3" i="11"/>
  <c r="B30" i="15"/>
  <c r="B31" i="15"/>
  <c r="B32" i="15"/>
  <c r="B33" i="15"/>
  <c r="L17" i="26"/>
  <c r="L11" i="26"/>
  <c r="L7" i="27"/>
  <c r="L24" i="26"/>
  <c r="L6" i="27"/>
  <c r="L28" i="26"/>
  <c r="L14" i="27"/>
  <c r="L14" i="26"/>
  <c r="L10" i="28"/>
  <c r="N27" i="15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D44" i="37"/>
  <c r="C29" i="14"/>
  <c r="C29" i="17" s="1"/>
  <c r="O3" i="11"/>
  <c r="O3" i="14" s="1"/>
  <c r="O3" i="17" s="1"/>
  <c r="L3" i="8"/>
  <c r="E19" i="15"/>
  <c r="J29" i="2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O8" i="17"/>
  <c r="O31" i="15"/>
  <c r="O16" i="17"/>
  <c r="B30" i="16"/>
  <c r="J33" i="1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1"/>
  <c r="G16" i="10"/>
  <c r="G19" i="10"/>
  <c r="G29" i="10"/>
  <c r="F4" i="15"/>
  <c r="F3" i="8"/>
  <c r="F16" i="15"/>
  <c r="F29" i="15"/>
  <c r="G16" i="21"/>
  <c r="G16" i="27"/>
  <c r="O3" i="19"/>
  <c r="O4" i="26"/>
  <c r="I3" i="19"/>
  <c r="E4" i="25"/>
  <c r="E4" i="28" s="1"/>
  <c r="E3" i="22"/>
  <c r="E3" i="25" s="1"/>
  <c r="E3" i="28" s="1"/>
  <c r="E4" i="27"/>
  <c r="E3" i="20"/>
  <c r="E3" i="24" s="1"/>
  <c r="E4" i="21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1"/>
  <c r="G29" i="21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D29" i="16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1"/>
  <c r="G19" i="21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M16" i="21"/>
  <c r="H19" i="21"/>
  <c r="D3" i="19"/>
  <c r="D4" i="26"/>
  <c r="L3" i="19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H19" i="26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3" i="9"/>
  <c r="H16" i="10"/>
  <c r="F17" i="16"/>
  <c r="B18" i="16"/>
  <c r="B19" i="16"/>
  <c r="L19" i="10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0"/>
  <c r="N3" i="8"/>
  <c r="N19" i="15"/>
  <c r="N29" i="15"/>
  <c r="G3" i="22"/>
  <c r="G3" i="25" s="1"/>
  <c r="G3" i="28" s="1"/>
  <c r="G4" i="25"/>
  <c r="G4" i="28" s="1"/>
  <c r="L19" i="27"/>
  <c r="L19" i="21"/>
  <c r="P19" i="21"/>
  <c r="M3" i="19"/>
  <c r="C3" i="22"/>
  <c r="C3" i="25" s="1"/>
  <c r="C3" i="28" s="1"/>
  <c r="C4" i="25"/>
  <c r="C4" i="28" s="1"/>
  <c r="D4" i="21"/>
  <c r="D3" i="20"/>
  <c r="D3" i="24" s="1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0"/>
  <c r="C29" i="16"/>
  <c r="C29" i="10"/>
  <c r="B3" i="8"/>
  <c r="B19" i="15"/>
  <c r="B29" i="15"/>
  <c r="O3" i="22"/>
  <c r="O3" i="25" s="1"/>
  <c r="O3" i="28" s="1"/>
  <c r="O4" i="25"/>
  <c r="O4" i="28" s="1"/>
  <c r="I4" i="21"/>
  <c r="I3" i="20"/>
  <c r="I3" i="24" s="1"/>
  <c r="C19" i="27"/>
  <c r="C19" i="21"/>
  <c r="K19" i="21"/>
  <c r="K29" i="21"/>
  <c r="K29" i="27"/>
  <c r="E4" i="26"/>
  <c r="E3" i="19"/>
  <c r="Q3" i="19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1"/>
  <c r="N29" i="21"/>
  <c r="D19" i="26"/>
  <c r="C4" i="14"/>
  <c r="C4" i="17" s="1"/>
  <c r="C3" i="11"/>
  <c r="C3" i="14" s="1"/>
  <c r="C3" i="17" s="1"/>
  <c r="G9" i="17"/>
  <c r="G20" i="17"/>
  <c r="C22" i="17"/>
  <c r="P3" i="8"/>
  <c r="P3" i="12" s="1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0"/>
  <c r="B32" i="16"/>
  <c r="M3" i="8"/>
  <c r="M3" i="12" s="1"/>
  <c r="M14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G3" i="13" l="1"/>
  <c r="Q3" i="13"/>
  <c r="Q3" i="12"/>
  <c r="D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17" i="4"/>
  <c r="B8" i="4"/>
  <c r="B11" i="4"/>
  <c r="B38" i="4"/>
  <c r="B30" i="4"/>
  <c r="B27" i="4"/>
  <c r="B36" i="4"/>
  <c r="B9" i="4"/>
  <c r="B22" i="4"/>
  <c r="B28" i="4"/>
  <c r="B16" i="4"/>
  <c r="B20" i="4"/>
  <c r="B29" i="4"/>
  <c r="B33" i="4"/>
  <c r="B12" i="4"/>
  <c r="B45" i="4"/>
  <c r="B35" i="4"/>
  <c r="B25" i="4"/>
  <c r="B43" i="4"/>
  <c r="B13" i="4"/>
  <c r="B34" i="4"/>
  <c r="B21" i="4"/>
  <c r="B39" i="4"/>
  <c r="B26" i="4"/>
  <c r="B7" i="4"/>
  <c r="B23" i="4"/>
  <c r="B15" i="4"/>
  <c r="B24" i="4"/>
  <c r="B14" i="4"/>
  <c r="B10" i="4"/>
  <c r="B4" i="4"/>
  <c r="B37" i="4"/>
  <c r="B42" i="4"/>
  <c r="B44" i="4"/>
  <c r="B31" i="6" l="1"/>
</calcChain>
</file>

<file path=xl/sharedStrings.xml><?xml version="1.0" encoding="utf-8"?>
<sst xmlns="http://schemas.openxmlformats.org/spreadsheetml/2006/main" count="2101" uniqueCount="1057">
  <si>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</si>
  <si>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</si>
  <si>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</si>
  <si>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</si>
  <si>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</si>
  <si>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</si>
  <si>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</si>
  <si>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</si>
  <si>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</si>
  <si>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</si>
  <si>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</si>
  <si>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</si>
  <si>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</si>
  <si>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</si>
  <si>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</si>
  <si>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</si>
  <si>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</si>
  <si>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</si>
  <si>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</si>
  <si>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</si>
  <si>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</si>
  <si>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</si>
  <si>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</si>
  <si>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</si>
  <si>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</si>
  <si>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</si>
  <si>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</si>
  <si>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</si>
  <si>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</si>
  <si>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</si>
  <si>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</si>
  <si>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</si>
  <si>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</si>
  <si>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</si>
  <si>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</si>
  <si>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</si>
  <si>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</si>
  <si>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</si>
  <si>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</si>
  <si>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</si>
  <si>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</si>
  <si>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</si>
  <si>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</si>
  <si>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</si>
  <si>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</si>
  <si>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</si>
  <si>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</si>
  <si>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</si>
  <si>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</si>
  <si>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</si>
  <si>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</si>
  <si>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</si>
  <si>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</si>
  <si>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</si>
  <si>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</si>
  <si>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</si>
  <si>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</si>
  <si>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</si>
  <si>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</si>
  <si>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</si>
  <si>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</si>
  <si>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</si>
  <si>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</si>
  <si>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</si>
  <si>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</si>
  <si>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</si>
  <si>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</si>
  <si>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</si>
  <si>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</si>
  <si>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</si>
  <si>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</si>
  <si>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</si>
  <si>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</si>
  <si>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</si>
  <si>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</si>
  <si>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</si>
  <si>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</si>
  <si>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</si>
  <si>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</si>
  <si>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</si>
  <si>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</si>
  <si>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</si>
  <si>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</si>
  <si>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</si>
  <si>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</si>
  <si>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</si>
  <si>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</si>
  <si>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</si>
  <si>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</si>
  <si>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</si>
  <si>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</si>
  <si>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</si>
  <si>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</si>
  <si>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</si>
  <si>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</si>
  <si>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</si>
  <si>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</si>
  <si>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</si>
  <si>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</si>
  <si>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</si>
  <si>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</si>
  <si>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</si>
  <si>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</si>
  <si>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</si>
  <si>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</si>
  <si>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</si>
  <si>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</si>
  <si>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</si>
  <si>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</si>
  <si>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</si>
  <si>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</si>
  <si>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</si>
  <si>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</si>
  <si>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</si>
  <si>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</si>
  <si>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</si>
  <si>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</si>
  <si>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</si>
  <si>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</si>
  <si>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</si>
  <si>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</si>
  <si>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</si>
  <si>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</si>
  <si>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</si>
  <si>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</si>
  <si>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</si>
  <si>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</si>
  <si>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</si>
  <si>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</si>
  <si>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</si>
  <si>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</si>
  <si>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</si>
  <si>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</si>
  <si>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</si>
  <si>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</si>
  <si>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</si>
  <si>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</si>
  <si>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</si>
  <si>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</si>
  <si>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</si>
  <si>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</si>
  <si>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</si>
  <si>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</si>
  <si>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</si>
  <si>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</si>
  <si>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</si>
  <si>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</si>
  <si>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Mean heating degree-days over period 2000- 2020</t>
  </si>
  <si>
    <t>Value added per capita relative to EU</t>
  </si>
  <si>
    <t>Natural gas</t>
  </si>
  <si>
    <t>Code</t>
  </si>
  <si>
    <t>Ambient heat</t>
  </si>
  <si>
    <t>Solar and geothermal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</si>
  <si>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</si>
  <si>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</si>
  <si>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</si>
  <si>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</si>
  <si>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</si>
  <si>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</si>
  <si>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</si>
  <si>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</si>
  <si>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</si>
  <si>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</si>
  <si>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</si>
  <si>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</si>
  <si>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</si>
  <si>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</si>
  <si>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</si>
  <si>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</si>
  <si>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</si>
  <si>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</si>
  <si>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</si>
  <si>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</si>
  <si>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</si>
  <si>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</si>
  <si>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</si>
  <si>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JRC-IDEES-2023 - Integrated Database of the European Energy System</t>
  </si>
  <si>
    <t>v2023-1.00</t>
  </si>
  <si>
    <t>Gross domestic product (M€2023)</t>
  </si>
  <si>
    <t>Value added (M€2023)</t>
  </si>
  <si>
    <t>GDP per capita (€2023)</t>
  </si>
  <si>
    <t>Value added per employee (€2023)</t>
  </si>
  <si>
    <t>Value added per capita (€2023)</t>
  </si>
  <si>
    <t>Value added intensity (toe / M€2023)</t>
  </si>
  <si>
    <t>Data centers - final energy consumption (ktoe)</t>
  </si>
  <si>
    <t>ES</t>
  </si>
  <si>
    <t>Spain</t>
  </si>
  <si>
    <t>ES - Services sector summary</t>
  </si>
  <si>
    <t>Macro.number.ES.Population</t>
  </si>
  <si>
    <t>Macro.Meuro2015.ES.GDP</t>
  </si>
  <si>
    <t>Macro.Meuro2015.ES.VA</t>
  </si>
  <si>
    <t>Macro.number.ES.Employees</t>
  </si>
  <si>
    <t>NUM.number.ES.Ser.Bld</t>
  </si>
  <si>
    <t>SurfaceArea.ksqm.ES.Ser.Bld</t>
  </si>
  <si>
    <t>NUM.number.ES.Ser.BldNew</t>
  </si>
  <si>
    <t>SurfaceArea.ksqm.ES.Ser.BldNew</t>
  </si>
  <si>
    <t>HDD.Celsius.ES.Actual</t>
  </si>
  <si>
    <t>HDD.Celsius.ES.Mean</t>
  </si>
  <si>
    <t>HDD.ratio.ES.Relative</t>
  </si>
  <si>
    <t>FEC.ktoe.ES.ES.Ser</t>
  </si>
  <si>
    <t>FEC.ktoe.ES.ES.Ser.Solids</t>
  </si>
  <si>
    <t>FEC.ktoe.ES.ES.Ser.LPG</t>
  </si>
  <si>
    <t>FEC.ktoe.ES.ES.Ser.Oil</t>
  </si>
  <si>
    <t>FEC.ktoe.ES.ES.Ser.NG</t>
  </si>
  <si>
    <t>FEC.ktoe.ES.ES.Ser.Biomass_Waste</t>
  </si>
  <si>
    <t>FEC.ktoe.ES.ES.Ser.Biogas</t>
  </si>
  <si>
    <t>FEC.ktoe.ES.ES.Ser.LiqBio</t>
  </si>
  <si>
    <t>FEC.ktoe.ES.ES.Ser.Solar</t>
  </si>
  <si>
    <t>FEC.ktoe.ES.ES.Ser.Geo</t>
  </si>
  <si>
    <t>FEC.ktoe.ES.ES.Ser.Ambient</t>
  </si>
  <si>
    <t>FEC.ktoe.ES.ES.Ser.Steam_Distr</t>
  </si>
  <si>
    <t>FEC.ktoe.ES.ES.Ser.Elec</t>
  </si>
  <si>
    <t>FEC.ktoe.ES.Ser</t>
  </si>
  <si>
    <t>FEC.ktoe.ES.Ser.Bld.Thermal</t>
  </si>
  <si>
    <t>FEC.ktoe.ES.Ser.Bld.Thermal.SH</t>
  </si>
  <si>
    <t>FEC.ktoe.ES.Ser.Bld.Thermal.SC</t>
  </si>
  <si>
    <t>FEC.ktoe.ES.Ser.Bld.Thermal.HW</t>
  </si>
  <si>
    <t>FEC.ktoe.ES.Ser.Bld.Thermal.CA</t>
  </si>
  <si>
    <t>FEC.ktoe.ES.Ser.SEU</t>
  </si>
  <si>
    <t>EMI.ktCO2.ES.ES.Ser</t>
  </si>
  <si>
    <t>EMI.ktCO2.ES.ES.Ser.Solids</t>
  </si>
  <si>
    <t>EMI.ktCO2.ES.ES.Ser.LPG</t>
  </si>
  <si>
    <t>EMI.ktCO2.ES.ES.Ser.Oil</t>
  </si>
  <si>
    <t>EMI.ktCO2.ES.ES.Ser.NG</t>
  </si>
  <si>
    <t>EMI.ktCO2.ES.ES.Ser.Biomass_Waste</t>
  </si>
  <si>
    <t>EMI.ktCO2.ES.ES.Ser.Biogas</t>
  </si>
  <si>
    <t>EMI.ktCO2.ES.ES.Ser.LiqBio</t>
  </si>
  <si>
    <t>EMI.ktCO2.ES.ES.Ser.Solar</t>
  </si>
  <si>
    <t>EMI.ktCO2.ES.ES.Ser.Geo</t>
  </si>
  <si>
    <t>EMI.ktCO2.ES.ES.Ser.Ambient</t>
  </si>
  <si>
    <t>EMI.ktCO2.ES.ES.Ser.Steam_Distr</t>
  </si>
  <si>
    <t>EMI.ktCO2.ES.ES.Ser.Elec</t>
  </si>
  <si>
    <t>EMI.ktCO2.ES.Ser</t>
  </si>
  <si>
    <t>EMI.ktCO2.ES.Ser.Bld.Thermal</t>
  </si>
  <si>
    <t>EMI.ktCO2.ES.Ser.Bld.Thermal.SH</t>
  </si>
  <si>
    <t>EMI.ktCO2.ES.Ser.Bld.Thermal.SC</t>
  </si>
  <si>
    <t>EMI.ktCO2.ES.Ser.Bld.Thermal.HW</t>
  </si>
  <si>
    <t>EMI.ktCO2.ES.Ser.Bld.Thermal.CA</t>
  </si>
  <si>
    <t>EMI.ktCO2.ES.Ser.SEU</t>
  </si>
  <si>
    <t>Eff.ratio.ES.Ser.Bld.Thermal</t>
  </si>
  <si>
    <t>Eff.ratio.ES.Ser.Bld.Thermal.SH</t>
  </si>
  <si>
    <t>Eff.ratio.ES.Ser.Bld.Thermal.SC</t>
  </si>
  <si>
    <t>Eff.ratio.ES.Ser.Bld.Thermal.HW</t>
  </si>
  <si>
    <t>Eff.ratio.ES.Ser.Bld.Thermal.CA</t>
  </si>
  <si>
    <t>ES - Number of buildings</t>
  </si>
  <si>
    <t>NUM.number.ES.Ser.Bld.Thermal</t>
  </si>
  <si>
    <t>NUM.number.ES.Ser.Bld.Thermal.SH</t>
  </si>
  <si>
    <t>NUM.number.ES.Ser.Bld.Thermal.SH.Solids</t>
  </si>
  <si>
    <t>NUM.number.ES.Ser.Bld.Thermal.SH.LPG</t>
  </si>
  <si>
    <t>NUM.number.ES.Ser.Bld.Thermal.SH.Oil</t>
  </si>
  <si>
    <t>NUM.number.ES.Ser.Bld.Thermal.SH.GasHP</t>
  </si>
  <si>
    <t>NUM.number.ES.Ser.Bld.Thermal.SH.GasTH</t>
  </si>
  <si>
    <t>NUM.number.ES.Ser.Bld.Thermal.SH.Biomass</t>
  </si>
  <si>
    <t>NUM.number.ES.Ser.Bld.Thermal.SH.Geo</t>
  </si>
  <si>
    <t>NUM.number.ES.Ser.Bld.Thermal.SH.DistrHeat</t>
  </si>
  <si>
    <t>NUM.number.ES.Ser.Bld.Thermal.SH.AdvElc</t>
  </si>
  <si>
    <t>NUM.number.ES.Ser.Bld.Thermal.SH.ConvElc</t>
  </si>
  <si>
    <t>NUM.number.ES.Ser.Bld.Thermal.SC</t>
  </si>
  <si>
    <t>NUM.number.ES.Ser.Bld.Thermal.SC.GasHP</t>
  </si>
  <si>
    <t>NUM.number.ES.Ser.Bld.Thermal.SC.AC</t>
  </si>
  <si>
    <t>NUM.number.ES.Ser.Bld.Thermal.HW</t>
  </si>
  <si>
    <t>NUM.number.ES.Ser.Bld.Thermal.HW.Solids</t>
  </si>
  <si>
    <t>NUM.number.ES.Ser.Bld.Thermal.HW.LPG</t>
  </si>
  <si>
    <t>NUM.number.ES.Ser.Bld.Thermal.HW.Oil</t>
  </si>
  <si>
    <t>NUM.number.ES.Ser.Bld.Thermal.HW.Gas</t>
  </si>
  <si>
    <t>NUM.number.ES.Ser.Bld.Thermal.HW.Biomass</t>
  </si>
  <si>
    <t>NUM.number.ES.Ser.Bld.Thermal.HW.DistrHeat</t>
  </si>
  <si>
    <t>NUM.number.ES.Ser.Bld.Thermal.HW.Elc</t>
  </si>
  <si>
    <t>NUM.number.ES.Ser.Bld.Thermal.HW.Solar</t>
  </si>
  <si>
    <t>NUM.number.ES.Ser.Bld.Thermal.CA</t>
  </si>
  <si>
    <t>NUM.number.ES.Ser.Bld.Thermal.CA.LPG</t>
  </si>
  <si>
    <t>NUM.number.ES.Ser.Bld.Thermal.CA.Gas</t>
  </si>
  <si>
    <t>NUM.number.ES.Ser.Bld.Thermal.CA.Biomass</t>
  </si>
  <si>
    <t>NUM.number.ES.Ser.Bld.Thermal.CA.Elc</t>
  </si>
  <si>
    <t>ES - Final energy consumption</t>
  </si>
  <si>
    <t>FEC.ktoe.ES.Ser.Bld.Thermal.SH.Solids.Solids</t>
  </si>
  <si>
    <t>FEC.ktoe.ES.Ser.Bld.Thermal.SH.LPG.LPG</t>
  </si>
  <si>
    <t>FEC.ktoe.ES.Ser.Bld.Thermal.SH.Oil.Oil_LiqBio</t>
  </si>
  <si>
    <t>FEC.ktoe.ES.Ser.Bld.Thermal.SH.GasHP.NG_Biogas</t>
  </si>
  <si>
    <t>FEC.ktoe.ES.Ser.Bld.Thermal.SH.GasTH.NG_Biogas</t>
  </si>
  <si>
    <t>FEC.ktoe.ES.Ser.Bld.Thermal.SH.Biomass.Biomass_Waste</t>
  </si>
  <si>
    <t>FEC.ktoe.ES.Ser.Bld.Thermal.SH.Geo.Geo</t>
  </si>
  <si>
    <t>FEC.ktoe.ES.Ser.Bld.Thermal.SH.DistrHeat.Steam_Distr</t>
  </si>
  <si>
    <t>FEC.ktoe.ES.Ser.Bld.Thermal.SH.AdvElc.Elec</t>
  </si>
  <si>
    <t>FEC.ktoe.ES.Ser.Bld.Thermal.SH.ConvElc.Elec</t>
  </si>
  <si>
    <t>FEC.ktoe.ES.Ser.Bld.Thermal.SH.TotalCirculation.Elec</t>
  </si>
  <si>
    <t>FEC.ktoe.ES.Ser.Bld.Thermal.SC.GasHP.NG_Biogas</t>
  </si>
  <si>
    <t>FEC.ktoe.ES.Ser.Bld.Thermal.SC.AC.Elec</t>
  </si>
  <si>
    <t>FEC.ktoe.ES.Ser.Bld.Thermal.HW.Solids.Solids</t>
  </si>
  <si>
    <t>FEC.ktoe.ES.Ser.Bld.Thermal.HW.LPG.LPG</t>
  </si>
  <si>
    <t>FEC.ktoe.ES.Ser.Bld.Thermal.HW.Oil.Oil_LiqBio</t>
  </si>
  <si>
    <t>FEC.ktoe.ES.Ser.Bld.Thermal.HW.Gas.NG_Biogas</t>
  </si>
  <si>
    <t>FEC.ktoe.ES.Ser.Bld.Thermal.HW.Biomass.Biomass_Waste</t>
  </si>
  <si>
    <t>FEC.ktoe.ES.Ser.Bld.Thermal.HW.DistrHeat.Steam_Distr</t>
  </si>
  <si>
    <t>FEC.ktoe.ES.Ser.Bld.Thermal.HW.Elc.Elec</t>
  </si>
  <si>
    <t>FEC.ktoe.ES.Ser.Bld.Thermal.HW.TotalSolar.Solar</t>
  </si>
  <si>
    <t>FEC.ktoe.ES.Ser.Bld.Thermal.CA.LPG</t>
  </si>
  <si>
    <t>FEC.ktoe.ES.Ser.Bld.Thermal.CA.Gas.NG_Biogas</t>
  </si>
  <si>
    <t>FEC.ktoe.ES.Ser.Bld.Thermal.CA.Biomass.Biomass_Waste</t>
  </si>
  <si>
    <t>FEC.ktoe.ES.Ser.Bld.Thermal.CA.Elc.Elec</t>
  </si>
  <si>
    <t>ES - Thermal energy service</t>
  </si>
  <si>
    <t>TES.ktoe.ES.Ser.Bld.Thermal</t>
  </si>
  <si>
    <t>TES.ktoe.ES.Ser.Bld.Thermal.SH</t>
  </si>
  <si>
    <t>TES.ktoe.ES.Ser.Bld.Thermal.SH.Solids.Solids</t>
  </si>
  <si>
    <t>TES.ktoe.ES.Ser.Bld.Thermal.SH.LPG.LPG</t>
  </si>
  <si>
    <t>TES.ktoe.ES.Ser.Bld.Thermal.SH.Oil.Oil_LiqBio</t>
  </si>
  <si>
    <t>TES.ktoe.ES.Ser.Bld.Thermal.SH.GasHP.NG_Biogas</t>
  </si>
  <si>
    <t>TES.ktoe.ES.Ser.Bld.Thermal.SH.GasTH.NG_Biogas</t>
  </si>
  <si>
    <t>TES.ktoe.ES.Ser.Bld.Thermal.SH.Biomass.Biomass_Waste</t>
  </si>
  <si>
    <t>TES.ktoe.ES.Ser.Bld.Thermal.SH.Geo.Geo</t>
  </si>
  <si>
    <t>TES.ktoe.ES.Ser.Bld.Thermal.SH.DistrHeat.Steam_Distr</t>
  </si>
  <si>
    <t>TES.ktoe.ES.Ser.Bld.Thermal.SH.AdvElc.Elec</t>
  </si>
  <si>
    <t>TES.ktoe.ES.Ser.Bld.Thermal.SH.ConvElc.Elec</t>
  </si>
  <si>
    <t>TES.ktoe.ES.Ser.Bld.Thermal.SH.TotalCirculation.Elec</t>
  </si>
  <si>
    <t>TES.ktoe.ES.Ser.Bld.Thermal.SC</t>
  </si>
  <si>
    <t>TES.ktoe.ES.Ser.Bld.Thermal.SC.GasHP.NG_Biogas</t>
  </si>
  <si>
    <t>TES.ktoe.ES.Ser.Bld.Thermal.SC.AC.Elec</t>
  </si>
  <si>
    <t>TES.ktoe.ES.Ser.Bld.Thermal.HW</t>
  </si>
  <si>
    <t>TES.ktoe.ES.Ser.Bld.Thermal.HW.Solids.Solids</t>
  </si>
  <si>
    <t>TES.ktoe.ES.Ser.Bld.Thermal.HW.LPG.LPG</t>
  </si>
  <si>
    <t>TES.ktoe.ES.Ser.Bld.Thermal.HW.Oil.Oil_LiqBio</t>
  </si>
  <si>
    <t>TES.ktoe.ES.Ser.Bld.Thermal.HW.Gas.NG_Biogas</t>
  </si>
  <si>
    <t>TES.ktoe.ES.Ser.Bld.Thermal.HW.Biomass.Biomass_Waste</t>
  </si>
  <si>
    <t>TES.ktoe.ES.Ser.Bld.Thermal.HW.DistrHeat.Steam_Distr</t>
  </si>
  <si>
    <t>TES.ktoe.ES.Ser.Bld.Thermal.HW.Elc.Elec</t>
  </si>
  <si>
    <t>TES.ktoe.ES.Ser.Bld.Thermal.HW.TotalSolar.Solar</t>
  </si>
  <si>
    <t>TES.ktoe.ES.Ser.Bld.Thermal.CA</t>
  </si>
  <si>
    <t>TES.ktoe.ES.Ser.Bld.Thermal.CA.LPG</t>
  </si>
  <si>
    <t>TES.ktoe.ES.Ser.Bld.Thermal.CA.Gas.NG_Biogas</t>
  </si>
  <si>
    <t>TES.ktoe.ES.Ser.Bld.Thermal.CA.Biomass.Biomass_Waste</t>
  </si>
  <si>
    <t>TES.ktoe.ES.Ser.Bld.Thermal.CA.Elc.Elec</t>
  </si>
  <si>
    <t>ES - System efficiency indicator of total stock</t>
  </si>
  <si>
    <t>Eff.ratio.ES.Ser.Bld.Thermal.SH.Solids.Solids</t>
  </si>
  <si>
    <t>Eff.ratio.ES.Ser.Bld.Thermal.SH.LPG.LPG</t>
  </si>
  <si>
    <t>Eff.ratio.ES.Ser.Bld.Thermal.SH.Oil.Oil_LiqBio</t>
  </si>
  <si>
    <t>Eff.ratio.ES.Ser.Bld.Thermal.SH.GasHP.NG_Biogas</t>
  </si>
  <si>
    <t>Eff.ratio.ES.Ser.Bld.Thermal.SH.GasTH.NG_Biogas</t>
  </si>
  <si>
    <t>Eff.ratio.ES.Ser.Bld.Thermal.SH.Biomass.Biomass_Waste</t>
  </si>
  <si>
    <t>Eff.ratio.ES.Ser.Bld.Thermal.SH.Geo.Geo</t>
  </si>
  <si>
    <t>Eff.ratio.ES.Ser.Bld.Thermal.SH.DistrHeat.Steam_Distr</t>
  </si>
  <si>
    <t>Eff.ratio.ES.Ser.Bld.Thermal.SH.AdvElc.Elec</t>
  </si>
  <si>
    <t>Eff.ratio.ES.Ser.Bld.Thermal.SH.ConvElc.Elec</t>
  </si>
  <si>
    <t>Eff.ratio.ES.Ser.Bld.Thermal.SH.TotalCirculation.Elec</t>
  </si>
  <si>
    <t>Eff.ratio.ES.Ser.Bld.Thermal.SC.GasHP.NG_Biogas</t>
  </si>
  <si>
    <t>Eff.ratio.ES.Ser.Bld.Thermal.SC.AC.Elec</t>
  </si>
  <si>
    <t>Eff.ratio.ES.Ser.Bld.Thermal.HW.Solids.Solids</t>
  </si>
  <si>
    <t>Eff.ratio.ES.Ser.Bld.Thermal.HW.LPG.LPG</t>
  </si>
  <si>
    <t>Eff.ratio.ES.Ser.Bld.Thermal.HW.Oil.Oil_LiqBio</t>
  </si>
  <si>
    <t>Eff.ratio.ES.Ser.Bld.Thermal.HW.Gas.NG_Biogas</t>
  </si>
  <si>
    <t>Eff.ratio.ES.Ser.Bld.Thermal.HW.Biomass.Biomass_Waste</t>
  </si>
  <si>
    <t>Eff.ratio.ES.Ser.Bld.Thermal.HW.DistrHeat.Steam_Distr</t>
  </si>
  <si>
    <t>Eff.ratio.ES.Ser.Bld.Thermal.HW.Elc.Elec</t>
  </si>
  <si>
    <t>Eff.ratio.ES.Ser.Bld.Thermal.HW.TotalSolar.Solar</t>
  </si>
  <si>
    <t>Eff.ratio.ES.Ser.Bld.Thermal.CA.LPG</t>
  </si>
  <si>
    <t>Eff.ratio.ES.Ser.Bld.Thermal.CA.Gas.NG_Biogas</t>
  </si>
  <si>
    <t>Eff.ratio.ES.Ser.Bld.Thermal.CA.Biomass.Biomass_Waste</t>
  </si>
  <si>
    <t>Eff.ratio.ES.Ser.Bld.Thermal.CA.Elc.Elec</t>
  </si>
  <si>
    <t>ES - CO2 emissions</t>
  </si>
  <si>
    <t>EMI.ktCO2.ES.Ser.Bld.Thermal.SH.Solids.Solids</t>
  </si>
  <si>
    <t>EMI.ktCO2.ES.Ser.Bld.Thermal.SH.LPG.LPG</t>
  </si>
  <si>
    <t>EMI.ktCO2.ES.Ser.Bld.Thermal.SH.Oil.Oil_LiqBio</t>
  </si>
  <si>
    <t>EMI.ktCO2.ES.Ser.Bld.Thermal.SH.GasHP.NG_Biogas</t>
  </si>
  <si>
    <t>EMI.ktCO2.ES.Ser.Bld.Thermal.SH.GasTH.NG_Biogas</t>
  </si>
  <si>
    <t>EMI.ktCO2.ES.Ser.Bld.Thermal.SH.Biomass.Biomass_Waste</t>
  </si>
  <si>
    <t>EMI.ktCO2.ES.Ser.Bld.Thermal.SH.Geo.Geo</t>
  </si>
  <si>
    <t>EMI.ktCO2.ES.Ser.Bld.Thermal.SH.DistrHeat.Steam_Distr</t>
  </si>
  <si>
    <t>EMI.ktCO2.ES.Ser.Bld.Thermal.SH.AdvElc.Elec</t>
  </si>
  <si>
    <t>EMI.ktCO2.ES.Ser.Bld.Thermal.SH.ConvElc.Elec</t>
  </si>
  <si>
    <t>EMI.ktCO2.ES.Ser.Bld.Thermal.SH.TotalCirculation.Elec</t>
  </si>
  <si>
    <t>EMI.ktCO2.ES.Ser.Bld.Thermal.SC.GasHP.NG_Biogas</t>
  </si>
  <si>
    <t>EMI.ktCO2.ES.Ser.Bld.Thermal.SC.AC.Elec</t>
  </si>
  <si>
    <t>EMI.ktCO2.ES.Ser.Bld.Thermal.HW.Solids.Solids</t>
  </si>
  <si>
    <t>EMI.ktCO2.ES.Ser.Bld.Thermal.HW.LPG.LPG</t>
  </si>
  <si>
    <t>EMI.ktCO2.ES.Ser.Bld.Thermal.HW.Oil.Oil_LiqBio</t>
  </si>
  <si>
    <t>EMI.ktCO2.ES.Ser.Bld.Thermal.HW.Gas.NG_Biogas</t>
  </si>
  <si>
    <t>EMI.ktCO2.ES.Ser.Bld.Thermal.HW.Biomass.Biomass_Waste</t>
  </si>
  <si>
    <t>EMI.ktCO2.ES.Ser.Bld.Thermal.HW.DistrHeat.Steam_Distr</t>
  </si>
  <si>
    <t>EMI.ktCO2.ES.Ser.Bld.Thermal.HW.Elc.Elec</t>
  </si>
  <si>
    <t>EMI.ktCO2.ES.Ser.Bld.Thermal.HW.TotalSolar.Solar</t>
  </si>
  <si>
    <t>EMI.ktCO2.ES.Ser.Bld.Thermal.CA.LPG</t>
  </si>
  <si>
    <t>EMI.ktCO2.ES.Ser.Bld.Thermal.CA.Gas.NG_Biogas</t>
  </si>
  <si>
    <t>EMI.ktCO2.ES.Ser.Bld.Thermal.CA.Biomass.Biomass_Waste</t>
  </si>
  <si>
    <t>EMI.ktCO2.ES.Ser.Bld.Thermal.CA.Elc.Elec</t>
  </si>
  <si>
    <t>ES - Final energy consumption per building</t>
  </si>
  <si>
    <t>FEC_per_building.kWh.ES.Ser.Bld.Thermal</t>
  </si>
  <si>
    <t>FEC_per_building.kWh.ES.Ser.Bld.Thermal.SH</t>
  </si>
  <si>
    <t>FEC_per_building.kWh.ES.Ser.Bld.Thermal.SH.Solids.Solids</t>
  </si>
  <si>
    <t>FEC_per_building.kWh.ES.Ser.Bld.Thermal.SH.LPG.LPG</t>
  </si>
  <si>
    <t>FEC_per_building.kWh.ES.Ser.Bld.Thermal.SH.Oil.Oil_LiqBio</t>
  </si>
  <si>
    <t>FEC_per_building.kWh.ES.Ser.Bld.Thermal.SH.GasHP.NG_Biogas</t>
  </si>
  <si>
    <t>FEC_per_building.kWh.ES.Ser.Bld.Thermal.SH.GasTH.NG_Biogas</t>
  </si>
  <si>
    <t>FEC_per_building.kWh.ES.Ser.Bld.Thermal.SH.Biomass.Biomass_Waste</t>
  </si>
  <si>
    <t>FEC_per_building.kWh.ES.Ser.Bld.Thermal.SH.Geo.Geo</t>
  </si>
  <si>
    <t>FEC_per_building.kWh.ES.Ser.Bld.Thermal.SH.DistrHeat.Steam_Distr</t>
  </si>
  <si>
    <t>FEC_per_building.kWh.ES.Ser.Bld.Thermal.SH.AdvElc.Elec</t>
  </si>
  <si>
    <t>FEC_per_building.kWh.ES.Ser.Bld.Thermal.SH.ConvElc.Elec</t>
  </si>
  <si>
    <t>FEC_per_building.kWh.ES.Ser.Bld.Thermal.SH.TotalCirculation.Elec</t>
  </si>
  <si>
    <t>FEC_per_building.kWh.ES.Ser.Bld.Thermal.SC</t>
  </si>
  <si>
    <t>FEC_per_building.kWh.ES.Ser.Bld.Thermal.SC.GasHP.NG_Biogas</t>
  </si>
  <si>
    <t>FEC_per_building.kWh.ES.Ser.Bld.Thermal.SC.AC.Elec</t>
  </si>
  <si>
    <t>FEC_per_building.kWh.ES.Ser.Bld.Thermal.HW</t>
  </si>
  <si>
    <t>FEC_per_building.kWh.ES.Ser.Bld.Thermal.HW.Solids.Solids</t>
  </si>
  <si>
    <t>FEC_per_building.kWh.ES.Ser.Bld.Thermal.HW.LPG.LPG</t>
  </si>
  <si>
    <t>FEC_per_building.kWh.ES.Ser.Bld.Thermal.HW.Oil.Oil_LiqBio</t>
  </si>
  <si>
    <t>FEC_per_building.kWh.ES.Ser.Bld.Thermal.HW.Gas.NG_Biogas</t>
  </si>
  <si>
    <t>FEC_per_building.kWh.ES.Ser.Bld.Thermal.HW.Biomass.Biomass_Waste</t>
  </si>
  <si>
    <t>FEC_per_building.kWh.ES.Ser.Bld.Thermal.HW.DistrHeat.Steam_Distr</t>
  </si>
  <si>
    <t>FEC_per_building.kWh.ES.Ser.Bld.Thermal.HW.Elc.Elec</t>
  </si>
  <si>
    <t>FEC_per_building.kWh.ES.Ser.Bld.Thermal.HW.TotalSolar.Solar</t>
  </si>
  <si>
    <t>FEC_per_building.kWh.ES.Ser.Bld.Thermal.CA</t>
  </si>
  <si>
    <t>FEC_per_building.kWh.ES.Ser.Bld.Thermal.CA.LPG</t>
  </si>
  <si>
    <t>FEC_per_building.kWh.ES.Ser.Bld.Thermal.CA.Gas.NG_Biogas</t>
  </si>
  <si>
    <t>FEC_per_building.kWh.ES.Ser.Bld.Thermal.CA.Biomass.Biomass_Waste</t>
  </si>
  <si>
    <t>FEC_per_building.kWh.ES.Ser.Bld.Thermal.CA.Elc.Elec</t>
  </si>
  <si>
    <t>ES - Thermal energy service per building</t>
  </si>
  <si>
    <t>TES_per_building.kWh.ES.Ser.Bld.Thermal</t>
  </si>
  <si>
    <t>TES_per_building.kWh.ES.Ser.Bld.Thermal.SH</t>
  </si>
  <si>
    <t>TES_per_building.kWh.ES.Ser.Bld.Thermal.SH.Solids.Solids</t>
  </si>
  <si>
    <t>TES_per_building.kWh.ES.Ser.Bld.Thermal.SH.LPG.LPG</t>
  </si>
  <si>
    <t>TES_per_building.kWh.ES.Ser.Bld.Thermal.SH.Oil.Oil_LiqBio</t>
  </si>
  <si>
    <t>TES_per_building.kWh.ES.Ser.Bld.Thermal.SH.GasHP.NG_Biogas</t>
  </si>
  <si>
    <t>TES_per_building.kWh.ES.Ser.Bld.Thermal.SH.GasTH.NG_Biogas</t>
  </si>
  <si>
    <t>TES_per_building.kWh.ES.Ser.Bld.Thermal.SH.Biomass.Biomass_Waste</t>
  </si>
  <si>
    <t>TES_per_building.kWh.ES.Ser.Bld.Thermal.SH.Geo.Geo</t>
  </si>
  <si>
    <t>TES_per_building.kWh.ES.Ser.Bld.Thermal.SH.DistrHeat.Steam_Distr</t>
  </si>
  <si>
    <t>TES_per_building.kWh.ES.Ser.Bld.Thermal.SH.AdvElc.Elec</t>
  </si>
  <si>
    <t>TES_per_building.kWh.ES.Ser.Bld.Thermal.SH.ConvElc.Elec</t>
  </si>
  <si>
    <t>TES_per_building.kWh.ES.Ser.Bld.Thermal.SH.TotalCirculation.Elec</t>
  </si>
  <si>
    <t>TES_per_building.kWh.ES.Ser.Bld.Thermal.SC</t>
  </si>
  <si>
    <t>TES_per_building.kWh.ES.Ser.Bld.Thermal.SC.GasHP.NG_Biogas</t>
  </si>
  <si>
    <t>TES_per_building.kWh.ES.Ser.Bld.Thermal.SC.AC.Elec</t>
  </si>
  <si>
    <t>TES_per_building.kWh.ES.Ser.Bld.Thermal.HW</t>
  </si>
  <si>
    <t>TES_per_building.kWh.ES.Ser.Bld.Thermal.HW.Solids.Solids</t>
  </si>
  <si>
    <t>TES_per_building.kWh.ES.Ser.Bld.Thermal.HW.LPG.LPG</t>
  </si>
  <si>
    <t>TES_per_building.kWh.ES.Ser.Bld.Thermal.HW.Oil.Oil_LiqBio</t>
  </si>
  <si>
    <t>TES_per_building.kWh.ES.Ser.Bld.Thermal.HW.Gas.NG_Biogas</t>
  </si>
  <si>
    <t>TES_per_building.kWh.ES.Ser.Bld.Thermal.HW.Biomass.Biomass_Waste</t>
  </si>
  <si>
    <t>TES_per_building.kWh.ES.Ser.Bld.Thermal.HW.DistrHeat.Steam_Distr</t>
  </si>
  <si>
    <t>TES_per_building.kWh.ES.Ser.Bld.Thermal.HW.Elc.Elec</t>
  </si>
  <si>
    <t>TES_per_building.kWh.ES.Ser.Bld.Thermal.HW.TotalSolar.Solar</t>
  </si>
  <si>
    <t>TES_per_building.kWh.ES.Ser.Bld.Thermal.CA</t>
  </si>
  <si>
    <t>TES_per_building.kWh.ES.Ser.Bld.Thermal.CA.LPG</t>
  </si>
  <si>
    <t>TES_per_building.kWh.ES.Ser.Bld.Thermal.CA.Gas.NG_Biogas</t>
  </si>
  <si>
    <t>TES_per_building.kWh.ES.Ser.Bld.Thermal.CA.Biomass.Biomass_Waste</t>
  </si>
  <si>
    <t>TES_per_building.kWh.ES.Ser.Bld.Thermal.CA.Elc.Elec</t>
  </si>
  <si>
    <t>ES - CO2 emissions per building</t>
  </si>
  <si>
    <t>EMI_per_building.kgCO2.ES.Ser.Bld.Thermal</t>
  </si>
  <si>
    <t>EMI_per_building.kgCO2.ES.Ser.Bld.Thermal.SH</t>
  </si>
  <si>
    <t>EMI_per_building.kgCO2.ES.Ser.Bld.Thermal.SH.Solids.Solids</t>
  </si>
  <si>
    <t>EMI_per_building.kgCO2.ES.Ser.Bld.Thermal.SH.LPG.LPG</t>
  </si>
  <si>
    <t>EMI_per_building.kgCO2.ES.Ser.Bld.Thermal.SH.Oil.Oil_LiqBio</t>
  </si>
  <si>
    <t>EMI_per_building.kgCO2.ES.Ser.Bld.Thermal.SH.GasHP.NG_Biogas</t>
  </si>
  <si>
    <t>EMI_per_building.kgCO2.ES.Ser.Bld.Thermal.SH.GasTH.NG_Biogas</t>
  </si>
  <si>
    <t>EMI_per_building.kgCO2.ES.Ser.Bld.Thermal.SH.Biomass.Biomass_Waste</t>
  </si>
  <si>
    <t>EMI_per_building.kgCO2.ES.Ser.Bld.Thermal.SH.Geo.Geo</t>
  </si>
  <si>
    <t>EMI_per_building.kgCO2.ES.Ser.Bld.Thermal.SH.DistrHeat.Steam_Distr</t>
  </si>
  <si>
    <t>EMI_per_building.kgCO2.ES.Ser.Bld.Thermal.SH.AdvElc.Elec</t>
  </si>
  <si>
    <t>EMI_per_building.kgCO2.ES.Ser.Bld.Thermal.SH.ConvElc.Elec</t>
  </si>
  <si>
    <t>EMI_per_building.kgCO2.ES.Ser.Bld.Thermal.SH.TotalCirculation.Elec</t>
  </si>
  <si>
    <t>EMI_per_building.kgCO2.ES.Ser.Bld.Thermal.SC</t>
  </si>
  <si>
    <t>EMI_per_building.kgCO2.ES.Ser.Bld.Thermal.SC.GasHP.NG_Biogas</t>
  </si>
  <si>
    <t>EMI_per_building.kgCO2.ES.Ser.Bld.Thermal.SC.AC.Elec</t>
  </si>
  <si>
    <t>EMI_per_building.kgCO2.ES.Ser.Bld.Thermal.HW</t>
  </si>
  <si>
    <t>EMI_per_building.kgCO2.ES.Ser.Bld.Thermal.HW.Solids.Solids</t>
  </si>
  <si>
    <t>EMI_per_building.kgCO2.ES.Ser.Bld.Thermal.HW.LPG.LPG</t>
  </si>
  <si>
    <t>EMI_per_building.kgCO2.ES.Ser.Bld.Thermal.HW.Oil.Oil_LiqBio</t>
  </si>
  <si>
    <t>EMI_per_building.kgCO2.ES.Ser.Bld.Thermal.HW.Gas.NG_Biogas</t>
  </si>
  <si>
    <t>EMI_per_building.kgCO2.ES.Ser.Bld.Thermal.HW.Biomass.Biomass_Waste</t>
  </si>
  <si>
    <t>EMI_per_building.kgCO2.ES.Ser.Bld.Thermal.HW.DistrHeat.Steam_Distr</t>
  </si>
  <si>
    <t>EMI_per_building.kgCO2.ES.Ser.Bld.Thermal.HW.Elc.Elec</t>
  </si>
  <si>
    <t>EMI_per_building.kgCO2.ES.Ser.Bld.Thermal.HW.TotalSolar.Solar</t>
  </si>
  <si>
    <t>EMI_per_building.kgCO2.ES.Ser.Bld.Thermal.CA</t>
  </si>
  <si>
    <t>EMI_per_building.kgCO2.ES.Ser.Bld.Thermal.CA.LPG</t>
  </si>
  <si>
    <t>EMI_per_building.kgCO2.ES.Ser.Bld.Thermal.CA.Gas.NG_Biogas</t>
  </si>
  <si>
    <t>EMI_per_building.kgCO2.ES.Ser.Bld.Thermal.CA.Biomass.Biomass_Waste</t>
  </si>
  <si>
    <t>EMI_per_building.kgCO2.ES.Ser.Bld.Thermal.CA.Elc.Elec</t>
  </si>
  <si>
    <t>ES - Final energy consumption per useful surface area</t>
  </si>
  <si>
    <t>FEC_per_sqm.kWh.ES.Ser.Bld.Thermal</t>
  </si>
  <si>
    <t>FEC_per_sqm.kWh.ES.Ser.Bld.Thermal.SH</t>
  </si>
  <si>
    <t>FEC_per_sqm.kWh.ES.Ser.Bld.Thermal.SH.Solids.Solids</t>
  </si>
  <si>
    <t>FEC_per_sqm.kWh.ES.Ser.Bld.Thermal.SH.LPG.LPG</t>
  </si>
  <si>
    <t>FEC_per_sqm.kWh.ES.Ser.Bld.Thermal.SH.Oil.Oil_LiqBio</t>
  </si>
  <si>
    <t>FEC_per_sqm.kWh.ES.Ser.Bld.Thermal.SH.GasHP.NG_Biogas</t>
  </si>
  <si>
    <t>FEC_per_sqm.kWh.ES.Ser.Bld.Thermal.SH.GasTH.NG_Biogas</t>
  </si>
  <si>
    <t>FEC_per_sqm.kWh.ES.Ser.Bld.Thermal.SH.Biomass.Biomass_Waste</t>
  </si>
  <si>
    <t>FEC_per_sqm.kWh.ES.Ser.Bld.Thermal.SH.Geo.Geo</t>
  </si>
  <si>
    <t>FEC_per_sqm.kWh.ES.Ser.Bld.Thermal.SH.DistrHeat.Steam_Distr</t>
  </si>
  <si>
    <t>FEC_per_sqm.kWh.ES.Ser.Bld.Thermal.SH.AdvElc.Elec</t>
  </si>
  <si>
    <t>FEC_per_sqm.kWh.ES.Ser.Bld.Thermal.SH.ConvElc.Elec</t>
  </si>
  <si>
    <t>FEC_per_sqm.kWh.ES.Ser.Bld.Thermal.SH.TotalCirculation.Elec</t>
  </si>
  <si>
    <t>FEC_per_sqm.kWh.ES.Ser.Bld.Thermal.SC</t>
  </si>
  <si>
    <t>FEC_per_sqm.kWh.ES.Ser.Bld.Thermal.SC.GasHP.NG_Biogas</t>
  </si>
  <si>
    <t>FEC_per_sqm.kWh.ES.Ser.Bld.Thermal.SC.AC.Elec</t>
  </si>
  <si>
    <t>FEC_per_sqm.kWh.ES.Ser.Bld.Thermal.HW</t>
  </si>
  <si>
    <t>FEC_per_sqm.kWh.ES.Ser.Bld.Thermal.HW.Solids.Solids</t>
  </si>
  <si>
    <t>FEC_per_sqm.kWh.ES.Ser.Bld.Thermal.HW.LPG.LPG</t>
  </si>
  <si>
    <t>FEC_per_sqm.kWh.ES.Ser.Bld.Thermal.HW.Oil.Oil_LiqBio</t>
  </si>
  <si>
    <t>FEC_per_sqm.kWh.ES.Ser.Bld.Thermal.HW.Gas.NG_Biogas</t>
  </si>
  <si>
    <t>FEC_per_sqm.kWh.ES.Ser.Bld.Thermal.HW.Biomass.Biomass_Waste</t>
  </si>
  <si>
    <t>FEC_per_sqm.kWh.ES.Ser.Bld.Thermal.HW.DistrHeat.Steam_Distr</t>
  </si>
  <si>
    <t>FEC_per_sqm.kWh.ES.Ser.Bld.Thermal.HW.Elc.Elec</t>
  </si>
  <si>
    <t>FEC_per_sqm.kWh.ES.Ser.Bld.Thermal.HW.TotalSolar.Solar</t>
  </si>
  <si>
    <t>FEC_per_sqm.kWh.ES.Ser.Bld.Thermal.CA</t>
  </si>
  <si>
    <t>FEC_per_sqm.kWh.ES.Ser.Bld.Thermal.CA.LPG</t>
  </si>
  <si>
    <t>FEC_per_sqm.kWh.ES.Ser.Bld.Thermal.CA.Gas.NG_Biogas</t>
  </si>
  <si>
    <t>FEC_per_sqm.kWh.ES.Ser.Bld.Thermal.CA.Biomass.Biomass_Waste</t>
  </si>
  <si>
    <t>FEC_per_sqm.kWh.ES.Ser.Bld.Thermal.CA.Elc.Elec</t>
  </si>
  <si>
    <t>ES - Thermal energy service per useful surface area</t>
  </si>
  <si>
    <t>TES_per_sqm.kWh.ES.Ser.Bld.Thermal</t>
  </si>
  <si>
    <t>TES_per_sqm.kWh.ES.Ser.Bld.Thermal.SH</t>
  </si>
  <si>
    <t>TES_per_sqm.kWh.ES.Ser.Bld.Thermal.SH.Solids.Solids</t>
  </si>
  <si>
    <t>TES_per_sqm.kWh.ES.Ser.Bld.Thermal.SH.LPG.LPG</t>
  </si>
  <si>
    <t>TES_per_sqm.kWh.ES.Ser.Bld.Thermal.SH.Oil.Oil_LiqBio</t>
  </si>
  <si>
    <t>TES_per_sqm.kWh.ES.Ser.Bld.Thermal.SH.GasHP.NG_Biogas</t>
  </si>
  <si>
    <t>TES_per_sqm.kWh.ES.Ser.Bld.Thermal.SH.GasTH.NG_Biogas</t>
  </si>
  <si>
    <t>TES_per_sqm.kWh.ES.Ser.Bld.Thermal.SH.Biomass.Biomass_Waste</t>
  </si>
  <si>
    <t>TES_per_sqm.kWh.ES.Ser.Bld.Thermal.SH.Geo.Geo</t>
  </si>
  <si>
    <t>TES_per_sqm.kWh.ES.Ser.Bld.Thermal.SH.DistrHeat.Steam_Distr</t>
  </si>
  <si>
    <t>TES_per_sqm.kWh.ES.Ser.Bld.Thermal.SH.AdvElc.Elec</t>
  </si>
  <si>
    <t>TES_per_sqm.kWh.ES.Ser.Bld.Thermal.SH.ConvElc.Elec</t>
  </si>
  <si>
    <t>TES_per_sqm.kWh.ES.Ser.Bld.Thermal.SH.TotalCirculation.Elec</t>
  </si>
  <si>
    <t>TES_per_sqm.kWh.ES.Ser.Bld.Thermal.SC</t>
  </si>
  <si>
    <t>TES_per_sqm.kWh.ES.Ser.Bld.Thermal.SC.GasHP.NG_Biogas</t>
  </si>
  <si>
    <t>TES_per_sqm.kWh.ES.Ser.Bld.Thermal.SC.AC.Elec</t>
  </si>
  <si>
    <t>TES_per_sqm.kWh.ES.Ser.Bld.Thermal.HW</t>
  </si>
  <si>
    <t>TES_per_sqm.kWh.ES.Ser.Bld.Thermal.HW.Solids.Solids</t>
  </si>
  <si>
    <t>TES_per_sqm.kWh.ES.Ser.Bld.Thermal.HW.LPG.LPG</t>
  </si>
  <si>
    <t>TES_per_sqm.kWh.ES.Ser.Bld.Thermal.HW.Oil.Oil_LiqBio</t>
  </si>
  <si>
    <t>TES_per_sqm.kWh.ES.Ser.Bld.Thermal.HW.Gas.NG_Biogas</t>
  </si>
  <si>
    <t>TES_per_sqm.kWh.ES.Ser.Bld.Thermal.HW.Biomass.Biomass_Waste</t>
  </si>
  <si>
    <t>TES_per_sqm.kWh.ES.Ser.Bld.Thermal.HW.DistrHeat.Steam_Distr</t>
  </si>
  <si>
    <t>TES_per_sqm.kWh.ES.Ser.Bld.Thermal.HW.Elc.Elec</t>
  </si>
  <si>
    <t>TES_per_sqm.kWh.ES.Ser.Bld.Thermal.HW.TotalSolar.Solar</t>
  </si>
  <si>
    <t>TES_per_sqm.kWh.ES.Ser.Bld.Thermal.CA</t>
  </si>
  <si>
    <t>TES_per_sqm.kWh.ES.Ser.Bld.Thermal.CA.LPG</t>
  </si>
  <si>
    <t>TES_per_sqm.kWh.ES.Ser.Bld.Thermal.CA.Gas.NG_Biogas</t>
  </si>
  <si>
    <t>TES_per_sqm.kWh.ES.Ser.Bld.Thermal.CA.Biomass.Biomass_Waste</t>
  </si>
  <si>
    <t>TES_per_sqm.kWh.ES.Ser.Bld.Thermal.CA.Elc.Elec</t>
  </si>
  <si>
    <t>ES - CO2 emissions per useful surface area</t>
  </si>
  <si>
    <t>EMI_per_sqm.kgCO2.ES.Ser.Bld.Thermal</t>
  </si>
  <si>
    <t>EMI_per_sqm.kgCO2.ES.Ser.Bld.Thermal.SH</t>
  </si>
  <si>
    <t>EMI_per_sqm.kgCO2.ES.Ser.Bld.Thermal.SH.Solids.Solids</t>
  </si>
  <si>
    <t>EMI_per_sqm.kgCO2.ES.Ser.Bld.Thermal.SH.LPG.LPG</t>
  </si>
  <si>
    <t>EMI_per_sqm.kgCO2.ES.Ser.Bld.Thermal.SH.Oil.Oil_LiqBio</t>
  </si>
  <si>
    <t>EMI_per_sqm.kgCO2.ES.Ser.Bld.Thermal.SH.GasHP.NG_Biogas</t>
  </si>
  <si>
    <t>EMI_per_sqm.kgCO2.ES.Ser.Bld.Thermal.SH.GasTH.NG_Biogas</t>
  </si>
  <si>
    <t>EMI_per_sqm.kgCO2.ES.Ser.Bld.Thermal.SH.Biomass.Biomass_Waste</t>
  </si>
  <si>
    <t>EMI_per_sqm.kgCO2.ES.Ser.Bld.Thermal.SH.Geo.Geo</t>
  </si>
  <si>
    <t>EMI_per_sqm.kgCO2.ES.Ser.Bld.Thermal.SH.DistrHeat.Steam_Distr</t>
  </si>
  <si>
    <t>EMI_per_sqm.kgCO2.ES.Ser.Bld.Thermal.SH.AdvElc.Elec</t>
  </si>
  <si>
    <t>EMI_per_sqm.kgCO2.ES.Ser.Bld.Thermal.SH.ConvElc.Elec</t>
  </si>
  <si>
    <t>EMI_per_sqm.kgCO2.ES.Ser.Bld.Thermal.SH.TotalCirculation.Elec</t>
  </si>
  <si>
    <t>EMI_per_sqm.kgCO2.ES.Ser.Bld.Thermal.SC</t>
  </si>
  <si>
    <t>EMI_per_sqm.kgCO2.ES.Ser.Bld.Thermal.SC.GasHP.NG_Biogas</t>
  </si>
  <si>
    <t>EMI_per_sqm.kgCO2.ES.Ser.Bld.Thermal.SC.AC.Elec</t>
  </si>
  <si>
    <t>EMI_per_sqm.kgCO2.ES.Ser.Bld.Thermal.HW</t>
  </si>
  <si>
    <t>EMI_per_sqm.kgCO2.ES.Ser.Bld.Thermal.HW.Solids.Solids</t>
  </si>
  <si>
    <t>EMI_per_sqm.kgCO2.ES.Ser.Bld.Thermal.HW.LPG.LPG</t>
  </si>
  <si>
    <t>EMI_per_sqm.kgCO2.ES.Ser.Bld.Thermal.HW.Oil.Oil_LiqBio</t>
  </si>
  <si>
    <t>EMI_per_sqm.kgCO2.ES.Ser.Bld.Thermal.HW.Gas.NG_Biogas</t>
  </si>
  <si>
    <t>EMI_per_sqm.kgCO2.ES.Ser.Bld.Thermal.HW.Biomass.Biomass_Waste</t>
  </si>
  <si>
    <t>EMI_per_sqm.kgCO2.ES.Ser.Bld.Thermal.HW.DistrHeat.Steam_Distr</t>
  </si>
  <si>
    <t>EMI_per_sqm.kgCO2.ES.Ser.Bld.Thermal.HW.Elc.Elec</t>
  </si>
  <si>
    <t>EMI_per_sqm.kgCO2.ES.Ser.Bld.Thermal.HW.TotalSolar.Solar</t>
  </si>
  <si>
    <t>EMI_per_sqm.kgCO2.ES.Ser.Bld.Thermal.CA</t>
  </si>
  <si>
    <t>EMI_per_sqm.kgCO2.ES.Ser.Bld.Thermal.CA.LPG</t>
  </si>
  <si>
    <t>EMI_per_sqm.kgCO2.ES.Ser.Bld.Thermal.CA.Gas.NG_Biogas</t>
  </si>
  <si>
    <t>EMI_per_sqm.kgCO2.ES.Ser.Bld.Thermal.CA.Biomass.Biomass_Waste</t>
  </si>
  <si>
    <t>EMI_per_sqm.kgCO2.ES.Ser.Bld.Thermal.CA.Elc.Elec</t>
  </si>
  <si>
    <t>ES - Number of new and renovated buildings</t>
  </si>
  <si>
    <t>NUM.number.ES.Ser.BldNew.Thermal</t>
  </si>
  <si>
    <t>NUM.number.ES.Ser.BldNew.Thermal.SH</t>
  </si>
  <si>
    <t>NUM.number.ES.Ser.BldNew.Thermal.SH.Solids</t>
  </si>
  <si>
    <t>NUM.number.ES.Ser.BldNew.Thermal.SH.LPG</t>
  </si>
  <si>
    <t>NUM.number.ES.Ser.BldNew.Thermal.SH.Oil</t>
  </si>
  <si>
    <t>NUM.number.ES.Ser.BldNew.Thermal.SH.GasHP</t>
  </si>
  <si>
    <t>NUM.number.ES.Ser.BldNew.Thermal.SH.GasTH</t>
  </si>
  <si>
    <t>NUM.number.ES.Ser.BldNew.Thermal.SH.Biomass</t>
  </si>
  <si>
    <t>NUM.number.ES.Ser.BldNew.Thermal.SH.Geo</t>
  </si>
  <si>
    <t>NUM.number.ES.Ser.BldNew.Thermal.SH.DistrHeat</t>
  </si>
  <si>
    <t>NUM.number.ES.Ser.BldNew.Thermal.SH.AdvElc</t>
  </si>
  <si>
    <t>NUM.number.ES.Ser.BldNew.Thermal.SH.ConvElc</t>
  </si>
  <si>
    <t>NUM.number.ES.Ser.BldNew.Thermal.SC</t>
  </si>
  <si>
    <t>NUM.number.ES.Ser.BldNew.Thermal.SC.GasHP</t>
  </si>
  <si>
    <t>NUM.number.ES.Ser.BldNew.Thermal.SC.AC</t>
  </si>
  <si>
    <t>NUM.number.ES.Ser.BldNew.Thermal.HW</t>
  </si>
  <si>
    <t>NUM.number.ES.Ser.BldNew.Thermal.HW.Solids</t>
  </si>
  <si>
    <t>NUM.number.ES.Ser.BldNew.Thermal.HW.LPG</t>
  </si>
  <si>
    <t>NUM.number.ES.Ser.BldNew.Thermal.HW.Oil</t>
  </si>
  <si>
    <t>NUM.number.ES.Ser.BldNew.Thermal.HW.Gas</t>
  </si>
  <si>
    <t>NUM.number.ES.Ser.BldNew.Thermal.HW.Biomass</t>
  </si>
  <si>
    <t>NUM.number.ES.Ser.BldNew.Thermal.HW.DistrHeat</t>
  </si>
  <si>
    <t>NUM.number.ES.Ser.BldNew.Thermal.HW.Elc</t>
  </si>
  <si>
    <t>NUM.number.ES.Ser.BldNew.Thermal.HW.Solar</t>
  </si>
  <si>
    <t>NUM.number.ES.Ser.BldNew.Thermal.CA</t>
  </si>
  <si>
    <t>NUM.number.ES.Ser.BldNew.Thermal.CA.LPG</t>
  </si>
  <si>
    <t>NUM.number.ES.Ser.BldNew.Thermal.CA.Gas</t>
  </si>
  <si>
    <t>NUM.number.ES.Ser.BldNew.Thermal.CA.Biomass</t>
  </si>
  <si>
    <t>NUM.number.ES.Ser.BldNew.Thermal.CA.Elc</t>
  </si>
  <si>
    <t>ES - Final energy consumption in new and renovated buildings</t>
  </si>
  <si>
    <t>FEC.ktoe.ES.Ser.BldNew.Thermal</t>
  </si>
  <si>
    <t>FEC.ktoe.ES.Ser.BldNew.Thermal.SH</t>
  </si>
  <si>
    <t>FEC.ktoe.ES.Ser.BldNew.Thermal.SH.Solids.Solids</t>
  </si>
  <si>
    <t>FEC.ktoe.ES.Ser.BldNew.Thermal.SH.LPG.LPG</t>
  </si>
  <si>
    <t>FEC.ktoe.ES.Ser.BldNew.Thermal.SH.Oil.Oil_LiqBio</t>
  </si>
  <si>
    <t>FEC.ktoe.ES.Ser.BldNew.Thermal.SH.GasHP.NG_Biogas</t>
  </si>
  <si>
    <t>FEC.ktoe.ES.Ser.BldNew.Thermal.SH.GasTH.NG_Biogas</t>
  </si>
  <si>
    <t>FEC.ktoe.ES.Ser.BldNew.Thermal.SH.Biomass.Biomass_Waste</t>
  </si>
  <si>
    <t>FEC.ktoe.ES.Ser.BldNew.Thermal.SH.Geo.Geo</t>
  </si>
  <si>
    <t>FEC.ktoe.ES.Ser.BldNew.Thermal.SH.DistrHeat.Steam_Distr</t>
  </si>
  <si>
    <t>FEC.ktoe.ES.Ser.BldNew.Thermal.SH.AdvElc.Elec</t>
  </si>
  <si>
    <t>FEC.ktoe.ES.Ser.BldNew.Thermal.SH.ConvElc.Elec</t>
  </si>
  <si>
    <t>FEC.ktoe.ES.Ser.BldNew.Thermal.SH.TotalCirculation.Elec</t>
  </si>
  <si>
    <t>FEC.ktoe.ES.Ser.BldNew.Thermal.SC</t>
  </si>
  <si>
    <t>FEC.ktoe.ES.Ser.BldNew.Thermal.SC.GasHP.NG_Biogas</t>
  </si>
  <si>
    <t>FEC.ktoe.ES.Ser.BldNew.Thermal.SC.AC.Elec</t>
  </si>
  <si>
    <t>FEC.ktoe.ES.Ser.BldNew.Thermal.HW</t>
  </si>
  <si>
    <t>FEC.ktoe.ES.Ser.BldNew.Thermal.HW.Solids.Solids</t>
  </si>
  <si>
    <t>FEC.ktoe.ES.Ser.BldNew.Thermal.HW.LPG.LPG</t>
  </si>
  <si>
    <t>FEC.ktoe.ES.Ser.BldNew.Thermal.HW.Oil.Oil_LiqBio</t>
  </si>
  <si>
    <t>FEC.ktoe.ES.Ser.BldNew.Thermal.HW.Gas.NG_Biogas</t>
  </si>
  <si>
    <t>FEC.ktoe.ES.Ser.BldNew.Thermal.HW.Biomass.Biomass_Waste</t>
  </si>
  <si>
    <t>FEC.ktoe.ES.Ser.BldNew.Thermal.HW.DistrHeat.Steam_Distr</t>
  </si>
  <si>
    <t>FEC.ktoe.ES.Ser.BldNew.Thermal.HW.Elc.Elec</t>
  </si>
  <si>
    <t>FEC.ktoe.ES.Ser.BldNew.Thermal.HW.TotalSolar.Solar</t>
  </si>
  <si>
    <t>FEC.ktoe.ES.Ser.BldNew.Thermal.CA</t>
  </si>
  <si>
    <t>FEC.ktoe.ES.Ser.BldNew.Thermal.CA.LPG</t>
  </si>
  <si>
    <t>FEC.ktoe.ES.Ser.BldNew.Thermal.CA.Gas.NG_Biogas</t>
  </si>
  <si>
    <t>FEC.ktoe.ES.Ser.BldNew.Thermal.CA.Biomass.Biomass_Waste</t>
  </si>
  <si>
    <t>FEC.ktoe.ES.Ser.BldNew.Thermal.CA.Elc.Elec</t>
  </si>
  <si>
    <t>ES - Thermal energy service in new and renovated buildings</t>
  </si>
  <si>
    <t>TES.ktoe.ES.Ser.BldNew.Thermal</t>
  </si>
  <si>
    <t>TES.ktoe.ES.Ser.BldNew.Thermal.SH</t>
  </si>
  <si>
    <t>TES.ktoe.ES.Ser.BldNew.Thermal.SH.Solids.Solids</t>
  </si>
  <si>
    <t>TES.ktoe.ES.Ser.BldNew.Thermal.SH.LPG.LPG</t>
  </si>
  <si>
    <t>TES.ktoe.ES.Ser.BldNew.Thermal.SH.Oil.Oil_LiqBio</t>
  </si>
  <si>
    <t>TES.ktoe.ES.Ser.BldNew.Thermal.SH.GasHP.NG_Biogas</t>
  </si>
  <si>
    <t>TES.ktoe.ES.Ser.BldNew.Thermal.SH.GasTH.NG_Biogas</t>
  </si>
  <si>
    <t>TES.ktoe.ES.Ser.BldNew.Thermal.SH.Biomass.Biomass_Waste</t>
  </si>
  <si>
    <t>TES.ktoe.ES.Ser.BldNew.Thermal.SH.Geo.Geo</t>
  </si>
  <si>
    <t>TES.ktoe.ES.Ser.BldNew.Thermal.SH.DistrHeat.Steam_Distr</t>
  </si>
  <si>
    <t>TES.ktoe.ES.Ser.BldNew.Thermal.SH.AdvElc.Elec</t>
  </si>
  <si>
    <t>TES.ktoe.ES.Ser.BldNew.Thermal.SH.ConvElc.Elec</t>
  </si>
  <si>
    <t>TES.ktoe.ES.Ser.BldNew.Thermal.SH.TotalCirculation.Elec</t>
  </si>
  <si>
    <t>TES.ktoe.ES.Ser.BldNew.Thermal.SC</t>
  </si>
  <si>
    <t>TES.ktoe.ES.Ser.BldNew.Thermal.SC.GasHP.NG_Biogas</t>
  </si>
  <si>
    <t>TES.ktoe.ES.Ser.BldNew.Thermal.SC.AC.Elec</t>
  </si>
  <si>
    <t>TES.ktoe.ES.Ser.BldNew.Thermal.HW</t>
  </si>
  <si>
    <t>TES.ktoe.ES.Ser.BldNew.Thermal.HW.Solids.Solids</t>
  </si>
  <si>
    <t>TES.ktoe.ES.Ser.BldNew.Thermal.HW.LPG.LPG</t>
  </si>
  <si>
    <t>TES.ktoe.ES.Ser.BldNew.Thermal.HW.Oil.Oil_LiqBio</t>
  </si>
  <si>
    <t>TES.ktoe.ES.Ser.BldNew.Thermal.HW.Gas.NG_Biogas</t>
  </si>
  <si>
    <t>TES.ktoe.ES.Ser.BldNew.Thermal.HW.Biomass.Biomass_Waste</t>
  </si>
  <si>
    <t>TES.ktoe.ES.Ser.BldNew.Thermal.HW.DistrHeat.Steam_Distr</t>
  </si>
  <si>
    <t>TES.ktoe.ES.Ser.BldNew.Thermal.HW.Elc.Elec</t>
  </si>
  <si>
    <t>TES.ktoe.ES.Ser.BldNew.Thermal.HW.TotalSolar.Solar</t>
  </si>
  <si>
    <t>TES.ktoe.ES.Ser.BldNew.Thermal.CA</t>
  </si>
  <si>
    <t>TES.ktoe.ES.Ser.BldNew.Thermal.CA.LPG</t>
  </si>
  <si>
    <t>TES.ktoe.ES.Ser.BldNew.Thermal.CA.Gas.NG_Biogas</t>
  </si>
  <si>
    <t>TES.ktoe.ES.Ser.BldNew.Thermal.CA.Biomass.Biomass_Waste</t>
  </si>
  <si>
    <t>TES.ktoe.ES.Ser.BldNew.Thermal.CA.Elc.Elec</t>
  </si>
  <si>
    <t>ES - System efficiency indicator of new and renovated buildings</t>
  </si>
  <si>
    <t>Eff.ratio.ES.Ser.BldNew.Thermal</t>
  </si>
  <si>
    <t>Eff.ratio.ES.Ser.BldNew.Thermal.SH</t>
  </si>
  <si>
    <t>Eff.ratio.ES.Ser.BldNew.Thermal.SH.Solids.Solids</t>
  </si>
  <si>
    <t>Eff.ratio.ES.Ser.BldNew.Thermal.SH.LPG.LPG</t>
  </si>
  <si>
    <t>Eff.ratio.ES.Ser.BldNew.Thermal.SH.Oil.Oil_LiqBio</t>
  </si>
  <si>
    <t>Eff.ratio.ES.Ser.BldNew.Thermal.SH.GasHP.NG_Biogas</t>
  </si>
  <si>
    <t>Eff.ratio.ES.Ser.BldNew.Thermal.SH.GasTH.NG_Biogas</t>
  </si>
  <si>
    <t>Eff.ratio.ES.Ser.BldNew.Thermal.SH.Biomass.Biomass_Waste</t>
  </si>
  <si>
    <t>Eff.ratio.ES.Ser.BldNew.Thermal.SH.Geo.Geo</t>
  </si>
  <si>
    <t>Eff.ratio.ES.Ser.BldNew.Thermal.SH.DistrHeat.Steam_Distr</t>
  </si>
  <si>
    <t>Eff.ratio.ES.Ser.BldNew.Thermal.SH.AdvElc.Elec</t>
  </si>
  <si>
    <t>Eff.ratio.ES.Ser.BldNew.Thermal.SH.ConvElc.Elec</t>
  </si>
  <si>
    <t>Eff.ratio.ES.Ser.BldNew.Thermal.SH.TotalCirculation.Elec</t>
  </si>
  <si>
    <t>Eff.ratio.ES.Ser.BldNew.Thermal.SC</t>
  </si>
  <si>
    <t>Eff.ratio.ES.Ser.BldNew.Thermal.SC.GasHP.NG_Biogas</t>
  </si>
  <si>
    <t>Eff.ratio.ES.Ser.BldNew.Thermal.SC.AC.Elec</t>
  </si>
  <si>
    <t>Eff.ratio.ES.Ser.BldNew.Thermal.HW</t>
  </si>
  <si>
    <t>Eff.ratio.ES.Ser.BldNew.Thermal.HW.Solids.Solids</t>
  </si>
  <si>
    <t>Eff.ratio.ES.Ser.BldNew.Thermal.HW.LPG.LPG</t>
  </si>
  <si>
    <t>Eff.ratio.ES.Ser.BldNew.Thermal.HW.Oil.Oil_LiqBio</t>
  </si>
  <si>
    <t>Eff.ratio.ES.Ser.BldNew.Thermal.HW.Gas.NG_Biogas</t>
  </si>
  <si>
    <t>Eff.ratio.ES.Ser.BldNew.Thermal.HW.Biomass.Biomass_Waste</t>
  </si>
  <si>
    <t>Eff.ratio.ES.Ser.BldNew.Thermal.HW.DistrHeat.Steam_Distr</t>
  </si>
  <si>
    <t>Eff.ratio.ES.Ser.BldNew.Thermal.HW.Elc.Elec</t>
  </si>
  <si>
    <t>Eff.ratio.ES.Ser.BldNew.Thermal.HW.TotalSolar.Solar</t>
  </si>
  <si>
    <t>Eff.ratio.ES.Ser.BldNew.Thermal.CA</t>
  </si>
  <si>
    <t>Eff.ratio.ES.Ser.BldNew.Thermal.CA.LPG</t>
  </si>
  <si>
    <t>Eff.ratio.ES.Ser.BldNew.Thermal.CA.Gas.NG_Biogas</t>
  </si>
  <si>
    <t>Eff.ratio.ES.Ser.BldNew.Thermal.CA.Biomass.Biomass_Waste</t>
  </si>
  <si>
    <t>Eff.ratio.ES.Ser.BldNew.Thermal.CA.Elc.Elec</t>
  </si>
  <si>
    <t>ES - CO2 emissions in new and renovated buildings</t>
  </si>
  <si>
    <t>EMI.ktCO2.ES.Ser.BldNew.Thermal</t>
  </si>
  <si>
    <t>EMI.ktCO2.ES.Ser.BldNew.Thermal.SH</t>
  </si>
  <si>
    <t>EMI.ktCO2.ES.Ser.BldNew.Thermal.SH.Solids.Solids</t>
  </si>
  <si>
    <t>EMI.ktCO2.ES.Ser.BldNew.Thermal.SH.LPG.LPG</t>
  </si>
  <si>
    <t>EMI.ktCO2.ES.Ser.BldNew.Thermal.SH.Oil.Oil_LiqBio</t>
  </si>
  <si>
    <t>EMI.ktCO2.ES.Ser.BldNew.Thermal.SH.GasHP.NG_Biogas</t>
  </si>
  <si>
    <t>EMI.ktCO2.ES.Ser.BldNew.Thermal.SH.GasTH.NG_Biogas</t>
  </si>
  <si>
    <t>EMI.ktCO2.ES.Ser.BldNew.Thermal.SH.Biomass.Biomass_Waste</t>
  </si>
  <si>
    <t>EMI.ktCO2.ES.Ser.BldNew.Thermal.SH.Geo.Geo</t>
  </si>
  <si>
    <t>EMI.ktCO2.ES.Ser.BldNew.Thermal.SH.DistrHeat.Steam_Distr</t>
  </si>
  <si>
    <t>EMI.ktCO2.ES.Ser.BldNew.Thermal.SH.AdvElc.Elec</t>
  </si>
  <si>
    <t>EMI.ktCO2.ES.Ser.BldNew.Thermal.SH.ConvElc.Elec</t>
  </si>
  <si>
    <t>EMI.ktCO2.ES.Ser.BldNew.Thermal.SH.TotalCirculation.Elec</t>
  </si>
  <si>
    <t>EMI.ktCO2.ES.Ser.BldNew.Thermal.SC</t>
  </si>
  <si>
    <t>EMI.ktCO2.ES.Ser.BldNew.Thermal.SC.GasHP.NG_Biogas</t>
  </si>
  <si>
    <t>EMI.ktCO2.ES.Ser.BldNew.Thermal.SC.AC.Elec</t>
  </si>
  <si>
    <t>EMI.ktCO2.ES.Ser.BldNew.Thermal.HW</t>
  </si>
  <si>
    <t>EMI.ktCO2.ES.Ser.BldNew.Thermal.HW.Solids.Solids</t>
  </si>
  <si>
    <t>EMI.ktCO2.ES.Ser.BldNew.Thermal.HW.LPG.LPG</t>
  </si>
  <si>
    <t>EMI.ktCO2.ES.Ser.BldNew.Thermal.HW.Oil.Oil_LiqBio</t>
  </si>
  <si>
    <t>EMI.ktCO2.ES.Ser.BldNew.Thermal.HW.Gas.NG_Biogas</t>
  </si>
  <si>
    <t>EMI.ktCO2.ES.Ser.BldNew.Thermal.HW.Biomass.Biomass_Waste</t>
  </si>
  <si>
    <t>EMI.ktCO2.ES.Ser.BldNew.Thermal.HW.DistrHeat.Steam_Distr</t>
  </si>
  <si>
    <t>EMI.ktCO2.ES.Ser.BldNew.Thermal.HW.Elc.Elec</t>
  </si>
  <si>
    <t>EMI.ktCO2.ES.Ser.BldNew.Thermal.HW.TotalSolar.Solar</t>
  </si>
  <si>
    <t>EMI.ktCO2.ES.Ser.BldNew.Thermal.CA</t>
  </si>
  <si>
    <t>EMI.ktCO2.ES.Ser.BldNew.Thermal.CA.LPG</t>
  </si>
  <si>
    <t>EMI.ktCO2.ES.Ser.BldNew.Thermal.CA.Gas.NG_Biogas</t>
  </si>
  <si>
    <t>EMI.ktCO2.ES.Ser.BldNew.Thermal.CA.Biomass.Biomass_Waste</t>
  </si>
  <si>
    <t>EMI.ktCO2.ES.Ser.BldNew.Thermal.CA.Elc.Elec</t>
  </si>
  <si>
    <t>ES - Final energy consumption of new and renovated buildings (per building)</t>
  </si>
  <si>
    <t>FEC_per_building.kWh.ES.Ser.BldNew.Thermal</t>
  </si>
  <si>
    <t>FEC_per_building.kWh.ES.Ser.BldNew.Thermal.SH</t>
  </si>
  <si>
    <t>FEC_per_building.kWh.ES.Ser.BldNew.Thermal.SH.Solids.Solids</t>
  </si>
  <si>
    <t>FEC_per_building.kWh.ES.Ser.BldNew.Thermal.SH.LPG.LPG</t>
  </si>
  <si>
    <t>FEC_per_building.kWh.ES.Ser.BldNew.Thermal.SH.Oil.Oil_LiqBio</t>
  </si>
  <si>
    <t>FEC_per_building.kWh.ES.Ser.BldNew.Thermal.SH.GasHP.NG_Biogas</t>
  </si>
  <si>
    <t>FEC_per_building.kWh.ES.Ser.BldNew.Thermal.SH.GasTH.NG_Biogas</t>
  </si>
  <si>
    <t>FEC_per_building.kWh.ES.Ser.BldNew.Thermal.SH.Biomass.Biomass_Waste</t>
  </si>
  <si>
    <t>FEC_per_building.kWh.ES.Ser.BldNew.Thermal.SH.Geo.Geo</t>
  </si>
  <si>
    <t>FEC_per_building.kWh.ES.Ser.BldNew.Thermal.SH.DistrHeat.Steam_Distr</t>
  </si>
  <si>
    <t>FEC_per_building.kWh.ES.Ser.BldNew.Thermal.SH.AdvElc.Elec</t>
  </si>
  <si>
    <t>FEC_per_building.kWh.ES.Ser.BldNew.Thermal.SH.ConvElc.Elec</t>
  </si>
  <si>
    <t>FEC_per_building.kWh.ES.Ser.BldNew.Thermal.SH.TotalCirculation.Elec</t>
  </si>
  <si>
    <t>FEC_per_building.kWh.ES.Ser.BldNew.Thermal.SC</t>
  </si>
  <si>
    <t>FEC_per_building.kWh.ES.Ser.BldNew.Thermal.SC.GasHP.NG_Biogas</t>
  </si>
  <si>
    <t>FEC_per_building.kWh.ES.Ser.BldNew.Thermal.SC.AC.Elec</t>
  </si>
  <si>
    <t>FEC_per_building.kWh.ES.Ser.BldNew.Thermal.HW</t>
  </si>
  <si>
    <t>FEC_per_building.kWh.ES.Ser.BldNew.Thermal.HW.Solids.Solids</t>
  </si>
  <si>
    <t>FEC_per_building.kWh.ES.Ser.BldNew.Thermal.HW.LPG.LPG</t>
  </si>
  <si>
    <t>FEC_per_building.kWh.ES.Ser.BldNew.Thermal.HW.Oil.Oil_LiqBio</t>
  </si>
  <si>
    <t>FEC_per_building.kWh.ES.Ser.BldNew.Thermal.HW.Gas.NG_Biogas</t>
  </si>
  <si>
    <t>FEC_per_building.kWh.ES.Ser.BldNew.Thermal.HW.Biomass.Biomass_Waste</t>
  </si>
  <si>
    <t>FEC_per_building.kWh.ES.Ser.BldNew.Thermal.HW.DistrHeat.Steam_Distr</t>
  </si>
  <si>
    <t>FEC_per_building.kWh.ES.Ser.BldNew.Thermal.HW.Elc.Elec</t>
  </si>
  <si>
    <t>FEC_per_building.kWh.ES.Ser.BldNew.Thermal.HW.TotalSolar.Solar</t>
  </si>
  <si>
    <t>FEC_per_building.kWh.ES.Ser.BldNew.Thermal.CA</t>
  </si>
  <si>
    <t>FEC_per_building.kWh.ES.Ser.BldNew.Thermal.CA.LPG</t>
  </si>
  <si>
    <t>FEC_per_building.kWh.ES.Ser.BldNew.Thermal.CA.Gas.NG_Biogas</t>
  </si>
  <si>
    <t>FEC_per_building.kWh.ES.Ser.BldNew.Thermal.CA.Biomass.Biomass_Waste</t>
  </si>
  <si>
    <t>FEC_per_building.kWh.ES.Ser.BldNew.Thermal.CA.Elc.Elec</t>
  </si>
  <si>
    <t>ES - Thermal energy service of new and renovated buildings (per building)</t>
  </si>
  <si>
    <t>TES_per_building.kWh.ES.Ser.BldNew.Thermal</t>
  </si>
  <si>
    <t>TES_per_building.kWh.ES.Ser.BldNew.Thermal.SH</t>
  </si>
  <si>
    <t>TES_per_building.kWh.ES.Ser.BldNew.Thermal.SH.Solids.Solids</t>
  </si>
  <si>
    <t>TES_per_building.kWh.ES.Ser.BldNew.Thermal.SH.LPG.LPG</t>
  </si>
  <si>
    <t>TES_per_building.kWh.ES.Ser.BldNew.Thermal.SH.Oil.Oil_LiqBio</t>
  </si>
  <si>
    <t>TES_per_building.kWh.ES.Ser.BldNew.Thermal.SH.GasHP.NG_Biogas</t>
  </si>
  <si>
    <t>TES_per_building.kWh.ES.Ser.BldNew.Thermal.SH.GasTH.NG_Biogas</t>
  </si>
  <si>
    <t>TES_per_building.kWh.ES.Ser.BldNew.Thermal.SH.Biomass.Biomass_Waste</t>
  </si>
  <si>
    <t>TES_per_building.kWh.ES.Ser.BldNew.Thermal.SH.Geo.Geo</t>
  </si>
  <si>
    <t>TES_per_building.kWh.ES.Ser.BldNew.Thermal.SH.DistrHeat.Steam_Distr</t>
  </si>
  <si>
    <t>TES_per_building.kWh.ES.Ser.BldNew.Thermal.SH.AdvElc.Elec</t>
  </si>
  <si>
    <t>TES_per_building.kWh.ES.Ser.BldNew.Thermal.SH.ConvElc.Elec</t>
  </si>
  <si>
    <t>TES_per_building.kWh.ES.Ser.BldNew.Thermal.SH.TotalCirculation.Elec</t>
  </si>
  <si>
    <t>TES_per_building.kWh.ES.Ser.BldNew.Thermal.SC</t>
  </si>
  <si>
    <t>TES_per_building.kWh.ES.Ser.BldNew.Thermal.SC.GasHP.NG_Biogas</t>
  </si>
  <si>
    <t>TES_per_building.kWh.ES.Ser.BldNew.Thermal.SC.AC.Elec</t>
  </si>
  <si>
    <t>TES_per_building.kWh.ES.Ser.BldNew.Thermal.HW</t>
  </si>
  <si>
    <t>TES_per_building.kWh.ES.Ser.BldNew.Thermal.HW.Solids.Solids</t>
  </si>
  <si>
    <t>TES_per_building.kWh.ES.Ser.BldNew.Thermal.HW.LPG.LPG</t>
  </si>
  <si>
    <t>TES_per_building.kWh.ES.Ser.BldNew.Thermal.HW.Oil.Oil_LiqBio</t>
  </si>
  <si>
    <t>TES_per_building.kWh.ES.Ser.BldNew.Thermal.HW.Gas.NG_Biogas</t>
  </si>
  <si>
    <t>TES_per_building.kWh.ES.Ser.BldNew.Thermal.HW.Biomass.Biomass_Waste</t>
  </si>
  <si>
    <t>TES_per_building.kWh.ES.Ser.BldNew.Thermal.HW.DistrHeat.Steam_Distr</t>
  </si>
  <si>
    <t>TES_per_building.kWh.ES.Ser.BldNew.Thermal.HW.Elc.Elec</t>
  </si>
  <si>
    <t>TES_per_building.kWh.ES.Ser.BldNew.Thermal.HW.TotalSolar.Solar</t>
  </si>
  <si>
    <t>TES_per_building.kWh.ES.Ser.BldNew.Thermal.CA</t>
  </si>
  <si>
    <t>TES_per_building.kWh.ES.Ser.BldNew.Thermal.CA.LPG</t>
  </si>
  <si>
    <t>TES_per_building.kWh.ES.Ser.BldNew.Thermal.CA.Gas.NG_Biogas</t>
  </si>
  <si>
    <t>TES_per_building.kWh.ES.Ser.BldNew.Thermal.CA.Biomass.Biomass_Waste</t>
  </si>
  <si>
    <t>TES_per_building.kWh.ES.Ser.BldNew.Thermal.CA.Elc.Elec</t>
  </si>
  <si>
    <t>ES - CO2 emissions in new and renovated buildings (per building)</t>
  </si>
  <si>
    <t>EMI_per_building.kgCO2.ES.Ser.BldNew.Thermal</t>
  </si>
  <si>
    <t>EMI_per_building.kgCO2.ES.Ser.BldNew.Thermal.SH</t>
  </si>
  <si>
    <t>EMI_per_building.kgCO2.ES.Ser.BldNew.Thermal.SH.Solids.Solids</t>
  </si>
  <si>
    <t>EMI_per_building.kgCO2.ES.Ser.BldNew.Thermal.SH.LPG.LPG</t>
  </si>
  <si>
    <t>EMI_per_building.kgCO2.ES.Ser.BldNew.Thermal.SH.Oil.Oil_LiqBio</t>
  </si>
  <si>
    <t>EMI_per_building.kgCO2.ES.Ser.BldNew.Thermal.SH.GasHP.NG_Biogas</t>
  </si>
  <si>
    <t>EMI_per_building.kgCO2.ES.Ser.BldNew.Thermal.SH.GasTH.NG_Biogas</t>
  </si>
  <si>
    <t>EMI_per_building.kgCO2.ES.Ser.BldNew.Thermal.SH.Biomass.Biomass_Waste</t>
  </si>
  <si>
    <t>EMI_per_building.kgCO2.ES.Ser.BldNew.Thermal.SH.Geo.Geo</t>
  </si>
  <si>
    <t>EMI_per_building.kgCO2.ES.Ser.BldNew.Thermal.SH.DistrHeat.Steam_Distr</t>
  </si>
  <si>
    <t>EMI_per_building.kgCO2.ES.Ser.BldNew.Thermal.SH.AdvElc.Elec</t>
  </si>
  <si>
    <t>EMI_per_building.kgCO2.ES.Ser.BldNew.Thermal.SH.ConvElc.Elec</t>
  </si>
  <si>
    <t>EMI_per_building.kgCO2.ES.Ser.BldNew.Thermal.SH.TotalCirculation.Elec</t>
  </si>
  <si>
    <t>EMI_per_building.kgCO2.ES.Ser.BldNew.Thermal.SC</t>
  </si>
  <si>
    <t>EMI_per_building.kgCO2.ES.Ser.BldNew.Thermal.SC.GasHP.NG_Biogas</t>
  </si>
  <si>
    <t>EMI_per_building.kgCO2.ES.Ser.BldNew.Thermal.SC.AC.Elec</t>
  </si>
  <si>
    <t>EMI_per_building.kgCO2.ES.Ser.BldNew.Thermal.HW</t>
  </si>
  <si>
    <t>EMI_per_building.kgCO2.ES.Ser.BldNew.Thermal.HW.Solids.Solids</t>
  </si>
  <si>
    <t>EMI_per_building.kgCO2.ES.Ser.BldNew.Thermal.HW.LPG.LPG</t>
  </si>
  <si>
    <t>EMI_per_building.kgCO2.ES.Ser.BldNew.Thermal.HW.Oil.Oil_LiqBio</t>
  </si>
  <si>
    <t>EMI_per_building.kgCO2.ES.Ser.BldNew.Thermal.HW.Gas.NG_Biogas</t>
  </si>
  <si>
    <t>EMI_per_building.kgCO2.ES.Ser.BldNew.Thermal.HW.Biomass.Biomass_Waste</t>
  </si>
  <si>
    <t>EMI_per_building.kgCO2.ES.Ser.BldNew.Thermal.HW.DistrHeat.Steam_Distr</t>
  </si>
  <si>
    <t>EMI_per_building.kgCO2.ES.Ser.BldNew.Thermal.HW.Elc.Elec</t>
  </si>
  <si>
    <t>EMI_per_building.kgCO2.ES.Ser.BldNew.Thermal.HW.TotalSolar.Solar</t>
  </si>
  <si>
    <t>EMI_per_building.kgCO2.ES.Ser.BldNew.Thermal.CA</t>
  </si>
  <si>
    <t>EMI_per_building.kgCO2.ES.Ser.BldNew.Thermal.CA.LPG</t>
  </si>
  <si>
    <t>EMI_per_building.kgCO2.ES.Ser.BldNew.Thermal.CA.Gas.NG_Biogas</t>
  </si>
  <si>
    <t>EMI_per_building.kgCO2.ES.Ser.BldNew.Thermal.CA.Biomass.Biomass_Waste</t>
  </si>
  <si>
    <t>EMI_per_building.kgCO2.ES.Ser.BldNew.Thermal.CA.Elc.Elec</t>
  </si>
  <si>
    <t>ES - Final energy consumption in new and renovated buildings per surface area</t>
  </si>
  <si>
    <t>FEC_per_sqm.kWh.ES.Ser.BldNew.Thermal</t>
  </si>
  <si>
    <t>FEC_per_sqm.kWh.ES.Ser.BldNew.Thermal.SH</t>
  </si>
  <si>
    <t>FEC_per_sqm.kWh.ES.Ser.BldNew.Thermal.SH.Solids.Solids</t>
  </si>
  <si>
    <t>FEC_per_sqm.kWh.ES.Ser.BldNew.Thermal.SH.LPG.LPG</t>
  </si>
  <si>
    <t>FEC_per_sqm.kWh.ES.Ser.BldNew.Thermal.SH.Oil.Oil_LiqBio</t>
  </si>
  <si>
    <t>FEC_per_sqm.kWh.ES.Ser.BldNew.Thermal.SH.GasHP.NG_Biogas</t>
  </si>
  <si>
    <t>FEC_per_sqm.kWh.ES.Ser.BldNew.Thermal.SH.GasTH.NG_Biogas</t>
  </si>
  <si>
    <t>FEC_per_sqm.kWh.ES.Ser.BldNew.Thermal.SH.Biomass.Biomass_Waste</t>
  </si>
  <si>
    <t>FEC_per_sqm.kWh.ES.Ser.BldNew.Thermal.SH.Geo.Geo</t>
  </si>
  <si>
    <t>FEC_per_sqm.kWh.ES.Ser.BldNew.Thermal.SH.DistrHeat.Steam_Distr</t>
  </si>
  <si>
    <t>FEC_per_sqm.kWh.ES.Ser.BldNew.Thermal.SH.AdvElc.Elec</t>
  </si>
  <si>
    <t>FEC_per_sqm.kWh.ES.Ser.BldNew.Thermal.SH.ConvElc.Elec</t>
  </si>
  <si>
    <t>FEC_per_sqm.kWh.ES.Ser.BldNew.Thermal.SH.TotalCirculation.Elec</t>
  </si>
  <si>
    <t>FEC_per_sqm.kWh.ES.Ser.BldNew.Thermal.SC</t>
  </si>
  <si>
    <t>FEC_per_sqm.kWh.ES.Ser.BldNew.Thermal.SC.GasHP.NG_Biogas</t>
  </si>
  <si>
    <t>FEC_per_sqm.kWh.ES.Ser.BldNew.Thermal.SC.AC.Elec</t>
  </si>
  <si>
    <t>FEC_per_sqm.kWh.ES.Ser.BldNew.Thermal.HW</t>
  </si>
  <si>
    <t>FEC_per_sqm.kWh.ES.Ser.BldNew.Thermal.HW.Solids.Solids</t>
  </si>
  <si>
    <t>FEC_per_sqm.kWh.ES.Ser.BldNew.Thermal.HW.LPG.LPG</t>
  </si>
  <si>
    <t>FEC_per_sqm.kWh.ES.Ser.BldNew.Thermal.HW.Oil.Oil_LiqBio</t>
  </si>
  <si>
    <t>FEC_per_sqm.kWh.ES.Ser.BldNew.Thermal.HW.Gas.NG_Biogas</t>
  </si>
  <si>
    <t>FEC_per_sqm.kWh.ES.Ser.BldNew.Thermal.HW.Biomass.Biomass_Waste</t>
  </si>
  <si>
    <t>FEC_per_sqm.kWh.ES.Ser.BldNew.Thermal.HW.DistrHeat.Steam_Distr</t>
  </si>
  <si>
    <t>FEC_per_sqm.kWh.ES.Ser.BldNew.Thermal.HW.Elc.Elec</t>
  </si>
  <si>
    <t>FEC_per_sqm.kWh.ES.Ser.BldNew.Thermal.HW.TotalSolar.Solar</t>
  </si>
  <si>
    <t>FEC_per_sqm.kWh.ES.Ser.BldNew.Thermal.CA</t>
  </si>
  <si>
    <t>FEC_per_sqm.kWh.ES.Ser.BldNew.Thermal.CA.LPG</t>
  </si>
  <si>
    <t>FEC_per_sqm.kWh.ES.Ser.BldNew.Thermal.CA.Gas.NG_Biogas</t>
  </si>
  <si>
    <t>FEC_per_sqm.kWh.ES.Ser.BldNew.Thermal.CA.Biomass.Biomass_Waste</t>
  </si>
  <si>
    <t>FEC_per_sqm.kWh.ES.Ser.BldNew.Thermal.CA.Elc.Elec</t>
  </si>
  <si>
    <t>ES - Thermal energy service in new and renovated buildings per surface area</t>
  </si>
  <si>
    <t>TES_per_sqm.kWh.ES.Ser.BldNew.Thermal</t>
  </si>
  <si>
    <t>TES_per_sqm.kWh.ES.Ser.BldNew.Thermal.SH</t>
  </si>
  <si>
    <t>TES_per_sqm.kWh.ES.Ser.BldNew.Thermal.SH.Solids.Solids</t>
  </si>
  <si>
    <t>TES_per_sqm.kWh.ES.Ser.BldNew.Thermal.SH.LPG.LPG</t>
  </si>
  <si>
    <t>TES_per_sqm.kWh.ES.Ser.BldNew.Thermal.SH.Oil.Oil_LiqBio</t>
  </si>
  <si>
    <t>TES_per_sqm.kWh.ES.Ser.BldNew.Thermal.SH.GasHP.NG_Biogas</t>
  </si>
  <si>
    <t>TES_per_sqm.kWh.ES.Ser.BldNew.Thermal.SH.GasTH.NG_Biogas</t>
  </si>
  <si>
    <t>TES_per_sqm.kWh.ES.Ser.BldNew.Thermal.SH.Biomass.Biomass_Waste</t>
  </si>
  <si>
    <t>TES_per_sqm.kWh.ES.Ser.BldNew.Thermal.SH.Geo.Geo</t>
  </si>
  <si>
    <t>TES_per_sqm.kWh.ES.Ser.BldNew.Thermal.SH.DistrHeat.Steam_Distr</t>
  </si>
  <si>
    <t>TES_per_sqm.kWh.ES.Ser.BldNew.Thermal.SH.AdvElc.Elec</t>
  </si>
  <si>
    <t>TES_per_sqm.kWh.ES.Ser.BldNew.Thermal.SH.ConvElc.Elec</t>
  </si>
  <si>
    <t>TES_per_sqm.kWh.ES.Ser.BldNew.Thermal.SH.TotalCirculation.Elec</t>
  </si>
  <si>
    <t>TES_per_sqm.kWh.ES.Ser.BldNew.Thermal.SC</t>
  </si>
  <si>
    <t>TES_per_sqm.kWh.ES.Ser.BldNew.Thermal.SC.GasHP.NG_Biogas</t>
  </si>
  <si>
    <t>TES_per_sqm.kWh.ES.Ser.BldNew.Thermal.SC.AC.Elec</t>
  </si>
  <si>
    <t>TES_per_sqm.kWh.ES.Ser.BldNew.Thermal.HW</t>
  </si>
  <si>
    <t>TES_per_sqm.kWh.ES.Ser.BldNew.Thermal.HW.Solids.Solids</t>
  </si>
  <si>
    <t>TES_per_sqm.kWh.ES.Ser.BldNew.Thermal.HW.LPG.LPG</t>
  </si>
  <si>
    <t>TES_per_sqm.kWh.ES.Ser.BldNew.Thermal.HW.Oil.Oil_LiqBio</t>
  </si>
  <si>
    <t>TES_per_sqm.kWh.ES.Ser.BldNew.Thermal.HW.Gas.NG_Biogas</t>
  </si>
  <si>
    <t>TES_per_sqm.kWh.ES.Ser.BldNew.Thermal.HW.Biomass.Biomass_Waste</t>
  </si>
  <si>
    <t>TES_per_sqm.kWh.ES.Ser.BldNew.Thermal.HW.DistrHeat.Steam_Distr</t>
  </si>
  <si>
    <t>TES_per_sqm.kWh.ES.Ser.BldNew.Thermal.HW.Elc.Elec</t>
  </si>
  <si>
    <t>TES_per_sqm.kWh.ES.Ser.BldNew.Thermal.HW.TotalSolar.Solar</t>
  </si>
  <si>
    <t>TES_per_sqm.kWh.ES.Ser.BldNew.Thermal.CA</t>
  </si>
  <si>
    <t>TES_per_sqm.kWh.ES.Ser.BldNew.Thermal.CA.LPG</t>
  </si>
  <si>
    <t>TES_per_sqm.kWh.ES.Ser.BldNew.Thermal.CA.Gas.NG_Biogas</t>
  </si>
  <si>
    <t>TES_per_sqm.kWh.ES.Ser.BldNew.Thermal.CA.Biomass.Biomass_Waste</t>
  </si>
  <si>
    <t>TES_per_sqm.kWh.ES.Ser.BldNew.Thermal.CA.Elc.Elec</t>
  </si>
  <si>
    <t>ES - CO2 emissions in new and renovated buildings per surface area</t>
  </si>
  <si>
    <t>EMI_per_sqm.kgCO2.ES.Ser.BldNew.Thermal</t>
  </si>
  <si>
    <t>EMI_per_sqm.kgCO2.ES.Ser.BldNew.Thermal.SH</t>
  </si>
  <si>
    <t>EMI_per_sqm.kgCO2.ES.Ser.BldNew.Thermal.SH.Solids.Solids</t>
  </si>
  <si>
    <t>EMI_per_sqm.kgCO2.ES.Ser.BldNew.Thermal.SH.LPG.LPG</t>
  </si>
  <si>
    <t>EMI_per_sqm.kgCO2.ES.Ser.BldNew.Thermal.SH.Oil.Oil_LiqBio</t>
  </si>
  <si>
    <t>EMI_per_sqm.kgCO2.ES.Ser.BldNew.Thermal.SH.GasHP.NG_Biogas</t>
  </si>
  <si>
    <t>EMI_per_sqm.kgCO2.ES.Ser.BldNew.Thermal.SH.GasTH.NG_Biogas</t>
  </si>
  <si>
    <t>EMI_per_sqm.kgCO2.ES.Ser.BldNew.Thermal.SH.Biomass.Biomass_Waste</t>
  </si>
  <si>
    <t>EMI_per_sqm.kgCO2.ES.Ser.BldNew.Thermal.SH.Geo.Geo</t>
  </si>
  <si>
    <t>EMI_per_sqm.kgCO2.ES.Ser.BldNew.Thermal.SH.DistrHeat.Steam_Distr</t>
  </si>
  <si>
    <t>EMI_per_sqm.kgCO2.ES.Ser.BldNew.Thermal.SH.AdvElc.Elec</t>
  </si>
  <si>
    <t>EMI_per_sqm.kgCO2.ES.Ser.BldNew.Thermal.SH.ConvElc.Elec</t>
  </si>
  <si>
    <t>EMI_per_sqm.kgCO2.ES.Ser.BldNew.Thermal.SH.TotalCirculation.Elec</t>
  </si>
  <si>
    <t>EMI_per_sqm.kgCO2.ES.Ser.BldNew.Thermal.SC</t>
  </si>
  <si>
    <t>EMI_per_sqm.kgCO2.ES.Ser.BldNew.Thermal.SC.GasHP.NG_Biogas</t>
  </si>
  <si>
    <t>EMI_per_sqm.kgCO2.ES.Ser.BldNew.Thermal.SC.AC.Elec</t>
  </si>
  <si>
    <t>EMI_per_sqm.kgCO2.ES.Ser.BldNew.Thermal.HW</t>
  </si>
  <si>
    <t>EMI_per_sqm.kgCO2.ES.Ser.BldNew.Thermal.HW.Solids.Solids</t>
  </si>
  <si>
    <t>EMI_per_sqm.kgCO2.ES.Ser.BldNew.Thermal.HW.LPG.LPG</t>
  </si>
  <si>
    <t>EMI_per_sqm.kgCO2.ES.Ser.BldNew.Thermal.HW.Oil.Oil_LiqBio</t>
  </si>
  <si>
    <t>EMI_per_sqm.kgCO2.ES.Ser.BldNew.Thermal.HW.Gas.NG_Biogas</t>
  </si>
  <si>
    <t>EMI_per_sqm.kgCO2.ES.Ser.BldNew.Thermal.HW.Biomass.Biomass_Waste</t>
  </si>
  <si>
    <t>EMI_per_sqm.kgCO2.ES.Ser.BldNew.Thermal.HW.DistrHeat.Steam_Distr</t>
  </si>
  <si>
    <t>EMI_per_sqm.kgCO2.ES.Ser.BldNew.Thermal.HW.Elc.Elec</t>
  </si>
  <si>
    <t>EMI_per_sqm.kgCO2.ES.Ser.BldNew.Thermal.HW.TotalSolar.Solar</t>
  </si>
  <si>
    <t>EMI_per_sqm.kgCO2.ES.Ser.BldNew.Thermal.CA</t>
  </si>
  <si>
    <t>EMI_per_sqm.kgCO2.ES.Ser.BldNew.Thermal.CA.LPG</t>
  </si>
  <si>
    <t>EMI_per_sqm.kgCO2.ES.Ser.BldNew.Thermal.CA.Gas.NG_Biogas</t>
  </si>
  <si>
    <t>EMI_per_sqm.kgCO2.ES.Ser.BldNew.Thermal.CA.Biomass.Biomass_Waste</t>
  </si>
  <si>
    <t>EMI_per_sqm.kgCO2.ES.Ser.BldNew.Thermal.CA.Elc.Elec</t>
  </si>
  <si>
    <t>FEC.ktoe.ES.Ser.SEU.VE</t>
  </si>
  <si>
    <t>FEC.ktoe.ES.Ser.SEU.SL</t>
  </si>
  <si>
    <t>FEC.ktoe.ES.Ser.SEU.BL</t>
  </si>
  <si>
    <t>FEC.ktoe.ES.Ser.SEU.CR</t>
  </si>
  <si>
    <t>FEC.ktoe.ES.Ser.SEU.BT</t>
  </si>
  <si>
    <t>FEC.ktoe.ES.Ser.SEU.IT</t>
  </si>
  <si>
    <t>Size.MW.ES.Ser.SEU</t>
  </si>
  <si>
    <t>Size.MW.ES.Ser.SEU.VE</t>
  </si>
  <si>
    <t>Size.MW.ES.Ser.SEU.SL</t>
  </si>
  <si>
    <t>Size.MW.ES.Ser.SEU.BL</t>
  </si>
  <si>
    <t>Size.MW.ES.Ser.SEU.CR</t>
  </si>
  <si>
    <t>Size.MW.ES.Ser.SEU.BT</t>
  </si>
  <si>
    <t>Size.MW.ES.Ser.SEU.IT</t>
  </si>
  <si>
    <t>NUM.Msqm.ES.Ser.SEU.VE</t>
  </si>
  <si>
    <t>NUM.k.ES.Ser.SEU.SL</t>
  </si>
  <si>
    <t>NUM.M.ES.Ser.SEU.BL</t>
  </si>
  <si>
    <t>NUM.k.ES.Ser.SEU.CR</t>
  </si>
  <si>
    <t>NUM.Msqm.ES.Ser.SEU.BT</t>
  </si>
  <si>
    <t>NUM.k.ES.Ser.SEU.IT</t>
  </si>
  <si>
    <t>NUM.Msqm.ES.Ser.SEUnew.VE</t>
  </si>
  <si>
    <t>NUM.k.ES.Ser.SEUnew.SL</t>
  </si>
  <si>
    <t>NUM.M.ES.Ser.SEUnew.BL</t>
  </si>
  <si>
    <t>NUM.k.ES.Ser.SEUnew.CR</t>
  </si>
  <si>
    <t>NUM.Msqm.ES.Ser.SEUnew.BT</t>
  </si>
  <si>
    <t>NUM.k.ES.Ser.SEUnew.IT</t>
  </si>
  <si>
    <t>NUM.Msqm.ES.Ser.SEUrepl.VE</t>
  </si>
  <si>
    <t>NUM.k.ES.Ser.SEUrepl.SL</t>
  </si>
  <si>
    <t>NUM.M.ES.Ser.SEUrepl.BL</t>
  </si>
  <si>
    <t>NUM.k.ES.Ser.SEUrepl.CR</t>
  </si>
  <si>
    <t>NUM.Msqm.ES.Ser.SEUrepl.BT</t>
  </si>
  <si>
    <t>NUM.k.ES.Ser.SEUrepl.IT</t>
  </si>
  <si>
    <t>Op.hours.ES.Ser.SEU.VE</t>
  </si>
  <si>
    <t>Op.hours.ES.Ser.SEU.SL</t>
  </si>
  <si>
    <t>Op.hours.ES.Ser.SEU.BL</t>
  </si>
  <si>
    <t>Op.hours.ES.Ser.SEU.CR</t>
  </si>
  <si>
    <t>Op.hours.ES.Ser.SEU.BT</t>
  </si>
  <si>
    <t>Op.hours.ES.Ser.SEU.IT</t>
  </si>
  <si>
    <t>Size_per_appl.W.ES.Ser.SEU.VE</t>
  </si>
  <si>
    <t>Size_per_appl.W.ES.Ser.SEU.SL</t>
  </si>
  <si>
    <t>Size_per_appl.W.ES.Ser.SEU.BL</t>
  </si>
  <si>
    <t>Size_per_appl.W.ES.Ser.SEU.CR</t>
  </si>
  <si>
    <t>Size_per_appl.W.ES.Ser.SEU.BT</t>
  </si>
  <si>
    <t>Size_per_appl.W.ES.Ser.SEU.IT</t>
  </si>
  <si>
    <t>Size_per_appl.W.ES.Ser.SEUnew.VE</t>
  </si>
  <si>
    <t>Size_per_appl.W.ES.Ser.SEUnew.SL</t>
  </si>
  <si>
    <t>Size_per_appl.W.ES.Ser.SEUnew.BL</t>
  </si>
  <si>
    <t>Size_per_appl.W.ES.Ser.SEUnew.CR</t>
  </si>
  <si>
    <t>Size_per_appl.W.ES.Ser.SEUnew.BT</t>
  </si>
  <si>
    <t>Size_per_appl.W.ES.Ser.SEUnew.IT</t>
  </si>
  <si>
    <t>NUM.sqm_per_building.ES.Ser.SEU.VE</t>
  </si>
  <si>
    <t>NUM.number_per_capita.ES.Ser.SEU.SL</t>
  </si>
  <si>
    <t>NUM.number_per_building.ES.Ser.SEU.BL</t>
  </si>
  <si>
    <t>NUM.number_per_capita.ES.Ser.SEU.CR</t>
  </si>
  <si>
    <t>NUM.sqm_per_building.ES.Ser.SEU.BT</t>
  </si>
  <si>
    <t>NUM.number_per_capita.ES.Ser.SEU.IT</t>
  </si>
  <si>
    <t>Lumens_per_sqm.lumen.ES.Ser.SEU.BL</t>
  </si>
  <si>
    <t>FEC.ktoe.ES.Ser.SEU.IT.DataCenters</t>
  </si>
  <si>
    <t>ES - Services / specific electric uses</t>
  </si>
  <si>
    <t>ES - Ventilation and others</t>
  </si>
  <si>
    <t>ES - Street lighting</t>
  </si>
  <si>
    <t>ES - Building lighting</t>
  </si>
  <si>
    <t>ES - Commercial refrigeration</t>
  </si>
  <si>
    <t>ES - Miscellaneous building technologies</t>
  </si>
  <si>
    <t>ES - ICT and multimedia</t>
  </si>
  <si>
    <t>ES - Agriculture, forestry and fishing</t>
  </si>
  <si>
    <t>VA.Meuro2015.Meuro2023.ES.AGR.AGR</t>
  </si>
  <si>
    <t>OUTPUT.index.index.ES.AGR.AGR</t>
  </si>
  <si>
    <t>CAP.index.index.ES.AGR.AGR</t>
  </si>
  <si>
    <t>NEWCAP.index.index.ES.AGR.AGR</t>
  </si>
  <si>
    <t>CAPOUT.index.ES.AGR.AGR</t>
  </si>
  <si>
    <t>CAPIDLE.index.ES.AGR.AGR</t>
  </si>
  <si>
    <t>FEC.ktoe.ES.ES.AGR</t>
  </si>
  <si>
    <t>FEC.ktoe.ES.ES.AGR.Solids</t>
  </si>
  <si>
    <t>FEC.ktoe.ES.ES.AGR.LPG</t>
  </si>
  <si>
    <t>FEC.ktoe.ES.ES.AGR.Diesel</t>
  </si>
  <si>
    <t>FEC.ktoe.ES.ES.AGR.RFO</t>
  </si>
  <si>
    <t>FEC.ktoe.ES.ES.AGR.NG</t>
  </si>
  <si>
    <t>FEC.ktoe.ES.ES.AGR.Biomass_Waste</t>
  </si>
  <si>
    <t>FEC.ktoe.ES.ES.AGR.Biogas</t>
  </si>
  <si>
    <t>FEC.ktoe.ES.ES.AGR.LiqBio</t>
  </si>
  <si>
    <t>FEC.ktoe.ES.ES.AGR.Solar</t>
  </si>
  <si>
    <t>FEC.ktoe.ES.ES.AGR.Geo</t>
  </si>
  <si>
    <t>FEC.ktoe.ES.ES.AGR.Ambient</t>
  </si>
  <si>
    <t>FEC.ktoe.ES.ES.AGR.Steam_Distr</t>
  </si>
  <si>
    <t>FEC.ktoe.ES.ES.AGR.Elec</t>
  </si>
  <si>
    <t>ES - Agriculture, forestry and fishing / final energy consumption</t>
  </si>
  <si>
    <t>FEC.ktoe.ktoe.ES.AGR.AGR.LIGHT.GENERIC.ELEC</t>
  </si>
  <si>
    <t>FEC.ktoe.ktoe.ES.AGR.AGR.FANS.GENERIC.ELEC</t>
  </si>
  <si>
    <t>FEC.ktoe.ktoe.ES.AGR.AGR.MOTOR.GENERIC.ELEC</t>
  </si>
  <si>
    <t>FEC.ktoe.ktoe.ES.AGR.AGR.LOW_ENTH.THERM.DIESEL_LIQBIO</t>
  </si>
  <si>
    <t>FEC.ktoe.ktoe.ES.AGR.AGR.LOW_ENTH.THERM.NG_BIOGAS</t>
  </si>
  <si>
    <t>FEC.ktoe.ktoe.ES.AGR.AGR.LOW_ENTH.THERM.SOLAR_GEO</t>
  </si>
  <si>
    <t>FEC.ktoe.ktoe.ES.AGR.AGR.LOW_ENTH.HP.AMBIENT</t>
  </si>
  <si>
    <t>FEC.ktoe.ktoe.ES.AGR.AGR.LOW_ENTH.THERM.STEAM_DISTR</t>
  </si>
  <si>
    <t>FEC.ktoe.ktoe.ES.AGR.AGR.LOW_ENTH.THERM.ELEC</t>
  </si>
  <si>
    <t>FEC.ktoe.ktoe.ES.AGR.AGR.FARM_DRIVES.MECH.DIESEL_LIQBIO</t>
  </si>
  <si>
    <t>FEC.ktoe.ktoe.ES.AGR.AGR.HEAT_USE.THERM.SOLIDS</t>
  </si>
  <si>
    <t>FEC.ktoe.ktoe.ES.AGR.AGR.HEAT_USE.THERM.LPG</t>
  </si>
  <si>
    <t>FEC.ktoe.ktoe.ES.AGR.AGR.HEAT_USE.THERM.DIESEL_LIQBIO</t>
  </si>
  <si>
    <t>FEC.ktoe.ktoe.ES.AGR.AGR.HEAT_USE.THERM.RFO</t>
  </si>
  <si>
    <t>FEC.ktoe.ktoe.ES.AGR.AGR.HEAT_USE.THERM.NG_BIOGAS</t>
  </si>
  <si>
    <t>FEC.ktoe.ktoe.ES.AGR.AGR.HEAT_USE.THERM.BIOMASS_WASTE</t>
  </si>
  <si>
    <t>FEC.ktoe.ktoe.ES.AGR.AGR.HEAT_USE.THERM.SOLAR_GEO</t>
  </si>
  <si>
    <t>FEC.ktoe.ktoe.ES.AGR.AGR.FARM_PUMP.MECH.DIESEL_LIQBIO</t>
  </si>
  <si>
    <t>FEC.ktoe.ktoe.ES.AGR.AGR.FARM_PUMP_ELEC.MECH.ELEC</t>
  </si>
  <si>
    <t>FEC.ktoe.ktoe.ES.AGR.AGR.GENERIC.MECH.ELEC</t>
  </si>
  <si>
    <t>ES - Agriculture, forestry and fishing / useful energy demand</t>
  </si>
  <si>
    <t>UED.ktoe.ktoe.ES.AGR.AGR.LIGHT.GENERIC.ELEC</t>
  </si>
  <si>
    <t>UED.ktoe.ktoe.ES.AGR.AGR.FANS.GENERIC.ELEC</t>
  </si>
  <si>
    <t>UED.ktoe.ktoe.ES.AGR.AGR.MOTOR.GENERIC.ELEC</t>
  </si>
  <si>
    <t>UED.ktoe.ktoe.ES.AGR.AGR.LOW_ENTH.THERM.DIESEL_LIQBIO</t>
  </si>
  <si>
    <t>UED.ktoe.ktoe.ES.AGR.AGR.LOW_ENTH.THERM.NG_BIOGAS</t>
  </si>
  <si>
    <t>UED.ktoe.ktoe.ES.AGR.AGR.LOW_ENTH.THERM.SOLAR_GEO</t>
  </si>
  <si>
    <t>UED.ktoe.ktoe.ES.AGR.AGR.LOW_ENTH.HP.AMBIENT</t>
  </si>
  <si>
    <t>UED.ktoe.ktoe.ES.AGR.AGR.LOW_ENTH.THERM.STEAM_DISTR</t>
  </si>
  <si>
    <t>UED.ktoe.ktoe.ES.AGR.AGR.LOW_ENTH.THERM.ELEC</t>
  </si>
  <si>
    <t>UED.ktoe.ktoe.ES.AGR.AGR.FARM_DRIVES.MECH.DIESEL_LIQBIO</t>
  </si>
  <si>
    <t>UED.ktoe.ktoe.ES.AGR.AGR.HEAT_USE.THERM.SOLIDS</t>
  </si>
  <si>
    <t>UED.ktoe.ktoe.ES.AGR.AGR.HEAT_USE.THERM.LPG</t>
  </si>
  <si>
    <t>UED.ktoe.ktoe.ES.AGR.AGR.HEAT_USE.THERM.DIESEL_LIQBIO</t>
  </si>
  <si>
    <t>UED.ktoe.ktoe.ES.AGR.AGR.HEAT_USE.THERM.RFO</t>
  </si>
  <si>
    <t>UED.ktoe.ktoe.ES.AGR.AGR.HEAT_USE.THERM.NG_BIOGAS</t>
  </si>
  <si>
    <t>UED.ktoe.ktoe.ES.AGR.AGR.HEAT_USE.THERM.BIOMASS_WASTE</t>
  </si>
  <si>
    <t>UED.ktoe.ktoe.ES.AGR.AGR.HEAT_USE.THERM.SOLAR_GEO</t>
  </si>
  <si>
    <t>UED.ktoe.ktoe.ES.AGR.AGR.FARM_PUMP.MECH.DIESEL_LIQBIO</t>
  </si>
  <si>
    <t>UED.ktoe.ktoe.ES.AGR.AGR.FARM_PUMP_ELEC.MECH.ELEC</t>
  </si>
  <si>
    <t>UED.ktoe.ktoe.ES.AGR.AGR.GENERIC.MECH.ELEC</t>
  </si>
  <si>
    <t>ES - Agriculture, forestry and fishing / CO2 emissions</t>
  </si>
  <si>
    <t>FUEL_EMI.ktCO2.ktCO2.ES.AGR.AGR.LIGHT.GENERIC.ELEC</t>
  </si>
  <si>
    <t>FUEL_EMI.ktCO2.ktCO2.ES.AGR.AGR.FANS.GENERIC.ELEC</t>
  </si>
  <si>
    <t>FUEL_EMI.ktCO2.ktCO2.ES.AGR.AGR.MOTOR.GENERIC.ELEC</t>
  </si>
  <si>
    <t>FUEL_EMI.ktCO2.ktCO2.ES.AGR.AGR.LOW_ENTH.THERM.DIESEL_LIQBIO</t>
  </si>
  <si>
    <t>FUEL_EMI.ktCO2.ktCO2.ES.AGR.AGR.LOW_ENTH.THERM.NG_BIOGAS</t>
  </si>
  <si>
    <t>FUEL_EMI.ktCO2.ktCO2.ES.AGR.AGR.LOW_ENTH.THERM.SOLAR_GEO</t>
  </si>
  <si>
    <t>FUEL_EMI.ktCO2.ktCO2.ES.AGR.AGR.LOW_ENTH.HP.AMBIENT</t>
  </si>
  <si>
    <t>FUEL_EMI.ktCO2.ktCO2.ES.AGR.AGR.LOW_ENTH.THERM.STEAM_DISTR</t>
  </si>
  <si>
    <t>FUEL_EMI.ktCO2.ktCO2.ES.AGR.AGR.LOW_ENTH.THERM.ELEC</t>
  </si>
  <si>
    <t>FUEL_EMI.ktCO2.ktCO2.ES.AGR.AGR.FARM_DRIVES.MECH.DIESEL_LIQBIO</t>
  </si>
  <si>
    <t>FUEL_EMI.ktCO2.ktCO2.ES.AGR.AGR.HEAT_USE.THERM.SOLIDS</t>
  </si>
  <si>
    <t>FUEL_EMI.ktCO2.ktCO2.ES.AGR.AGR.HEAT_USE.THERM.LPG</t>
  </si>
  <si>
    <t>FUEL_EMI.ktCO2.ktCO2.ES.AGR.AGR.HEAT_USE.THERM.DIESEL_LIQBIO</t>
  </si>
  <si>
    <t>FUEL_EMI.ktCO2.ktCO2.ES.AGR.AGR.HEAT_USE.THERM.RFO</t>
  </si>
  <si>
    <t>FUEL_EMI.ktCO2.ktCO2.ES.AGR.AGR.HEAT_USE.THERM.NG_BIOGAS</t>
  </si>
  <si>
    <t>FUEL_EMI.ktCO2.ktCO2.ES.AGR.AGR.HEAT_USE.THERM.BIOMASS_WASTE</t>
  </si>
  <si>
    <t>FUEL_EMI.ktCO2.ktCO2.ES.AGR.AGR.HEAT_USE.THERM.SOLAR_GEO</t>
  </si>
  <si>
    <t>FUEL_EMI.ktCO2.ktCO2.ES.AGR.AGR.FARM_PUMP.MECH.DIESEL_LIQBIO</t>
  </si>
  <si>
    <t>FUEL_EMI.ktCO2.ktCO2.ES.AGR.AGR.FARM_PUMP_ELEC.MECH.ELEC</t>
  </si>
  <si>
    <t>FUEL_EMI.ktCO2.ktCO2.ES.AGR.AGR.GENERIC.MECH.ELEC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</si>
</sst>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3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1" fillId="2" borderId="0" xfId="5" applyFont="1" applyFill="1" applyBorder="1" applyAlignment="1">
      <alignment horizontal="left" vertical="center"/>
    </xf>
    <xf numFmtId="0" fontId="11" fillId="2" borderId="0" xfId="5" applyFont="1" applyFill="1" applyAlignment="1">
      <alignment horizontal="left" vertical="center"/>
    </xf>
    <xf numFmtId="3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2" xfId="5" applyNumberFormat="1" applyFont="1" applyFill="1" applyBorder="1" applyAlignment="1">
      <alignment vertical="center" shrinkToFit="1"/>
    </xf>
    <xf numFmtId="0" fontId="10" fillId="2" borderId="5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4" fillId="2" borderId="0" xfId="3" applyFont="1" applyFill="1"/>
    <xf numFmtId="0" fontId="14" fillId="2" borderId="0" xfId="3" applyFont="1" applyFill="1" applyAlignment="1">
      <alignment horizontal="left" indent="1"/>
    </xf>
    <xf numFmtId="0" fontId="14" fillId="2" borderId="0" xfId="3" applyFont="1" applyFill="1" applyAlignment="1">
      <alignment horizontal="left" indent="2"/>
    </xf>
    <xf numFmtId="1" fontId="16" fillId="3" borderId="2" xfId="5" applyNumberFormat="1" applyFont="1" applyFill="1" applyBorder="1" applyAlignment="1">
      <alignment horizontal="center" vertical="center"/>
    </xf>
    <xf numFmtId="0" fontId="15" fillId="3" borderId="2" xfId="5" applyFont="1" applyFill="1" applyBorder="1" applyAlignment="1">
      <alignment horizontal="left" vertical="center" wrapText="1"/>
    </xf>
    <xf numFmtId="172" fontId="10" fillId="2" borderId="0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horizontal="left" vertical="center"/>
    </xf>
    <xf numFmtId="0" fontId="11" fillId="2" borderId="2" xfId="5" applyNumberFormat="1" applyFont="1" applyFill="1" applyBorder="1" applyAlignment="1">
      <alignment vertical="center"/>
    </xf>
    <xf numFmtId="0" fontId="11" fillId="2" borderId="2" xfId="5" applyNumberFormat="1" applyFont="1" applyFill="1" applyBorder="1" applyAlignment="1">
      <alignment vertical="center" shrinkToFit="1"/>
    </xf>
    <xf numFmtId="0" fontId="16" fillId="2" borderId="5" xfId="5" applyFont="1" applyFill="1" applyBorder="1" applyAlignment="1">
      <alignment horizontal="left" vertical="center"/>
    </xf>
    <xf numFmtId="169" fontId="17" fillId="2" borderId="5" xfId="5" applyNumberFormat="1" applyFont="1" applyFill="1" applyBorder="1" applyAlignment="1">
      <alignment vertical="center"/>
    </xf>
    <xf numFmtId="0" fontId="16" fillId="2" borderId="0" xfId="5" applyFont="1" applyFill="1" applyBorder="1" applyAlignment="1">
      <alignment horizontal="left" vertical="center"/>
    </xf>
    <xf numFmtId="169" fontId="17" fillId="2" borderId="0" xfId="5" applyNumberFormat="1" applyFont="1" applyFill="1" applyBorder="1" applyAlignment="1">
      <alignment vertical="center"/>
    </xf>
    <xf numFmtId="0" fontId="16" fillId="2" borderId="1" xfId="5" applyFont="1" applyFill="1" applyBorder="1" applyAlignment="1">
      <alignment horizontal="left" vertical="center"/>
    </xf>
    <xf numFmtId="169" fontId="17" fillId="2" borderId="1" xfId="5" applyNumberFormat="1" applyFont="1" applyFill="1" applyBorder="1" applyAlignment="1">
      <alignment vertical="center"/>
    </xf>
    <xf numFmtId="0" fontId="16" fillId="2" borderId="3" xfId="5" applyFont="1" applyFill="1" applyBorder="1" applyAlignment="1">
      <alignment horizontal="left" vertical="center"/>
    </xf>
    <xf numFmtId="169" fontId="17" fillId="2" borderId="3" xfId="5" applyNumberFormat="1" applyFont="1" applyFill="1" applyBorder="1" applyAlignment="1">
      <alignment vertical="center"/>
    </xf>
    <xf numFmtId="173" fontId="17" fillId="2" borderId="0" xfId="5" applyNumberFormat="1" applyFont="1" applyFill="1" applyBorder="1" applyAlignment="1">
      <alignment vertical="center"/>
    </xf>
    <xf numFmtId="173" fontId="17" fillId="2" borderId="1" xfId="5" applyNumberFormat="1" applyFont="1" applyFill="1" applyBorder="1" applyAlignment="1">
      <alignment vertical="center"/>
    </xf>
    <xf numFmtId="172" fontId="17" fillId="2" borderId="5" xfId="5" applyNumberFormat="1" applyFont="1" applyFill="1" applyBorder="1" applyAlignment="1">
      <alignment vertical="center"/>
    </xf>
    <xf numFmtId="172" fontId="17" fillId="2" borderId="0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171" fontId="17" fillId="2" borderId="1" xfId="5" applyNumberFormat="1" applyFont="1" applyFill="1" applyBorder="1" applyAlignment="1">
      <alignment vertical="center"/>
    </xf>
    <xf numFmtId="0" fontId="15" fillId="4" borderId="2" xfId="5" applyNumberFormat="1" applyFont="1" applyFill="1" applyBorder="1" applyAlignment="1">
      <alignment horizontal="left" vertical="center"/>
    </xf>
    <xf numFmtId="0" fontId="19" fillId="4" borderId="2" xfId="5" applyNumberFormat="1" applyFont="1" applyFill="1" applyBorder="1" applyAlignment="1">
      <alignment vertical="center"/>
    </xf>
    <xf numFmtId="0" fontId="16" fillId="2" borderId="5" xfId="5" applyFont="1" applyFill="1" applyBorder="1" applyAlignment="1">
      <alignment horizontal="left" vertical="center" indent="1"/>
    </xf>
    <xf numFmtId="0" fontId="16" fillId="2" borderId="0" xfId="5" applyFont="1" applyFill="1" applyBorder="1" applyAlignment="1">
      <alignment horizontal="left" vertical="center" indent="1"/>
    </xf>
    <xf numFmtId="0" fontId="16" fillId="2" borderId="1" xfId="5" applyFont="1" applyFill="1" applyBorder="1" applyAlignment="1">
      <alignment horizontal="left" vertical="center" indent="1"/>
    </xf>
    <xf numFmtId="165" fontId="17" fillId="2" borderId="1" xfId="5" applyNumberFormat="1" applyFont="1" applyFill="1" applyBorder="1" applyAlignment="1">
      <alignment vertical="center"/>
    </xf>
    <xf numFmtId="165" fontId="17" fillId="2" borderId="5" xfId="5" applyNumberFormat="1" applyFont="1" applyFill="1" applyBorder="1" applyAlignment="1">
      <alignment vertical="center"/>
    </xf>
    <xf numFmtId="165" fontId="17" fillId="2" borderId="0" xfId="5" applyNumberFormat="1" applyFont="1" applyFill="1" applyBorder="1" applyAlignment="1">
      <alignment vertical="center"/>
    </xf>
    <xf numFmtId="166" fontId="17" fillId="2" borderId="0" xfId="5" applyNumberFormat="1" applyFont="1" applyFill="1" applyBorder="1" applyAlignment="1">
      <alignment vertical="center"/>
    </xf>
    <xf numFmtId="167" fontId="17" fillId="2" borderId="1" xfId="5" applyNumberFormat="1" applyFont="1" applyFill="1" applyBorder="1" applyAlignment="1">
      <alignment vertical="center"/>
    </xf>
    <xf numFmtId="170" fontId="17" fillId="2" borderId="1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2"/>
    </xf>
    <xf numFmtId="166" fontId="17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 indent="2"/>
    </xf>
    <xf numFmtId="0" fontId="17" fillId="2" borderId="0" xfId="5" applyFont="1" applyFill="1" applyBorder="1" applyAlignment="1">
      <alignment horizontal="left" vertical="center" indent="3"/>
    </xf>
    <xf numFmtId="0" fontId="17" fillId="2" borderId="1" xfId="5" applyFont="1" applyFill="1" applyBorder="1" applyAlignment="1">
      <alignment horizontal="left" vertical="center" indent="2"/>
    </xf>
    <xf numFmtId="166" fontId="17" fillId="2" borderId="1" xfId="5" applyNumberFormat="1" applyFont="1" applyFill="1" applyBorder="1" applyAlignment="1">
      <alignment vertical="center"/>
    </xf>
    <xf numFmtId="166" fontId="17" fillId="2" borderId="4" xfId="1" applyNumberFormat="1" applyFont="1" applyFill="1" applyBorder="1" applyAlignment="1">
      <alignment vertical="center"/>
    </xf>
    <xf numFmtId="166" fontId="17" fillId="2" borderId="0" xfId="1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 indent="3"/>
    </xf>
    <xf numFmtId="166" fontId="17" fillId="2" borderId="3" xfId="1" applyNumberFormat="1" applyFont="1" applyFill="1" applyBorder="1" applyAlignment="1">
      <alignment vertical="center"/>
    </xf>
    <xf numFmtId="166" fontId="17" fillId="2" borderId="1" xfId="1" applyNumberFormat="1" applyFont="1" applyFill="1" applyBorder="1" applyAlignment="1">
      <alignment vertical="center"/>
    </xf>
    <xf numFmtId="0" fontId="18" fillId="2" borderId="2" xfId="5" applyFont="1" applyFill="1" applyBorder="1" applyAlignment="1">
      <alignment horizontal="left" vertical="center" indent="2"/>
    </xf>
    <xf numFmtId="168" fontId="17" fillId="2" borderId="2" xfId="5" applyNumberFormat="1" applyFont="1" applyFill="1" applyBorder="1" applyAlignment="1">
      <alignment vertical="center"/>
    </xf>
    <xf numFmtId="168" fontId="17" fillId="2" borderId="5" xfId="5" applyNumberFormat="1" applyFont="1" applyFill="1" applyBorder="1" applyAlignment="1">
      <alignment vertical="center"/>
    </xf>
    <xf numFmtId="168" fontId="17" fillId="2" borderId="0" xfId="5" applyNumberFormat="1" applyFont="1" applyFill="1" applyBorder="1" applyAlignment="1">
      <alignment vertical="center"/>
    </xf>
    <xf numFmtId="168" fontId="17" fillId="2" borderId="1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 indent="3"/>
    </xf>
    <xf numFmtId="167" fontId="17" fillId="2" borderId="5" xfId="5" applyNumberFormat="1" applyFont="1" applyFill="1" applyBorder="1" applyAlignment="1">
      <alignment vertical="center"/>
    </xf>
    <xf numFmtId="167" fontId="17" fillId="2" borderId="0" xfId="5" applyNumberFormat="1" applyFont="1" applyFill="1" applyBorder="1" applyAlignment="1">
      <alignment vertical="center"/>
    </xf>
    <xf numFmtId="0" fontId="18" fillId="2" borderId="4" xfId="5" applyFont="1" applyFill="1" applyBorder="1" applyAlignment="1">
      <alignment horizontal="left" vertical="center" indent="2"/>
    </xf>
    <xf numFmtId="0" fontId="18" fillId="2" borderId="1" xfId="5" applyFont="1" applyFill="1" applyBorder="1" applyAlignment="1">
      <alignment horizontal="left" vertical="center" indent="2"/>
    </xf>
    <xf numFmtId="0" fontId="20" fillId="5" borderId="2" xfId="5" applyFont="1" applyFill="1" applyBorder="1" applyAlignment="1">
      <alignment horizontal="left" vertical="center" indent="1"/>
    </xf>
    <xf numFmtId="166" fontId="21" fillId="5" borderId="2" xfId="5" applyNumberFormat="1" applyFont="1" applyFill="1" applyBorder="1" applyAlignment="1">
      <alignment vertical="center"/>
    </xf>
    <xf numFmtId="0" fontId="20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68" fontId="22" fillId="5" borderId="2" xfId="2" applyNumberFormat="1" applyFont="1" applyFill="1" applyBorder="1" applyAlignment="1">
      <alignment vertical="center"/>
    </xf>
    <xf numFmtId="0" fontId="20" fillId="5" borderId="4" xfId="5" applyFont="1" applyFill="1" applyBorder="1" applyAlignment="1">
      <alignment horizontal="left" vertical="center" indent="1"/>
    </xf>
    <xf numFmtId="166" fontId="21" fillId="5" borderId="4" xfId="5" applyNumberFormat="1" applyFont="1" applyFill="1" applyBorder="1" applyAlignment="1">
      <alignment vertical="center"/>
    </xf>
    <xf numFmtId="167" fontId="22" fillId="5" borderId="2" xfId="1" applyNumberFormat="1" applyFont="1" applyFill="1" applyBorder="1" applyAlignment="1">
      <alignment vertical="center"/>
    </xf>
    <xf numFmtId="1" fontId="16" fillId="3" borderId="2" xfId="5" applyNumberFormat="1" applyFont="1" applyFill="1" applyBorder="1" applyAlignment="1">
      <alignment horizontal="center" vertical="center" shrinkToFit="1"/>
    </xf>
    <xf numFmtId="169" fontId="17" fillId="2" borderId="5" xfId="5" applyNumberFormat="1" applyFont="1" applyFill="1" applyBorder="1" applyAlignment="1">
      <alignment vertical="center" shrinkToFit="1"/>
    </xf>
    <xf numFmtId="169" fontId="17" fillId="2" borderId="0" xfId="5" applyNumberFormat="1" applyFont="1" applyFill="1" applyBorder="1" applyAlignment="1">
      <alignment vertical="center" shrinkToFit="1"/>
    </xf>
    <xf numFmtId="169" fontId="17" fillId="2" borderId="1" xfId="5" applyNumberFormat="1" applyFont="1" applyFill="1" applyBorder="1" applyAlignment="1">
      <alignment vertical="center" shrinkToFit="1"/>
    </xf>
    <xf numFmtId="169" fontId="17" fillId="2" borderId="3" xfId="5" applyNumberFormat="1" applyFont="1" applyFill="1" applyBorder="1" applyAlignment="1">
      <alignment vertical="center" shrinkToFit="1"/>
    </xf>
    <xf numFmtId="173" fontId="17" fillId="2" borderId="0" xfId="5" applyNumberFormat="1" applyFont="1" applyFill="1" applyBorder="1" applyAlignment="1">
      <alignment vertical="center" shrinkToFit="1"/>
    </xf>
    <xf numFmtId="173" fontId="17" fillId="2" borderId="1" xfId="5" applyNumberFormat="1" applyFont="1" applyFill="1" applyBorder="1" applyAlignment="1">
      <alignment vertical="center" shrinkToFit="1"/>
    </xf>
    <xf numFmtId="172" fontId="17" fillId="2" borderId="5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Border="1" applyAlignment="1">
      <alignment vertical="center" shrinkToFit="1"/>
    </xf>
    <xf numFmtId="171" fontId="17" fillId="2" borderId="1" xfId="5" applyNumberFormat="1" applyFont="1" applyFill="1" applyBorder="1" applyAlignment="1">
      <alignment vertical="center" shrinkToFit="1"/>
    </xf>
    <xf numFmtId="0" fontId="19" fillId="4" borderId="2" xfId="5" applyNumberFormat="1" applyFont="1" applyFill="1" applyBorder="1" applyAlignment="1">
      <alignment vertical="center" shrinkToFit="1"/>
    </xf>
    <xf numFmtId="165" fontId="17" fillId="2" borderId="1" xfId="5" applyNumberFormat="1" applyFont="1" applyFill="1" applyBorder="1" applyAlignment="1">
      <alignment vertical="center" shrinkToFit="1"/>
    </xf>
    <xf numFmtId="165" fontId="17" fillId="2" borderId="5" xfId="5" applyNumberFormat="1" applyFont="1" applyFill="1" applyBorder="1" applyAlignment="1">
      <alignment vertical="center" shrinkToFit="1"/>
    </xf>
    <xf numFmtId="165" fontId="17" fillId="2" borderId="0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Border="1" applyAlignment="1">
      <alignment vertical="center" shrinkToFit="1"/>
    </xf>
    <xf numFmtId="170" fontId="17" fillId="2" borderId="1" xfId="5" applyNumberFormat="1" applyFont="1" applyFill="1" applyBorder="1" applyAlignment="1">
      <alignment vertical="center" shrinkToFit="1"/>
    </xf>
    <xf numFmtId="166" fontId="21" fillId="5" borderId="2" xfId="5" applyNumberFormat="1" applyFont="1" applyFill="1" applyBorder="1" applyAlignment="1">
      <alignment vertical="center" shrinkToFit="1"/>
    </xf>
    <xf numFmtId="166" fontId="17" fillId="2" borderId="5" xfId="5" applyNumberFormat="1" applyFont="1" applyFill="1" applyBorder="1" applyAlignment="1">
      <alignment vertical="center" shrinkToFit="1"/>
    </xf>
    <xf numFmtId="166" fontId="17" fillId="2" borderId="1" xfId="5" applyNumberFormat="1" applyFont="1" applyFill="1" applyBorder="1" applyAlignment="1">
      <alignment vertical="center" shrinkToFit="1"/>
    </xf>
    <xf numFmtId="166" fontId="10" fillId="2" borderId="0" xfId="5" applyNumberFormat="1" applyFont="1" applyFill="1" applyAlignment="1">
      <alignment vertical="center" shrinkToFit="1"/>
    </xf>
    <xf numFmtId="166" fontId="21" fillId="5" borderId="5" xfId="5" applyNumberFormat="1" applyFont="1" applyFill="1" applyBorder="1" applyAlignment="1">
      <alignment vertical="center" shrinkToFit="1"/>
    </xf>
    <xf numFmtId="166" fontId="17" fillId="2" borderId="4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Border="1" applyAlignment="1">
      <alignment vertical="center" shrinkToFit="1"/>
    </xf>
    <xf numFmtId="166" fontId="17" fillId="2" borderId="3" xfId="1" applyNumberFormat="1" applyFont="1" applyFill="1" applyBorder="1" applyAlignment="1">
      <alignment vertical="center" shrinkToFit="1"/>
    </xf>
    <xf numFmtId="166" fontId="17" fillId="2" borderId="1" xfId="1" applyNumberFormat="1" applyFont="1" applyFill="1" applyBorder="1" applyAlignment="1">
      <alignment vertical="center" shrinkToFit="1"/>
    </xf>
    <xf numFmtId="168" fontId="22" fillId="5" borderId="2" xfId="2" applyNumberFormat="1" applyFont="1" applyFill="1" applyBorder="1" applyAlignment="1">
      <alignment vertical="center" shrinkToFit="1"/>
    </xf>
    <xf numFmtId="168" fontId="17" fillId="2" borderId="2" xfId="5" applyNumberFormat="1" applyFont="1" applyFill="1" applyBorder="1" applyAlignment="1">
      <alignment vertical="center" shrinkToFit="1"/>
    </xf>
    <xf numFmtId="168" fontId="17" fillId="2" borderId="5" xfId="5" applyNumberFormat="1" applyFont="1" applyFill="1" applyBorder="1" applyAlignment="1">
      <alignment vertical="center" shrinkToFit="1"/>
    </xf>
    <xf numFmtId="168" fontId="17" fillId="2" borderId="0" xfId="5" applyNumberFormat="1" applyFont="1" applyFill="1" applyBorder="1" applyAlignment="1">
      <alignment vertical="center" shrinkToFit="1"/>
    </xf>
    <xf numFmtId="168" fontId="17" fillId="2" borderId="1" xfId="5" applyNumberFormat="1" applyFont="1" applyFill="1" applyBorder="1" applyAlignment="1">
      <alignment vertical="center" shrinkToFit="1"/>
    </xf>
    <xf numFmtId="166" fontId="21" fillId="5" borderId="4" xfId="5" applyNumberFormat="1" applyFont="1" applyFill="1" applyBorder="1" applyAlignment="1">
      <alignment vertical="center" shrinkToFit="1"/>
    </xf>
    <xf numFmtId="0" fontId="10" fillId="2" borderId="0" xfId="5" applyFont="1" applyFill="1" applyAlignment="1">
      <alignment vertical="center" shrinkToFit="1"/>
    </xf>
    <xf numFmtId="167" fontId="22" fillId="5" borderId="2" xfId="1" applyNumberFormat="1" applyFont="1" applyFill="1" applyBorder="1" applyAlignment="1">
      <alignment vertical="center" shrinkToFit="1"/>
    </xf>
    <xf numFmtId="167" fontId="17" fillId="2" borderId="5" xfId="5" applyNumberFormat="1" applyFont="1" applyFill="1" applyBorder="1" applyAlignment="1">
      <alignment vertical="center" shrinkToFit="1"/>
    </xf>
    <xf numFmtId="167" fontId="17" fillId="2" borderId="0" xfId="5" applyNumberFormat="1" applyFont="1" applyFill="1" applyBorder="1" applyAlignment="1">
      <alignment vertical="center" shrinkToFit="1"/>
    </xf>
    <xf numFmtId="167" fontId="17" fillId="2" borderId="1" xfId="5" applyNumberFormat="1" applyFont="1" applyFill="1" applyBorder="1" applyAlignment="1">
      <alignment vertical="center" shrinkToFit="1"/>
    </xf>
    <xf numFmtId="0" fontId="24" fillId="6" borderId="2" xfId="5" applyFont="1" applyFill="1" applyBorder="1" applyAlignment="1">
      <alignment horizontal="left" vertical="center"/>
    </xf>
    <xf numFmtId="169" fontId="22" fillId="6" borderId="2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/>
    </xf>
    <xf numFmtId="165" fontId="22" fillId="6" borderId="2" xfId="1" applyNumberFormat="1" applyFont="1" applyFill="1" applyBorder="1" applyAlignment="1">
      <alignment vertical="center"/>
    </xf>
    <xf numFmtId="0" fontId="25" fillId="2" borderId="0" xfId="5" applyFont="1" applyFill="1" applyBorder="1" applyAlignment="1">
      <alignment horizontal="left" vertical="center" indent="2"/>
    </xf>
    <xf numFmtId="0" fontId="25" fillId="2" borderId="7" xfId="5" applyFont="1" applyFill="1" applyBorder="1" applyAlignment="1">
      <alignment horizontal="left" vertical="center" indent="2"/>
    </xf>
    <xf numFmtId="0" fontId="16" fillId="5" borderId="2" xfId="5" applyFont="1" applyFill="1" applyBorder="1" applyAlignment="1">
      <alignment horizontal="left" vertical="center" indent="1"/>
    </xf>
    <xf numFmtId="166" fontId="17" fillId="5" borderId="2" xfId="1" applyNumberFormat="1" applyFont="1" applyFill="1" applyBorder="1" applyAlignment="1">
      <alignment vertical="center"/>
    </xf>
    <xf numFmtId="0" fontId="17" fillId="2" borderId="0" xfId="5" applyFont="1" applyFill="1" applyAlignment="1">
      <alignment horizontal="left" vertical="center" indent="2"/>
    </xf>
    <xf numFmtId="166" fontId="17" fillId="2" borderId="0" xfId="1" applyNumberFormat="1" applyFont="1" applyFill="1" applyAlignment="1">
      <alignment vertical="center"/>
    </xf>
    <xf numFmtId="0" fontId="17" fillId="2" borderId="7" xfId="5" applyFont="1" applyFill="1" applyBorder="1" applyAlignment="1">
      <alignment horizontal="left" vertical="center" indent="2"/>
    </xf>
    <xf numFmtId="166" fontId="17" fillId="2" borderId="7" xfId="1" applyNumberFormat="1" applyFont="1" applyFill="1" applyBorder="1" applyAlignment="1">
      <alignment vertical="center"/>
    </xf>
    <xf numFmtId="165" fontId="17" fillId="5" borderId="2" xfId="1" applyNumberFormat="1" applyFont="1" applyFill="1" applyBorder="1" applyAlignment="1">
      <alignment vertical="center"/>
    </xf>
    <xf numFmtId="165" fontId="17" fillId="2" borderId="0" xfId="1" applyNumberFormat="1" applyFont="1" applyFill="1" applyAlignment="1">
      <alignment vertical="center"/>
    </xf>
    <xf numFmtId="165" fontId="17" fillId="2" borderId="0" xfId="1" applyNumberFormat="1" applyFont="1" applyFill="1" applyBorder="1" applyAlignment="1">
      <alignment vertical="center"/>
    </xf>
    <xf numFmtId="165" fontId="17" fillId="2" borderId="7" xfId="1" applyNumberFormat="1" applyFont="1" applyFill="1" applyBorder="1" applyAlignment="1">
      <alignment vertical="center"/>
    </xf>
    <xf numFmtId="169" fontId="17" fillId="5" borderId="2" xfId="1" applyNumberFormat="1" applyFont="1" applyFill="1" applyBorder="1" applyAlignment="1">
      <alignment vertical="center"/>
    </xf>
    <xf numFmtId="169" fontId="17" fillId="2" borderId="0" xfId="1" applyNumberFormat="1" applyFont="1" applyFill="1" applyAlignment="1">
      <alignment vertical="center"/>
    </xf>
    <xf numFmtId="169" fontId="17" fillId="2" borderId="0" xfId="1" applyNumberFormat="1" applyFont="1" applyFill="1" applyBorder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9" fontId="18" fillId="2" borderId="7" xfId="1" applyNumberFormat="1" applyFont="1" applyFill="1" applyBorder="1" applyAlignment="1">
      <alignment vertical="center"/>
    </xf>
    <xf numFmtId="0" fontId="18" fillId="2" borderId="6" xfId="5" applyFont="1" applyFill="1" applyBorder="1" applyAlignment="1">
      <alignment horizontal="left" vertical="center" indent="2"/>
    </xf>
    <xf numFmtId="166" fontId="18" fillId="2" borderId="6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166" fontId="17" fillId="2" borderId="6" xfId="1" applyNumberFormat="1" applyFont="1" applyFill="1" applyBorder="1" applyAlignment="1">
      <alignment vertical="center"/>
    </xf>
    <xf numFmtId="165" fontId="17" fillId="2" borderId="6" xfId="1" applyNumberFormat="1" applyFont="1" applyFill="1" applyBorder="1" applyAlignment="1">
      <alignment vertical="center"/>
    </xf>
    <xf numFmtId="165" fontId="17" fillId="2" borderId="1" xfId="1" applyNumberFormat="1" applyFont="1" applyFill="1" applyBorder="1" applyAlignment="1">
      <alignment vertical="center"/>
    </xf>
    <xf numFmtId="169" fontId="18" fillId="2" borderId="6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9" fontId="17" fillId="2" borderId="1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 shrinkToFit="1"/>
    </xf>
    <xf numFmtId="166" fontId="17" fillId="5" borderId="2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Alignment="1">
      <alignment vertical="center" shrinkToFit="1"/>
    </xf>
    <xf numFmtId="166" fontId="17" fillId="2" borderId="7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6" fontId="17" fillId="2" borderId="6" xfId="1" applyNumberFormat="1" applyFont="1" applyFill="1" applyBorder="1" applyAlignment="1">
      <alignment vertical="center" shrinkToFit="1"/>
    </xf>
    <xf numFmtId="165" fontId="22" fillId="6" borderId="2" xfId="1" applyNumberFormat="1" applyFont="1" applyFill="1" applyBorder="1" applyAlignment="1">
      <alignment vertical="center" shrinkToFit="1"/>
    </xf>
    <xf numFmtId="165" fontId="17" fillId="5" borderId="2" xfId="1" applyNumberFormat="1" applyFont="1" applyFill="1" applyBorder="1" applyAlignment="1">
      <alignment vertical="center" shrinkToFit="1"/>
    </xf>
    <xf numFmtId="165" fontId="17" fillId="2" borderId="0" xfId="1" applyNumberFormat="1" applyFont="1" applyFill="1" applyAlignment="1">
      <alignment vertical="center" shrinkToFit="1"/>
    </xf>
    <xf numFmtId="165" fontId="17" fillId="2" borderId="0" xfId="1" applyNumberFormat="1" applyFont="1" applyFill="1" applyBorder="1" applyAlignment="1">
      <alignment vertical="center" shrinkToFit="1"/>
    </xf>
    <xf numFmtId="165" fontId="17" fillId="2" borderId="7" xfId="1" applyNumberFormat="1" applyFont="1" applyFill="1" applyBorder="1" applyAlignment="1">
      <alignment vertical="center" shrinkToFit="1"/>
    </xf>
    <xf numFmtId="165" fontId="17" fillId="2" borderId="6" xfId="1" applyNumberFormat="1" applyFont="1" applyFill="1" applyBorder="1" applyAlignment="1">
      <alignment vertical="center" shrinkToFit="1"/>
    </xf>
    <xf numFmtId="165" fontId="17" fillId="2" borderId="1" xfId="1" applyNumberFormat="1" applyFont="1" applyFill="1" applyBorder="1" applyAlignment="1">
      <alignment vertical="center" shrinkToFit="1"/>
    </xf>
    <xf numFmtId="169" fontId="22" fillId="6" borderId="2" xfId="1" applyNumberFormat="1" applyFont="1" applyFill="1" applyBorder="1" applyAlignment="1">
      <alignment vertical="center" shrinkToFit="1"/>
    </xf>
    <xf numFmtId="169" fontId="17" fillId="5" borderId="2" xfId="1" applyNumberFormat="1" applyFont="1" applyFill="1" applyBorder="1" applyAlignment="1">
      <alignment vertical="center" shrinkToFit="1"/>
    </xf>
    <xf numFmtId="169" fontId="17" fillId="2" borderId="0" xfId="1" applyNumberFormat="1" applyFont="1" applyFill="1" applyAlignment="1">
      <alignment vertical="center" shrinkToFit="1"/>
    </xf>
    <xf numFmtId="169" fontId="17" fillId="2" borderId="0" xfId="1" applyNumberFormat="1" applyFont="1" applyFill="1" applyBorder="1" applyAlignment="1">
      <alignment vertical="center" shrinkToFit="1"/>
    </xf>
    <xf numFmtId="169" fontId="18" fillId="2" borderId="7" xfId="1" applyNumberFormat="1" applyFont="1" applyFill="1" applyBorder="1" applyAlignment="1">
      <alignment vertical="center" shrinkToFit="1"/>
    </xf>
    <xf numFmtId="169" fontId="18" fillId="2" borderId="6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9" fontId="17" fillId="2" borderId="1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/>
    </xf>
    <xf numFmtId="0" fontId="15" fillId="6" borderId="2" xfId="5" applyFont="1" applyFill="1" applyBorder="1" applyAlignment="1">
      <alignment horizontal="left" vertical="center"/>
    </xf>
    <xf numFmtId="166" fontId="16" fillId="6" borderId="2" xfId="5" applyNumberFormat="1" applyFont="1" applyFill="1" applyBorder="1" applyAlignment="1">
      <alignment vertical="center"/>
    </xf>
    <xf numFmtId="166" fontId="17" fillId="2" borderId="0" xfId="5" applyNumberFormat="1" applyFont="1" applyFill="1" applyAlignment="1">
      <alignment vertical="center"/>
    </xf>
    <xf numFmtId="169" fontId="17" fillId="2" borderId="0" xfId="5" applyNumberFormat="1" applyFont="1" applyFill="1" applyAlignment="1">
      <alignment vertical="center"/>
    </xf>
    <xf numFmtId="173" fontId="17" fillId="2" borderId="0" xfId="5" applyNumberFormat="1" applyFont="1" applyFill="1" applyAlignment="1">
      <alignment vertical="center"/>
    </xf>
    <xf numFmtId="172" fontId="16" fillId="6" borderId="2" xfId="5" applyNumberFormat="1" applyFont="1" applyFill="1" applyBorder="1" applyAlignment="1">
      <alignment vertical="center"/>
    </xf>
    <xf numFmtId="172" fontId="17" fillId="2" borderId="0" xfId="5" applyNumberFormat="1" applyFont="1" applyFill="1" applyAlignment="1">
      <alignment vertical="center"/>
    </xf>
    <xf numFmtId="172" fontId="17" fillId="2" borderId="1" xfId="5" applyNumberFormat="1" applyFont="1" applyFill="1" applyBorder="1" applyAlignment="1">
      <alignment vertical="center"/>
    </xf>
    <xf numFmtId="165" fontId="16" fillId="6" borderId="2" xfId="2" applyNumberFormat="1" applyFont="1" applyFill="1" applyBorder="1" applyAlignment="1">
      <alignment vertical="center"/>
    </xf>
    <xf numFmtId="165" fontId="17" fillId="2" borderId="0" xfId="5" applyNumberFormat="1" applyFont="1" applyFill="1" applyAlignment="1">
      <alignment vertical="center"/>
    </xf>
    <xf numFmtId="166" fontId="16" fillId="6" borderId="2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Alignment="1">
      <alignment vertical="center" shrinkToFit="1"/>
    </xf>
    <xf numFmtId="169" fontId="17" fillId="2" borderId="0" xfId="5" applyNumberFormat="1" applyFont="1" applyFill="1" applyAlignment="1">
      <alignment vertical="center" shrinkToFit="1"/>
    </xf>
    <xf numFmtId="173" fontId="17" fillId="2" borderId="0" xfId="5" applyNumberFormat="1" applyFont="1" applyFill="1" applyAlignment="1">
      <alignment vertical="center" shrinkToFit="1"/>
    </xf>
    <xf numFmtId="172" fontId="16" fillId="6" borderId="2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Alignment="1">
      <alignment vertical="center" shrinkToFit="1"/>
    </xf>
    <xf numFmtId="172" fontId="17" fillId="2" borderId="1" xfId="5" applyNumberFormat="1" applyFont="1" applyFill="1" applyBorder="1" applyAlignment="1">
      <alignment vertical="center" shrinkToFit="1"/>
    </xf>
    <xf numFmtId="165" fontId="16" fillId="6" borderId="2" xfId="2" applyNumberFormat="1" applyFont="1" applyFill="1" applyBorder="1" applyAlignment="1">
      <alignment vertical="center" shrinkToFit="1"/>
    </xf>
    <xf numFmtId="165" fontId="17" fillId="2" borderId="0" xfId="5" applyNumberFormat="1" applyFont="1" applyFill="1" applyAlignment="1">
      <alignment vertical="center" shrinkToFit="1"/>
    </xf>
    <xf numFmtId="0" fontId="23" fillId="2" borderId="2" xfId="5" applyFont="1" applyFill="1" applyBorder="1" applyAlignment="1">
      <alignment horizontal="left" vertical="center"/>
    </xf>
    <xf numFmtId="166" fontId="17" fillId="2" borderId="2" xfId="5" applyNumberFormat="1" applyFont="1" applyFill="1" applyBorder="1" applyAlignment="1">
      <alignment vertical="center"/>
    </xf>
    <xf numFmtId="0" fontId="23" fillId="2" borderId="5" xfId="5" applyFont="1" applyFill="1" applyBorder="1" applyAlignment="1">
      <alignment horizontal="left" vertical="center"/>
    </xf>
    <xf numFmtId="0" fontId="23" fillId="2" borderId="7" xfId="5" applyFont="1" applyFill="1" applyBorder="1" applyAlignment="1">
      <alignment horizontal="left" vertical="center"/>
    </xf>
    <xf numFmtId="165" fontId="17" fillId="2" borderId="7" xfId="5" applyNumberFormat="1" applyFont="1" applyFill="1" applyBorder="1" applyAlignment="1">
      <alignment vertical="center"/>
    </xf>
    <xf numFmtId="0" fontId="23" fillId="2" borderId="0" xfId="5" applyFont="1" applyFill="1" applyBorder="1" applyAlignment="1">
      <alignment horizontal="left" vertical="center"/>
    </xf>
    <xf numFmtId="0" fontId="23" fillId="2" borderId="1" xfId="5" applyFont="1" applyFill="1" applyBorder="1" applyAlignment="1">
      <alignment horizontal="left" vertical="center"/>
    </xf>
    <xf numFmtId="172" fontId="17" fillId="2" borderId="2" xfId="5" applyNumberFormat="1" applyFont="1" applyFill="1" applyBorder="1" applyAlignment="1">
      <alignment vertical="center"/>
    </xf>
    <xf numFmtId="166" fontId="17" fillId="2" borderId="2" xfId="5" applyNumberFormat="1" applyFont="1" applyFill="1" applyBorder="1" applyAlignment="1">
      <alignment vertical="center" shrinkToFit="1"/>
    </xf>
    <xf numFmtId="165" fontId="17" fillId="2" borderId="7" xfId="5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 shrinkToFit="1"/>
    </xf>
    <xf numFmtId="172" fontId="17" fillId="2" borderId="2" xfId="5" applyNumberFormat="1" applyFont="1" applyFill="1" applyBorder="1" applyAlignment="1">
      <alignment vertical="center" shrinkToFit="1"/>
    </xf>
    <xf numFmtId="172" fontId="10" fillId="2" borderId="0" xfId="5" applyNumberFormat="1" applyFont="1" applyFill="1" applyBorder="1" applyAlignment="1">
      <alignment vertical="center" shrinkToFit="1"/>
    </xf>
    <xf numFmtId="0" fontId="13" fillId="2" borderId="2" xfId="5" applyNumberFormat="1" applyFont="1" applyFill="1" applyBorder="1" applyAlignment="1">
      <alignment vertical="center" shrinkToFit="1"/>
    </xf>
    <xf numFmtId="0" fontId="13" fillId="2" borderId="5" xfId="5" applyNumberFormat="1" applyFont="1" applyFill="1" applyBorder="1" applyAlignment="1">
      <alignment vertical="center" shrinkToFit="1"/>
    </xf>
    <xf numFmtId="0" fontId="13" fillId="2" borderId="6" xfId="5" applyNumberFormat="1" applyFont="1" applyFill="1" applyBorder="1" applyAlignment="1">
      <alignment vertical="center" shrinkToFit="1"/>
    </xf>
    <xf numFmtId="0" fontId="13" fillId="2" borderId="3" xfId="5" applyNumberFormat="1" applyFont="1" applyFill="1" applyBorder="1" applyAlignment="1">
      <alignment vertical="center" shrinkToFit="1"/>
    </xf>
    <xf numFmtId="0" fontId="13" fillId="2" borderId="1" xfId="5" applyNumberFormat="1" applyFont="1" applyFill="1" applyBorder="1" applyAlignment="1">
      <alignment vertical="center" shrinkToFit="1"/>
    </xf>
    <xf numFmtId="175" fontId="10" fillId="2" borderId="0" xfId="5" applyNumberFormat="1" applyFont="1" applyFill="1" applyAlignment="1">
      <alignment vertical="center"/>
    </xf>
    <xf numFmtId="0" fontId="13" fillId="2" borderId="0" xfId="5" applyNumberFormat="1" applyFont="1" applyFill="1" applyBorder="1" applyAlignment="1">
      <alignment vertical="center" shrinkToFit="1"/>
    </xf>
    <xf numFmtId="174" fontId="17" fillId="2" borderId="1" xfId="5" applyNumberFormat="1" applyFont="1" applyFill="1" applyBorder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0" fontId="16" fillId="6" borderId="5" xfId="5" applyFont="1" applyFill="1" applyBorder="1" applyAlignment="1">
      <alignment horizontal="left" vertical="center"/>
    </xf>
    <xf numFmtId="166" fontId="17" fillId="6" borderId="5" xfId="5" applyNumberFormat="1" applyFont="1" applyFill="1" applyBorder="1" applyAlignment="1">
      <alignment vertical="center"/>
    </xf>
    <xf numFmtId="0" fontId="16" fillId="6" borderId="1" xfId="5" applyFont="1" applyFill="1" applyBorder="1" applyAlignment="1">
      <alignment horizontal="left" vertical="center"/>
    </xf>
    <xf numFmtId="166" fontId="17" fillId="6" borderId="1" xfId="5" applyNumberFormat="1" applyFont="1" applyFill="1" applyBorder="1" applyAlignment="1">
      <alignment vertical="center"/>
    </xf>
    <xf numFmtId="0" fontId="16" fillId="5" borderId="6" xfId="5" applyFont="1" applyFill="1" applyBorder="1" applyAlignment="1">
      <alignment horizontal="left" vertical="center" indent="1"/>
    </xf>
    <xf numFmtId="166" fontId="17" fillId="5" borderId="6" xfId="5" applyNumberFormat="1" applyFont="1" applyFill="1" applyBorder="1" applyAlignment="1">
      <alignment vertical="center"/>
    </xf>
    <xf numFmtId="0" fontId="16" fillId="5" borderId="3" xfId="5" applyFont="1" applyFill="1" applyBorder="1" applyAlignment="1">
      <alignment horizontal="left" vertical="center" indent="1"/>
    </xf>
    <xf numFmtId="166" fontId="17" fillId="5" borderId="3" xfId="5" applyNumberFormat="1" applyFont="1" applyFill="1" applyBorder="1" applyAlignment="1">
      <alignment vertical="center"/>
    </xf>
    <xf numFmtId="0" fontId="18" fillId="5" borderId="2" xfId="5" applyFont="1" applyFill="1" applyBorder="1" applyAlignment="1">
      <alignment horizontal="left" vertical="center" indent="1"/>
    </xf>
    <xf numFmtId="166" fontId="17" fillId="5" borderId="2" xfId="5" applyNumberFormat="1" applyFont="1" applyFill="1" applyBorder="1" applyAlignment="1">
      <alignment vertical="center"/>
    </xf>
    <xf numFmtId="3" fontId="17" fillId="6" borderId="2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/>
    </xf>
    <xf numFmtId="0" fontId="15" fillId="6" borderId="2" xfId="5" applyNumberFormat="1" applyFont="1" applyFill="1" applyBorder="1" applyAlignment="1">
      <alignment horizontal="left" vertical="center"/>
    </xf>
    <xf numFmtId="0" fontId="24" fillId="5" borderId="2" xfId="5" applyFont="1" applyFill="1" applyBorder="1" applyAlignment="1">
      <alignment horizontal="left" vertical="center" indent="1"/>
    </xf>
    <xf numFmtId="0" fontId="22" fillId="5" borderId="2" xfId="5" applyFont="1" applyFill="1" applyBorder="1" applyAlignment="1">
      <alignment horizontal="left" vertical="center" indent="1"/>
    </xf>
    <xf numFmtId="176" fontId="22" fillId="5" borderId="2" xfId="2" applyNumberFormat="1" applyFont="1" applyFill="1" applyBorder="1" applyAlignment="1">
      <alignment vertical="center"/>
    </xf>
    <xf numFmtId="174" fontId="22" fillId="5" borderId="2" xfId="2" applyNumberFormat="1" applyFont="1" applyFill="1" applyBorder="1" applyAlignment="1">
      <alignment vertical="center"/>
    </xf>
    <xf numFmtId="165" fontId="22" fillId="5" borderId="2" xfId="2" applyNumberFormat="1" applyFont="1" applyFill="1" applyBorder="1" applyAlignment="1">
      <alignment vertical="center"/>
    </xf>
    <xf numFmtId="0" fontId="26" fillId="2" borderId="5" xfId="5" applyFont="1" applyFill="1" applyBorder="1" applyAlignment="1">
      <alignment horizontal="left" vertical="center" indent="2"/>
    </xf>
    <xf numFmtId="166" fontId="26" fillId="2" borderId="5" xfId="5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166" fontId="26" fillId="2" borderId="0" xfId="5" applyNumberFormat="1" applyFont="1" applyFill="1" applyBorder="1" applyAlignment="1">
      <alignment vertical="center"/>
    </xf>
    <xf numFmtId="0" fontId="26" fillId="2" borderId="3" xfId="5" applyFont="1" applyFill="1" applyBorder="1" applyAlignment="1">
      <alignment horizontal="left" vertical="center" indent="2"/>
    </xf>
    <xf numFmtId="166" fontId="26" fillId="2" borderId="3" xfId="5" applyNumberFormat="1" applyFont="1" applyFill="1" applyBorder="1" applyAlignment="1">
      <alignment vertical="center"/>
    </xf>
    <xf numFmtId="176" fontId="26" fillId="2" borderId="5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176" fontId="26" fillId="2" borderId="3" xfId="5" applyNumberFormat="1" applyFont="1" applyFill="1" applyBorder="1" applyAlignment="1">
      <alignment vertical="center"/>
    </xf>
    <xf numFmtId="174" fontId="26" fillId="2" borderId="5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3" xfId="5" applyNumberFormat="1" applyFont="1" applyFill="1" applyBorder="1" applyAlignment="1">
      <alignment vertical="center"/>
    </xf>
    <xf numFmtId="165" fontId="26" fillId="2" borderId="5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3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3"/>
    </xf>
    <xf numFmtId="166" fontId="27" fillId="2" borderId="0" xfId="5" applyNumberFormat="1" applyFont="1" applyFill="1" applyAlignment="1">
      <alignment vertical="center"/>
    </xf>
    <xf numFmtId="166" fontId="27" fillId="2" borderId="0" xfId="5" applyNumberFormat="1" applyFont="1" applyFill="1" applyBorder="1" applyAlignment="1">
      <alignment vertical="center"/>
    </xf>
    <xf numFmtId="0" fontId="25" fillId="2" borderId="8" xfId="5" applyFont="1" applyFill="1" applyBorder="1" applyAlignment="1">
      <alignment horizontal="left" vertical="center" indent="2"/>
    </xf>
    <xf numFmtId="166" fontId="25" fillId="2" borderId="8" xfId="5" applyNumberFormat="1" applyFont="1" applyFill="1" applyBorder="1" applyAlignment="1">
      <alignment vertical="center"/>
    </xf>
    <xf numFmtId="166" fontId="25" fillId="2" borderId="7" xfId="5" applyNumberFormat="1" applyFont="1" applyFill="1" applyBorder="1" applyAlignment="1">
      <alignment vertical="center"/>
    </xf>
    <xf numFmtId="176" fontId="25" fillId="2" borderId="0" xfId="5" applyNumberFormat="1" applyFont="1" applyFill="1" applyBorder="1" applyAlignment="1">
      <alignment vertical="center"/>
    </xf>
    <xf numFmtId="0" fontId="25" fillId="2" borderId="1" xfId="5" applyFont="1" applyFill="1" applyBorder="1" applyAlignment="1">
      <alignment horizontal="left" vertical="center" indent="2"/>
    </xf>
    <xf numFmtId="176" fontId="25" fillId="2" borderId="1" xfId="5" applyNumberFormat="1" applyFont="1" applyFill="1" applyBorder="1" applyAlignment="1">
      <alignment vertical="center"/>
    </xf>
    <xf numFmtId="174" fontId="25" fillId="2" borderId="0" xfId="5" applyNumberFormat="1" applyFont="1" applyFill="1" applyBorder="1" applyAlignment="1">
      <alignment vertical="center"/>
    </xf>
    <xf numFmtId="174" fontId="25" fillId="2" borderId="1" xfId="5" applyNumberFormat="1" applyFont="1" applyFill="1" applyBorder="1" applyAlignment="1">
      <alignment vertical="center"/>
    </xf>
    <xf numFmtId="165" fontId="25" fillId="2" borderId="0" xfId="5" applyNumberFormat="1" applyFont="1" applyFill="1" applyBorder="1" applyAlignment="1">
      <alignment vertical="center"/>
    </xf>
    <xf numFmtId="165" fontId="25" fillId="2" borderId="1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 shrinkToFit="1"/>
    </xf>
    <xf numFmtId="166" fontId="26" fillId="2" borderId="5" xfId="5" applyNumberFormat="1" applyFont="1" applyFill="1" applyBorder="1" applyAlignment="1">
      <alignment vertical="center" shrinkToFit="1"/>
    </xf>
    <xf numFmtId="166" fontId="26" fillId="2" borderId="0" xfId="5" applyNumberFormat="1" applyFont="1" applyFill="1" applyBorder="1" applyAlignment="1">
      <alignment vertical="center" shrinkToFit="1"/>
    </xf>
    <xf numFmtId="166" fontId="26" fillId="2" borderId="3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5" fillId="2" borderId="8" xfId="5" applyNumberFormat="1" applyFont="1" applyFill="1" applyBorder="1" applyAlignment="1">
      <alignment vertical="center" shrinkToFit="1"/>
    </xf>
    <xf numFmtId="166" fontId="25" fillId="2" borderId="7" xfId="5" applyNumberFormat="1" applyFont="1" applyFill="1" applyBorder="1" applyAlignment="1">
      <alignment vertical="center" shrinkToFit="1"/>
    </xf>
    <xf numFmtId="176" fontId="22" fillId="5" borderId="2" xfId="2" applyNumberFormat="1" applyFont="1" applyFill="1" applyBorder="1" applyAlignment="1">
      <alignment vertical="center" shrinkToFit="1"/>
    </xf>
    <xf numFmtId="176" fontId="26" fillId="2" borderId="5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3" xfId="5" applyNumberFormat="1" applyFont="1" applyFill="1" applyBorder="1" applyAlignment="1">
      <alignment vertical="center" shrinkToFit="1"/>
    </xf>
    <xf numFmtId="176" fontId="25" fillId="2" borderId="0" xfId="5" applyNumberFormat="1" applyFont="1" applyFill="1" applyBorder="1" applyAlignment="1">
      <alignment vertical="center" shrinkToFit="1"/>
    </xf>
    <xf numFmtId="176" fontId="25" fillId="2" borderId="1" xfId="5" applyNumberFormat="1" applyFont="1" applyFill="1" applyBorder="1" applyAlignment="1">
      <alignment vertical="center" shrinkToFit="1"/>
    </xf>
    <xf numFmtId="174" fontId="22" fillId="5" borderId="2" xfId="2" applyNumberFormat="1" applyFont="1" applyFill="1" applyBorder="1" applyAlignment="1">
      <alignment vertical="center" shrinkToFit="1"/>
    </xf>
    <xf numFmtId="174" fontId="26" fillId="2" borderId="5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3" xfId="5" applyNumberFormat="1" applyFont="1" applyFill="1" applyBorder="1" applyAlignment="1">
      <alignment vertical="center" shrinkToFit="1"/>
    </xf>
    <xf numFmtId="174" fontId="25" fillId="2" borderId="0" xfId="5" applyNumberFormat="1" applyFont="1" applyFill="1" applyBorder="1" applyAlignment="1">
      <alignment vertical="center" shrinkToFit="1"/>
    </xf>
    <xf numFmtId="174" fontId="25" fillId="2" borderId="1" xfId="5" applyNumberFormat="1" applyFont="1" applyFill="1" applyBorder="1" applyAlignment="1">
      <alignment vertical="center" shrinkToFit="1"/>
    </xf>
    <xf numFmtId="165" fontId="22" fillId="5" borderId="2" xfId="2" applyNumberFormat="1" applyFont="1" applyFill="1" applyBorder="1" applyAlignment="1">
      <alignment vertical="center" shrinkToFit="1"/>
    </xf>
    <xf numFmtId="165" fontId="26" fillId="2" borderId="5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3" xfId="5" applyNumberFormat="1" applyFont="1" applyFill="1" applyBorder="1" applyAlignment="1">
      <alignment vertical="center" shrinkToFit="1"/>
    </xf>
    <xf numFmtId="165" fontId="25" fillId="2" borderId="0" xfId="5" applyNumberFormat="1" applyFont="1" applyFill="1" applyBorder="1" applyAlignment="1">
      <alignment vertical="center" shrinkToFit="1"/>
    </xf>
    <xf numFmtId="165" fontId="25" fillId="2" borderId="1" xfId="5" applyNumberFormat="1" applyFont="1" applyFill="1" applyBorder="1" applyAlignment="1">
      <alignment vertical="center" shrinkToFit="1"/>
    </xf>
    <xf numFmtId="0" fontId="28" fillId="2" borderId="0" xfId="0" applyFont="1" applyFill="1"/>
    <xf numFmtId="0" fontId="29" fillId="2" borderId="1" xfId="0" applyFont="1" applyFill="1" applyBorder="1"/>
    <xf numFmtId="0" fontId="23" fillId="2" borderId="0" xfId="0" applyFont="1" applyFill="1"/>
    <xf numFmtId="0" fontId="30" fillId="2" borderId="0" xfId="0" applyFont="1" applyFill="1" applyAlignment="1">
      <alignment horizontal="left"/>
    </xf>
    <xf numFmtId="0" fontId="23" fillId="2" borderId="0" xfId="0" applyFont="1" applyFill="1" applyAlignment="1">
      <alignment horizontal="left"/>
    </xf>
    <xf numFmtId="0" fontId="23" fillId="2" borderId="0" xfId="0" applyFont="1" applyFill="1" applyAlignment="1">
      <alignment horizontal="left" indent="1"/>
    </xf>
    <xf numFmtId="0" fontId="32" fillId="2" borderId="0" xfId="6" applyFont="1" applyFill="1"/>
    <xf numFmtId="0" fontId="17" fillId="2" borderId="0" xfId="6" applyFont="1" applyFill="1" applyAlignment="1">
      <alignment vertical="center"/>
    </xf>
    <xf numFmtId="0" fontId="17" fillId="2" borderId="0" xfId="6" applyFont="1" applyFill="1" applyAlignment="1">
      <alignment horizontal="center" vertical="center"/>
    </xf>
    <xf numFmtId="0" fontId="33" fillId="2" borderId="2" xfId="6" applyFont="1" applyFill="1" applyBorder="1" applyAlignment="1">
      <alignment vertical="center"/>
    </xf>
    <xf numFmtId="0" fontId="34" fillId="2" borderId="2" xfId="6" applyFont="1" applyFill="1" applyBorder="1" applyAlignment="1">
      <alignment vertical="center"/>
    </xf>
    <xf numFmtId="0" fontId="35" fillId="2" borderId="0" xfId="6" applyFont="1" applyFill="1" applyAlignment="1">
      <alignment vertical="center"/>
    </xf>
    <xf numFmtId="0" fontId="34" fillId="2" borderId="0" xfId="6" applyFont="1" applyFill="1" applyAlignment="1">
      <alignment vertical="center"/>
    </xf>
    <xf numFmtId="0" fontId="15" fillId="2" borderId="0" xfId="6" applyFont="1" applyFill="1" applyAlignment="1">
      <alignment vertical="center"/>
    </xf>
    <xf numFmtId="0" fontId="19" fillId="2" borderId="0" xfId="6" applyFont="1" applyFill="1" applyAlignment="1">
      <alignment vertical="center"/>
    </xf>
    <xf numFmtId="0" fontId="38" fillId="2" borderId="0" xfId="9" applyFont="1" applyFill="1" applyAlignment="1">
      <alignment vertical="center"/>
    </xf>
    <xf numFmtId="0" fontId="39" fillId="2" borderId="0" xfId="3" applyFont="1" applyFill="1" applyAlignment="1">
      <alignment horizontal="left" vertical="center" indent="1"/>
    </xf>
    <xf numFmtId="166" fontId="17" fillId="7" borderId="0" xfId="5" applyNumberFormat="1" applyFont="1" applyFill="1" applyBorder="1" applyAlignment="1">
      <alignment vertical="center"/>
    </xf>
    <xf numFmtId="0" fontId="36" fillId="2" borderId="0" xfId="6" applyFont="1" applyFill="1" applyAlignment="1">
      <alignment horizontal="left" vertical="center"/>
    </xf>
    <xf numFmtId="177" fontId="37" fillId="2" borderId="0" xfId="6" quotePrefix="1" applyNumberFormat="1" applyFont="1" applyFill="1" applyAlignment="1">
      <alignment horizontal="left" vertical="center"/>
    </xf>
    <xf numFmtId="0" fontId="40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99"/>
    <col min="5" max="21" width="9.7109375" style="299" customWidth="1"/>
    <col min="22" max="22" width="9.7109375" style="300" customWidth="1"/>
    <col min="23" max="23" width="107.42578125" style="299" customWidth="1"/>
    <col min="24" max="24" width="44.7109375" style="299" customWidth="1"/>
    <col min="25" max="26" width="9.7109375" style="299" customWidth="1"/>
    <col min="27" max="16384" width="9.140625" style="299"/>
  </cols>
  <sheetData>
    <row r="2" spans="1:23" ht="21" x14ac:dyDescent="0.35">
      <c r="A2" s="298"/>
      <c r="B2" s="312"/>
      <c r="C2" s="312"/>
      <c r="D2" s="312"/>
      <c r="E2" s="312"/>
      <c r="F2" s="312"/>
      <c r="G2" s="312"/>
      <c r="H2" s="312"/>
      <c r="I2" s="312"/>
      <c r="J2" s="312"/>
      <c r="K2" s="312"/>
    </row>
    <row r="3" spans="1:23" ht="15" customHeight="1" x14ac:dyDescent="0.25">
      <c r="B3" s="312"/>
      <c r="C3" s="312"/>
      <c r="D3" s="312"/>
      <c r="E3" s="312"/>
      <c r="F3" s="312"/>
      <c r="G3" s="312"/>
      <c r="H3" s="312"/>
      <c r="I3" s="312"/>
      <c r="J3" s="312"/>
      <c r="K3" s="312"/>
    </row>
    <row r="6" spans="1:23" ht="31.5" x14ac:dyDescent="0.25">
      <c r="A6" s="301"/>
      <c r="B6" s="302" t="s">
        <v>176</v>
      </c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V6" s="299"/>
    </row>
    <row r="7" spans="1:23" ht="15" customHeight="1" x14ac:dyDescent="0.25">
      <c r="V7" s="299"/>
    </row>
    <row r="8" spans="1:23" ht="15" customHeight="1" x14ac:dyDescent="0.25">
      <c r="V8" s="299"/>
    </row>
    <row r="9" spans="1:23" ht="15" customHeight="1" x14ac:dyDescent="0.25">
      <c r="V9" s="299"/>
    </row>
    <row r="10" spans="1:23" ht="28.5" x14ac:dyDescent="0.25">
      <c r="C10" s="303" t="s">
        <v>186</v>
      </c>
      <c r="V10" s="299"/>
    </row>
    <row r="11" spans="1:23" ht="15" customHeight="1" x14ac:dyDescent="0.25">
      <c r="V11" s="299"/>
    </row>
    <row r="15" spans="1:23" ht="30" customHeight="1" x14ac:dyDescent="0.25">
      <c r="C15" s="303" t="s">
        <v>137</v>
      </c>
    </row>
    <row r="16" spans="1:23" ht="15" customHeight="1" x14ac:dyDescent="0.25">
      <c r="W16" s="304"/>
    </row>
    <row r="17" spans="12:32" ht="15" customHeight="1" x14ac:dyDescent="0.25">
      <c r="W17" s="304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299"/>
    </row>
    <row r="30" spans="12:32" ht="18.75" x14ac:dyDescent="0.25">
      <c r="L30" s="311">
        <v>45967.474594907406</v>
      </c>
      <c r="M30" s="311"/>
      <c r="N30" s="311"/>
      <c r="O30" s="311"/>
      <c r="V30" s="299"/>
    </row>
    <row r="31" spans="12:32" ht="15" customHeight="1" x14ac:dyDescent="0.25">
      <c r="L31" s="305" t="s">
        <v>177</v>
      </c>
      <c r="V31" s="299"/>
      <c r="AA31" s="306"/>
      <c r="AB31" s="306"/>
      <c r="AC31" s="306"/>
      <c r="AD31" s="306"/>
      <c r="AE31" s="306"/>
      <c r="AF31" s="306"/>
    </row>
    <row r="32" spans="12:32" ht="15" customHeight="1" x14ac:dyDescent="0.25">
      <c r="V32" s="299"/>
    </row>
    <row r="33" spans="2:32" ht="15" customHeight="1" x14ac:dyDescent="0.25">
      <c r="B33" s="307" t="s">
        <v>138</v>
      </c>
      <c r="V33" s="299"/>
    </row>
    <row r="34" spans="2:32" ht="15" customHeight="1" x14ac:dyDescent="0.25">
      <c r="B34" s="307"/>
      <c r="V34" s="307"/>
    </row>
    <row r="35" spans="2:32" ht="15" customHeight="1" x14ac:dyDescent="0.25">
      <c r="B35" s="307" t="s">
        <v>143</v>
      </c>
      <c r="V35" s="307"/>
    </row>
    <row r="36" spans="2:32" ht="15" customHeight="1" x14ac:dyDescent="0.25">
      <c r="B36" s="307" t="s">
        <v>139</v>
      </c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W36" s="306"/>
      <c r="X36" s="306"/>
      <c r="Y36" s="306"/>
      <c r="Z36" s="306"/>
    </row>
    <row r="38" spans="2:32" ht="15" customHeight="1" x14ac:dyDescent="0.25">
      <c r="B38" s="307" t="s">
        <v>144</v>
      </c>
    </row>
    <row r="39" spans="2:32" ht="15" customHeight="1" x14ac:dyDescent="0.25">
      <c r="B39" s="307" t="s">
        <v>145</v>
      </c>
    </row>
    <row r="40" spans="2:32" ht="15" customHeight="1" x14ac:dyDescent="0.25">
      <c r="B40" s="308" t="s">
        <v>146</v>
      </c>
      <c r="AA40" s="306"/>
      <c r="AB40" s="306"/>
      <c r="AC40" s="306"/>
      <c r="AD40" s="306"/>
      <c r="AE40" s="306"/>
      <c r="AF40" s="306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2" t="s">
        <v>185</v>
      </c>
      <c r="B1" s="292" t="s">
        <v>186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3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4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5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6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6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6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6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6" t="s">
        <v>153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6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6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6" t="s">
        <v>154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6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6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6" t="s">
        <v>155</v>
      </c>
    </row>
    <row r="18" spans="1:4" x14ac:dyDescent="0.25">
      <c r="B18" s="21"/>
      <c r="C18" s="21"/>
      <c r="D18" s="23"/>
    </row>
    <row r="19" spans="1:4" x14ac:dyDescent="0.25">
      <c r="A19" s="19"/>
      <c r="B19" s="295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6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6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6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6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6" t="s">
        <v>153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6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6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6" t="s">
        <v>154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6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6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6" t="s">
        <v>155</v>
      </c>
    </row>
    <row r="31" spans="1:4" x14ac:dyDescent="0.25">
      <c r="B31" s="21"/>
      <c r="C31" s="21"/>
      <c r="D31" s="23"/>
    </row>
    <row r="32" spans="1:4" x14ac:dyDescent="0.25">
      <c r="B32" s="295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6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6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6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6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6" t="s">
        <v>171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6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6" t="s">
        <v>3</v>
      </c>
    </row>
    <row r="41" spans="2:4" x14ac:dyDescent="0.25">
      <c r="B41" s="295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4" t="s">
        <v>175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7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7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7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40470182</v>
      </c>
      <c r="C3" s="34">
        <v>40665545</v>
      </c>
      <c r="D3" s="34">
        <v>41035278</v>
      </c>
      <c r="E3" s="34">
        <v>41827838</v>
      </c>
      <c r="F3" s="34">
        <v>42547451</v>
      </c>
      <c r="G3" s="34">
        <v>43296338</v>
      </c>
      <c r="H3" s="34">
        <v>44009971</v>
      </c>
      <c r="I3" s="34">
        <v>44784666</v>
      </c>
      <c r="J3" s="34">
        <v>45668939</v>
      </c>
      <c r="K3" s="34">
        <v>46239273</v>
      </c>
      <c r="L3" s="34">
        <v>46486619</v>
      </c>
      <c r="M3" s="34">
        <v>46667174</v>
      </c>
      <c r="N3" s="34">
        <v>46818219</v>
      </c>
      <c r="O3" s="34">
        <v>46712650</v>
      </c>
      <c r="P3" s="34">
        <v>46495744</v>
      </c>
      <c r="Q3" s="34">
        <v>46425722</v>
      </c>
      <c r="R3" s="34">
        <v>46418884</v>
      </c>
      <c r="S3" s="34">
        <v>46497393</v>
      </c>
      <c r="T3" s="34">
        <v>46645070</v>
      </c>
      <c r="U3" s="34">
        <v>46918951</v>
      </c>
      <c r="V3" s="34">
        <v>47318050</v>
      </c>
      <c r="W3" s="34">
        <v>47400798</v>
      </c>
      <c r="X3" s="34">
        <v>47486843</v>
      </c>
      <c r="Y3" s="34">
        <v>48085361</v>
      </c>
      <c r="DA3" s="88" t="s">
        <v>188</v>
      </c>
    </row>
    <row r="4" spans="1:105" ht="12" customHeight="1" x14ac:dyDescent="0.25">
      <c r="A4" s="35" t="s">
        <v>178</v>
      </c>
      <c r="B4" s="36">
        <v>1060744.9412389235</v>
      </c>
      <c r="C4" s="36">
        <v>1102315.4215746487</v>
      </c>
      <c r="D4" s="36">
        <v>1132677.5104259513</v>
      </c>
      <c r="E4" s="36">
        <v>1165976.3607898992</v>
      </c>
      <c r="F4" s="36">
        <v>1202286.2938422756</v>
      </c>
      <c r="G4" s="36">
        <v>1244993.0079698595</v>
      </c>
      <c r="H4" s="36">
        <v>1295327.2761468184</v>
      </c>
      <c r="I4" s="36">
        <v>1341097.9090514211</v>
      </c>
      <c r="J4" s="36">
        <v>1351385.3986251173</v>
      </c>
      <c r="K4" s="36">
        <v>1300464.9174153004</v>
      </c>
      <c r="L4" s="36">
        <v>1301685.8659610576</v>
      </c>
      <c r="M4" s="36">
        <v>1293351.5555421468</v>
      </c>
      <c r="N4" s="36">
        <v>1256297.912934822</v>
      </c>
      <c r="O4" s="36">
        <v>1238364.3485467187</v>
      </c>
      <c r="P4" s="36">
        <v>1257194.0006435332</v>
      </c>
      <c r="Q4" s="36">
        <v>1308252.3230399999</v>
      </c>
      <c r="R4" s="36">
        <v>1346392.3675327781</v>
      </c>
      <c r="S4" s="36">
        <v>1385379.3300339449</v>
      </c>
      <c r="T4" s="36">
        <v>1418561.6615001652</v>
      </c>
      <c r="U4" s="36">
        <v>1446385.9882466851</v>
      </c>
      <c r="V4" s="36">
        <v>1288147.8680114509</v>
      </c>
      <c r="W4" s="36">
        <v>1374243.5724928367</v>
      </c>
      <c r="X4" s="36">
        <v>1461790.6659074053</v>
      </c>
      <c r="Y4" s="36">
        <v>1497761</v>
      </c>
      <c r="DA4" s="89" t="s">
        <v>189</v>
      </c>
    </row>
    <row r="5" spans="1:105" ht="12" customHeight="1" x14ac:dyDescent="0.25">
      <c r="A5" s="35" t="s">
        <v>179</v>
      </c>
      <c r="B5" s="36">
        <v>638031.63158968778</v>
      </c>
      <c r="C5" s="36">
        <v>665799.28378219914</v>
      </c>
      <c r="D5" s="36">
        <v>688711.62344729248</v>
      </c>
      <c r="E5" s="36">
        <v>710022.43495552812</v>
      </c>
      <c r="F5" s="36">
        <v>736901.63654228544</v>
      </c>
      <c r="G5" s="36">
        <v>762359.37826009083</v>
      </c>
      <c r="H5" s="36">
        <v>800781.56355849723</v>
      </c>
      <c r="I5" s="36">
        <v>843007.64126861957</v>
      </c>
      <c r="J5" s="36">
        <v>864368.53137791925</v>
      </c>
      <c r="K5" s="36">
        <v>862197.60219849297</v>
      </c>
      <c r="L5" s="36">
        <v>876693.22769071371</v>
      </c>
      <c r="M5" s="36">
        <v>890720.33665195433</v>
      </c>
      <c r="N5" s="36">
        <v>878901.74401781871</v>
      </c>
      <c r="O5" s="36">
        <v>873595.06373767985</v>
      </c>
      <c r="P5" s="36">
        <v>884707.71524487378</v>
      </c>
      <c r="Q5" s="36">
        <v>912364.56917999987</v>
      </c>
      <c r="R5" s="36">
        <v>936691.78604401276</v>
      </c>
      <c r="S5" s="36">
        <v>963092.36589304532</v>
      </c>
      <c r="T5" s="36">
        <v>989755.3025176489</v>
      </c>
      <c r="U5" s="36">
        <v>1010262.463080675</v>
      </c>
      <c r="V5" s="36">
        <v>898602.74577007745</v>
      </c>
      <c r="W5" s="36">
        <v>949359.68408584036</v>
      </c>
      <c r="X5" s="36">
        <v>1010161.766795082</v>
      </c>
      <c r="Y5" s="36">
        <v>1050097.5513296998</v>
      </c>
      <c r="DA5" s="89" t="s">
        <v>190</v>
      </c>
    </row>
    <row r="6" spans="1:105" ht="12" customHeight="1" x14ac:dyDescent="0.25">
      <c r="A6" s="37" t="s">
        <v>70</v>
      </c>
      <c r="B6" s="38">
        <v>10952600</v>
      </c>
      <c r="C6" s="38">
        <v>11389000</v>
      </c>
      <c r="D6" s="38">
        <v>11795000</v>
      </c>
      <c r="E6" s="38">
        <v>12295199.999999998</v>
      </c>
      <c r="F6" s="38">
        <v>12888900.000000002</v>
      </c>
      <c r="G6" s="38">
        <v>13552699.999999998</v>
      </c>
      <c r="H6" s="38">
        <v>14306399.999999998</v>
      </c>
      <c r="I6" s="38">
        <v>14914800</v>
      </c>
      <c r="J6" s="38">
        <v>15322500</v>
      </c>
      <c r="K6" s="38">
        <v>14923000</v>
      </c>
      <c r="L6" s="38">
        <v>14895000</v>
      </c>
      <c r="M6" s="38">
        <v>14789300</v>
      </c>
      <c r="N6" s="38">
        <v>14385900</v>
      </c>
      <c r="O6" s="38">
        <v>14231000</v>
      </c>
      <c r="P6" s="38">
        <v>14460700</v>
      </c>
      <c r="Q6" s="38">
        <v>14864700</v>
      </c>
      <c r="R6" s="38">
        <v>15149199.999999998</v>
      </c>
      <c r="S6" s="38">
        <v>15526600.000000002</v>
      </c>
      <c r="T6" s="38">
        <v>15835000.000000002</v>
      </c>
      <c r="U6" s="38">
        <v>16207200</v>
      </c>
      <c r="V6" s="38">
        <v>15490900.000000002</v>
      </c>
      <c r="W6" s="38">
        <v>15900800</v>
      </c>
      <c r="X6" s="38">
        <v>16489000</v>
      </c>
      <c r="Y6" s="38">
        <v>17045456.106051076</v>
      </c>
      <c r="DA6" s="90" t="s">
        <v>191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1739976.9009162702</v>
      </c>
      <c r="C8" s="34">
        <v>1793865.7552569364</v>
      </c>
      <c r="D8" s="34">
        <v>1848052.2022861037</v>
      </c>
      <c r="E8" s="34">
        <v>1913692.4760071656</v>
      </c>
      <c r="F8" s="34">
        <v>1980059.3169420429</v>
      </c>
      <c r="G8" s="34">
        <v>2050618.0656610313</v>
      </c>
      <c r="H8" s="34">
        <v>2124452.0888019507</v>
      </c>
      <c r="I8" s="34">
        <v>2195028.8211917761</v>
      </c>
      <c r="J8" s="34">
        <v>2254333.5500316052</v>
      </c>
      <c r="K8" s="34">
        <v>2241646.3530410663</v>
      </c>
      <c r="L8" s="34">
        <v>2276495.609235385</v>
      </c>
      <c r="M8" s="34">
        <v>2284808.8108906364</v>
      </c>
      <c r="N8" s="34">
        <v>2307655.6882040757</v>
      </c>
      <c r="O8" s="34">
        <v>2304440.7882462898</v>
      </c>
      <c r="P8" s="34">
        <v>2317512.3594023273</v>
      </c>
      <c r="Q8" s="34">
        <v>2341033.4845689069</v>
      </c>
      <c r="R8" s="34">
        <v>2366613.528966743</v>
      </c>
      <c r="S8" s="34">
        <v>2391612.024041153</v>
      </c>
      <c r="T8" s="34">
        <v>2416753.3320825538</v>
      </c>
      <c r="U8" s="34">
        <v>2439111.3935060175</v>
      </c>
      <c r="V8" s="34">
        <v>2459337.4355555554</v>
      </c>
      <c r="W8" s="34">
        <v>2478663.3420919571</v>
      </c>
      <c r="X8" s="34">
        <v>2497226.8248295514</v>
      </c>
      <c r="Y8" s="34">
        <v>2515302.1129238927</v>
      </c>
      <c r="DA8" s="88" t="s">
        <v>192</v>
      </c>
    </row>
    <row r="9" spans="1:105" ht="12" customHeight="1" x14ac:dyDescent="0.25">
      <c r="A9" s="39" t="s">
        <v>68</v>
      </c>
      <c r="B9" s="40">
        <v>1565979.2108246433</v>
      </c>
      <c r="C9" s="40">
        <v>1614479.1797312428</v>
      </c>
      <c r="D9" s="40">
        <v>1663246.9820574934</v>
      </c>
      <c r="E9" s="40">
        <v>1722323.2284064491</v>
      </c>
      <c r="F9" s="40">
        <v>1782053.3852478387</v>
      </c>
      <c r="G9" s="40">
        <v>1845556.2590949284</v>
      </c>
      <c r="H9" s="40">
        <v>1912006.8799217555</v>
      </c>
      <c r="I9" s="40">
        <v>1975525.9390725982</v>
      </c>
      <c r="J9" s="40">
        <v>2028900.1950284445</v>
      </c>
      <c r="K9" s="40">
        <v>2017481.7177369597</v>
      </c>
      <c r="L9" s="40">
        <v>2048846.0483118463</v>
      </c>
      <c r="M9" s="40">
        <v>2056327.9298015726</v>
      </c>
      <c r="N9" s="40">
        <v>2076890.1193836683</v>
      </c>
      <c r="O9" s="40">
        <v>2073996.7094216605</v>
      </c>
      <c r="P9" s="40">
        <v>2085761.1234620947</v>
      </c>
      <c r="Q9" s="40">
        <v>2106930.1361120166</v>
      </c>
      <c r="R9" s="40">
        <v>2129952.176070069</v>
      </c>
      <c r="S9" s="40">
        <v>2152450.8216370377</v>
      </c>
      <c r="T9" s="40">
        <v>2175077.9988742983</v>
      </c>
      <c r="U9" s="40">
        <v>2195200.2541554156</v>
      </c>
      <c r="V9" s="40">
        <v>2213403.6919999998</v>
      </c>
      <c r="W9" s="40">
        <v>2230797.0078827613</v>
      </c>
      <c r="X9" s="40">
        <v>2247504.1423465963</v>
      </c>
      <c r="Y9" s="40">
        <v>2263771.9016315034</v>
      </c>
      <c r="DA9" s="91" t="s">
        <v>193</v>
      </c>
    </row>
    <row r="10" spans="1:105" ht="12" customHeight="1" x14ac:dyDescent="0.25">
      <c r="A10" s="35" t="s">
        <v>17</v>
      </c>
      <c r="B10" s="41"/>
      <c r="C10" s="41">
        <v>60848.151193081045</v>
      </c>
      <c r="D10" s="41">
        <v>61362.103507895765</v>
      </c>
      <c r="E10" s="41">
        <v>73032.289826104825</v>
      </c>
      <c r="F10" s="41">
        <v>74022.392825354735</v>
      </c>
      <c r="G10" s="41">
        <v>78479.463159009349</v>
      </c>
      <c r="H10" s="41">
        <v>82036.167771557855</v>
      </c>
      <c r="I10" s="41">
        <v>79074.948088052537</v>
      </c>
      <c r="J10" s="41">
        <v>68084.374728674811</v>
      </c>
      <c r="K10" s="41">
        <v>9017.1534485589054</v>
      </c>
      <c r="L10" s="41">
        <v>43815.979955540883</v>
      </c>
      <c r="M10" s="41">
        <v>17419.827129729892</v>
      </c>
      <c r="N10" s="41">
        <v>31986.038070070186</v>
      </c>
      <c r="O10" s="41">
        <v>9230.2595466576277</v>
      </c>
      <c r="P10" s="41">
        <v>22288.816589834936</v>
      </c>
      <c r="Q10" s="41">
        <v>32790.427051820268</v>
      </c>
      <c r="R10" s="41">
        <v>37524.092788492824</v>
      </c>
      <c r="S10" s="41">
        <v>37073.053895668592</v>
      </c>
      <c r="T10" s="41">
        <v>37343.410204876149</v>
      </c>
      <c r="U10" s="41">
        <v>34688.435566741828</v>
      </c>
      <c r="V10" s="41">
        <v>32670.487934773242</v>
      </c>
      <c r="W10" s="41">
        <v>31873.546513725385</v>
      </c>
      <c r="X10" s="41">
        <v>31209.724278879989</v>
      </c>
      <c r="Y10" s="41">
        <v>30816.241282247454</v>
      </c>
      <c r="DA10" s="92" t="s">
        <v>194</v>
      </c>
    </row>
    <row r="11" spans="1:105" ht="12" customHeight="1" x14ac:dyDescent="0.25">
      <c r="A11" s="37" t="s">
        <v>67</v>
      </c>
      <c r="B11" s="42"/>
      <c r="C11" s="42">
        <v>54763.336073772938</v>
      </c>
      <c r="D11" s="42">
        <v>55225.893157106191</v>
      </c>
      <c r="E11" s="42">
        <v>65729.060843494342</v>
      </c>
      <c r="F11" s="42">
        <v>66620.153542819258</v>
      </c>
      <c r="G11" s="42">
        <v>70631.516843108431</v>
      </c>
      <c r="H11" s="42">
        <v>73832.550994402074</v>
      </c>
      <c r="I11" s="42">
        <v>71167.453279247289</v>
      </c>
      <c r="J11" s="42">
        <v>61275.93725580733</v>
      </c>
      <c r="K11" s="42">
        <v>8115.4381037030143</v>
      </c>
      <c r="L11" s="42">
        <v>39434.381959986786</v>
      </c>
      <c r="M11" s="42">
        <v>15677.844416756903</v>
      </c>
      <c r="N11" s="42">
        <v>28787.434263063169</v>
      </c>
      <c r="O11" s="42">
        <v>8307.2335919918642</v>
      </c>
      <c r="P11" s="42">
        <v>20059.934930851443</v>
      </c>
      <c r="Q11" s="42">
        <v>29511.384346638242</v>
      </c>
      <c r="R11" s="42">
        <v>33771.683509643539</v>
      </c>
      <c r="S11" s="42">
        <v>33365.748506101736</v>
      </c>
      <c r="T11" s="42">
        <v>33609.069184388536</v>
      </c>
      <c r="U11" s="42">
        <v>31219.592010067645</v>
      </c>
      <c r="V11" s="42">
        <v>29403.439141295916</v>
      </c>
      <c r="W11" s="42">
        <v>28686.191862352847</v>
      </c>
      <c r="X11" s="42">
        <v>28088.751850991994</v>
      </c>
      <c r="Y11" s="42">
        <v>27734.617154022708</v>
      </c>
      <c r="DA11" s="93" t="s">
        <v>195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1814.6</v>
      </c>
      <c r="C13" s="43">
        <v>1787.38</v>
      </c>
      <c r="D13" s="43">
        <v>1680.7</v>
      </c>
      <c r="E13" s="43">
        <v>1776.37</v>
      </c>
      <c r="F13" s="43">
        <v>1935.16</v>
      </c>
      <c r="G13" s="43">
        <v>1962.13</v>
      </c>
      <c r="H13" s="43">
        <v>1684.49</v>
      </c>
      <c r="I13" s="43">
        <v>1829.89</v>
      </c>
      <c r="J13" s="43">
        <v>1864.97</v>
      </c>
      <c r="K13" s="43">
        <v>1720.56</v>
      </c>
      <c r="L13" s="43">
        <v>1953.46</v>
      </c>
      <c r="M13" s="43">
        <v>1572.46</v>
      </c>
      <c r="N13" s="43">
        <v>1873.15</v>
      </c>
      <c r="O13" s="43">
        <v>1921.25</v>
      </c>
      <c r="P13" s="43">
        <v>1554.36</v>
      </c>
      <c r="Q13" s="43">
        <v>1610.6</v>
      </c>
      <c r="R13" s="43">
        <v>1724.77</v>
      </c>
      <c r="S13" s="43">
        <v>1606.48</v>
      </c>
      <c r="T13" s="43">
        <v>1796.63</v>
      </c>
      <c r="U13" s="43">
        <v>1670.72</v>
      </c>
      <c r="V13" s="43">
        <v>1554.52</v>
      </c>
      <c r="W13" s="43">
        <v>1663.07</v>
      </c>
      <c r="X13" s="43">
        <v>1478.25</v>
      </c>
      <c r="Y13" s="43">
        <v>1481.64</v>
      </c>
      <c r="DA13" s="94" t="s">
        <v>196</v>
      </c>
    </row>
    <row r="14" spans="1:105" ht="12" customHeight="1" x14ac:dyDescent="0.25">
      <c r="A14" s="35" t="s">
        <v>147</v>
      </c>
      <c r="B14" s="44">
        <f>AVERAGE($B$13:$V$13)</f>
        <v>1756.888095238095</v>
      </c>
      <c r="C14" s="44">
        <f t="shared" ref="C14:Y14" si="0">AVERAGE($B$13:$V$13)</f>
        <v>1756.888095238095</v>
      </c>
      <c r="D14" s="44">
        <f t="shared" si="0"/>
        <v>1756.888095238095</v>
      </c>
      <c r="E14" s="44">
        <f t="shared" si="0"/>
        <v>1756.888095238095</v>
      </c>
      <c r="F14" s="44">
        <f t="shared" si="0"/>
        <v>1756.888095238095</v>
      </c>
      <c r="G14" s="44">
        <f t="shared" si="0"/>
        <v>1756.888095238095</v>
      </c>
      <c r="H14" s="44">
        <f t="shared" si="0"/>
        <v>1756.888095238095</v>
      </c>
      <c r="I14" s="44">
        <f t="shared" si="0"/>
        <v>1756.888095238095</v>
      </c>
      <c r="J14" s="44">
        <f t="shared" si="0"/>
        <v>1756.888095238095</v>
      </c>
      <c r="K14" s="44">
        <f t="shared" si="0"/>
        <v>1756.888095238095</v>
      </c>
      <c r="L14" s="44">
        <f t="shared" si="0"/>
        <v>1756.888095238095</v>
      </c>
      <c r="M14" s="44">
        <f t="shared" si="0"/>
        <v>1756.888095238095</v>
      </c>
      <c r="N14" s="44">
        <f t="shared" si="0"/>
        <v>1756.888095238095</v>
      </c>
      <c r="O14" s="44">
        <f t="shared" si="0"/>
        <v>1756.888095238095</v>
      </c>
      <c r="P14" s="44">
        <f t="shared" si="0"/>
        <v>1756.888095238095</v>
      </c>
      <c r="Q14" s="44">
        <f t="shared" si="0"/>
        <v>1756.888095238095</v>
      </c>
      <c r="R14" s="44">
        <f t="shared" si="0"/>
        <v>1756.888095238095</v>
      </c>
      <c r="S14" s="44">
        <f t="shared" si="0"/>
        <v>1756.888095238095</v>
      </c>
      <c r="T14" s="44">
        <f t="shared" si="0"/>
        <v>1756.888095238095</v>
      </c>
      <c r="U14" s="44">
        <f t="shared" si="0"/>
        <v>1756.888095238095</v>
      </c>
      <c r="V14" s="44">
        <f t="shared" si="0"/>
        <v>1756.888095238095</v>
      </c>
      <c r="W14" s="44">
        <f t="shared" si="0"/>
        <v>1756.888095238095</v>
      </c>
      <c r="X14" s="44">
        <f t="shared" si="0"/>
        <v>1756.888095238095</v>
      </c>
      <c r="Y14" s="44">
        <f t="shared" si="0"/>
        <v>1756.888095238095</v>
      </c>
      <c r="DA14" s="95" t="s">
        <v>197</v>
      </c>
    </row>
    <row r="15" spans="1:105" ht="12" customHeight="1" x14ac:dyDescent="0.25">
      <c r="A15" s="45" t="s">
        <v>65</v>
      </c>
      <c r="B15" s="46">
        <f>B13/B14</f>
        <v>1.0328489360923603</v>
      </c>
      <c r="C15" s="46">
        <f t="shared" ref="C15:W15" si="1">C13/C14</f>
        <v>1.0173556328627593</v>
      </c>
      <c r="D15" s="46">
        <f t="shared" si="1"/>
        <v>0.95663463401875348</v>
      </c>
      <c r="E15" s="46">
        <f t="shared" si="1"/>
        <v>1.0110888706086114</v>
      </c>
      <c r="F15" s="46">
        <f t="shared" si="1"/>
        <v>1.1014702673693884</v>
      </c>
      <c r="G15" s="46">
        <f t="shared" si="1"/>
        <v>1.1168212735450807</v>
      </c>
      <c r="H15" s="46">
        <f t="shared" si="1"/>
        <v>0.95879185735601247</v>
      </c>
      <c r="I15" s="46">
        <f t="shared" si="1"/>
        <v>1.0415518239094288</v>
      </c>
      <c r="J15" s="46">
        <f t="shared" si="1"/>
        <v>1.0615189465139256</v>
      </c>
      <c r="K15" s="46">
        <f t="shared" si="1"/>
        <v>0.9793224762939885</v>
      </c>
      <c r="L15" s="46">
        <f t="shared" si="1"/>
        <v>1.1118864117155198</v>
      </c>
      <c r="M15" s="46">
        <f t="shared" si="1"/>
        <v>0.89502570155835615</v>
      </c>
      <c r="N15" s="46">
        <f t="shared" si="1"/>
        <v>1.0661749061178247</v>
      </c>
      <c r="O15" s="46">
        <f t="shared" si="1"/>
        <v>1.0935528592898971</v>
      </c>
      <c r="P15" s="46">
        <f t="shared" si="1"/>
        <v>0.88472339485535167</v>
      </c>
      <c r="Q15" s="46">
        <f t="shared" si="1"/>
        <v>0.91673454010269784</v>
      </c>
      <c r="R15" s="46">
        <f t="shared" si="1"/>
        <v>0.98171875868181435</v>
      </c>
      <c r="S15" s="46">
        <f t="shared" si="1"/>
        <v>0.91438948465427927</v>
      </c>
      <c r="T15" s="46">
        <f t="shared" si="1"/>
        <v>1.0226206238573887</v>
      </c>
      <c r="U15" s="46">
        <f t="shared" si="1"/>
        <v>0.95095413562671027</v>
      </c>
      <c r="V15" s="46">
        <f t="shared" si="1"/>
        <v>0.88481446496985339</v>
      </c>
      <c r="W15" s="46">
        <f t="shared" si="1"/>
        <v>0.94659984577709788</v>
      </c>
      <c r="X15" s="46">
        <f t="shared" ref="X15:Y15" si="2">X13/X14</f>
        <v>0.84140247976332616</v>
      </c>
      <c r="Y15" s="46">
        <f t="shared" si="2"/>
        <v>0.84333202781433092</v>
      </c>
      <c r="DA15" s="96" t="s">
        <v>198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180</v>
      </c>
      <c r="B19" s="34">
        <f t="shared" ref="B19:C19" si="3">B4*1000000/B3</f>
        <v>26210.530539223259</v>
      </c>
      <c r="C19" s="34">
        <f t="shared" si="3"/>
        <v>27106.864584616993</v>
      </c>
      <c r="D19" s="34">
        <f t="shared" ref="D19:W19" si="4">D4*1000000/D3</f>
        <v>27602.530447727233</v>
      </c>
      <c r="E19" s="34">
        <f t="shared" si="4"/>
        <v>27875.606690211891</v>
      </c>
      <c r="F19" s="34">
        <f t="shared" si="4"/>
        <v>28257.539889810923</v>
      </c>
      <c r="G19" s="34">
        <f t="shared" si="4"/>
        <v>28755.157259947933</v>
      </c>
      <c r="H19" s="34">
        <f t="shared" si="4"/>
        <v>29432.586450620893</v>
      </c>
      <c r="I19" s="34">
        <f t="shared" si="4"/>
        <v>29945.47082368374</v>
      </c>
      <c r="J19" s="34">
        <f t="shared" si="4"/>
        <v>29590.908574099285</v>
      </c>
      <c r="K19" s="34">
        <f t="shared" si="4"/>
        <v>28124.683478810322</v>
      </c>
      <c r="L19" s="34">
        <f t="shared" si="4"/>
        <v>28001.302180334034</v>
      </c>
      <c r="M19" s="34">
        <f t="shared" si="4"/>
        <v>27714.374895341782</v>
      </c>
      <c r="N19" s="34">
        <f t="shared" si="4"/>
        <v>26833.526344409256</v>
      </c>
      <c r="O19" s="34">
        <f t="shared" si="4"/>
        <v>26510.256826506713</v>
      </c>
      <c r="P19" s="34">
        <f t="shared" si="4"/>
        <v>27038.90490801767</v>
      </c>
      <c r="Q19" s="34">
        <f t="shared" si="4"/>
        <v>28179.471781612789</v>
      </c>
      <c r="R19" s="34">
        <f t="shared" si="4"/>
        <v>29005.272240771192</v>
      </c>
      <c r="S19" s="34">
        <f t="shared" si="4"/>
        <v>29794.774301302114</v>
      </c>
      <c r="T19" s="34">
        <f t="shared" si="4"/>
        <v>30411.824047003582</v>
      </c>
      <c r="U19" s="34">
        <f t="shared" si="4"/>
        <v>30827.330053621299</v>
      </c>
      <c r="V19" s="34">
        <f t="shared" si="4"/>
        <v>27223.18159796211</v>
      </c>
      <c r="W19" s="34">
        <f t="shared" si="4"/>
        <v>28991.992339302742</v>
      </c>
      <c r="X19" s="34">
        <f t="shared" ref="X19:Y19" si="5">X4*1000000/X3</f>
        <v>30783.06692039741</v>
      </c>
      <c r="Y19" s="34">
        <f t="shared" si="5"/>
        <v>31147.962058556655</v>
      </c>
      <c r="DA19" s="88"/>
    </row>
    <row r="20" spans="1:105" ht="12" customHeight="1" x14ac:dyDescent="0.25">
      <c r="A20" s="50" t="s">
        <v>181</v>
      </c>
      <c r="B20" s="36">
        <f t="shared" ref="B20:C20" si="6">B5*1000000/B6</f>
        <v>58253.896936771882</v>
      </c>
      <c r="C20" s="36">
        <f t="shared" si="6"/>
        <v>58459.854577416729</v>
      </c>
      <c r="D20" s="36">
        <f t="shared" ref="D20:W20" si="7">D5*1000000/D6</f>
        <v>58390.133399516104</v>
      </c>
      <c r="E20" s="36">
        <f t="shared" si="7"/>
        <v>57747.936996187796</v>
      </c>
      <c r="F20" s="36">
        <f t="shared" si="7"/>
        <v>57173.353547803556</v>
      </c>
      <c r="G20" s="36">
        <f t="shared" si="7"/>
        <v>56251.475961254284</v>
      </c>
      <c r="H20" s="36">
        <f t="shared" si="7"/>
        <v>55973.659590008479</v>
      </c>
      <c r="I20" s="36">
        <f t="shared" si="7"/>
        <v>56521.551832315527</v>
      </c>
      <c r="J20" s="36">
        <f t="shared" si="7"/>
        <v>56411.716846331823</v>
      </c>
      <c r="K20" s="36">
        <f t="shared" si="7"/>
        <v>57776.425799001066</v>
      </c>
      <c r="L20" s="36">
        <f t="shared" si="7"/>
        <v>58858.222738550772</v>
      </c>
      <c r="M20" s="36">
        <f t="shared" si="7"/>
        <v>60227.349276298024</v>
      </c>
      <c r="N20" s="36">
        <f t="shared" si="7"/>
        <v>61094.665194240108</v>
      </c>
      <c r="O20" s="36">
        <f t="shared" si="7"/>
        <v>61386.765774554129</v>
      </c>
      <c r="P20" s="36">
        <f t="shared" si="7"/>
        <v>61180.144477437039</v>
      </c>
      <c r="Q20" s="36">
        <f t="shared" si="7"/>
        <v>61377.933572826892</v>
      </c>
      <c r="R20" s="36">
        <f t="shared" si="7"/>
        <v>61831.105671851503</v>
      </c>
      <c r="S20" s="36">
        <f t="shared" si="7"/>
        <v>62028.542365556219</v>
      </c>
      <c r="T20" s="36">
        <f t="shared" si="7"/>
        <v>62504.281813555339</v>
      </c>
      <c r="U20" s="36">
        <f t="shared" si="7"/>
        <v>62334.176358697063</v>
      </c>
      <c r="V20" s="36">
        <f t="shared" si="7"/>
        <v>58008.42725536137</v>
      </c>
      <c r="W20" s="36">
        <f t="shared" si="7"/>
        <v>59705.15219899881</v>
      </c>
      <c r="X20" s="36">
        <f t="shared" ref="X20:Y20" si="8">X5*1000000/X6</f>
        <v>61262.767105044695</v>
      </c>
      <c r="Y20" s="36">
        <f t="shared" si="8"/>
        <v>61605.717371031154</v>
      </c>
      <c r="DA20" s="89"/>
    </row>
    <row r="21" spans="1:105" ht="12" customHeight="1" x14ac:dyDescent="0.25">
      <c r="A21" s="50" t="s">
        <v>182</v>
      </c>
      <c r="B21" s="36">
        <f t="shared" ref="B21:C21" si="9">B5*1000000/B3</f>
        <v>15765.474728769141</v>
      </c>
      <c r="C21" s="36">
        <f t="shared" si="9"/>
        <v>16372.565123182269</v>
      </c>
      <c r="D21" s="36">
        <f t="shared" ref="D21:W21" si="10">D5*1000000/D3</f>
        <v>16783.403379094751</v>
      </c>
      <c r="E21" s="36">
        <f t="shared" si="10"/>
        <v>16974.877710761146</v>
      </c>
      <c r="F21" s="36">
        <f t="shared" si="10"/>
        <v>17319.524888630469</v>
      </c>
      <c r="G21" s="36">
        <f t="shared" si="10"/>
        <v>17607.941305800294</v>
      </c>
      <c r="H21" s="36">
        <f t="shared" si="10"/>
        <v>18195.45765114222</v>
      </c>
      <c r="I21" s="36">
        <f t="shared" si="10"/>
        <v>18823.577723424791</v>
      </c>
      <c r="J21" s="36">
        <f t="shared" si="10"/>
        <v>18926.836276575625</v>
      </c>
      <c r="K21" s="36">
        <f t="shared" si="10"/>
        <v>18646.43508124561</v>
      </c>
      <c r="L21" s="36">
        <f t="shared" si="10"/>
        <v>18859.044743406994</v>
      </c>
      <c r="M21" s="36">
        <f t="shared" si="10"/>
        <v>19086.656857600898</v>
      </c>
      <c r="N21" s="36">
        <f t="shared" si="10"/>
        <v>18772.643701329576</v>
      </c>
      <c r="O21" s="36">
        <f t="shared" si="10"/>
        <v>18701.466599254803</v>
      </c>
      <c r="P21" s="36">
        <f t="shared" si="10"/>
        <v>19027.713918178699</v>
      </c>
      <c r="Q21" s="36">
        <f t="shared" si="10"/>
        <v>19652.135279231628</v>
      </c>
      <c r="R21" s="36">
        <f t="shared" si="10"/>
        <v>20179.110425059178</v>
      </c>
      <c r="S21" s="36">
        <f t="shared" si="10"/>
        <v>20712.82503715951</v>
      </c>
      <c r="T21" s="36">
        <f t="shared" si="10"/>
        <v>21218.8619830059</v>
      </c>
      <c r="U21" s="36">
        <f t="shared" si="10"/>
        <v>21532.076944360393</v>
      </c>
      <c r="V21" s="36">
        <f t="shared" si="10"/>
        <v>18990.696906784568</v>
      </c>
      <c r="W21" s="36">
        <f t="shared" si="10"/>
        <v>20028.348132152551</v>
      </c>
      <c r="X21" s="36">
        <f t="shared" ref="X21:Y21" si="11">X5*1000000/X3</f>
        <v>21272.455757799737</v>
      </c>
      <c r="Y21" s="36">
        <f t="shared" si="11"/>
        <v>21838.196272035886</v>
      </c>
      <c r="DA21" s="89"/>
    </row>
    <row r="22" spans="1:105" ht="12" customHeight="1" x14ac:dyDescent="0.25">
      <c r="A22" s="51" t="s">
        <v>148</v>
      </c>
      <c r="B22" s="52">
        <v>0.86019360576470849</v>
      </c>
      <c r="C22" s="52">
        <v>0.87103956819762485</v>
      </c>
      <c r="D22" s="52">
        <v>0.87523650610806769</v>
      </c>
      <c r="E22" s="52">
        <v>0.87554803553021066</v>
      </c>
      <c r="F22" s="52">
        <v>0.87306959947615237</v>
      </c>
      <c r="G22" s="52">
        <v>0.86886145411940263</v>
      </c>
      <c r="H22" s="52">
        <v>0.87116956297904491</v>
      </c>
      <c r="I22" s="52">
        <v>0.87445001616511786</v>
      </c>
      <c r="J22" s="52">
        <v>0.86756287015872691</v>
      </c>
      <c r="K22" s="52">
        <v>0.8744890816384242</v>
      </c>
      <c r="L22" s="52">
        <v>0.87135224654881349</v>
      </c>
      <c r="M22" s="52">
        <v>0.86449783558061155</v>
      </c>
      <c r="N22" s="52">
        <v>0.85297890137419019</v>
      </c>
      <c r="O22" s="52">
        <v>0.84485491667145762</v>
      </c>
      <c r="P22" s="52">
        <v>0.84561535812553945</v>
      </c>
      <c r="Q22" s="52">
        <v>0.85908781493267472</v>
      </c>
      <c r="R22" s="52">
        <v>0.86752396014446298</v>
      </c>
      <c r="S22" s="52">
        <v>0.86716122597112155</v>
      </c>
      <c r="T22" s="52">
        <v>0.86959277211024655</v>
      </c>
      <c r="U22" s="52">
        <v>0.86601476139949729</v>
      </c>
      <c r="V22" s="52">
        <v>0.80701196055394264</v>
      </c>
      <c r="W22" s="52">
        <v>0.80197473893801219</v>
      </c>
      <c r="X22" s="52">
        <v>0.82607966211515971</v>
      </c>
      <c r="Y22" s="52">
        <v>0.84607591725715969</v>
      </c>
      <c r="DA22" s="98"/>
    </row>
    <row r="23" spans="1:105" ht="12" customHeight="1" x14ac:dyDescent="0.25">
      <c r="A23" s="49" t="s">
        <v>63</v>
      </c>
      <c r="B23" s="53">
        <f t="shared" ref="B23:C23" si="12">B6/B8</f>
        <v>6.2946812651549404</v>
      </c>
      <c r="C23" s="53">
        <f t="shared" si="12"/>
        <v>6.3488585846652423</v>
      </c>
      <c r="D23" s="53">
        <f t="shared" ref="D23:W23" si="13">D6/D8</f>
        <v>6.3823954677303929</v>
      </c>
      <c r="E23" s="53">
        <f t="shared" si="13"/>
        <v>6.4248567385567545</v>
      </c>
      <c r="F23" s="53">
        <f t="shared" si="13"/>
        <v>6.5093504470892904</v>
      </c>
      <c r="G23" s="53">
        <f t="shared" si="13"/>
        <v>6.6090805630502381</v>
      </c>
      <c r="H23" s="53">
        <f t="shared" si="13"/>
        <v>6.7341598689890221</v>
      </c>
      <c r="I23" s="53">
        <f t="shared" si="13"/>
        <v>6.7948082758667878</v>
      </c>
      <c r="J23" s="53">
        <f t="shared" si="13"/>
        <v>6.7969090021240124</v>
      </c>
      <c r="K23" s="53">
        <f t="shared" si="13"/>
        <v>6.6571606978750832</v>
      </c>
      <c r="L23" s="53">
        <f t="shared" si="13"/>
        <v>6.5429513413394362</v>
      </c>
      <c r="M23" s="53">
        <f t="shared" si="13"/>
        <v>6.4728829517402877</v>
      </c>
      <c r="N23" s="53">
        <f t="shared" si="13"/>
        <v>6.2339889237097461</v>
      </c>
      <c r="O23" s="53">
        <f t="shared" si="13"/>
        <v>6.1754678499810707</v>
      </c>
      <c r="P23" s="53">
        <f t="shared" si="13"/>
        <v>6.2397509732070331</v>
      </c>
      <c r="Q23" s="53">
        <f t="shared" si="13"/>
        <v>6.3496315187210071</v>
      </c>
      <c r="R23" s="53">
        <f t="shared" si="13"/>
        <v>6.4012141461111725</v>
      </c>
      <c r="S23" s="53">
        <f t="shared" si="13"/>
        <v>6.4921065139003638</v>
      </c>
      <c r="T23" s="53">
        <f t="shared" si="13"/>
        <v>6.552178821805839</v>
      </c>
      <c r="U23" s="53">
        <f t="shared" si="13"/>
        <v>6.6447149741297844</v>
      </c>
      <c r="V23" s="53">
        <f t="shared" si="13"/>
        <v>6.2988103120955676</v>
      </c>
      <c r="W23" s="53">
        <f t="shared" si="13"/>
        <v>6.4150704655921311</v>
      </c>
      <c r="X23" s="53">
        <f t="shared" ref="X23:Y23" si="14">X6/X8</f>
        <v>6.6029244264286886</v>
      </c>
      <c r="Y23" s="53">
        <f t="shared" si="14"/>
        <v>6.7767032908173102</v>
      </c>
      <c r="DA23" s="99"/>
    </row>
    <row r="24" spans="1:105" ht="12" customHeight="1" x14ac:dyDescent="0.25">
      <c r="A24" s="50" t="s">
        <v>62</v>
      </c>
      <c r="B24" s="54">
        <f t="shared" ref="B24:C24" si="15">B9*1000/B3</f>
        <v>38.694642164560648</v>
      </c>
      <c r="C24" s="54">
        <f t="shared" si="15"/>
        <v>39.701402741097972</v>
      </c>
      <c r="D24" s="54">
        <f t="shared" ref="D24:W24" si="16">D9*1000/D3</f>
        <v>40.53212414102552</v>
      </c>
      <c r="E24" s="54">
        <f t="shared" si="16"/>
        <v>41.176482236697225</v>
      </c>
      <c r="F24" s="54">
        <f t="shared" si="16"/>
        <v>41.883904754901501</v>
      </c>
      <c r="G24" s="54">
        <f t="shared" si="16"/>
        <v>42.626151410193827</v>
      </c>
      <c r="H24" s="54">
        <f t="shared" si="16"/>
        <v>43.4448566194637</v>
      </c>
      <c r="I24" s="54">
        <f t="shared" si="16"/>
        <v>44.111659537052219</v>
      </c>
      <c r="J24" s="54">
        <f t="shared" si="16"/>
        <v>44.426260812156038</v>
      </c>
      <c r="K24" s="54">
        <f t="shared" si="16"/>
        <v>43.631345971571818</v>
      </c>
      <c r="L24" s="54">
        <f t="shared" si="16"/>
        <v>44.073888193758428</v>
      </c>
      <c r="M24" s="54">
        <f t="shared" si="16"/>
        <v>44.063690889051315</v>
      </c>
      <c r="N24" s="54">
        <f t="shared" si="16"/>
        <v>44.36072460132813</v>
      </c>
      <c r="O24" s="54">
        <f t="shared" si="16"/>
        <v>44.399037721509281</v>
      </c>
      <c r="P24" s="54">
        <f t="shared" si="16"/>
        <v>44.859183745120731</v>
      </c>
      <c r="Q24" s="54">
        <f t="shared" si="16"/>
        <v>45.382818949202701</v>
      </c>
      <c r="R24" s="54">
        <f t="shared" si="16"/>
        <v>45.885467131654202</v>
      </c>
      <c r="S24" s="54">
        <f t="shared" si="16"/>
        <v>46.291860312190785</v>
      </c>
      <c r="T24" s="54">
        <f t="shared" si="16"/>
        <v>46.630394141852463</v>
      </c>
      <c r="U24" s="54">
        <f t="shared" si="16"/>
        <v>46.787070200171684</v>
      </c>
      <c r="V24" s="54">
        <f t="shared" si="16"/>
        <v>46.777153580927362</v>
      </c>
      <c r="W24" s="54">
        <f t="shared" si="16"/>
        <v>47.062435697448841</v>
      </c>
      <c r="X24" s="54">
        <f t="shared" ref="X24:Y24" si="17">X9*1000/X3</f>
        <v>47.328986311989539</v>
      </c>
      <c r="Y24" s="54">
        <f t="shared" si="17"/>
        <v>47.078192916790279</v>
      </c>
      <c r="DA24" s="100"/>
    </row>
    <row r="25" spans="1:105" ht="12" customHeight="1" x14ac:dyDescent="0.25">
      <c r="A25" s="50" t="s">
        <v>61</v>
      </c>
      <c r="B25" s="54">
        <f t="shared" ref="B25:C25" si="18">B9*1000/B6</f>
        <v>142.97785099653447</v>
      </c>
      <c r="C25" s="54">
        <f t="shared" si="18"/>
        <v>141.75776448601658</v>
      </c>
      <c r="D25" s="54">
        <f t="shared" ref="D25:W25" si="19">D9*1000/D6</f>
        <v>141.01288529525166</v>
      </c>
      <c r="E25" s="54">
        <f t="shared" si="19"/>
        <v>140.08094446665766</v>
      </c>
      <c r="F25" s="54">
        <f t="shared" si="19"/>
        <v>138.26264345660519</v>
      </c>
      <c r="G25" s="54">
        <f t="shared" si="19"/>
        <v>136.17627919860462</v>
      </c>
      <c r="H25" s="54">
        <f t="shared" si="19"/>
        <v>133.64696079529133</v>
      </c>
      <c r="I25" s="54">
        <f t="shared" si="19"/>
        <v>132.45406837990441</v>
      </c>
      <c r="J25" s="54">
        <f t="shared" si="19"/>
        <v>132.41313069201792</v>
      </c>
      <c r="K25" s="54">
        <f t="shared" si="19"/>
        <v>135.1927707389238</v>
      </c>
      <c r="L25" s="54">
        <f t="shared" si="19"/>
        <v>137.55260478763654</v>
      </c>
      <c r="M25" s="54">
        <f t="shared" si="19"/>
        <v>139.04159965661475</v>
      </c>
      <c r="N25" s="54">
        <f t="shared" si="19"/>
        <v>144.36984265034988</v>
      </c>
      <c r="O25" s="54">
        <f t="shared" si="19"/>
        <v>145.73794599266816</v>
      </c>
      <c r="P25" s="54">
        <f t="shared" si="19"/>
        <v>144.23652544220508</v>
      </c>
      <c r="Q25" s="54">
        <f t="shared" si="19"/>
        <v>141.74050846044767</v>
      </c>
      <c r="R25" s="54">
        <f t="shared" si="19"/>
        <v>140.59832704499706</v>
      </c>
      <c r="S25" s="54">
        <f t="shared" si="19"/>
        <v>138.62988816850034</v>
      </c>
      <c r="T25" s="54">
        <f t="shared" si="19"/>
        <v>137.35888846695914</v>
      </c>
      <c r="U25" s="54">
        <f t="shared" si="19"/>
        <v>135.44599031019644</v>
      </c>
      <c r="V25" s="54">
        <f t="shared" si="19"/>
        <v>142.88412500242075</v>
      </c>
      <c r="W25" s="54">
        <f t="shared" si="19"/>
        <v>140.29463975917952</v>
      </c>
      <c r="X25" s="54">
        <f t="shared" ref="X25:Y25" si="20">X9*1000/X6</f>
        <v>136.30324109082395</v>
      </c>
      <c r="Y25" s="54">
        <f t="shared" si="20"/>
        <v>132.80793940315112</v>
      </c>
      <c r="DA25" s="100"/>
    </row>
    <row r="26" spans="1:105" ht="12" customHeight="1" x14ac:dyDescent="0.25">
      <c r="A26" s="50" t="s">
        <v>60</v>
      </c>
      <c r="B26" s="55">
        <f t="shared" ref="B26:C26" si="21">B9*1000/B8</f>
        <v>900.00000000000011</v>
      </c>
      <c r="C26" s="55">
        <f t="shared" si="21"/>
        <v>900.00000000000011</v>
      </c>
      <c r="D26" s="55">
        <f t="shared" ref="D26:W26" si="22">D9*1000/D8</f>
        <v>900</v>
      </c>
      <c r="E26" s="55">
        <f t="shared" si="22"/>
        <v>900</v>
      </c>
      <c r="F26" s="55">
        <f t="shared" si="22"/>
        <v>900.00000000000011</v>
      </c>
      <c r="G26" s="55">
        <f t="shared" si="22"/>
        <v>900.00000000000011</v>
      </c>
      <c r="H26" s="55">
        <f t="shared" si="22"/>
        <v>900</v>
      </c>
      <c r="I26" s="55">
        <f t="shared" si="22"/>
        <v>899.99999999999989</v>
      </c>
      <c r="J26" s="55">
        <f t="shared" si="22"/>
        <v>899.99999999999989</v>
      </c>
      <c r="K26" s="55">
        <f t="shared" si="22"/>
        <v>900</v>
      </c>
      <c r="L26" s="55">
        <f t="shared" si="22"/>
        <v>899.99999999999989</v>
      </c>
      <c r="M26" s="55">
        <f t="shared" si="22"/>
        <v>899.99999999999989</v>
      </c>
      <c r="N26" s="55">
        <f t="shared" si="22"/>
        <v>900</v>
      </c>
      <c r="O26" s="55">
        <f t="shared" si="22"/>
        <v>899.99999999999977</v>
      </c>
      <c r="P26" s="55">
        <f t="shared" si="22"/>
        <v>900.00000000000011</v>
      </c>
      <c r="Q26" s="55">
        <f t="shared" si="22"/>
        <v>900.00000000000023</v>
      </c>
      <c r="R26" s="55">
        <f t="shared" si="22"/>
        <v>900.00000000000011</v>
      </c>
      <c r="S26" s="55">
        <f t="shared" si="22"/>
        <v>900</v>
      </c>
      <c r="T26" s="55">
        <f t="shared" si="22"/>
        <v>899.99999999999989</v>
      </c>
      <c r="U26" s="55">
        <f t="shared" si="22"/>
        <v>899.99999999999989</v>
      </c>
      <c r="V26" s="55">
        <f t="shared" si="22"/>
        <v>900.00000000000011</v>
      </c>
      <c r="W26" s="55">
        <f t="shared" si="22"/>
        <v>900</v>
      </c>
      <c r="X26" s="55">
        <f t="shared" ref="X26:Y26" si="23">X9*1000/X8</f>
        <v>900</v>
      </c>
      <c r="Y26" s="55">
        <f t="shared" si="23"/>
        <v>900.00000000000011</v>
      </c>
      <c r="DA26" s="101"/>
    </row>
    <row r="27" spans="1:105" ht="12" customHeight="1" x14ac:dyDescent="0.25">
      <c r="A27" s="51" t="s">
        <v>59</v>
      </c>
      <c r="B27" s="56" t="str">
        <f t="shared" ref="B27:C27" si="24">IF(SUM(B11)=0,"",B11*1000/B10)</f>
        <v/>
      </c>
      <c r="C27" s="57">
        <f t="shared" si="24"/>
        <v>900</v>
      </c>
      <c r="D27" s="57">
        <f t="shared" ref="D27:W27" si="25">IF(SUM(D11)=0,"",D11*1000/D10)</f>
        <v>900</v>
      </c>
      <c r="E27" s="57">
        <f t="shared" si="25"/>
        <v>900</v>
      </c>
      <c r="F27" s="57">
        <f t="shared" si="25"/>
        <v>900</v>
      </c>
      <c r="G27" s="57">
        <f t="shared" si="25"/>
        <v>900.00000000000023</v>
      </c>
      <c r="H27" s="57">
        <f t="shared" si="25"/>
        <v>900.00000000000011</v>
      </c>
      <c r="I27" s="57">
        <f t="shared" si="25"/>
        <v>900</v>
      </c>
      <c r="J27" s="57">
        <f t="shared" si="25"/>
        <v>900</v>
      </c>
      <c r="K27" s="57">
        <f t="shared" si="25"/>
        <v>900</v>
      </c>
      <c r="L27" s="57">
        <f t="shared" si="25"/>
        <v>899.99999999999977</v>
      </c>
      <c r="M27" s="57">
        <f t="shared" si="25"/>
        <v>900</v>
      </c>
      <c r="N27" s="57">
        <f t="shared" si="25"/>
        <v>900.00000000000011</v>
      </c>
      <c r="O27" s="57">
        <f t="shared" si="25"/>
        <v>899.99999999999989</v>
      </c>
      <c r="P27" s="57">
        <f t="shared" si="25"/>
        <v>900.00000000000011</v>
      </c>
      <c r="Q27" s="57">
        <f t="shared" si="25"/>
        <v>900.00000000000011</v>
      </c>
      <c r="R27" s="57">
        <f t="shared" si="25"/>
        <v>900</v>
      </c>
      <c r="S27" s="57">
        <f t="shared" si="25"/>
        <v>900</v>
      </c>
      <c r="T27" s="57">
        <f t="shared" si="25"/>
        <v>900</v>
      </c>
      <c r="U27" s="57">
        <f t="shared" si="25"/>
        <v>900</v>
      </c>
      <c r="V27" s="57">
        <f t="shared" si="25"/>
        <v>900</v>
      </c>
      <c r="W27" s="57">
        <f t="shared" si="25"/>
        <v>900</v>
      </c>
      <c r="X27" s="57">
        <f t="shared" ref="X27:Y27" si="26">IF(SUM(X11)=0,"",X11*1000/X10)</f>
        <v>900.00000000000011</v>
      </c>
      <c r="Y27" s="57">
        <f t="shared" si="26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6799.3826311263947</v>
      </c>
      <c r="C31" s="80">
        <f t="shared" ref="C31:W31" si="27">SUM(C32:C33,C36:C37,C44:C45)</f>
        <v>7129.9401547721409</v>
      </c>
      <c r="D31" s="80">
        <f t="shared" si="27"/>
        <v>7286.7561478933785</v>
      </c>
      <c r="E31" s="80">
        <f t="shared" si="27"/>
        <v>7344.3583834909714</v>
      </c>
      <c r="F31" s="80">
        <f t="shared" si="27"/>
        <v>7950.9993981083389</v>
      </c>
      <c r="G31" s="80">
        <f t="shared" si="27"/>
        <v>8585.1854686156494</v>
      </c>
      <c r="H31" s="80">
        <f t="shared" si="27"/>
        <v>10520.158383490972</v>
      </c>
      <c r="I31" s="80">
        <f t="shared" si="27"/>
        <v>9506.9370593293206</v>
      </c>
      <c r="J31" s="80">
        <f t="shared" si="27"/>
        <v>9789.8850386930353</v>
      </c>
      <c r="K31" s="80">
        <f t="shared" si="27"/>
        <v>10147.073206545318</v>
      </c>
      <c r="L31" s="80">
        <f t="shared" si="27"/>
        <v>10854.610197374526</v>
      </c>
      <c r="M31" s="80">
        <f t="shared" si="27"/>
        <v>10826.32425624899</v>
      </c>
      <c r="N31" s="80">
        <f t="shared" si="27"/>
        <v>10428.545229542924</v>
      </c>
      <c r="O31" s="80">
        <f t="shared" si="27"/>
        <v>10025.557573182181</v>
      </c>
      <c r="P31" s="80">
        <f t="shared" si="27"/>
        <v>9148.1682090850682</v>
      </c>
      <c r="Q31" s="80">
        <f t="shared" si="27"/>
        <v>9429.64839110305</v>
      </c>
      <c r="R31" s="80">
        <f t="shared" si="27"/>
        <v>9603.2137088859126</v>
      </c>
      <c r="S31" s="80">
        <f t="shared" si="27"/>
        <v>9836.9085132253513</v>
      </c>
      <c r="T31" s="80">
        <f t="shared" si="27"/>
        <v>9912.8498872926466</v>
      </c>
      <c r="U31" s="80">
        <f t="shared" si="27"/>
        <v>9894.1837698764284</v>
      </c>
      <c r="V31" s="80">
        <f t="shared" si="27"/>
        <v>9071.9124391964306</v>
      </c>
      <c r="W31" s="80">
        <f t="shared" si="27"/>
        <v>9528.6565000017636</v>
      </c>
      <c r="X31" s="80">
        <f t="shared" ref="X31:Y31" si="28">SUM(X32:X33,X36:X37,X44:X45)</f>
        <v>9427.4727314041829</v>
      </c>
      <c r="Y31" s="80">
        <f t="shared" si="28"/>
        <v>9476.1437065407445</v>
      </c>
      <c r="DA31" s="103" t="s">
        <v>199</v>
      </c>
    </row>
    <row r="32" spans="1:105" ht="12" customHeight="1" x14ac:dyDescent="0.25">
      <c r="A32" s="58" t="s">
        <v>29</v>
      </c>
      <c r="B32" s="59">
        <v>0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X32" s="59">
        <v>0</v>
      </c>
      <c r="Y32" s="59">
        <v>0</v>
      </c>
      <c r="DA32" s="104" t="s">
        <v>200</v>
      </c>
    </row>
    <row r="33" spans="1:105" ht="12" customHeight="1" x14ac:dyDescent="0.25">
      <c r="A33" s="60" t="s">
        <v>28</v>
      </c>
      <c r="B33" s="55">
        <f>SUM(B34:B35)</f>
        <v>1709.1263112639717</v>
      </c>
      <c r="C33" s="55">
        <f t="shared" ref="C33:W33" si="29">SUM(C34:C35)</f>
        <v>1862.570507308684</v>
      </c>
      <c r="D33" s="55">
        <f t="shared" si="29"/>
        <v>1828.3987962166807</v>
      </c>
      <c r="E33" s="55">
        <f t="shared" si="29"/>
        <v>1985.0100601891656</v>
      </c>
      <c r="F33" s="55">
        <f t="shared" si="29"/>
        <v>2149.6871023215822</v>
      </c>
      <c r="G33" s="55">
        <f t="shared" si="29"/>
        <v>2156.2864144453997</v>
      </c>
      <c r="H33" s="55">
        <f t="shared" si="29"/>
        <v>1649.6991401547725</v>
      </c>
      <c r="I33" s="55">
        <f t="shared" si="29"/>
        <v>1541.2128976784172</v>
      </c>
      <c r="J33" s="55">
        <f t="shared" si="29"/>
        <v>1477.2498710232157</v>
      </c>
      <c r="K33" s="55">
        <f t="shared" si="29"/>
        <v>1440.9190885640587</v>
      </c>
      <c r="L33" s="55">
        <f t="shared" si="29"/>
        <v>1428.945743766122</v>
      </c>
      <c r="M33" s="55">
        <f t="shared" si="29"/>
        <v>1361.185124677558</v>
      </c>
      <c r="N33" s="55">
        <f t="shared" si="29"/>
        <v>1423.5644883920895</v>
      </c>
      <c r="O33" s="55">
        <f t="shared" si="29"/>
        <v>1514.137231298366</v>
      </c>
      <c r="P33" s="55">
        <f t="shared" si="29"/>
        <v>1228.8550300945824</v>
      </c>
      <c r="Q33" s="55">
        <f t="shared" si="29"/>
        <v>1067.2350816852966</v>
      </c>
      <c r="R33" s="55">
        <f t="shared" si="29"/>
        <v>1283.5171969045571</v>
      </c>
      <c r="S33" s="55">
        <f t="shared" si="29"/>
        <v>1306.052364574376</v>
      </c>
      <c r="T33" s="55">
        <f t="shared" si="29"/>
        <v>1358.1923473774725</v>
      </c>
      <c r="U33" s="55">
        <f t="shared" si="29"/>
        <v>1256.4464316423039</v>
      </c>
      <c r="V33" s="55">
        <f t="shared" si="29"/>
        <v>1135.4376612209801</v>
      </c>
      <c r="W33" s="55">
        <f t="shared" si="29"/>
        <v>1258.0440240756666</v>
      </c>
      <c r="X33" s="55">
        <f t="shared" ref="X33:Y33" si="30">SUM(X34:X35)</f>
        <v>1253.7884780739469</v>
      </c>
      <c r="Y33" s="55">
        <f t="shared" si="30"/>
        <v>1142.0368873602749</v>
      </c>
      <c r="DA33" s="101"/>
    </row>
    <row r="34" spans="1:105" ht="12" customHeight="1" x14ac:dyDescent="0.25">
      <c r="A34" s="61" t="s">
        <v>52</v>
      </c>
      <c r="B34" s="55">
        <v>230.4671539122958</v>
      </c>
      <c r="C34" s="55">
        <v>247.4133276010318</v>
      </c>
      <c r="D34" s="55">
        <v>247.4133276010318</v>
      </c>
      <c r="E34" s="55">
        <v>244.02407566638001</v>
      </c>
      <c r="F34" s="55">
        <v>249.67274290627691</v>
      </c>
      <c r="G34" s="55">
        <v>231.5969045571797</v>
      </c>
      <c r="H34" s="55">
        <v>213.52106620808249</v>
      </c>
      <c r="I34" s="55">
        <v>218.0400687876182</v>
      </c>
      <c r="J34" s="55">
        <v>224.81848667239899</v>
      </c>
      <c r="K34" s="55">
        <v>204.48314703353401</v>
      </c>
      <c r="L34" s="55">
        <v>202.2236457437661</v>
      </c>
      <c r="M34" s="55">
        <v>189.79647463456581</v>
      </c>
      <c r="N34" s="55">
        <v>180.75855546001719</v>
      </c>
      <c r="O34" s="55">
        <v>172.8503869303525</v>
      </c>
      <c r="P34" s="55">
        <v>133.30945829750641</v>
      </c>
      <c r="Q34" s="55">
        <v>186.4073086844368</v>
      </c>
      <c r="R34" s="55">
        <v>240.63482373172829</v>
      </c>
      <c r="S34" s="55">
        <v>203.35339638865</v>
      </c>
      <c r="T34" s="55">
        <v>223.68873602751501</v>
      </c>
      <c r="U34" s="55">
        <v>185.27755803955279</v>
      </c>
      <c r="V34" s="55">
        <v>116.3633705932932</v>
      </c>
      <c r="W34" s="55">
        <v>135.99028374892521</v>
      </c>
      <c r="X34" s="55">
        <v>170.54230438521071</v>
      </c>
      <c r="Y34" s="55">
        <v>257.74591573516773</v>
      </c>
      <c r="DA34" s="101" t="s">
        <v>201</v>
      </c>
    </row>
    <row r="35" spans="1:105" ht="12" customHeight="1" x14ac:dyDescent="0.25">
      <c r="A35" s="61" t="s">
        <v>163</v>
      </c>
      <c r="B35" s="55">
        <v>1478.659157351676</v>
      </c>
      <c r="C35" s="55">
        <v>1615.1571797076522</v>
      </c>
      <c r="D35" s="55">
        <v>1580.9854686156489</v>
      </c>
      <c r="E35" s="55">
        <v>1740.9859845227857</v>
      </c>
      <c r="F35" s="55">
        <v>1900.0143594153053</v>
      </c>
      <c r="G35" s="55">
        <v>1924.6895098882201</v>
      </c>
      <c r="H35" s="55">
        <v>1436.1780739466901</v>
      </c>
      <c r="I35" s="55">
        <v>1323.1728288907991</v>
      </c>
      <c r="J35" s="55">
        <v>1252.4313843508166</v>
      </c>
      <c r="K35" s="55">
        <v>1236.4359415305248</v>
      </c>
      <c r="L35" s="55">
        <v>1226.7220980223558</v>
      </c>
      <c r="M35" s="55">
        <v>1171.3886500429921</v>
      </c>
      <c r="N35" s="55">
        <v>1242.8059329320722</v>
      </c>
      <c r="O35" s="55">
        <v>1341.2868443680136</v>
      </c>
      <c r="P35" s="55">
        <v>1095.545571797076</v>
      </c>
      <c r="Q35" s="55">
        <v>880.82777300085979</v>
      </c>
      <c r="R35" s="55">
        <v>1042.8823731728287</v>
      </c>
      <c r="S35" s="55">
        <v>1102.698968185726</v>
      </c>
      <c r="T35" s="55">
        <v>1134.5036113499575</v>
      </c>
      <c r="U35" s="55">
        <v>1071.1688736027511</v>
      </c>
      <c r="V35" s="55">
        <v>1019.0742906276869</v>
      </c>
      <c r="W35" s="55">
        <v>1122.0537403267413</v>
      </c>
      <c r="X35" s="55">
        <v>1083.2461736887362</v>
      </c>
      <c r="Y35" s="55">
        <v>884.2909716251072</v>
      </c>
      <c r="DA35" s="101" t="s">
        <v>202</v>
      </c>
    </row>
    <row r="36" spans="1:105" ht="12" customHeight="1" x14ac:dyDescent="0.25">
      <c r="A36" s="60" t="s">
        <v>149</v>
      </c>
      <c r="B36" s="55">
        <v>583.70137575236458</v>
      </c>
      <c r="C36" s="55">
        <v>647.73766122098016</v>
      </c>
      <c r="D36" s="55">
        <v>672.95236457437659</v>
      </c>
      <c r="E36" s="55">
        <v>214.78761822871877</v>
      </c>
      <c r="F36" s="55">
        <v>355.65064488392096</v>
      </c>
      <c r="G36" s="55">
        <v>717.90042992261385</v>
      </c>
      <c r="H36" s="55">
        <v>2335.7717970765261</v>
      </c>
      <c r="I36" s="55">
        <v>1460.1127257093722</v>
      </c>
      <c r="J36" s="55">
        <v>1326.0605331040413</v>
      </c>
      <c r="K36" s="55">
        <v>1639.0495270851245</v>
      </c>
      <c r="L36" s="55">
        <v>2102.8748065348245</v>
      </c>
      <c r="M36" s="55">
        <v>2309.3938091143591</v>
      </c>
      <c r="N36" s="55">
        <v>1932.3943250214959</v>
      </c>
      <c r="O36" s="55">
        <v>1778.6641444539989</v>
      </c>
      <c r="P36" s="55">
        <v>1685.2767841788475</v>
      </c>
      <c r="Q36" s="55">
        <v>1840.7073086844373</v>
      </c>
      <c r="R36" s="55">
        <v>1796.0165090283742</v>
      </c>
      <c r="S36" s="55">
        <v>1831.1486773766621</v>
      </c>
      <c r="T36" s="55">
        <v>1919.934465224713</v>
      </c>
      <c r="U36" s="55">
        <v>1989.1275546576614</v>
      </c>
      <c r="V36" s="55">
        <v>1925.469620145866</v>
      </c>
      <c r="W36" s="55">
        <v>2083.4693595906006</v>
      </c>
      <c r="X36" s="55">
        <v>1861.2988528327176</v>
      </c>
      <c r="Y36" s="55">
        <v>1840.3745223992059</v>
      </c>
      <c r="DA36" s="101" t="s">
        <v>203</v>
      </c>
    </row>
    <row r="37" spans="1:105" ht="12" customHeight="1" x14ac:dyDescent="0.25">
      <c r="A37" s="60" t="s">
        <v>51</v>
      </c>
      <c r="B37" s="55">
        <f>SUM(B38:B42)</f>
        <v>59.521410146173686</v>
      </c>
      <c r="C37" s="55">
        <f t="shared" ref="C37:W37" si="31">SUM(C38:C42)</f>
        <v>61.936371453138428</v>
      </c>
      <c r="D37" s="55">
        <f t="shared" si="31"/>
        <v>66.488392089423897</v>
      </c>
      <c r="E37" s="55">
        <f t="shared" si="31"/>
        <v>69.152278589853807</v>
      </c>
      <c r="F37" s="55">
        <f t="shared" si="31"/>
        <v>71.371023215821154</v>
      </c>
      <c r="G37" s="55">
        <f t="shared" si="31"/>
        <v>76.088907996560621</v>
      </c>
      <c r="H37" s="55">
        <f t="shared" si="31"/>
        <v>130.21625107480656</v>
      </c>
      <c r="I37" s="55">
        <f t="shared" si="31"/>
        <v>134.15829750644886</v>
      </c>
      <c r="J37" s="55">
        <f t="shared" si="31"/>
        <v>115.98134135855547</v>
      </c>
      <c r="K37" s="55">
        <f t="shared" si="31"/>
        <v>90.062596732588133</v>
      </c>
      <c r="L37" s="55">
        <f t="shared" si="31"/>
        <v>95.543164230438521</v>
      </c>
      <c r="M37" s="55">
        <f t="shared" si="31"/>
        <v>118.25460017196902</v>
      </c>
      <c r="N37" s="55">
        <f t="shared" si="31"/>
        <v>127.54419604471194</v>
      </c>
      <c r="O37" s="55">
        <f t="shared" si="31"/>
        <v>169.54944110060188</v>
      </c>
      <c r="P37" s="55">
        <f t="shared" si="31"/>
        <v>164.69699054170252</v>
      </c>
      <c r="Q37" s="55">
        <f t="shared" si="31"/>
        <v>147.88710232158206</v>
      </c>
      <c r="R37" s="55">
        <f t="shared" si="31"/>
        <v>211.31306964746349</v>
      </c>
      <c r="S37" s="55">
        <f t="shared" si="31"/>
        <v>221.86103887441195</v>
      </c>
      <c r="T37" s="55">
        <f t="shared" si="31"/>
        <v>222.39133013212296</v>
      </c>
      <c r="U37" s="55">
        <f t="shared" si="31"/>
        <v>227.02042470605267</v>
      </c>
      <c r="V37" s="55">
        <f t="shared" si="31"/>
        <v>224.056347180015</v>
      </c>
      <c r="W37" s="55">
        <f t="shared" si="31"/>
        <v>238.62556732255544</v>
      </c>
      <c r="X37" s="55">
        <f t="shared" ref="X37:Y37" si="32">SUM(X38:X42)</f>
        <v>240.50355473392051</v>
      </c>
      <c r="Y37" s="55">
        <f t="shared" si="32"/>
        <v>245.56434260509346</v>
      </c>
      <c r="DA37" s="101"/>
    </row>
    <row r="38" spans="1:105" ht="12" customHeight="1" x14ac:dyDescent="0.25">
      <c r="A38" s="61" t="s">
        <v>164</v>
      </c>
      <c r="B38" s="55">
        <v>42.633963886500425</v>
      </c>
      <c r="C38" s="55">
        <v>43.350558899398095</v>
      </c>
      <c r="D38" s="55">
        <v>43.350558899398102</v>
      </c>
      <c r="E38" s="55">
        <v>43.350558899398095</v>
      </c>
      <c r="F38" s="55">
        <v>43.565520206362848</v>
      </c>
      <c r="G38" s="55">
        <v>44.138693035253652</v>
      </c>
      <c r="H38" s="55">
        <v>68.071109200343955</v>
      </c>
      <c r="I38" s="55">
        <v>69.575838349097168</v>
      </c>
      <c r="J38" s="55">
        <v>79.702837489251934</v>
      </c>
      <c r="K38" s="55">
        <v>58.015649183147033</v>
      </c>
      <c r="L38" s="55">
        <v>60.022012037833193</v>
      </c>
      <c r="M38" s="55">
        <v>64.201805674978502</v>
      </c>
      <c r="N38" s="55">
        <v>68.739810834049862</v>
      </c>
      <c r="O38" s="55">
        <v>72.537489251934645</v>
      </c>
      <c r="P38" s="55">
        <v>74.113843508168529</v>
      </c>
      <c r="Q38" s="55">
        <v>84.957523645743692</v>
      </c>
      <c r="R38" s="55">
        <v>107.81513327601036</v>
      </c>
      <c r="S38" s="55">
        <v>116.41341358555451</v>
      </c>
      <c r="T38" s="55">
        <v>115.0282029234736</v>
      </c>
      <c r="U38" s="55">
        <v>119.27962166809965</v>
      </c>
      <c r="V38" s="55">
        <v>121.35700773860697</v>
      </c>
      <c r="W38" s="55">
        <v>131.88538263112628</v>
      </c>
      <c r="X38" s="55">
        <v>134.04273430782462</v>
      </c>
      <c r="Y38" s="55">
        <v>136.91960447119527</v>
      </c>
      <c r="DA38" s="101" t="s">
        <v>204</v>
      </c>
    </row>
    <row r="39" spans="1:105" ht="12" customHeight="1" x14ac:dyDescent="0.25">
      <c r="A39" s="61" t="s">
        <v>50</v>
      </c>
      <c r="B39" s="55">
        <v>9.5299226139294912</v>
      </c>
      <c r="C39" s="55">
        <v>9.5299226139294912</v>
      </c>
      <c r="D39" s="55">
        <v>13.208168529664659</v>
      </c>
      <c r="E39" s="55">
        <v>13.208168529664659</v>
      </c>
      <c r="F39" s="55">
        <v>12.826053310404131</v>
      </c>
      <c r="G39" s="55">
        <v>13.75752364574377</v>
      </c>
      <c r="H39" s="55">
        <v>41.057609630266548</v>
      </c>
      <c r="I39" s="55">
        <v>41.821926053310399</v>
      </c>
      <c r="J39" s="55">
        <v>9.4582975064488384</v>
      </c>
      <c r="K39" s="55">
        <v>0.16715391229578669</v>
      </c>
      <c r="L39" s="55">
        <v>0.16715391229578669</v>
      </c>
      <c r="M39" s="55">
        <v>15.883233018056746</v>
      </c>
      <c r="N39" s="55">
        <v>17.101375752364568</v>
      </c>
      <c r="O39" s="55">
        <v>52.713327601031807</v>
      </c>
      <c r="P39" s="55">
        <v>43.302751504729144</v>
      </c>
      <c r="Q39" s="55">
        <v>11.918400687876186</v>
      </c>
      <c r="R39" s="55">
        <v>51.66233877901977</v>
      </c>
      <c r="S39" s="55">
        <v>52.703945151282191</v>
      </c>
      <c r="T39" s="55">
        <v>52.884881292914166</v>
      </c>
      <c r="U39" s="55">
        <v>52.818533046551472</v>
      </c>
      <c r="V39" s="55">
        <v>52.645513130144046</v>
      </c>
      <c r="W39" s="55">
        <v>57.239840753338022</v>
      </c>
      <c r="X39" s="55">
        <v>58.591344931684894</v>
      </c>
      <c r="Y39" s="55">
        <v>62.969501676460503</v>
      </c>
      <c r="DA39" s="101" t="s">
        <v>205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0.64488392089423896</v>
      </c>
      <c r="O40" s="55">
        <v>2.4616509028374889</v>
      </c>
      <c r="P40" s="55">
        <v>2.4616509028374889</v>
      </c>
      <c r="Q40" s="55">
        <v>3.369991401547721</v>
      </c>
      <c r="R40" s="55">
        <v>4.2784178847807386</v>
      </c>
      <c r="S40" s="55">
        <v>4.2784178847807386</v>
      </c>
      <c r="T40" s="55">
        <v>5.1867583834909716</v>
      </c>
      <c r="U40" s="55">
        <v>5.1867583834909716</v>
      </c>
      <c r="V40" s="55">
        <v>0.64488392089423896</v>
      </c>
      <c r="W40" s="55">
        <v>1.0608770421324158</v>
      </c>
      <c r="X40" s="55">
        <v>0.96156491831470314</v>
      </c>
      <c r="Y40" s="55">
        <v>0.43981083404987109</v>
      </c>
      <c r="DA40" s="101" t="s">
        <v>206</v>
      </c>
    </row>
    <row r="41" spans="1:105" ht="12" customHeight="1" x14ac:dyDescent="0.25">
      <c r="A41" s="61" t="s">
        <v>26</v>
      </c>
      <c r="B41" s="55">
        <v>6.2624247635425609</v>
      </c>
      <c r="C41" s="55">
        <v>7.9607910576096304</v>
      </c>
      <c r="D41" s="55">
        <v>9.7893379191745478</v>
      </c>
      <c r="E41" s="55">
        <v>12.49320722269991</v>
      </c>
      <c r="F41" s="55">
        <v>14.87910576096303</v>
      </c>
      <c r="G41" s="55">
        <v>18.092347377472048</v>
      </c>
      <c r="H41" s="55">
        <v>20.987188306104901</v>
      </c>
      <c r="I41" s="55">
        <v>22.660189165950129</v>
      </c>
      <c r="J41" s="55">
        <v>26.719862424763541</v>
      </c>
      <c r="K41" s="55">
        <v>31.779449699054169</v>
      </c>
      <c r="L41" s="55">
        <v>35.253654342218397</v>
      </c>
      <c r="M41" s="55">
        <v>38.069217540842637</v>
      </c>
      <c r="N41" s="55">
        <v>40.957781599312121</v>
      </c>
      <c r="O41" s="55">
        <v>41.73662940670679</v>
      </c>
      <c r="P41" s="55">
        <v>44.718400687876183</v>
      </c>
      <c r="Q41" s="55">
        <v>47.540842648323299</v>
      </c>
      <c r="R41" s="55">
        <v>47.456835769561479</v>
      </c>
      <c r="S41" s="55">
        <v>48.364918314703353</v>
      </c>
      <c r="T41" s="55">
        <v>49.191143594153047</v>
      </c>
      <c r="U41" s="55">
        <v>49.635167669819417</v>
      </c>
      <c r="V41" s="55">
        <v>49.308598452278581</v>
      </c>
      <c r="W41" s="55">
        <v>48.339122957867581</v>
      </c>
      <c r="X41" s="55">
        <v>46.807566638005149</v>
      </c>
      <c r="Y41" s="55">
        <v>45.135081685296647</v>
      </c>
      <c r="DA41" s="101" t="s">
        <v>207</v>
      </c>
    </row>
    <row r="42" spans="1:105" ht="12" customHeight="1" x14ac:dyDescent="0.25">
      <c r="A42" s="61" t="s">
        <v>25</v>
      </c>
      <c r="B42" s="55">
        <v>1.095098882201204</v>
      </c>
      <c r="C42" s="55">
        <v>1.095098882201204</v>
      </c>
      <c r="D42" s="55">
        <v>0.14032674118658639</v>
      </c>
      <c r="E42" s="55">
        <v>0.1003439380911436</v>
      </c>
      <c r="F42" s="55">
        <v>0.1003439380911436</v>
      </c>
      <c r="G42" s="55">
        <v>0.1003439380911436</v>
      </c>
      <c r="H42" s="55">
        <v>0.1003439380911436</v>
      </c>
      <c r="I42" s="55">
        <v>0.1003439380911436</v>
      </c>
      <c r="J42" s="55">
        <v>0.1003439380911436</v>
      </c>
      <c r="K42" s="55">
        <v>0.1003439380911436</v>
      </c>
      <c r="L42" s="55">
        <v>0.1003439380911436</v>
      </c>
      <c r="M42" s="55">
        <v>0.1003439380911436</v>
      </c>
      <c r="N42" s="55">
        <v>0.1003439380911436</v>
      </c>
      <c r="O42" s="55">
        <v>0.1003439380911436</v>
      </c>
      <c r="P42" s="55">
        <v>0.1003439380911436</v>
      </c>
      <c r="Q42" s="55">
        <v>0.1003439380911436</v>
      </c>
      <c r="R42" s="55">
        <v>0.1003439380911436</v>
      </c>
      <c r="S42" s="55">
        <v>0.1003439380911436</v>
      </c>
      <c r="T42" s="55">
        <v>0.1003439380911436</v>
      </c>
      <c r="U42" s="55">
        <v>0.1003439380911436</v>
      </c>
      <c r="V42" s="55">
        <v>0.1003439380911436</v>
      </c>
      <c r="W42" s="55">
        <v>0.1003439380911436</v>
      </c>
      <c r="X42" s="55">
        <v>0.1003439380911436</v>
      </c>
      <c r="Y42" s="55">
        <v>0.1003439380911436</v>
      </c>
      <c r="DA42" s="101" t="s">
        <v>208</v>
      </c>
    </row>
    <row r="43" spans="1:105" ht="12" customHeight="1" x14ac:dyDescent="0.25">
      <c r="A43" s="61" t="s">
        <v>151</v>
      </c>
      <c r="B43" s="309">
        <v>1.004390338887635</v>
      </c>
      <c r="C43" s="309">
        <v>1.4980364840167177</v>
      </c>
      <c r="D43" s="55">
        <v>1.8648526031078101</v>
      </c>
      <c r="E43" s="55">
        <v>2.9012040623138566</v>
      </c>
      <c r="F43" s="55">
        <v>3.3867013096666021</v>
      </c>
      <c r="G43" s="55">
        <v>6.1315624506548483</v>
      </c>
      <c r="H43" s="55">
        <v>9.096570887415405</v>
      </c>
      <c r="I43" s="55">
        <v>16.624153269218969</v>
      </c>
      <c r="J43" s="55">
        <v>27.390641001310055</v>
      </c>
      <c r="K43" s="55">
        <v>33.818697408418601</v>
      </c>
      <c r="L43" s="55">
        <v>39.498331046802541</v>
      </c>
      <c r="M43" s="55">
        <v>47.762400094484136</v>
      </c>
      <c r="N43" s="55">
        <v>70.54867010203499</v>
      </c>
      <c r="O43" s="55">
        <v>93.428099626289352</v>
      </c>
      <c r="P43" s="55">
        <v>120.35331040412723</v>
      </c>
      <c r="Q43" s="55">
        <v>180.25640584694756</v>
      </c>
      <c r="R43" s="55">
        <v>243.00533104041253</v>
      </c>
      <c r="S43" s="55">
        <v>314.25176268271707</v>
      </c>
      <c r="T43" s="55">
        <v>390.80670679277711</v>
      </c>
      <c r="U43" s="55">
        <v>472.17274290627614</v>
      </c>
      <c r="V43" s="55">
        <v>547.81203783319017</v>
      </c>
      <c r="W43" s="55">
        <v>622.37910576096272</v>
      </c>
      <c r="X43" s="55">
        <v>715.23843508168727</v>
      </c>
      <c r="Y43" s="55">
        <v>804.42459157351664</v>
      </c>
      <c r="DA43" s="101" t="s">
        <v>209</v>
      </c>
    </row>
    <row r="44" spans="1:105" ht="12" customHeight="1" x14ac:dyDescent="0.25">
      <c r="A44" s="60" t="s">
        <v>162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55">
        <v>0</v>
      </c>
      <c r="N44" s="55">
        <v>0</v>
      </c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>
        <v>0</v>
      </c>
      <c r="U44" s="55">
        <v>0</v>
      </c>
      <c r="V44" s="55">
        <v>0</v>
      </c>
      <c r="W44" s="55">
        <v>0</v>
      </c>
      <c r="X44" s="55">
        <v>0</v>
      </c>
      <c r="Y44" s="55">
        <v>0</v>
      </c>
      <c r="DA44" s="101" t="s">
        <v>210</v>
      </c>
    </row>
    <row r="45" spans="1:105" ht="12" customHeight="1" x14ac:dyDescent="0.25">
      <c r="A45" s="62" t="s">
        <v>24</v>
      </c>
      <c r="B45" s="63">
        <v>4447.033533963885</v>
      </c>
      <c r="C45" s="63">
        <v>4557.6956147893379</v>
      </c>
      <c r="D45" s="63">
        <v>4718.9165950128972</v>
      </c>
      <c r="E45" s="63">
        <v>5075.4084264832327</v>
      </c>
      <c r="F45" s="63">
        <v>5374.2906276870153</v>
      </c>
      <c r="G45" s="63">
        <v>5634.9097162510752</v>
      </c>
      <c r="H45" s="63">
        <v>6404.4711951848667</v>
      </c>
      <c r="I45" s="63">
        <v>6371.4531384350821</v>
      </c>
      <c r="J45" s="63">
        <v>6870.5932932072228</v>
      </c>
      <c r="K45" s="63">
        <v>6977.0419941635464</v>
      </c>
      <c r="L45" s="63">
        <v>7227.2464828431412</v>
      </c>
      <c r="M45" s="63">
        <v>7037.4907222851052</v>
      </c>
      <c r="N45" s="63">
        <v>6945.0422200846269</v>
      </c>
      <c r="O45" s="63">
        <v>6563.206756329213</v>
      </c>
      <c r="P45" s="63">
        <v>6069.3394042699356</v>
      </c>
      <c r="Q45" s="63">
        <v>6373.8188984117342</v>
      </c>
      <c r="R45" s="63">
        <v>6312.3669333055186</v>
      </c>
      <c r="S45" s="63">
        <v>6477.8464323999015</v>
      </c>
      <c r="T45" s="63">
        <v>6412.331744558337</v>
      </c>
      <c r="U45" s="63">
        <v>6421.5893588704103</v>
      </c>
      <c r="V45" s="63">
        <v>5786.9488106495692</v>
      </c>
      <c r="W45" s="63">
        <v>5948.5175490129413</v>
      </c>
      <c r="X45" s="63">
        <v>6071.881845763598</v>
      </c>
      <c r="Y45" s="63">
        <v>6248.1679541761696</v>
      </c>
      <c r="DA45" s="105" t="s">
        <v>211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DA46" s="106"/>
    </row>
    <row r="47" spans="1:105" ht="12.95" customHeight="1" x14ac:dyDescent="0.25">
      <c r="A47" s="81" t="s">
        <v>56</v>
      </c>
      <c r="B47" s="82">
        <f t="shared" ref="B47" si="33">SUM(B48,B53)</f>
        <v>6799.3826311263947</v>
      </c>
      <c r="C47" s="82">
        <f t="shared" ref="C47:W47" si="34">SUM(C48,C53)</f>
        <v>7129.9401547721391</v>
      </c>
      <c r="D47" s="82">
        <f t="shared" si="34"/>
        <v>7286.7561478933785</v>
      </c>
      <c r="E47" s="82">
        <f t="shared" si="34"/>
        <v>7344.3583834909714</v>
      </c>
      <c r="F47" s="82">
        <f t="shared" si="34"/>
        <v>7950.9993981083398</v>
      </c>
      <c r="G47" s="82">
        <f t="shared" si="34"/>
        <v>8585.1854686156494</v>
      </c>
      <c r="H47" s="82">
        <f t="shared" si="34"/>
        <v>10520.158383490972</v>
      </c>
      <c r="I47" s="82">
        <f t="shared" si="34"/>
        <v>9506.9370593293206</v>
      </c>
      <c r="J47" s="82">
        <f t="shared" si="34"/>
        <v>9789.8850386930353</v>
      </c>
      <c r="K47" s="82">
        <f t="shared" si="34"/>
        <v>10147.073206545319</v>
      </c>
      <c r="L47" s="82">
        <f t="shared" si="34"/>
        <v>10854.610197374526</v>
      </c>
      <c r="M47" s="82">
        <f t="shared" si="34"/>
        <v>10826.324256248992</v>
      </c>
      <c r="N47" s="82">
        <f t="shared" si="34"/>
        <v>10428.545229542924</v>
      </c>
      <c r="O47" s="82">
        <f t="shared" si="34"/>
        <v>10025.557573182181</v>
      </c>
      <c r="P47" s="82">
        <f t="shared" si="34"/>
        <v>9148.1682090850682</v>
      </c>
      <c r="Q47" s="82">
        <f t="shared" si="34"/>
        <v>9429.6483911030482</v>
      </c>
      <c r="R47" s="82">
        <f t="shared" si="34"/>
        <v>9603.2137088859126</v>
      </c>
      <c r="S47" s="82">
        <f t="shared" si="34"/>
        <v>9836.9085132253495</v>
      </c>
      <c r="T47" s="82">
        <f t="shared" si="34"/>
        <v>9912.8498872926448</v>
      </c>
      <c r="U47" s="82">
        <f t="shared" si="34"/>
        <v>9894.1837698764284</v>
      </c>
      <c r="V47" s="82">
        <f t="shared" si="34"/>
        <v>9071.9124391964306</v>
      </c>
      <c r="W47" s="82">
        <f t="shared" si="34"/>
        <v>9528.6565000017654</v>
      </c>
      <c r="X47" s="82">
        <f t="shared" ref="X47:Y47" si="35">SUM(X48,X53)</f>
        <v>9427.4727314041847</v>
      </c>
      <c r="Y47" s="82">
        <f t="shared" si="35"/>
        <v>9476.1437065407408</v>
      </c>
      <c r="DA47" s="107" t="s">
        <v>212</v>
      </c>
    </row>
    <row r="48" spans="1:105" ht="12" customHeight="1" x14ac:dyDescent="0.25">
      <c r="A48" s="77" t="s">
        <v>36</v>
      </c>
      <c r="B48" s="64">
        <f t="shared" ref="B48" si="36">SUM(B49:B52)</f>
        <v>4005.6800233639915</v>
      </c>
      <c r="C48" s="64">
        <f t="shared" ref="C48:W48" si="37">SUM(C49:C52)</f>
        <v>4148.0687201786041</v>
      </c>
      <c r="D48" s="64">
        <f t="shared" si="37"/>
        <v>4140.4413964410605</v>
      </c>
      <c r="E48" s="64">
        <f t="shared" si="37"/>
        <v>4011.4751023028257</v>
      </c>
      <c r="F48" s="64">
        <f t="shared" si="37"/>
        <v>4423.997347309878</v>
      </c>
      <c r="G48" s="64">
        <f t="shared" si="37"/>
        <v>4867.6399803323475</v>
      </c>
      <c r="H48" s="64">
        <f t="shared" si="37"/>
        <v>6639.6458134314871</v>
      </c>
      <c r="I48" s="64">
        <f t="shared" si="37"/>
        <v>5484.4900364672412</v>
      </c>
      <c r="J48" s="64">
        <f t="shared" si="37"/>
        <v>5653.5237520311675</v>
      </c>
      <c r="K48" s="64">
        <f t="shared" si="37"/>
        <v>5999.8360208622762</v>
      </c>
      <c r="L48" s="64">
        <f t="shared" si="37"/>
        <v>6629.7665782387339</v>
      </c>
      <c r="M48" s="64">
        <f t="shared" si="37"/>
        <v>6577.7712089342422</v>
      </c>
      <c r="N48" s="64">
        <f t="shared" si="37"/>
        <v>6126.4573770339048</v>
      </c>
      <c r="O48" s="64">
        <f t="shared" si="37"/>
        <v>5719.3887542936063</v>
      </c>
      <c r="P48" s="64">
        <f t="shared" si="37"/>
        <v>4799.6541931282209</v>
      </c>
      <c r="Q48" s="64">
        <f t="shared" si="37"/>
        <v>4978.5960188059198</v>
      </c>
      <c r="R48" s="64">
        <f t="shared" si="37"/>
        <v>5069.717056005793</v>
      </c>
      <c r="S48" s="64">
        <f t="shared" si="37"/>
        <v>5356.6031761482081</v>
      </c>
      <c r="T48" s="64">
        <f t="shared" si="37"/>
        <v>5445.5769189569164</v>
      </c>
      <c r="U48" s="64">
        <f t="shared" si="37"/>
        <v>5474.7126741458542</v>
      </c>
      <c r="V48" s="64">
        <f t="shared" si="37"/>
        <v>4984.7277869408108</v>
      </c>
      <c r="W48" s="64">
        <f t="shared" si="37"/>
        <v>5443.3446592491164</v>
      </c>
      <c r="X48" s="64">
        <f t="shared" ref="X48:Y48" si="38">SUM(X49:X52)</f>
        <v>5341.9232079427302</v>
      </c>
      <c r="Y48" s="64">
        <f t="shared" si="38"/>
        <v>5430.4058300045526</v>
      </c>
      <c r="DA48" s="108" t="s">
        <v>213</v>
      </c>
    </row>
    <row r="49" spans="1:105" ht="12" customHeight="1" x14ac:dyDescent="0.25">
      <c r="A49" s="61" t="s">
        <v>32</v>
      </c>
      <c r="B49" s="65">
        <v>1899.235313171082</v>
      </c>
      <c r="C49" s="65">
        <v>1891.1411256161323</v>
      </c>
      <c r="D49" s="65">
        <v>1838.628257814966</v>
      </c>
      <c r="E49" s="65">
        <v>1568.3467319385152</v>
      </c>
      <c r="F49" s="65">
        <v>1805.4884996488101</v>
      </c>
      <c r="G49" s="65">
        <v>2116.9645704825334</v>
      </c>
      <c r="H49" s="65">
        <v>3596.5504426101779</v>
      </c>
      <c r="I49" s="65">
        <v>2451.0856036223513</v>
      </c>
      <c r="J49" s="65">
        <v>2454.184948421459</v>
      </c>
      <c r="K49" s="65">
        <v>2598.5262255168727</v>
      </c>
      <c r="L49" s="65">
        <v>3154.7537218159273</v>
      </c>
      <c r="M49" s="65">
        <v>3134.3486202769473</v>
      </c>
      <c r="N49" s="65">
        <v>2560.4840538814537</v>
      </c>
      <c r="O49" s="65">
        <v>2281.63211880566</v>
      </c>
      <c r="P49" s="65">
        <v>1372.6425607791939</v>
      </c>
      <c r="Q49" s="65">
        <v>1296.2838471485218</v>
      </c>
      <c r="R49" s="65">
        <v>1451.0812577728541</v>
      </c>
      <c r="S49" s="65">
        <v>1605.5698049582927</v>
      </c>
      <c r="T49" s="65">
        <v>1901.632954041861</v>
      </c>
      <c r="U49" s="65">
        <v>1895.3227558961185</v>
      </c>
      <c r="V49" s="65">
        <v>1734.7657880722593</v>
      </c>
      <c r="W49" s="65">
        <v>2028.9884653739919</v>
      </c>
      <c r="X49" s="65">
        <v>1953.5441269964585</v>
      </c>
      <c r="Y49" s="65">
        <v>1834.3706469744436</v>
      </c>
      <c r="DA49" s="109" t="s">
        <v>214</v>
      </c>
    </row>
    <row r="50" spans="1:105" ht="12" customHeight="1" x14ac:dyDescent="0.25">
      <c r="A50" s="61" t="s">
        <v>31</v>
      </c>
      <c r="B50" s="65">
        <v>246.71300202075255</v>
      </c>
      <c r="C50" s="65">
        <v>285.26217165239268</v>
      </c>
      <c r="D50" s="65">
        <v>281.57731931742234</v>
      </c>
      <c r="E50" s="65">
        <v>413.14831941196019</v>
      </c>
      <c r="F50" s="65">
        <v>389.18089347500734</v>
      </c>
      <c r="G50" s="65">
        <v>450.8600742380699</v>
      </c>
      <c r="H50" s="65">
        <v>563.44997556095404</v>
      </c>
      <c r="I50" s="65">
        <v>483.27341098421562</v>
      </c>
      <c r="J50" s="65">
        <v>552.4342904065677</v>
      </c>
      <c r="K50" s="65">
        <v>772.66258043651999</v>
      </c>
      <c r="L50" s="65">
        <v>774.44483818001481</v>
      </c>
      <c r="M50" s="65">
        <v>719.18210017664535</v>
      </c>
      <c r="N50" s="65">
        <v>875.66152340315762</v>
      </c>
      <c r="O50" s="65">
        <v>707.28882387036401</v>
      </c>
      <c r="P50" s="65">
        <v>648.74490538488794</v>
      </c>
      <c r="Q50" s="65">
        <v>938.17524675982929</v>
      </c>
      <c r="R50" s="65">
        <v>900.04702374939404</v>
      </c>
      <c r="S50" s="65">
        <v>1025.2396149991876</v>
      </c>
      <c r="T50" s="65">
        <v>721.94453812538598</v>
      </c>
      <c r="U50" s="65">
        <v>746.54228860755245</v>
      </c>
      <c r="V50" s="65">
        <v>824.36076677593201</v>
      </c>
      <c r="W50" s="65">
        <v>708.82255519659941</v>
      </c>
      <c r="X50" s="65">
        <v>903.77642272171897</v>
      </c>
      <c r="Y50" s="65">
        <v>912.27653195956361</v>
      </c>
      <c r="DA50" s="109" t="s">
        <v>215</v>
      </c>
    </row>
    <row r="51" spans="1:105" ht="12" customHeight="1" x14ac:dyDescent="0.25">
      <c r="A51" s="61" t="s">
        <v>35</v>
      </c>
      <c r="B51" s="65">
        <v>904.60407599295161</v>
      </c>
      <c r="C51" s="65">
        <v>957.62816887110364</v>
      </c>
      <c r="D51" s="65">
        <v>1019.1648720720311</v>
      </c>
      <c r="E51" s="65">
        <v>1034.4107406568876</v>
      </c>
      <c r="F51" s="65">
        <v>1122.7901808253796</v>
      </c>
      <c r="G51" s="65">
        <v>1153.6344484143765</v>
      </c>
      <c r="H51" s="65">
        <v>1227.2087276188572</v>
      </c>
      <c r="I51" s="65">
        <v>1241.5371058554679</v>
      </c>
      <c r="J51" s="65">
        <v>1274.2111270426515</v>
      </c>
      <c r="K51" s="65">
        <v>1266.2754909369953</v>
      </c>
      <c r="L51" s="65">
        <v>1287.8451734057255</v>
      </c>
      <c r="M51" s="65">
        <v>1293.2764713197655</v>
      </c>
      <c r="N51" s="65">
        <v>1268.5822880053554</v>
      </c>
      <c r="O51" s="65">
        <v>1291.3569439578544</v>
      </c>
      <c r="P51" s="65">
        <v>1260.4850086704216</v>
      </c>
      <c r="Q51" s="65">
        <v>1197.0086615422749</v>
      </c>
      <c r="R51" s="65">
        <v>1170.2141165487737</v>
      </c>
      <c r="S51" s="65">
        <v>1127.3919727271182</v>
      </c>
      <c r="T51" s="65">
        <v>1196.3822160091966</v>
      </c>
      <c r="U51" s="65">
        <v>1167.3538960379642</v>
      </c>
      <c r="V51" s="65">
        <v>1022.2843718052434</v>
      </c>
      <c r="W51" s="65">
        <v>1100.8902282797296</v>
      </c>
      <c r="X51" s="65">
        <v>1041.5342304925098</v>
      </c>
      <c r="Y51" s="65">
        <v>1041.9466907866686</v>
      </c>
      <c r="DA51" s="109" t="s">
        <v>216</v>
      </c>
    </row>
    <row r="52" spans="1:105" ht="12" customHeight="1" x14ac:dyDescent="0.25">
      <c r="A52" s="66" t="s">
        <v>34</v>
      </c>
      <c r="B52" s="67">
        <v>955.12763217920565</v>
      </c>
      <c r="C52" s="67">
        <v>1014.0372540389758</v>
      </c>
      <c r="D52" s="67">
        <v>1001.070947236641</v>
      </c>
      <c r="E52" s="67">
        <v>995.56931029546286</v>
      </c>
      <c r="F52" s="67">
        <v>1106.5377733606806</v>
      </c>
      <c r="G52" s="67">
        <v>1146.1808871973676</v>
      </c>
      <c r="H52" s="67">
        <v>1252.4366676414975</v>
      </c>
      <c r="I52" s="67">
        <v>1308.5939160052062</v>
      </c>
      <c r="J52" s="67">
        <v>1372.6933861604889</v>
      </c>
      <c r="K52" s="67">
        <v>1362.3717239718881</v>
      </c>
      <c r="L52" s="67">
        <v>1412.7228448370661</v>
      </c>
      <c r="M52" s="67">
        <v>1430.9640171608844</v>
      </c>
      <c r="N52" s="67">
        <v>1421.7295117439385</v>
      </c>
      <c r="O52" s="67">
        <v>1439.1108676597278</v>
      </c>
      <c r="P52" s="67">
        <v>1517.7817182937174</v>
      </c>
      <c r="Q52" s="67">
        <v>1547.1282633552942</v>
      </c>
      <c r="R52" s="67">
        <v>1548.3746579347717</v>
      </c>
      <c r="S52" s="67">
        <v>1598.4017834636102</v>
      </c>
      <c r="T52" s="67">
        <v>1625.6172107804728</v>
      </c>
      <c r="U52" s="67">
        <v>1665.493733604219</v>
      </c>
      <c r="V52" s="67">
        <v>1403.3168602873757</v>
      </c>
      <c r="W52" s="67">
        <v>1604.6434103987963</v>
      </c>
      <c r="X52" s="67">
        <v>1443.0684277320427</v>
      </c>
      <c r="Y52" s="67">
        <v>1641.8119602838772</v>
      </c>
      <c r="DA52" s="110" t="s">
        <v>217</v>
      </c>
    </row>
    <row r="53" spans="1:105" ht="12" customHeight="1" x14ac:dyDescent="0.25">
      <c r="A53" s="78" t="s">
        <v>33</v>
      </c>
      <c r="B53" s="68">
        <v>2793.7026077624037</v>
      </c>
      <c r="C53" s="68">
        <v>2981.8714345935355</v>
      </c>
      <c r="D53" s="68">
        <v>3146.314751452318</v>
      </c>
      <c r="E53" s="68">
        <v>3332.8832811881452</v>
      </c>
      <c r="F53" s="68">
        <v>3527.0020507984618</v>
      </c>
      <c r="G53" s="68">
        <v>3717.5454882833019</v>
      </c>
      <c r="H53" s="68">
        <v>3880.5125700594849</v>
      </c>
      <c r="I53" s="68">
        <v>4022.4470228620798</v>
      </c>
      <c r="J53" s="68">
        <v>4136.3612866618678</v>
      </c>
      <c r="K53" s="68">
        <v>4147.2371856830423</v>
      </c>
      <c r="L53" s="68">
        <v>4224.8436191357923</v>
      </c>
      <c r="M53" s="68">
        <v>4248.5530473147501</v>
      </c>
      <c r="N53" s="68">
        <v>4302.0878525090193</v>
      </c>
      <c r="O53" s="68">
        <v>4306.1688188885746</v>
      </c>
      <c r="P53" s="68">
        <v>4348.5140159568473</v>
      </c>
      <c r="Q53" s="68">
        <v>4451.0523722971293</v>
      </c>
      <c r="R53" s="68">
        <v>4533.4966528801187</v>
      </c>
      <c r="S53" s="68">
        <v>4480.3053370771413</v>
      </c>
      <c r="T53" s="68">
        <v>4467.2729683357284</v>
      </c>
      <c r="U53" s="68">
        <v>4419.4710957305751</v>
      </c>
      <c r="V53" s="68">
        <v>4087.1846522556198</v>
      </c>
      <c r="W53" s="68">
        <v>4085.311840752649</v>
      </c>
      <c r="X53" s="68">
        <v>4085.5495234614536</v>
      </c>
      <c r="Y53" s="68">
        <v>4045.7378765361891</v>
      </c>
      <c r="DA53" s="111" t="s">
        <v>218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39">IF(B47=0,0,B47/B$47)</f>
        <v>1</v>
      </c>
      <c r="C55" s="83">
        <f t="shared" ref="C55:W55" si="40">IF(C47=0,0,C47/C$47)</f>
        <v>1</v>
      </c>
      <c r="D55" s="83">
        <f t="shared" si="40"/>
        <v>1</v>
      </c>
      <c r="E55" s="83">
        <f t="shared" si="40"/>
        <v>1</v>
      </c>
      <c r="F55" s="83">
        <f t="shared" si="40"/>
        <v>1</v>
      </c>
      <c r="G55" s="83">
        <f t="shared" si="40"/>
        <v>1</v>
      </c>
      <c r="H55" s="83">
        <f t="shared" si="40"/>
        <v>1</v>
      </c>
      <c r="I55" s="83">
        <f t="shared" si="40"/>
        <v>1</v>
      </c>
      <c r="J55" s="83">
        <f t="shared" si="40"/>
        <v>1</v>
      </c>
      <c r="K55" s="83">
        <f t="shared" si="40"/>
        <v>1</v>
      </c>
      <c r="L55" s="83">
        <f t="shared" si="40"/>
        <v>1</v>
      </c>
      <c r="M55" s="83">
        <f t="shared" si="40"/>
        <v>1</v>
      </c>
      <c r="N55" s="83">
        <f t="shared" si="40"/>
        <v>1</v>
      </c>
      <c r="O55" s="83">
        <f t="shared" si="40"/>
        <v>1</v>
      </c>
      <c r="P55" s="83">
        <f t="shared" si="40"/>
        <v>1</v>
      </c>
      <c r="Q55" s="83">
        <f t="shared" si="40"/>
        <v>1</v>
      </c>
      <c r="R55" s="83">
        <f t="shared" si="40"/>
        <v>1</v>
      </c>
      <c r="S55" s="83">
        <f t="shared" si="40"/>
        <v>1</v>
      </c>
      <c r="T55" s="83">
        <f t="shared" si="40"/>
        <v>1</v>
      </c>
      <c r="U55" s="83">
        <f t="shared" si="40"/>
        <v>1</v>
      </c>
      <c r="V55" s="83">
        <f t="shared" si="40"/>
        <v>1</v>
      </c>
      <c r="W55" s="83">
        <f t="shared" si="40"/>
        <v>1</v>
      </c>
      <c r="X55" s="83">
        <f t="shared" ref="X55:Y55" si="41">IF(X47=0,0,X47/X$47)</f>
        <v>1</v>
      </c>
      <c r="Y55" s="83">
        <f t="shared" si="41"/>
        <v>1</v>
      </c>
      <c r="DA55" s="112"/>
    </row>
    <row r="56" spans="1:105" ht="12" customHeight="1" x14ac:dyDescent="0.25">
      <c r="A56" s="69" t="s">
        <v>36</v>
      </c>
      <c r="B56" s="70">
        <f t="shared" ref="B56" si="42">IF(B48=0,0,B48/B$47)</f>
        <v>0.5891240779753566</v>
      </c>
      <c r="C56" s="70">
        <f t="shared" ref="C56:W56" si="43">IF(C48=0,0,C48/C$47)</f>
        <v>0.5817817022492483</v>
      </c>
      <c r="D56" s="70">
        <f t="shared" si="43"/>
        <v>0.56821462285904456</v>
      </c>
      <c r="E56" s="70">
        <f t="shared" si="43"/>
        <v>0.54619816910351582</v>
      </c>
      <c r="F56" s="70">
        <f t="shared" si="43"/>
        <v>0.55640770748422042</v>
      </c>
      <c r="G56" s="70">
        <f t="shared" si="43"/>
        <v>0.56698134223502672</v>
      </c>
      <c r="H56" s="70">
        <f t="shared" si="43"/>
        <v>0.63113553726062921</v>
      </c>
      <c r="I56" s="70">
        <f t="shared" si="43"/>
        <v>0.57689348338382207</v>
      </c>
      <c r="J56" s="70">
        <f t="shared" si="43"/>
        <v>0.57748622478062539</v>
      </c>
      <c r="K56" s="70">
        <f t="shared" si="43"/>
        <v>0.59128734943905914</v>
      </c>
      <c r="L56" s="70">
        <f t="shared" si="43"/>
        <v>0.61077887254231555</v>
      </c>
      <c r="M56" s="70">
        <f t="shared" si="43"/>
        <v>0.60757197486834269</v>
      </c>
      <c r="N56" s="70">
        <f t="shared" si="43"/>
        <v>0.58746999146902323</v>
      </c>
      <c r="O56" s="70">
        <f t="shared" si="43"/>
        <v>0.57048086478428484</v>
      </c>
      <c r="P56" s="70">
        <f t="shared" si="43"/>
        <v>0.52465740500504487</v>
      </c>
      <c r="Q56" s="70">
        <f t="shared" si="43"/>
        <v>0.52797260431293136</v>
      </c>
      <c r="R56" s="70">
        <f t="shared" si="43"/>
        <v>0.52791879986121237</v>
      </c>
      <c r="S56" s="70">
        <f t="shared" si="43"/>
        <v>0.54454132301286107</v>
      </c>
      <c r="T56" s="70">
        <f t="shared" si="43"/>
        <v>0.54934524187011458</v>
      </c>
      <c r="U56" s="70">
        <f t="shared" si="43"/>
        <v>0.55332635834135402</v>
      </c>
      <c r="V56" s="70">
        <f t="shared" si="43"/>
        <v>0.54946824281544171</v>
      </c>
      <c r="W56" s="70">
        <f t="shared" si="43"/>
        <v>0.57126045620892174</v>
      </c>
      <c r="X56" s="70">
        <f t="shared" ref="X56:Y56" si="44">IF(X48=0,0,X48/X$47)</f>
        <v>0.56663364192484611</v>
      </c>
      <c r="Y56" s="70">
        <f t="shared" si="44"/>
        <v>0.57306072999466129</v>
      </c>
      <c r="DA56" s="113"/>
    </row>
    <row r="57" spans="1:105" ht="12" customHeight="1" x14ac:dyDescent="0.25">
      <c r="A57" s="61" t="s">
        <v>32</v>
      </c>
      <c r="B57" s="71">
        <f t="shared" ref="B57" si="45">IF(B49=0,0,B49/B$47)</f>
        <v>0.27932467051886622</v>
      </c>
      <c r="C57" s="71">
        <f t="shared" ref="C57:W57" si="46">IF(C49=0,0,C49/C$47)</f>
        <v>0.26523941078949631</v>
      </c>
      <c r="D57" s="71">
        <f t="shared" si="46"/>
        <v>0.25232465866811238</v>
      </c>
      <c r="E57" s="71">
        <f t="shared" si="46"/>
        <v>0.21354441736720339</v>
      </c>
      <c r="F57" s="71">
        <f t="shared" si="46"/>
        <v>0.2270769257105418</v>
      </c>
      <c r="G57" s="71">
        <f t="shared" si="46"/>
        <v>0.24658344053502335</v>
      </c>
      <c r="H57" s="71">
        <f t="shared" si="46"/>
        <v>0.34187227145307592</v>
      </c>
      <c r="I57" s="71">
        <f t="shared" si="46"/>
        <v>0.25782074587493548</v>
      </c>
      <c r="J57" s="71">
        <f t="shared" si="46"/>
        <v>0.25068577809868708</v>
      </c>
      <c r="K57" s="71">
        <f t="shared" si="46"/>
        <v>0.25608627952350893</v>
      </c>
      <c r="L57" s="71">
        <f t="shared" si="46"/>
        <v>0.29063721906651124</v>
      </c>
      <c r="M57" s="71">
        <f t="shared" si="46"/>
        <v>0.289511799766</v>
      </c>
      <c r="N57" s="71">
        <f t="shared" si="46"/>
        <v>0.24552648500079219</v>
      </c>
      <c r="O57" s="71">
        <f t="shared" si="46"/>
        <v>0.22758156862107115</v>
      </c>
      <c r="P57" s="71">
        <f t="shared" si="46"/>
        <v>0.15004561890499774</v>
      </c>
      <c r="Q57" s="71">
        <f t="shared" si="46"/>
        <v>0.13746894829838793</v>
      </c>
      <c r="R57" s="71">
        <f t="shared" si="46"/>
        <v>0.15110371400254893</v>
      </c>
      <c r="S57" s="71">
        <f t="shared" si="46"/>
        <v>0.16321894249597474</v>
      </c>
      <c r="T57" s="71">
        <f t="shared" si="46"/>
        <v>0.19183514081854283</v>
      </c>
      <c r="U57" s="71">
        <f t="shared" si="46"/>
        <v>0.19155928371439473</v>
      </c>
      <c r="V57" s="71">
        <f t="shared" si="46"/>
        <v>0.19122382405025956</v>
      </c>
      <c r="W57" s="71">
        <f t="shared" si="46"/>
        <v>0.21293541910904396</v>
      </c>
      <c r="X57" s="71">
        <f t="shared" ref="X57:Y57" si="47">IF(X49=0,0,X49/X$47)</f>
        <v>0.20721822090123254</v>
      </c>
      <c r="Y57" s="71">
        <f t="shared" si="47"/>
        <v>0.19357775734324309</v>
      </c>
      <c r="DA57" s="114"/>
    </row>
    <row r="58" spans="1:105" ht="12" customHeight="1" x14ac:dyDescent="0.25">
      <c r="A58" s="61" t="s">
        <v>31</v>
      </c>
      <c r="B58" s="72">
        <f t="shared" ref="B58" si="48">IF(B50=0,0,B50/B$47)</f>
        <v>3.6284618090375323E-2</v>
      </c>
      <c r="C58" s="72">
        <f t="shared" ref="C58:W58" si="49">IF(C50=0,0,C50/C$47)</f>
        <v>4.0009055540454135E-2</v>
      </c>
      <c r="D58" s="72">
        <f t="shared" si="49"/>
        <v>3.864234147575079E-2</v>
      </c>
      <c r="E58" s="72">
        <f t="shared" si="49"/>
        <v>5.625383428192398E-2</v>
      </c>
      <c r="F58" s="72">
        <f t="shared" si="49"/>
        <v>4.8947418304119007E-2</v>
      </c>
      <c r="G58" s="72">
        <f t="shared" si="49"/>
        <v>5.251605523098507E-2</v>
      </c>
      <c r="H58" s="72">
        <f t="shared" si="49"/>
        <v>5.3559077251646929E-2</v>
      </c>
      <c r="I58" s="72">
        <f t="shared" si="49"/>
        <v>5.0833765698487625E-2</v>
      </c>
      <c r="J58" s="72">
        <f t="shared" si="49"/>
        <v>5.6429088617808584E-2</v>
      </c>
      <c r="K58" s="72">
        <f t="shared" si="49"/>
        <v>7.6146349268291252E-2</v>
      </c>
      <c r="L58" s="72">
        <f t="shared" si="49"/>
        <v>7.134708884961477E-2</v>
      </c>
      <c r="M58" s="72">
        <f t="shared" si="49"/>
        <v>6.6429019042315393E-2</v>
      </c>
      <c r="N58" s="72">
        <f t="shared" si="49"/>
        <v>8.3967754286811219E-2</v>
      </c>
      <c r="O58" s="72">
        <f t="shared" si="49"/>
        <v>7.0548577344199087E-2</v>
      </c>
      <c r="P58" s="72">
        <f t="shared" si="49"/>
        <v>7.0915279491758562E-2</v>
      </c>
      <c r="Q58" s="72">
        <f t="shared" si="49"/>
        <v>9.9492070949856987E-2</v>
      </c>
      <c r="R58" s="72">
        <f t="shared" si="49"/>
        <v>9.3723523294766936E-2</v>
      </c>
      <c r="S58" s="72">
        <f t="shared" si="49"/>
        <v>0.10422376233557443</v>
      </c>
      <c r="T58" s="72">
        <f t="shared" si="49"/>
        <v>7.2829160769482856E-2</v>
      </c>
      <c r="U58" s="72">
        <f t="shared" si="49"/>
        <v>7.5452640255223025E-2</v>
      </c>
      <c r="V58" s="72">
        <f t="shared" si="49"/>
        <v>9.0869568274729959E-2</v>
      </c>
      <c r="W58" s="72">
        <f t="shared" si="49"/>
        <v>7.4388509565484706E-2</v>
      </c>
      <c r="X58" s="72">
        <f t="shared" ref="X58:Y58" si="50">IF(X50=0,0,X50/X$47)</f>
        <v>9.5866246285827766E-2</v>
      </c>
      <c r="Y58" s="72">
        <f t="shared" si="50"/>
        <v>9.6270862938674179E-2</v>
      </c>
      <c r="DA58" s="115"/>
    </row>
    <row r="59" spans="1:105" ht="12" customHeight="1" x14ac:dyDescent="0.25">
      <c r="A59" s="61" t="s">
        <v>35</v>
      </c>
      <c r="B59" s="72">
        <f t="shared" ref="B59" si="51">IF(B51=0,0,B51/B$47)</f>
        <v>0.1330420900056177</v>
      </c>
      <c r="C59" s="72">
        <f t="shared" ref="C59:W59" si="52">IF(C51=0,0,C51/C$47)</f>
        <v>0.13431082843383385</v>
      </c>
      <c r="D59" s="72">
        <f t="shared" si="52"/>
        <v>0.13986537375299357</v>
      </c>
      <c r="E59" s="72">
        <f t="shared" si="52"/>
        <v>0.14084426258147881</v>
      </c>
      <c r="F59" s="72">
        <f t="shared" si="52"/>
        <v>0.14121371724572235</v>
      </c>
      <c r="G59" s="72">
        <f t="shared" si="52"/>
        <v>0.13437501759649215</v>
      </c>
      <c r="H59" s="72">
        <f t="shared" si="52"/>
        <v>0.11665306575086226</v>
      </c>
      <c r="I59" s="72">
        <f t="shared" si="52"/>
        <v>0.13059275538561876</v>
      </c>
      <c r="J59" s="72">
        <f t="shared" si="52"/>
        <v>0.13015588252635504</v>
      </c>
      <c r="K59" s="72">
        <f t="shared" si="52"/>
        <v>0.12479219033525751</v>
      </c>
      <c r="L59" s="72">
        <f t="shared" si="52"/>
        <v>0.1186449950747402</v>
      </c>
      <c r="M59" s="72">
        <f t="shared" si="52"/>
        <v>0.11945665405073026</v>
      </c>
      <c r="N59" s="72">
        <f t="shared" si="52"/>
        <v>0.12164518253337973</v>
      </c>
      <c r="O59" s="72">
        <f t="shared" si="52"/>
        <v>0.12880649625035956</v>
      </c>
      <c r="P59" s="72">
        <f t="shared" si="52"/>
        <v>0.13778550851509605</v>
      </c>
      <c r="Q59" s="72">
        <f t="shared" si="52"/>
        <v>0.12694096448725092</v>
      </c>
      <c r="R59" s="72">
        <f t="shared" si="52"/>
        <v>0.12185651095798976</v>
      </c>
      <c r="S59" s="72">
        <f t="shared" si="52"/>
        <v>0.11460836208971371</v>
      </c>
      <c r="T59" s="72">
        <f t="shared" si="52"/>
        <v>0.12069003663041925</v>
      </c>
      <c r="U59" s="72">
        <f t="shared" si="52"/>
        <v>0.11798385022846039</v>
      </c>
      <c r="V59" s="72">
        <f t="shared" si="52"/>
        <v>0.11268675471208528</v>
      </c>
      <c r="W59" s="72">
        <f t="shared" si="52"/>
        <v>0.11553467461855989</v>
      </c>
      <c r="X59" s="72">
        <f t="shared" ref="X59:Y59" si="53">IF(X51=0,0,X51/X$47)</f>
        <v>0.11047862562604065</v>
      </c>
      <c r="Y59" s="72">
        <f t="shared" si="53"/>
        <v>0.10995471608007414</v>
      </c>
      <c r="DA59" s="115"/>
    </row>
    <row r="60" spans="1:105" ht="12" customHeight="1" x14ac:dyDescent="0.25">
      <c r="A60" s="61" t="s">
        <v>34</v>
      </c>
      <c r="B60" s="73">
        <f t="shared" ref="B60" si="54">IF(B52=0,0,B52/B$47)</f>
        <v>0.14047269936049736</v>
      </c>
      <c r="C60" s="73">
        <f t="shared" ref="C60:W60" si="55">IF(C52=0,0,C52/C$47)</f>
        <v>0.14222240748546405</v>
      </c>
      <c r="D60" s="73">
        <f t="shared" si="55"/>
        <v>0.13738224896218784</v>
      </c>
      <c r="E60" s="73">
        <f t="shared" si="55"/>
        <v>0.13555565487290966</v>
      </c>
      <c r="F60" s="73">
        <f t="shared" si="55"/>
        <v>0.13916964622383726</v>
      </c>
      <c r="G60" s="73">
        <f t="shared" si="55"/>
        <v>0.13350682887252613</v>
      </c>
      <c r="H60" s="73">
        <f t="shared" si="55"/>
        <v>0.11905112280504405</v>
      </c>
      <c r="I60" s="73">
        <f t="shared" si="55"/>
        <v>0.13764621642478012</v>
      </c>
      <c r="J60" s="73">
        <f t="shared" si="55"/>
        <v>0.14021547553777461</v>
      </c>
      <c r="K60" s="73">
        <f t="shared" si="55"/>
        <v>0.13426253031200139</v>
      </c>
      <c r="L60" s="73">
        <f t="shared" si="55"/>
        <v>0.13014956955144924</v>
      </c>
      <c r="M60" s="73">
        <f t="shared" si="55"/>
        <v>0.13217450200929709</v>
      </c>
      <c r="N60" s="73">
        <f t="shared" si="55"/>
        <v>0.13633056964804016</v>
      </c>
      <c r="O60" s="73">
        <f t="shared" si="55"/>
        <v>0.14354422256865501</v>
      </c>
      <c r="P60" s="73">
        <f t="shared" si="55"/>
        <v>0.16591099809319254</v>
      </c>
      <c r="Q60" s="73">
        <f t="shared" si="55"/>
        <v>0.1640706205774356</v>
      </c>
      <c r="R60" s="73">
        <f t="shared" si="55"/>
        <v>0.16123505160590679</v>
      </c>
      <c r="S60" s="73">
        <f t="shared" si="55"/>
        <v>0.16249025609159826</v>
      </c>
      <c r="T60" s="73">
        <f t="shared" si="55"/>
        <v>0.16399090365166968</v>
      </c>
      <c r="U60" s="73">
        <f t="shared" si="55"/>
        <v>0.1683305841432759</v>
      </c>
      <c r="V60" s="73">
        <f t="shared" si="55"/>
        <v>0.15468809577836692</v>
      </c>
      <c r="W60" s="73">
        <f t="shared" si="55"/>
        <v>0.16840185291583332</v>
      </c>
      <c r="X60" s="73">
        <f t="shared" ref="X60:Y60" si="56">IF(X52=0,0,X52/X$47)</f>
        <v>0.15307054911174517</v>
      </c>
      <c r="Y60" s="73">
        <f t="shared" si="56"/>
        <v>0.17325739363266995</v>
      </c>
      <c r="DA60" s="116"/>
    </row>
    <row r="61" spans="1:105" ht="12" customHeight="1" x14ac:dyDescent="0.25">
      <c r="A61" s="69" t="s">
        <v>33</v>
      </c>
      <c r="B61" s="70">
        <f t="shared" ref="B61" si="57">IF(B53=0,0,B53/B$47)</f>
        <v>0.41087592202464346</v>
      </c>
      <c r="C61" s="70">
        <f t="shared" ref="C61:W61" si="58">IF(C53=0,0,C53/C$47)</f>
        <v>0.41821829775075176</v>
      </c>
      <c r="D61" s="70">
        <f t="shared" si="58"/>
        <v>0.43178537714095544</v>
      </c>
      <c r="E61" s="70">
        <f t="shared" si="58"/>
        <v>0.45380183089648413</v>
      </c>
      <c r="F61" s="70">
        <f t="shared" si="58"/>
        <v>0.44359229251577953</v>
      </c>
      <c r="G61" s="70">
        <f t="shared" si="58"/>
        <v>0.43301865776497334</v>
      </c>
      <c r="H61" s="70">
        <f t="shared" si="58"/>
        <v>0.36886446273937079</v>
      </c>
      <c r="I61" s="70">
        <f t="shared" si="58"/>
        <v>0.42310651661617804</v>
      </c>
      <c r="J61" s="70">
        <f t="shared" si="58"/>
        <v>0.42251377521937461</v>
      </c>
      <c r="K61" s="70">
        <f t="shared" si="58"/>
        <v>0.4087126505609408</v>
      </c>
      <c r="L61" s="70">
        <f t="shared" si="58"/>
        <v>0.3892211274576845</v>
      </c>
      <c r="M61" s="70">
        <f t="shared" si="58"/>
        <v>0.39242802513165725</v>
      </c>
      <c r="N61" s="70">
        <f t="shared" si="58"/>
        <v>0.41253000853097677</v>
      </c>
      <c r="O61" s="70">
        <f t="shared" si="58"/>
        <v>0.42951913521571516</v>
      </c>
      <c r="P61" s="70">
        <f t="shared" si="58"/>
        <v>0.47534259499495513</v>
      </c>
      <c r="Q61" s="70">
        <f t="shared" si="58"/>
        <v>0.4720273956870687</v>
      </c>
      <c r="R61" s="70">
        <f t="shared" si="58"/>
        <v>0.47208120013878757</v>
      </c>
      <c r="S61" s="70">
        <f t="shared" si="58"/>
        <v>0.45545867698713893</v>
      </c>
      <c r="T61" s="70">
        <f t="shared" si="58"/>
        <v>0.45065475812988537</v>
      </c>
      <c r="U61" s="70">
        <f t="shared" si="58"/>
        <v>0.44667364165864604</v>
      </c>
      <c r="V61" s="70">
        <f t="shared" si="58"/>
        <v>0.45053175718455823</v>
      </c>
      <c r="W61" s="70">
        <f t="shared" si="58"/>
        <v>0.4287395437910782</v>
      </c>
      <c r="X61" s="70">
        <f t="shared" ref="X61:Y61" si="59">IF(X53=0,0,X53/X$47)</f>
        <v>0.43336635807515372</v>
      </c>
      <c r="Y61" s="70">
        <f t="shared" si="59"/>
        <v>0.42693927000533877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6594.5130883199981</v>
      </c>
      <c r="C65" s="80">
        <v>7224.396806159999</v>
      </c>
      <c r="D65" s="80">
        <v>7175.9158199999993</v>
      </c>
      <c r="E65" s="80">
        <v>6589.3193830800001</v>
      </c>
      <c r="F65" s="80">
        <v>7421.5123700400018</v>
      </c>
      <c r="G65" s="80">
        <v>8293.9101465599997</v>
      </c>
      <c r="H65" s="80">
        <v>10517.143752360003</v>
      </c>
      <c r="I65" s="80">
        <v>8117.188170479998</v>
      </c>
      <c r="J65" s="80">
        <v>7600.1089377600001</v>
      </c>
      <c r="K65" s="80">
        <v>8231.568825960001</v>
      </c>
      <c r="L65" s="80">
        <v>9277.6660466400026</v>
      </c>
      <c r="M65" s="80">
        <v>9566.1793256400015</v>
      </c>
      <c r="N65" s="80">
        <v>8853.4302519599987</v>
      </c>
      <c r="O65" s="80">
        <v>8800.8233932800013</v>
      </c>
      <c r="P65" s="80">
        <v>7714.9096405199989</v>
      </c>
      <c r="Q65" s="80">
        <v>7559.1515224800023</v>
      </c>
      <c r="R65" s="80">
        <v>8112.5668843200001</v>
      </c>
      <c r="S65" s="80">
        <v>8286.2860624091809</v>
      </c>
      <c r="T65" s="80">
        <v>8633.7156765405889</v>
      </c>
      <c r="U65" s="80">
        <v>8498.4204972366315</v>
      </c>
      <c r="V65" s="80">
        <v>8008.6598363165849</v>
      </c>
      <c r="W65" s="80">
        <v>8752.1958995257337</v>
      </c>
      <c r="X65" s="80">
        <v>8207.4687550994531</v>
      </c>
      <c r="Y65" s="80">
        <v>7774.6283925037405</v>
      </c>
      <c r="DA65" s="103" t="s">
        <v>219</v>
      </c>
    </row>
    <row r="66" spans="1:105" ht="12" customHeight="1" x14ac:dyDescent="0.25">
      <c r="A66" s="58" t="s">
        <v>29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X66" s="59">
        <v>0</v>
      </c>
      <c r="Y66" s="59">
        <v>0</v>
      </c>
      <c r="DA66" s="104" t="s">
        <v>220</v>
      </c>
    </row>
    <row r="67" spans="1:105" ht="12" customHeight="1" x14ac:dyDescent="0.25">
      <c r="A67" s="60" t="s">
        <v>28</v>
      </c>
      <c r="B67" s="55">
        <f>SUM(B68:B69)</f>
        <v>5242.082722199998</v>
      </c>
      <c r="C67" s="55">
        <f t="shared" ref="C67:W67" si="60">SUM(C68:C69)</f>
        <v>5708.5537957199995</v>
      </c>
      <c r="D67" s="55">
        <f t="shared" si="60"/>
        <v>5600.7117554399993</v>
      </c>
      <c r="E67" s="55">
        <f t="shared" si="60"/>
        <v>6091.0400422800003</v>
      </c>
      <c r="F67" s="55">
        <f t="shared" si="60"/>
        <v>6593.069664720002</v>
      </c>
      <c r="G67" s="55">
        <f t="shared" si="60"/>
        <v>6614.9750498399999</v>
      </c>
      <c r="H67" s="55">
        <f t="shared" si="60"/>
        <v>5037.6553614000022</v>
      </c>
      <c r="I67" s="55">
        <f t="shared" si="60"/>
        <v>4696.644022919998</v>
      </c>
      <c r="J67" s="55">
        <f t="shared" si="60"/>
        <v>4494.8154931199997</v>
      </c>
      <c r="K67" s="55">
        <f t="shared" si="60"/>
        <v>4390.3071198000007</v>
      </c>
      <c r="L67" s="55">
        <f t="shared" si="60"/>
        <v>4353.2287559999995</v>
      </c>
      <c r="M67" s="55">
        <f t="shared" si="60"/>
        <v>4143.3824156399996</v>
      </c>
      <c r="N67" s="55">
        <f t="shared" si="60"/>
        <v>4315.3169597999995</v>
      </c>
      <c r="O67" s="55">
        <f t="shared" si="60"/>
        <v>4623.3800798399998</v>
      </c>
      <c r="P67" s="55">
        <f t="shared" si="60"/>
        <v>3756.6877132799991</v>
      </c>
      <c r="Q67" s="55">
        <f t="shared" si="60"/>
        <v>3226.5545875200005</v>
      </c>
      <c r="R67" s="55">
        <f t="shared" si="60"/>
        <v>3872.6065871999999</v>
      </c>
      <c r="S67" s="55">
        <f t="shared" si="60"/>
        <v>3958.5728109599982</v>
      </c>
      <c r="T67" s="55">
        <f t="shared" si="60"/>
        <v>4107.9584782800011</v>
      </c>
      <c r="U67" s="55">
        <f t="shared" si="60"/>
        <v>3807.9431503199989</v>
      </c>
      <c r="V67" s="55">
        <f t="shared" si="60"/>
        <v>3468.2071449600003</v>
      </c>
      <c r="W67" s="55">
        <f t="shared" si="60"/>
        <v>3836.2983717600005</v>
      </c>
      <c r="X67" s="55">
        <f t="shared" ref="X67:Y67" si="61">SUM(X68:X69)</f>
        <v>3807.8350783199999</v>
      </c>
      <c r="Y67" s="55">
        <f t="shared" si="61"/>
        <v>3428.0756042400003</v>
      </c>
      <c r="DA67" s="101"/>
    </row>
    <row r="68" spans="1:105" ht="12" customHeight="1" x14ac:dyDescent="0.25">
      <c r="A68" s="61" t="s">
        <v>52</v>
      </c>
      <c r="B68" s="55">
        <v>608.86444428000016</v>
      </c>
      <c r="C68" s="55">
        <v>653.63404572000002</v>
      </c>
      <c r="D68" s="55">
        <v>653.63404572000002</v>
      </c>
      <c r="E68" s="55">
        <v>644.68007999999998</v>
      </c>
      <c r="F68" s="55">
        <v>659.60312904000023</v>
      </c>
      <c r="G68" s="55">
        <v>611.8490995200001</v>
      </c>
      <c r="H68" s="55">
        <v>564.09506999999996</v>
      </c>
      <c r="I68" s="55">
        <v>576.03369096000006</v>
      </c>
      <c r="J68" s="55">
        <v>593.94139524000013</v>
      </c>
      <c r="K68" s="55">
        <v>540.21805524000024</v>
      </c>
      <c r="L68" s="55">
        <v>534.24874476000002</v>
      </c>
      <c r="M68" s="55">
        <v>501.41776428000014</v>
      </c>
      <c r="N68" s="55">
        <v>477.54074952000008</v>
      </c>
      <c r="O68" s="55">
        <v>456.64838999999995</v>
      </c>
      <c r="P68" s="55">
        <v>352.18636523999993</v>
      </c>
      <c r="Q68" s="55">
        <v>492.46402572000005</v>
      </c>
      <c r="R68" s="55">
        <v>635.72611428000005</v>
      </c>
      <c r="S68" s="55">
        <v>537.23339999999996</v>
      </c>
      <c r="T68" s="55">
        <v>590.95673999999997</v>
      </c>
      <c r="U68" s="55">
        <v>489.47937047999983</v>
      </c>
      <c r="V68" s="55">
        <v>307.41699096000002</v>
      </c>
      <c r="W68" s="55">
        <v>359.26875972000011</v>
      </c>
      <c r="X68" s="55">
        <v>450.55073412000019</v>
      </c>
      <c r="Y68" s="55">
        <v>680.93140860000028</v>
      </c>
      <c r="DA68" s="101" t="s">
        <v>221</v>
      </c>
    </row>
    <row r="69" spans="1:105" ht="12" customHeight="1" x14ac:dyDescent="0.25">
      <c r="A69" s="61" t="s">
        <v>163</v>
      </c>
      <c r="B69" s="55">
        <v>4633.2182779199975</v>
      </c>
      <c r="C69" s="55">
        <v>5054.9197499999991</v>
      </c>
      <c r="D69" s="55">
        <v>4947.0777097199989</v>
      </c>
      <c r="E69" s="55">
        <v>5446.3599622800002</v>
      </c>
      <c r="F69" s="55">
        <v>5933.4665356800015</v>
      </c>
      <c r="G69" s="55">
        <v>6003.1259503199999</v>
      </c>
      <c r="H69" s="55">
        <v>4473.5602914000019</v>
      </c>
      <c r="I69" s="55">
        <v>4120.6103319599979</v>
      </c>
      <c r="J69" s="55">
        <v>3900.8740978799997</v>
      </c>
      <c r="K69" s="55">
        <v>3850.0890645600002</v>
      </c>
      <c r="L69" s="55">
        <v>3818.9800112399994</v>
      </c>
      <c r="M69" s="55">
        <v>3641.9646513599996</v>
      </c>
      <c r="N69" s="55">
        <v>3837.7762102799993</v>
      </c>
      <c r="O69" s="55">
        <v>4166.7316898399995</v>
      </c>
      <c r="P69" s="55">
        <v>3404.5013480399994</v>
      </c>
      <c r="Q69" s="55">
        <v>2734.0905618000006</v>
      </c>
      <c r="R69" s="55">
        <v>3236.8804729200001</v>
      </c>
      <c r="S69" s="55">
        <v>3421.3394109599981</v>
      </c>
      <c r="T69" s="55">
        <v>3517.0017382800011</v>
      </c>
      <c r="U69" s="55">
        <v>3318.463779839999</v>
      </c>
      <c r="V69" s="55">
        <v>3160.7901540000003</v>
      </c>
      <c r="W69" s="55">
        <v>3477.0296120400003</v>
      </c>
      <c r="X69" s="55">
        <v>3357.2843441999999</v>
      </c>
      <c r="Y69" s="55">
        <v>2747.1441956399999</v>
      </c>
      <c r="DA69" s="101" t="s">
        <v>222</v>
      </c>
    </row>
    <row r="70" spans="1:105" ht="12" customHeight="1" x14ac:dyDescent="0.25">
      <c r="A70" s="60" t="s">
        <v>149</v>
      </c>
      <c r="B70" s="55">
        <v>1352.4303661200001</v>
      </c>
      <c r="C70" s="55">
        <v>1515.8430104400002</v>
      </c>
      <c r="D70" s="55">
        <v>1575.2040645600002</v>
      </c>
      <c r="E70" s="55">
        <v>498.27934079999989</v>
      </c>
      <c r="F70" s="55">
        <v>828.44270532000019</v>
      </c>
      <c r="G70" s="55">
        <v>1678.93509672</v>
      </c>
      <c r="H70" s="55">
        <v>5479.4883909600003</v>
      </c>
      <c r="I70" s="55">
        <v>3420.5441475600001</v>
      </c>
      <c r="J70" s="55">
        <v>3105.2934446400004</v>
      </c>
      <c r="K70" s="55">
        <v>3841.2617061600004</v>
      </c>
      <c r="L70" s="55">
        <v>4924.4372906400022</v>
      </c>
      <c r="M70" s="55">
        <v>5422.7969100000009</v>
      </c>
      <c r="N70" s="55">
        <v>4538.1132921600001</v>
      </c>
      <c r="O70" s="55">
        <v>4177.4433134400015</v>
      </c>
      <c r="P70" s="55">
        <v>3958.2219272399998</v>
      </c>
      <c r="Q70" s="55">
        <v>4323.3384549600014</v>
      </c>
      <c r="R70" s="55">
        <v>4218.3268171199989</v>
      </c>
      <c r="S70" s="55">
        <v>4300.9924914491821</v>
      </c>
      <c r="T70" s="55">
        <v>4509.5320882605874</v>
      </c>
      <c r="U70" s="55">
        <v>4672.0524569166319</v>
      </c>
      <c r="V70" s="55">
        <v>4522.5330313565855</v>
      </c>
      <c r="W70" s="55">
        <v>4893.6419977657333</v>
      </c>
      <c r="X70" s="55">
        <v>4371.8090667794531</v>
      </c>
      <c r="Y70" s="55">
        <v>4322.6621082637394</v>
      </c>
      <c r="DA70" s="101" t="s">
        <v>223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62">SUM(C72:C76)</f>
        <v>0</v>
      </c>
      <c r="D71" s="55">
        <f t="shared" si="62"/>
        <v>0</v>
      </c>
      <c r="E71" s="55">
        <f t="shared" si="62"/>
        <v>0</v>
      </c>
      <c r="F71" s="55">
        <f t="shared" si="62"/>
        <v>0</v>
      </c>
      <c r="G71" s="55">
        <f t="shared" si="62"/>
        <v>0</v>
      </c>
      <c r="H71" s="55">
        <f t="shared" si="62"/>
        <v>0</v>
      </c>
      <c r="I71" s="55">
        <f t="shared" si="62"/>
        <v>0</v>
      </c>
      <c r="J71" s="55">
        <f t="shared" si="62"/>
        <v>0</v>
      </c>
      <c r="K71" s="55">
        <f t="shared" si="62"/>
        <v>0</v>
      </c>
      <c r="L71" s="55">
        <f t="shared" si="62"/>
        <v>0</v>
      </c>
      <c r="M71" s="55">
        <f t="shared" si="62"/>
        <v>0</v>
      </c>
      <c r="N71" s="55">
        <f t="shared" si="62"/>
        <v>0</v>
      </c>
      <c r="O71" s="55">
        <f t="shared" si="62"/>
        <v>0</v>
      </c>
      <c r="P71" s="55">
        <f t="shared" si="62"/>
        <v>0</v>
      </c>
      <c r="Q71" s="55">
        <f t="shared" si="62"/>
        <v>9.2584799999999987</v>
      </c>
      <c r="R71" s="55">
        <f t="shared" si="62"/>
        <v>21.633479999999999</v>
      </c>
      <c r="S71" s="55">
        <f t="shared" si="62"/>
        <v>26.720759999999999</v>
      </c>
      <c r="T71" s="55">
        <f t="shared" si="62"/>
        <v>16.225110000000001</v>
      </c>
      <c r="U71" s="55">
        <f t="shared" si="62"/>
        <v>18.424890000000001</v>
      </c>
      <c r="V71" s="55">
        <f t="shared" si="62"/>
        <v>17.91966</v>
      </c>
      <c r="W71" s="55">
        <f t="shared" si="62"/>
        <v>22.25553</v>
      </c>
      <c r="X71" s="55">
        <f t="shared" ref="X71:Y71" si="63">SUM(X72:X76)</f>
        <v>27.82461</v>
      </c>
      <c r="Y71" s="55">
        <f t="shared" si="63"/>
        <v>23.89068</v>
      </c>
      <c r="DA71" s="101"/>
    </row>
    <row r="72" spans="1:105" ht="12" customHeight="1" x14ac:dyDescent="0.25">
      <c r="A72" s="61" t="s">
        <v>164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9.2584799999999987</v>
      </c>
      <c r="R72" s="55">
        <v>21.633479999999999</v>
      </c>
      <c r="S72" s="55">
        <v>26.720759999999999</v>
      </c>
      <c r="T72" s="55">
        <v>16.225110000000001</v>
      </c>
      <c r="U72" s="55">
        <v>18.424890000000001</v>
      </c>
      <c r="V72" s="55">
        <v>17.91966</v>
      </c>
      <c r="W72" s="55">
        <v>22.25553</v>
      </c>
      <c r="X72" s="55">
        <v>27.82461</v>
      </c>
      <c r="Y72" s="55">
        <v>23.89068</v>
      </c>
      <c r="DA72" s="101" t="s">
        <v>224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X73" s="55">
        <v>0</v>
      </c>
      <c r="Y73" s="55">
        <v>0</v>
      </c>
      <c r="DA73" s="101" t="s">
        <v>225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X74" s="55">
        <v>0</v>
      </c>
      <c r="Y74" s="55">
        <v>0</v>
      </c>
      <c r="DA74" s="101" t="s">
        <v>226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X75" s="55">
        <v>0</v>
      </c>
      <c r="Y75" s="55">
        <v>0</v>
      </c>
      <c r="DA75" s="101" t="s">
        <v>227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X76" s="55">
        <v>0</v>
      </c>
      <c r="Y76" s="55">
        <v>0</v>
      </c>
      <c r="DA76" s="101" t="s">
        <v>228</v>
      </c>
    </row>
    <row r="77" spans="1:105" ht="12" customHeight="1" x14ac:dyDescent="0.25">
      <c r="A77" s="61" t="s">
        <v>151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DA77" s="101" t="s">
        <v>229</v>
      </c>
    </row>
    <row r="78" spans="1:105" ht="12" customHeight="1" x14ac:dyDescent="0.25">
      <c r="A78" s="60" t="s">
        <v>162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X78" s="55">
        <v>0</v>
      </c>
      <c r="Y78" s="55">
        <v>0</v>
      </c>
      <c r="DA78" s="101" t="s">
        <v>230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3">
        <v>0</v>
      </c>
      <c r="Y79" s="63">
        <v>0</v>
      </c>
      <c r="DA79" s="105" t="s">
        <v>231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64">B82+B87</f>
        <v>6594.5130883199981</v>
      </c>
      <c r="C81" s="82">
        <f t="shared" ref="C81:W81" si="65">C82+C87</f>
        <v>7224.396806159999</v>
      </c>
      <c r="D81" s="82">
        <f t="shared" si="65"/>
        <v>7175.9158200000002</v>
      </c>
      <c r="E81" s="82">
        <f t="shared" si="65"/>
        <v>6589.319383080001</v>
      </c>
      <c r="F81" s="82">
        <f t="shared" si="65"/>
        <v>7421.5123700400018</v>
      </c>
      <c r="G81" s="82">
        <f t="shared" si="65"/>
        <v>8293.9101465599997</v>
      </c>
      <c r="H81" s="82">
        <f t="shared" si="65"/>
        <v>10517.143752360003</v>
      </c>
      <c r="I81" s="82">
        <f t="shared" si="65"/>
        <v>8117.1881704799998</v>
      </c>
      <c r="J81" s="82">
        <f t="shared" si="65"/>
        <v>7600.108937760001</v>
      </c>
      <c r="K81" s="82">
        <f t="shared" si="65"/>
        <v>8231.568825960001</v>
      </c>
      <c r="L81" s="82">
        <f t="shared" si="65"/>
        <v>9277.6660466400008</v>
      </c>
      <c r="M81" s="82">
        <f t="shared" si="65"/>
        <v>9566.1793256400015</v>
      </c>
      <c r="N81" s="82">
        <f t="shared" si="65"/>
        <v>8853.4302519600024</v>
      </c>
      <c r="O81" s="82">
        <f t="shared" si="65"/>
        <v>8800.8233932800031</v>
      </c>
      <c r="P81" s="82">
        <f t="shared" si="65"/>
        <v>7714.909640519998</v>
      </c>
      <c r="Q81" s="82">
        <f t="shared" si="65"/>
        <v>7559.1515224800041</v>
      </c>
      <c r="R81" s="82">
        <f t="shared" si="65"/>
        <v>8112.5668843199946</v>
      </c>
      <c r="S81" s="82">
        <f t="shared" si="65"/>
        <v>8286.2860624091736</v>
      </c>
      <c r="T81" s="82">
        <f t="shared" si="65"/>
        <v>8633.7156765405871</v>
      </c>
      <c r="U81" s="82">
        <f t="shared" si="65"/>
        <v>8498.4204972366333</v>
      </c>
      <c r="V81" s="82">
        <f t="shared" si="65"/>
        <v>8008.6598363165858</v>
      </c>
      <c r="W81" s="82">
        <f t="shared" si="65"/>
        <v>8752.1958995257392</v>
      </c>
      <c r="X81" s="82">
        <f t="shared" ref="X81:Y81" si="66">X82+X87</f>
        <v>8207.4687550994495</v>
      </c>
      <c r="Y81" s="82">
        <f t="shared" si="66"/>
        <v>7774.628392503736</v>
      </c>
      <c r="DA81" s="107" t="s">
        <v>232</v>
      </c>
    </row>
    <row r="82" spans="1:105" ht="12" customHeight="1" x14ac:dyDescent="0.25">
      <c r="A82" s="77" t="s">
        <v>36</v>
      </c>
      <c r="B82" s="64">
        <f t="shared" ref="B82" si="67">SUM(B83:B86)</f>
        <v>6594.5130883199981</v>
      </c>
      <c r="C82" s="64">
        <f t="shared" ref="C82:W82" si="68">SUM(C83:C86)</f>
        <v>7224.396806159999</v>
      </c>
      <c r="D82" s="64">
        <f t="shared" si="68"/>
        <v>7175.9158200000002</v>
      </c>
      <c r="E82" s="64">
        <f t="shared" si="68"/>
        <v>6589.319383080001</v>
      </c>
      <c r="F82" s="64">
        <f t="shared" si="68"/>
        <v>7421.5123700400018</v>
      </c>
      <c r="G82" s="64">
        <f t="shared" si="68"/>
        <v>8293.9101465599997</v>
      </c>
      <c r="H82" s="64">
        <f t="shared" si="68"/>
        <v>10517.143752360003</v>
      </c>
      <c r="I82" s="64">
        <f t="shared" si="68"/>
        <v>8117.1881704799998</v>
      </c>
      <c r="J82" s="64">
        <f t="shared" si="68"/>
        <v>7600.108937760001</v>
      </c>
      <c r="K82" s="64">
        <f t="shared" si="68"/>
        <v>8231.568825960001</v>
      </c>
      <c r="L82" s="64">
        <f t="shared" si="68"/>
        <v>9277.6660466400008</v>
      </c>
      <c r="M82" s="64">
        <f t="shared" si="68"/>
        <v>9566.1793256400015</v>
      </c>
      <c r="N82" s="64">
        <f t="shared" si="68"/>
        <v>8853.4302519600024</v>
      </c>
      <c r="O82" s="64">
        <f t="shared" si="68"/>
        <v>8800.8233932800031</v>
      </c>
      <c r="P82" s="64">
        <f t="shared" si="68"/>
        <v>7714.909640519998</v>
      </c>
      <c r="Q82" s="64">
        <f t="shared" si="68"/>
        <v>7559.1515224800041</v>
      </c>
      <c r="R82" s="64">
        <f t="shared" si="68"/>
        <v>8112.5668843199946</v>
      </c>
      <c r="S82" s="64">
        <f t="shared" si="68"/>
        <v>8286.2860624091736</v>
      </c>
      <c r="T82" s="64">
        <f t="shared" si="68"/>
        <v>8633.7156765405871</v>
      </c>
      <c r="U82" s="64">
        <f t="shared" si="68"/>
        <v>8498.4204972366333</v>
      </c>
      <c r="V82" s="64">
        <f t="shared" si="68"/>
        <v>8008.6598363165858</v>
      </c>
      <c r="W82" s="64">
        <f t="shared" si="68"/>
        <v>8752.1958995257392</v>
      </c>
      <c r="X82" s="64">
        <f t="shared" ref="X82:Y82" si="69">SUM(X83:X86)</f>
        <v>8207.4687550994495</v>
      </c>
      <c r="Y82" s="64">
        <f t="shared" si="69"/>
        <v>7774.628392503736</v>
      </c>
      <c r="DA82" s="108" t="s">
        <v>233</v>
      </c>
    </row>
    <row r="83" spans="1:105" ht="12" customHeight="1" x14ac:dyDescent="0.25">
      <c r="A83" s="61" t="s">
        <v>32</v>
      </c>
      <c r="B83" s="65">
        <v>4416.6643654657873</v>
      </c>
      <c r="C83" s="65">
        <v>4899.491248774294</v>
      </c>
      <c r="D83" s="65">
        <v>4929.4144213420996</v>
      </c>
      <c r="E83" s="65">
        <v>4515.3843002834437</v>
      </c>
      <c r="F83" s="65">
        <v>5016.7768917951353</v>
      </c>
      <c r="G83" s="65">
        <v>5813.0122326025348</v>
      </c>
      <c r="H83" s="65">
        <v>7680.7077819390915</v>
      </c>
      <c r="I83" s="65">
        <v>5296.6300349021312</v>
      </c>
      <c r="J83" s="65">
        <v>4725.1780866532299</v>
      </c>
      <c r="K83" s="65">
        <v>5384.0667513867975</v>
      </c>
      <c r="L83" s="65">
        <v>6374.038125367133</v>
      </c>
      <c r="M83" s="65">
        <v>6640.423879406726</v>
      </c>
      <c r="N83" s="65">
        <v>5768.5530763304778</v>
      </c>
      <c r="O83" s="65">
        <v>5471.2481354822939</v>
      </c>
      <c r="P83" s="65">
        <v>3374.2724235113674</v>
      </c>
      <c r="Q83" s="65">
        <v>2983.7915175605553</v>
      </c>
      <c r="R83" s="65">
        <v>3335.2051541089427</v>
      </c>
      <c r="S83" s="65">
        <v>3575.1032618947602</v>
      </c>
      <c r="T83" s="65">
        <v>4152.7234628718734</v>
      </c>
      <c r="U83" s="65">
        <v>4011.672807142394</v>
      </c>
      <c r="V83" s="65">
        <v>3612.0772639974107</v>
      </c>
      <c r="W83" s="65">
        <v>4223.5099638076008</v>
      </c>
      <c r="X83" s="65">
        <v>3968.1592298222026</v>
      </c>
      <c r="Y83" s="65">
        <v>3506.8020888439437</v>
      </c>
      <c r="DA83" s="109" t="s">
        <v>234</v>
      </c>
    </row>
    <row r="84" spans="1:105" ht="12" customHeight="1" x14ac:dyDescent="0.25">
      <c r="A84" s="61" t="s">
        <v>31</v>
      </c>
      <c r="B84" s="65">
        <v>0.67721231575947216</v>
      </c>
      <c r="C84" s="65">
        <v>0.81548810782050285</v>
      </c>
      <c r="D84" s="65">
        <v>0.75263502954142891</v>
      </c>
      <c r="E84" s="65">
        <v>1.5132947785684694</v>
      </c>
      <c r="F84" s="65">
        <v>1.5488337117339039</v>
      </c>
      <c r="G84" s="65">
        <v>2.0045400653497767</v>
      </c>
      <c r="H84" s="65">
        <v>2.6083057439363668</v>
      </c>
      <c r="I84" s="65">
        <v>2.657091729597655</v>
      </c>
      <c r="J84" s="65">
        <v>3.645834725758446</v>
      </c>
      <c r="K84" s="65">
        <v>5.5791091715241707</v>
      </c>
      <c r="L84" s="65">
        <v>6.3838051571777914</v>
      </c>
      <c r="M84" s="65">
        <v>6.9057080225631173</v>
      </c>
      <c r="N84" s="65">
        <v>9.4391990641166608</v>
      </c>
      <c r="O84" s="65">
        <v>9.4353598204028284</v>
      </c>
      <c r="P84" s="65">
        <v>9.9919738475637239</v>
      </c>
      <c r="Q84" s="65">
        <v>17.602299749489212</v>
      </c>
      <c r="R84" s="65">
        <v>19.764444394089551</v>
      </c>
      <c r="S84" s="65">
        <v>25.036095827731597</v>
      </c>
      <c r="T84" s="65">
        <v>21.176691003898579</v>
      </c>
      <c r="U84" s="65">
        <v>23.486773941402969</v>
      </c>
      <c r="V84" s="65">
        <v>25.345426598202824</v>
      </c>
      <c r="W84" s="65">
        <v>23.011995139342115</v>
      </c>
      <c r="X84" s="65">
        <v>35.904480668049501</v>
      </c>
      <c r="Y84" s="65">
        <v>32.880617003636544</v>
      </c>
      <c r="DA84" s="109" t="s">
        <v>235</v>
      </c>
    </row>
    <row r="85" spans="1:105" ht="12" customHeight="1" x14ac:dyDescent="0.25">
      <c r="A85" s="61" t="s">
        <v>35</v>
      </c>
      <c r="B85" s="65">
        <v>1340.4245246208832</v>
      </c>
      <c r="C85" s="65">
        <v>1353.2404857136869</v>
      </c>
      <c r="D85" s="65">
        <v>1330.5566396743275</v>
      </c>
      <c r="E85" s="65">
        <v>1216.5658408885758</v>
      </c>
      <c r="F85" s="65">
        <v>1296.8485949456262</v>
      </c>
      <c r="G85" s="65">
        <v>1347.2118177381335</v>
      </c>
      <c r="H85" s="65">
        <v>1645.0445476283689</v>
      </c>
      <c r="I85" s="65">
        <v>1596.7534122166776</v>
      </c>
      <c r="J85" s="65">
        <v>1573.0411389639876</v>
      </c>
      <c r="K85" s="65">
        <v>1574.9363558082778</v>
      </c>
      <c r="L85" s="65">
        <v>1578.4699253523663</v>
      </c>
      <c r="M85" s="65">
        <v>1589.1874460014167</v>
      </c>
      <c r="N85" s="65">
        <v>1681.0337919514729</v>
      </c>
      <c r="O85" s="65">
        <v>1774.7732660502782</v>
      </c>
      <c r="P85" s="65">
        <v>1956.2797924170729</v>
      </c>
      <c r="Q85" s="65">
        <v>1860.2068717347393</v>
      </c>
      <c r="R85" s="65">
        <v>1905.0174620111156</v>
      </c>
      <c r="S85" s="65">
        <v>1895.294102769265</v>
      </c>
      <c r="T85" s="65">
        <v>1922.6209738734863</v>
      </c>
      <c r="U85" s="65">
        <v>1926.5280684426057</v>
      </c>
      <c r="V85" s="65">
        <v>1833.5324811113971</v>
      </c>
      <c r="W85" s="65">
        <v>1993.7479142940128</v>
      </c>
      <c r="X85" s="65">
        <v>1961.8248306554297</v>
      </c>
      <c r="Y85" s="65">
        <v>1958.9091564409732</v>
      </c>
      <c r="DA85" s="109" t="s">
        <v>236</v>
      </c>
    </row>
    <row r="86" spans="1:105" ht="12" customHeight="1" x14ac:dyDescent="0.25">
      <c r="A86" s="66" t="s">
        <v>34</v>
      </c>
      <c r="B86" s="67">
        <v>836.74698591756805</v>
      </c>
      <c r="C86" s="67">
        <v>970.84958356419702</v>
      </c>
      <c r="D86" s="67">
        <v>915.19212395403133</v>
      </c>
      <c r="E86" s="67">
        <v>855.85594712941304</v>
      </c>
      <c r="F86" s="67">
        <v>1106.3380495875062</v>
      </c>
      <c r="G86" s="67">
        <v>1131.6815561539825</v>
      </c>
      <c r="H86" s="67">
        <v>1188.7831170486052</v>
      </c>
      <c r="I86" s="67">
        <v>1221.1476316315925</v>
      </c>
      <c r="J86" s="67">
        <v>1298.243877417025</v>
      </c>
      <c r="K86" s="67">
        <v>1266.986609593401</v>
      </c>
      <c r="L86" s="67">
        <v>1318.7741907633244</v>
      </c>
      <c r="M86" s="67">
        <v>1329.6622922092961</v>
      </c>
      <c r="N86" s="67">
        <v>1394.4041846139339</v>
      </c>
      <c r="O86" s="67">
        <v>1545.3666319270287</v>
      </c>
      <c r="P86" s="67">
        <v>2374.3654507439937</v>
      </c>
      <c r="Q86" s="67">
        <v>2697.5508334352203</v>
      </c>
      <c r="R86" s="67">
        <v>2852.5798238058469</v>
      </c>
      <c r="S86" s="67">
        <v>2790.8526019174174</v>
      </c>
      <c r="T86" s="67">
        <v>2537.1945487913295</v>
      </c>
      <c r="U86" s="67">
        <v>2536.732847710231</v>
      </c>
      <c r="V86" s="67">
        <v>2537.704664609575</v>
      </c>
      <c r="W86" s="67">
        <v>2511.9260262847838</v>
      </c>
      <c r="X86" s="67">
        <v>2241.5802139537691</v>
      </c>
      <c r="Y86" s="67">
        <v>2276.0365302151831</v>
      </c>
      <c r="DA86" s="110" t="s">
        <v>237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X87" s="68">
        <v>0</v>
      </c>
      <c r="Y87" s="68">
        <v>0</v>
      </c>
      <c r="DA87" s="111" t="s">
        <v>238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70">IF(B81=0,0,B81/B$81)</f>
        <v>1</v>
      </c>
      <c r="C89" s="83">
        <f t="shared" ref="C89:W89" si="71">IF(C81=0,0,C81/C$81)</f>
        <v>1</v>
      </c>
      <c r="D89" s="83">
        <f t="shared" si="71"/>
        <v>1</v>
      </c>
      <c r="E89" s="83">
        <f t="shared" si="71"/>
        <v>1</v>
      </c>
      <c r="F89" s="83">
        <f t="shared" si="71"/>
        <v>1</v>
      </c>
      <c r="G89" s="83">
        <f t="shared" si="71"/>
        <v>1</v>
      </c>
      <c r="H89" s="83">
        <f t="shared" si="71"/>
        <v>1</v>
      </c>
      <c r="I89" s="83">
        <f t="shared" si="71"/>
        <v>1</v>
      </c>
      <c r="J89" s="83">
        <f t="shared" si="71"/>
        <v>1</v>
      </c>
      <c r="K89" s="83">
        <f t="shared" si="71"/>
        <v>1</v>
      </c>
      <c r="L89" s="83">
        <f t="shared" si="71"/>
        <v>1</v>
      </c>
      <c r="M89" s="83">
        <f t="shared" si="71"/>
        <v>1</v>
      </c>
      <c r="N89" s="83">
        <f t="shared" si="71"/>
        <v>1</v>
      </c>
      <c r="O89" s="83">
        <f t="shared" si="71"/>
        <v>1</v>
      </c>
      <c r="P89" s="83">
        <f t="shared" si="71"/>
        <v>1</v>
      </c>
      <c r="Q89" s="83">
        <f t="shared" si="71"/>
        <v>1</v>
      </c>
      <c r="R89" s="83">
        <f t="shared" si="71"/>
        <v>1</v>
      </c>
      <c r="S89" s="83">
        <f t="shared" si="71"/>
        <v>1</v>
      </c>
      <c r="T89" s="83">
        <f t="shared" si="71"/>
        <v>1</v>
      </c>
      <c r="U89" s="83">
        <f t="shared" si="71"/>
        <v>1</v>
      </c>
      <c r="V89" s="83">
        <f t="shared" si="71"/>
        <v>1</v>
      </c>
      <c r="W89" s="83">
        <f t="shared" si="71"/>
        <v>1</v>
      </c>
      <c r="X89" s="83">
        <f t="shared" ref="X89:Y89" si="72">IF(X81=0,0,X81/X$81)</f>
        <v>1</v>
      </c>
      <c r="Y89" s="83">
        <f t="shared" si="72"/>
        <v>1</v>
      </c>
      <c r="DA89" s="112"/>
    </row>
    <row r="90" spans="1:105" ht="12" customHeight="1" x14ac:dyDescent="0.25">
      <c r="A90" s="69" t="s">
        <v>36</v>
      </c>
      <c r="B90" s="70">
        <f t="shared" ref="B90" si="73">IF(B82=0,0,B82/B$81)</f>
        <v>1</v>
      </c>
      <c r="C90" s="70">
        <f t="shared" ref="C90:W90" si="74">IF(C82=0,0,C82/C$81)</f>
        <v>1</v>
      </c>
      <c r="D90" s="70">
        <f t="shared" si="74"/>
        <v>1</v>
      </c>
      <c r="E90" s="70">
        <f t="shared" si="74"/>
        <v>1</v>
      </c>
      <c r="F90" s="70">
        <f t="shared" si="74"/>
        <v>1</v>
      </c>
      <c r="G90" s="70">
        <f t="shared" si="74"/>
        <v>1</v>
      </c>
      <c r="H90" s="70">
        <f t="shared" si="74"/>
        <v>1</v>
      </c>
      <c r="I90" s="70">
        <f t="shared" si="74"/>
        <v>1</v>
      </c>
      <c r="J90" s="70">
        <f t="shared" si="74"/>
        <v>1</v>
      </c>
      <c r="K90" s="70">
        <f t="shared" si="74"/>
        <v>1</v>
      </c>
      <c r="L90" s="70">
        <f t="shared" si="74"/>
        <v>1</v>
      </c>
      <c r="M90" s="70">
        <f t="shared" si="74"/>
        <v>1</v>
      </c>
      <c r="N90" s="70">
        <f t="shared" si="74"/>
        <v>1</v>
      </c>
      <c r="O90" s="70">
        <f t="shared" si="74"/>
        <v>1</v>
      </c>
      <c r="P90" s="70">
        <f t="shared" si="74"/>
        <v>1</v>
      </c>
      <c r="Q90" s="70">
        <f t="shared" si="74"/>
        <v>1</v>
      </c>
      <c r="R90" s="70">
        <f t="shared" si="74"/>
        <v>1</v>
      </c>
      <c r="S90" s="70">
        <f t="shared" si="74"/>
        <v>1</v>
      </c>
      <c r="T90" s="70">
        <f t="shared" si="74"/>
        <v>1</v>
      </c>
      <c r="U90" s="70">
        <f t="shared" si="74"/>
        <v>1</v>
      </c>
      <c r="V90" s="70">
        <f t="shared" si="74"/>
        <v>1</v>
      </c>
      <c r="W90" s="70">
        <f t="shared" si="74"/>
        <v>1</v>
      </c>
      <c r="X90" s="70">
        <f t="shared" ref="X90:Y90" si="75">IF(X82=0,0,X82/X$81)</f>
        <v>1</v>
      </c>
      <c r="Y90" s="70">
        <f t="shared" si="75"/>
        <v>1</v>
      </c>
      <c r="DA90" s="113"/>
    </row>
    <row r="91" spans="1:105" ht="12" customHeight="1" x14ac:dyDescent="0.25">
      <c r="A91" s="61" t="s">
        <v>32</v>
      </c>
      <c r="B91" s="71">
        <f t="shared" ref="B91" si="76">IF(B83=0,0,B83/B$81)</f>
        <v>0.66974836599967469</v>
      </c>
      <c r="C91" s="71">
        <f t="shared" ref="C91:W91" si="77">IF(C83=0,0,C83/C$81)</f>
        <v>0.67818689646126074</v>
      </c>
      <c r="D91" s="71">
        <f t="shared" si="77"/>
        <v>0.68693871904173198</v>
      </c>
      <c r="E91" s="71">
        <f t="shared" si="77"/>
        <v>0.68525807261338856</v>
      </c>
      <c r="F91" s="71">
        <f t="shared" si="77"/>
        <v>0.6759777039579461</v>
      </c>
      <c r="G91" s="71">
        <f t="shared" si="77"/>
        <v>0.70087716527934085</v>
      </c>
      <c r="H91" s="71">
        <f t="shared" si="77"/>
        <v>0.73030358458450972</v>
      </c>
      <c r="I91" s="71">
        <f t="shared" si="77"/>
        <v>0.65252029688858648</v>
      </c>
      <c r="J91" s="71">
        <f t="shared" si="77"/>
        <v>0.62172504701569364</v>
      </c>
      <c r="K91" s="71">
        <f t="shared" si="77"/>
        <v>0.65407540958741661</v>
      </c>
      <c r="L91" s="71">
        <f t="shared" si="77"/>
        <v>0.68703034721491774</v>
      </c>
      <c r="M91" s="71">
        <f t="shared" si="77"/>
        <v>0.69415632441768649</v>
      </c>
      <c r="N91" s="71">
        <f t="shared" si="77"/>
        <v>0.65156136233788209</v>
      </c>
      <c r="O91" s="71">
        <f t="shared" si="77"/>
        <v>0.62167457418358663</v>
      </c>
      <c r="P91" s="71">
        <f t="shared" si="77"/>
        <v>0.43737031031304935</v>
      </c>
      <c r="Q91" s="71">
        <f t="shared" si="77"/>
        <v>0.39472571871156698</v>
      </c>
      <c r="R91" s="71">
        <f t="shared" si="77"/>
        <v>0.41111588991090381</v>
      </c>
      <c r="S91" s="71">
        <f t="shared" si="77"/>
        <v>0.43144820670785849</v>
      </c>
      <c r="T91" s="71">
        <f t="shared" si="77"/>
        <v>0.48098913821723321</v>
      </c>
      <c r="U91" s="71">
        <f t="shared" si="77"/>
        <v>0.472049224729094</v>
      </c>
      <c r="V91" s="71">
        <f t="shared" si="77"/>
        <v>0.45102143652273158</v>
      </c>
      <c r="W91" s="71">
        <f t="shared" si="77"/>
        <v>0.48256574833253707</v>
      </c>
      <c r="X91" s="71">
        <f t="shared" ref="X91:Y91" si="78">IF(X83=0,0,X83/X$81)</f>
        <v>0.48348149085023484</v>
      </c>
      <c r="Y91" s="71">
        <f t="shared" si="78"/>
        <v>0.45105719679479311</v>
      </c>
      <c r="DA91" s="114"/>
    </row>
    <row r="92" spans="1:105" ht="12" customHeight="1" x14ac:dyDescent="0.25">
      <c r="A92" s="61" t="s">
        <v>31</v>
      </c>
      <c r="B92" s="72">
        <f t="shared" ref="B92" si="79">IF(B84=0,0,B84/B$81)</f>
        <v>1.0269330073192668E-4</v>
      </c>
      <c r="C92" s="72">
        <f t="shared" ref="C92:W92" si="80">IF(C84=0,0,C84/C$81)</f>
        <v>1.128797503377948E-4</v>
      </c>
      <c r="D92" s="72">
        <f t="shared" si="80"/>
        <v>1.0488348085742021E-4</v>
      </c>
      <c r="E92" s="72">
        <f t="shared" si="80"/>
        <v>2.2965873872410783E-4</v>
      </c>
      <c r="F92" s="72">
        <f t="shared" si="80"/>
        <v>2.0869516003050949E-4</v>
      </c>
      <c r="G92" s="72">
        <f t="shared" si="80"/>
        <v>2.4168818204296368E-4</v>
      </c>
      <c r="H92" s="72">
        <f t="shared" si="80"/>
        <v>2.4800514334997787E-4</v>
      </c>
      <c r="I92" s="72">
        <f t="shared" si="80"/>
        <v>3.2734139874455212E-4</v>
      </c>
      <c r="J92" s="72">
        <f t="shared" si="80"/>
        <v>4.7970821939731197E-4</v>
      </c>
      <c r="K92" s="72">
        <f t="shared" si="80"/>
        <v>6.7776985037521214E-4</v>
      </c>
      <c r="L92" s="72">
        <f t="shared" si="80"/>
        <v>6.8808309386063208E-4</v>
      </c>
      <c r="M92" s="72">
        <f t="shared" si="80"/>
        <v>7.2188778690923281E-4</v>
      </c>
      <c r="N92" s="72">
        <f t="shared" si="80"/>
        <v>1.0661629216570582E-3</v>
      </c>
      <c r="O92" s="72">
        <f t="shared" si="80"/>
        <v>1.0720996659934496E-3</v>
      </c>
      <c r="P92" s="72">
        <f t="shared" si="80"/>
        <v>1.2951511181782615E-3</v>
      </c>
      <c r="Q92" s="72">
        <f t="shared" si="80"/>
        <v>2.3286078731378909E-3</v>
      </c>
      <c r="R92" s="72">
        <f t="shared" si="80"/>
        <v>2.4362750626180174E-3</v>
      </c>
      <c r="S92" s="72">
        <f t="shared" si="80"/>
        <v>3.0213892736950174E-3</v>
      </c>
      <c r="T92" s="72">
        <f t="shared" si="80"/>
        <v>2.4527899455201647E-3</v>
      </c>
      <c r="U92" s="72">
        <f t="shared" si="80"/>
        <v>2.7636634300503234E-3</v>
      </c>
      <c r="V92" s="72">
        <f t="shared" si="80"/>
        <v>3.1647525448976889E-3</v>
      </c>
      <c r="W92" s="72">
        <f t="shared" si="80"/>
        <v>2.6292824570561864E-3</v>
      </c>
      <c r="X92" s="72">
        <f t="shared" ref="X92:Y92" si="81">IF(X84=0,0,X84/X$81)</f>
        <v>4.3746107039081194E-3</v>
      </c>
      <c r="Y92" s="72">
        <f t="shared" si="81"/>
        <v>4.2292204004682589E-3</v>
      </c>
      <c r="DA92" s="115"/>
    </row>
    <row r="93" spans="1:105" ht="12" customHeight="1" x14ac:dyDescent="0.25">
      <c r="A93" s="61" t="s">
        <v>35</v>
      </c>
      <c r="B93" s="72">
        <f t="shared" ref="B93" si="82">IF(B85=0,0,B85/B$81)</f>
        <v>0.20326360819497083</v>
      </c>
      <c r="C93" s="72">
        <f t="shared" ref="C93:W93" si="83">IF(C85=0,0,C85/C$81)</f>
        <v>0.18731535961034484</v>
      </c>
      <c r="D93" s="72">
        <f t="shared" si="83"/>
        <v>0.18541976704435859</v>
      </c>
      <c r="E93" s="72">
        <f t="shared" si="83"/>
        <v>0.18462693491720306</v>
      </c>
      <c r="F93" s="72">
        <f t="shared" si="83"/>
        <v>0.17474182218989365</v>
      </c>
      <c r="G93" s="72">
        <f t="shared" si="83"/>
        <v>0.16243385736423802</v>
      </c>
      <c r="H93" s="72">
        <f t="shared" si="83"/>
        <v>0.15641552367858697</v>
      </c>
      <c r="I93" s="72">
        <f t="shared" si="83"/>
        <v>0.1967126274124868</v>
      </c>
      <c r="J93" s="72">
        <f t="shared" si="83"/>
        <v>0.20697613045367924</v>
      </c>
      <c r="K93" s="72">
        <f t="shared" si="83"/>
        <v>0.19132882067891863</v>
      </c>
      <c r="L93" s="72">
        <f t="shared" si="83"/>
        <v>0.17013653190545966</v>
      </c>
      <c r="M93" s="72">
        <f t="shared" si="83"/>
        <v>0.16612561733418019</v>
      </c>
      <c r="N93" s="72">
        <f t="shared" si="83"/>
        <v>0.18987372624066473</v>
      </c>
      <c r="O93" s="72">
        <f t="shared" si="83"/>
        <v>0.20165991143572226</v>
      </c>
      <c r="P93" s="72">
        <f t="shared" si="83"/>
        <v>0.2535713162656324</v>
      </c>
      <c r="Q93" s="72">
        <f t="shared" si="83"/>
        <v>0.24608672894076916</v>
      </c>
      <c r="R93" s="72">
        <f t="shared" si="83"/>
        <v>0.23482302077449024</v>
      </c>
      <c r="S93" s="72">
        <f t="shared" si="83"/>
        <v>0.22872660785478879</v>
      </c>
      <c r="T93" s="72">
        <f t="shared" si="83"/>
        <v>0.22268754796936449</v>
      </c>
      <c r="U93" s="72">
        <f t="shared" si="83"/>
        <v>0.2266924858647604</v>
      </c>
      <c r="V93" s="72">
        <f t="shared" si="83"/>
        <v>0.2289437332319875</v>
      </c>
      <c r="W93" s="72">
        <f t="shared" si="83"/>
        <v>0.22779973588137456</v>
      </c>
      <c r="X93" s="72">
        <f t="shared" ref="X93:Y93" si="84">IF(X85=0,0,X85/X$81)</f>
        <v>0.23902921706969793</v>
      </c>
      <c r="Y93" s="72">
        <f t="shared" si="84"/>
        <v>0.25196177328935043</v>
      </c>
      <c r="DA93" s="115"/>
    </row>
    <row r="94" spans="1:105" ht="12" customHeight="1" x14ac:dyDescent="0.25">
      <c r="A94" s="61" t="s">
        <v>34</v>
      </c>
      <c r="B94" s="73">
        <f t="shared" ref="B94" si="85">IF(B86=0,0,B86/B$81)</f>
        <v>0.1268853325046225</v>
      </c>
      <c r="C94" s="73">
        <f t="shared" ref="C94:W94" si="86">IF(C86=0,0,C86/C$81)</f>
        <v>0.13438486417805656</v>
      </c>
      <c r="D94" s="73">
        <f t="shared" si="86"/>
        <v>0.127536630433052</v>
      </c>
      <c r="E94" s="73">
        <f t="shared" si="86"/>
        <v>0.12988533373068434</v>
      </c>
      <c r="F94" s="73">
        <f t="shared" si="86"/>
        <v>0.1490717786921297</v>
      </c>
      <c r="G94" s="73">
        <f t="shared" si="86"/>
        <v>0.13644728917437829</v>
      </c>
      <c r="H94" s="73">
        <f t="shared" si="86"/>
        <v>0.11303288659355323</v>
      </c>
      <c r="I94" s="73">
        <f t="shared" si="86"/>
        <v>0.15043973430018212</v>
      </c>
      <c r="J94" s="73">
        <f t="shared" si="86"/>
        <v>0.17081911431122981</v>
      </c>
      <c r="K94" s="73">
        <f t="shared" si="86"/>
        <v>0.1539179998832895</v>
      </c>
      <c r="L94" s="73">
        <f t="shared" si="86"/>
        <v>0.14214503778576204</v>
      </c>
      <c r="M94" s="73">
        <f t="shared" si="86"/>
        <v>0.13899617046122417</v>
      </c>
      <c r="N94" s="73">
        <f t="shared" si="86"/>
        <v>0.157498748499796</v>
      </c>
      <c r="O94" s="73">
        <f t="shared" si="86"/>
        <v>0.17559341471469772</v>
      </c>
      <c r="P94" s="73">
        <f t="shared" si="86"/>
        <v>0.30776322230313996</v>
      </c>
      <c r="Q94" s="73">
        <f t="shared" si="86"/>
        <v>0.35685894447452599</v>
      </c>
      <c r="R94" s="73">
        <f t="shared" si="86"/>
        <v>0.35162481425198799</v>
      </c>
      <c r="S94" s="73">
        <f t="shared" si="86"/>
        <v>0.33680379616365774</v>
      </c>
      <c r="T94" s="73">
        <f t="shared" si="86"/>
        <v>0.29387052386788221</v>
      </c>
      <c r="U94" s="73">
        <f t="shared" si="86"/>
        <v>0.29849462597609533</v>
      </c>
      <c r="V94" s="73">
        <f t="shared" si="86"/>
        <v>0.31687007770038322</v>
      </c>
      <c r="W94" s="73">
        <f t="shared" si="86"/>
        <v>0.28700523332903222</v>
      </c>
      <c r="X94" s="73">
        <f t="shared" ref="X94:Y94" si="87">IF(X86=0,0,X86/X$81)</f>
        <v>0.2731146813761593</v>
      </c>
      <c r="Y94" s="73">
        <f t="shared" si="87"/>
        <v>0.29275180951538826</v>
      </c>
      <c r="DA94" s="116"/>
    </row>
    <row r="95" spans="1:105" ht="12" customHeight="1" x14ac:dyDescent="0.25">
      <c r="A95" s="69" t="s">
        <v>33</v>
      </c>
      <c r="B95" s="70">
        <f t="shared" ref="B95" si="88">IF(B87=0,0,B87/B$81)</f>
        <v>0</v>
      </c>
      <c r="C95" s="70">
        <f t="shared" ref="C95:W95" si="89">IF(C87=0,0,C87/C$81)</f>
        <v>0</v>
      </c>
      <c r="D95" s="70">
        <f t="shared" si="89"/>
        <v>0</v>
      </c>
      <c r="E95" s="70">
        <f t="shared" si="89"/>
        <v>0</v>
      </c>
      <c r="F95" s="70">
        <f t="shared" si="89"/>
        <v>0</v>
      </c>
      <c r="G95" s="70">
        <f t="shared" si="89"/>
        <v>0</v>
      </c>
      <c r="H95" s="70">
        <f t="shared" si="89"/>
        <v>0</v>
      </c>
      <c r="I95" s="70">
        <f t="shared" si="89"/>
        <v>0</v>
      </c>
      <c r="J95" s="70">
        <f t="shared" si="89"/>
        <v>0</v>
      </c>
      <c r="K95" s="70">
        <f t="shared" si="89"/>
        <v>0</v>
      </c>
      <c r="L95" s="70">
        <f t="shared" si="89"/>
        <v>0</v>
      </c>
      <c r="M95" s="70">
        <f t="shared" si="89"/>
        <v>0</v>
      </c>
      <c r="N95" s="70">
        <f t="shared" si="89"/>
        <v>0</v>
      </c>
      <c r="O95" s="70">
        <f t="shared" si="89"/>
        <v>0</v>
      </c>
      <c r="P95" s="70">
        <f t="shared" si="89"/>
        <v>0</v>
      </c>
      <c r="Q95" s="70">
        <f t="shared" si="89"/>
        <v>0</v>
      </c>
      <c r="R95" s="70">
        <f t="shared" si="89"/>
        <v>0</v>
      </c>
      <c r="S95" s="70">
        <f t="shared" si="89"/>
        <v>0</v>
      </c>
      <c r="T95" s="70">
        <f t="shared" si="89"/>
        <v>0</v>
      </c>
      <c r="U95" s="70">
        <f t="shared" si="89"/>
        <v>0</v>
      </c>
      <c r="V95" s="70">
        <f t="shared" si="89"/>
        <v>0</v>
      </c>
      <c r="W95" s="70">
        <f t="shared" si="89"/>
        <v>0</v>
      </c>
      <c r="X95" s="70">
        <f t="shared" ref="X95:Y95" si="90">IF(X87=0,0,X87/X$81)</f>
        <v>0</v>
      </c>
      <c r="Y95" s="70">
        <f t="shared" si="90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91">B47*11630*1000/B$8</f>
        <v>45447.051600718485</v>
      </c>
      <c r="C99" s="82">
        <f t="shared" ref="C99:W99" si="92">C47*11630*1000/C$8</f>
        <v>46224.865911509143</v>
      </c>
      <c r="D99" s="82">
        <f t="shared" si="92"/>
        <v>45856.374562995326</v>
      </c>
      <c r="E99" s="82">
        <f t="shared" si="92"/>
        <v>44633.54957543355</v>
      </c>
      <c r="F99" s="82">
        <f t="shared" si="92"/>
        <v>46700.683261756356</v>
      </c>
      <c r="G99" s="82">
        <f t="shared" si="92"/>
        <v>48690.542949944233</v>
      </c>
      <c r="H99" s="82">
        <f t="shared" si="92"/>
        <v>57591.057310686134</v>
      </c>
      <c r="I99" s="82">
        <f t="shared" si="92"/>
        <v>50370.945899457081</v>
      </c>
      <c r="J99" s="82">
        <f t="shared" si="92"/>
        <v>50505.553181517331</v>
      </c>
      <c r="K99" s="82">
        <f t="shared" si="92"/>
        <v>52644.54905298799</v>
      </c>
      <c r="L99" s="82">
        <f t="shared" si="92"/>
        <v>55453.266012608794</v>
      </c>
      <c r="M99" s="82">
        <f t="shared" si="92"/>
        <v>55107.52168847555</v>
      </c>
      <c r="N99" s="82">
        <f t="shared" si="92"/>
        <v>52557.225776594518</v>
      </c>
      <c r="O99" s="82">
        <f t="shared" si="92"/>
        <v>50596.758732447546</v>
      </c>
      <c r="P99" s="82">
        <f t="shared" si="92"/>
        <v>45908.361972704872</v>
      </c>
      <c r="Q99" s="82">
        <f t="shared" si="92"/>
        <v>46845.46868355589</v>
      </c>
      <c r="R99" s="82">
        <f t="shared" si="92"/>
        <v>47192.063286777833</v>
      </c>
      <c r="S99" s="82">
        <f t="shared" si="92"/>
        <v>47835.202724688366</v>
      </c>
      <c r="T99" s="82">
        <f t="shared" si="92"/>
        <v>47703.02482209442</v>
      </c>
      <c r="U99" s="82">
        <f t="shared" si="92"/>
        <v>47176.753612003071</v>
      </c>
      <c r="V99" s="82">
        <f t="shared" si="92"/>
        <v>42900.311336911356</v>
      </c>
      <c r="W99" s="82">
        <f t="shared" si="92"/>
        <v>44708.885314570987</v>
      </c>
      <c r="X99" s="82">
        <f t="shared" ref="X99:Y99" si="93">X47*11630*1000/X$8</f>
        <v>43905.305988259301</v>
      </c>
      <c r="Y99" s="82">
        <f t="shared" si="93"/>
        <v>43814.836691310586</v>
      </c>
      <c r="DA99" s="107"/>
    </row>
    <row r="100" spans="1:105" ht="12" customHeight="1" x14ac:dyDescent="0.25">
      <c r="A100" s="77" t="s">
        <v>36</v>
      </c>
      <c r="B100" s="64">
        <f t="shared" si="91"/>
        <v>26773.952370971732</v>
      </c>
      <c r="C100" s="64">
        <f t="shared" ref="C100:W100" si="94">C48*11630*1000/C$8</f>
        <v>26892.781176241042</v>
      </c>
      <c r="D100" s="64">
        <f t="shared" si="94"/>
        <v>26056.26257799548</v>
      </c>
      <c r="E100" s="64">
        <f t="shared" si="94"/>
        <v>24378.763058692806</v>
      </c>
      <c r="F100" s="64">
        <f t="shared" si="94"/>
        <v>25984.620111620563</v>
      </c>
      <c r="G100" s="64">
        <f t="shared" si="94"/>
        <v>27606.629395911597</v>
      </c>
      <c r="H100" s="64">
        <f t="shared" si="94"/>
        <v>36347.762897187582</v>
      </c>
      <c r="I100" s="64">
        <f t="shared" si="94"/>
        <v>29058.670441275841</v>
      </c>
      <c r="J100" s="64">
        <f t="shared" si="94"/>
        <v>29166.26123725155</v>
      </c>
      <c r="K100" s="64">
        <f t="shared" si="94"/>
        <v>31128.055871955799</v>
      </c>
      <c r="L100" s="64">
        <f t="shared" si="94"/>
        <v>33869.683293970309</v>
      </c>
      <c r="M100" s="64">
        <f t="shared" si="94"/>
        <v>33481.785782367122</v>
      </c>
      <c r="N100" s="64">
        <f t="shared" si="94"/>
        <v>30875.792978611509</v>
      </c>
      <c r="O100" s="64">
        <f t="shared" si="94"/>
        <v>28864.482676968488</v>
      </c>
      <c r="P100" s="64">
        <f t="shared" si="94"/>
        <v>24086.162060631621</v>
      </c>
      <c r="Q100" s="64">
        <f t="shared" si="94"/>
        <v>24733.124101116871</v>
      </c>
      <c r="R100" s="64">
        <f t="shared" si="94"/>
        <v>24913.577413330131</v>
      </c>
      <c r="S100" s="64">
        <f t="shared" si="94"/>
        <v>26048.244578290218</v>
      </c>
      <c r="T100" s="64">
        <f t="shared" si="94"/>
        <v>26205.429708829543</v>
      </c>
      <c r="U100" s="64">
        <f t="shared" si="94"/>
        <v>26104.141274496982</v>
      </c>
      <c r="V100" s="64">
        <f t="shared" si="94"/>
        <v>23572.358686528056</v>
      </c>
      <c r="W100" s="64">
        <f t="shared" si="94"/>
        <v>25540.418221394182</v>
      </c>
      <c r="X100" s="64">
        <f t="shared" ref="X100:Y100" si="95">X48*11630*1000/X$8</f>
        <v>24878.223431952127</v>
      </c>
      <c r="Y100" s="64">
        <f t="shared" si="95"/>
        <v>25108.562298919314</v>
      </c>
      <c r="DA100" s="108"/>
    </row>
    <row r="101" spans="1:105" ht="12" customHeight="1" x14ac:dyDescent="0.25">
      <c r="A101" s="61" t="s">
        <v>32</v>
      </c>
      <c r="B101" s="65">
        <f t="shared" si="91"/>
        <v>12694.482714424605</v>
      </c>
      <c r="C101" s="65">
        <f t="shared" ref="C101:W101" si="96">C49*11630*1000/C$8</f>
        <v>12260.65619819216</v>
      </c>
      <c r="D101" s="65">
        <f t="shared" si="96"/>
        <v>11570.694059364909</v>
      </c>
      <c r="E101" s="65">
        <f t="shared" si="96"/>
        <v>9531.2453391161434</v>
      </c>
      <c r="F101" s="65">
        <f t="shared" si="96"/>
        <v>10604.647583661392</v>
      </c>
      <c r="G101" s="65">
        <f t="shared" si="96"/>
        <v>12006.281602115572</v>
      </c>
      <c r="H101" s="65">
        <f t="shared" si="96"/>
        <v>19688.785578188545</v>
      </c>
      <c r="I101" s="65">
        <f t="shared" si="96"/>
        <v>12986.674842224047</v>
      </c>
      <c r="J101" s="65">
        <f t="shared" si="96"/>
        <v>12661.023897613293</v>
      </c>
      <c r="K101" s="65">
        <f t="shared" si="96"/>
        <v>13481.546704172562</v>
      </c>
      <c r="L101" s="65">
        <f t="shared" si="96"/>
        <v>16116.78302206011</v>
      </c>
      <c r="M101" s="65">
        <f t="shared" si="96"/>
        <v>15954.277784674437</v>
      </c>
      <c r="N101" s="65">
        <f t="shared" si="96"/>
        <v>12904.190906320284</v>
      </c>
      <c r="O101" s="65">
        <f t="shared" si="96"/>
        <v>11514.88971947229</v>
      </c>
      <c r="P101" s="65">
        <f t="shared" si="96"/>
        <v>6888.3485851091655</v>
      </c>
      <c r="Q101" s="65">
        <f t="shared" si="96"/>
        <v>6439.7973124734945</v>
      </c>
      <c r="R101" s="65">
        <f t="shared" si="96"/>
        <v>7130.8960340754666</v>
      </c>
      <c r="S101" s="65">
        <f t="shared" si="96"/>
        <v>7807.6112028042053</v>
      </c>
      <c r="T101" s="65">
        <f t="shared" si="96"/>
        <v>9151.1164842169273</v>
      </c>
      <c r="U101" s="65">
        <f t="shared" si="96"/>
        <v>9037.1451298857937</v>
      </c>
      <c r="V101" s="65">
        <f t="shared" si="96"/>
        <v>8203.5615867908928</v>
      </c>
      <c r="W101" s="65">
        <f t="shared" si="96"/>
        <v>9520.1052323563526</v>
      </c>
      <c r="X101" s="65">
        <f t="shared" ref="X101:Y101" si="97">X49*11630*1000/X$8</f>
        <v>9097.9793950113235</v>
      </c>
      <c r="Y101" s="65">
        <f t="shared" si="97"/>
        <v>8481.5778250643452</v>
      </c>
      <c r="DA101" s="109"/>
    </row>
    <row r="102" spans="1:105" ht="12" customHeight="1" x14ac:dyDescent="0.25">
      <c r="A102" s="61" t="s">
        <v>31</v>
      </c>
      <c r="B102" s="65">
        <f t="shared" si="91"/>
        <v>1649.028910665651</v>
      </c>
      <c r="C102" s="65">
        <f t="shared" ref="C102:W102" si="98">C50*11630*1000/C$8</f>
        <v>1849.4132276036148</v>
      </c>
      <c r="D102" s="65">
        <f t="shared" si="98"/>
        <v>1771.9976847031978</v>
      </c>
      <c r="E102" s="65">
        <f t="shared" si="98"/>
        <v>2510.8083012304769</v>
      </c>
      <c r="F102" s="65">
        <f t="shared" si="98"/>
        <v>2285.8778787013571</v>
      </c>
      <c r="G102" s="65">
        <f t="shared" si="98"/>
        <v>2557.035242785922</v>
      </c>
      <c r="H102" s="65">
        <f t="shared" si="98"/>
        <v>3084.523887507064</v>
      </c>
      <c r="I102" s="65">
        <f t="shared" si="98"/>
        <v>2560.5448618641972</v>
      </c>
      <c r="J102" s="65">
        <f t="shared" si="98"/>
        <v>2849.9823361712861</v>
      </c>
      <c r="K102" s="65">
        <f t="shared" si="98"/>
        <v>4008.6902192605162</v>
      </c>
      <c r="L102" s="65">
        <f t="shared" si="98"/>
        <v>3956.4290972029235</v>
      </c>
      <c r="M102" s="65">
        <f t="shared" si="98"/>
        <v>3660.7386076185512</v>
      </c>
      <c r="N102" s="65">
        <f t="shared" si="98"/>
        <v>4413.1122200055506</v>
      </c>
      <c r="O102" s="65">
        <f t="shared" si="98"/>
        <v>3569.5293468018563</v>
      </c>
      <c r="P102" s="65">
        <f t="shared" si="98"/>
        <v>3255.6043203031863</v>
      </c>
      <c r="Q102" s="65">
        <f t="shared" si="98"/>
        <v>4660.7526939436466</v>
      </c>
      <c r="R102" s="65">
        <f t="shared" si="98"/>
        <v>4423.0064427864381</v>
      </c>
      <c r="S102" s="65">
        <f t="shared" si="98"/>
        <v>4985.5648000519423</v>
      </c>
      <c r="T102" s="65">
        <f t="shared" si="98"/>
        <v>3474.1712639589455</v>
      </c>
      <c r="U102" s="65">
        <f t="shared" si="98"/>
        <v>3559.6106186957609</v>
      </c>
      <c r="V102" s="65">
        <f t="shared" si="98"/>
        <v>3898.3327700366381</v>
      </c>
      <c r="W102" s="65">
        <f t="shared" si="98"/>
        <v>3325.8273428851226</v>
      </c>
      <c r="X102" s="65">
        <f t="shared" ref="X102:Y102" si="99">X50*11630*1000/X$8</f>
        <v>4209.0368771250951</v>
      </c>
      <c r="Y102" s="65">
        <f t="shared" si="99"/>
        <v>4218.0921377895538</v>
      </c>
      <c r="DA102" s="109"/>
    </row>
    <row r="103" spans="1:105" ht="12" customHeight="1" x14ac:dyDescent="0.25">
      <c r="A103" s="61" t="s">
        <v>35</v>
      </c>
      <c r="B103" s="65">
        <f t="shared" si="91"/>
        <v>6046.370729552742</v>
      </c>
      <c r="C103" s="65">
        <f t="shared" ref="C103:W103" si="100">C51*11630*1000/C$8</f>
        <v>6208.5000348176809</v>
      </c>
      <c r="D103" s="65">
        <f t="shared" si="100"/>
        <v>6413.7189672106106</v>
      </c>
      <c r="E103" s="65">
        <f t="shared" si="100"/>
        <v>6286.3793763458143</v>
      </c>
      <c r="F103" s="65">
        <f t="shared" si="100"/>
        <v>6594.7770813077004</v>
      </c>
      <c r="G103" s="65">
        <f t="shared" si="100"/>
        <v>6542.7925656815123</v>
      </c>
      <c r="H103" s="65">
        <f t="shared" si="100"/>
        <v>6718.1733951251463</v>
      </c>
      <c r="I103" s="65">
        <f t="shared" si="100"/>
        <v>6578.0806163900361</v>
      </c>
      <c r="J103" s="65">
        <f t="shared" si="100"/>
        <v>6573.5948468221468</v>
      </c>
      <c r="K103" s="65">
        <f t="shared" si="100"/>
        <v>6569.6285855342794</v>
      </c>
      <c r="L103" s="65">
        <f t="shared" si="100"/>
        <v>6579.2524729442302</v>
      </c>
      <c r="M103" s="65">
        <f t="shared" si="100"/>
        <v>6582.9601539333389</v>
      </c>
      <c r="N103" s="65">
        <f t="shared" si="100"/>
        <v>6393.3333230418903</v>
      </c>
      <c r="O103" s="65">
        <f t="shared" si="100"/>
        <v>6517.1912139513515</v>
      </c>
      <c r="P103" s="65">
        <f t="shared" si="100"/>
        <v>6325.5069995042386</v>
      </c>
      <c r="Q103" s="65">
        <f t="shared" si="100"/>
        <v>5946.6089765478937</v>
      </c>
      <c r="R103" s="65">
        <f t="shared" si="100"/>
        <v>5750.6601770353891</v>
      </c>
      <c r="S103" s="65">
        <f t="shared" si="100"/>
        <v>5482.3142345059441</v>
      </c>
      <c r="T103" s="65">
        <f t="shared" si="100"/>
        <v>5757.279813160374</v>
      </c>
      <c r="U103" s="65">
        <f t="shared" si="100"/>
        <v>5566.0950324235491</v>
      </c>
      <c r="V103" s="65">
        <f t="shared" si="100"/>
        <v>4834.2968606946206</v>
      </c>
      <c r="W103" s="65">
        <f t="shared" si="100"/>
        <v>5165.4265173774684</v>
      </c>
      <c r="X103" s="65">
        <f t="shared" ref="X103:Y103" si="101">X51*11630*1000/X$8</f>
        <v>4850.5978632736596</v>
      </c>
      <c r="Y103" s="65">
        <f t="shared" si="101"/>
        <v>4817.6479284878706</v>
      </c>
      <c r="DA103" s="109"/>
    </row>
    <row r="104" spans="1:105" ht="12" customHeight="1" x14ac:dyDescent="0.25">
      <c r="A104" s="66" t="s">
        <v>34</v>
      </c>
      <c r="B104" s="67">
        <f t="shared" si="91"/>
        <v>6384.0700163287393</v>
      </c>
      <c r="C104" s="67">
        <f t="shared" ref="C104:W104" si="102">C52*11630*1000/C$8</f>
        <v>6574.2117156275917</v>
      </c>
      <c r="D104" s="67">
        <f t="shared" si="102"/>
        <v>6299.8518667167627</v>
      </c>
      <c r="E104" s="67">
        <f t="shared" si="102"/>
        <v>6050.3300420003734</v>
      </c>
      <c r="F104" s="67">
        <f t="shared" si="102"/>
        <v>6499.3175679501101</v>
      </c>
      <c r="G104" s="67">
        <f t="shared" si="102"/>
        <v>6500.5199853285885</v>
      </c>
      <c r="H104" s="67">
        <f t="shared" si="102"/>
        <v>6856.2800363668248</v>
      </c>
      <c r="I104" s="67">
        <f t="shared" si="102"/>
        <v>6933.3701207975591</v>
      </c>
      <c r="J104" s="67">
        <f t="shared" si="102"/>
        <v>7081.660156644818</v>
      </c>
      <c r="K104" s="67">
        <f t="shared" si="102"/>
        <v>7068.1903629884446</v>
      </c>
      <c r="L104" s="67">
        <f t="shared" si="102"/>
        <v>7217.2187017630449</v>
      </c>
      <c r="M104" s="67">
        <f t="shared" si="102"/>
        <v>7283.8092361407953</v>
      </c>
      <c r="N104" s="67">
        <f t="shared" si="102"/>
        <v>7165.1565292437899</v>
      </c>
      <c r="O104" s="67">
        <f t="shared" si="102"/>
        <v>7262.8723967429887</v>
      </c>
      <c r="P104" s="67">
        <f t="shared" si="102"/>
        <v>7616.7021557150301</v>
      </c>
      <c r="Q104" s="67">
        <f t="shared" si="102"/>
        <v>7685.9651181518393</v>
      </c>
      <c r="R104" s="67">
        <f t="shared" si="102"/>
        <v>7609.0147594328437</v>
      </c>
      <c r="S104" s="67">
        <f t="shared" si="102"/>
        <v>7772.7543409281325</v>
      </c>
      <c r="T104" s="67">
        <f t="shared" si="102"/>
        <v>7822.8621474932925</v>
      </c>
      <c r="U104" s="67">
        <f t="shared" si="102"/>
        <v>7941.2904934918788</v>
      </c>
      <c r="V104" s="67">
        <f t="shared" si="102"/>
        <v>6636.1674690059026</v>
      </c>
      <c r="W104" s="67">
        <f t="shared" si="102"/>
        <v>7529.0591287752432</v>
      </c>
      <c r="X104" s="67">
        <f t="shared" ref="X104:Y104" si="103">X52*11630*1000/X$8</f>
        <v>6720.6092965420457</v>
      </c>
      <c r="Y104" s="67">
        <f t="shared" si="103"/>
        <v>7591.2444075775493</v>
      </c>
      <c r="DA104" s="110"/>
    </row>
    <row r="105" spans="1:105" ht="12" customHeight="1" x14ac:dyDescent="0.25">
      <c r="A105" s="78" t="s">
        <v>33</v>
      </c>
      <c r="B105" s="68">
        <f t="shared" si="91"/>
        <v>18673.099229746756</v>
      </c>
      <c r="C105" s="68">
        <f t="shared" ref="C105:W105" si="104">C53*11630*1000/C$8</f>
        <v>19332.084735268112</v>
      </c>
      <c r="D105" s="68">
        <f t="shared" si="104"/>
        <v>19800.111984999854</v>
      </c>
      <c r="E105" s="68">
        <f t="shared" si="104"/>
        <v>20254.786516740733</v>
      </c>
      <c r="F105" s="68">
        <f t="shared" si="104"/>
        <v>20716.063150135797</v>
      </c>
      <c r="G105" s="68">
        <f t="shared" si="104"/>
        <v>21083.913554032635</v>
      </c>
      <c r="H105" s="68">
        <f t="shared" si="104"/>
        <v>21243.294413498552</v>
      </c>
      <c r="I105" s="68">
        <f t="shared" si="104"/>
        <v>21312.275458181241</v>
      </c>
      <c r="J105" s="68">
        <f t="shared" si="104"/>
        <v>21339.291944265788</v>
      </c>
      <c r="K105" s="68">
        <f t="shared" si="104"/>
        <v>21516.49318103219</v>
      </c>
      <c r="L105" s="68">
        <f t="shared" si="104"/>
        <v>21583.582718638492</v>
      </c>
      <c r="M105" s="68">
        <f t="shared" si="104"/>
        <v>21625.735906108432</v>
      </c>
      <c r="N105" s="68">
        <f t="shared" si="104"/>
        <v>21681.432797983005</v>
      </c>
      <c r="O105" s="68">
        <f t="shared" si="104"/>
        <v>21732.276055479051</v>
      </c>
      <c r="P105" s="68">
        <f t="shared" si="104"/>
        <v>21822.199912073247</v>
      </c>
      <c r="Q105" s="68">
        <f t="shared" si="104"/>
        <v>22112.344582439022</v>
      </c>
      <c r="R105" s="68">
        <f t="shared" si="104"/>
        <v>22278.485873447695</v>
      </c>
      <c r="S105" s="68">
        <f t="shared" si="104"/>
        <v>21786.958146398145</v>
      </c>
      <c r="T105" s="68">
        <f t="shared" si="104"/>
        <v>21497.595113264881</v>
      </c>
      <c r="U105" s="68">
        <f t="shared" si="104"/>
        <v>21072.612337506096</v>
      </c>
      <c r="V105" s="68">
        <f t="shared" si="104"/>
        <v>19327.952650383297</v>
      </c>
      <c r="W105" s="68">
        <f t="shared" si="104"/>
        <v>19168.467093176798</v>
      </c>
      <c r="X105" s="68">
        <f t="shared" ref="X105:Y105" si="105">X53*11630*1000/X$8</f>
        <v>19027.082556307174</v>
      </c>
      <c r="Y105" s="68">
        <f t="shared" si="105"/>
        <v>18706.274392391275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106">SUM(B108:B111)</f>
        <v>15925.618012076642</v>
      </c>
      <c r="C107" s="85">
        <f t="shared" ref="C107:W107" si="107">SUM(C108:C111)</f>
        <v>16307.161773146609</v>
      </c>
      <c r="D107" s="85">
        <f t="shared" si="107"/>
        <v>16047.811407230329</v>
      </c>
      <c r="E107" s="85">
        <f t="shared" si="107"/>
        <v>16681.108890663851</v>
      </c>
      <c r="F107" s="85">
        <f t="shared" si="107"/>
        <v>17437.884050124936</v>
      </c>
      <c r="G107" s="85">
        <f t="shared" si="107"/>
        <v>18988.696658713896</v>
      </c>
      <c r="H107" s="85">
        <f t="shared" si="107"/>
        <v>25275.087150443065</v>
      </c>
      <c r="I107" s="85">
        <f t="shared" si="107"/>
        <v>21066.312196380379</v>
      </c>
      <c r="J107" s="85">
        <f t="shared" si="107"/>
        <v>22398.085567178219</v>
      </c>
      <c r="K107" s="85">
        <f t="shared" si="107"/>
        <v>26030.90118535838</v>
      </c>
      <c r="L107" s="85">
        <f t="shared" si="107"/>
        <v>27876.532846783539</v>
      </c>
      <c r="M107" s="85">
        <f t="shared" si="107"/>
        <v>27468.962981685749</v>
      </c>
      <c r="N107" s="85">
        <f t="shared" si="107"/>
        <v>28247.916936380316</v>
      </c>
      <c r="O107" s="85">
        <f t="shared" si="107"/>
        <v>25705.845280200228</v>
      </c>
      <c r="P107" s="85">
        <f t="shared" si="107"/>
        <v>22607.373610864015</v>
      </c>
      <c r="Q107" s="85">
        <f t="shared" si="107"/>
        <v>27272.297660040942</v>
      </c>
      <c r="R107" s="85">
        <f t="shared" si="107"/>
        <v>27626.299353592782</v>
      </c>
      <c r="S107" s="85">
        <f t="shared" si="107"/>
        <v>31004.75822311841</v>
      </c>
      <c r="T107" s="85">
        <f t="shared" si="107"/>
        <v>27986.476042037277</v>
      </c>
      <c r="U107" s="85">
        <f t="shared" si="107"/>
        <v>29203.128533555369</v>
      </c>
      <c r="V107" s="85">
        <f t="shared" si="107"/>
        <v>29322.243538549985</v>
      </c>
      <c r="W107" s="85">
        <f t="shared" si="107"/>
        <v>29830.503740784363</v>
      </c>
      <c r="X107" s="85">
        <f t="shared" ref="X107:Y107" si="108">SUM(X108:X111)</f>
        <v>33023.493435713266</v>
      </c>
      <c r="Y107" s="85">
        <f t="shared" si="108"/>
        <v>34230.884743788265</v>
      </c>
      <c r="DA107" s="117"/>
    </row>
    <row r="108" spans="1:105" ht="12" customHeight="1" x14ac:dyDescent="0.25">
      <c r="A108" s="61" t="s">
        <v>32</v>
      </c>
      <c r="B108" s="65">
        <v>5875.823414579897</v>
      </c>
      <c r="C108" s="65">
        <v>5528.3392689375187</v>
      </c>
      <c r="D108" s="65">
        <v>5207.5606437303331</v>
      </c>
      <c r="E108" s="65">
        <v>4303.9459697730208</v>
      </c>
      <c r="F108" s="65">
        <v>4892.3328158979939</v>
      </c>
      <c r="G108" s="65">
        <v>5584.6475982311013</v>
      </c>
      <c r="H108" s="65">
        <v>10023.333272686552</v>
      </c>
      <c r="I108" s="65">
        <v>6674.3992783202475</v>
      </c>
      <c r="J108" s="65">
        <v>6832.2619690284428</v>
      </c>
      <c r="K108" s="65">
        <v>7235.1997169287506</v>
      </c>
      <c r="L108" s="65">
        <v>8795.538801173494</v>
      </c>
      <c r="M108" s="65">
        <v>8776.9705289601352</v>
      </c>
      <c r="N108" s="65">
        <v>7282.699167999961</v>
      </c>
      <c r="O108" s="65">
        <v>6695.7478385027198</v>
      </c>
      <c r="P108" s="65">
        <v>4365.0396086882965</v>
      </c>
      <c r="Q108" s="65">
        <v>4490.1321105016987</v>
      </c>
      <c r="R108" s="65">
        <v>5237.0361181568614</v>
      </c>
      <c r="S108" s="65">
        <v>6094.1625620736468</v>
      </c>
      <c r="T108" s="65">
        <v>7330.7078123582314</v>
      </c>
      <c r="U108" s="65">
        <v>7796.4147579377714</v>
      </c>
      <c r="V108" s="65">
        <v>7781.2588470255441</v>
      </c>
      <c r="W108" s="65">
        <v>9062.5402415643803</v>
      </c>
      <c r="X108" s="65">
        <v>9395.7872157452548</v>
      </c>
      <c r="Y108" s="65">
        <v>9564.4007752681828</v>
      </c>
      <c r="DA108" s="109"/>
    </row>
    <row r="109" spans="1:105" ht="12" customHeight="1" x14ac:dyDescent="0.25">
      <c r="A109" s="61" t="s">
        <v>31</v>
      </c>
      <c r="B109" s="65">
        <v>2781.9586732324055</v>
      </c>
      <c r="C109" s="65">
        <v>3295.3268474625365</v>
      </c>
      <c r="D109" s="65">
        <v>3342.9975852225125</v>
      </c>
      <c r="E109" s="65">
        <v>5020.1346061281401</v>
      </c>
      <c r="F109" s="65">
        <v>4763.2875458448952</v>
      </c>
      <c r="G109" s="65">
        <v>5608.7827099416463</v>
      </c>
      <c r="H109" s="65">
        <v>7117.682138095739</v>
      </c>
      <c r="I109" s="65">
        <v>6227.1785108437425</v>
      </c>
      <c r="J109" s="65">
        <v>7247.4635129108146</v>
      </c>
      <c r="K109" s="65">
        <v>10433.204139072952</v>
      </c>
      <c r="L109" s="65">
        <v>10567.583408648938</v>
      </c>
      <c r="M109" s="65">
        <v>10089.990745584901</v>
      </c>
      <c r="N109" s="65">
        <v>12538.75519035566</v>
      </c>
      <c r="O109" s="65">
        <v>10453.193973657613</v>
      </c>
      <c r="P109" s="65">
        <v>9834.6494499204473</v>
      </c>
      <c r="Q109" s="65">
        <v>14597.45001767511</v>
      </c>
      <c r="R109" s="65">
        <v>14378.553252335872</v>
      </c>
      <c r="S109" s="65">
        <v>16813.805032076027</v>
      </c>
      <c r="T109" s="65">
        <v>12073.311763040132</v>
      </c>
      <c r="U109" s="65">
        <v>12700.374771802915</v>
      </c>
      <c r="V109" s="65">
        <v>14228.924897645325</v>
      </c>
      <c r="W109" s="65">
        <v>12365.63528959828</v>
      </c>
      <c r="X109" s="65">
        <v>15839.133037059511</v>
      </c>
      <c r="Y109" s="65">
        <v>16062.960902470968</v>
      </c>
      <c r="DA109" s="109"/>
    </row>
    <row r="110" spans="1:105" ht="12" customHeight="1" x14ac:dyDescent="0.25">
      <c r="A110" s="61" t="s">
        <v>35</v>
      </c>
      <c r="B110" s="65">
        <v>3209.7043319522299</v>
      </c>
      <c r="C110" s="65">
        <v>3331.1477398097882</v>
      </c>
      <c r="D110" s="65">
        <v>3490.7103440105425</v>
      </c>
      <c r="E110" s="65">
        <v>3484.3061594655428</v>
      </c>
      <c r="F110" s="65">
        <v>3676.0108507762561</v>
      </c>
      <c r="G110" s="65">
        <v>3669.2991733811477</v>
      </c>
      <c r="H110" s="65">
        <v>3753.2041783446625</v>
      </c>
      <c r="I110" s="65">
        <v>3717.4672250260328</v>
      </c>
      <c r="J110" s="65">
        <v>3762.2569651988688</v>
      </c>
      <c r="K110" s="65">
        <v>3791.9737274576692</v>
      </c>
      <c r="L110" s="65">
        <v>3837.064082683461</v>
      </c>
      <c r="M110" s="65">
        <v>3877.4274269402522</v>
      </c>
      <c r="N110" s="65">
        <v>3801.1408887668722</v>
      </c>
      <c r="O110" s="65">
        <v>3923.0784596958119</v>
      </c>
      <c r="P110" s="65">
        <v>3828.4521891286322</v>
      </c>
      <c r="Q110" s="65">
        <v>3640.6995234876158</v>
      </c>
      <c r="R110" s="65">
        <v>3570.0505835048398</v>
      </c>
      <c r="S110" s="65">
        <v>3474.3784352270968</v>
      </c>
      <c r="T110" s="65">
        <v>3745.7660479741689</v>
      </c>
      <c r="U110" s="65">
        <v>3706.6188966935574</v>
      </c>
      <c r="V110" s="65">
        <v>3285.4687325035393</v>
      </c>
      <c r="W110" s="65">
        <v>3587.245966322836</v>
      </c>
      <c r="X110" s="65">
        <v>3435.8809376229447</v>
      </c>
      <c r="Y110" s="65">
        <v>3487.3758075535206</v>
      </c>
      <c r="DA110" s="109"/>
    </row>
    <row r="111" spans="1:105" ht="12" customHeight="1" x14ac:dyDescent="0.25">
      <c r="A111" s="74" t="s">
        <v>34</v>
      </c>
      <c r="B111" s="68">
        <v>4058.1315923121092</v>
      </c>
      <c r="C111" s="68">
        <v>4152.3479169367656</v>
      </c>
      <c r="D111" s="68">
        <v>4006.5428342669397</v>
      </c>
      <c r="E111" s="68">
        <v>3872.7221552971482</v>
      </c>
      <c r="F111" s="68">
        <v>4106.252837605789</v>
      </c>
      <c r="G111" s="68">
        <v>4125.9671771600024</v>
      </c>
      <c r="H111" s="68">
        <v>4380.8675613161149</v>
      </c>
      <c r="I111" s="68">
        <v>4447.2671821903587</v>
      </c>
      <c r="J111" s="68">
        <v>4556.1031200400903</v>
      </c>
      <c r="K111" s="68">
        <v>4570.5236018990072</v>
      </c>
      <c r="L111" s="68">
        <v>4676.3465542776476</v>
      </c>
      <c r="M111" s="68">
        <v>4724.5742802004606</v>
      </c>
      <c r="N111" s="68">
        <v>4625.3216892578221</v>
      </c>
      <c r="O111" s="68">
        <v>4633.8250083440844</v>
      </c>
      <c r="P111" s="68">
        <v>4579.232363126639</v>
      </c>
      <c r="Q111" s="68">
        <v>4544.0160083765195</v>
      </c>
      <c r="R111" s="68">
        <v>4440.6593995952098</v>
      </c>
      <c r="S111" s="68">
        <v>4622.4121937416376</v>
      </c>
      <c r="T111" s="68">
        <v>4836.6904186647444</v>
      </c>
      <c r="U111" s="68">
        <v>4999.7201071211248</v>
      </c>
      <c r="V111" s="68">
        <v>4026.5910613755777</v>
      </c>
      <c r="W111" s="68">
        <v>4815.0822432988625</v>
      </c>
      <c r="X111" s="68">
        <v>4352.6922452855524</v>
      </c>
      <c r="Y111" s="68">
        <v>5116.1472584955927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109">B81*1000000/B$8</f>
        <v>3790.0003642849128</v>
      </c>
      <c r="C113" s="82">
        <f t="shared" ref="C113:W113" si="110">C81*1000000/C$8</f>
        <v>4027.2783986141953</v>
      </c>
      <c r="D113" s="82">
        <f t="shared" si="110"/>
        <v>3882.9616453058775</v>
      </c>
      <c r="E113" s="82">
        <f t="shared" si="110"/>
        <v>3443.2488321364585</v>
      </c>
      <c r="F113" s="82">
        <f t="shared" si="110"/>
        <v>3748.1262841668863</v>
      </c>
      <c r="G113" s="82">
        <f t="shared" si="110"/>
        <v>4044.5904020095513</v>
      </c>
      <c r="H113" s="82">
        <f t="shared" si="110"/>
        <v>4950.520563770855</v>
      </c>
      <c r="I113" s="82">
        <f t="shared" si="110"/>
        <v>3697.9870569867176</v>
      </c>
      <c r="J113" s="82">
        <f t="shared" si="110"/>
        <v>3371.332932366397</v>
      </c>
      <c r="K113" s="82">
        <f t="shared" si="110"/>
        <v>3672.1085887579347</v>
      </c>
      <c r="L113" s="82">
        <f t="shared" si="110"/>
        <v>4075.4157438309867</v>
      </c>
      <c r="M113" s="82">
        <f t="shared" si="110"/>
        <v>4186.8620604237904</v>
      </c>
      <c r="N113" s="82">
        <f t="shared" si="110"/>
        <v>3836.5473225557976</v>
      </c>
      <c r="O113" s="82">
        <f t="shared" si="110"/>
        <v>3819.0711769068912</v>
      </c>
      <c r="P113" s="82">
        <f t="shared" si="110"/>
        <v>3328.9615950568768</v>
      </c>
      <c r="Q113" s="82">
        <f t="shared" si="110"/>
        <v>3228.9805217681437</v>
      </c>
      <c r="R113" s="82">
        <f t="shared" si="110"/>
        <v>3427.92212797918</v>
      </c>
      <c r="S113" s="82">
        <f t="shared" si="110"/>
        <v>3464.7283836647034</v>
      </c>
      <c r="T113" s="82">
        <f t="shared" si="110"/>
        <v>3572.4438907055442</v>
      </c>
      <c r="U113" s="82">
        <f t="shared" si="110"/>
        <v>3484.2281167900528</v>
      </c>
      <c r="V113" s="82">
        <f t="shared" si="110"/>
        <v>3256.4298499800857</v>
      </c>
      <c r="W113" s="82">
        <f t="shared" si="110"/>
        <v>3531.0143781523025</v>
      </c>
      <c r="X113" s="82">
        <f t="shared" ref="X113:Y113" si="111">X81*1000000/X$8</f>
        <v>3286.6332659467771</v>
      </c>
      <c r="Y113" s="82">
        <f t="shared" si="111"/>
        <v>3090.9322393349325</v>
      </c>
      <c r="DA113" s="107"/>
    </row>
    <row r="114" spans="1:105" ht="12" customHeight="1" x14ac:dyDescent="0.25">
      <c r="A114" s="77" t="s">
        <v>36</v>
      </c>
      <c r="B114" s="64">
        <f t="shared" ref="B114" si="112">B82*1000000/B$8</f>
        <v>3790.0003642849128</v>
      </c>
      <c r="C114" s="64">
        <f t="shared" ref="C114:W114" si="113">C82*1000000/C$8</f>
        <v>4027.2783986141953</v>
      </c>
      <c r="D114" s="64">
        <f t="shared" si="113"/>
        <v>3882.9616453058775</v>
      </c>
      <c r="E114" s="64">
        <f t="shared" si="113"/>
        <v>3443.2488321364585</v>
      </c>
      <c r="F114" s="64">
        <f t="shared" si="113"/>
        <v>3748.1262841668863</v>
      </c>
      <c r="G114" s="64">
        <f t="shared" si="113"/>
        <v>4044.5904020095513</v>
      </c>
      <c r="H114" s="64">
        <f t="shared" si="113"/>
        <v>4950.520563770855</v>
      </c>
      <c r="I114" s="64">
        <f t="shared" si="113"/>
        <v>3697.9870569867176</v>
      </c>
      <c r="J114" s="64">
        <f t="shared" si="113"/>
        <v>3371.332932366397</v>
      </c>
      <c r="K114" s="64">
        <f t="shared" si="113"/>
        <v>3672.1085887579347</v>
      </c>
      <c r="L114" s="64">
        <f t="shared" si="113"/>
        <v>4075.4157438309867</v>
      </c>
      <c r="M114" s="64">
        <f t="shared" si="113"/>
        <v>4186.8620604237904</v>
      </c>
      <c r="N114" s="64">
        <f t="shared" si="113"/>
        <v>3836.5473225557976</v>
      </c>
      <c r="O114" s="64">
        <f t="shared" si="113"/>
        <v>3819.0711769068912</v>
      </c>
      <c r="P114" s="64">
        <f t="shared" si="113"/>
        <v>3328.9615950568768</v>
      </c>
      <c r="Q114" s="64">
        <f t="shared" si="113"/>
        <v>3228.9805217681437</v>
      </c>
      <c r="R114" s="64">
        <f t="shared" si="113"/>
        <v>3427.92212797918</v>
      </c>
      <c r="S114" s="64">
        <f t="shared" si="113"/>
        <v>3464.7283836647034</v>
      </c>
      <c r="T114" s="64">
        <f t="shared" si="113"/>
        <v>3572.4438907055442</v>
      </c>
      <c r="U114" s="64">
        <f t="shared" si="113"/>
        <v>3484.2281167900528</v>
      </c>
      <c r="V114" s="64">
        <f t="shared" si="113"/>
        <v>3256.4298499800857</v>
      </c>
      <c r="W114" s="64">
        <f t="shared" si="113"/>
        <v>3531.0143781523025</v>
      </c>
      <c r="X114" s="64">
        <f t="shared" ref="X114:Y114" si="114">X82*1000000/X$8</f>
        <v>3286.6332659467771</v>
      </c>
      <c r="Y114" s="64">
        <f t="shared" si="114"/>
        <v>3090.9322393349325</v>
      </c>
      <c r="DA114" s="108"/>
    </row>
    <row r="115" spans="1:105" ht="12" customHeight="1" x14ac:dyDescent="0.25">
      <c r="A115" s="61" t="s">
        <v>32</v>
      </c>
      <c r="B115" s="65">
        <f t="shared" ref="B115" si="115">B83*1000000/B$8</f>
        <v>2538.346551117992</v>
      </c>
      <c r="C115" s="65">
        <f t="shared" ref="C115:W115" si="116">C83*1000000/C$8</f>
        <v>2731.247438341637</v>
      </c>
      <c r="D115" s="65">
        <f t="shared" si="116"/>
        <v>2667.3566987145955</v>
      </c>
      <c r="E115" s="65">
        <f t="shared" si="116"/>
        <v>2359.5140582381305</v>
      </c>
      <c r="F115" s="65">
        <f t="shared" si="116"/>
        <v>2533.6497997155598</v>
      </c>
      <c r="G115" s="65">
        <f t="shared" si="116"/>
        <v>2834.7610556764844</v>
      </c>
      <c r="H115" s="65">
        <f t="shared" si="116"/>
        <v>3615.3829132811834</v>
      </c>
      <c r="I115" s="65">
        <f t="shared" si="116"/>
        <v>2413.0116123151229</v>
      </c>
      <c r="J115" s="65">
        <f t="shared" si="116"/>
        <v>2096.0421258810543</v>
      </c>
      <c r="K115" s="65">
        <f t="shared" si="116"/>
        <v>2401.8359292413165</v>
      </c>
      <c r="L115" s="65">
        <f t="shared" si="116"/>
        <v>2799.9342935293448</v>
      </c>
      <c r="M115" s="65">
        <f t="shared" si="116"/>
        <v>2906.33677870764</v>
      </c>
      <c r="N115" s="65">
        <f t="shared" si="116"/>
        <v>2499.7460001582094</v>
      </c>
      <c r="O115" s="65">
        <f t="shared" si="116"/>
        <v>2374.2194476804011</v>
      </c>
      <c r="P115" s="65">
        <f t="shared" si="116"/>
        <v>1455.98896585025</v>
      </c>
      <c r="Q115" s="65">
        <f t="shared" si="116"/>
        <v>1274.561657160581</v>
      </c>
      <c r="R115" s="65">
        <f t="shared" si="116"/>
        <v>1409.2732561894395</v>
      </c>
      <c r="S115" s="65">
        <f t="shared" si="116"/>
        <v>1494.8508478619535</v>
      </c>
      <c r="T115" s="65">
        <f t="shared" si="116"/>
        <v>1718.3067083198794</v>
      </c>
      <c r="U115" s="65">
        <f t="shared" si="116"/>
        <v>1644.7271813100556</v>
      </c>
      <c r="V115" s="65">
        <f t="shared" si="116"/>
        <v>1468.7196688735214</v>
      </c>
      <c r="W115" s="65">
        <f t="shared" si="116"/>
        <v>1703.9465957660138</v>
      </c>
      <c r="X115" s="65">
        <f t="shared" ref="X115:Y115" si="117">X83*1000000/X$8</f>
        <v>1589.0263512979243</v>
      </c>
      <c r="Y115" s="65">
        <f t="shared" si="117"/>
        <v>1394.1872313570673</v>
      </c>
      <c r="DA115" s="109"/>
    </row>
    <row r="116" spans="1:105" ht="12" customHeight="1" x14ac:dyDescent="0.25">
      <c r="A116" s="61" t="s">
        <v>31</v>
      </c>
      <c r="B116" s="65">
        <f t="shared" ref="B116" si="118">B84*1000000/B$8</f>
        <v>0.38920764718362227</v>
      </c>
      <c r="C116" s="65">
        <f t="shared" ref="C116:W116" si="119">C84*1000000/C$8</f>
        <v>0.45459818017636444</v>
      </c>
      <c r="D116" s="65">
        <f t="shared" si="119"/>
        <v>0.40725853339553592</v>
      </c>
      <c r="E116" s="65">
        <f t="shared" si="119"/>
        <v>0.79077218390171644</v>
      </c>
      <c r="F116" s="65">
        <f t="shared" si="119"/>
        <v>0.78221581468876722</v>
      </c>
      <c r="G116" s="65">
        <f t="shared" si="119"/>
        <v>0.97752970137010819</v>
      </c>
      <c r="H116" s="65">
        <f t="shared" si="119"/>
        <v>1.2277545620750041</v>
      </c>
      <c r="I116" s="65">
        <f t="shared" si="119"/>
        <v>1.2105042557732819</v>
      </c>
      <c r="J116" s="65">
        <f t="shared" si="119"/>
        <v>1.6172561179810026</v>
      </c>
      <c r="K116" s="65">
        <f t="shared" si="119"/>
        <v>2.4888444887639967</v>
      </c>
      <c r="L116" s="65">
        <f t="shared" si="119"/>
        <v>2.8042246737835543</v>
      </c>
      <c r="M116" s="65">
        <f t="shared" si="119"/>
        <v>3.022444586893561</v>
      </c>
      <c r="N116" s="65">
        <f t="shared" si="119"/>
        <v>4.090384502491653</v>
      </c>
      <c r="O116" s="65">
        <f t="shared" si="119"/>
        <v>4.0944249331670886</v>
      </c>
      <c r="P116" s="65">
        <f t="shared" si="119"/>
        <v>4.3115083322104022</v>
      </c>
      <c r="Q116" s="65">
        <f t="shared" si="119"/>
        <v>7.5190294651981926</v>
      </c>
      <c r="R116" s="65">
        <f t="shared" si="119"/>
        <v>8.3513611969921637</v>
      </c>
      <c r="S116" s="65">
        <f t="shared" si="119"/>
        <v>10.46829317467121</v>
      </c>
      <c r="T116" s="65">
        <f t="shared" si="119"/>
        <v>8.7624544560574975</v>
      </c>
      <c r="U116" s="65">
        <f t="shared" si="119"/>
        <v>9.629233828325777</v>
      </c>
      <c r="V116" s="65">
        <f t="shared" si="119"/>
        <v>10.305794655005275</v>
      </c>
      <c r="W116" s="65">
        <f t="shared" si="119"/>
        <v>9.2840341600890071</v>
      </c>
      <c r="X116" s="65">
        <f t="shared" ref="X116:Y116" si="120">X84*1000000/X$8</f>
        <v>14.377741065031273</v>
      </c>
      <c r="Y116" s="65">
        <f t="shared" si="120"/>
        <v>13.072233683060336</v>
      </c>
      <c r="DA116" s="109"/>
    </row>
    <row r="117" spans="1:105" ht="12" customHeight="1" x14ac:dyDescent="0.25">
      <c r="A117" s="61" t="s">
        <v>35</v>
      </c>
      <c r="B117" s="65">
        <f t="shared" ref="B117" si="121">B85*1000000/B$8</f>
        <v>770.36914910480527</v>
      </c>
      <c r="C117" s="65">
        <f t="shared" ref="C117:W117" si="122">C85*1000000/C$8</f>
        <v>754.37110148739168</v>
      </c>
      <c r="D117" s="65">
        <f t="shared" si="122"/>
        <v>719.97784371479509</v>
      </c>
      <c r="E117" s="65">
        <f t="shared" si="122"/>
        <v>635.71647803459337</v>
      </c>
      <c r="F117" s="65">
        <f t="shared" si="122"/>
        <v>654.95441669315687</v>
      </c>
      <c r="G117" s="65">
        <f t="shared" si="122"/>
        <v>656.97842045678567</v>
      </c>
      <c r="H117" s="65">
        <f t="shared" si="122"/>
        <v>774.3382664638317</v>
      </c>
      <c r="I117" s="65">
        <f t="shared" si="122"/>
        <v>727.4407501172268</v>
      </c>
      <c r="J117" s="65">
        <f t="shared" si="122"/>
        <v>697.78544481225231</v>
      </c>
      <c r="K117" s="65">
        <f t="shared" si="122"/>
        <v>702.58020569198391</v>
      </c>
      <c r="L117" s="65">
        <f t="shared" si="122"/>
        <v>693.37710072831317</v>
      </c>
      <c r="M117" s="65">
        <f t="shared" si="122"/>
        <v>695.54504448095986</v>
      </c>
      <c r="N117" s="65">
        <f t="shared" si="122"/>
        <v>728.45953603231476</v>
      </c>
      <c r="O117" s="65">
        <f t="shared" si="122"/>
        <v>770.15355530176339</v>
      </c>
      <c r="P117" s="65">
        <f t="shared" si="122"/>
        <v>844.12917345631161</v>
      </c>
      <c r="Q117" s="65">
        <f t="shared" si="122"/>
        <v>794.60925441538052</v>
      </c>
      <c r="R117" s="65">
        <f t="shared" si="122"/>
        <v>804.9550290717898</v>
      </c>
      <c r="S117" s="65">
        <f t="shared" si="122"/>
        <v>792.47557033383282</v>
      </c>
      <c r="T117" s="65">
        <f t="shared" si="122"/>
        <v>795.53877027935414</v>
      </c>
      <c r="U117" s="65">
        <f t="shared" si="122"/>
        <v>789.84833311502996</v>
      </c>
      <c r="V117" s="65">
        <f t="shared" si="122"/>
        <v>745.53920686252172</v>
      </c>
      <c r="W117" s="65">
        <f t="shared" si="122"/>
        <v>804.36414273643049</v>
      </c>
      <c r="X117" s="65">
        <f t="shared" ref="X117:Y117" si="123">X85*1000000/X$8</f>
        <v>785.60137635448245</v>
      </c>
      <c r="Y117" s="65">
        <f t="shared" si="123"/>
        <v>778.79676814005256</v>
      </c>
      <c r="DA117" s="109"/>
    </row>
    <row r="118" spans="1:105" ht="12" customHeight="1" x14ac:dyDescent="0.25">
      <c r="A118" s="66" t="s">
        <v>34</v>
      </c>
      <c r="B118" s="67">
        <f t="shared" ref="B118" si="124">B86*1000000/B$8</f>
        <v>480.89545641493169</v>
      </c>
      <c r="C118" s="67">
        <f t="shared" ref="C118:W118" si="125">C86*1000000/C$8</f>
        <v>541.2052606049898</v>
      </c>
      <c r="D118" s="67">
        <f t="shared" si="125"/>
        <v>495.21984434309127</v>
      </c>
      <c r="E118" s="67">
        <f t="shared" si="125"/>
        <v>447.22752367983304</v>
      </c>
      <c r="F118" s="67">
        <f t="shared" si="125"/>
        <v>558.73985194348052</v>
      </c>
      <c r="G118" s="67">
        <f t="shared" si="125"/>
        <v>551.87339617491216</v>
      </c>
      <c r="H118" s="67">
        <f t="shared" si="125"/>
        <v>559.57162946376434</v>
      </c>
      <c r="I118" s="67">
        <f t="shared" si="125"/>
        <v>556.3241902985942</v>
      </c>
      <c r="J118" s="67">
        <f t="shared" si="125"/>
        <v>575.88810555510918</v>
      </c>
      <c r="K118" s="67">
        <f t="shared" si="125"/>
        <v>565.20360933587017</v>
      </c>
      <c r="L118" s="67">
        <f t="shared" si="125"/>
        <v>579.30012489954504</v>
      </c>
      <c r="M118" s="67">
        <f t="shared" si="125"/>
        <v>581.95779264829741</v>
      </c>
      <c r="N118" s="67">
        <f t="shared" si="125"/>
        <v>604.25140186278134</v>
      </c>
      <c r="O118" s="67">
        <f t="shared" si="125"/>
        <v>670.60374899156045</v>
      </c>
      <c r="P118" s="67">
        <f t="shared" si="125"/>
        <v>1024.5319474181051</v>
      </c>
      <c r="Q118" s="67">
        <f t="shared" si="125"/>
        <v>1152.2905807269838</v>
      </c>
      <c r="R118" s="67">
        <f t="shared" si="125"/>
        <v>1205.3424815209585</v>
      </c>
      <c r="S118" s="67">
        <f t="shared" si="125"/>
        <v>1166.9336722942462</v>
      </c>
      <c r="T118" s="67">
        <f t="shared" si="125"/>
        <v>1049.8359576502537</v>
      </c>
      <c r="U118" s="67">
        <f t="shared" si="125"/>
        <v>1040.0233685366418</v>
      </c>
      <c r="V118" s="67">
        <f t="shared" si="125"/>
        <v>1031.8651795890371</v>
      </c>
      <c r="W118" s="67">
        <f t="shared" si="125"/>
        <v>1013.4196054897691</v>
      </c>
      <c r="X118" s="67">
        <f t="shared" ref="X118:Y118" si="126">X86*1000000/X$8</f>
        <v>897.62779722933999</v>
      </c>
      <c r="Y118" s="67">
        <f t="shared" si="126"/>
        <v>904.87600615475287</v>
      </c>
      <c r="DA118" s="110"/>
    </row>
    <row r="119" spans="1:105" ht="12" customHeight="1" x14ac:dyDescent="0.25">
      <c r="A119" s="78" t="s">
        <v>33</v>
      </c>
      <c r="B119" s="68">
        <f t="shared" ref="B119" si="127">B87*1000000/B$8</f>
        <v>0</v>
      </c>
      <c r="C119" s="68">
        <f t="shared" ref="C119:W119" si="128">C87*1000000/C$8</f>
        <v>0</v>
      </c>
      <c r="D119" s="68">
        <f t="shared" si="128"/>
        <v>0</v>
      </c>
      <c r="E119" s="68">
        <f t="shared" si="128"/>
        <v>0</v>
      </c>
      <c r="F119" s="68">
        <f t="shared" si="128"/>
        <v>0</v>
      </c>
      <c r="G119" s="68">
        <f t="shared" si="128"/>
        <v>0</v>
      </c>
      <c r="H119" s="68">
        <f t="shared" si="128"/>
        <v>0</v>
      </c>
      <c r="I119" s="68">
        <f t="shared" si="128"/>
        <v>0</v>
      </c>
      <c r="J119" s="68">
        <f t="shared" si="128"/>
        <v>0</v>
      </c>
      <c r="K119" s="68">
        <f t="shared" si="128"/>
        <v>0</v>
      </c>
      <c r="L119" s="68">
        <f t="shared" si="128"/>
        <v>0</v>
      </c>
      <c r="M119" s="68">
        <f t="shared" si="128"/>
        <v>0</v>
      </c>
      <c r="N119" s="68">
        <f t="shared" si="128"/>
        <v>0</v>
      </c>
      <c r="O119" s="68">
        <f t="shared" si="128"/>
        <v>0</v>
      </c>
      <c r="P119" s="68">
        <f t="shared" si="128"/>
        <v>0</v>
      </c>
      <c r="Q119" s="68">
        <f t="shared" si="128"/>
        <v>0</v>
      </c>
      <c r="R119" s="68">
        <f t="shared" si="128"/>
        <v>0</v>
      </c>
      <c r="S119" s="68">
        <f t="shared" si="128"/>
        <v>0</v>
      </c>
      <c r="T119" s="68">
        <f t="shared" si="128"/>
        <v>0</v>
      </c>
      <c r="U119" s="68">
        <f t="shared" si="128"/>
        <v>0</v>
      </c>
      <c r="V119" s="68">
        <f t="shared" si="128"/>
        <v>0</v>
      </c>
      <c r="W119" s="68">
        <f t="shared" si="128"/>
        <v>0</v>
      </c>
      <c r="X119" s="68">
        <f t="shared" ref="X119:Y119" si="129">X87*1000000/X$8</f>
        <v>0</v>
      </c>
      <c r="Y119" s="68">
        <f t="shared" si="129"/>
        <v>0</v>
      </c>
      <c r="DA119" s="111"/>
    </row>
    <row r="121" spans="1:105" ht="12.95" customHeight="1" x14ac:dyDescent="0.25">
      <c r="A121" s="79" t="s">
        <v>30</v>
      </c>
      <c r="B121" s="86">
        <f t="shared" ref="B121" si="130">IF(B107=0,"",B107/B100)</f>
        <v>0.59481759702176684</v>
      </c>
      <c r="C121" s="86">
        <f t="shared" ref="C121:W121" si="131">IF(C107=0,"",C107/C100)</f>
        <v>0.60637691826212059</v>
      </c>
      <c r="D121" s="86">
        <f t="shared" si="131"/>
        <v>0.61589076173889612</v>
      </c>
      <c r="E121" s="86">
        <f t="shared" si="131"/>
        <v>0.68424754982455183</v>
      </c>
      <c r="F121" s="86">
        <f t="shared" si="131"/>
        <v>0.67108481768130801</v>
      </c>
      <c r="G121" s="86">
        <f t="shared" si="131"/>
        <v>0.68783104182671517</v>
      </c>
      <c r="H121" s="86">
        <f t="shared" si="131"/>
        <v>0.69536843909584134</v>
      </c>
      <c r="I121" s="86">
        <f t="shared" si="131"/>
        <v>0.72495788267233086</v>
      </c>
      <c r="J121" s="86">
        <f t="shared" si="131"/>
        <v>0.76794503707492945</v>
      </c>
      <c r="K121" s="86">
        <f t="shared" si="131"/>
        <v>0.83625207087893982</v>
      </c>
      <c r="L121" s="86">
        <f t="shared" si="131"/>
        <v>0.82305265758851343</v>
      </c>
      <c r="M121" s="86">
        <f t="shared" si="131"/>
        <v>0.82041511047932303</v>
      </c>
      <c r="N121" s="86">
        <f t="shared" si="131"/>
        <v>0.91488879187486472</v>
      </c>
      <c r="O121" s="86">
        <f t="shared" si="131"/>
        <v>0.89057010194440123</v>
      </c>
      <c r="P121" s="86">
        <f t="shared" si="131"/>
        <v>0.93860423067630783</v>
      </c>
      <c r="Q121" s="86">
        <f t="shared" si="131"/>
        <v>1.1026628722090717</v>
      </c>
      <c r="R121" s="86">
        <f t="shared" si="131"/>
        <v>1.1088852835246052</v>
      </c>
      <c r="S121" s="86">
        <f t="shared" si="131"/>
        <v>1.1902820602720836</v>
      </c>
      <c r="T121" s="86">
        <f t="shared" si="131"/>
        <v>1.0679647826041043</v>
      </c>
      <c r="U121" s="86">
        <f t="shared" si="131"/>
        <v>1.1187163073656061</v>
      </c>
      <c r="V121" s="86">
        <f t="shared" si="131"/>
        <v>1.2439248837371575</v>
      </c>
      <c r="W121" s="86">
        <f t="shared" si="131"/>
        <v>1.1679724068025068</v>
      </c>
      <c r="X121" s="86">
        <f t="shared" ref="X121:Y121" si="132">IF(X107=0,"",X107/X100)</f>
        <v>1.3274056134289651</v>
      </c>
      <c r="Y121" s="86">
        <f t="shared" si="132"/>
        <v>1.3633152044416967</v>
      </c>
      <c r="DA121" s="119" t="s">
        <v>239</v>
      </c>
    </row>
    <row r="122" spans="1:105" ht="12" customHeight="1" x14ac:dyDescent="0.25">
      <c r="A122" s="61" t="s">
        <v>32</v>
      </c>
      <c r="B122" s="75">
        <f t="shared" ref="B122" si="133">IF(B108=0,"",B108/B101)</f>
        <v>0.46286434404320087</v>
      </c>
      <c r="C122" s="75">
        <f t="shared" ref="C122:W122" si="134">IF(C108=0,"",C108/C101)</f>
        <v>0.45090076579691346</v>
      </c>
      <c r="D122" s="75">
        <f t="shared" si="134"/>
        <v>0.45006467347700013</v>
      </c>
      <c r="E122" s="75">
        <f t="shared" si="134"/>
        <v>0.4515617651881928</v>
      </c>
      <c r="F122" s="75">
        <f t="shared" si="134"/>
        <v>0.46133855720350614</v>
      </c>
      <c r="G122" s="75">
        <f t="shared" si="134"/>
        <v>0.46514381248954345</v>
      </c>
      <c r="H122" s="75">
        <f t="shared" si="134"/>
        <v>0.50908844696802991</v>
      </c>
      <c r="I122" s="75">
        <f t="shared" si="134"/>
        <v>0.5139421260182423</v>
      </c>
      <c r="J122" s="75">
        <f t="shared" si="134"/>
        <v>0.53962949792049442</v>
      </c>
      <c r="K122" s="75">
        <f t="shared" si="134"/>
        <v>0.5366743056781047</v>
      </c>
      <c r="L122" s="75">
        <f t="shared" si="134"/>
        <v>0.54573786773293753</v>
      </c>
      <c r="M122" s="75">
        <f t="shared" si="134"/>
        <v>0.55013273853055444</v>
      </c>
      <c r="N122" s="75">
        <f t="shared" si="134"/>
        <v>0.56436697355686216</v>
      </c>
      <c r="O122" s="75">
        <f t="shared" si="134"/>
        <v>0.58148605862719249</v>
      </c>
      <c r="P122" s="75">
        <f t="shared" si="134"/>
        <v>0.63368448253684306</v>
      </c>
      <c r="Q122" s="75">
        <f t="shared" si="134"/>
        <v>0.69724742761772751</v>
      </c>
      <c r="R122" s="75">
        <f t="shared" si="134"/>
        <v>0.7344148748111502</v>
      </c>
      <c r="S122" s="75">
        <f t="shared" si="134"/>
        <v>0.78054124414966375</v>
      </c>
      <c r="T122" s="75">
        <f t="shared" si="134"/>
        <v>0.80107250574305522</v>
      </c>
      <c r="U122" s="75">
        <f t="shared" si="134"/>
        <v>0.86270770756519854</v>
      </c>
      <c r="V122" s="75">
        <f t="shared" si="134"/>
        <v>0.9485220248184244</v>
      </c>
      <c r="W122" s="75">
        <f t="shared" si="134"/>
        <v>0.95193698182696251</v>
      </c>
      <c r="X122" s="75">
        <f t="shared" ref="X122:Y122" si="135">IF(X108=0,"",X108/X101)</f>
        <v>1.0327334024186983</v>
      </c>
      <c r="Y122" s="75">
        <f t="shared" si="135"/>
        <v>1.1276676312518092</v>
      </c>
      <c r="DA122" s="120" t="s">
        <v>240</v>
      </c>
    </row>
    <row r="123" spans="1:105" ht="12" customHeight="1" x14ac:dyDescent="0.25">
      <c r="A123" s="61" t="s">
        <v>31</v>
      </c>
      <c r="B123" s="76">
        <f t="shared" ref="B123" si="136">IF(B109=0,"",B109/B102)</f>
        <v>1.6870284415507508</v>
      </c>
      <c r="C123" s="76">
        <f t="shared" ref="C123:W123" si="137">IF(C109=0,"",C109/C102)</f>
        <v>1.7818229037609246</v>
      </c>
      <c r="D123" s="76">
        <f t="shared" si="137"/>
        <v>1.886569951011223</v>
      </c>
      <c r="E123" s="76">
        <f t="shared" si="137"/>
        <v>1.9994097532925603</v>
      </c>
      <c r="F123" s="76">
        <f t="shared" si="137"/>
        <v>2.0837891604913703</v>
      </c>
      <c r="G123" s="76">
        <f t="shared" si="137"/>
        <v>2.193471023039482</v>
      </c>
      <c r="H123" s="76">
        <f t="shared" si="137"/>
        <v>2.3075464472568261</v>
      </c>
      <c r="I123" s="76">
        <f t="shared" si="137"/>
        <v>2.431973992562686</v>
      </c>
      <c r="J123" s="76">
        <f t="shared" si="137"/>
        <v>2.5429854146560005</v>
      </c>
      <c r="K123" s="76">
        <f t="shared" si="137"/>
        <v>2.6026466422734873</v>
      </c>
      <c r="L123" s="76">
        <f t="shared" si="137"/>
        <v>2.6709902159297894</v>
      </c>
      <c r="M123" s="76">
        <f t="shared" si="137"/>
        <v>2.7562718421321049</v>
      </c>
      <c r="N123" s="76">
        <f t="shared" si="137"/>
        <v>2.8412500215867813</v>
      </c>
      <c r="O123" s="76">
        <f t="shared" si="137"/>
        <v>2.9284516131022209</v>
      </c>
      <c r="P123" s="76">
        <f t="shared" si="137"/>
        <v>3.0208368346816088</v>
      </c>
      <c r="Q123" s="76">
        <f t="shared" si="137"/>
        <v>3.1319941168823595</v>
      </c>
      <c r="R123" s="76">
        <f t="shared" si="137"/>
        <v>3.2508551453245378</v>
      </c>
      <c r="S123" s="76">
        <f t="shared" si="137"/>
        <v>3.3724975416829106</v>
      </c>
      <c r="T123" s="76">
        <f t="shared" si="137"/>
        <v>3.4751630952361716</v>
      </c>
      <c r="U123" s="76">
        <f t="shared" si="137"/>
        <v>3.567911249926635</v>
      </c>
      <c r="V123" s="76">
        <f t="shared" si="137"/>
        <v>3.6500026388233646</v>
      </c>
      <c r="W123" s="76">
        <f t="shared" si="137"/>
        <v>3.7180629102866214</v>
      </c>
      <c r="X123" s="76">
        <f t="shared" ref="X123:Y123" si="138">IF(X109=0,"",X109/X102)</f>
        <v>3.7631252705673939</v>
      </c>
      <c r="Y123" s="76">
        <f t="shared" si="138"/>
        <v>3.808110486388899</v>
      </c>
      <c r="DA123" s="121" t="s">
        <v>241</v>
      </c>
    </row>
    <row r="124" spans="1:105" ht="12" customHeight="1" x14ac:dyDescent="0.25">
      <c r="A124" s="61" t="s">
        <v>35</v>
      </c>
      <c r="B124" s="76">
        <f t="shared" ref="B124" si="139">IF(B110=0,"",B110/B103)</f>
        <v>0.53084808648338633</v>
      </c>
      <c r="C124" s="76">
        <f t="shared" ref="C124:W124" si="140">IF(C110=0,"",C110/C103)</f>
        <v>0.53654630283135862</v>
      </c>
      <c r="D124" s="76">
        <f t="shared" si="140"/>
        <v>0.54425682850408497</v>
      </c>
      <c r="E124" s="76">
        <f t="shared" si="140"/>
        <v>0.5542627879851123</v>
      </c>
      <c r="F124" s="76">
        <f t="shared" si="140"/>
        <v>0.55741245010321527</v>
      </c>
      <c r="G124" s="76">
        <f t="shared" si="140"/>
        <v>0.5608154525068525</v>
      </c>
      <c r="H124" s="76">
        <f t="shared" si="140"/>
        <v>0.55866438056928835</v>
      </c>
      <c r="I124" s="76">
        <f t="shared" si="140"/>
        <v>0.56512947192582896</v>
      </c>
      <c r="J124" s="76">
        <f t="shared" si="140"/>
        <v>0.57232869576950662</v>
      </c>
      <c r="K124" s="76">
        <f t="shared" si="140"/>
        <v>0.57719758097242335</v>
      </c>
      <c r="L124" s="76">
        <f t="shared" si="140"/>
        <v>0.58320669383984991</v>
      </c>
      <c r="M124" s="76">
        <f t="shared" si="140"/>
        <v>0.58900970631327265</v>
      </c>
      <c r="N124" s="76">
        <f t="shared" si="140"/>
        <v>0.59454758522715712</v>
      </c>
      <c r="O124" s="76">
        <f t="shared" si="140"/>
        <v>0.60195847120423251</v>
      </c>
      <c r="P124" s="76">
        <f t="shared" si="140"/>
        <v>0.60524036878446064</v>
      </c>
      <c r="Q124" s="76">
        <f t="shared" si="140"/>
        <v>0.61223119560168271</v>
      </c>
      <c r="R124" s="76">
        <f t="shared" si="140"/>
        <v>0.62080708537802898</v>
      </c>
      <c r="S124" s="76">
        <f t="shared" si="140"/>
        <v>0.63374303015306843</v>
      </c>
      <c r="T124" s="76">
        <f t="shared" si="140"/>
        <v>0.65061386097855578</v>
      </c>
      <c r="U124" s="76">
        <f t="shared" si="140"/>
        <v>0.66592806538548233</v>
      </c>
      <c r="V124" s="76">
        <f t="shared" si="140"/>
        <v>0.6796166696373428</v>
      </c>
      <c r="W124" s="76">
        <f t="shared" si="140"/>
        <v>0.69447236433519366</v>
      </c>
      <c r="X124" s="76">
        <f t="shared" ref="X124:Y124" si="141">IF(X110=0,"",X110/X103)</f>
        <v>0.70834174146608697</v>
      </c>
      <c r="Y124" s="76">
        <f t="shared" si="141"/>
        <v>0.72387518957785557</v>
      </c>
      <c r="DA124" s="121" t="s">
        <v>242</v>
      </c>
    </row>
    <row r="125" spans="1:105" ht="12" customHeight="1" x14ac:dyDescent="0.25">
      <c r="A125" s="74" t="s">
        <v>34</v>
      </c>
      <c r="B125" s="56">
        <f t="shared" ref="B125" si="142">IF(B111=0,"",B111/B104)</f>
        <v>0.63566527026371844</v>
      </c>
      <c r="C125" s="56">
        <f t="shared" ref="C125:W125" si="143">IF(C111=0,"",C111/C104)</f>
        <v>0.63161152949580224</v>
      </c>
      <c r="D125" s="56">
        <f t="shared" si="143"/>
        <v>0.63597413384181578</v>
      </c>
      <c r="E125" s="56">
        <f t="shared" si="143"/>
        <v>0.64008444637124962</v>
      </c>
      <c r="F125" s="56">
        <f t="shared" si="143"/>
        <v>0.6317975379222629</v>
      </c>
      <c r="G125" s="56">
        <f t="shared" si="143"/>
        <v>0.63471340546173904</v>
      </c>
      <c r="H125" s="56">
        <f t="shared" si="143"/>
        <v>0.63895691804874954</v>
      </c>
      <c r="I125" s="56">
        <f t="shared" si="143"/>
        <v>0.64142936331210609</v>
      </c>
      <c r="J125" s="56">
        <f t="shared" si="143"/>
        <v>0.64336652977692477</v>
      </c>
      <c r="K125" s="56">
        <f t="shared" si="143"/>
        <v>0.64663278253396972</v>
      </c>
      <c r="L125" s="56">
        <f t="shared" si="143"/>
        <v>0.64794303006714971</v>
      </c>
      <c r="M125" s="56">
        <f t="shared" si="143"/>
        <v>0.64864058448401885</v>
      </c>
      <c r="N125" s="56">
        <f t="shared" si="143"/>
        <v>0.64552974807739172</v>
      </c>
      <c r="O125" s="56">
        <f t="shared" si="143"/>
        <v>0.63801547861726282</v>
      </c>
      <c r="P125" s="56">
        <f t="shared" si="143"/>
        <v>0.60120932517896997</v>
      </c>
      <c r="Q125" s="56">
        <f t="shared" si="143"/>
        <v>0.59120955384574658</v>
      </c>
      <c r="R125" s="56">
        <f t="shared" si="143"/>
        <v>0.583605044804277</v>
      </c>
      <c r="S125" s="56">
        <f t="shared" si="143"/>
        <v>0.59469423462953319</v>
      </c>
      <c r="T125" s="56">
        <f t="shared" si="143"/>
        <v>0.61827631977569519</v>
      </c>
      <c r="U125" s="56">
        <f t="shared" si="143"/>
        <v>0.62958534399648802</v>
      </c>
      <c r="V125" s="56">
        <f t="shared" si="143"/>
        <v>0.60676453392439189</v>
      </c>
      <c r="W125" s="56">
        <f t="shared" si="143"/>
        <v>0.63953306262347487</v>
      </c>
      <c r="X125" s="56">
        <f t="shared" ref="X125:Y125" si="144">IF(X111=0,"",X111/X104)</f>
        <v>0.64766333724014313</v>
      </c>
      <c r="Y125" s="56">
        <f t="shared" si="144"/>
        <v>0.67395370031673274</v>
      </c>
      <c r="DA125" s="122" t="s">
        <v>243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145">IF(B99=0,0,B99/B$26)</f>
        <v>50.496724000798309</v>
      </c>
      <c r="C129" s="82">
        <f t="shared" ref="C129:W129" si="146">IF(C99=0,0,C99/C$26)</f>
        <v>51.360962123899043</v>
      </c>
      <c r="D129" s="82">
        <f t="shared" si="146"/>
        <v>50.95152729221703</v>
      </c>
      <c r="E129" s="82">
        <f t="shared" si="146"/>
        <v>49.592832861592832</v>
      </c>
      <c r="F129" s="82">
        <f t="shared" si="146"/>
        <v>51.889648068618165</v>
      </c>
      <c r="G129" s="82">
        <f t="shared" si="146"/>
        <v>54.100603277715805</v>
      </c>
      <c r="H129" s="82">
        <f t="shared" si="146"/>
        <v>63.990063678540146</v>
      </c>
      <c r="I129" s="82">
        <f t="shared" si="146"/>
        <v>55.967717666063429</v>
      </c>
      <c r="J129" s="82">
        <f t="shared" si="146"/>
        <v>56.11728131279704</v>
      </c>
      <c r="K129" s="82">
        <f t="shared" si="146"/>
        <v>58.493943392208877</v>
      </c>
      <c r="L129" s="82">
        <f t="shared" si="146"/>
        <v>61.614740014009776</v>
      </c>
      <c r="M129" s="82">
        <f t="shared" si="146"/>
        <v>61.230579653861732</v>
      </c>
      <c r="N129" s="82">
        <f t="shared" si="146"/>
        <v>58.396917529549462</v>
      </c>
      <c r="O129" s="82">
        <f t="shared" si="146"/>
        <v>56.218620813830618</v>
      </c>
      <c r="P129" s="82">
        <f t="shared" si="146"/>
        <v>51.009291080783186</v>
      </c>
      <c r="Q129" s="82">
        <f t="shared" si="146"/>
        <v>52.050520759506533</v>
      </c>
      <c r="R129" s="82">
        <f t="shared" si="146"/>
        <v>52.435625874197584</v>
      </c>
      <c r="S129" s="82">
        <f t="shared" si="146"/>
        <v>53.150225249653744</v>
      </c>
      <c r="T129" s="82">
        <f t="shared" si="146"/>
        <v>53.00336091343825</v>
      </c>
      <c r="U129" s="82">
        <f t="shared" si="146"/>
        <v>52.418615124447861</v>
      </c>
      <c r="V129" s="82">
        <f t="shared" si="146"/>
        <v>47.667012596568171</v>
      </c>
      <c r="W129" s="82">
        <f t="shared" si="146"/>
        <v>49.676539238412211</v>
      </c>
      <c r="X129" s="82">
        <f t="shared" ref="X129:Y129" si="147">IF(X99=0,0,X99/X$26)</f>
        <v>48.783673320288109</v>
      </c>
      <c r="Y129" s="82">
        <f t="shared" si="147"/>
        <v>48.683151879233975</v>
      </c>
      <c r="DA129" s="107"/>
    </row>
    <row r="130" spans="1:105" ht="12" customHeight="1" x14ac:dyDescent="0.25">
      <c r="A130" s="77" t="s">
        <v>36</v>
      </c>
      <c r="B130" s="64">
        <f t="shared" ref="B130" si="148">IF(B100=0,0,B100/B$26)</f>
        <v>29.748835967746366</v>
      </c>
      <c r="C130" s="64">
        <f t="shared" ref="C130:W130" si="149">IF(C100=0,0,C100/C$26)</f>
        <v>29.880867973601156</v>
      </c>
      <c r="D130" s="64">
        <f t="shared" si="149"/>
        <v>28.951402864439423</v>
      </c>
      <c r="E130" s="64">
        <f t="shared" si="149"/>
        <v>27.087514509658675</v>
      </c>
      <c r="F130" s="64">
        <f t="shared" si="149"/>
        <v>28.871800124022844</v>
      </c>
      <c r="G130" s="64">
        <f t="shared" si="149"/>
        <v>30.674032662123992</v>
      </c>
      <c r="H130" s="64">
        <f t="shared" si="149"/>
        <v>40.386403219097311</v>
      </c>
      <c r="I130" s="64">
        <f t="shared" si="149"/>
        <v>32.287411601417602</v>
      </c>
      <c r="J130" s="64">
        <f t="shared" si="149"/>
        <v>32.406956930279506</v>
      </c>
      <c r="K130" s="64">
        <f t="shared" si="149"/>
        <v>34.586728746617553</v>
      </c>
      <c r="L130" s="64">
        <f t="shared" si="149"/>
        <v>37.632981437744796</v>
      </c>
      <c r="M130" s="64">
        <f t="shared" si="149"/>
        <v>37.201984202630143</v>
      </c>
      <c r="N130" s="64">
        <f t="shared" si="149"/>
        <v>34.30643664290168</v>
      </c>
      <c r="O130" s="64">
        <f t="shared" si="149"/>
        <v>32.071647418853885</v>
      </c>
      <c r="P130" s="64">
        <f t="shared" si="149"/>
        <v>26.762402289590685</v>
      </c>
      <c r="Q130" s="64">
        <f t="shared" si="149"/>
        <v>27.481249001240961</v>
      </c>
      <c r="R130" s="64">
        <f t="shared" si="149"/>
        <v>27.681752681477921</v>
      </c>
      <c r="S130" s="64">
        <f t="shared" si="149"/>
        <v>28.942493975878019</v>
      </c>
      <c r="T130" s="64">
        <f t="shared" si="149"/>
        <v>29.117144120921719</v>
      </c>
      <c r="U130" s="64">
        <f t="shared" si="149"/>
        <v>29.004601416107761</v>
      </c>
      <c r="V130" s="64">
        <f t="shared" si="149"/>
        <v>26.191509651697835</v>
      </c>
      <c r="W130" s="64">
        <f t="shared" si="149"/>
        <v>28.37824246821576</v>
      </c>
      <c r="X130" s="64">
        <f t="shared" ref="X130:Y130" si="150">IF(X100=0,0,X100/X$26)</f>
        <v>27.642470479946809</v>
      </c>
      <c r="Y130" s="64">
        <f t="shared" si="150"/>
        <v>27.898402554354789</v>
      </c>
      <c r="DA130" s="108"/>
    </row>
    <row r="131" spans="1:105" ht="12" customHeight="1" x14ac:dyDescent="0.25">
      <c r="A131" s="61" t="s">
        <v>32</v>
      </c>
      <c r="B131" s="65">
        <f t="shared" ref="B131" si="151">IF(B101=0,0,B101/B$26)</f>
        <v>14.104980793805115</v>
      </c>
      <c r="C131" s="65">
        <f t="shared" ref="C131:W131" si="152">IF(C101=0,0,C101/C$26)</f>
        <v>13.622951331324622</v>
      </c>
      <c r="D131" s="65">
        <f t="shared" si="152"/>
        <v>12.856326732627677</v>
      </c>
      <c r="E131" s="65">
        <f t="shared" si="152"/>
        <v>10.590272599017936</v>
      </c>
      <c r="F131" s="65">
        <f t="shared" si="152"/>
        <v>11.782941759623768</v>
      </c>
      <c r="G131" s="65">
        <f t="shared" si="152"/>
        <v>13.340312891239524</v>
      </c>
      <c r="H131" s="65">
        <f t="shared" si="152"/>
        <v>21.876428420209493</v>
      </c>
      <c r="I131" s="65">
        <f t="shared" si="152"/>
        <v>14.429638713582277</v>
      </c>
      <c r="J131" s="65">
        <f t="shared" si="152"/>
        <v>14.067804330681438</v>
      </c>
      <c r="K131" s="65">
        <f t="shared" si="152"/>
        <v>14.979496337969513</v>
      </c>
      <c r="L131" s="65">
        <f t="shared" si="152"/>
        <v>17.907536691177903</v>
      </c>
      <c r="M131" s="65">
        <f t="shared" si="152"/>
        <v>17.726975316304934</v>
      </c>
      <c r="N131" s="65">
        <f t="shared" si="152"/>
        <v>14.337989895911427</v>
      </c>
      <c r="O131" s="65">
        <f t="shared" si="152"/>
        <v>12.79432191052477</v>
      </c>
      <c r="P131" s="65">
        <f t="shared" si="152"/>
        <v>7.6537206501212944</v>
      </c>
      <c r="Q131" s="65">
        <f t="shared" si="152"/>
        <v>7.1553303471927698</v>
      </c>
      <c r="R131" s="65">
        <f t="shared" si="152"/>
        <v>7.923217815639406</v>
      </c>
      <c r="S131" s="65">
        <f t="shared" si="152"/>
        <v>8.6751235586713396</v>
      </c>
      <c r="T131" s="65">
        <f t="shared" si="152"/>
        <v>10.167907204685475</v>
      </c>
      <c r="U131" s="65">
        <f t="shared" si="152"/>
        <v>10.041272366539772</v>
      </c>
      <c r="V131" s="65">
        <f t="shared" si="152"/>
        <v>9.115068429767657</v>
      </c>
      <c r="W131" s="65">
        <f t="shared" si="152"/>
        <v>10.57789470261817</v>
      </c>
      <c r="X131" s="65">
        <f t="shared" ref="X131:Y131" si="153">IF(X101=0,0,X101/X$26)</f>
        <v>10.108865994457027</v>
      </c>
      <c r="Y131" s="65">
        <f t="shared" si="153"/>
        <v>9.4239753611826043</v>
      </c>
      <c r="DA131" s="109"/>
    </row>
    <row r="132" spans="1:105" ht="12" customHeight="1" x14ac:dyDescent="0.25">
      <c r="A132" s="61" t="s">
        <v>31</v>
      </c>
      <c r="B132" s="65">
        <f t="shared" ref="B132" si="154">IF(B102=0,0,B102/B$26)</f>
        <v>1.8322543451840565</v>
      </c>
      <c r="C132" s="65">
        <f t="shared" ref="C132:W132" si="155">IF(C102=0,0,C102/C$26)</f>
        <v>2.0549035862262386</v>
      </c>
      <c r="D132" s="65">
        <f t="shared" si="155"/>
        <v>1.9688863163368864</v>
      </c>
      <c r="E132" s="65">
        <f t="shared" si="155"/>
        <v>2.7897870013671966</v>
      </c>
      <c r="F132" s="65">
        <f t="shared" si="155"/>
        <v>2.5398643096681743</v>
      </c>
      <c r="G132" s="65">
        <f t="shared" si="155"/>
        <v>2.8411502697621351</v>
      </c>
      <c r="H132" s="65">
        <f t="shared" si="155"/>
        <v>3.4272487638967379</v>
      </c>
      <c r="I132" s="65">
        <f t="shared" si="155"/>
        <v>2.8450498465157752</v>
      </c>
      <c r="J132" s="65">
        <f t="shared" si="155"/>
        <v>3.1666470401903184</v>
      </c>
      <c r="K132" s="65">
        <f t="shared" si="155"/>
        <v>4.4541002436227961</v>
      </c>
      <c r="L132" s="65">
        <f t="shared" si="155"/>
        <v>4.3960323302254709</v>
      </c>
      <c r="M132" s="65">
        <f t="shared" si="155"/>
        <v>4.0674873417983903</v>
      </c>
      <c r="N132" s="65">
        <f t="shared" si="155"/>
        <v>4.9034580222283894</v>
      </c>
      <c r="O132" s="65">
        <f t="shared" si="155"/>
        <v>3.9661437186687301</v>
      </c>
      <c r="P132" s="65">
        <f t="shared" si="155"/>
        <v>3.6173381336702066</v>
      </c>
      <c r="Q132" s="65">
        <f t="shared" si="155"/>
        <v>5.1786141043818281</v>
      </c>
      <c r="R132" s="65">
        <f t="shared" si="155"/>
        <v>4.9144516030960421</v>
      </c>
      <c r="S132" s="65">
        <f t="shared" si="155"/>
        <v>5.5395164445021576</v>
      </c>
      <c r="T132" s="65">
        <f t="shared" si="155"/>
        <v>3.8601902932877179</v>
      </c>
      <c r="U132" s="65">
        <f t="shared" si="155"/>
        <v>3.9551229096619571</v>
      </c>
      <c r="V132" s="65">
        <f t="shared" si="155"/>
        <v>4.3314808555962641</v>
      </c>
      <c r="W132" s="65">
        <f t="shared" si="155"/>
        <v>3.695363714316803</v>
      </c>
      <c r="X132" s="65">
        <f t="shared" ref="X132:Y132" si="156">IF(X102=0,0,X102/X$26)</f>
        <v>4.6767076412501059</v>
      </c>
      <c r="Y132" s="65">
        <f t="shared" si="156"/>
        <v>4.6867690419883923</v>
      </c>
      <c r="DA132" s="109"/>
    </row>
    <row r="133" spans="1:105" ht="12" customHeight="1" x14ac:dyDescent="0.25">
      <c r="A133" s="61" t="s">
        <v>35</v>
      </c>
      <c r="B133" s="65">
        <f t="shared" ref="B133" si="157">IF(B103=0,0,B103/B$26)</f>
        <v>6.7181896995030455</v>
      </c>
      <c r="C133" s="65">
        <f t="shared" ref="C133:W133" si="158">IF(C103=0,0,C103/C$26)</f>
        <v>6.8983333720196445</v>
      </c>
      <c r="D133" s="65">
        <f t="shared" si="158"/>
        <v>7.1263544080117898</v>
      </c>
      <c r="E133" s="65">
        <f t="shared" si="158"/>
        <v>6.9848659737175716</v>
      </c>
      <c r="F133" s="65">
        <f t="shared" si="158"/>
        <v>7.3275300903418881</v>
      </c>
      <c r="G133" s="65">
        <f t="shared" si="158"/>
        <v>7.2697695174239021</v>
      </c>
      <c r="H133" s="65">
        <f t="shared" si="158"/>
        <v>7.4646371056946066</v>
      </c>
      <c r="I133" s="65">
        <f t="shared" si="158"/>
        <v>7.3089784626555963</v>
      </c>
      <c r="J133" s="65">
        <f t="shared" si="158"/>
        <v>7.3039942742468309</v>
      </c>
      <c r="K133" s="65">
        <f t="shared" si="158"/>
        <v>7.2995873172603103</v>
      </c>
      <c r="L133" s="65">
        <f t="shared" si="158"/>
        <v>7.3102805254935905</v>
      </c>
      <c r="M133" s="65">
        <f t="shared" si="158"/>
        <v>7.3144001710370441</v>
      </c>
      <c r="N133" s="65">
        <f t="shared" si="158"/>
        <v>7.1037036922687671</v>
      </c>
      <c r="O133" s="65">
        <f t="shared" si="158"/>
        <v>7.2413235710570589</v>
      </c>
      <c r="P133" s="65">
        <f t="shared" si="158"/>
        <v>7.0283411105602642</v>
      </c>
      <c r="Q133" s="65">
        <f t="shared" si="158"/>
        <v>6.6073433072754355</v>
      </c>
      <c r="R133" s="65">
        <f t="shared" si="158"/>
        <v>6.3896224189282096</v>
      </c>
      <c r="S133" s="65">
        <f t="shared" si="158"/>
        <v>6.0914602605621599</v>
      </c>
      <c r="T133" s="65">
        <f t="shared" si="158"/>
        <v>6.3969775701781941</v>
      </c>
      <c r="U133" s="65">
        <f t="shared" si="158"/>
        <v>6.1845500360261667</v>
      </c>
      <c r="V133" s="65">
        <f t="shared" si="158"/>
        <v>5.3714409563273557</v>
      </c>
      <c r="W133" s="65">
        <f t="shared" si="158"/>
        <v>5.7393627970860761</v>
      </c>
      <c r="X133" s="65">
        <f t="shared" ref="X133:Y133" si="159">IF(X103=0,0,X103/X$26)</f>
        <v>5.3895531814151774</v>
      </c>
      <c r="Y133" s="65">
        <f t="shared" si="159"/>
        <v>5.3529421427642996</v>
      </c>
      <c r="DA133" s="109"/>
    </row>
    <row r="134" spans="1:105" ht="12" customHeight="1" x14ac:dyDescent="0.25">
      <c r="A134" s="66" t="s">
        <v>34</v>
      </c>
      <c r="B134" s="67">
        <f t="shared" ref="B134" si="160">IF(B104=0,0,B104/B$26)</f>
        <v>7.0934111292541537</v>
      </c>
      <c r="C134" s="67">
        <f t="shared" ref="C134:W134" si="161">IF(C104=0,0,C104/C$26)</f>
        <v>7.3046796840306563</v>
      </c>
      <c r="D134" s="67">
        <f t="shared" si="161"/>
        <v>6.9998354074630695</v>
      </c>
      <c r="E134" s="67">
        <f t="shared" si="161"/>
        <v>6.7225889355559705</v>
      </c>
      <c r="F134" s="67">
        <f t="shared" si="161"/>
        <v>7.2214639643890104</v>
      </c>
      <c r="G134" s="67">
        <f t="shared" si="161"/>
        <v>7.2227999836984305</v>
      </c>
      <c r="H134" s="67">
        <f t="shared" si="161"/>
        <v>7.618088929296472</v>
      </c>
      <c r="I134" s="67">
        <f t="shared" si="161"/>
        <v>7.7037445786639553</v>
      </c>
      <c r="J134" s="67">
        <f t="shared" si="161"/>
        <v>7.8685112851609098</v>
      </c>
      <c r="K134" s="67">
        <f t="shared" si="161"/>
        <v>7.8535448477649386</v>
      </c>
      <c r="L134" s="67">
        <f t="shared" si="161"/>
        <v>8.0191318908478291</v>
      </c>
      <c r="M134" s="67">
        <f t="shared" si="161"/>
        <v>8.0931213734897742</v>
      </c>
      <c r="N134" s="67">
        <f t="shared" si="161"/>
        <v>7.9612850324930999</v>
      </c>
      <c r="O134" s="67">
        <f t="shared" si="161"/>
        <v>8.0698582186033221</v>
      </c>
      <c r="P134" s="67">
        <f t="shared" si="161"/>
        <v>8.4630023952389219</v>
      </c>
      <c r="Q134" s="67">
        <f t="shared" si="161"/>
        <v>8.5399612423909304</v>
      </c>
      <c r="R134" s="67">
        <f t="shared" si="161"/>
        <v>8.4544608438142692</v>
      </c>
      <c r="S134" s="67">
        <f t="shared" si="161"/>
        <v>8.6363937121423699</v>
      </c>
      <c r="T134" s="67">
        <f t="shared" si="161"/>
        <v>8.6920690527703268</v>
      </c>
      <c r="U134" s="67">
        <f t="shared" si="161"/>
        <v>8.8236561038798662</v>
      </c>
      <c r="V134" s="67">
        <f t="shared" si="161"/>
        <v>7.3735194100065575</v>
      </c>
      <c r="W134" s="67">
        <f t="shared" si="161"/>
        <v>8.3656212541947141</v>
      </c>
      <c r="X134" s="67">
        <f t="shared" ref="X134:Y134" si="162">IF(X104=0,0,X104/X$26)</f>
        <v>7.4673436628244954</v>
      </c>
      <c r="Y134" s="67">
        <f t="shared" si="162"/>
        <v>8.4347160084194979</v>
      </c>
      <c r="DA134" s="110"/>
    </row>
    <row r="135" spans="1:105" ht="12" customHeight="1" x14ac:dyDescent="0.25">
      <c r="A135" s="78" t="s">
        <v>33</v>
      </c>
      <c r="B135" s="68">
        <f t="shared" ref="B135" si="163">IF(B105=0,0,B105/B$26)</f>
        <v>20.74788803305195</v>
      </c>
      <c r="C135" s="68">
        <f t="shared" ref="C135:W135" si="164">IF(C105=0,0,C105/C$26)</f>
        <v>21.480094150297898</v>
      </c>
      <c r="D135" s="68">
        <f t="shared" si="164"/>
        <v>22.000124427777617</v>
      </c>
      <c r="E135" s="68">
        <f t="shared" si="164"/>
        <v>22.505318351934147</v>
      </c>
      <c r="F135" s="68">
        <f t="shared" si="164"/>
        <v>23.017847944595328</v>
      </c>
      <c r="G135" s="68">
        <f t="shared" si="164"/>
        <v>23.426570615591814</v>
      </c>
      <c r="H135" s="68">
        <f t="shared" si="164"/>
        <v>23.603660459442835</v>
      </c>
      <c r="I135" s="68">
        <f t="shared" si="164"/>
        <v>23.680306064645826</v>
      </c>
      <c r="J135" s="68">
        <f t="shared" si="164"/>
        <v>23.710324382517545</v>
      </c>
      <c r="K135" s="68">
        <f t="shared" si="164"/>
        <v>23.907214645591324</v>
      </c>
      <c r="L135" s="68">
        <f t="shared" si="164"/>
        <v>23.981758576264994</v>
      </c>
      <c r="M135" s="68">
        <f t="shared" si="164"/>
        <v>24.028595451231595</v>
      </c>
      <c r="N135" s="68">
        <f t="shared" si="164"/>
        <v>24.090480886647782</v>
      </c>
      <c r="O135" s="68">
        <f t="shared" si="164"/>
        <v>24.14697339497673</v>
      </c>
      <c r="P135" s="68">
        <f t="shared" si="164"/>
        <v>24.246888791192493</v>
      </c>
      <c r="Q135" s="68">
        <f t="shared" si="164"/>
        <v>24.569271758265575</v>
      </c>
      <c r="R135" s="68">
        <f t="shared" si="164"/>
        <v>24.753873192719659</v>
      </c>
      <c r="S135" s="68">
        <f t="shared" si="164"/>
        <v>24.207731273775718</v>
      </c>
      <c r="T135" s="68">
        <f t="shared" si="164"/>
        <v>23.886216792516539</v>
      </c>
      <c r="U135" s="68">
        <f t="shared" si="164"/>
        <v>23.414013708340111</v>
      </c>
      <c r="V135" s="68">
        <f t="shared" si="164"/>
        <v>21.475502944870328</v>
      </c>
      <c r="W135" s="68">
        <f t="shared" si="164"/>
        <v>21.298296770196441</v>
      </c>
      <c r="X135" s="68">
        <f t="shared" ref="X135:Y135" si="165">IF(X105=0,0,X105/X$26)</f>
        <v>21.141202840341304</v>
      </c>
      <c r="Y135" s="68">
        <f t="shared" si="165"/>
        <v>20.784749324879193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66">IF(B107=0,0,B107/B$26)</f>
        <v>17.695131124529599</v>
      </c>
      <c r="C137" s="85">
        <f t="shared" ref="C137:W137" si="167">IF(C107=0,0,C107/C$26)</f>
        <v>18.119068636829564</v>
      </c>
      <c r="D137" s="85">
        <f t="shared" si="167"/>
        <v>17.830901563589254</v>
      </c>
      <c r="E137" s="85">
        <f t="shared" si="167"/>
        <v>18.534565434070945</v>
      </c>
      <c r="F137" s="85">
        <f t="shared" si="167"/>
        <v>19.375426722361038</v>
      </c>
      <c r="G137" s="85">
        <f t="shared" si="167"/>
        <v>21.098551843015436</v>
      </c>
      <c r="H137" s="85">
        <f t="shared" si="167"/>
        <v>28.083430167158962</v>
      </c>
      <c r="I137" s="85">
        <f t="shared" si="167"/>
        <v>23.407013551533758</v>
      </c>
      <c r="J137" s="85">
        <f t="shared" si="167"/>
        <v>24.886761741309137</v>
      </c>
      <c r="K137" s="85">
        <f t="shared" si="167"/>
        <v>28.92322353928709</v>
      </c>
      <c r="L137" s="85">
        <f t="shared" si="167"/>
        <v>30.973925385315049</v>
      </c>
      <c r="M137" s="85">
        <f t="shared" si="167"/>
        <v>30.521069979650836</v>
      </c>
      <c r="N137" s="85">
        <f t="shared" si="167"/>
        <v>31.386574373755906</v>
      </c>
      <c r="O137" s="85">
        <f t="shared" si="167"/>
        <v>28.562050311333593</v>
      </c>
      <c r="P137" s="85">
        <f t="shared" si="167"/>
        <v>25.119304012071126</v>
      </c>
      <c r="Q137" s="85">
        <f t="shared" si="167"/>
        <v>30.30255295560104</v>
      </c>
      <c r="R137" s="85">
        <f t="shared" si="167"/>
        <v>30.695888170658641</v>
      </c>
      <c r="S137" s="85">
        <f t="shared" si="167"/>
        <v>34.449731359020454</v>
      </c>
      <c r="T137" s="85">
        <f t="shared" si="167"/>
        <v>31.096084491152535</v>
      </c>
      <c r="U137" s="85">
        <f t="shared" si="167"/>
        <v>32.447920592839303</v>
      </c>
      <c r="V137" s="85">
        <f t="shared" si="167"/>
        <v>32.580270598388871</v>
      </c>
      <c r="W137" s="85">
        <f t="shared" si="167"/>
        <v>33.145004156427071</v>
      </c>
      <c r="X137" s="85">
        <f t="shared" ref="X137:Y137" si="168">IF(X107=0,0,X107/X$26)</f>
        <v>36.692770484125852</v>
      </c>
      <c r="Y137" s="85">
        <f t="shared" si="168"/>
        <v>38.034316381986955</v>
      </c>
      <c r="DA137" s="117"/>
    </row>
    <row r="138" spans="1:105" ht="12" customHeight="1" x14ac:dyDescent="0.25">
      <c r="A138" s="61" t="s">
        <v>32</v>
      </c>
      <c r="B138" s="65">
        <f t="shared" ref="B138" si="169">IF(B108=0,0,B108/B$26)</f>
        <v>6.5286926828665512</v>
      </c>
      <c r="C138" s="65">
        <f t="shared" ref="C138:W138" si="170">IF(C108=0,0,C108/C$26)</f>
        <v>6.1425991877083534</v>
      </c>
      <c r="D138" s="65">
        <f t="shared" si="170"/>
        <v>5.7861784930337032</v>
      </c>
      <c r="E138" s="65">
        <f t="shared" si="170"/>
        <v>4.7821621886366898</v>
      </c>
      <c r="F138" s="65">
        <f t="shared" si="170"/>
        <v>5.4359253509977705</v>
      </c>
      <c r="G138" s="65">
        <f t="shared" si="170"/>
        <v>6.2051639980345561</v>
      </c>
      <c r="H138" s="65">
        <f t="shared" si="170"/>
        <v>11.137036969651724</v>
      </c>
      <c r="I138" s="65">
        <f t="shared" si="170"/>
        <v>7.4159991981336093</v>
      </c>
      <c r="J138" s="65">
        <f t="shared" si="170"/>
        <v>7.5914021878093818</v>
      </c>
      <c r="K138" s="65">
        <f t="shared" si="170"/>
        <v>8.0391107965875008</v>
      </c>
      <c r="L138" s="65">
        <f t="shared" si="170"/>
        <v>9.7728208901927722</v>
      </c>
      <c r="M138" s="65">
        <f t="shared" si="170"/>
        <v>9.7521894766223731</v>
      </c>
      <c r="N138" s="65">
        <f t="shared" si="170"/>
        <v>8.0918879644444015</v>
      </c>
      <c r="O138" s="65">
        <f t="shared" si="170"/>
        <v>7.4397198205585795</v>
      </c>
      <c r="P138" s="65">
        <f t="shared" si="170"/>
        <v>4.8500440096536623</v>
      </c>
      <c r="Q138" s="65">
        <f t="shared" si="170"/>
        <v>4.9890356783352194</v>
      </c>
      <c r="R138" s="65">
        <f t="shared" si="170"/>
        <v>5.8189290201742896</v>
      </c>
      <c r="S138" s="65">
        <f t="shared" si="170"/>
        <v>6.7712917356373854</v>
      </c>
      <c r="T138" s="65">
        <f t="shared" si="170"/>
        <v>8.1452309026202574</v>
      </c>
      <c r="U138" s="65">
        <f t="shared" si="170"/>
        <v>8.6626830643753028</v>
      </c>
      <c r="V138" s="65">
        <f t="shared" si="170"/>
        <v>8.6458431633617145</v>
      </c>
      <c r="W138" s="65">
        <f t="shared" si="170"/>
        <v>10.069489157293756</v>
      </c>
      <c r="X138" s="65">
        <f t="shared" ref="X138:Y138" si="171">IF(X108=0,0,X108/X$26)</f>
        <v>10.439763573050284</v>
      </c>
      <c r="Y138" s="65">
        <f t="shared" si="171"/>
        <v>10.627111972520202</v>
      </c>
      <c r="DA138" s="109"/>
    </row>
    <row r="139" spans="1:105" ht="12" customHeight="1" x14ac:dyDescent="0.25">
      <c r="A139" s="61" t="s">
        <v>31</v>
      </c>
      <c r="B139" s="65">
        <f t="shared" ref="B139" si="172">IF(B109=0,0,B109/B$26)</f>
        <v>3.0910651924804502</v>
      </c>
      <c r="C139" s="65">
        <f t="shared" ref="C139:W139" si="173">IF(C109=0,0,C109/C$26)</f>
        <v>3.6614742749583735</v>
      </c>
      <c r="D139" s="65">
        <f t="shared" si="173"/>
        <v>3.7144417613583474</v>
      </c>
      <c r="E139" s="65">
        <f t="shared" si="173"/>
        <v>5.5779273401423781</v>
      </c>
      <c r="F139" s="65">
        <f t="shared" si="173"/>
        <v>5.2925417176054381</v>
      </c>
      <c r="G139" s="65">
        <f t="shared" si="173"/>
        <v>6.2319807888240506</v>
      </c>
      <c r="H139" s="65">
        <f t="shared" si="173"/>
        <v>7.9085357089952657</v>
      </c>
      <c r="I139" s="65">
        <f t="shared" si="173"/>
        <v>6.9190872342708261</v>
      </c>
      <c r="J139" s="65">
        <f t="shared" si="173"/>
        <v>8.0527372365675731</v>
      </c>
      <c r="K139" s="65">
        <f t="shared" si="173"/>
        <v>11.592449043414391</v>
      </c>
      <c r="L139" s="65">
        <f t="shared" si="173"/>
        <v>11.741759342943265</v>
      </c>
      <c r="M139" s="65">
        <f t="shared" si="173"/>
        <v>11.21110082842767</v>
      </c>
      <c r="N139" s="65">
        <f t="shared" si="173"/>
        <v>13.931950211506289</v>
      </c>
      <c r="O139" s="65">
        <f t="shared" si="173"/>
        <v>11.614659970730685</v>
      </c>
      <c r="P139" s="65">
        <f t="shared" si="173"/>
        <v>10.927388277689385</v>
      </c>
      <c r="Q139" s="65">
        <f t="shared" si="173"/>
        <v>16.219388908527897</v>
      </c>
      <c r="R139" s="65">
        <f t="shared" si="173"/>
        <v>15.976170280373189</v>
      </c>
      <c r="S139" s="65">
        <f t="shared" si="173"/>
        <v>18.682005591195587</v>
      </c>
      <c r="T139" s="65">
        <f t="shared" si="173"/>
        <v>13.414790847822371</v>
      </c>
      <c r="U139" s="65">
        <f t="shared" si="173"/>
        <v>14.111527524225464</v>
      </c>
      <c r="V139" s="65">
        <f t="shared" si="173"/>
        <v>15.809916552939249</v>
      </c>
      <c r="W139" s="65">
        <f t="shared" si="173"/>
        <v>13.739594766220311</v>
      </c>
      <c r="X139" s="65">
        <f t="shared" ref="X139:Y139" si="174">IF(X109=0,0,X109/X$26)</f>
        <v>17.599036707843901</v>
      </c>
      <c r="Y139" s="65">
        <f t="shared" si="174"/>
        <v>17.847734336078851</v>
      </c>
      <c r="DA139" s="109"/>
    </row>
    <row r="140" spans="1:105" ht="12" customHeight="1" x14ac:dyDescent="0.25">
      <c r="A140" s="61" t="s">
        <v>35</v>
      </c>
      <c r="B140" s="65">
        <f t="shared" ref="B140" si="175">IF(B110=0,0,B110/B$26)</f>
        <v>3.5663381466135884</v>
      </c>
      <c r="C140" s="65">
        <f t="shared" ref="C140:W140" si="176">IF(C110=0,0,C110/C$26)</f>
        <v>3.7012752664553199</v>
      </c>
      <c r="D140" s="65">
        <f t="shared" si="176"/>
        <v>3.8785670489006026</v>
      </c>
      <c r="E140" s="65">
        <f t="shared" si="176"/>
        <v>3.8714512882950474</v>
      </c>
      <c r="F140" s="65">
        <f t="shared" si="176"/>
        <v>4.0844565008625064</v>
      </c>
      <c r="G140" s="65">
        <f t="shared" si="176"/>
        <v>4.0769990815346082</v>
      </c>
      <c r="H140" s="65">
        <f t="shared" si="176"/>
        <v>4.170226864827403</v>
      </c>
      <c r="I140" s="65">
        <f t="shared" si="176"/>
        <v>4.1305191389178146</v>
      </c>
      <c r="J140" s="65">
        <f t="shared" si="176"/>
        <v>4.1802855168876327</v>
      </c>
      <c r="K140" s="65">
        <f t="shared" si="176"/>
        <v>4.2133041416196324</v>
      </c>
      <c r="L140" s="65">
        <f t="shared" si="176"/>
        <v>4.2634045363149573</v>
      </c>
      <c r="M140" s="65">
        <f t="shared" si="176"/>
        <v>4.308252696600281</v>
      </c>
      <c r="N140" s="65">
        <f t="shared" si="176"/>
        <v>4.2234898764076361</v>
      </c>
      <c r="O140" s="65">
        <f t="shared" si="176"/>
        <v>4.3589760663286814</v>
      </c>
      <c r="P140" s="65">
        <f t="shared" si="176"/>
        <v>4.2538357656984793</v>
      </c>
      <c r="Q140" s="65">
        <f t="shared" si="176"/>
        <v>4.0452216927640166</v>
      </c>
      <c r="R140" s="65">
        <f t="shared" si="176"/>
        <v>3.9667228705609325</v>
      </c>
      <c r="S140" s="65">
        <f t="shared" si="176"/>
        <v>3.860420483585663</v>
      </c>
      <c r="T140" s="65">
        <f t="shared" si="176"/>
        <v>4.1619622755268546</v>
      </c>
      <c r="U140" s="65">
        <f t="shared" si="176"/>
        <v>4.1184654407706196</v>
      </c>
      <c r="V140" s="65">
        <f t="shared" si="176"/>
        <v>3.6505208138928209</v>
      </c>
      <c r="W140" s="65">
        <f t="shared" si="176"/>
        <v>3.9858288514698179</v>
      </c>
      <c r="X140" s="65">
        <f t="shared" ref="X140:Y140" si="177">IF(X110=0,0,X110/X$26)</f>
        <v>3.8176454862477165</v>
      </c>
      <c r="Y140" s="65">
        <f t="shared" si="177"/>
        <v>3.8748620083928</v>
      </c>
      <c r="DA140" s="109"/>
    </row>
    <row r="141" spans="1:105" ht="12" customHeight="1" x14ac:dyDescent="0.25">
      <c r="A141" s="74" t="s">
        <v>34</v>
      </c>
      <c r="B141" s="68">
        <f t="shared" ref="B141" si="178">IF(B111=0,0,B111/B$26)</f>
        <v>4.5090351025690101</v>
      </c>
      <c r="C141" s="68">
        <f t="shared" ref="C141:W141" si="179">IF(C111=0,0,C111/C$26)</f>
        <v>4.6137199077075168</v>
      </c>
      <c r="D141" s="68">
        <f t="shared" si="179"/>
        <v>4.4517142602965993</v>
      </c>
      <c r="E141" s="68">
        <f t="shared" si="179"/>
        <v>4.3030246169968311</v>
      </c>
      <c r="F141" s="68">
        <f t="shared" si="179"/>
        <v>4.5625031528953208</v>
      </c>
      <c r="G141" s="68">
        <f t="shared" si="179"/>
        <v>4.5844079746222244</v>
      </c>
      <c r="H141" s="68">
        <f t="shared" si="179"/>
        <v>4.8676306236845726</v>
      </c>
      <c r="I141" s="68">
        <f t="shared" si="179"/>
        <v>4.9414079802115101</v>
      </c>
      <c r="J141" s="68">
        <f t="shared" si="179"/>
        <v>5.0623368000445454</v>
      </c>
      <c r="K141" s="68">
        <f t="shared" si="179"/>
        <v>5.0783595576655634</v>
      </c>
      <c r="L141" s="68">
        <f t="shared" si="179"/>
        <v>5.1959406158640533</v>
      </c>
      <c r="M141" s="68">
        <f t="shared" si="179"/>
        <v>5.249526978000512</v>
      </c>
      <c r="N141" s="68">
        <f t="shared" si="179"/>
        <v>5.1392463213975796</v>
      </c>
      <c r="O141" s="68">
        <f t="shared" si="179"/>
        <v>5.1486944537156507</v>
      </c>
      <c r="P141" s="68">
        <f t="shared" si="179"/>
        <v>5.0880359590295985</v>
      </c>
      <c r="Q141" s="68">
        <f t="shared" si="179"/>
        <v>5.0489066759739094</v>
      </c>
      <c r="R141" s="68">
        <f t="shared" si="179"/>
        <v>4.9340659995502323</v>
      </c>
      <c r="S141" s="68">
        <f t="shared" si="179"/>
        <v>5.1360135486018192</v>
      </c>
      <c r="T141" s="68">
        <f t="shared" si="179"/>
        <v>5.3741004651830497</v>
      </c>
      <c r="U141" s="68">
        <f t="shared" si="179"/>
        <v>5.5552445634679168</v>
      </c>
      <c r="V141" s="68">
        <f t="shared" si="179"/>
        <v>4.4739900681950857</v>
      </c>
      <c r="W141" s="68">
        <f t="shared" si="179"/>
        <v>5.350091381443181</v>
      </c>
      <c r="X141" s="68">
        <f t="shared" ref="X141:Y141" si="180">IF(X111=0,0,X111/X$26)</f>
        <v>4.8363247169839472</v>
      </c>
      <c r="Y141" s="68">
        <f t="shared" si="180"/>
        <v>5.6846080649951025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81">IF(B113=0,0,B113/B$26)</f>
        <v>4.2111115158721253</v>
      </c>
      <c r="C143" s="82">
        <f t="shared" ref="C143:W143" si="182">IF(C113=0,0,C113/C$26)</f>
        <v>4.4747537762379945</v>
      </c>
      <c r="D143" s="82">
        <f t="shared" si="182"/>
        <v>4.3144018281176413</v>
      </c>
      <c r="E143" s="82">
        <f t="shared" si="182"/>
        <v>3.825832035707176</v>
      </c>
      <c r="F143" s="82">
        <f t="shared" si="182"/>
        <v>4.1645847601854289</v>
      </c>
      <c r="G143" s="82">
        <f t="shared" si="182"/>
        <v>4.4939893355661678</v>
      </c>
      <c r="H143" s="82">
        <f t="shared" si="182"/>
        <v>5.5005784041898389</v>
      </c>
      <c r="I143" s="82">
        <f t="shared" si="182"/>
        <v>4.1088745077630202</v>
      </c>
      <c r="J143" s="82">
        <f t="shared" si="182"/>
        <v>3.7459254804071085</v>
      </c>
      <c r="K143" s="82">
        <f t="shared" si="182"/>
        <v>4.0801206541754826</v>
      </c>
      <c r="L143" s="82">
        <f t="shared" si="182"/>
        <v>4.5282397153677634</v>
      </c>
      <c r="M143" s="82">
        <f t="shared" si="182"/>
        <v>4.6520689560264339</v>
      </c>
      <c r="N143" s="82">
        <f t="shared" si="182"/>
        <v>4.2628303583953304</v>
      </c>
      <c r="O143" s="82">
        <f t="shared" si="182"/>
        <v>4.2434124187854358</v>
      </c>
      <c r="P143" s="82">
        <f t="shared" si="182"/>
        <v>3.6988462167298626</v>
      </c>
      <c r="Q143" s="82">
        <f t="shared" si="182"/>
        <v>3.5877561352979366</v>
      </c>
      <c r="R143" s="82">
        <f t="shared" si="182"/>
        <v>3.8088023644213105</v>
      </c>
      <c r="S143" s="82">
        <f t="shared" si="182"/>
        <v>3.8496982040718928</v>
      </c>
      <c r="T143" s="82">
        <f t="shared" si="182"/>
        <v>3.9693821007839385</v>
      </c>
      <c r="U143" s="82">
        <f t="shared" si="182"/>
        <v>3.8713645742111704</v>
      </c>
      <c r="V143" s="82">
        <f t="shared" si="182"/>
        <v>3.6182553888667615</v>
      </c>
      <c r="W143" s="82">
        <f t="shared" si="182"/>
        <v>3.9233493090581137</v>
      </c>
      <c r="X143" s="82">
        <f t="shared" ref="X143:Y143" si="183">IF(X113=0,0,X113/X$26)</f>
        <v>3.6518147399408636</v>
      </c>
      <c r="Y143" s="82">
        <f t="shared" si="183"/>
        <v>3.4343691548165913</v>
      </c>
      <c r="DA143" s="107"/>
    </row>
    <row r="144" spans="1:105" ht="12" customHeight="1" x14ac:dyDescent="0.25">
      <c r="A144" s="77" t="s">
        <v>36</v>
      </c>
      <c r="B144" s="64">
        <f t="shared" ref="B144" si="184">IF(B114=0,0,B114/B$26)</f>
        <v>4.2111115158721253</v>
      </c>
      <c r="C144" s="64">
        <f t="shared" ref="C144:W144" si="185">IF(C114=0,0,C114/C$26)</f>
        <v>4.4747537762379945</v>
      </c>
      <c r="D144" s="64">
        <f t="shared" si="185"/>
        <v>4.3144018281176413</v>
      </c>
      <c r="E144" s="64">
        <f t="shared" si="185"/>
        <v>3.825832035707176</v>
      </c>
      <c r="F144" s="64">
        <f t="shared" si="185"/>
        <v>4.1645847601854289</v>
      </c>
      <c r="G144" s="64">
        <f t="shared" si="185"/>
        <v>4.4939893355661678</v>
      </c>
      <c r="H144" s="64">
        <f t="shared" si="185"/>
        <v>5.5005784041898389</v>
      </c>
      <c r="I144" s="64">
        <f t="shared" si="185"/>
        <v>4.1088745077630202</v>
      </c>
      <c r="J144" s="64">
        <f t="shared" si="185"/>
        <v>3.7459254804071085</v>
      </c>
      <c r="K144" s="64">
        <f t="shared" si="185"/>
        <v>4.0801206541754826</v>
      </c>
      <c r="L144" s="64">
        <f t="shared" si="185"/>
        <v>4.5282397153677634</v>
      </c>
      <c r="M144" s="64">
        <f t="shared" si="185"/>
        <v>4.6520689560264339</v>
      </c>
      <c r="N144" s="64">
        <f t="shared" si="185"/>
        <v>4.2628303583953304</v>
      </c>
      <c r="O144" s="64">
        <f t="shared" si="185"/>
        <v>4.2434124187854358</v>
      </c>
      <c r="P144" s="64">
        <f t="shared" si="185"/>
        <v>3.6988462167298626</v>
      </c>
      <c r="Q144" s="64">
        <f t="shared" si="185"/>
        <v>3.5877561352979366</v>
      </c>
      <c r="R144" s="64">
        <f t="shared" si="185"/>
        <v>3.8088023644213105</v>
      </c>
      <c r="S144" s="64">
        <f t="shared" si="185"/>
        <v>3.8496982040718928</v>
      </c>
      <c r="T144" s="64">
        <f t="shared" si="185"/>
        <v>3.9693821007839385</v>
      </c>
      <c r="U144" s="64">
        <f t="shared" si="185"/>
        <v>3.8713645742111704</v>
      </c>
      <c r="V144" s="64">
        <f t="shared" si="185"/>
        <v>3.6182553888667615</v>
      </c>
      <c r="W144" s="64">
        <f t="shared" si="185"/>
        <v>3.9233493090581137</v>
      </c>
      <c r="X144" s="64">
        <f t="shared" ref="X144:Y144" si="186">IF(X114=0,0,X114/X$26)</f>
        <v>3.6518147399408636</v>
      </c>
      <c r="Y144" s="64">
        <f t="shared" si="186"/>
        <v>3.4343691548165913</v>
      </c>
      <c r="DA144" s="108"/>
    </row>
    <row r="145" spans="1:105" ht="12" customHeight="1" x14ac:dyDescent="0.25">
      <c r="A145" s="61" t="s">
        <v>32</v>
      </c>
      <c r="B145" s="65">
        <f t="shared" ref="B145" si="187">IF(B115=0,0,B115/B$26)</f>
        <v>2.8203850567977686</v>
      </c>
      <c r="C145" s="65">
        <f t="shared" ref="C145:W145" si="188">IF(C115=0,0,C115/C$26)</f>
        <v>3.0347193759351518</v>
      </c>
      <c r="D145" s="65">
        <f t="shared" si="188"/>
        <v>2.9637296652384393</v>
      </c>
      <c r="E145" s="65">
        <f t="shared" si="188"/>
        <v>2.6216822869312559</v>
      </c>
      <c r="F145" s="65">
        <f t="shared" si="188"/>
        <v>2.8151664441283994</v>
      </c>
      <c r="G145" s="65">
        <f t="shared" si="188"/>
        <v>3.1497345063072046</v>
      </c>
      <c r="H145" s="65">
        <f t="shared" si="188"/>
        <v>4.0170921258679817</v>
      </c>
      <c r="I145" s="65">
        <f t="shared" si="188"/>
        <v>2.6811240136834704</v>
      </c>
      <c r="J145" s="65">
        <f t="shared" si="188"/>
        <v>2.328935695423394</v>
      </c>
      <c r="K145" s="65">
        <f t="shared" si="188"/>
        <v>2.6687065880459073</v>
      </c>
      <c r="L145" s="65">
        <f t="shared" si="188"/>
        <v>3.1110381039214947</v>
      </c>
      <c r="M145" s="65">
        <f t="shared" si="188"/>
        <v>3.2292630874529338</v>
      </c>
      <c r="N145" s="65">
        <f t="shared" si="188"/>
        <v>2.7774955557313437</v>
      </c>
      <c r="O145" s="65">
        <f t="shared" si="188"/>
        <v>2.6380216085337795</v>
      </c>
      <c r="P145" s="65">
        <f t="shared" si="188"/>
        <v>1.6177655176113888</v>
      </c>
      <c r="Q145" s="65">
        <f t="shared" si="188"/>
        <v>1.4161796190673119</v>
      </c>
      <c r="R145" s="65">
        <f t="shared" si="188"/>
        <v>1.5658591735438214</v>
      </c>
      <c r="S145" s="65">
        <f t="shared" si="188"/>
        <v>1.6609453865132817</v>
      </c>
      <c r="T145" s="65">
        <f t="shared" si="188"/>
        <v>1.9092296759109773</v>
      </c>
      <c r="U145" s="65">
        <f t="shared" si="188"/>
        <v>1.8274746459000619</v>
      </c>
      <c r="V145" s="65">
        <f t="shared" si="188"/>
        <v>1.6319107431928013</v>
      </c>
      <c r="W145" s="65">
        <f t="shared" si="188"/>
        <v>1.8932739952955708</v>
      </c>
      <c r="X145" s="65">
        <f t="shared" ref="X145:Y145" si="189">IF(X115=0,0,X115/X$26)</f>
        <v>1.7655848347754715</v>
      </c>
      <c r="Y145" s="65">
        <f t="shared" si="189"/>
        <v>1.5490969237300745</v>
      </c>
      <c r="DA145" s="109"/>
    </row>
    <row r="146" spans="1:105" ht="12" customHeight="1" x14ac:dyDescent="0.25">
      <c r="A146" s="61" t="s">
        <v>31</v>
      </c>
      <c r="B146" s="65">
        <f t="shared" ref="B146" si="190">IF(B116=0,0,B116/B$26)</f>
        <v>4.3245294131513581E-4</v>
      </c>
      <c r="C146" s="65">
        <f t="shared" ref="C146:W146" si="191">IF(C116=0,0,C116/C$26)</f>
        <v>5.0510908908484931E-4</v>
      </c>
      <c r="D146" s="65">
        <f t="shared" si="191"/>
        <v>4.5250948155059549E-4</v>
      </c>
      <c r="E146" s="65">
        <f t="shared" si="191"/>
        <v>8.7863575989079602E-4</v>
      </c>
      <c r="F146" s="65">
        <f t="shared" si="191"/>
        <v>8.6912868298751902E-4</v>
      </c>
      <c r="G146" s="65">
        <f t="shared" si="191"/>
        <v>1.0861441126334534E-3</v>
      </c>
      <c r="H146" s="65">
        <f t="shared" si="191"/>
        <v>1.3641717356388935E-3</v>
      </c>
      <c r="I146" s="65">
        <f t="shared" si="191"/>
        <v>1.3450047286369801E-3</v>
      </c>
      <c r="J146" s="65">
        <f t="shared" si="191"/>
        <v>1.7969512422011142E-3</v>
      </c>
      <c r="K146" s="65">
        <f t="shared" si="191"/>
        <v>2.7653827652933298E-3</v>
      </c>
      <c r="L146" s="65">
        <f t="shared" si="191"/>
        <v>3.1158051930928387E-3</v>
      </c>
      <c r="M146" s="65">
        <f t="shared" si="191"/>
        <v>3.3582717632150683E-3</v>
      </c>
      <c r="N146" s="65">
        <f t="shared" si="191"/>
        <v>4.5448716694351703E-3</v>
      </c>
      <c r="O146" s="65">
        <f t="shared" si="191"/>
        <v>4.5493610368523216E-3</v>
      </c>
      <c r="P146" s="65">
        <f t="shared" si="191"/>
        <v>4.7905648135671127E-3</v>
      </c>
      <c r="Q146" s="65">
        <f t="shared" si="191"/>
        <v>8.3544771835535447E-3</v>
      </c>
      <c r="R146" s="65">
        <f t="shared" si="191"/>
        <v>9.2792902188801804E-3</v>
      </c>
      <c r="S146" s="65">
        <f t="shared" si="191"/>
        <v>1.1631436860745789E-2</v>
      </c>
      <c r="T146" s="65">
        <f t="shared" si="191"/>
        <v>9.7360605067305546E-3</v>
      </c>
      <c r="U146" s="65">
        <f t="shared" si="191"/>
        <v>1.0699148698139753E-2</v>
      </c>
      <c r="V146" s="65">
        <f t="shared" si="191"/>
        <v>1.1450882950005859E-2</v>
      </c>
      <c r="W146" s="65">
        <f t="shared" si="191"/>
        <v>1.0315593511210008E-2</v>
      </c>
      <c r="X146" s="65">
        <f t="shared" ref="X146:Y146" si="192">IF(X116=0,0,X116/X$26)</f>
        <v>1.5975267850034749E-2</v>
      </c>
      <c r="Y146" s="65">
        <f t="shared" si="192"/>
        <v>1.4524704092289261E-2</v>
      </c>
      <c r="DA146" s="109"/>
    </row>
    <row r="147" spans="1:105" ht="12" customHeight="1" x14ac:dyDescent="0.25">
      <c r="A147" s="61" t="s">
        <v>35</v>
      </c>
      <c r="B147" s="65">
        <f t="shared" ref="B147" si="193">IF(B117=0,0,B117/B$26)</f>
        <v>0.85596572122756132</v>
      </c>
      <c r="C147" s="65">
        <f t="shared" ref="C147:W147" si="194">IF(C117=0,0,C117/C$26)</f>
        <v>0.83819011276376842</v>
      </c>
      <c r="D147" s="65">
        <f t="shared" si="194"/>
        <v>0.79997538190532791</v>
      </c>
      <c r="E147" s="65">
        <f t="shared" si="194"/>
        <v>0.70635164226065927</v>
      </c>
      <c r="F147" s="65">
        <f t="shared" si="194"/>
        <v>0.72772712965906305</v>
      </c>
      <c r="G147" s="65">
        <f t="shared" si="194"/>
        <v>0.72997602272976181</v>
      </c>
      <c r="H147" s="65">
        <f t="shared" si="194"/>
        <v>0.86037585162647967</v>
      </c>
      <c r="I147" s="65">
        <f t="shared" si="194"/>
        <v>0.80826750013025206</v>
      </c>
      <c r="J147" s="65">
        <f t="shared" si="194"/>
        <v>0.77531716090250269</v>
      </c>
      <c r="K147" s="65">
        <f t="shared" si="194"/>
        <v>0.78064467299109319</v>
      </c>
      <c r="L147" s="65">
        <f t="shared" si="194"/>
        <v>0.77041900080923698</v>
      </c>
      <c r="M147" s="65">
        <f t="shared" si="194"/>
        <v>0.77282782720106658</v>
      </c>
      <c r="N147" s="65">
        <f t="shared" si="194"/>
        <v>0.80939948448034971</v>
      </c>
      <c r="O147" s="65">
        <f t="shared" si="194"/>
        <v>0.85572617255751504</v>
      </c>
      <c r="P147" s="65">
        <f t="shared" si="194"/>
        <v>0.93792130384034611</v>
      </c>
      <c r="Q147" s="65">
        <f t="shared" si="194"/>
        <v>0.88289917157264475</v>
      </c>
      <c r="R147" s="65">
        <f t="shared" si="194"/>
        <v>0.89439447674643302</v>
      </c>
      <c r="S147" s="65">
        <f t="shared" si="194"/>
        <v>0.88052841148203642</v>
      </c>
      <c r="T147" s="65">
        <f t="shared" si="194"/>
        <v>0.88393196697706022</v>
      </c>
      <c r="U147" s="65">
        <f t="shared" si="194"/>
        <v>0.87760925901670006</v>
      </c>
      <c r="V147" s="65">
        <f t="shared" si="194"/>
        <v>0.82837689651391289</v>
      </c>
      <c r="W147" s="65">
        <f t="shared" si="194"/>
        <v>0.89373793637381171</v>
      </c>
      <c r="X147" s="65">
        <f t="shared" ref="X147:Y147" si="195">IF(X117=0,0,X117/X$26)</f>
        <v>0.87289041817164714</v>
      </c>
      <c r="Y147" s="65">
        <f t="shared" si="195"/>
        <v>0.86532974237783611</v>
      </c>
      <c r="DA147" s="109"/>
    </row>
    <row r="148" spans="1:105" ht="12" customHeight="1" x14ac:dyDescent="0.25">
      <c r="A148" s="66" t="s">
        <v>34</v>
      </c>
      <c r="B148" s="67">
        <f t="shared" ref="B148" si="196">IF(B118=0,0,B118/B$26)</f>
        <v>0.53432828490547957</v>
      </c>
      <c r="C148" s="67">
        <f t="shared" ref="C148:W148" si="197">IF(C118=0,0,C118/C$26)</f>
        <v>0.60133917844998863</v>
      </c>
      <c r="D148" s="67">
        <f t="shared" si="197"/>
        <v>0.55024427149232358</v>
      </c>
      <c r="E148" s="67">
        <f t="shared" si="197"/>
        <v>0.49691947075537002</v>
      </c>
      <c r="F148" s="67">
        <f t="shared" si="197"/>
        <v>0.62082205771497823</v>
      </c>
      <c r="G148" s="67">
        <f t="shared" si="197"/>
        <v>0.613192662416569</v>
      </c>
      <c r="H148" s="67">
        <f t="shared" si="197"/>
        <v>0.62174625495973812</v>
      </c>
      <c r="I148" s="67">
        <f t="shared" si="197"/>
        <v>0.61813798922066032</v>
      </c>
      <c r="J148" s="67">
        <f t="shared" si="197"/>
        <v>0.63987567283901026</v>
      </c>
      <c r="K148" s="67">
        <f t="shared" si="197"/>
        <v>0.62800401037318909</v>
      </c>
      <c r="L148" s="67">
        <f t="shared" si="197"/>
        <v>0.64366680544393906</v>
      </c>
      <c r="M148" s="67">
        <f t="shared" si="197"/>
        <v>0.64661976960921941</v>
      </c>
      <c r="N148" s="67">
        <f t="shared" si="197"/>
        <v>0.67139044651420143</v>
      </c>
      <c r="O148" s="67">
        <f t="shared" si="197"/>
        <v>0.7451152766572896</v>
      </c>
      <c r="P148" s="67">
        <f t="shared" si="197"/>
        <v>1.1383688304645612</v>
      </c>
      <c r="Q148" s="67">
        <f t="shared" si="197"/>
        <v>1.280322867474426</v>
      </c>
      <c r="R148" s="67">
        <f t="shared" si="197"/>
        <v>1.3392694239121758</v>
      </c>
      <c r="S148" s="67">
        <f t="shared" si="197"/>
        <v>1.2965929692158291</v>
      </c>
      <c r="T148" s="67">
        <f t="shared" si="197"/>
        <v>1.166484397389171</v>
      </c>
      <c r="U148" s="67">
        <f t="shared" si="197"/>
        <v>1.1555815205962687</v>
      </c>
      <c r="V148" s="67">
        <f t="shared" si="197"/>
        <v>1.1465168662100411</v>
      </c>
      <c r="W148" s="67">
        <f t="shared" si="197"/>
        <v>1.1260217838775213</v>
      </c>
      <c r="X148" s="67">
        <f t="shared" ref="X148:Y148" si="198">IF(X118=0,0,X118/X$26)</f>
        <v>0.99736421914371109</v>
      </c>
      <c r="Y148" s="67">
        <f t="shared" si="198"/>
        <v>1.0054177846163919</v>
      </c>
      <c r="DA148" s="110"/>
    </row>
    <row r="149" spans="1:105" ht="12" customHeight="1" x14ac:dyDescent="0.25">
      <c r="A149" s="78" t="s">
        <v>33</v>
      </c>
      <c r="B149" s="68">
        <f t="shared" ref="B149" si="199">IF(B119=0,0,B119/B$26)</f>
        <v>0</v>
      </c>
      <c r="C149" s="68">
        <f t="shared" ref="C149:W149" si="200">IF(C119=0,0,C119/C$26)</f>
        <v>0</v>
      </c>
      <c r="D149" s="68">
        <f t="shared" si="200"/>
        <v>0</v>
      </c>
      <c r="E149" s="68">
        <f t="shared" si="200"/>
        <v>0</v>
      </c>
      <c r="F149" s="68">
        <f t="shared" si="200"/>
        <v>0</v>
      </c>
      <c r="G149" s="68">
        <f t="shared" si="200"/>
        <v>0</v>
      </c>
      <c r="H149" s="68">
        <f t="shared" si="200"/>
        <v>0</v>
      </c>
      <c r="I149" s="68">
        <f t="shared" si="200"/>
        <v>0</v>
      </c>
      <c r="J149" s="68">
        <f t="shared" si="200"/>
        <v>0</v>
      </c>
      <c r="K149" s="68">
        <f t="shared" si="200"/>
        <v>0</v>
      </c>
      <c r="L149" s="68">
        <f t="shared" si="200"/>
        <v>0</v>
      </c>
      <c r="M149" s="68">
        <f t="shared" si="200"/>
        <v>0</v>
      </c>
      <c r="N149" s="68">
        <f t="shared" si="200"/>
        <v>0</v>
      </c>
      <c r="O149" s="68">
        <f t="shared" si="200"/>
        <v>0</v>
      </c>
      <c r="P149" s="68">
        <f t="shared" si="200"/>
        <v>0</v>
      </c>
      <c r="Q149" s="68">
        <f t="shared" si="200"/>
        <v>0</v>
      </c>
      <c r="R149" s="68">
        <f t="shared" si="200"/>
        <v>0</v>
      </c>
      <c r="S149" s="68">
        <f t="shared" si="200"/>
        <v>0</v>
      </c>
      <c r="T149" s="68">
        <f t="shared" si="200"/>
        <v>0</v>
      </c>
      <c r="U149" s="68">
        <f t="shared" si="200"/>
        <v>0</v>
      </c>
      <c r="V149" s="68">
        <f t="shared" si="200"/>
        <v>0</v>
      </c>
      <c r="W149" s="68">
        <f t="shared" si="200"/>
        <v>0</v>
      </c>
      <c r="X149" s="68">
        <f t="shared" ref="X149:Y149" si="201">IF(X119=0,0,X119/X$26)</f>
        <v>0</v>
      </c>
      <c r="Y149" s="68">
        <f t="shared" si="201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202">IF(B99=0,0,B99/B$23)</f>
        <v>7219.9130799992663</v>
      </c>
      <c r="C153" s="82">
        <f t="shared" ref="C153:W153" si="203">IF(C99=0,0,C99/C$23)</f>
        <v>7280.8151725348989</v>
      </c>
      <c r="D153" s="82">
        <f t="shared" si="203"/>
        <v>7184.8218736752842</v>
      </c>
      <c r="E153" s="82">
        <f t="shared" si="203"/>
        <v>6947.0108660290207</v>
      </c>
      <c r="F153" s="82">
        <f t="shared" si="203"/>
        <v>7174.3999100000756</v>
      </c>
      <c r="G153" s="82">
        <f t="shared" si="203"/>
        <v>7367.2188567591711</v>
      </c>
      <c r="H153" s="82">
        <f t="shared" si="203"/>
        <v>8552.0775317340504</v>
      </c>
      <c r="I153" s="82">
        <f t="shared" si="203"/>
        <v>7413.1519028079492</v>
      </c>
      <c r="J153" s="82">
        <f t="shared" si="203"/>
        <v>7430.664904552129</v>
      </c>
      <c r="K153" s="82">
        <f t="shared" si="203"/>
        <v>7907.9582786384808</v>
      </c>
      <c r="L153" s="82">
        <f t="shared" si="203"/>
        <v>8475.2679822400623</v>
      </c>
      <c r="M153" s="82">
        <f t="shared" si="203"/>
        <v>8513.5977429747036</v>
      </c>
      <c r="N153" s="82">
        <f t="shared" si="203"/>
        <v>8430.7537950065143</v>
      </c>
      <c r="O153" s="82">
        <f t="shared" si="203"/>
        <v>8193.1863239483373</v>
      </c>
      <c r="P153" s="82">
        <f t="shared" si="203"/>
        <v>7357.4029107622282</v>
      </c>
      <c r="Q153" s="82">
        <f t="shared" si="203"/>
        <v>7377.6672780835434</v>
      </c>
      <c r="R153" s="82">
        <f t="shared" si="203"/>
        <v>7372.3612754695414</v>
      </c>
      <c r="S153" s="82">
        <f t="shared" si="203"/>
        <v>7368.2097824901011</v>
      </c>
      <c r="T153" s="82">
        <f t="shared" si="203"/>
        <v>7280.4827400829454</v>
      </c>
      <c r="U153" s="82">
        <f t="shared" si="203"/>
        <v>7099.8912362198816</v>
      </c>
      <c r="V153" s="82">
        <f t="shared" si="203"/>
        <v>6810.859386340012</v>
      </c>
      <c r="W153" s="82">
        <f t="shared" si="203"/>
        <v>6969.3521769357867</v>
      </c>
      <c r="X153" s="82">
        <f t="shared" ref="X153:Y153" si="204">IF(X99=0,0,X99/X$23)</f>
        <v>6649.3727858712264</v>
      </c>
      <c r="Y153" s="82">
        <f t="shared" si="204"/>
        <v>6465.5090847317088</v>
      </c>
      <c r="DA153" s="107"/>
    </row>
    <row r="154" spans="1:105" ht="12" customHeight="1" x14ac:dyDescent="0.25">
      <c r="A154" s="77" t="s">
        <v>36</v>
      </c>
      <c r="B154" s="64">
        <f t="shared" ref="B154" si="205">IF(B100=0,0,B100/B$23)</f>
        <v>4253.4246363167849</v>
      </c>
      <c r="C154" s="64">
        <f t="shared" ref="C154:W154" si="206">IF(C100=0,0,C100/C$23)</f>
        <v>4235.8450448395088</v>
      </c>
      <c r="D154" s="64">
        <f t="shared" si="206"/>
        <v>4082.5208512598169</v>
      </c>
      <c r="E154" s="64">
        <f t="shared" si="206"/>
        <v>3794.4446157672805</v>
      </c>
      <c r="F154" s="64">
        <f t="shared" si="206"/>
        <v>3991.89140649814</v>
      </c>
      <c r="G154" s="64">
        <f t="shared" si="206"/>
        <v>4177.075635944514</v>
      </c>
      <c r="H154" s="64">
        <f t="shared" si="206"/>
        <v>5397.5200476855262</v>
      </c>
      <c r="I154" s="64">
        <f t="shared" si="206"/>
        <v>4276.5990240642859</v>
      </c>
      <c r="J154" s="64">
        <f t="shared" si="206"/>
        <v>4291.1066233396959</v>
      </c>
      <c r="K154" s="64">
        <f t="shared" si="206"/>
        <v>4675.8756900508115</v>
      </c>
      <c r="L154" s="64">
        <f t="shared" si="206"/>
        <v>5176.5146226865718</v>
      </c>
      <c r="M154" s="64">
        <f t="shared" si="206"/>
        <v>5172.6233939338063</v>
      </c>
      <c r="N154" s="64">
        <f t="shared" si="206"/>
        <v>4952.8148600299119</v>
      </c>
      <c r="O154" s="64">
        <f t="shared" si="206"/>
        <v>4674.0560194248219</v>
      </c>
      <c r="P154" s="64">
        <f t="shared" si="206"/>
        <v>3860.1159187370745</v>
      </c>
      <c r="Q154" s="64">
        <f t="shared" si="206"/>
        <v>3895.2062065640644</v>
      </c>
      <c r="R154" s="64">
        <f t="shared" si="206"/>
        <v>3892.0081166891564</v>
      </c>
      <c r="S154" s="64">
        <f t="shared" si="206"/>
        <v>4012.2947031934646</v>
      </c>
      <c r="T154" s="64">
        <f t="shared" si="206"/>
        <v>3999.498551782061</v>
      </c>
      <c r="U154" s="64">
        <f t="shared" si="206"/>
        <v>3928.5569623572414</v>
      </c>
      <c r="V154" s="64">
        <f t="shared" si="206"/>
        <v>3742.3509390753038</v>
      </c>
      <c r="W154" s="64">
        <f t="shared" si="206"/>
        <v>3981.3153040769789</v>
      </c>
      <c r="X154" s="64">
        <f t="shared" ref="X154:Y154" si="207">IF(X100=0,0,X100/X$23)</f>
        <v>3767.7583181741738</v>
      </c>
      <c r="Y154" s="64">
        <f t="shared" si="207"/>
        <v>3705.1293558834673</v>
      </c>
      <c r="DA154" s="108"/>
    </row>
    <row r="155" spans="1:105" ht="12" customHeight="1" x14ac:dyDescent="0.25">
      <c r="A155" s="61" t="s">
        <v>32</v>
      </c>
      <c r="B155" s="65">
        <f t="shared" ref="B155" si="208">IF(B101=0,0,B101/B$23)</f>
        <v>2016.6998422456481</v>
      </c>
      <c r="C155" s="65">
        <f t="shared" ref="C155:W155" si="209">IF(C101=0,0,C101/C$23)</f>
        <v>1931.159126430382</v>
      </c>
      <c r="D155" s="65">
        <f t="shared" si="209"/>
        <v>1812.9077268663041</v>
      </c>
      <c r="E155" s="65">
        <f t="shared" si="209"/>
        <v>1483.4953878297979</v>
      </c>
      <c r="F155" s="65">
        <f t="shared" si="209"/>
        <v>1629.1406753808051</v>
      </c>
      <c r="G155" s="65">
        <f t="shared" si="209"/>
        <v>1816.6341728741775</v>
      </c>
      <c r="H155" s="65">
        <f t="shared" si="209"/>
        <v>2923.718171416735</v>
      </c>
      <c r="I155" s="65">
        <f t="shared" si="209"/>
        <v>1911.2643528661426</v>
      </c>
      <c r="J155" s="65">
        <f t="shared" si="209"/>
        <v>1862.7620133882569</v>
      </c>
      <c r="K155" s="65">
        <f t="shared" si="209"/>
        <v>2025.1196142036608</v>
      </c>
      <c r="L155" s="65">
        <f t="shared" si="209"/>
        <v>2463.2283172016946</v>
      </c>
      <c r="M155" s="65">
        <f t="shared" si="209"/>
        <v>2464.787005052362</v>
      </c>
      <c r="N155" s="65">
        <f t="shared" si="209"/>
        <v>2069.9733451950392</v>
      </c>
      <c r="O155" s="65">
        <f t="shared" si="209"/>
        <v>1864.6181956088697</v>
      </c>
      <c r="P155" s="65">
        <f t="shared" si="209"/>
        <v>1103.9460732787504</v>
      </c>
      <c r="Q155" s="65">
        <f t="shared" si="209"/>
        <v>1014.2001616135749</v>
      </c>
      <c r="R155" s="65">
        <f t="shared" si="209"/>
        <v>1113.9911696920162</v>
      </c>
      <c r="S155" s="65">
        <f t="shared" si="209"/>
        <v>1202.6314087865305</v>
      </c>
      <c r="T155" s="65">
        <f t="shared" si="209"/>
        <v>1396.6524316707823</v>
      </c>
      <c r="U155" s="65">
        <f t="shared" si="209"/>
        <v>1360.0500796603892</v>
      </c>
      <c r="V155" s="65">
        <f t="shared" si="209"/>
        <v>1302.3985769245412</v>
      </c>
      <c r="W155" s="65">
        <f t="shared" si="209"/>
        <v>1484.0219267143493</v>
      </c>
      <c r="X155" s="65">
        <f t="shared" ref="X155:Y155" si="210">IF(X101=0,0,X101/X$23)</f>
        <v>1377.8711987973079</v>
      </c>
      <c r="Y155" s="65">
        <f t="shared" si="210"/>
        <v>1251.5787487047285</v>
      </c>
      <c r="DA155" s="109"/>
    </row>
    <row r="156" spans="1:105" ht="12" customHeight="1" x14ac:dyDescent="0.25">
      <c r="A156" s="61" t="s">
        <v>31</v>
      </c>
      <c r="B156" s="65">
        <f t="shared" ref="B156" si="211">IF(B102=0,0,B102/B$23)</f>
        <v>261.97178875347885</v>
      </c>
      <c r="C156" s="65">
        <f t="shared" ref="C156:W156" si="212">IF(C102=0,0,C102/C$23)</f>
        <v>291.29853861773</v>
      </c>
      <c r="D156" s="65">
        <f t="shared" si="212"/>
        <v>277.63834028500395</v>
      </c>
      <c r="E156" s="65">
        <f t="shared" si="212"/>
        <v>390.79599801232166</v>
      </c>
      <c r="F156" s="65">
        <f t="shared" si="212"/>
        <v>351.16835347580741</v>
      </c>
      <c r="G156" s="65">
        <f t="shared" si="212"/>
        <v>386.89727238031929</v>
      </c>
      <c r="H156" s="65">
        <f t="shared" si="212"/>
        <v>458.04138118421798</v>
      </c>
      <c r="I156" s="65">
        <f t="shared" si="212"/>
        <v>376.83842691463701</v>
      </c>
      <c r="J156" s="65">
        <f t="shared" si="212"/>
        <v>419.30564838821232</v>
      </c>
      <c r="K156" s="65">
        <f t="shared" si="212"/>
        <v>602.16215308428116</v>
      </c>
      <c r="L156" s="65">
        <f t="shared" si="212"/>
        <v>604.68569775317712</v>
      </c>
      <c r="M156" s="65">
        <f t="shared" si="212"/>
        <v>565.54994658667999</v>
      </c>
      <c r="N156" s="65">
        <f t="shared" si="212"/>
        <v>707.91146311170837</v>
      </c>
      <c r="O156" s="65">
        <f t="shared" si="212"/>
        <v>578.01763907050338</v>
      </c>
      <c r="P156" s="65">
        <f t="shared" si="212"/>
        <v>521.75228375018139</v>
      </c>
      <c r="Q156" s="65">
        <f t="shared" si="212"/>
        <v>734.01939627552622</v>
      </c>
      <c r="R156" s="65">
        <f t="shared" si="212"/>
        <v>690.96367373890723</v>
      </c>
      <c r="S156" s="65">
        <f t="shared" si="212"/>
        <v>767.94254520890274</v>
      </c>
      <c r="T156" s="65">
        <f t="shared" si="212"/>
        <v>530.23144795694589</v>
      </c>
      <c r="U156" s="65">
        <f t="shared" si="212"/>
        <v>535.70553929770938</v>
      </c>
      <c r="V156" s="65">
        <f t="shared" si="212"/>
        <v>618.89985201660909</v>
      </c>
      <c r="W156" s="65">
        <f t="shared" si="212"/>
        <v>518.43972107921934</v>
      </c>
      <c r="X156" s="65">
        <f t="shared" ref="X156:Y156" si="213">IF(X102=0,0,X102/X$23)</f>
        <v>637.45040913661171</v>
      </c>
      <c r="Y156" s="65">
        <f t="shared" si="213"/>
        <v>622.44013892495911</v>
      </c>
      <c r="DA156" s="109"/>
    </row>
    <row r="157" spans="1:105" ht="12" customHeight="1" x14ac:dyDescent="0.25">
      <c r="A157" s="61" t="s">
        <v>35</v>
      </c>
      <c r="B157" s="65">
        <f t="shared" ref="B157" si="214">IF(B103=0,0,B103/B$23)</f>
        <v>960.55232582199915</v>
      </c>
      <c r="C157" s="65">
        <f t="shared" ref="C157:W157" si="215">IF(C103=0,0,C103/C$23)</f>
        <v>977.89231749678947</v>
      </c>
      <c r="D157" s="65">
        <f t="shared" si="215"/>
        <v>1004.9077967102776</v>
      </c>
      <c r="E157" s="65">
        <f t="shared" si="215"/>
        <v>978.44662257137782</v>
      </c>
      <c r="F157" s="65">
        <f t="shared" si="215"/>
        <v>1013.1236802984865</v>
      </c>
      <c r="G157" s="65">
        <f t="shared" si="215"/>
        <v>989.97016351422224</v>
      </c>
      <c r="H157" s="65">
        <f t="shared" si="215"/>
        <v>997.62606261584403</v>
      </c>
      <c r="I157" s="65">
        <f t="shared" si="215"/>
        <v>968.10393307983293</v>
      </c>
      <c r="J157" s="65">
        <f t="shared" si="215"/>
        <v>967.1447484095961</v>
      </c>
      <c r="K157" s="65">
        <f t="shared" si="215"/>
        <v>986.85143467112891</v>
      </c>
      <c r="L157" s="65">
        <f t="shared" si="215"/>
        <v>1005.5481280099758</v>
      </c>
      <c r="M157" s="65">
        <f t="shared" si="215"/>
        <v>1017.0059003096072</v>
      </c>
      <c r="N157" s="65">
        <f t="shared" si="215"/>
        <v>1025.5605842875514</v>
      </c>
      <c r="O157" s="65">
        <f t="shared" si="215"/>
        <v>1055.3356235141484</v>
      </c>
      <c r="P157" s="65">
        <f t="shared" si="215"/>
        <v>1013.7435014098214</v>
      </c>
      <c r="Q157" s="65">
        <f t="shared" si="215"/>
        <v>936.52819994595632</v>
      </c>
      <c r="R157" s="65">
        <f t="shared" si="215"/>
        <v>898.37022255051352</v>
      </c>
      <c r="S157" s="65">
        <f t="shared" si="215"/>
        <v>844.45845470459619</v>
      </c>
      <c r="T157" s="65">
        <f t="shared" si="215"/>
        <v>878.68172858774574</v>
      </c>
      <c r="U157" s="65">
        <f t="shared" si="215"/>
        <v>837.67250425252507</v>
      </c>
      <c r="V157" s="65">
        <f t="shared" si="215"/>
        <v>767.49364104700044</v>
      </c>
      <c r="W157" s="65">
        <f t="shared" si="215"/>
        <v>805.20183606442788</v>
      </c>
      <c r="X157" s="65">
        <f t="shared" ref="X157:Y157" si="216">IF(X103=0,0,X103/X$23)</f>
        <v>734.61356665825019</v>
      </c>
      <c r="Y157" s="65">
        <f t="shared" si="216"/>
        <v>710.91321572481502</v>
      </c>
      <c r="DA157" s="109"/>
    </row>
    <row r="158" spans="1:105" ht="12" customHeight="1" x14ac:dyDescent="0.25">
      <c r="A158" s="66" t="s">
        <v>34</v>
      </c>
      <c r="B158" s="67">
        <f t="shared" ref="B158" si="217">IF(B104=0,0,B104/B$23)</f>
        <v>1014.2006794956596</v>
      </c>
      <c r="C158" s="67">
        <f t="shared" ref="C158:W158" si="218">IF(C104=0,0,C104/C$23)</f>
        <v>1035.495062294608</v>
      </c>
      <c r="D158" s="67">
        <f t="shared" si="218"/>
        <v>987.06698739823105</v>
      </c>
      <c r="E158" s="67">
        <f t="shared" si="218"/>
        <v>941.70660735378317</v>
      </c>
      <c r="F158" s="67">
        <f t="shared" si="218"/>
        <v>998.45869734304028</v>
      </c>
      <c r="G158" s="67">
        <f t="shared" si="218"/>
        <v>983.5740271757943</v>
      </c>
      <c r="H158" s="67">
        <f t="shared" si="218"/>
        <v>1018.1344324687285</v>
      </c>
      <c r="I158" s="67">
        <f t="shared" si="218"/>
        <v>1020.3923112036734</v>
      </c>
      <c r="J158" s="67">
        <f t="shared" si="218"/>
        <v>1041.8942131536294</v>
      </c>
      <c r="K158" s="67">
        <f t="shared" si="218"/>
        <v>1061.7424880917415</v>
      </c>
      <c r="L158" s="67">
        <f t="shared" si="218"/>
        <v>1103.052479721724</v>
      </c>
      <c r="M158" s="67">
        <f t="shared" si="218"/>
        <v>1125.2805419851572</v>
      </c>
      <c r="N158" s="67">
        <f t="shared" si="218"/>
        <v>1149.3694674356143</v>
      </c>
      <c r="O158" s="67">
        <f t="shared" si="218"/>
        <v>1176.0845612313003</v>
      </c>
      <c r="P158" s="67">
        <f t="shared" si="218"/>
        <v>1220.6740602983211</v>
      </c>
      <c r="Q158" s="67">
        <f t="shared" si="218"/>
        <v>1210.4584487290072</v>
      </c>
      <c r="R158" s="67">
        <f t="shared" si="218"/>
        <v>1188.6830507077204</v>
      </c>
      <c r="S158" s="67">
        <f t="shared" si="218"/>
        <v>1197.2622944934362</v>
      </c>
      <c r="T158" s="67">
        <f t="shared" si="218"/>
        <v>1193.9329435665863</v>
      </c>
      <c r="U158" s="67">
        <f t="shared" si="218"/>
        <v>1195.128839146618</v>
      </c>
      <c r="V158" s="67">
        <f t="shared" si="218"/>
        <v>1053.558869087153</v>
      </c>
      <c r="W158" s="67">
        <f t="shared" si="218"/>
        <v>1173.6518202189829</v>
      </c>
      <c r="X158" s="67">
        <f t="shared" ref="X158:Y158" si="219">IF(X104=0,0,X104/X$23)</f>
        <v>1017.8231435820036</v>
      </c>
      <c r="Y158" s="67">
        <f t="shared" si="219"/>
        <v>1120.1972525289655</v>
      </c>
      <c r="DA158" s="110"/>
    </row>
    <row r="159" spans="1:105" ht="12" customHeight="1" x14ac:dyDescent="0.25">
      <c r="A159" s="78" t="s">
        <v>33</v>
      </c>
      <c r="B159" s="68">
        <f t="shared" ref="B159" si="220">IF(B105=0,0,B105/B$23)</f>
        <v>2966.4884436824823</v>
      </c>
      <c r="C159" s="68">
        <f t="shared" ref="C159:W159" si="221">IF(C105=0,0,C105/C$23)</f>
        <v>3044.9701276953924</v>
      </c>
      <c r="D159" s="68">
        <f t="shared" si="221"/>
        <v>3102.3010224154691</v>
      </c>
      <c r="E159" s="68">
        <f t="shared" si="221"/>
        <v>3152.5662502617388</v>
      </c>
      <c r="F159" s="68">
        <f t="shared" si="221"/>
        <v>3182.508503501936</v>
      </c>
      <c r="G159" s="68">
        <f t="shared" si="221"/>
        <v>3190.1432208146571</v>
      </c>
      <c r="H159" s="68">
        <f t="shared" si="221"/>
        <v>3154.5574840485247</v>
      </c>
      <c r="I159" s="68">
        <f t="shared" si="221"/>
        <v>3136.5528787436633</v>
      </c>
      <c r="J159" s="68">
        <f t="shared" si="221"/>
        <v>3139.5582812124344</v>
      </c>
      <c r="K159" s="68">
        <f t="shared" si="221"/>
        <v>3232.0825885876689</v>
      </c>
      <c r="L159" s="68">
        <f t="shared" si="221"/>
        <v>3298.7533595534919</v>
      </c>
      <c r="M159" s="68">
        <f t="shared" si="221"/>
        <v>3340.9743490408978</v>
      </c>
      <c r="N159" s="68">
        <f t="shared" si="221"/>
        <v>3477.9389349766016</v>
      </c>
      <c r="O159" s="68">
        <f t="shared" si="221"/>
        <v>3519.1303045235131</v>
      </c>
      <c r="P159" s="68">
        <f t="shared" si="221"/>
        <v>3497.2869920251533</v>
      </c>
      <c r="Q159" s="68">
        <f t="shared" si="221"/>
        <v>3482.4610715194799</v>
      </c>
      <c r="R159" s="68">
        <f t="shared" si="221"/>
        <v>3480.3531587803836</v>
      </c>
      <c r="S159" s="68">
        <f t="shared" si="221"/>
        <v>3355.9150792966357</v>
      </c>
      <c r="T159" s="68">
        <f t="shared" si="221"/>
        <v>3280.9841883008853</v>
      </c>
      <c r="U159" s="68">
        <f t="shared" si="221"/>
        <v>3171.3342738626407</v>
      </c>
      <c r="V159" s="68">
        <f t="shared" si="221"/>
        <v>3068.5084472647072</v>
      </c>
      <c r="W159" s="68">
        <f t="shared" si="221"/>
        <v>2988.0368728588064</v>
      </c>
      <c r="X159" s="68">
        <f t="shared" ref="X159:Y159" si="222">IF(X105=0,0,X105/X$23)</f>
        <v>2881.614467697053</v>
      </c>
      <c r="Y159" s="68">
        <f t="shared" si="222"/>
        <v>2760.3797288482419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223">IF(B107=0,0,B107/B$23)</f>
        <v>2530.0118212871325</v>
      </c>
      <c r="C161" s="85">
        <f t="shared" ref="C161:W161" si="224">IF(C107=0,0,C107/C$23)</f>
        <v>2568.5186645256549</v>
      </c>
      <c r="D161" s="85">
        <f t="shared" si="224"/>
        <v>2514.3868768973352</v>
      </c>
      <c r="E161" s="85">
        <f t="shared" si="224"/>
        <v>2596.3394312837249</v>
      </c>
      <c r="F161" s="85">
        <f t="shared" si="224"/>
        <v>2678.8977167333846</v>
      </c>
      <c r="G161" s="85">
        <f t="shared" si="224"/>
        <v>2873.1222864607039</v>
      </c>
      <c r="H161" s="85">
        <f t="shared" si="224"/>
        <v>3753.2650905475953</v>
      </c>
      <c r="I161" s="85">
        <f t="shared" si="224"/>
        <v>3100.3541735242015</v>
      </c>
      <c r="J161" s="85">
        <f t="shared" si="224"/>
        <v>3295.3340349530777</v>
      </c>
      <c r="K161" s="85">
        <f t="shared" si="224"/>
        <v>3910.2107289774831</v>
      </c>
      <c r="L161" s="85">
        <f t="shared" si="224"/>
        <v>4260.5441172479832</v>
      </c>
      <c r="M161" s="85">
        <f t="shared" si="224"/>
        <v>4243.6983932021349</v>
      </c>
      <c r="N161" s="85">
        <f t="shared" si="224"/>
        <v>4531.2748036726434</v>
      </c>
      <c r="O161" s="85">
        <f t="shared" si="224"/>
        <v>4162.574545713006</v>
      </c>
      <c r="P161" s="85">
        <f t="shared" si="224"/>
        <v>3623.1211322275808</v>
      </c>
      <c r="Q161" s="85">
        <f t="shared" si="224"/>
        <v>4295.0992635765333</v>
      </c>
      <c r="R161" s="85">
        <f t="shared" si="224"/>
        <v>4315.79052395492</v>
      </c>
      <c r="S161" s="85">
        <f t="shared" si="224"/>
        <v>4775.7624057358844</v>
      </c>
      <c r="T161" s="85">
        <f t="shared" si="224"/>
        <v>4271.3236013793585</v>
      </c>
      <c r="U161" s="85">
        <f t="shared" si="224"/>
        <v>4394.9407382037352</v>
      </c>
      <c r="V161" s="85">
        <f t="shared" si="224"/>
        <v>4655.2034567928895</v>
      </c>
      <c r="W161" s="85">
        <f t="shared" si="224"/>
        <v>4650.066417942443</v>
      </c>
      <c r="X161" s="85">
        <f t="shared" ref="X161:Y161" si="225">IF(X107=0,0,X107/X$23)</f>
        <v>5001.3435415880749</v>
      </c>
      <c r="Y161" s="85">
        <f t="shared" si="225"/>
        <v>5051.2591852992018</v>
      </c>
      <c r="DA161" s="117"/>
    </row>
    <row r="162" spans="1:105" ht="12" customHeight="1" x14ac:dyDescent="0.25">
      <c r="A162" s="61" t="s">
        <v>32</v>
      </c>
      <c r="B162" s="65">
        <f t="shared" ref="B162" si="226">IF(B108=0,0,B108/B$23)</f>
        <v>933.45844961305863</v>
      </c>
      <c r="C162" s="65">
        <f t="shared" ref="C162:W162" si="227">IF(C108=0,0,C108/C$23)</f>
        <v>870.76112898315762</v>
      </c>
      <c r="D162" s="65">
        <f t="shared" si="227"/>
        <v>815.92572413601374</v>
      </c>
      <c r="E162" s="65">
        <f t="shared" si="227"/>
        <v>669.88979597696618</v>
      </c>
      <c r="F162" s="65">
        <f t="shared" si="227"/>
        <v>751.58540866172609</v>
      </c>
      <c r="G162" s="65">
        <f t="shared" si="227"/>
        <v>844.9961450694833</v>
      </c>
      <c r="H162" s="65">
        <f t="shared" si="227"/>
        <v>1488.4311432587542</v>
      </c>
      <c r="I162" s="65">
        <f t="shared" si="227"/>
        <v>982.2792648949054</v>
      </c>
      <c r="J162" s="65">
        <f t="shared" si="227"/>
        <v>1005.2013300300744</v>
      </c>
      <c r="K162" s="65">
        <f t="shared" si="227"/>
        <v>1086.8296628678609</v>
      </c>
      <c r="L162" s="65">
        <f t="shared" si="227"/>
        <v>1344.2769695690447</v>
      </c>
      <c r="M162" s="65">
        <f t="shared" si="227"/>
        <v>1355.9600249839796</v>
      </c>
      <c r="N162" s="65">
        <f t="shared" si="227"/>
        <v>1168.224592171098</v>
      </c>
      <c r="O162" s="65">
        <f t="shared" si="227"/>
        <v>1084.249485409149</v>
      </c>
      <c r="P162" s="65">
        <f t="shared" si="227"/>
        <v>699.55349619422475</v>
      </c>
      <c r="Q162" s="65">
        <f t="shared" si="227"/>
        <v>707.14845377454856</v>
      </c>
      <c r="R162" s="65">
        <f t="shared" si="227"/>
        <v>818.13168543008896</v>
      </c>
      <c r="S162" s="65">
        <f t="shared" si="227"/>
        <v>938.70341606770126</v>
      </c>
      <c r="T162" s="65">
        <f t="shared" si="227"/>
        <v>1118.8198630906447</v>
      </c>
      <c r="U162" s="65">
        <f t="shared" si="227"/>
        <v>1173.3256863976799</v>
      </c>
      <c r="V162" s="65">
        <f t="shared" si="227"/>
        <v>1235.3537353051004</v>
      </c>
      <c r="W162" s="65">
        <f t="shared" si="227"/>
        <v>1412.6953538814914</v>
      </c>
      <c r="X162" s="65">
        <f t="shared" ref="X162:Y162" si="228">IF(X108=0,0,X108/X$23)</f>
        <v>1422.9736112286744</v>
      </c>
      <c r="Y162" s="65">
        <f t="shared" si="228"/>
        <v>1411.3648428769648</v>
      </c>
      <c r="DA162" s="109"/>
    </row>
    <row r="163" spans="1:105" ht="12" customHeight="1" x14ac:dyDescent="0.25">
      <c r="A163" s="61" t="s">
        <v>31</v>
      </c>
      <c r="B163" s="65">
        <f t="shared" ref="B163" si="229">IF(B109=0,0,B109/B$23)</f>
        <v>441.9538585110439</v>
      </c>
      <c r="C163" s="65">
        <f t="shared" ref="C163:W163" si="230">IF(C109=0,0,C109/C$23)</f>
        <v>519.04240794115753</v>
      </c>
      <c r="D163" s="65">
        <f t="shared" si="230"/>
        <v>523.78415003031716</v>
      </c>
      <c r="E163" s="65">
        <f t="shared" si="230"/>
        <v>781.36132997353593</v>
      </c>
      <c r="F163" s="65">
        <f t="shared" si="230"/>
        <v>731.76080848048957</v>
      </c>
      <c r="G163" s="65">
        <f t="shared" si="230"/>
        <v>848.64795585924401</v>
      </c>
      <c r="H163" s="65">
        <f t="shared" si="230"/>
        <v>1056.9517618482516</v>
      </c>
      <c r="I163" s="65">
        <f t="shared" si="230"/>
        <v>916.46125365463161</v>
      </c>
      <c r="J163" s="65">
        <f t="shared" si="230"/>
        <v>1066.2881481341012</v>
      </c>
      <c r="K163" s="65">
        <f t="shared" si="230"/>
        <v>1567.215305828978</v>
      </c>
      <c r="L163" s="65">
        <f t="shared" si="230"/>
        <v>1615.1095824114138</v>
      </c>
      <c r="M163" s="65">
        <f t="shared" si="230"/>
        <v>1558.809393096182</v>
      </c>
      <c r="N163" s="65">
        <f t="shared" si="230"/>
        <v>2011.3534598476715</v>
      </c>
      <c r="O163" s="65">
        <f t="shared" si="230"/>
        <v>1692.6966875375531</v>
      </c>
      <c r="P163" s="65">
        <f t="shared" si="230"/>
        <v>1576.1285173317983</v>
      </c>
      <c r="Q163" s="65">
        <f t="shared" si="230"/>
        <v>2298.9444308124898</v>
      </c>
      <c r="R163" s="65">
        <f t="shared" si="230"/>
        <v>2246.2228140064717</v>
      </c>
      <c r="S163" s="65">
        <f t="shared" si="230"/>
        <v>2589.884345870742</v>
      </c>
      <c r="T163" s="65">
        <f t="shared" si="230"/>
        <v>1842.6407598736171</v>
      </c>
      <c r="U163" s="65">
        <f t="shared" si="230"/>
        <v>1911.3498203083122</v>
      </c>
      <c r="V163" s="65">
        <f t="shared" si="230"/>
        <v>2258.9860930280129</v>
      </c>
      <c r="W163" s="65">
        <f t="shared" si="230"/>
        <v>1927.5914981639867</v>
      </c>
      <c r="X163" s="65">
        <f t="shared" ref="X163:Y163" si="231">IF(X109=0,0,X109/X$23)</f>
        <v>2398.8057433555082</v>
      </c>
      <c r="Y163" s="65">
        <f t="shared" si="231"/>
        <v>2370.3208201894995</v>
      </c>
      <c r="DA163" s="109"/>
    </row>
    <row r="164" spans="1:105" ht="12" customHeight="1" x14ac:dyDescent="0.25">
      <c r="A164" s="61" t="s">
        <v>35</v>
      </c>
      <c r="B164" s="65">
        <f t="shared" ref="B164" si="232">IF(B110=0,0,B110/B$23)</f>
        <v>509.90736412977452</v>
      </c>
      <c r="C164" s="65">
        <f t="shared" ref="C164:W164" si="233">IF(C110=0,0,C110/C$23)</f>
        <v>524.68450752009153</v>
      </c>
      <c r="D164" s="65">
        <f t="shared" si="233"/>
        <v>546.92793037656349</v>
      </c>
      <c r="E164" s="65">
        <f t="shared" si="233"/>
        <v>542.3165529210288</v>
      </c>
      <c r="F164" s="65">
        <f t="shared" si="233"/>
        <v>564.72775289276592</v>
      </c>
      <c r="G164" s="65">
        <f t="shared" si="233"/>
        <v>555.19056521951131</v>
      </c>
      <c r="H164" s="65">
        <f t="shared" si="233"/>
        <v>557.33814631105861</v>
      </c>
      <c r="I164" s="65">
        <f t="shared" si="233"/>
        <v>547.1040644707241</v>
      </c>
      <c r="J164" s="65">
        <f t="shared" si="233"/>
        <v>553.52469247759177</v>
      </c>
      <c r="K164" s="65">
        <f t="shared" si="233"/>
        <v>569.60826087134103</v>
      </c>
      <c r="L164" s="65">
        <f t="shared" si="233"/>
        <v>586.44239923354814</v>
      </c>
      <c r="M164" s="65">
        <f t="shared" si="233"/>
        <v>599.0263466602272</v>
      </c>
      <c r="N164" s="65">
        <f t="shared" si="233"/>
        <v>609.74456889231601</v>
      </c>
      <c r="O164" s="65">
        <f t="shared" si="233"/>
        <v>635.2682185379424</v>
      </c>
      <c r="P164" s="65">
        <f t="shared" si="233"/>
        <v>613.55849064613062</v>
      </c>
      <c r="Q164" s="65">
        <f t="shared" si="233"/>
        <v>573.37177956760468</v>
      </c>
      <c r="R164" s="65">
        <f t="shared" si="233"/>
        <v>557.71459945199547</v>
      </c>
      <c r="S164" s="65">
        <f t="shared" si="233"/>
        <v>535.1696599228685</v>
      </c>
      <c r="T164" s="65">
        <f t="shared" si="233"/>
        <v>571.68251200778468</v>
      </c>
      <c r="U164" s="65">
        <f t="shared" si="233"/>
        <v>557.82963018349619</v>
      </c>
      <c r="V164" s="65">
        <f t="shared" si="233"/>
        <v>521.60147229620065</v>
      </c>
      <c r="W164" s="65">
        <f t="shared" si="233"/>
        <v>559.19042285870228</v>
      </c>
      <c r="X164" s="65">
        <f t="shared" ref="X164:Y164" si="234">IF(X110=0,0,X110/X$23)</f>
        <v>520.35745311131836</v>
      </c>
      <c r="Y164" s="65">
        <f t="shared" si="234"/>
        <v>514.6124388062035</v>
      </c>
      <c r="DA164" s="109"/>
    </row>
    <row r="165" spans="1:105" ht="12" customHeight="1" x14ac:dyDescent="0.25">
      <c r="A165" s="74" t="s">
        <v>34</v>
      </c>
      <c r="B165" s="68">
        <f t="shared" ref="B165" si="235">IF(B111=0,0,B111/B$23)</f>
        <v>644.6921490332553</v>
      </c>
      <c r="C165" s="68">
        <f t="shared" ref="C165:W165" si="236">IF(C111=0,0,C111/C$23)</f>
        <v>654.03062008124846</v>
      </c>
      <c r="D165" s="68">
        <f t="shared" si="236"/>
        <v>627.7490723544405</v>
      </c>
      <c r="E165" s="68">
        <f t="shared" si="236"/>
        <v>602.77175241219402</v>
      </c>
      <c r="F165" s="68">
        <f t="shared" si="236"/>
        <v>630.82374669840272</v>
      </c>
      <c r="G165" s="68">
        <f t="shared" si="236"/>
        <v>624.28762031246549</v>
      </c>
      <c r="H165" s="68">
        <f t="shared" si="236"/>
        <v>650.54403912953148</v>
      </c>
      <c r="I165" s="68">
        <f t="shared" si="236"/>
        <v>654.50959050394067</v>
      </c>
      <c r="J165" s="68">
        <f t="shared" si="236"/>
        <v>670.31986431131008</v>
      </c>
      <c r="K165" s="68">
        <f t="shared" si="236"/>
        <v>686.55749940930298</v>
      </c>
      <c r="L165" s="68">
        <f t="shared" si="236"/>
        <v>714.71516603397697</v>
      </c>
      <c r="M165" s="68">
        <f t="shared" si="236"/>
        <v>729.90262846174596</v>
      </c>
      <c r="N165" s="68">
        <f t="shared" si="236"/>
        <v>741.95218276155799</v>
      </c>
      <c r="O165" s="68">
        <f t="shared" si="236"/>
        <v>750.36015422836158</v>
      </c>
      <c r="P165" s="68">
        <f t="shared" si="236"/>
        <v>733.880628055427</v>
      </c>
      <c r="Q165" s="68">
        <f t="shared" si="236"/>
        <v>715.6345994218907</v>
      </c>
      <c r="R165" s="68">
        <f t="shared" si="236"/>
        <v>693.72142506636385</v>
      </c>
      <c r="S165" s="68">
        <f t="shared" si="236"/>
        <v>712.00498387457276</v>
      </c>
      <c r="T165" s="68">
        <f t="shared" si="236"/>
        <v>738.18046640731166</v>
      </c>
      <c r="U165" s="68">
        <f t="shared" si="236"/>
        <v>752.43560131424692</v>
      </c>
      <c r="V165" s="68">
        <f t="shared" si="236"/>
        <v>639.2621561635757</v>
      </c>
      <c r="W165" s="68">
        <f t="shared" si="236"/>
        <v>750.58914303826202</v>
      </c>
      <c r="X165" s="68">
        <f t="shared" ref="X165:Y165" si="237">IF(X111=0,0,X111/X$23)</f>
        <v>659.20673389257388</v>
      </c>
      <c r="Y165" s="68">
        <f t="shared" si="237"/>
        <v>754.96108342653372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238">IF(B113=0,0,B113/B$23)</f>
        <v>602.09567484615502</v>
      </c>
      <c r="C167" s="82">
        <f t="shared" ref="C167:W167" si="239">IF(C113=0,0,C113/C$23)</f>
        <v>634.33109194485905</v>
      </c>
      <c r="D167" s="82">
        <f t="shared" si="239"/>
        <v>608.38625010597707</v>
      </c>
      <c r="E167" s="82">
        <f t="shared" si="239"/>
        <v>535.92616493265677</v>
      </c>
      <c r="F167" s="82">
        <f t="shared" si="239"/>
        <v>575.80649784232958</v>
      </c>
      <c r="G167" s="82">
        <f t="shared" si="239"/>
        <v>611.97474647561</v>
      </c>
      <c r="H167" s="82">
        <f t="shared" si="239"/>
        <v>735.1355863361855</v>
      </c>
      <c r="I167" s="82">
        <f t="shared" si="239"/>
        <v>544.23714501568907</v>
      </c>
      <c r="J167" s="82">
        <f t="shared" si="239"/>
        <v>496.00972019970641</v>
      </c>
      <c r="K167" s="82">
        <f t="shared" si="239"/>
        <v>551.60281618709382</v>
      </c>
      <c r="L167" s="82">
        <f t="shared" si="239"/>
        <v>622.87116795166173</v>
      </c>
      <c r="M167" s="82">
        <f t="shared" si="239"/>
        <v>646.83110935879324</v>
      </c>
      <c r="N167" s="82">
        <f t="shared" si="239"/>
        <v>615.42414808666842</v>
      </c>
      <c r="O167" s="82">
        <f t="shared" si="239"/>
        <v>618.42620991356921</v>
      </c>
      <c r="P167" s="82">
        <f t="shared" si="239"/>
        <v>533.50872644616084</v>
      </c>
      <c r="Q167" s="82">
        <f t="shared" si="239"/>
        <v>508.53037884922031</v>
      </c>
      <c r="R167" s="82">
        <f t="shared" si="239"/>
        <v>535.51124048266547</v>
      </c>
      <c r="S167" s="82">
        <f t="shared" si="239"/>
        <v>533.68323151296306</v>
      </c>
      <c r="T167" s="82">
        <f t="shared" si="239"/>
        <v>545.22991326432486</v>
      </c>
      <c r="U167" s="82">
        <f t="shared" si="239"/>
        <v>524.36080860584389</v>
      </c>
      <c r="V167" s="82">
        <f t="shared" si="239"/>
        <v>516.99125527352089</v>
      </c>
      <c r="W167" s="82">
        <f t="shared" si="239"/>
        <v>550.42487796373393</v>
      </c>
      <c r="X167" s="82">
        <f t="shared" ref="X167:Y167" si="240">IF(X113=0,0,X113/X$23)</f>
        <v>497.75418491718409</v>
      </c>
      <c r="Y167" s="82">
        <f t="shared" si="240"/>
        <v>456.11149060093317</v>
      </c>
      <c r="DA167" s="107"/>
    </row>
    <row r="168" spans="1:105" ht="12" customHeight="1" x14ac:dyDescent="0.25">
      <c r="A168" s="77" t="s">
        <v>36</v>
      </c>
      <c r="B168" s="64">
        <f t="shared" ref="B168" si="241">IF(B114=0,0,B114/B$23)</f>
        <v>602.09567484615502</v>
      </c>
      <c r="C168" s="64">
        <f t="shared" ref="C168:W168" si="242">IF(C114=0,0,C114/C$23)</f>
        <v>634.33109194485905</v>
      </c>
      <c r="D168" s="64">
        <f t="shared" si="242"/>
        <v>608.38625010597707</v>
      </c>
      <c r="E168" s="64">
        <f t="shared" si="242"/>
        <v>535.92616493265677</v>
      </c>
      <c r="F168" s="64">
        <f t="shared" si="242"/>
        <v>575.80649784232958</v>
      </c>
      <c r="G168" s="64">
        <f t="shared" si="242"/>
        <v>611.97474647561</v>
      </c>
      <c r="H168" s="64">
        <f t="shared" si="242"/>
        <v>735.1355863361855</v>
      </c>
      <c r="I168" s="64">
        <f t="shared" si="242"/>
        <v>544.23714501568907</v>
      </c>
      <c r="J168" s="64">
        <f t="shared" si="242"/>
        <v>496.00972019970641</v>
      </c>
      <c r="K168" s="64">
        <f t="shared" si="242"/>
        <v>551.60281618709382</v>
      </c>
      <c r="L168" s="64">
        <f t="shared" si="242"/>
        <v>622.87116795166173</v>
      </c>
      <c r="M168" s="64">
        <f t="shared" si="242"/>
        <v>646.83110935879324</v>
      </c>
      <c r="N168" s="64">
        <f t="shared" si="242"/>
        <v>615.42414808666842</v>
      </c>
      <c r="O168" s="64">
        <f t="shared" si="242"/>
        <v>618.42620991356921</v>
      </c>
      <c r="P168" s="64">
        <f t="shared" si="242"/>
        <v>533.50872644616084</v>
      </c>
      <c r="Q168" s="64">
        <f t="shared" si="242"/>
        <v>508.53037884922031</v>
      </c>
      <c r="R168" s="64">
        <f t="shared" si="242"/>
        <v>535.51124048266547</v>
      </c>
      <c r="S168" s="64">
        <f t="shared" si="242"/>
        <v>533.68323151296306</v>
      </c>
      <c r="T168" s="64">
        <f t="shared" si="242"/>
        <v>545.22991326432486</v>
      </c>
      <c r="U168" s="64">
        <f t="shared" si="242"/>
        <v>524.36080860584389</v>
      </c>
      <c r="V168" s="64">
        <f t="shared" si="242"/>
        <v>516.99125527352089</v>
      </c>
      <c r="W168" s="64">
        <f t="shared" si="242"/>
        <v>550.42487796373393</v>
      </c>
      <c r="X168" s="64">
        <f t="shared" ref="X168:Y168" si="243">IF(X114=0,0,X114/X$23)</f>
        <v>497.75418491718409</v>
      </c>
      <c r="Y168" s="64">
        <f t="shared" si="243"/>
        <v>456.11149060093317</v>
      </c>
      <c r="DA168" s="108"/>
    </row>
    <row r="169" spans="1:105" ht="12" customHeight="1" x14ac:dyDescent="0.25">
      <c r="A169" s="61" t="s">
        <v>32</v>
      </c>
      <c r="B169" s="65">
        <f t="shared" ref="B169" si="244">IF(B115=0,0,B115/B$23)</f>
        <v>403.25259440368376</v>
      </c>
      <c r="C169" s="65">
        <f t="shared" ref="C169:W169" si="245">IF(C115=0,0,C115/C$23)</f>
        <v>430.19503457496654</v>
      </c>
      <c r="D169" s="65">
        <f t="shared" si="245"/>
        <v>417.92407133040268</v>
      </c>
      <c r="E169" s="65">
        <f t="shared" si="245"/>
        <v>367.24773084483735</v>
      </c>
      <c r="F169" s="65">
        <f t="shared" si="245"/>
        <v>389.23235433552395</v>
      </c>
      <c r="G169" s="65">
        <f t="shared" si="245"/>
        <v>428.91912553236892</v>
      </c>
      <c r="H169" s="65">
        <f t="shared" si="245"/>
        <v>536.87215385695163</v>
      </c>
      <c r="I169" s="65">
        <f t="shared" si="245"/>
        <v>355.1257834434341</v>
      </c>
      <c r="J169" s="65">
        <f t="shared" si="245"/>
        <v>308.38166661140349</v>
      </c>
      <c r="K169" s="65">
        <f t="shared" si="245"/>
        <v>360.78983792714587</v>
      </c>
      <c r="L169" s="65">
        <f t="shared" si="245"/>
        <v>427.93139478799151</v>
      </c>
      <c r="M169" s="65">
        <f t="shared" si="245"/>
        <v>449.00190539151453</v>
      </c>
      <c r="N169" s="65">
        <f t="shared" si="245"/>
        <v>400.98659634298019</v>
      </c>
      <c r="O169" s="65">
        <f t="shared" si="245"/>
        <v>384.45985071198754</v>
      </c>
      <c r="P169" s="65">
        <f t="shared" si="245"/>
        <v>233.34087724047714</v>
      </c>
      <c r="Q169" s="65">
        <f t="shared" si="245"/>
        <v>200.7300192779239</v>
      </c>
      <c r="R169" s="65">
        <f t="shared" si="245"/>
        <v>220.157180188323</v>
      </c>
      <c r="S169" s="65">
        <f t="shared" si="245"/>
        <v>230.25667318632281</v>
      </c>
      <c r="T169" s="65">
        <f t="shared" si="245"/>
        <v>262.24966611126445</v>
      </c>
      <c r="U169" s="65">
        <f t="shared" si="245"/>
        <v>247.52411318070943</v>
      </c>
      <c r="V169" s="65">
        <f t="shared" si="245"/>
        <v>233.17413862315362</v>
      </c>
      <c r="W169" s="65">
        <f t="shared" si="245"/>
        <v>265.61619313541462</v>
      </c>
      <c r="X169" s="65">
        <f t="shared" ref="X169:Y169" si="246">IF(X115=0,0,X115/X$23)</f>
        <v>240.65493540070366</v>
      </c>
      <c r="Y169" s="65">
        <f t="shared" si="246"/>
        <v>205.73237037635155</v>
      </c>
      <c r="DA169" s="109"/>
    </row>
    <row r="170" spans="1:105" ht="12" customHeight="1" x14ac:dyDescent="0.25">
      <c r="A170" s="61" t="s">
        <v>31</v>
      </c>
      <c r="B170" s="65">
        <f t="shared" ref="B170" si="247">IF(B116=0,0,B116/B$23)</f>
        <v>6.1831192206368547E-2</v>
      </c>
      <c r="C170" s="65">
        <f t="shared" ref="C170:W170" si="248">IF(C116=0,0,C116/C$23)</f>
        <v>7.1603135290236444E-2</v>
      </c>
      <c r="D170" s="65">
        <f t="shared" si="248"/>
        <v>6.3809667616907914E-2</v>
      </c>
      <c r="E170" s="65">
        <f t="shared" si="248"/>
        <v>0.12308012708768215</v>
      </c>
      <c r="F170" s="65">
        <f t="shared" si="248"/>
        <v>0.12016802921381217</v>
      </c>
      <c r="G170" s="65">
        <f t="shared" si="248"/>
        <v>0.14790706393189379</v>
      </c>
      <c r="H170" s="65">
        <f t="shared" si="248"/>
        <v>0.18231740647097572</v>
      </c>
      <c r="I170" s="65">
        <f t="shared" si="248"/>
        <v>0.17815134829817733</v>
      </c>
      <c r="J170" s="65">
        <f t="shared" si="248"/>
        <v>0.23793993968076005</v>
      </c>
      <c r="K170" s="65">
        <f t="shared" si="248"/>
        <v>0.37385975819367218</v>
      </c>
      <c r="L170" s="65">
        <f t="shared" si="248"/>
        <v>0.42858712032076479</v>
      </c>
      <c r="M170" s="65">
        <f t="shared" si="248"/>
        <v>0.46693947803906327</v>
      </c>
      <c r="N170" s="65">
        <f t="shared" si="248"/>
        <v>0.65614240778238841</v>
      </c>
      <c r="O170" s="65">
        <f t="shared" si="248"/>
        <v>0.66301453308993241</v>
      </c>
      <c r="P170" s="65">
        <f t="shared" si="248"/>
        <v>0.69097442361460526</v>
      </c>
      <c r="Q170" s="65">
        <f t="shared" si="248"/>
        <v>1.1841678439180885</v>
      </c>
      <c r="R170" s="65">
        <f t="shared" si="248"/>
        <v>1.3046526809395578</v>
      </c>
      <c r="S170" s="65">
        <f t="shared" si="248"/>
        <v>1.6124647912441614</v>
      </c>
      <c r="T170" s="65">
        <f t="shared" si="248"/>
        <v>1.3373344492515677</v>
      </c>
      <c r="U170" s="65">
        <f t="shared" si="248"/>
        <v>1.4491567908955878</v>
      </c>
      <c r="V170" s="65">
        <f t="shared" si="248"/>
        <v>1.6361493908167262</v>
      </c>
      <c r="W170" s="65">
        <f t="shared" si="248"/>
        <v>1.4472224755573377</v>
      </c>
      <c r="X170" s="65">
        <f t="shared" ref="X170:Y170" si="249">IF(X116=0,0,X116/X$23)</f>
        <v>2.177480785253775</v>
      </c>
      <c r="Y170" s="65">
        <f t="shared" si="249"/>
        <v>1.9289960209374533</v>
      </c>
      <c r="DA170" s="109"/>
    </row>
    <row r="171" spans="1:105" ht="12" customHeight="1" x14ac:dyDescent="0.25">
      <c r="A171" s="61" t="s">
        <v>35</v>
      </c>
      <c r="B171" s="65">
        <f t="shared" ref="B171" si="250">IF(B117=0,0,B117/B$23)</f>
        <v>122.38413934781542</v>
      </c>
      <c r="C171" s="65">
        <f t="shared" ref="C171:W171" si="251">IF(C117=0,0,C117/C$23)</f>
        <v>118.81995659967399</v>
      </c>
      <c r="D171" s="65">
        <f t="shared" si="251"/>
        <v>112.80683676764114</v>
      </c>
      <c r="E171" s="65">
        <f t="shared" si="251"/>
        <v>98.946405173447857</v>
      </c>
      <c r="F171" s="65">
        <f t="shared" si="251"/>
        <v>100.61747666174973</v>
      </c>
      <c r="G171" s="65">
        <f t="shared" si="251"/>
        <v>99.405418679534975</v>
      </c>
      <c r="H171" s="65">
        <f t="shared" si="251"/>
        <v>114.98661771153951</v>
      </c>
      <c r="I171" s="65">
        <f t="shared" si="251"/>
        <v>107.0583187315068</v>
      </c>
      <c r="J171" s="65">
        <f t="shared" si="251"/>
        <v>102.66217255434736</v>
      </c>
      <c r="K171" s="65">
        <f t="shared" si="251"/>
        <v>105.53751630424699</v>
      </c>
      <c r="L171" s="65">
        <f t="shared" si="251"/>
        <v>105.97314033919881</v>
      </c>
      <c r="M171" s="65">
        <f t="shared" si="251"/>
        <v>107.45521735318215</v>
      </c>
      <c r="N171" s="65">
        <f t="shared" si="251"/>
        <v>116.85287621570239</v>
      </c>
      <c r="O171" s="65">
        <f t="shared" si="251"/>
        <v>124.71177472069976</v>
      </c>
      <c r="P171" s="65">
        <f t="shared" si="251"/>
        <v>135.28251000415423</v>
      </c>
      <c r="Q171" s="65">
        <f t="shared" si="251"/>
        <v>125.14257749801472</v>
      </c>
      <c r="R171" s="65">
        <f t="shared" si="251"/>
        <v>125.75036714883399</v>
      </c>
      <c r="S171" s="65">
        <f t="shared" si="251"/>
        <v>122.06755521294197</v>
      </c>
      <c r="T171" s="65">
        <f t="shared" si="251"/>
        <v>121.41591246438182</v>
      </c>
      <c r="U171" s="65">
        <f t="shared" si="251"/>
        <v>118.86865519291463</v>
      </c>
      <c r="V171" s="65">
        <f t="shared" si="251"/>
        <v>118.36190803061132</v>
      </c>
      <c r="W171" s="65">
        <f t="shared" si="251"/>
        <v>125.38664182267641</v>
      </c>
      <c r="X171" s="65">
        <f t="shared" ref="X171:Y171" si="252">IF(X117=0,0,X117/X$23)</f>
        <v>118.97779311392016</v>
      </c>
      <c r="Y171" s="65">
        <f t="shared" si="252"/>
        <v>114.92265998946003</v>
      </c>
      <c r="DA171" s="109"/>
    </row>
    <row r="172" spans="1:105" ht="12" customHeight="1" x14ac:dyDescent="0.25">
      <c r="A172" s="66" t="s">
        <v>34</v>
      </c>
      <c r="B172" s="67">
        <f t="shared" ref="B172" si="253">IF(B118=0,0,B118/B$23)</f>
        <v>76.397109902449472</v>
      </c>
      <c r="C172" s="67">
        <f t="shared" ref="C172:W172" si="254">IF(C118=0,0,C118/C$23)</f>
        <v>85.244497634928194</v>
      </c>
      <c r="D172" s="67">
        <f t="shared" si="254"/>
        <v>77.591532340316348</v>
      </c>
      <c r="E172" s="67">
        <f t="shared" si="254"/>
        <v>69.608948787283907</v>
      </c>
      <c r="F172" s="67">
        <f t="shared" si="254"/>
        <v>85.836498815842006</v>
      </c>
      <c r="G172" s="67">
        <f t="shared" si="254"/>
        <v>83.502295199774395</v>
      </c>
      <c r="H172" s="67">
        <f t="shared" si="254"/>
        <v>83.094497361223333</v>
      </c>
      <c r="I172" s="67">
        <f t="shared" si="254"/>
        <v>81.874891492449947</v>
      </c>
      <c r="J172" s="67">
        <f t="shared" si="254"/>
        <v>84.727941094274769</v>
      </c>
      <c r="K172" s="67">
        <f t="shared" si="254"/>
        <v>84.901602197507259</v>
      </c>
      <c r="L172" s="67">
        <f t="shared" si="254"/>
        <v>88.53804570415069</v>
      </c>
      <c r="M172" s="67">
        <f t="shared" si="254"/>
        <v>89.907047136057557</v>
      </c>
      <c r="N172" s="67">
        <f t="shared" si="254"/>
        <v>96.928533120203411</v>
      </c>
      <c r="O172" s="67">
        <f t="shared" si="254"/>
        <v>108.59156994779205</v>
      </c>
      <c r="P172" s="67">
        <f t="shared" si="254"/>
        <v>164.1943647779149</v>
      </c>
      <c r="Q172" s="67">
        <f t="shared" si="254"/>
        <v>181.47361422936353</v>
      </c>
      <c r="R172" s="67">
        <f t="shared" si="254"/>
        <v>188.29904046456889</v>
      </c>
      <c r="S172" s="67">
        <f t="shared" si="254"/>
        <v>179.7465383224542</v>
      </c>
      <c r="T172" s="67">
        <f t="shared" si="254"/>
        <v>160.22700023942716</v>
      </c>
      <c r="U172" s="67">
        <f t="shared" si="254"/>
        <v>156.51888344132428</v>
      </c>
      <c r="V172" s="67">
        <f t="shared" si="254"/>
        <v>163.81905922893924</v>
      </c>
      <c r="W172" s="67">
        <f t="shared" si="254"/>
        <v>157.97482053008551</v>
      </c>
      <c r="X172" s="67">
        <f t="shared" ref="X172:Y172" si="255">IF(X118=0,0,X118/X$23)</f>
        <v>135.94397561730662</v>
      </c>
      <c r="Y172" s="67">
        <f t="shared" si="255"/>
        <v>133.52746421418422</v>
      </c>
      <c r="DA172" s="110"/>
    </row>
    <row r="173" spans="1:105" ht="12" customHeight="1" x14ac:dyDescent="0.25">
      <c r="A173" s="78" t="s">
        <v>33</v>
      </c>
      <c r="B173" s="68">
        <f t="shared" ref="B173" si="256">IF(B119=0,0,B119/B$23)</f>
        <v>0</v>
      </c>
      <c r="C173" s="68">
        <f t="shared" ref="C173:W173" si="257">IF(C119=0,0,C119/C$23)</f>
        <v>0</v>
      </c>
      <c r="D173" s="68">
        <f t="shared" si="257"/>
        <v>0</v>
      </c>
      <c r="E173" s="68">
        <f t="shared" si="257"/>
        <v>0</v>
      </c>
      <c r="F173" s="68">
        <f t="shared" si="257"/>
        <v>0</v>
      </c>
      <c r="G173" s="68">
        <f t="shared" si="257"/>
        <v>0</v>
      </c>
      <c r="H173" s="68">
        <f t="shared" si="257"/>
        <v>0</v>
      </c>
      <c r="I173" s="68">
        <f t="shared" si="257"/>
        <v>0</v>
      </c>
      <c r="J173" s="68">
        <f t="shared" si="257"/>
        <v>0</v>
      </c>
      <c r="K173" s="68">
        <f t="shared" si="257"/>
        <v>0</v>
      </c>
      <c r="L173" s="68">
        <f t="shared" si="257"/>
        <v>0</v>
      </c>
      <c r="M173" s="68">
        <f t="shared" si="257"/>
        <v>0</v>
      </c>
      <c r="N173" s="68">
        <f t="shared" si="257"/>
        <v>0</v>
      </c>
      <c r="O173" s="68">
        <f t="shared" si="257"/>
        <v>0</v>
      </c>
      <c r="P173" s="68">
        <f t="shared" si="257"/>
        <v>0</v>
      </c>
      <c r="Q173" s="68">
        <f t="shared" si="257"/>
        <v>0</v>
      </c>
      <c r="R173" s="68">
        <f t="shared" si="257"/>
        <v>0</v>
      </c>
      <c r="S173" s="68">
        <f t="shared" si="257"/>
        <v>0</v>
      </c>
      <c r="T173" s="68">
        <f t="shared" si="257"/>
        <v>0</v>
      </c>
      <c r="U173" s="68">
        <f t="shared" si="257"/>
        <v>0</v>
      </c>
      <c r="V173" s="68">
        <f t="shared" si="257"/>
        <v>0</v>
      </c>
      <c r="W173" s="68">
        <f t="shared" si="257"/>
        <v>0</v>
      </c>
      <c r="X173" s="68">
        <f t="shared" ref="X173:Y173" si="258">IF(X119=0,0,X119/X$23)</f>
        <v>0</v>
      </c>
      <c r="Y173" s="68">
        <f t="shared" si="25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Y31 B33:Y33 B37:Y37 B48:Y48 B67:Y67 B82:Y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>
        <f t="shared" ref="B3:Y3" si="0">B4</f>
        <v>1739976.9009162704</v>
      </c>
      <c r="C3" s="124">
        <f t="shared" si="0"/>
        <v>1793865.7552569362</v>
      </c>
      <c r="D3" s="124">
        <f t="shared" si="0"/>
        <v>1848052.2022861037</v>
      </c>
      <c r="E3" s="124">
        <f t="shared" si="0"/>
        <v>1913692.4760071654</v>
      </c>
      <c r="F3" s="124">
        <f t="shared" si="0"/>
        <v>1980059.3169420431</v>
      </c>
      <c r="G3" s="124">
        <f t="shared" si="0"/>
        <v>2050618.0656610311</v>
      </c>
      <c r="H3" s="124">
        <f t="shared" si="0"/>
        <v>2124452.0888019507</v>
      </c>
      <c r="I3" s="124">
        <f t="shared" si="0"/>
        <v>2195028.8211917751</v>
      </c>
      <c r="J3" s="124">
        <f t="shared" si="0"/>
        <v>2254333.5500316052</v>
      </c>
      <c r="K3" s="124">
        <f t="shared" si="0"/>
        <v>2241646.3530410663</v>
      </c>
      <c r="L3" s="124">
        <f t="shared" si="0"/>
        <v>2276495.609235385</v>
      </c>
      <c r="M3" s="124">
        <f t="shared" si="0"/>
        <v>2284808.8108906364</v>
      </c>
      <c r="N3" s="124">
        <f t="shared" si="0"/>
        <v>2307655.6882040761</v>
      </c>
      <c r="O3" s="124">
        <f t="shared" si="0"/>
        <v>2304440.7882462903</v>
      </c>
      <c r="P3" s="124">
        <f t="shared" si="0"/>
        <v>2317512.3594023278</v>
      </c>
      <c r="Q3" s="124">
        <f t="shared" si="0"/>
        <v>2341033.4845689069</v>
      </c>
      <c r="R3" s="124">
        <f t="shared" si="0"/>
        <v>2366613.5289667444</v>
      </c>
      <c r="S3" s="124">
        <f t="shared" si="0"/>
        <v>2391612.0240411521</v>
      </c>
      <c r="T3" s="124">
        <f t="shared" si="0"/>
        <v>2416753.3320825533</v>
      </c>
      <c r="U3" s="124">
        <f t="shared" si="0"/>
        <v>2439111.3935060161</v>
      </c>
      <c r="V3" s="124">
        <f t="shared" si="0"/>
        <v>2459337.4355555554</v>
      </c>
      <c r="W3" s="124">
        <f t="shared" si="0"/>
        <v>2478663.3420919552</v>
      </c>
      <c r="X3" s="124">
        <f t="shared" si="0"/>
        <v>2497226.82482955</v>
      </c>
      <c r="Y3" s="124">
        <f t="shared" si="0"/>
        <v>2515302.1129238917</v>
      </c>
      <c r="DA3" s="168" t="s">
        <v>245</v>
      </c>
    </row>
    <row r="4" spans="1:105" ht="12.95" customHeight="1" x14ac:dyDescent="0.25">
      <c r="A4" s="129" t="s">
        <v>32</v>
      </c>
      <c r="B4" s="139">
        <f t="shared" ref="B4:Q4" si="1">SUM(B5:B14)</f>
        <v>1739976.9009162704</v>
      </c>
      <c r="C4" s="139">
        <f t="shared" si="1"/>
        <v>1793865.7552569362</v>
      </c>
      <c r="D4" s="139">
        <f t="shared" si="1"/>
        <v>1848052.2022861037</v>
      </c>
      <c r="E4" s="139">
        <f t="shared" si="1"/>
        <v>1913692.4760071654</v>
      </c>
      <c r="F4" s="139">
        <f t="shared" si="1"/>
        <v>1980059.3169420431</v>
      </c>
      <c r="G4" s="139">
        <f t="shared" si="1"/>
        <v>2050618.0656610311</v>
      </c>
      <c r="H4" s="139">
        <f t="shared" si="1"/>
        <v>2124452.0888019507</v>
      </c>
      <c r="I4" s="139">
        <f t="shared" si="1"/>
        <v>2195028.8211917751</v>
      </c>
      <c r="J4" s="139">
        <f t="shared" si="1"/>
        <v>2254333.5500316052</v>
      </c>
      <c r="K4" s="139">
        <f t="shared" si="1"/>
        <v>2241646.3530410663</v>
      </c>
      <c r="L4" s="139">
        <f t="shared" si="1"/>
        <v>2276495.609235385</v>
      </c>
      <c r="M4" s="139">
        <f t="shared" si="1"/>
        <v>2284808.8108906364</v>
      </c>
      <c r="N4" s="139">
        <f t="shared" si="1"/>
        <v>2307655.6882040761</v>
      </c>
      <c r="O4" s="139">
        <f t="shared" si="1"/>
        <v>2304440.7882462903</v>
      </c>
      <c r="P4" s="139">
        <f t="shared" si="1"/>
        <v>2317512.3594023278</v>
      </c>
      <c r="Q4" s="139">
        <f t="shared" si="1"/>
        <v>2341033.4845689069</v>
      </c>
      <c r="R4" s="139">
        <f t="shared" ref="R4:W4" si="2">SUM(R5:R14)</f>
        <v>2366613.5289667444</v>
      </c>
      <c r="S4" s="139">
        <f t="shared" si="2"/>
        <v>2391612.0240411521</v>
      </c>
      <c r="T4" s="139">
        <f t="shared" si="2"/>
        <v>2416753.3320825533</v>
      </c>
      <c r="U4" s="139">
        <f t="shared" si="2"/>
        <v>2439111.3935060161</v>
      </c>
      <c r="V4" s="139">
        <f t="shared" si="2"/>
        <v>2459337.4355555554</v>
      </c>
      <c r="W4" s="139">
        <f t="shared" si="2"/>
        <v>2478663.3420919552</v>
      </c>
      <c r="X4" s="139">
        <f t="shared" ref="X4:Y4" si="3">SUM(X5:X14)</f>
        <v>2497226.82482955</v>
      </c>
      <c r="Y4" s="139">
        <f t="shared" si="3"/>
        <v>2515302.1129238917</v>
      </c>
      <c r="DA4" s="169" t="s">
        <v>246</v>
      </c>
    </row>
    <row r="5" spans="1:105" ht="12" customHeight="1" x14ac:dyDescent="0.25">
      <c r="A5" s="131" t="s">
        <v>29</v>
      </c>
      <c r="B5" s="140">
        <v>0</v>
      </c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DA5" s="170" t="s">
        <v>247</v>
      </c>
    </row>
    <row r="6" spans="1:105" ht="12" customHeight="1" x14ac:dyDescent="0.25">
      <c r="A6" s="131" t="s">
        <v>52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248</v>
      </c>
    </row>
    <row r="7" spans="1:105" ht="12" customHeight="1" x14ac:dyDescent="0.25">
      <c r="A7" s="131" t="s">
        <v>161</v>
      </c>
      <c r="B7" s="140">
        <v>1017913.7933943733</v>
      </c>
      <c r="C7" s="140">
        <v>1150771.0261855423</v>
      </c>
      <c r="D7" s="140">
        <v>1337997.5837714011</v>
      </c>
      <c r="E7" s="140">
        <v>1484196.9312214982</v>
      </c>
      <c r="F7" s="140">
        <v>1473030.6557437484</v>
      </c>
      <c r="G7" s="140">
        <v>1301310.1525559619</v>
      </c>
      <c r="H7" s="140">
        <v>938311.80309545831</v>
      </c>
      <c r="I7" s="140">
        <v>818512.8248302408</v>
      </c>
      <c r="J7" s="140">
        <v>712180.64464356075</v>
      </c>
      <c r="K7" s="140">
        <v>627173.8268731666</v>
      </c>
      <c r="L7" s="140">
        <v>630335.7136631771</v>
      </c>
      <c r="M7" s="140">
        <v>704541.65591718652</v>
      </c>
      <c r="N7" s="140">
        <v>770760.79852902994</v>
      </c>
      <c r="O7" s="140">
        <v>874891.4976675912</v>
      </c>
      <c r="P7" s="140">
        <v>881357.92910910142</v>
      </c>
      <c r="Q7" s="140">
        <v>859689.08007508202</v>
      </c>
      <c r="R7" s="140">
        <v>826091.61560578435</v>
      </c>
      <c r="S7" s="140">
        <v>772622.38341466954</v>
      </c>
      <c r="T7" s="140">
        <v>722038.58320264833</v>
      </c>
      <c r="U7" s="140">
        <v>660949.39436273521</v>
      </c>
      <c r="V7" s="140">
        <v>614014.29636391369</v>
      </c>
      <c r="W7" s="140">
        <v>568775.04409299616</v>
      </c>
      <c r="X7" s="140">
        <v>521002.24197513261</v>
      </c>
      <c r="Y7" s="140">
        <v>453419.53476617916</v>
      </c>
      <c r="DA7" s="170" t="s">
        <v>249</v>
      </c>
    </row>
    <row r="8" spans="1:105" ht="12" customHeight="1" x14ac:dyDescent="0.25">
      <c r="A8" s="131" t="s">
        <v>73</v>
      </c>
      <c r="B8" s="140">
        <v>36.367306349859746</v>
      </c>
      <c r="C8" s="140">
        <v>51.56603761698436</v>
      </c>
      <c r="D8" s="140">
        <v>80.798814914383556</v>
      </c>
      <c r="E8" s="140">
        <v>129.72409771194756</v>
      </c>
      <c r="F8" s="140">
        <v>206.44338285433983</v>
      </c>
      <c r="G8" s="140">
        <v>348.08980033000722</v>
      </c>
      <c r="H8" s="140">
        <v>499.87195216182528</v>
      </c>
      <c r="I8" s="140">
        <v>688.24847283896088</v>
      </c>
      <c r="J8" s="140">
        <v>798.36310410439353</v>
      </c>
      <c r="K8" s="140">
        <v>943.35064378648838</v>
      </c>
      <c r="L8" s="140">
        <v>1333.0308004181038</v>
      </c>
      <c r="M8" s="140">
        <v>2523.1593460590611</v>
      </c>
      <c r="N8" s="140">
        <v>5896.0101021151868</v>
      </c>
      <c r="O8" s="140">
        <v>11870.516831965586</v>
      </c>
      <c r="P8" s="140">
        <v>21000.309175960971</v>
      </c>
      <c r="Q8" s="140">
        <v>28837.11050795843</v>
      </c>
      <c r="R8" s="140">
        <v>34463.4806013056</v>
      </c>
      <c r="S8" s="140">
        <v>38976.088099447981</v>
      </c>
      <c r="T8" s="140">
        <v>41796.141603833406</v>
      </c>
      <c r="U8" s="140">
        <v>48499.836125625705</v>
      </c>
      <c r="V8" s="140">
        <v>50490.881441199534</v>
      </c>
      <c r="W8" s="140">
        <v>56416.037651604594</v>
      </c>
      <c r="X8" s="140">
        <v>62720.785954942505</v>
      </c>
      <c r="Y8" s="140">
        <v>70133.826436582647</v>
      </c>
      <c r="DA8" s="170" t="s">
        <v>250</v>
      </c>
    </row>
    <row r="9" spans="1:105" ht="12" customHeight="1" x14ac:dyDescent="0.25">
      <c r="A9" s="131" t="s">
        <v>78</v>
      </c>
      <c r="B9" s="140">
        <v>373430.23456466006</v>
      </c>
      <c r="C9" s="140">
        <v>340236.17362228828</v>
      </c>
      <c r="D9" s="140">
        <v>275633.62436958338</v>
      </c>
      <c r="E9" s="140">
        <v>230415.50861586389</v>
      </c>
      <c r="F9" s="140">
        <v>266535.36325654888</v>
      </c>
      <c r="G9" s="140">
        <v>450196.16777921701</v>
      </c>
      <c r="H9" s="140">
        <v>725993.9463570877</v>
      </c>
      <c r="I9" s="140">
        <v>784543.30506211787</v>
      </c>
      <c r="J9" s="140">
        <v>850589.77009554009</v>
      </c>
      <c r="K9" s="140">
        <v>904976.33933662507</v>
      </c>
      <c r="L9" s="140">
        <v>972987.50088227692</v>
      </c>
      <c r="M9" s="140">
        <v>992241.58182978164</v>
      </c>
      <c r="N9" s="140">
        <v>985839.5855621337</v>
      </c>
      <c r="O9" s="140">
        <v>867277.61641345324</v>
      </c>
      <c r="P9" s="140">
        <v>763591.52053061454</v>
      </c>
      <c r="Q9" s="140">
        <v>666435.25112849206</v>
      </c>
      <c r="R9" s="140">
        <v>605231.53138895333</v>
      </c>
      <c r="S9" s="140">
        <v>582366.82891233056</v>
      </c>
      <c r="T9" s="140">
        <v>584731.3392330705</v>
      </c>
      <c r="U9" s="140">
        <v>586838.8962937023</v>
      </c>
      <c r="V9" s="140">
        <v>575065.23029132572</v>
      </c>
      <c r="W9" s="140">
        <v>582091.24832703487</v>
      </c>
      <c r="X9" s="140">
        <v>579390.96921737539</v>
      </c>
      <c r="Y9" s="140">
        <v>585516.70748048974</v>
      </c>
      <c r="DA9" s="170" t="s">
        <v>251</v>
      </c>
    </row>
    <row r="10" spans="1:105" ht="12" customHeight="1" x14ac:dyDescent="0.25">
      <c r="A10" s="131" t="s">
        <v>128</v>
      </c>
      <c r="B10" s="140">
        <v>35968.681495900768</v>
      </c>
      <c r="C10" s="140">
        <v>38428.792576429063</v>
      </c>
      <c r="D10" s="140">
        <v>42972.065400633335</v>
      </c>
      <c r="E10" s="140">
        <v>44382.066812623409</v>
      </c>
      <c r="F10" s="140">
        <v>45042.169078481355</v>
      </c>
      <c r="G10" s="140">
        <v>44021.403924069062</v>
      </c>
      <c r="H10" s="140">
        <v>45283.702815367527</v>
      </c>
      <c r="I10" s="140">
        <v>51523.455547359888</v>
      </c>
      <c r="J10" s="140">
        <v>51545.165626328133</v>
      </c>
      <c r="K10" s="140">
        <v>48289.157487457443</v>
      </c>
      <c r="L10" s="140">
        <v>44553.040861687885</v>
      </c>
      <c r="M10" s="140">
        <v>46148.19512128619</v>
      </c>
      <c r="N10" s="140">
        <v>56754.026095543501</v>
      </c>
      <c r="O10" s="140">
        <v>71538.826624524314</v>
      </c>
      <c r="P10" s="140">
        <v>92279.012283195436</v>
      </c>
      <c r="Q10" s="140">
        <v>106027.41983220077</v>
      </c>
      <c r="R10" s="140">
        <v>110102.21571776195</v>
      </c>
      <c r="S10" s="140">
        <v>107498.24025786515</v>
      </c>
      <c r="T10" s="140">
        <v>98453.703577868393</v>
      </c>
      <c r="U10" s="140">
        <v>92404.302158577702</v>
      </c>
      <c r="V10" s="140">
        <v>89257.885754774397</v>
      </c>
      <c r="W10" s="140">
        <v>86649.28575257388</v>
      </c>
      <c r="X10" s="140">
        <v>84321.888957090108</v>
      </c>
      <c r="Y10" s="140">
        <v>84099.434316297586</v>
      </c>
      <c r="DA10" s="170" t="s">
        <v>252</v>
      </c>
    </row>
    <row r="11" spans="1:105" ht="12" customHeight="1" x14ac:dyDescent="0.25">
      <c r="A11" s="131" t="s">
        <v>25</v>
      </c>
      <c r="B11" s="140">
        <v>1514.6357707371103</v>
      </c>
      <c r="C11" s="140">
        <v>1212.8649507533321</v>
      </c>
      <c r="D11" s="140">
        <v>602.9135795940449</v>
      </c>
      <c r="E11" s="140">
        <v>321.71595916187022</v>
      </c>
      <c r="F11" s="140">
        <v>160.39617273348841</v>
      </c>
      <c r="G11" s="140">
        <v>136.27391394598405</v>
      </c>
      <c r="H11" s="140">
        <v>112.38206022732287</v>
      </c>
      <c r="I11" s="140">
        <v>112.47543810922151</v>
      </c>
      <c r="J11" s="140">
        <v>109.76825910467069</v>
      </c>
      <c r="K11" s="140">
        <v>106.73125271381754</v>
      </c>
      <c r="L11" s="140">
        <v>99.528352119475343</v>
      </c>
      <c r="M11" s="140">
        <v>101.75461356252569</v>
      </c>
      <c r="N11" s="140">
        <v>120.43065026984046</v>
      </c>
      <c r="O11" s="140">
        <v>148.24833454687635</v>
      </c>
      <c r="P11" s="140">
        <v>180.26125206064285</v>
      </c>
      <c r="Q11" s="140">
        <v>186.67472307141477</v>
      </c>
      <c r="R11" s="140">
        <v>173.78239532426483</v>
      </c>
      <c r="S11" s="140">
        <v>151.79285570063843</v>
      </c>
      <c r="T11" s="140">
        <v>132.4081003643816</v>
      </c>
      <c r="U11" s="140">
        <v>120.30804231830889</v>
      </c>
      <c r="V11" s="140">
        <v>112.70479264290739</v>
      </c>
      <c r="W11" s="140">
        <v>104.47914570541144</v>
      </c>
      <c r="X11" s="140">
        <v>97.656056181243514</v>
      </c>
      <c r="Y11" s="140">
        <v>96.049133366531478</v>
      </c>
      <c r="DA11" s="170" t="s">
        <v>253</v>
      </c>
    </row>
    <row r="12" spans="1:105" ht="12" customHeight="1" x14ac:dyDescent="0.25">
      <c r="A12" s="131" t="s">
        <v>162</v>
      </c>
      <c r="B12" s="140">
        <v>0</v>
      </c>
      <c r="C12" s="140">
        <v>0</v>
      </c>
      <c r="D12" s="140">
        <v>0</v>
      </c>
      <c r="E12" s="140">
        <v>0</v>
      </c>
      <c r="F12" s="140">
        <v>0</v>
      </c>
      <c r="G12" s="140">
        <v>0</v>
      </c>
      <c r="H12" s="140">
        <v>0</v>
      </c>
      <c r="I12" s="140">
        <v>0</v>
      </c>
      <c r="J12" s="140">
        <v>0</v>
      </c>
      <c r="K12" s="140">
        <v>0</v>
      </c>
      <c r="L12" s="140">
        <v>0</v>
      </c>
      <c r="M12" s="140">
        <v>0</v>
      </c>
      <c r="N12" s="140">
        <v>0</v>
      </c>
      <c r="O12" s="140">
        <v>0</v>
      </c>
      <c r="P12" s="140">
        <v>0</v>
      </c>
      <c r="Q12" s="140">
        <v>0</v>
      </c>
      <c r="R12" s="140">
        <v>0</v>
      </c>
      <c r="S12" s="140">
        <v>0</v>
      </c>
      <c r="T12" s="140">
        <v>0</v>
      </c>
      <c r="U12" s="140">
        <v>0</v>
      </c>
      <c r="V12" s="140">
        <v>0</v>
      </c>
      <c r="W12" s="140">
        <v>0</v>
      </c>
      <c r="X12" s="140">
        <v>0</v>
      </c>
      <c r="Y12" s="140">
        <v>0</v>
      </c>
      <c r="DA12" s="170" t="s">
        <v>254</v>
      </c>
    </row>
    <row r="13" spans="1:105" ht="12" customHeight="1" x14ac:dyDescent="0.25">
      <c r="A13" s="131" t="s">
        <v>77</v>
      </c>
      <c r="B13" s="140">
        <v>8249.7082883000239</v>
      </c>
      <c r="C13" s="140">
        <v>10056.212128515312</v>
      </c>
      <c r="D13" s="140">
        <v>13926.058447237738</v>
      </c>
      <c r="E13" s="140">
        <v>18952.939520353524</v>
      </c>
      <c r="F13" s="140">
        <v>21880.471741440135</v>
      </c>
      <c r="G13" s="140">
        <v>28648.455168181226</v>
      </c>
      <c r="H13" s="140">
        <v>38066.001547131833</v>
      </c>
      <c r="I13" s="140">
        <v>59529.279153332114</v>
      </c>
      <c r="J13" s="140">
        <v>80538.678644483385</v>
      </c>
      <c r="K13" s="140">
        <v>95619.793223131448</v>
      </c>
      <c r="L13" s="140">
        <v>109340.97802527649</v>
      </c>
      <c r="M13" s="140">
        <v>137314.00738729243</v>
      </c>
      <c r="N13" s="140">
        <v>205633.32894178049</v>
      </c>
      <c r="O13" s="140">
        <v>313653.79750866367</v>
      </c>
      <c r="P13" s="140">
        <v>472821.25725474604</v>
      </c>
      <c r="Q13" s="140">
        <v>630634.87935002858</v>
      </c>
      <c r="R13" s="140">
        <v>747578.43032855575</v>
      </c>
      <c r="S13" s="140">
        <v>831325.44848218281</v>
      </c>
      <c r="T13" s="140">
        <v>902025.74086763407</v>
      </c>
      <c r="U13" s="140">
        <v>980506.69946509681</v>
      </c>
      <c r="V13" s="140">
        <v>1068769.4968763944</v>
      </c>
      <c r="W13" s="140">
        <v>1125239.6811016393</v>
      </c>
      <c r="X13" s="140">
        <v>1192471.9138562337</v>
      </c>
      <c r="Y13" s="140">
        <v>1269872.8309121663</v>
      </c>
      <c r="DA13" s="170" t="s">
        <v>255</v>
      </c>
    </row>
    <row r="14" spans="1:105" ht="12" customHeight="1" x14ac:dyDescent="0.25">
      <c r="A14" s="60" t="s">
        <v>76</v>
      </c>
      <c r="B14" s="141">
        <v>302863.48009594932</v>
      </c>
      <c r="C14" s="141">
        <v>253109.11975579106</v>
      </c>
      <c r="D14" s="141">
        <v>176839.15790273977</v>
      </c>
      <c r="E14" s="141">
        <v>135293.58977995266</v>
      </c>
      <c r="F14" s="141">
        <v>173203.81756623651</v>
      </c>
      <c r="G14" s="141">
        <v>225957.52251932555</v>
      </c>
      <c r="H14" s="141">
        <v>376184.3809745161</v>
      </c>
      <c r="I14" s="141">
        <v>480119.23268777662</v>
      </c>
      <c r="J14" s="141">
        <v>558571.15965848358</v>
      </c>
      <c r="K14" s="141">
        <v>564537.15422418562</v>
      </c>
      <c r="L14" s="141">
        <v>517845.81665042922</v>
      </c>
      <c r="M14" s="141">
        <v>401938.4566754679</v>
      </c>
      <c r="N14" s="141">
        <v>282651.50832320313</v>
      </c>
      <c r="O14" s="141">
        <v>165060.28486554537</v>
      </c>
      <c r="P14" s="141">
        <v>86282.06979664859</v>
      </c>
      <c r="Q14" s="141">
        <v>49223.068952073889</v>
      </c>
      <c r="R14" s="141">
        <v>42972.472929058858</v>
      </c>
      <c r="S14" s="141">
        <v>58671.242018955163</v>
      </c>
      <c r="T14" s="141">
        <v>67575.415497133916</v>
      </c>
      <c r="U14" s="141">
        <v>69791.957057960244</v>
      </c>
      <c r="V14" s="141">
        <v>61626.940035304375</v>
      </c>
      <c r="W14" s="141">
        <v>59387.566020401377</v>
      </c>
      <c r="X14" s="141">
        <v>57221.368812594272</v>
      </c>
      <c r="Y14" s="141">
        <v>52163.72987880966</v>
      </c>
      <c r="DA14" s="171" t="s">
        <v>256</v>
      </c>
    </row>
    <row r="15" spans="1:105" ht="12" hidden="1" customHeight="1" x14ac:dyDescent="0.25">
      <c r="A15" s="142" t="s">
        <v>75</v>
      </c>
      <c r="B15" s="143">
        <f t="shared" ref="B15:Q15" si="4">SUM(B5:B12)</f>
        <v>1428863.7125320211</v>
      </c>
      <c r="C15" s="143">
        <f t="shared" si="4"/>
        <v>1530700.4233726298</v>
      </c>
      <c r="D15" s="143">
        <f t="shared" si="4"/>
        <v>1657286.9859361262</v>
      </c>
      <c r="E15" s="143">
        <f t="shared" si="4"/>
        <v>1759445.9467068594</v>
      </c>
      <c r="F15" s="143">
        <f t="shared" si="4"/>
        <v>1784975.0276343664</v>
      </c>
      <c r="G15" s="143">
        <f t="shared" si="4"/>
        <v>1796012.0879735241</v>
      </c>
      <c r="H15" s="143">
        <f t="shared" si="4"/>
        <v>1710201.7062803027</v>
      </c>
      <c r="I15" s="143">
        <f t="shared" si="4"/>
        <v>1655380.3093506666</v>
      </c>
      <c r="J15" s="143">
        <f t="shared" si="4"/>
        <v>1615223.711728638</v>
      </c>
      <c r="K15" s="143">
        <f t="shared" si="4"/>
        <v>1581489.4055937494</v>
      </c>
      <c r="L15" s="143">
        <f t="shared" si="4"/>
        <v>1649308.8145596795</v>
      </c>
      <c r="M15" s="143">
        <f t="shared" si="4"/>
        <v>1745556.3468278761</v>
      </c>
      <c r="N15" s="143">
        <f t="shared" si="4"/>
        <v>1819370.8509390922</v>
      </c>
      <c r="O15" s="143">
        <f t="shared" si="4"/>
        <v>1825726.705872081</v>
      </c>
      <c r="P15" s="143">
        <f t="shared" si="4"/>
        <v>1758409.0323509329</v>
      </c>
      <c r="Q15" s="143">
        <f t="shared" si="4"/>
        <v>1661175.5362668047</v>
      </c>
      <c r="R15" s="143">
        <f t="shared" ref="R15:W15" si="5">SUM(R5:R12)</f>
        <v>1576062.6257091295</v>
      </c>
      <c r="S15" s="143">
        <f t="shared" si="5"/>
        <v>1501615.333540014</v>
      </c>
      <c r="T15" s="143">
        <f t="shared" si="5"/>
        <v>1447152.175717785</v>
      </c>
      <c r="U15" s="143">
        <f t="shared" si="5"/>
        <v>1388812.7369829591</v>
      </c>
      <c r="V15" s="143">
        <f t="shared" si="5"/>
        <v>1328940.9986438563</v>
      </c>
      <c r="W15" s="143">
        <f t="shared" si="5"/>
        <v>1294036.094969915</v>
      </c>
      <c r="X15" s="143">
        <f t="shared" ref="X15:Y15" si="6">SUM(X5:X12)</f>
        <v>1247533.542160722</v>
      </c>
      <c r="Y15" s="143">
        <f t="shared" si="6"/>
        <v>1193265.5521329155</v>
      </c>
      <c r="DA15" s="172"/>
    </row>
    <row r="16" spans="1:105" ht="12.95" customHeight="1" x14ac:dyDescent="0.25">
      <c r="A16" s="129" t="s">
        <v>74</v>
      </c>
      <c r="B16" s="139">
        <f t="shared" ref="B16:Q16" si="7">SUM(B17:B18)</f>
        <v>315970.40130357881</v>
      </c>
      <c r="C16" s="139">
        <f t="shared" si="7"/>
        <v>364285.88332367956</v>
      </c>
      <c r="D16" s="139">
        <f t="shared" si="7"/>
        <v>428019.27727973228</v>
      </c>
      <c r="E16" s="139">
        <f t="shared" si="7"/>
        <v>514833.59593944339</v>
      </c>
      <c r="F16" s="139">
        <f t="shared" si="7"/>
        <v>562341.80874938553</v>
      </c>
      <c r="G16" s="139">
        <f t="shared" si="7"/>
        <v>654712.79681425751</v>
      </c>
      <c r="H16" s="139">
        <f t="shared" si="7"/>
        <v>766898.79546121182</v>
      </c>
      <c r="I16" s="139">
        <f t="shared" si="7"/>
        <v>924986.32368963689</v>
      </c>
      <c r="J16" s="139">
        <f t="shared" si="7"/>
        <v>1046782.0056893601</v>
      </c>
      <c r="K16" s="139">
        <f t="shared" si="7"/>
        <v>1164934.7960103301</v>
      </c>
      <c r="L16" s="139">
        <f t="shared" si="7"/>
        <v>1265916.5850238602</v>
      </c>
      <c r="M16" s="139">
        <f t="shared" si="7"/>
        <v>1345351.6636151469</v>
      </c>
      <c r="N16" s="139">
        <f t="shared" si="7"/>
        <v>1396807.3574183136</v>
      </c>
      <c r="O16" s="139">
        <f t="shared" si="7"/>
        <v>1423600.4171413255</v>
      </c>
      <c r="P16" s="139">
        <f t="shared" si="7"/>
        <v>1443380.1087423451</v>
      </c>
      <c r="Q16" s="139">
        <f t="shared" si="7"/>
        <v>1465897.7497699345</v>
      </c>
      <c r="R16" s="139">
        <f t="shared" ref="R16:W16" si="8">SUM(R17:R18)</f>
        <v>1481027.9212434834</v>
      </c>
      <c r="S16" s="139">
        <f t="shared" si="8"/>
        <v>1494181.1206848815</v>
      </c>
      <c r="T16" s="139">
        <f t="shared" si="8"/>
        <v>1508481.3592377149</v>
      </c>
      <c r="U16" s="139">
        <f t="shared" si="8"/>
        <v>1532261.2015974054</v>
      </c>
      <c r="V16" s="139">
        <f t="shared" si="8"/>
        <v>1551823.9497528954</v>
      </c>
      <c r="W16" s="139">
        <f t="shared" si="8"/>
        <v>1559986.6760619343</v>
      </c>
      <c r="X16" s="139">
        <f t="shared" ref="X16:Y16" si="9">SUM(X17:X18)</f>
        <v>1571728.7019300102</v>
      </c>
      <c r="Y16" s="139">
        <f t="shared" si="9"/>
        <v>1580763.6218171008</v>
      </c>
      <c r="DA16" s="169" t="s">
        <v>257</v>
      </c>
    </row>
    <row r="17" spans="1:105" ht="12.95" customHeight="1" x14ac:dyDescent="0.25">
      <c r="A17" s="131" t="s">
        <v>73</v>
      </c>
      <c r="B17" s="140">
        <v>237.44390898564356</v>
      </c>
      <c r="C17" s="140">
        <v>271.65590120140206</v>
      </c>
      <c r="D17" s="140">
        <v>286.97537212402062</v>
      </c>
      <c r="E17" s="140">
        <v>408.04507242949683</v>
      </c>
      <c r="F17" s="140">
        <v>546.5473827820839</v>
      </c>
      <c r="G17" s="140">
        <v>672.44469341639808</v>
      </c>
      <c r="H17" s="140">
        <v>889.74046420246486</v>
      </c>
      <c r="I17" s="140">
        <v>1102.3639009549174</v>
      </c>
      <c r="J17" s="140">
        <v>1424.1380785930835</v>
      </c>
      <c r="K17" s="140">
        <v>1696.3207565431906</v>
      </c>
      <c r="L17" s="140">
        <v>2075.3786581784798</v>
      </c>
      <c r="M17" s="140">
        <v>2532.6641563569574</v>
      </c>
      <c r="N17" s="140">
        <v>2901.9000170256359</v>
      </c>
      <c r="O17" s="140">
        <v>3689.4453046870522</v>
      </c>
      <c r="P17" s="140">
        <v>4225.5636377079718</v>
      </c>
      <c r="Q17" s="140">
        <v>5020.612751588279</v>
      </c>
      <c r="R17" s="140">
        <v>5933.6600321052483</v>
      </c>
      <c r="S17" s="140">
        <v>6495.4664321431537</v>
      </c>
      <c r="T17" s="140">
        <v>7772.3838336853059</v>
      </c>
      <c r="U17" s="140">
        <v>8342.7596611556273</v>
      </c>
      <c r="V17" s="140">
        <v>8863.2465903277771</v>
      </c>
      <c r="W17" s="140">
        <v>9135.8173671832956</v>
      </c>
      <c r="X17" s="140">
        <v>9203.490531302421</v>
      </c>
      <c r="Y17" s="140">
        <v>9268.9855106930572</v>
      </c>
      <c r="DA17" s="170" t="s">
        <v>258</v>
      </c>
    </row>
    <row r="18" spans="1:105" ht="12" customHeight="1" x14ac:dyDescent="0.25">
      <c r="A18" s="131" t="s">
        <v>72</v>
      </c>
      <c r="B18" s="140">
        <v>315732.95739459316</v>
      </c>
      <c r="C18" s="140">
        <v>364014.22742247814</v>
      </c>
      <c r="D18" s="140">
        <v>427732.30190760829</v>
      </c>
      <c r="E18" s="140">
        <v>514425.55086701387</v>
      </c>
      <c r="F18" s="140">
        <v>561795.26136660343</v>
      </c>
      <c r="G18" s="140">
        <v>654040.35212084115</v>
      </c>
      <c r="H18" s="140">
        <v>766009.05499700934</v>
      </c>
      <c r="I18" s="140">
        <v>923883.95978868194</v>
      </c>
      <c r="J18" s="140">
        <v>1045357.867610767</v>
      </c>
      <c r="K18" s="140">
        <v>1163238.4752537869</v>
      </c>
      <c r="L18" s="140">
        <v>1263841.2063656817</v>
      </c>
      <c r="M18" s="140">
        <v>1342818.9994587898</v>
      </c>
      <c r="N18" s="140">
        <v>1393905.457401288</v>
      </c>
      <c r="O18" s="140">
        <v>1419910.9718366384</v>
      </c>
      <c r="P18" s="140">
        <v>1439154.545104637</v>
      </c>
      <c r="Q18" s="140">
        <v>1460877.1370183462</v>
      </c>
      <c r="R18" s="140">
        <v>1475094.2612113783</v>
      </c>
      <c r="S18" s="140">
        <v>1487685.6542527382</v>
      </c>
      <c r="T18" s="140">
        <v>1500708.9754040297</v>
      </c>
      <c r="U18" s="140">
        <v>1523918.4419362498</v>
      </c>
      <c r="V18" s="140">
        <v>1542960.7031625677</v>
      </c>
      <c r="W18" s="140">
        <v>1550850.858694751</v>
      </c>
      <c r="X18" s="140">
        <v>1562525.2113987077</v>
      </c>
      <c r="Y18" s="140">
        <v>1571494.6363064076</v>
      </c>
      <c r="DA18" s="170" t="s">
        <v>259</v>
      </c>
    </row>
    <row r="19" spans="1:105" ht="12.95" customHeight="1" x14ac:dyDescent="0.25">
      <c r="A19" s="129" t="s">
        <v>35</v>
      </c>
      <c r="B19" s="139">
        <f t="shared" ref="B19:Q19" si="10">SUM(B20:B26)</f>
        <v>1739976.9009162704</v>
      </c>
      <c r="C19" s="139">
        <f t="shared" si="10"/>
        <v>1793865.7552569364</v>
      </c>
      <c r="D19" s="139">
        <f t="shared" si="10"/>
        <v>1848052.2022861037</v>
      </c>
      <c r="E19" s="139">
        <f t="shared" si="10"/>
        <v>1913692.4760071659</v>
      </c>
      <c r="F19" s="139">
        <f t="shared" si="10"/>
        <v>1980059.3169420431</v>
      </c>
      <c r="G19" s="139">
        <f t="shared" si="10"/>
        <v>2050618.0656610313</v>
      </c>
      <c r="H19" s="139">
        <f t="shared" si="10"/>
        <v>2124452.0888019511</v>
      </c>
      <c r="I19" s="139">
        <f t="shared" si="10"/>
        <v>2195028.8211917756</v>
      </c>
      <c r="J19" s="139">
        <f t="shared" si="10"/>
        <v>2254333.5500316047</v>
      </c>
      <c r="K19" s="139">
        <f t="shared" si="10"/>
        <v>2241646.3530410659</v>
      </c>
      <c r="L19" s="139">
        <f t="shared" si="10"/>
        <v>2276495.609235385</v>
      </c>
      <c r="M19" s="139">
        <f t="shared" si="10"/>
        <v>2284808.8108906364</v>
      </c>
      <c r="N19" s="139">
        <f t="shared" si="10"/>
        <v>2307655.6882040752</v>
      </c>
      <c r="O19" s="139">
        <f t="shared" si="10"/>
        <v>2304440.7882462898</v>
      </c>
      <c r="P19" s="139">
        <f t="shared" si="10"/>
        <v>2317512.3594023269</v>
      </c>
      <c r="Q19" s="139">
        <f t="shared" si="10"/>
        <v>2341033.4845689069</v>
      </c>
      <c r="R19" s="139">
        <f t="shared" ref="R19:W19" si="11">SUM(R20:R26)</f>
        <v>2366613.528966743</v>
      </c>
      <c r="S19" s="139">
        <f t="shared" si="11"/>
        <v>2391612.024041154</v>
      </c>
      <c r="T19" s="139">
        <f t="shared" si="11"/>
        <v>2416753.3320825542</v>
      </c>
      <c r="U19" s="139">
        <f t="shared" si="11"/>
        <v>2439111.393506018</v>
      </c>
      <c r="V19" s="139">
        <f t="shared" si="11"/>
        <v>2459337.4355555531</v>
      </c>
      <c r="W19" s="139">
        <f t="shared" si="11"/>
        <v>2478663.3420919562</v>
      </c>
      <c r="X19" s="139">
        <f t="shared" ref="X19:Y19" si="12">SUM(X20:X26)</f>
        <v>2497226.8248295491</v>
      </c>
      <c r="Y19" s="139">
        <f t="shared" si="12"/>
        <v>2515302.1129238941</v>
      </c>
      <c r="DA19" s="169" t="s">
        <v>260</v>
      </c>
    </row>
    <row r="20" spans="1:105" ht="12" customHeight="1" x14ac:dyDescent="0.25">
      <c r="A20" s="131" t="s">
        <v>29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261</v>
      </c>
    </row>
    <row r="21" spans="1:105" s="2" customFormat="1" ht="12" customHeight="1" x14ac:dyDescent="0.25">
      <c r="A21" s="131" t="s">
        <v>52</v>
      </c>
      <c r="B21" s="140">
        <v>92831.560703044117</v>
      </c>
      <c r="C21" s="140">
        <v>89868.027445307016</v>
      </c>
      <c r="D21" s="140">
        <v>86725.398976107841</v>
      </c>
      <c r="E21" s="140">
        <v>83680.885414412158</v>
      </c>
      <c r="F21" s="140">
        <v>78861.804235871707</v>
      </c>
      <c r="G21" s="140">
        <v>76798.222256953566</v>
      </c>
      <c r="H21" s="140">
        <v>75775.504854559607</v>
      </c>
      <c r="I21" s="140">
        <v>75942.081372874745</v>
      </c>
      <c r="J21" s="140">
        <v>75769.123956306459</v>
      </c>
      <c r="K21" s="140">
        <v>75742.861054445893</v>
      </c>
      <c r="L21" s="140">
        <v>76248.548540217205</v>
      </c>
      <c r="M21" s="140">
        <v>77082.957464178922</v>
      </c>
      <c r="N21" s="140">
        <v>78597.210233960461</v>
      </c>
      <c r="O21" s="140">
        <v>80170.76059839275</v>
      </c>
      <c r="P21" s="140">
        <v>83064.129111425544</v>
      </c>
      <c r="Q21" s="140">
        <v>87331.29259296332</v>
      </c>
      <c r="R21" s="140">
        <v>90628.274532466312</v>
      </c>
      <c r="S21" s="140">
        <v>90296.554748572831</v>
      </c>
      <c r="T21" s="140">
        <v>83794.659029494112</v>
      </c>
      <c r="U21" s="140">
        <v>73205.80508946901</v>
      </c>
      <c r="V21" s="140">
        <v>64947.685635595175</v>
      </c>
      <c r="W21" s="140">
        <v>69666.741515216971</v>
      </c>
      <c r="X21" s="140">
        <v>84824.555130490378</v>
      </c>
      <c r="Y21" s="140">
        <v>106593.05806274286</v>
      </c>
      <c r="DA21" s="170" t="s">
        <v>262</v>
      </c>
    </row>
    <row r="22" spans="1:105" ht="12" customHeight="1" x14ac:dyDescent="0.25">
      <c r="A22" s="131" t="s">
        <v>161</v>
      </c>
      <c r="B22" s="140">
        <v>492699.05587195943</v>
      </c>
      <c r="C22" s="140">
        <v>492804.54959783424</v>
      </c>
      <c r="D22" s="140">
        <v>492326.82497525308</v>
      </c>
      <c r="E22" s="140">
        <v>496878.96180090233</v>
      </c>
      <c r="F22" s="140">
        <v>488068.26964292588</v>
      </c>
      <c r="G22" s="140">
        <v>481468.66361329204</v>
      </c>
      <c r="H22" s="140">
        <v>465620.56697662012</v>
      </c>
      <c r="I22" s="140">
        <v>446989.05072258832</v>
      </c>
      <c r="J22" s="140">
        <v>430052.50348624506</v>
      </c>
      <c r="K22" s="140">
        <v>420303.89335314941</v>
      </c>
      <c r="L22" s="140">
        <v>421004.21593264973</v>
      </c>
      <c r="M22" s="140">
        <v>430881.69239368674</v>
      </c>
      <c r="N22" s="140">
        <v>451453.21207723825</v>
      </c>
      <c r="O22" s="140">
        <v>477607.7218217164</v>
      </c>
      <c r="P22" s="140">
        <v>518838.90653881745</v>
      </c>
      <c r="Q22" s="140">
        <v>574835.18809062126</v>
      </c>
      <c r="R22" s="140">
        <v>620456.48581356718</v>
      </c>
      <c r="S22" s="140">
        <v>645587.47688256623</v>
      </c>
      <c r="T22" s="140">
        <v>653617.61822951655</v>
      </c>
      <c r="U22" s="140">
        <v>669432.70445929363</v>
      </c>
      <c r="V22" s="140">
        <v>700643.77375266678</v>
      </c>
      <c r="W22" s="140">
        <v>714754.60956528119</v>
      </c>
      <c r="X22" s="140">
        <v>717668.6139825054</v>
      </c>
      <c r="Y22" s="140">
        <v>712916.41870875889</v>
      </c>
      <c r="DA22" s="170" t="s">
        <v>263</v>
      </c>
    </row>
    <row r="23" spans="1:105" ht="12" customHeight="1" x14ac:dyDescent="0.25">
      <c r="A23" s="131" t="s">
        <v>149</v>
      </c>
      <c r="B23" s="140">
        <v>210176.64684220578</v>
      </c>
      <c r="C23" s="140">
        <v>188061.5339873824</v>
      </c>
      <c r="D23" s="140">
        <v>142910.76993017449</v>
      </c>
      <c r="E23" s="140">
        <v>108395.4201959895</v>
      </c>
      <c r="F23" s="140">
        <v>137327.41020875616</v>
      </c>
      <c r="G23" s="140">
        <v>201652.40417734088</v>
      </c>
      <c r="H23" s="140">
        <v>311551.75021977694</v>
      </c>
      <c r="I23" s="140">
        <v>374678.42101448012</v>
      </c>
      <c r="J23" s="140">
        <v>407460.67684443208</v>
      </c>
      <c r="K23" s="140">
        <v>417867.71280430839</v>
      </c>
      <c r="L23" s="140">
        <v>430197.56057948637</v>
      </c>
      <c r="M23" s="140">
        <v>453455.69694159128</v>
      </c>
      <c r="N23" s="140">
        <v>509112.84058784059</v>
      </c>
      <c r="O23" s="140">
        <v>565897.59495367738</v>
      </c>
      <c r="P23" s="140">
        <v>625342.5199397729</v>
      </c>
      <c r="Q23" s="140">
        <v>624705.75699898461</v>
      </c>
      <c r="R23" s="140">
        <v>633894.17628601287</v>
      </c>
      <c r="S23" s="140">
        <v>646297.01137796126</v>
      </c>
      <c r="T23" s="140">
        <v>673244.12703875348</v>
      </c>
      <c r="U23" s="140">
        <v>724791.57987008814</v>
      </c>
      <c r="V23" s="140">
        <v>789400.04584645701</v>
      </c>
      <c r="W23" s="140">
        <v>846070.21131722373</v>
      </c>
      <c r="X23" s="140">
        <v>897081.93762401119</v>
      </c>
      <c r="Y23" s="140">
        <v>919803.36826235848</v>
      </c>
      <c r="DA23" s="170" t="s">
        <v>264</v>
      </c>
    </row>
    <row r="24" spans="1:105" ht="12" customHeight="1" x14ac:dyDescent="0.25">
      <c r="A24" s="131" t="s">
        <v>128</v>
      </c>
      <c r="B24" s="140">
        <v>0</v>
      </c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265</v>
      </c>
    </row>
    <row r="25" spans="1:105" ht="12" customHeight="1" x14ac:dyDescent="0.25">
      <c r="A25" s="131" t="s">
        <v>162</v>
      </c>
      <c r="B25" s="140">
        <v>0</v>
      </c>
      <c r="C25" s="140">
        <v>0</v>
      </c>
      <c r="D25" s="140">
        <v>0</v>
      </c>
      <c r="E25" s="140">
        <v>0</v>
      </c>
      <c r="F25" s="140">
        <v>0</v>
      </c>
      <c r="G25" s="140">
        <v>0</v>
      </c>
      <c r="H25" s="140">
        <v>0</v>
      </c>
      <c r="I25" s="140">
        <v>0</v>
      </c>
      <c r="J25" s="140">
        <v>0</v>
      </c>
      <c r="K25" s="140">
        <v>0</v>
      </c>
      <c r="L25" s="140">
        <v>0</v>
      </c>
      <c r="M25" s="140">
        <v>0</v>
      </c>
      <c r="N25" s="140">
        <v>0</v>
      </c>
      <c r="O25" s="140">
        <v>0</v>
      </c>
      <c r="P25" s="140">
        <v>0</v>
      </c>
      <c r="Q25" s="140">
        <v>0</v>
      </c>
      <c r="R25" s="140">
        <v>0</v>
      </c>
      <c r="S25" s="140">
        <v>0</v>
      </c>
      <c r="T25" s="140">
        <v>0</v>
      </c>
      <c r="U25" s="140">
        <v>0</v>
      </c>
      <c r="V25" s="140">
        <v>0</v>
      </c>
      <c r="W25" s="140">
        <v>0</v>
      </c>
      <c r="X25" s="140">
        <v>0</v>
      </c>
      <c r="Y25" s="140">
        <v>0</v>
      </c>
      <c r="DA25" s="170" t="s">
        <v>266</v>
      </c>
    </row>
    <row r="26" spans="1:105" ht="12" customHeight="1" x14ac:dyDescent="0.25">
      <c r="A26" s="131" t="s">
        <v>24</v>
      </c>
      <c r="B26" s="141">
        <v>944269.63749906095</v>
      </c>
      <c r="C26" s="141">
        <v>1023131.6442264126</v>
      </c>
      <c r="D26" s="141">
        <v>1126089.2084045683</v>
      </c>
      <c r="E26" s="141">
        <v>1224737.2085958617</v>
      </c>
      <c r="F26" s="141">
        <v>1275801.8328544893</v>
      </c>
      <c r="G26" s="141">
        <v>1290698.7756134449</v>
      </c>
      <c r="H26" s="141">
        <v>1271504.2667509946</v>
      </c>
      <c r="I26" s="141">
        <v>1297419.2680818322</v>
      </c>
      <c r="J26" s="141">
        <v>1341051.2457446211</v>
      </c>
      <c r="K26" s="141">
        <v>1327731.8858291619</v>
      </c>
      <c r="L26" s="141">
        <v>1349045.2841830316</v>
      </c>
      <c r="M26" s="141">
        <v>1323388.4640911792</v>
      </c>
      <c r="N26" s="141">
        <v>1268492.4253050361</v>
      </c>
      <c r="O26" s="141">
        <v>1180764.7108725035</v>
      </c>
      <c r="P26" s="141">
        <v>1090266.8038123113</v>
      </c>
      <c r="Q26" s="141">
        <v>1054161.2468863376</v>
      </c>
      <c r="R26" s="141">
        <v>1021634.5923346967</v>
      </c>
      <c r="S26" s="141">
        <v>1009430.9810320535</v>
      </c>
      <c r="T26" s="141">
        <v>1006096.9277847901</v>
      </c>
      <c r="U26" s="141">
        <v>971681.30408716726</v>
      </c>
      <c r="V26" s="141">
        <v>904345.93032083404</v>
      </c>
      <c r="W26" s="141">
        <v>848171.77969423437</v>
      </c>
      <c r="X26" s="141">
        <v>797651.71809254203</v>
      </c>
      <c r="Y26" s="141">
        <v>775989.26789003354</v>
      </c>
      <c r="DA26" s="171" t="s">
        <v>267</v>
      </c>
    </row>
    <row r="27" spans="1:105" ht="12" customHeight="1" x14ac:dyDescent="0.25">
      <c r="A27" s="144" t="s">
        <v>26</v>
      </c>
      <c r="B27" s="150">
        <v>25540.476055530427</v>
      </c>
      <c r="C27" s="150">
        <v>35660.021274238636</v>
      </c>
      <c r="D27" s="150">
        <v>35803.776974442124</v>
      </c>
      <c r="E27" s="150">
        <v>43956.673251180524</v>
      </c>
      <c r="F27" s="150">
        <v>50542.930726112878</v>
      </c>
      <c r="G27" s="150">
        <v>61411.854238476197</v>
      </c>
      <c r="H27" s="150">
        <v>71641.29899028044</v>
      </c>
      <c r="I27" s="150">
        <v>76626.312968442056</v>
      </c>
      <c r="J27" s="150">
        <v>88817.549913015071</v>
      </c>
      <c r="K27" s="150">
        <v>104267.67029206258</v>
      </c>
      <c r="L27" s="150">
        <v>114243.68710347464</v>
      </c>
      <c r="M27" s="150">
        <v>126579.6837167014</v>
      </c>
      <c r="N27" s="150">
        <v>133946.50850687773</v>
      </c>
      <c r="O27" s="150">
        <v>128633.31434819782</v>
      </c>
      <c r="P27" s="150">
        <v>148565.80468344595</v>
      </c>
      <c r="Q27" s="150">
        <v>153888.15716585302</v>
      </c>
      <c r="R27" s="150">
        <v>158662.80938000997</v>
      </c>
      <c r="S27" s="150">
        <v>171313.42358328524</v>
      </c>
      <c r="T27" s="150">
        <v>163376.23777870112</v>
      </c>
      <c r="U27" s="150">
        <v>170307.14684239225</v>
      </c>
      <c r="V27" s="150">
        <v>187755.66311984803</v>
      </c>
      <c r="W27" s="150">
        <v>169351.87597642763</v>
      </c>
      <c r="X27" s="150">
        <v>172430.72870204929</v>
      </c>
      <c r="Y27" s="150">
        <v>161279.39975297239</v>
      </c>
      <c r="DA27" s="173" t="s">
        <v>268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DA28" s="175"/>
    </row>
    <row r="29" spans="1:105" ht="12.95" customHeight="1" x14ac:dyDescent="0.25">
      <c r="A29" s="129" t="s">
        <v>34</v>
      </c>
      <c r="B29" s="139">
        <f t="shared" ref="B29:Q29" si="13">SUM(B30:B33)</f>
        <v>1739976.9009162704</v>
      </c>
      <c r="C29" s="139">
        <f t="shared" si="13"/>
        <v>1793865.7552569362</v>
      </c>
      <c r="D29" s="139">
        <f t="shared" si="13"/>
        <v>1848052.202286103</v>
      </c>
      <c r="E29" s="139">
        <f t="shared" si="13"/>
        <v>1913692.4760071654</v>
      </c>
      <c r="F29" s="139">
        <f t="shared" si="13"/>
        <v>1980059.316942042</v>
      </c>
      <c r="G29" s="139">
        <f t="shared" si="13"/>
        <v>2050618.0656610313</v>
      </c>
      <c r="H29" s="139">
        <f t="shared" si="13"/>
        <v>2124452.0888019498</v>
      </c>
      <c r="I29" s="139">
        <f t="shared" si="13"/>
        <v>2195028.8211917756</v>
      </c>
      <c r="J29" s="139">
        <f t="shared" si="13"/>
        <v>2254333.5500316052</v>
      </c>
      <c r="K29" s="139">
        <f t="shared" si="13"/>
        <v>2241646.3530410663</v>
      </c>
      <c r="L29" s="139">
        <f t="shared" si="13"/>
        <v>2276495.6092353854</v>
      </c>
      <c r="M29" s="139">
        <f t="shared" si="13"/>
        <v>2284808.8108906369</v>
      </c>
      <c r="N29" s="139">
        <f t="shared" si="13"/>
        <v>2307655.6882040757</v>
      </c>
      <c r="O29" s="139">
        <f t="shared" si="13"/>
        <v>2304440.7882462898</v>
      </c>
      <c r="P29" s="139">
        <f t="shared" si="13"/>
        <v>2317512.3594023273</v>
      </c>
      <c r="Q29" s="139">
        <f t="shared" si="13"/>
        <v>2341033.4845689079</v>
      </c>
      <c r="R29" s="139">
        <f t="shared" ref="R29:W29" si="14">SUM(R30:R33)</f>
        <v>2366613.5289667435</v>
      </c>
      <c r="S29" s="139">
        <f t="shared" si="14"/>
        <v>2391612.0240411535</v>
      </c>
      <c r="T29" s="139">
        <f t="shared" si="14"/>
        <v>2416753.3320825533</v>
      </c>
      <c r="U29" s="139">
        <f t="shared" si="14"/>
        <v>2439111.3935060175</v>
      </c>
      <c r="V29" s="139">
        <f t="shared" si="14"/>
        <v>2459337.4355555549</v>
      </c>
      <c r="W29" s="139">
        <f t="shared" si="14"/>
        <v>2478663.3420919566</v>
      </c>
      <c r="X29" s="139">
        <f t="shared" ref="X29:Y29" si="15">SUM(X30:X33)</f>
        <v>2497226.8248295519</v>
      </c>
      <c r="Y29" s="139">
        <f t="shared" si="15"/>
        <v>2515302.1129238922</v>
      </c>
      <c r="DA29" s="169" t="s">
        <v>269</v>
      </c>
    </row>
    <row r="30" spans="1:105" ht="12" customHeight="1" x14ac:dyDescent="0.25">
      <c r="A30" s="131" t="s">
        <v>52</v>
      </c>
      <c r="B30" s="140">
        <v>274366.49231356703</v>
      </c>
      <c r="C30" s="140">
        <v>285685.67460870824</v>
      </c>
      <c r="D30" s="140">
        <v>294838.77211433864</v>
      </c>
      <c r="E30" s="140">
        <v>297915.17947583145</v>
      </c>
      <c r="F30" s="140">
        <v>289524.08891959867</v>
      </c>
      <c r="G30" s="140">
        <v>270519.79040141142</v>
      </c>
      <c r="H30" s="140">
        <v>249123.08974385276</v>
      </c>
      <c r="I30" s="140">
        <v>237557.19025560995</v>
      </c>
      <c r="J30" s="140">
        <v>229671.74515016508</v>
      </c>
      <c r="K30" s="140">
        <v>216590.89597343898</v>
      </c>
      <c r="L30" s="140">
        <v>203903.16991710544</v>
      </c>
      <c r="M30" s="140">
        <v>189470.63930998274</v>
      </c>
      <c r="N30" s="140">
        <v>174452.57859650929</v>
      </c>
      <c r="O30" s="140">
        <v>163771.29508377574</v>
      </c>
      <c r="P30" s="140">
        <v>163218.41028749628</v>
      </c>
      <c r="Q30" s="140">
        <v>191655.67436935735</v>
      </c>
      <c r="R30" s="140">
        <v>213570.46995505688</v>
      </c>
      <c r="S30" s="140">
        <v>222524.77286975531</v>
      </c>
      <c r="T30" s="140">
        <v>212652.66027292504</v>
      </c>
      <c r="U30" s="140">
        <v>183977.44835927273</v>
      </c>
      <c r="V30" s="140">
        <v>165664.6008301893</v>
      </c>
      <c r="W30" s="140">
        <v>170404.33637577924</v>
      </c>
      <c r="X30" s="140">
        <v>201733.56020678836</v>
      </c>
      <c r="Y30" s="140">
        <v>243058.24555909407</v>
      </c>
      <c r="DA30" s="170" t="s">
        <v>270</v>
      </c>
    </row>
    <row r="31" spans="1:105" ht="12" customHeight="1" x14ac:dyDescent="0.25">
      <c r="A31" s="131" t="s">
        <v>149</v>
      </c>
      <c r="B31" s="140">
        <v>261424.64740132925</v>
      </c>
      <c r="C31" s="140">
        <v>275332.26284333313</v>
      </c>
      <c r="D31" s="140">
        <v>280851.69448773656</v>
      </c>
      <c r="E31" s="140">
        <v>305724.0914634082</v>
      </c>
      <c r="F31" s="140">
        <v>364746.93024025066</v>
      </c>
      <c r="G31" s="140">
        <v>414420.43397410662</v>
      </c>
      <c r="H31" s="140">
        <v>455176.13807195408</v>
      </c>
      <c r="I31" s="140">
        <v>475496.66856249224</v>
      </c>
      <c r="J31" s="140">
        <v>491579.64926533052</v>
      </c>
      <c r="K31" s="140">
        <v>505892.08382878476</v>
      </c>
      <c r="L31" s="140">
        <v>529522.13317648089</v>
      </c>
      <c r="M31" s="140">
        <v>568814.25116918783</v>
      </c>
      <c r="N31" s="140">
        <v>682192.9428745833</v>
      </c>
      <c r="O31" s="140">
        <v>867772.14573759539</v>
      </c>
      <c r="P31" s="140">
        <v>1146750.6018496405</v>
      </c>
      <c r="Q31" s="140">
        <v>1307437.0869146907</v>
      </c>
      <c r="R31" s="140">
        <v>1355135.6643176968</v>
      </c>
      <c r="S31" s="140">
        <v>1369240.2650346225</v>
      </c>
      <c r="T31" s="140">
        <v>1316820.716558967</v>
      </c>
      <c r="U31" s="140">
        <v>1319583.8869924946</v>
      </c>
      <c r="V31" s="140">
        <v>1341637.0663510663</v>
      </c>
      <c r="W31" s="140">
        <v>1293229.5063753247</v>
      </c>
      <c r="X31" s="140">
        <v>1191408.3393734475</v>
      </c>
      <c r="Y31" s="140">
        <v>1062901.589659374</v>
      </c>
      <c r="DA31" s="170" t="s">
        <v>271</v>
      </c>
    </row>
    <row r="32" spans="1:105" ht="12" customHeight="1" x14ac:dyDescent="0.25">
      <c r="A32" s="131" t="s">
        <v>128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272</v>
      </c>
    </row>
    <row r="33" spans="1:105" ht="12" customHeight="1" x14ac:dyDescent="0.25">
      <c r="A33" s="62" t="s">
        <v>24</v>
      </c>
      <c r="B33" s="152">
        <v>1204185.7612013742</v>
      </c>
      <c r="C33" s="152">
        <v>1232847.8178048949</v>
      </c>
      <c r="D33" s="152">
        <v>1272361.7356840279</v>
      </c>
      <c r="E33" s="152">
        <v>1310053.2050679259</v>
      </c>
      <c r="F33" s="152">
        <v>1325788.2977821927</v>
      </c>
      <c r="G33" s="152">
        <v>1365677.8412855132</v>
      </c>
      <c r="H33" s="152">
        <v>1420152.8609861429</v>
      </c>
      <c r="I33" s="152">
        <v>1481974.9623736735</v>
      </c>
      <c r="J33" s="152">
        <v>1533082.1556161095</v>
      </c>
      <c r="K33" s="152">
        <v>1519163.3732388425</v>
      </c>
      <c r="L33" s="152">
        <v>1543070.3061417993</v>
      </c>
      <c r="M33" s="152">
        <v>1526523.9204114664</v>
      </c>
      <c r="N33" s="152">
        <v>1451010.1667329832</v>
      </c>
      <c r="O33" s="152">
        <v>1272897.3474249186</v>
      </c>
      <c r="P33" s="152">
        <v>1007543.3472651906</v>
      </c>
      <c r="Q33" s="152">
        <v>841940.72328485979</v>
      </c>
      <c r="R33" s="152">
        <v>797907.39469398966</v>
      </c>
      <c r="S33" s="152">
        <v>799846.98613677593</v>
      </c>
      <c r="T33" s="152">
        <v>887279.95525066147</v>
      </c>
      <c r="U33" s="152">
        <v>935550.05815425015</v>
      </c>
      <c r="V33" s="152">
        <v>952035.76837429928</v>
      </c>
      <c r="W33" s="152">
        <v>1015029.4993408526</v>
      </c>
      <c r="X33" s="152">
        <v>1104084.925249316</v>
      </c>
      <c r="Y33" s="152">
        <v>1209342.2777054242</v>
      </c>
      <c r="DA33" s="175" t="s">
        <v>273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Y15 B19:Y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>
        <f t="shared" ref="B3:Q3" si="0">SUM(B4,B16,B19,B29)</f>
        <v>4005.6800233639915</v>
      </c>
      <c r="C3" s="125">
        <f t="shared" si="0"/>
        <v>4148.0687201786041</v>
      </c>
      <c r="D3" s="125">
        <f t="shared" si="0"/>
        <v>4140.4413964410596</v>
      </c>
      <c r="E3" s="125">
        <f t="shared" si="0"/>
        <v>4011.4751023028257</v>
      </c>
      <c r="F3" s="125">
        <f t="shared" si="0"/>
        <v>4423.997347309878</v>
      </c>
      <c r="G3" s="125">
        <f t="shared" si="0"/>
        <v>4867.6399803323475</v>
      </c>
      <c r="H3" s="125">
        <f t="shared" si="0"/>
        <v>6639.6458134314871</v>
      </c>
      <c r="I3" s="125">
        <f t="shared" si="0"/>
        <v>5484.4900364672394</v>
      </c>
      <c r="J3" s="125">
        <f t="shared" si="0"/>
        <v>5653.5237520311675</v>
      </c>
      <c r="K3" s="125">
        <f t="shared" si="0"/>
        <v>5999.8360208622762</v>
      </c>
      <c r="L3" s="125">
        <f t="shared" si="0"/>
        <v>6629.7665782387339</v>
      </c>
      <c r="M3" s="125">
        <f t="shared" si="0"/>
        <v>6577.7712089342422</v>
      </c>
      <c r="N3" s="125">
        <f t="shared" si="0"/>
        <v>6126.4573770339048</v>
      </c>
      <c r="O3" s="125">
        <f t="shared" si="0"/>
        <v>5719.3887542936063</v>
      </c>
      <c r="P3" s="125">
        <f t="shared" si="0"/>
        <v>4799.6541931282209</v>
      </c>
      <c r="Q3" s="125">
        <f t="shared" si="0"/>
        <v>4978.5960188059198</v>
      </c>
      <c r="R3" s="125">
        <f t="shared" ref="R3:W3" si="1">SUM(R4,R16,R19,R29)</f>
        <v>5069.717056005793</v>
      </c>
      <c r="S3" s="125">
        <f t="shared" si="1"/>
        <v>5356.6031761482081</v>
      </c>
      <c r="T3" s="125">
        <f t="shared" si="1"/>
        <v>5445.5769189569164</v>
      </c>
      <c r="U3" s="125">
        <f t="shared" si="1"/>
        <v>5474.7126741458542</v>
      </c>
      <c r="V3" s="125">
        <f t="shared" si="1"/>
        <v>4984.7277869408099</v>
      </c>
      <c r="W3" s="125">
        <f t="shared" si="1"/>
        <v>5443.3446592491164</v>
      </c>
      <c r="X3" s="125">
        <f t="shared" ref="X3:Y3" si="2">SUM(X4,X16,X19,X29)</f>
        <v>5341.9232079427293</v>
      </c>
      <c r="Y3" s="125">
        <f t="shared" si="2"/>
        <v>5430.4058300045526</v>
      </c>
      <c r="DA3" s="154" t="s">
        <v>213</v>
      </c>
    </row>
    <row r="4" spans="1:105" ht="12.95" customHeight="1" x14ac:dyDescent="0.25">
      <c r="A4" s="129" t="s">
        <v>32</v>
      </c>
      <c r="B4" s="130">
        <f t="shared" ref="B4:Q4" si="3">SUM(B5:B15)</f>
        <v>1899.2353131710818</v>
      </c>
      <c r="C4" s="130">
        <f t="shared" si="3"/>
        <v>1891.1411256161323</v>
      </c>
      <c r="D4" s="130">
        <f t="shared" si="3"/>
        <v>1838.6282578149658</v>
      </c>
      <c r="E4" s="130">
        <f t="shared" si="3"/>
        <v>1568.3467319385154</v>
      </c>
      <c r="F4" s="130">
        <f t="shared" si="3"/>
        <v>1805.4884996488101</v>
      </c>
      <c r="G4" s="130">
        <f t="shared" si="3"/>
        <v>2116.964570482533</v>
      </c>
      <c r="H4" s="130">
        <f t="shared" si="3"/>
        <v>3596.5504426101779</v>
      </c>
      <c r="I4" s="130">
        <f t="shared" si="3"/>
        <v>2451.0856036223508</v>
      </c>
      <c r="J4" s="130">
        <f t="shared" si="3"/>
        <v>2454.1849484214595</v>
      </c>
      <c r="K4" s="130">
        <f t="shared" si="3"/>
        <v>2598.5262255168723</v>
      </c>
      <c r="L4" s="130">
        <f t="shared" si="3"/>
        <v>3154.7537218159273</v>
      </c>
      <c r="M4" s="130">
        <f t="shared" si="3"/>
        <v>3134.3486202769473</v>
      </c>
      <c r="N4" s="130">
        <f t="shared" si="3"/>
        <v>2560.4840538814533</v>
      </c>
      <c r="O4" s="130">
        <f t="shared" si="3"/>
        <v>2281.63211880566</v>
      </c>
      <c r="P4" s="130">
        <f t="shared" si="3"/>
        <v>1372.6425607791939</v>
      </c>
      <c r="Q4" s="130">
        <f t="shared" si="3"/>
        <v>1296.2838471485218</v>
      </c>
      <c r="R4" s="130">
        <f t="shared" ref="R4:W4" si="4">SUM(R5:R15)</f>
        <v>1451.0812577728541</v>
      </c>
      <c r="S4" s="130">
        <f t="shared" si="4"/>
        <v>1605.5698049582927</v>
      </c>
      <c r="T4" s="130">
        <f t="shared" si="4"/>
        <v>1901.6329540418608</v>
      </c>
      <c r="U4" s="130">
        <f t="shared" si="4"/>
        <v>1895.3227558961187</v>
      </c>
      <c r="V4" s="130">
        <f t="shared" si="4"/>
        <v>1734.7657880722591</v>
      </c>
      <c r="W4" s="130">
        <f t="shared" si="4"/>
        <v>2028.9884653739919</v>
      </c>
      <c r="X4" s="130">
        <f t="shared" ref="X4:Y4" si="5">SUM(X5:X15)</f>
        <v>1953.5441269964583</v>
      </c>
      <c r="Y4" s="130">
        <f t="shared" si="5"/>
        <v>1834.3706469744441</v>
      </c>
      <c r="DA4" s="155" t="s">
        <v>214</v>
      </c>
    </row>
    <row r="5" spans="1:105" ht="12" customHeight="1" x14ac:dyDescent="0.25">
      <c r="A5" s="131" t="s">
        <v>29</v>
      </c>
      <c r="B5" s="132">
        <v>0</v>
      </c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275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276</v>
      </c>
    </row>
    <row r="7" spans="1:105" ht="12" customHeight="1" x14ac:dyDescent="0.25">
      <c r="A7" s="131" t="s">
        <v>161</v>
      </c>
      <c r="B7" s="132">
        <v>1187.8923516825848</v>
      </c>
      <c r="C7" s="132">
        <v>1311.1675027382582</v>
      </c>
      <c r="D7" s="132">
        <v>1268.9223785100412</v>
      </c>
      <c r="E7" s="132">
        <v>1422.0853960812501</v>
      </c>
      <c r="F7" s="132">
        <v>1576.1057128485022</v>
      </c>
      <c r="G7" s="132">
        <v>1599.6556761105505</v>
      </c>
      <c r="H7" s="132">
        <v>1119.0231966566405</v>
      </c>
      <c r="I7" s="132">
        <v>1027.6070770472356</v>
      </c>
      <c r="J7" s="132">
        <v>968.02606176948791</v>
      </c>
      <c r="K7" s="132">
        <v>958.61642747815415</v>
      </c>
      <c r="L7" s="132">
        <v>949.90957743661636</v>
      </c>
      <c r="M7" s="132">
        <v>890.53411420583427</v>
      </c>
      <c r="N7" s="132">
        <v>951.53313873532511</v>
      </c>
      <c r="O7" s="132">
        <v>1045.6037430549738</v>
      </c>
      <c r="P7" s="132">
        <v>793.12272265225442</v>
      </c>
      <c r="Q7" s="132">
        <v>553.99858393860598</v>
      </c>
      <c r="R7" s="132">
        <v>701.28296187332273</v>
      </c>
      <c r="S7" s="132">
        <v>765.84318680374724</v>
      </c>
      <c r="T7" s="132">
        <v>796.62159318808904</v>
      </c>
      <c r="U7" s="132">
        <v>738.89472451767506</v>
      </c>
      <c r="V7" s="132">
        <v>692.74128973767006</v>
      </c>
      <c r="W7" s="132">
        <v>776.45506006721757</v>
      </c>
      <c r="X7" s="132">
        <v>751.59477314962032</v>
      </c>
      <c r="Y7" s="132">
        <v>567.43983444443938</v>
      </c>
      <c r="DA7" s="156" t="s">
        <v>277</v>
      </c>
    </row>
    <row r="8" spans="1:105" ht="12" customHeight="1" x14ac:dyDescent="0.25">
      <c r="A8" s="131" t="s">
        <v>73</v>
      </c>
      <c r="B8" s="132">
        <v>1.4523074704780457E-2</v>
      </c>
      <c r="C8" s="132">
        <v>2.0563417926405311E-2</v>
      </c>
      <c r="D8" s="132">
        <v>2.7015907318956065E-2</v>
      </c>
      <c r="E8" s="132">
        <v>2.7939377891559182E-2</v>
      </c>
      <c r="F8" s="132">
        <v>4.4451393533577958E-2</v>
      </c>
      <c r="G8" s="132">
        <v>0.10539570308075755</v>
      </c>
      <c r="H8" s="132">
        <v>0.22308188269939869</v>
      </c>
      <c r="I8" s="132">
        <v>0.25528859304118484</v>
      </c>
      <c r="J8" s="132">
        <v>0.27711747446489166</v>
      </c>
      <c r="K8" s="132">
        <v>0.29503630631835481</v>
      </c>
      <c r="L8" s="132">
        <v>0.34811474637849726</v>
      </c>
      <c r="M8" s="132">
        <v>0.61914434077291036</v>
      </c>
      <c r="N8" s="132">
        <v>1.0346626316584571</v>
      </c>
      <c r="O8" s="132">
        <v>1.9412082865970848</v>
      </c>
      <c r="P8" s="132">
        <v>3.3870627184258559</v>
      </c>
      <c r="Q8" s="132">
        <v>4.3965904592329421</v>
      </c>
      <c r="R8" s="132">
        <v>6.0419607812727385</v>
      </c>
      <c r="S8" s="132">
        <v>7.5156199200265617</v>
      </c>
      <c r="T8" s="132">
        <v>8.006855840710509</v>
      </c>
      <c r="U8" s="132">
        <v>13.270299239834632</v>
      </c>
      <c r="V8" s="132">
        <v>10.789798853180395</v>
      </c>
      <c r="W8" s="132">
        <v>14.443127057377575</v>
      </c>
      <c r="X8" s="132">
        <v>16.412911111704716</v>
      </c>
      <c r="Y8" s="132">
        <v>20.199964838638216</v>
      </c>
      <c r="DA8" s="156" t="s">
        <v>278</v>
      </c>
    </row>
    <row r="9" spans="1:105" ht="12" customHeight="1" x14ac:dyDescent="0.25">
      <c r="A9" s="131" t="s">
        <v>78</v>
      </c>
      <c r="B9" s="132">
        <v>304.63579498883951</v>
      </c>
      <c r="C9" s="132">
        <v>345.10706120691054</v>
      </c>
      <c r="D9" s="132">
        <v>417.63445167017773</v>
      </c>
      <c r="E9" s="132">
        <v>30.467560728348303</v>
      </c>
      <c r="F9" s="132">
        <v>42.134087780148093</v>
      </c>
      <c r="G9" s="132">
        <v>358.83925135559844</v>
      </c>
      <c r="H9" s="132">
        <v>1819.459701057539</v>
      </c>
      <c r="I9" s="132">
        <v>920.28740686653703</v>
      </c>
      <c r="J9" s="132">
        <v>735.21002943551673</v>
      </c>
      <c r="K9" s="132">
        <v>1023.4815418796495</v>
      </c>
      <c r="L9" s="132">
        <v>1458.8469004705512</v>
      </c>
      <c r="M9" s="132">
        <v>1659.5373813063959</v>
      </c>
      <c r="N9" s="132">
        <v>1215.4362439008726</v>
      </c>
      <c r="O9" s="132">
        <v>975.25024961271629</v>
      </c>
      <c r="P9" s="132">
        <v>396.24333837452554</v>
      </c>
      <c r="Q9" s="132">
        <v>536.16728068938767</v>
      </c>
      <c r="R9" s="132">
        <v>495.84769819061091</v>
      </c>
      <c r="S9" s="132">
        <v>509.93720787598568</v>
      </c>
      <c r="T9" s="132">
        <v>726.16018340042058</v>
      </c>
      <c r="U9" s="132">
        <v>736.36494055315256</v>
      </c>
      <c r="V9" s="132">
        <v>622.06687259645003</v>
      </c>
      <c r="W9" s="132">
        <v>771.84241500796077</v>
      </c>
      <c r="X9" s="132">
        <v>691.93853931628553</v>
      </c>
      <c r="Y9" s="132">
        <v>737.57570901321583</v>
      </c>
      <c r="DA9" s="156" t="s">
        <v>279</v>
      </c>
    </row>
    <row r="10" spans="1:105" ht="12" customHeight="1" x14ac:dyDescent="0.25">
      <c r="A10" s="131" t="s">
        <v>128</v>
      </c>
      <c r="B10" s="132">
        <v>42.633963886500425</v>
      </c>
      <c r="C10" s="132">
        <v>43.350558899398095</v>
      </c>
      <c r="D10" s="132">
        <v>43.350558899398088</v>
      </c>
      <c r="E10" s="132">
        <v>43.350558899398088</v>
      </c>
      <c r="F10" s="132">
        <v>43.565520206362862</v>
      </c>
      <c r="G10" s="132">
        <v>44.138693035253645</v>
      </c>
      <c r="H10" s="132">
        <v>68.071109200343955</v>
      </c>
      <c r="I10" s="132">
        <v>69.575838349097197</v>
      </c>
      <c r="J10" s="132">
        <v>79.702837489251962</v>
      </c>
      <c r="K10" s="132">
        <v>58.015649183147033</v>
      </c>
      <c r="L10" s="132">
        <v>60.022012037833179</v>
      </c>
      <c r="M10" s="132">
        <v>64.201805674978459</v>
      </c>
      <c r="N10" s="132">
        <v>68.739810834049848</v>
      </c>
      <c r="O10" s="132">
        <v>72.537489251934659</v>
      </c>
      <c r="P10" s="132">
        <v>74.113843508168543</v>
      </c>
      <c r="Q10" s="132">
        <v>84.957523645743706</v>
      </c>
      <c r="R10" s="132">
        <v>107.81513327601039</v>
      </c>
      <c r="S10" s="132">
        <v>116.41341358555454</v>
      </c>
      <c r="T10" s="132">
        <v>115.02820292347363</v>
      </c>
      <c r="U10" s="132">
        <v>119.27962166809969</v>
      </c>
      <c r="V10" s="132">
        <v>121.35700773860687</v>
      </c>
      <c r="W10" s="132">
        <v>131.88538263112645</v>
      </c>
      <c r="X10" s="132">
        <v>134.04273430782459</v>
      </c>
      <c r="Y10" s="132">
        <v>136.91960447119527</v>
      </c>
      <c r="DA10" s="156" t="s">
        <v>280</v>
      </c>
    </row>
    <row r="11" spans="1:105" ht="12" customHeight="1" x14ac:dyDescent="0.25">
      <c r="A11" s="131" t="s">
        <v>25</v>
      </c>
      <c r="B11" s="132">
        <v>1.095098882201204</v>
      </c>
      <c r="C11" s="132">
        <v>1.095098882201204</v>
      </c>
      <c r="D11" s="132">
        <v>0.14032674118658639</v>
      </c>
      <c r="E11" s="132">
        <v>0.1003439380911436</v>
      </c>
      <c r="F11" s="132">
        <v>0.1003439380911436</v>
      </c>
      <c r="G11" s="132">
        <v>0.1003439380911436</v>
      </c>
      <c r="H11" s="132">
        <v>0.1003439380911436</v>
      </c>
      <c r="I11" s="132">
        <v>0.10034393809114359</v>
      </c>
      <c r="J11" s="132">
        <v>0.1003439380911436</v>
      </c>
      <c r="K11" s="132">
        <v>0.1003439380911436</v>
      </c>
      <c r="L11" s="132">
        <v>0.1003439380911436</v>
      </c>
      <c r="M11" s="132">
        <v>0.10034393809114366</v>
      </c>
      <c r="N11" s="132">
        <v>0.10034393809114354</v>
      </c>
      <c r="O11" s="132">
        <v>0.10034393809114361</v>
      </c>
      <c r="P11" s="132">
        <v>0.10034393809114363</v>
      </c>
      <c r="Q11" s="132">
        <v>0.10034393809114361</v>
      </c>
      <c r="R11" s="132">
        <v>0.10034393809114356</v>
      </c>
      <c r="S11" s="132">
        <v>0.10034393809114361</v>
      </c>
      <c r="T11" s="132">
        <v>0.10034393809114354</v>
      </c>
      <c r="U11" s="132">
        <v>0.10034393809114354</v>
      </c>
      <c r="V11" s="132">
        <v>0.1003439380911437</v>
      </c>
      <c r="W11" s="132">
        <v>0.10034393809114366</v>
      </c>
      <c r="X11" s="132">
        <v>0.10034393809114359</v>
      </c>
      <c r="Y11" s="132">
        <v>0.10034393809114361</v>
      </c>
      <c r="DA11" s="156" t="s">
        <v>281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282</v>
      </c>
    </row>
    <row r="13" spans="1:105" ht="12" customHeight="1" x14ac:dyDescent="0.25">
      <c r="A13" s="131" t="s">
        <v>77</v>
      </c>
      <c r="B13" s="132">
        <v>2.6174697956850972</v>
      </c>
      <c r="C13" s="132">
        <v>3.454872854708845</v>
      </c>
      <c r="D13" s="132">
        <v>3.6189136136891356</v>
      </c>
      <c r="E13" s="132">
        <v>4.8663461301986777</v>
      </c>
      <c r="F13" s="132">
        <v>5.2276410951428716</v>
      </c>
      <c r="G13" s="132">
        <v>8.3212309510683369</v>
      </c>
      <c r="H13" s="132">
        <v>10.894203825150598</v>
      </c>
      <c r="I13" s="132">
        <v>17.290552864021784</v>
      </c>
      <c r="J13" s="132">
        <v>26.098176848542831</v>
      </c>
      <c r="K13" s="132">
        <v>30.409033194610732</v>
      </c>
      <c r="L13" s="132">
        <v>33.728446266259418</v>
      </c>
      <c r="M13" s="132">
        <v>37.333132199502252</v>
      </c>
      <c r="N13" s="132">
        <v>48.294792325874205</v>
      </c>
      <c r="O13" s="132">
        <v>55.931770425362835</v>
      </c>
      <c r="P13" s="132">
        <v>63.696246231052591</v>
      </c>
      <c r="Q13" s="132">
        <v>88.980705243791846</v>
      </c>
      <c r="R13" s="132">
        <v>114.02947274955328</v>
      </c>
      <c r="S13" s="132">
        <v>142.43668872623306</v>
      </c>
      <c r="T13" s="132">
        <v>172.88620946643448</v>
      </c>
      <c r="U13" s="132">
        <v>199.49303555056869</v>
      </c>
      <c r="V13" s="132">
        <v>228.17148622332175</v>
      </c>
      <c r="W13" s="132">
        <v>250.90623515822048</v>
      </c>
      <c r="X13" s="132">
        <v>280.64190835296785</v>
      </c>
      <c r="Y13" s="132">
        <v>305.3837538032119</v>
      </c>
      <c r="DA13" s="156" t="s">
        <v>283</v>
      </c>
    </row>
    <row r="14" spans="1:105" ht="12" customHeight="1" x14ac:dyDescent="0.25">
      <c r="A14" s="60" t="s">
        <v>76</v>
      </c>
      <c r="B14" s="65">
        <v>347.62620404296484</v>
      </c>
      <c r="C14" s="65">
        <v>172.92473155425805</v>
      </c>
      <c r="D14" s="65">
        <v>90.698371472828526</v>
      </c>
      <c r="E14" s="65">
        <v>55.316311119349173</v>
      </c>
      <c r="F14" s="65">
        <v>124.95765936830165</v>
      </c>
      <c r="G14" s="65">
        <v>89.68475200335503</v>
      </c>
      <c r="H14" s="65">
        <v>553.61752166664542</v>
      </c>
      <c r="I14" s="65">
        <v>399.60706748322849</v>
      </c>
      <c r="J14" s="65">
        <v>630.58476414731228</v>
      </c>
      <c r="K14" s="65">
        <v>511.19485863110162</v>
      </c>
      <c r="L14" s="65">
        <v>631.65707563919966</v>
      </c>
      <c r="M14" s="65">
        <v>460.38564428341112</v>
      </c>
      <c r="N14" s="65">
        <v>256.81749062253414</v>
      </c>
      <c r="O14" s="65">
        <v>112.75849239838769</v>
      </c>
      <c r="P14" s="65">
        <v>31.649228692013423</v>
      </c>
      <c r="Q14" s="65">
        <v>18.147252041618703</v>
      </c>
      <c r="R14" s="65">
        <v>15.388075392812373</v>
      </c>
      <c r="S14" s="65">
        <v>51.86381432066996</v>
      </c>
      <c r="T14" s="65">
        <v>69.047290041329177</v>
      </c>
      <c r="U14" s="65">
        <v>74.23993891517442</v>
      </c>
      <c r="V14" s="65">
        <v>47.046975605049937</v>
      </c>
      <c r="W14" s="65">
        <v>68.159046177400398</v>
      </c>
      <c r="X14" s="65">
        <v>64.183811740269988</v>
      </c>
      <c r="Y14" s="65">
        <v>52.999069997703373</v>
      </c>
      <c r="DA14" s="109" t="s">
        <v>284</v>
      </c>
    </row>
    <row r="15" spans="1:105" ht="12" customHeight="1" x14ac:dyDescent="0.25">
      <c r="A15" s="133" t="s">
        <v>80</v>
      </c>
      <c r="B15" s="134">
        <v>12.719906817600942</v>
      </c>
      <c r="C15" s="134">
        <v>14.020736062471117</v>
      </c>
      <c r="D15" s="134">
        <v>14.236241000325945</v>
      </c>
      <c r="E15" s="134">
        <v>12.132275663988324</v>
      </c>
      <c r="F15" s="134">
        <v>13.353083018727769</v>
      </c>
      <c r="G15" s="134">
        <v>16.119227385534924</v>
      </c>
      <c r="H15" s="134">
        <v>25.161284383068146</v>
      </c>
      <c r="I15" s="134">
        <v>16.362028481098719</v>
      </c>
      <c r="J15" s="134">
        <v>14.185617318791525</v>
      </c>
      <c r="K15" s="134">
        <v>16.413334905799893</v>
      </c>
      <c r="L15" s="134">
        <v>20.141251280997736</v>
      </c>
      <c r="M15" s="134">
        <v>21.637054327960911</v>
      </c>
      <c r="N15" s="134">
        <v>18.527570893048253</v>
      </c>
      <c r="O15" s="134">
        <v>17.508821837596699</v>
      </c>
      <c r="P15" s="134">
        <v>10.329774664662665</v>
      </c>
      <c r="Q15" s="134">
        <v>9.5355671920496903</v>
      </c>
      <c r="R15" s="134">
        <v>10.575611571180509</v>
      </c>
      <c r="S15" s="134">
        <v>11.459529787984579</v>
      </c>
      <c r="T15" s="134">
        <v>13.782275243312323</v>
      </c>
      <c r="U15" s="134">
        <v>13.679851513522463</v>
      </c>
      <c r="V15" s="134">
        <v>12.492013379888981</v>
      </c>
      <c r="W15" s="134">
        <v>15.196855336597604</v>
      </c>
      <c r="X15" s="134">
        <v>14.629105079694369</v>
      </c>
      <c r="Y15" s="134">
        <v>13.752366467948733</v>
      </c>
      <c r="DA15" s="157" t="s">
        <v>285</v>
      </c>
    </row>
    <row r="16" spans="1:105" ht="12.95" customHeight="1" x14ac:dyDescent="0.25">
      <c r="A16" s="129" t="s">
        <v>74</v>
      </c>
      <c r="B16" s="130">
        <f t="shared" ref="B16:Q16" si="6">SUM(B17:B18)</f>
        <v>246.71300202075255</v>
      </c>
      <c r="C16" s="130">
        <f t="shared" si="6"/>
        <v>285.26217165239268</v>
      </c>
      <c r="D16" s="130">
        <f t="shared" si="6"/>
        <v>281.57731931742234</v>
      </c>
      <c r="E16" s="130">
        <f t="shared" si="6"/>
        <v>413.14831941196019</v>
      </c>
      <c r="F16" s="130">
        <f t="shared" si="6"/>
        <v>389.18089347500734</v>
      </c>
      <c r="G16" s="130">
        <f t="shared" si="6"/>
        <v>450.8600742380699</v>
      </c>
      <c r="H16" s="130">
        <f t="shared" si="6"/>
        <v>563.44997556095404</v>
      </c>
      <c r="I16" s="130">
        <f t="shared" si="6"/>
        <v>483.27341098421562</v>
      </c>
      <c r="J16" s="130">
        <f t="shared" si="6"/>
        <v>552.4342904065677</v>
      </c>
      <c r="K16" s="130">
        <f t="shared" si="6"/>
        <v>772.66258043651999</v>
      </c>
      <c r="L16" s="130">
        <f t="shared" si="6"/>
        <v>774.44483818001481</v>
      </c>
      <c r="M16" s="130">
        <f t="shared" si="6"/>
        <v>719.18210017664535</v>
      </c>
      <c r="N16" s="130">
        <f t="shared" si="6"/>
        <v>875.66152340315762</v>
      </c>
      <c r="O16" s="130">
        <f t="shared" si="6"/>
        <v>707.28882387036401</v>
      </c>
      <c r="P16" s="130">
        <f t="shared" si="6"/>
        <v>648.74490538488794</v>
      </c>
      <c r="Q16" s="130">
        <f t="shared" si="6"/>
        <v>938.17524675982929</v>
      </c>
      <c r="R16" s="130">
        <f t="shared" ref="R16:W16" si="7">SUM(R17:R18)</f>
        <v>900.04702374939404</v>
      </c>
      <c r="S16" s="130">
        <f t="shared" si="7"/>
        <v>1025.2396149991876</v>
      </c>
      <c r="T16" s="130">
        <f t="shared" si="7"/>
        <v>721.94453812538598</v>
      </c>
      <c r="U16" s="130">
        <f t="shared" si="7"/>
        <v>746.54228860755245</v>
      </c>
      <c r="V16" s="130">
        <f t="shared" si="7"/>
        <v>824.36076677593201</v>
      </c>
      <c r="W16" s="130">
        <f t="shared" si="7"/>
        <v>708.82255519659941</v>
      </c>
      <c r="X16" s="130">
        <f t="shared" ref="X16:Y16" si="8">SUM(X17:X18)</f>
        <v>903.77642272171897</v>
      </c>
      <c r="Y16" s="130">
        <f t="shared" si="8"/>
        <v>912.27653195956361</v>
      </c>
      <c r="DA16" s="155" t="s">
        <v>215</v>
      </c>
    </row>
    <row r="17" spans="1:105" ht="12.95" customHeight="1" x14ac:dyDescent="0.25">
      <c r="A17" s="131" t="s">
        <v>73</v>
      </c>
      <c r="B17" s="132">
        <v>0.29705303238657832</v>
      </c>
      <c r="C17" s="132">
        <v>0.35359459692181616</v>
      </c>
      <c r="D17" s="132">
        <v>0.32784860369642077</v>
      </c>
      <c r="E17" s="132">
        <v>0.69243254814282662</v>
      </c>
      <c r="F17" s="132">
        <v>0.68889390719099131</v>
      </c>
      <c r="G17" s="132">
        <v>0.8735523397687327</v>
      </c>
      <c r="H17" s="132">
        <v>1.1314008446660928</v>
      </c>
      <c r="I17" s="132">
        <v>1.1667085613970298</v>
      </c>
      <c r="J17" s="132">
        <v>1.5679938196979366</v>
      </c>
      <c r="K17" s="132">
        <v>2.3808241975292233</v>
      </c>
      <c r="L17" s="132">
        <v>2.7262830899241264</v>
      </c>
      <c r="M17" s="132">
        <v>2.9611443303222758</v>
      </c>
      <c r="N17" s="132">
        <v>4.0549181586177312</v>
      </c>
      <c r="O17" s="132">
        <v>4.1364308547827093</v>
      </c>
      <c r="P17" s="132">
        <v>4.3635556144845964</v>
      </c>
      <c r="Q17" s="132">
        <v>7.5428915408111967</v>
      </c>
      <c r="R17" s="132">
        <v>8.6570688874592836</v>
      </c>
      <c r="S17" s="132">
        <v>10.96591423414494</v>
      </c>
      <c r="T17" s="132">
        <v>9.2643282917255831</v>
      </c>
      <c r="U17" s="132">
        <v>10.265023050295948</v>
      </c>
      <c r="V17" s="132">
        <v>11.08586085842305</v>
      </c>
      <c r="W17" s="132">
        <v>10.066529128111736</v>
      </c>
      <c r="X17" s="132">
        <v>15.767536833713972</v>
      </c>
      <c r="Y17" s="132">
        <v>14.477912988422267</v>
      </c>
      <c r="DA17" s="156" t="s">
        <v>286</v>
      </c>
    </row>
    <row r="18" spans="1:105" ht="12" customHeight="1" x14ac:dyDescent="0.25">
      <c r="A18" s="131" t="s">
        <v>72</v>
      </c>
      <c r="B18" s="132">
        <v>246.41594898836598</v>
      </c>
      <c r="C18" s="132">
        <v>284.90857705547086</v>
      </c>
      <c r="D18" s="132">
        <v>281.24947071372594</v>
      </c>
      <c r="E18" s="132">
        <v>412.45588686381734</v>
      </c>
      <c r="F18" s="132">
        <v>388.49199956781632</v>
      </c>
      <c r="G18" s="132">
        <v>449.98652189830119</v>
      </c>
      <c r="H18" s="132">
        <v>562.31857471628791</v>
      </c>
      <c r="I18" s="132">
        <v>482.10670242281861</v>
      </c>
      <c r="J18" s="132">
        <v>550.86629658686979</v>
      </c>
      <c r="K18" s="132">
        <v>770.28175623899074</v>
      </c>
      <c r="L18" s="132">
        <v>771.71855509009072</v>
      </c>
      <c r="M18" s="132">
        <v>716.22095584632302</v>
      </c>
      <c r="N18" s="132">
        <v>871.60660524453988</v>
      </c>
      <c r="O18" s="132">
        <v>703.15239301558131</v>
      </c>
      <c r="P18" s="132">
        <v>644.3813497704034</v>
      </c>
      <c r="Q18" s="132">
        <v>930.63235521901811</v>
      </c>
      <c r="R18" s="132">
        <v>891.38995486193471</v>
      </c>
      <c r="S18" s="132">
        <v>1014.2737007650426</v>
      </c>
      <c r="T18" s="132">
        <v>712.68020983366034</v>
      </c>
      <c r="U18" s="132">
        <v>736.27726555725656</v>
      </c>
      <c r="V18" s="132">
        <v>813.27490591750893</v>
      </c>
      <c r="W18" s="132">
        <v>698.7560260684877</v>
      </c>
      <c r="X18" s="132">
        <v>888.00888588800501</v>
      </c>
      <c r="Y18" s="132">
        <v>897.79861897114131</v>
      </c>
      <c r="DA18" s="156" t="s">
        <v>287</v>
      </c>
    </row>
    <row r="19" spans="1:105" ht="12.95" customHeight="1" x14ac:dyDescent="0.25">
      <c r="A19" s="129" t="s">
        <v>35</v>
      </c>
      <c r="B19" s="130">
        <f t="shared" ref="B19:Q19" si="9">SUM(B20:B27)</f>
        <v>904.60407599295149</v>
      </c>
      <c r="C19" s="130">
        <f t="shared" si="9"/>
        <v>957.62816887110375</v>
      </c>
      <c r="D19" s="130">
        <f t="shared" si="9"/>
        <v>1019.1648720720309</v>
      </c>
      <c r="E19" s="130">
        <f t="shared" si="9"/>
        <v>1034.4107406568876</v>
      </c>
      <c r="F19" s="130">
        <f t="shared" si="9"/>
        <v>1122.7901808253796</v>
      </c>
      <c r="G19" s="130">
        <f t="shared" si="9"/>
        <v>1153.6344484143767</v>
      </c>
      <c r="H19" s="130">
        <f t="shared" si="9"/>
        <v>1227.2087276188574</v>
      </c>
      <c r="I19" s="130">
        <f t="shared" si="9"/>
        <v>1241.5371058554679</v>
      </c>
      <c r="J19" s="130">
        <f t="shared" si="9"/>
        <v>1274.2111270426517</v>
      </c>
      <c r="K19" s="130">
        <f t="shared" si="9"/>
        <v>1266.2754909369955</v>
      </c>
      <c r="L19" s="130">
        <f t="shared" si="9"/>
        <v>1287.8451734057253</v>
      </c>
      <c r="M19" s="130">
        <f t="shared" si="9"/>
        <v>1293.2764713197655</v>
      </c>
      <c r="N19" s="130">
        <f t="shared" si="9"/>
        <v>1268.5822880053558</v>
      </c>
      <c r="O19" s="130">
        <f t="shared" si="9"/>
        <v>1291.3569439578546</v>
      </c>
      <c r="P19" s="130">
        <f t="shared" si="9"/>
        <v>1260.4850086704214</v>
      </c>
      <c r="Q19" s="130">
        <f t="shared" si="9"/>
        <v>1197.0086615422749</v>
      </c>
      <c r="R19" s="130">
        <f t="shared" ref="R19:W19" si="10">SUM(R20:R27)</f>
        <v>1170.2141165487735</v>
      </c>
      <c r="S19" s="130">
        <f t="shared" si="10"/>
        <v>1127.3919727271182</v>
      </c>
      <c r="T19" s="130">
        <f t="shared" si="10"/>
        <v>1196.3822160091968</v>
      </c>
      <c r="U19" s="130">
        <f t="shared" si="10"/>
        <v>1167.3538960379642</v>
      </c>
      <c r="V19" s="130">
        <f t="shared" si="10"/>
        <v>1022.2843718052433</v>
      </c>
      <c r="W19" s="130">
        <f t="shared" si="10"/>
        <v>1100.8902282797296</v>
      </c>
      <c r="X19" s="130">
        <f t="shared" ref="X19:Y19" si="11">SUM(X20:X27)</f>
        <v>1041.5342304925096</v>
      </c>
      <c r="Y19" s="130">
        <f t="shared" si="11"/>
        <v>1041.9466907866683</v>
      </c>
      <c r="DA19" s="155" t="s">
        <v>216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288</v>
      </c>
    </row>
    <row r="21" spans="1:105" s="2" customFormat="1" ht="12" customHeight="1" x14ac:dyDescent="0.25">
      <c r="A21" s="131" t="s">
        <v>52</v>
      </c>
      <c r="B21" s="132">
        <v>52.775256855397842</v>
      </c>
      <c r="C21" s="132">
        <v>51.666635353028916</v>
      </c>
      <c r="D21" s="132">
        <v>52.063171201630212</v>
      </c>
      <c r="E21" s="132">
        <v>52.296669074084448</v>
      </c>
      <c r="F21" s="132">
        <v>47.757792639916687</v>
      </c>
      <c r="G21" s="132">
        <v>47.544682254381726</v>
      </c>
      <c r="H21" s="132">
        <v>48.342666238853937</v>
      </c>
      <c r="I21" s="132">
        <v>48.09733763361448</v>
      </c>
      <c r="J21" s="132">
        <v>47.702843989762989</v>
      </c>
      <c r="K21" s="132">
        <v>47.476745631720718</v>
      </c>
      <c r="L21" s="132">
        <v>47.926879169340083</v>
      </c>
      <c r="M21" s="132">
        <v>48.010827263485623</v>
      </c>
      <c r="N21" s="132">
        <v>48.110129030467753</v>
      </c>
      <c r="O21" s="132">
        <v>48.345129842630286</v>
      </c>
      <c r="P21" s="132">
        <v>47.779209191344698</v>
      </c>
      <c r="Q21" s="132">
        <v>48.433154907673789</v>
      </c>
      <c r="R21" s="132">
        <v>49.128454247753872</v>
      </c>
      <c r="S21" s="132">
        <v>47.963912635794578</v>
      </c>
      <c r="T21" s="132">
        <v>48.369274550300666</v>
      </c>
      <c r="U21" s="132">
        <v>39.178088185957193</v>
      </c>
      <c r="V21" s="132">
        <v>25.420427322461091</v>
      </c>
      <c r="W21" s="132">
        <v>29.201278599528326</v>
      </c>
      <c r="X21" s="132">
        <v>36.161917751288385</v>
      </c>
      <c r="Y21" s="132">
        <v>51.841708133737235</v>
      </c>
      <c r="DA21" s="156" t="s">
        <v>289</v>
      </c>
    </row>
    <row r="22" spans="1:105" ht="12" customHeight="1" x14ac:dyDescent="0.25">
      <c r="A22" s="131" t="s">
        <v>161</v>
      </c>
      <c r="B22" s="132">
        <v>290.76680566909107</v>
      </c>
      <c r="C22" s="132">
        <v>303.98967696939377</v>
      </c>
      <c r="D22" s="132">
        <v>312.06309010560778</v>
      </c>
      <c r="E22" s="132">
        <v>318.90058844153583</v>
      </c>
      <c r="F22" s="132">
        <v>323.9086465668027</v>
      </c>
      <c r="G22" s="132">
        <v>325.03383377766994</v>
      </c>
      <c r="H22" s="132">
        <v>317.15487729005014</v>
      </c>
      <c r="I22" s="132">
        <v>295.56575184356365</v>
      </c>
      <c r="J22" s="132">
        <v>284.40532258132868</v>
      </c>
      <c r="K22" s="132">
        <v>277.81951405237101</v>
      </c>
      <c r="L22" s="132">
        <v>276.81252058573932</v>
      </c>
      <c r="M22" s="132">
        <v>280.85453583715793</v>
      </c>
      <c r="N22" s="132">
        <v>291.91767811764117</v>
      </c>
      <c r="O22" s="132">
        <v>298.14475221587719</v>
      </c>
      <c r="P22" s="132">
        <v>304.88450004765878</v>
      </c>
      <c r="Q22" s="132">
        <v>330.19918046380184</v>
      </c>
      <c r="R22" s="132">
        <v>345.87782918428616</v>
      </c>
      <c r="S22" s="132">
        <v>341.13419926675863</v>
      </c>
      <c r="T22" s="132">
        <v>343.06877654536004</v>
      </c>
      <c r="U22" s="132">
        <v>337.46090746856737</v>
      </c>
      <c r="V22" s="132">
        <v>326.97788481091152</v>
      </c>
      <c r="W22" s="132">
        <v>346.65955730165615</v>
      </c>
      <c r="X22" s="132">
        <v>332.61296545743062</v>
      </c>
      <c r="Y22" s="132">
        <v>317.29094801471717</v>
      </c>
      <c r="DA22" s="156" t="s">
        <v>290</v>
      </c>
    </row>
    <row r="23" spans="1:105" ht="12" customHeight="1" x14ac:dyDescent="0.25">
      <c r="A23" s="131" t="s">
        <v>149</v>
      </c>
      <c r="B23" s="132">
        <v>127.16762987141861</v>
      </c>
      <c r="C23" s="132">
        <v>115.05737467712623</v>
      </c>
      <c r="D23" s="132">
        <v>94.321860655088102</v>
      </c>
      <c r="E23" s="132">
        <v>36.963090055315945</v>
      </c>
      <c r="F23" s="132">
        <v>70.791301389657377</v>
      </c>
      <c r="G23" s="132">
        <v>90.565721948415217</v>
      </c>
      <c r="H23" s="132">
        <v>229.64645516435286</v>
      </c>
      <c r="I23" s="132">
        <v>241.16655126573764</v>
      </c>
      <c r="J23" s="132">
        <v>241.35809753347706</v>
      </c>
      <c r="K23" s="132">
        <v>249.39390599621748</v>
      </c>
      <c r="L23" s="132">
        <v>252.00615237282437</v>
      </c>
      <c r="M23" s="132">
        <v>252.62302981659863</v>
      </c>
      <c r="N23" s="132">
        <v>280.50075467334801</v>
      </c>
      <c r="O23" s="132">
        <v>316.76634487332461</v>
      </c>
      <c r="P23" s="132">
        <v>386.36382345467229</v>
      </c>
      <c r="Q23" s="132">
        <v>304.770330763088</v>
      </c>
      <c r="R23" s="132">
        <v>309.27296295006215</v>
      </c>
      <c r="S23" s="132">
        <v>312.83782368679823</v>
      </c>
      <c r="T23" s="132">
        <v>322.04926176169721</v>
      </c>
      <c r="U23" s="132">
        <v>342.04574397632427</v>
      </c>
      <c r="V23" s="132">
        <v>329.29082254256372</v>
      </c>
      <c r="W23" s="132">
        <v>368.93629102615296</v>
      </c>
      <c r="X23" s="132">
        <v>367.28194737692007</v>
      </c>
      <c r="Y23" s="132">
        <v>368.43215089965622</v>
      </c>
      <c r="DA23" s="156" t="s">
        <v>291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292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293</v>
      </c>
    </row>
    <row r="26" spans="1:105" ht="12" customHeight="1" x14ac:dyDescent="0.25">
      <c r="A26" s="131" t="s">
        <v>24</v>
      </c>
      <c r="B26" s="65">
        <v>427.63195883350141</v>
      </c>
      <c r="C26" s="65">
        <v>478.95369081394517</v>
      </c>
      <c r="D26" s="65">
        <v>550.92741219053028</v>
      </c>
      <c r="E26" s="65">
        <v>613.75718586325138</v>
      </c>
      <c r="F26" s="65">
        <v>665.45333446803977</v>
      </c>
      <c r="G26" s="65">
        <v>672.39786305643781</v>
      </c>
      <c r="H26" s="65">
        <v>611.07754061949561</v>
      </c>
      <c r="I26" s="65">
        <v>634.04727594660199</v>
      </c>
      <c r="J26" s="65">
        <v>674.02500051331947</v>
      </c>
      <c r="K26" s="65">
        <v>659.80587555763213</v>
      </c>
      <c r="L26" s="65">
        <v>675.84596693560331</v>
      </c>
      <c r="M26" s="65">
        <v>673.7188608616807</v>
      </c>
      <c r="N26" s="65">
        <v>607.09594458458685</v>
      </c>
      <c r="O26" s="65">
        <v>586.36408761931557</v>
      </c>
      <c r="P26" s="65">
        <v>476.73907528886963</v>
      </c>
      <c r="Q26" s="65">
        <v>466.06515275938807</v>
      </c>
      <c r="R26" s="65">
        <v>418.47803439710998</v>
      </c>
      <c r="S26" s="65">
        <v>377.09111882306348</v>
      </c>
      <c r="T26" s="65">
        <v>433.70375955768577</v>
      </c>
      <c r="U26" s="65">
        <v>399.03398873729594</v>
      </c>
      <c r="V26" s="65">
        <v>291.28663867702835</v>
      </c>
      <c r="W26" s="65">
        <v>307.75397839452455</v>
      </c>
      <c r="X26" s="65">
        <v>258.66983326886543</v>
      </c>
      <c r="Y26" s="65">
        <v>259.24680205326109</v>
      </c>
      <c r="DA26" s="109" t="s">
        <v>294</v>
      </c>
    </row>
    <row r="27" spans="1:105" ht="12" customHeight="1" x14ac:dyDescent="0.25">
      <c r="A27" s="144" t="s">
        <v>26</v>
      </c>
      <c r="B27" s="145">
        <v>6.2624247635425609</v>
      </c>
      <c r="C27" s="145">
        <v>7.9607910576096312</v>
      </c>
      <c r="D27" s="145">
        <v>9.7893379191745478</v>
      </c>
      <c r="E27" s="145">
        <v>12.493207222699914</v>
      </c>
      <c r="F27" s="145">
        <v>14.879105760963027</v>
      </c>
      <c r="G27" s="145">
        <v>18.092347377472052</v>
      </c>
      <c r="H27" s="145">
        <v>20.987188306104908</v>
      </c>
      <c r="I27" s="145">
        <v>22.660189165950129</v>
      </c>
      <c r="J27" s="145">
        <v>26.719862424763519</v>
      </c>
      <c r="K27" s="145">
        <v>31.779449699054172</v>
      </c>
      <c r="L27" s="145">
        <v>35.253654342218397</v>
      </c>
      <c r="M27" s="145">
        <v>38.069217540842622</v>
      </c>
      <c r="N27" s="145">
        <v>40.957781599312135</v>
      </c>
      <c r="O27" s="145">
        <v>41.736629406706818</v>
      </c>
      <c r="P27" s="145">
        <v>44.718400687876141</v>
      </c>
      <c r="Q27" s="145">
        <v>47.540842648323334</v>
      </c>
      <c r="R27" s="145">
        <v>47.456835769561479</v>
      </c>
      <c r="S27" s="145">
        <v>48.364918314703374</v>
      </c>
      <c r="T27" s="145">
        <v>49.191143594153047</v>
      </c>
      <c r="U27" s="145">
        <v>49.635167669819438</v>
      </c>
      <c r="V27" s="145">
        <v>49.308598452278588</v>
      </c>
      <c r="W27" s="145">
        <v>48.339122957867602</v>
      </c>
      <c r="X27" s="145">
        <v>46.807566638005113</v>
      </c>
      <c r="Y27" s="145">
        <v>45.135081685296676</v>
      </c>
      <c r="DA27" s="158" t="s">
        <v>295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955.12763217920565</v>
      </c>
      <c r="C29" s="130">
        <f t="shared" si="12"/>
        <v>1014.0372540389758</v>
      </c>
      <c r="D29" s="130">
        <f t="shared" si="12"/>
        <v>1001.070947236641</v>
      </c>
      <c r="E29" s="130">
        <f t="shared" si="12"/>
        <v>995.56931029546286</v>
      </c>
      <c r="F29" s="130">
        <f t="shared" si="12"/>
        <v>1106.5377733606806</v>
      </c>
      <c r="G29" s="130">
        <f t="shared" si="12"/>
        <v>1146.1808871973676</v>
      </c>
      <c r="H29" s="130">
        <f t="shared" si="12"/>
        <v>1252.4366676414975</v>
      </c>
      <c r="I29" s="130">
        <f t="shared" si="12"/>
        <v>1308.5939160052062</v>
      </c>
      <c r="J29" s="130">
        <f t="shared" si="12"/>
        <v>1372.6933861604889</v>
      </c>
      <c r="K29" s="130">
        <f t="shared" si="12"/>
        <v>1362.3717239718881</v>
      </c>
      <c r="L29" s="130">
        <f t="shared" si="12"/>
        <v>1412.7228448370661</v>
      </c>
      <c r="M29" s="130">
        <f t="shared" si="12"/>
        <v>1430.9640171608844</v>
      </c>
      <c r="N29" s="130">
        <f t="shared" si="12"/>
        <v>1421.7295117439385</v>
      </c>
      <c r="O29" s="130">
        <f t="shared" si="12"/>
        <v>1439.1108676597278</v>
      </c>
      <c r="P29" s="130">
        <f t="shared" si="12"/>
        <v>1517.7817182937174</v>
      </c>
      <c r="Q29" s="130">
        <f t="shared" si="12"/>
        <v>1547.1282633552942</v>
      </c>
      <c r="R29" s="130">
        <f t="shared" ref="R29:W29" si="13">SUM(R30:R33)</f>
        <v>1548.3746579347717</v>
      </c>
      <c r="S29" s="130">
        <f t="shared" si="13"/>
        <v>1598.4017834636102</v>
      </c>
      <c r="T29" s="130">
        <f t="shared" si="13"/>
        <v>1625.6172107804728</v>
      </c>
      <c r="U29" s="130">
        <f t="shared" si="13"/>
        <v>1665.493733604219</v>
      </c>
      <c r="V29" s="130">
        <f t="shared" si="13"/>
        <v>1403.3168602873757</v>
      </c>
      <c r="W29" s="130">
        <f t="shared" si="13"/>
        <v>1604.6434103987963</v>
      </c>
      <c r="X29" s="130">
        <f t="shared" ref="X29:Y29" si="14">SUM(X30:X33)</f>
        <v>1443.0684277320427</v>
      </c>
      <c r="Y29" s="130">
        <f t="shared" si="14"/>
        <v>1641.8119602838772</v>
      </c>
      <c r="DA29" s="155" t="s">
        <v>217</v>
      </c>
    </row>
    <row r="30" spans="1:105" ht="12" customHeight="1" x14ac:dyDescent="0.25">
      <c r="A30" s="131" t="s">
        <v>52</v>
      </c>
      <c r="B30" s="132">
        <v>177.69189705689797</v>
      </c>
      <c r="C30" s="132">
        <v>195.74669224800283</v>
      </c>
      <c r="D30" s="132">
        <v>195.35015639940158</v>
      </c>
      <c r="E30" s="132">
        <v>191.72740659229555</v>
      </c>
      <c r="F30" s="132">
        <v>201.91495026636022</v>
      </c>
      <c r="G30" s="132">
        <v>184.05222230279796</v>
      </c>
      <c r="H30" s="132">
        <v>165.17839996922854</v>
      </c>
      <c r="I30" s="132">
        <v>169.94273115400375</v>
      </c>
      <c r="J30" s="132">
        <v>177.11564268263615</v>
      </c>
      <c r="K30" s="132">
        <v>157.00640140181324</v>
      </c>
      <c r="L30" s="132">
        <v>154.29676657442596</v>
      </c>
      <c r="M30" s="132">
        <v>141.78564737108005</v>
      </c>
      <c r="N30" s="132">
        <v>132.64842642954937</v>
      </c>
      <c r="O30" s="132">
        <v>124.50525708772217</v>
      </c>
      <c r="P30" s="132">
        <v>85.530249106161634</v>
      </c>
      <c r="Q30" s="132">
        <v>137.97415377676296</v>
      </c>
      <c r="R30" s="132">
        <v>191.50636948397405</v>
      </c>
      <c r="S30" s="132">
        <v>155.38948375285568</v>
      </c>
      <c r="T30" s="132">
        <v>175.31946147721425</v>
      </c>
      <c r="U30" s="132">
        <v>146.09946985359571</v>
      </c>
      <c r="V30" s="132">
        <v>90.942943270831975</v>
      </c>
      <c r="W30" s="132">
        <v>106.7890051493969</v>
      </c>
      <c r="X30" s="132">
        <v>134.38038663392237</v>
      </c>
      <c r="Y30" s="132">
        <v>205.90420760143041</v>
      </c>
      <c r="DA30" s="156" t="s">
        <v>296</v>
      </c>
    </row>
    <row r="31" spans="1:105" ht="12" customHeight="1" x14ac:dyDescent="0.25">
      <c r="A31" s="131" t="s">
        <v>149</v>
      </c>
      <c r="B31" s="132">
        <v>161.11629739894457</v>
      </c>
      <c r="C31" s="132">
        <v>196.72898993602459</v>
      </c>
      <c r="D31" s="132">
        <v>173.84935626776013</v>
      </c>
      <c r="E31" s="132">
        <v>159.84476404868474</v>
      </c>
      <c r="F31" s="132">
        <v>254.81796372379503</v>
      </c>
      <c r="G31" s="132">
        <v>281.27403222149434</v>
      </c>
      <c r="H31" s="132">
        <v>326.36876775753461</v>
      </c>
      <c r="I31" s="132">
        <v>339.05869647596944</v>
      </c>
      <c r="J31" s="132">
        <v>357.10559234733358</v>
      </c>
      <c r="K31" s="132">
        <v>363.66537261770515</v>
      </c>
      <c r="L31" s="132">
        <v>389.11450976744209</v>
      </c>
      <c r="M31" s="132">
        <v>409.53634233832628</v>
      </c>
      <c r="N31" s="132">
        <v>448.46912140936496</v>
      </c>
      <c r="O31" s="132">
        <v>533.2832384276112</v>
      </c>
      <c r="P31" s="132">
        <v>938.22175552146825</v>
      </c>
      <c r="Q31" s="132">
        <v>999.74861591979413</v>
      </c>
      <c r="R31" s="132">
        <v>1027.8591569979883</v>
      </c>
      <c r="S31" s="132">
        <v>1042.5960568109876</v>
      </c>
      <c r="T31" s="132">
        <v>907.33871722307185</v>
      </c>
      <c r="U31" s="132">
        <v>940.00008088460584</v>
      </c>
      <c r="V31" s="132">
        <v>1004.8817784253927</v>
      </c>
      <c r="W31" s="132">
        <v>975.42083812433759</v>
      </c>
      <c r="X31" s="132">
        <v>828.48926312577726</v>
      </c>
      <c r="Y31" s="132">
        <v>762.65828633573346</v>
      </c>
      <c r="DA31" s="156" t="s">
        <v>297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298</v>
      </c>
    </row>
    <row r="33" spans="1:105" ht="12" customHeight="1" x14ac:dyDescent="0.25">
      <c r="A33" s="62" t="s">
        <v>24</v>
      </c>
      <c r="B33" s="68">
        <v>616.31943772336308</v>
      </c>
      <c r="C33" s="68">
        <v>621.5615718549484</v>
      </c>
      <c r="D33" s="68">
        <v>631.87143456947933</v>
      </c>
      <c r="E33" s="68">
        <v>643.99713965448257</v>
      </c>
      <c r="F33" s="68">
        <v>649.80485937052549</v>
      </c>
      <c r="G33" s="68">
        <v>680.85463267307546</v>
      </c>
      <c r="H33" s="68">
        <v>760.88949991473419</v>
      </c>
      <c r="I33" s="68">
        <v>799.59248837523296</v>
      </c>
      <c r="J33" s="68">
        <v>838.47215113051925</v>
      </c>
      <c r="K33" s="68">
        <v>841.69994995236982</v>
      </c>
      <c r="L33" s="68">
        <v>869.31156849519789</v>
      </c>
      <c r="M33" s="68">
        <v>879.64202745147804</v>
      </c>
      <c r="N33" s="68">
        <v>840.61196390502403</v>
      </c>
      <c r="O33" s="68">
        <v>781.32237214439431</v>
      </c>
      <c r="P33" s="68">
        <v>494.0297136660875</v>
      </c>
      <c r="Q33" s="68">
        <v>409.40549365873704</v>
      </c>
      <c r="R33" s="68">
        <v>329.00913145280924</v>
      </c>
      <c r="S33" s="68">
        <v>400.41624289976681</v>
      </c>
      <c r="T33" s="68">
        <v>542.9590320801866</v>
      </c>
      <c r="U33" s="68">
        <v>579.39418286601733</v>
      </c>
      <c r="V33" s="68">
        <v>307.49213859115099</v>
      </c>
      <c r="W33" s="68">
        <v>522.43356712506159</v>
      </c>
      <c r="X33" s="68">
        <v>480.19877797234295</v>
      </c>
      <c r="Y33" s="68">
        <v>673.24946634671323</v>
      </c>
      <c r="DA33" s="111" t="s">
        <v>299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300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>
        <f t="shared" ref="B3:Q3" si="0">SUM(B4,B16,B19,B29)</f>
        <v>2382.6489659354643</v>
      </c>
      <c r="C3" s="125">
        <f t="shared" si="0"/>
        <v>2515.2931272813998</v>
      </c>
      <c r="D3" s="125">
        <f t="shared" si="0"/>
        <v>2550.0596055893429</v>
      </c>
      <c r="E3" s="125">
        <f t="shared" si="0"/>
        <v>2744.8420099329014</v>
      </c>
      <c r="F3" s="125">
        <f t="shared" si="0"/>
        <v>2968.8774532420398</v>
      </c>
      <c r="G3" s="125">
        <f t="shared" si="0"/>
        <v>3348.1138789093702</v>
      </c>
      <c r="H3" s="125">
        <f t="shared" si="0"/>
        <v>4617.0001454350913</v>
      </c>
      <c r="I3" s="125">
        <f t="shared" si="0"/>
        <v>3976.0242843747847</v>
      </c>
      <c r="J3" s="125">
        <f t="shared" si="0"/>
        <v>4341.5955073575687</v>
      </c>
      <c r="K3" s="125">
        <f t="shared" si="0"/>
        <v>5017.3752973801356</v>
      </c>
      <c r="L3" s="125">
        <f t="shared" si="0"/>
        <v>5456.6470014108963</v>
      </c>
      <c r="M3" s="125">
        <f t="shared" si="0"/>
        <v>5396.502893085496</v>
      </c>
      <c r="N3" s="125">
        <f t="shared" si="0"/>
        <v>5605.0271881474009</v>
      </c>
      <c r="O3" s="125">
        <f t="shared" si="0"/>
        <v>5093.5166259709194</v>
      </c>
      <c r="P3" s="125">
        <f t="shared" si="0"/>
        <v>4504.9757314534299</v>
      </c>
      <c r="Q3" s="125">
        <f t="shared" si="0"/>
        <v>5489.7129856651864</v>
      </c>
      <c r="R3" s="125">
        <f t="shared" ref="R3:W3" si="1">SUM(R4,R16,R19,R29)</f>
        <v>5621.7346350385124</v>
      </c>
      <c r="S3" s="125">
        <f t="shared" si="1"/>
        <v>6375.8686645656735</v>
      </c>
      <c r="T3" s="125">
        <f t="shared" si="1"/>
        <v>5815.684370407751</v>
      </c>
      <c r="U3" s="125">
        <f t="shared" si="1"/>
        <v>6124.6503467081311</v>
      </c>
      <c r="V3" s="125">
        <f t="shared" si="1"/>
        <v>6200.6269328317248</v>
      </c>
      <c r="W3" s="125">
        <f t="shared" si="1"/>
        <v>6357.6763627187574</v>
      </c>
      <c r="X3" s="125">
        <f t="shared" ref="X3:Y3" si="2">SUM(X4,X16,X19,X29)</f>
        <v>7090.8988527296397</v>
      </c>
      <c r="Y3" s="125">
        <f t="shared" si="2"/>
        <v>7403.3548343340344</v>
      </c>
      <c r="DA3" s="154" t="s">
        <v>301</v>
      </c>
    </row>
    <row r="4" spans="1:105" ht="12.95" customHeight="1" x14ac:dyDescent="0.25">
      <c r="A4" s="129" t="s">
        <v>32</v>
      </c>
      <c r="B4" s="130">
        <f t="shared" ref="B4:Q4" si="3">SUM(B5:B15)</f>
        <v>879.08830741461634</v>
      </c>
      <c r="C4" s="130">
        <f t="shared" si="3"/>
        <v>852.71698177035069</v>
      </c>
      <c r="D4" s="130">
        <f t="shared" si="3"/>
        <v>827.50162649907827</v>
      </c>
      <c r="E4" s="130">
        <f t="shared" si="3"/>
        <v>708.20541870128898</v>
      </c>
      <c r="F4" s="130">
        <f t="shared" si="3"/>
        <v>832.9414594755051</v>
      </c>
      <c r="G4" s="130">
        <f t="shared" si="3"/>
        <v>984.69297121953423</v>
      </c>
      <c r="H4" s="130">
        <f t="shared" si="3"/>
        <v>1830.9622792705961</v>
      </c>
      <c r="I4" s="130">
        <f t="shared" si="3"/>
        <v>1259.7161461783771</v>
      </c>
      <c r="J4" s="130">
        <f t="shared" si="3"/>
        <v>1324.3505915207061</v>
      </c>
      <c r="K4" s="130">
        <f t="shared" si="3"/>
        <v>1394.5622578656141</v>
      </c>
      <c r="L4" s="130">
        <f t="shared" si="3"/>
        <v>1721.6685693663733</v>
      </c>
      <c r="M4" s="130">
        <f t="shared" si="3"/>
        <v>1724.307789982422</v>
      </c>
      <c r="N4" s="130">
        <f t="shared" si="3"/>
        <v>1445.0526363296817</v>
      </c>
      <c r="O4" s="130">
        <f t="shared" si="3"/>
        <v>1326.7372680015135</v>
      </c>
      <c r="P4" s="130">
        <f t="shared" si="3"/>
        <v>869.82229083541097</v>
      </c>
      <c r="Q4" s="130">
        <f t="shared" si="3"/>
        <v>903.8305778867184</v>
      </c>
      <c r="R4" s="130">
        <f t="shared" ref="R4:W4" si="4">SUM(R5:R15)</f>
        <v>1065.6956602680573</v>
      </c>
      <c r="S4" s="130">
        <f t="shared" si="4"/>
        <v>1253.2134531312784</v>
      </c>
      <c r="T4" s="130">
        <f t="shared" si="4"/>
        <v>1523.3458754978815</v>
      </c>
      <c r="U4" s="130">
        <f t="shared" si="4"/>
        <v>1635.109549835294</v>
      </c>
      <c r="V4" s="130">
        <f t="shared" si="4"/>
        <v>1645.4635578880288</v>
      </c>
      <c r="W4" s="130">
        <f t="shared" si="4"/>
        <v>1931.4691558898371</v>
      </c>
      <c r="X4" s="130">
        <f t="shared" ref="X4:Y4" si="5">SUM(X5:X15)</f>
        <v>2017.4902730481167</v>
      </c>
      <c r="Y4" s="130">
        <f t="shared" si="5"/>
        <v>2068.5604023115188</v>
      </c>
      <c r="DA4" s="155" t="s">
        <v>302</v>
      </c>
    </row>
    <row r="5" spans="1:105" ht="12" customHeight="1" x14ac:dyDescent="0.25">
      <c r="A5" s="131" t="s">
        <v>29</v>
      </c>
      <c r="B5" s="132">
        <v>0</v>
      </c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303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304</v>
      </c>
    </row>
    <row r="7" spans="1:105" ht="12" customHeight="1" x14ac:dyDescent="0.25">
      <c r="A7" s="131" t="s">
        <v>161</v>
      </c>
      <c r="B7" s="132">
        <v>491.01435342462401</v>
      </c>
      <c r="C7" s="132">
        <v>552.48555685640542</v>
      </c>
      <c r="D7" s="132">
        <v>545.66538643111949</v>
      </c>
      <c r="E7" s="132">
        <v>621.0220694421846</v>
      </c>
      <c r="F7" s="132">
        <v>693.02853869839055</v>
      </c>
      <c r="G7" s="132">
        <v>705.87556172301072</v>
      </c>
      <c r="H7" s="132">
        <v>494.85164203079574</v>
      </c>
      <c r="I7" s="132">
        <v>454.42583402971445</v>
      </c>
      <c r="J7" s="132">
        <v>428.07806632289169</v>
      </c>
      <c r="K7" s="132">
        <v>424.04846157918161</v>
      </c>
      <c r="L7" s="132">
        <v>426.66886810960688</v>
      </c>
      <c r="M7" s="132">
        <v>417.50379217440928</v>
      </c>
      <c r="N7" s="132">
        <v>465.32842146077752</v>
      </c>
      <c r="O7" s="132">
        <v>534.56230024586387</v>
      </c>
      <c r="P7" s="132">
        <v>406.05811036332881</v>
      </c>
      <c r="Q7" s="132">
        <v>285.2347668175974</v>
      </c>
      <c r="R7" s="132">
        <v>368.13735092100114</v>
      </c>
      <c r="S7" s="132">
        <v>416.30926619311225</v>
      </c>
      <c r="T7" s="132">
        <v>447.90498705682796</v>
      </c>
      <c r="U7" s="132">
        <v>422.81683805367061</v>
      </c>
      <c r="V7" s="132">
        <v>398.74032038808792</v>
      </c>
      <c r="W7" s="132">
        <v>447.95015050009926</v>
      </c>
      <c r="X7" s="132">
        <v>434.69319601180092</v>
      </c>
      <c r="Y7" s="132">
        <v>329.34012165005106</v>
      </c>
      <c r="DA7" s="156" t="s">
        <v>305</v>
      </c>
    </row>
    <row r="8" spans="1:105" ht="12" customHeight="1" x14ac:dyDescent="0.25">
      <c r="A8" s="131" t="s">
        <v>73</v>
      </c>
      <c r="B8" s="132">
        <v>1.4933862113806295E-2</v>
      </c>
      <c r="C8" s="132">
        <v>2.3504778681750434E-2</v>
      </c>
      <c r="D8" s="132">
        <v>3.4393506913616013E-2</v>
      </c>
      <c r="E8" s="132">
        <v>3.8914568075800814E-2</v>
      </c>
      <c r="F8" s="132">
        <v>6.6530935109860329E-2</v>
      </c>
      <c r="G8" s="132">
        <v>0.16865549195122473</v>
      </c>
      <c r="H8" s="132">
        <v>0.37303135826157052</v>
      </c>
      <c r="I8" s="132">
        <v>0.44376765983298033</v>
      </c>
      <c r="J8" s="132">
        <v>0.49239816512001966</v>
      </c>
      <c r="K8" s="132">
        <v>0.53884026247452699</v>
      </c>
      <c r="L8" s="132">
        <v>0.6691751908810013</v>
      </c>
      <c r="M8" s="132">
        <v>1.2901066462690634</v>
      </c>
      <c r="N8" s="132">
        <v>2.3455310297191252</v>
      </c>
      <c r="O8" s="132">
        <v>4.6991435508437949</v>
      </c>
      <c r="P8" s="132">
        <v>8.6726080824806804</v>
      </c>
      <c r="Q8" s="132">
        <v>11.642432507279151</v>
      </c>
      <c r="R8" s="132">
        <v>16.361577481595347</v>
      </c>
      <c r="S8" s="132">
        <v>20.711724007044541</v>
      </c>
      <c r="T8" s="132">
        <v>22.327607113919893</v>
      </c>
      <c r="U8" s="132">
        <v>37.811657442610937</v>
      </c>
      <c r="V8" s="132">
        <v>31.033541828912814</v>
      </c>
      <c r="W8" s="132">
        <v>42.30060912808657</v>
      </c>
      <c r="X8" s="132">
        <v>48.916272529085887</v>
      </c>
      <c r="Y8" s="132">
        <v>61.276838408836333</v>
      </c>
      <c r="DA8" s="156" t="s">
        <v>306</v>
      </c>
    </row>
    <row r="9" spans="1:105" ht="12" customHeight="1" x14ac:dyDescent="0.25">
      <c r="A9" s="131" t="s">
        <v>78</v>
      </c>
      <c r="B9" s="132">
        <v>136.10726340194117</v>
      </c>
      <c r="C9" s="132">
        <v>154.18929244109228</v>
      </c>
      <c r="D9" s="132">
        <v>186.59357585106051</v>
      </c>
      <c r="E9" s="132">
        <v>13.612505101115458</v>
      </c>
      <c r="F9" s="132">
        <v>19.117944790468961</v>
      </c>
      <c r="G9" s="132">
        <v>170.49839137842272</v>
      </c>
      <c r="H9" s="132">
        <v>895.37813314595167</v>
      </c>
      <c r="I9" s="132">
        <v>457.27658602536349</v>
      </c>
      <c r="J9" s="132">
        <v>368.94736015835576</v>
      </c>
      <c r="K9" s="132">
        <v>518.44241437286007</v>
      </c>
      <c r="L9" s="132">
        <v>746.57843515064849</v>
      </c>
      <c r="M9" s="132">
        <v>856.68689534085968</v>
      </c>
      <c r="N9" s="132">
        <v>632.91291981388702</v>
      </c>
      <c r="O9" s="132">
        <v>510.15322052682041</v>
      </c>
      <c r="P9" s="132">
        <v>207.27595132433694</v>
      </c>
      <c r="Q9" s="132">
        <v>280.47054022352347</v>
      </c>
      <c r="R9" s="132">
        <v>259.38066405359723</v>
      </c>
      <c r="S9" s="132">
        <v>266.78626536040406</v>
      </c>
      <c r="T9" s="132">
        <v>383.69151260864476</v>
      </c>
      <c r="U9" s="132">
        <v>401.4558696752373</v>
      </c>
      <c r="V9" s="132">
        <v>353.31290220545935</v>
      </c>
      <c r="W9" s="132">
        <v>465.83441808516363</v>
      </c>
      <c r="X9" s="132">
        <v>441.10523922870237</v>
      </c>
      <c r="Y9" s="132">
        <v>486.48128672430255</v>
      </c>
      <c r="DA9" s="156" t="s">
        <v>307</v>
      </c>
    </row>
    <row r="10" spans="1:105" ht="12" customHeight="1" x14ac:dyDescent="0.25">
      <c r="A10" s="131" t="s">
        <v>128</v>
      </c>
      <c r="B10" s="132">
        <v>17.367064701544447</v>
      </c>
      <c r="C10" s="132">
        <v>18.109161440268458</v>
      </c>
      <c r="D10" s="132">
        <v>18.653284958773337</v>
      </c>
      <c r="E10" s="132">
        <v>18.96526576169202</v>
      </c>
      <c r="F10" s="132">
        <v>19.32799820892139</v>
      </c>
      <c r="G10" s="132">
        <v>19.78296294965093</v>
      </c>
      <c r="H10" s="132">
        <v>30.985011591481385</v>
      </c>
      <c r="I10" s="132">
        <v>32.371820860492988</v>
      </c>
      <c r="J10" s="132">
        <v>37.517467994935856</v>
      </c>
      <c r="K10" s="132">
        <v>27.547992747928042</v>
      </c>
      <c r="L10" s="132">
        <v>28.778061087895438</v>
      </c>
      <c r="M10" s="132">
        <v>31.25122736747711</v>
      </c>
      <c r="N10" s="132">
        <v>34.019059467462263</v>
      </c>
      <c r="O10" s="132">
        <v>36.254319281514363</v>
      </c>
      <c r="P10" s="132">
        <v>37.065016163896047</v>
      </c>
      <c r="Q10" s="132">
        <v>42.504885235504574</v>
      </c>
      <c r="R10" s="132">
        <v>53.955375263022852</v>
      </c>
      <c r="S10" s="132">
        <v>58.270837409339379</v>
      </c>
      <c r="T10" s="132">
        <v>57.586220093657062</v>
      </c>
      <c r="U10" s="132">
        <v>59.720602167744396</v>
      </c>
      <c r="V10" s="132">
        <v>60.766249866206408</v>
      </c>
      <c r="W10" s="132">
        <v>66.048154273397913</v>
      </c>
      <c r="X10" s="132">
        <v>67.171405728176609</v>
      </c>
      <c r="Y10" s="132">
        <v>68.738032522065112</v>
      </c>
      <c r="DA10" s="156" t="s">
        <v>308</v>
      </c>
    </row>
    <row r="11" spans="1:105" ht="12" customHeight="1" x14ac:dyDescent="0.25">
      <c r="A11" s="131" t="s">
        <v>25</v>
      </c>
      <c r="B11" s="132">
        <v>0.74583294872463046</v>
      </c>
      <c r="C11" s="132">
        <v>0.74583294872463046</v>
      </c>
      <c r="D11" s="132">
        <v>9.557155875617121E-2</v>
      </c>
      <c r="E11" s="132">
        <v>6.8340691831159206E-2</v>
      </c>
      <c r="F11" s="132">
        <v>6.8340691831159206E-2</v>
      </c>
      <c r="G11" s="132">
        <v>6.8340691831159206E-2</v>
      </c>
      <c r="H11" s="132">
        <v>6.8340691831159206E-2</v>
      </c>
      <c r="I11" s="132">
        <v>6.8345969147572253E-2</v>
      </c>
      <c r="J11" s="132">
        <v>6.834596786010122E-2</v>
      </c>
      <c r="K11" s="132">
        <v>6.834596786010122E-2</v>
      </c>
      <c r="L11" s="132">
        <v>6.834596786010122E-2</v>
      </c>
      <c r="M11" s="132">
        <v>6.8516369878201033E-2</v>
      </c>
      <c r="N11" s="132">
        <v>7.0105825191453475E-2</v>
      </c>
      <c r="O11" s="132">
        <v>7.8088520459706032E-2</v>
      </c>
      <c r="P11" s="132">
        <v>7.8178609409072397E-2</v>
      </c>
      <c r="Q11" s="132">
        <v>7.8207908121692468E-2</v>
      </c>
      <c r="R11" s="132">
        <v>7.8208674881047588E-2</v>
      </c>
      <c r="S11" s="132">
        <v>7.820869361501398E-2</v>
      </c>
      <c r="T11" s="132">
        <v>7.8208693615013952E-2</v>
      </c>
      <c r="U11" s="132">
        <v>7.8208693615013952E-2</v>
      </c>
      <c r="V11" s="132">
        <v>7.820881786314296E-2</v>
      </c>
      <c r="W11" s="132">
        <v>7.8209049692842675E-2</v>
      </c>
      <c r="X11" s="132">
        <v>7.8209361511778125E-2</v>
      </c>
      <c r="Y11" s="132">
        <v>7.8209783882967523E-2</v>
      </c>
      <c r="DA11" s="156" t="s">
        <v>309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310</v>
      </c>
    </row>
    <row r="13" spans="1:105" ht="12" customHeight="1" x14ac:dyDescent="0.25">
      <c r="A13" s="131" t="s">
        <v>77</v>
      </c>
      <c r="B13" s="132">
        <v>3.6214493471637064</v>
      </c>
      <c r="C13" s="132">
        <v>4.9499679779702177</v>
      </c>
      <c r="D13" s="132">
        <v>5.4763886172022858</v>
      </c>
      <c r="E13" s="132">
        <v>7.7565750023282929</v>
      </c>
      <c r="F13" s="132">
        <v>8.5922628632331914</v>
      </c>
      <c r="G13" s="132">
        <v>14.389533612852718</v>
      </c>
      <c r="H13" s="132">
        <v>19.84082523700383</v>
      </c>
      <c r="I13" s="132">
        <v>33.726227066448956</v>
      </c>
      <c r="J13" s="132">
        <v>53.273537159197758</v>
      </c>
      <c r="K13" s="132">
        <v>63.983926646873165</v>
      </c>
      <c r="L13" s="132">
        <v>72.905716868559452</v>
      </c>
      <c r="M13" s="132">
        <v>84.424569988490234</v>
      </c>
      <c r="N13" s="132">
        <v>117.53259402984854</v>
      </c>
      <c r="O13" s="132">
        <v>146.60193478740547</v>
      </c>
      <c r="P13" s="132">
        <v>178.76401127112499</v>
      </c>
      <c r="Q13" s="132">
        <v>261.9912690426932</v>
      </c>
      <c r="R13" s="132">
        <v>346.71518708964322</v>
      </c>
      <c r="S13" s="132">
        <v>443.49234732193213</v>
      </c>
      <c r="T13" s="132">
        <v>549.37216498600219</v>
      </c>
      <c r="U13" s="132">
        <v>647.12442025406858</v>
      </c>
      <c r="V13" s="132">
        <v>755.73978108077949</v>
      </c>
      <c r="W13" s="132">
        <v>845.42785884847422</v>
      </c>
      <c r="X13" s="132">
        <v>963.37698201727392</v>
      </c>
      <c r="Y13" s="132">
        <v>1068.7314718065304</v>
      </c>
      <c r="DA13" s="156" t="s">
        <v>311</v>
      </c>
    </row>
    <row r="14" spans="1:105" ht="12" customHeight="1" x14ac:dyDescent="0.25">
      <c r="A14" s="60" t="s">
        <v>76</v>
      </c>
      <c r="B14" s="65">
        <v>217.49750291090362</v>
      </c>
      <c r="C14" s="65">
        <v>108.19292926473683</v>
      </c>
      <c r="D14" s="65">
        <v>56.746784574926991</v>
      </c>
      <c r="E14" s="65">
        <v>34.609472470073364</v>
      </c>
      <c r="F14" s="65">
        <v>79.386760268822243</v>
      </c>
      <c r="G14" s="65">
        <v>57.790297986279782</v>
      </c>
      <c r="H14" s="65">
        <v>364.30401083220278</v>
      </c>
      <c r="I14" s="65">
        <v>265.04153608627797</v>
      </c>
      <c r="J14" s="65">
        <v>421.78779843355341</v>
      </c>
      <c r="K14" s="65">
        <v>343.51894138263663</v>
      </c>
      <c r="L14" s="65">
        <v>425.85871570992435</v>
      </c>
      <c r="M14" s="65">
        <v>311.44562776707733</v>
      </c>
      <c r="N14" s="65">
        <v>174.31643380974768</v>
      </c>
      <c r="O14" s="65">
        <v>76.879439251008904</v>
      </c>
      <c r="P14" s="65">
        <v>21.578640356171746</v>
      </c>
      <c r="Q14" s="65">
        <v>12.372908959949177</v>
      </c>
      <c r="R14" s="65">
        <v>10.491685213135922</v>
      </c>
      <c r="S14" s="65">
        <v>36.105274357846284</v>
      </c>
      <c r="T14" s="65">
        <v>48.60289970190226</v>
      </c>
      <c r="U14" s="65">
        <v>52.422102034824754</v>
      </c>
      <c r="V14" s="65">
        <v>33.300540320830777</v>
      </c>
      <c r="W14" s="65">
        <v>48.632900668325107</v>
      </c>
      <c r="X14" s="65">
        <v>47.519863091870782</v>
      </c>
      <c r="Y14" s="65">
        <v>40.162074947901438</v>
      </c>
      <c r="DA14" s="109" t="s">
        <v>312</v>
      </c>
    </row>
    <row r="15" spans="1:105" ht="12" customHeight="1" x14ac:dyDescent="0.25">
      <c r="A15" s="133" t="s">
        <v>80</v>
      </c>
      <c r="B15" s="134">
        <v>12.719906817600942</v>
      </c>
      <c r="C15" s="134">
        <v>14.020736062471117</v>
      </c>
      <c r="D15" s="134">
        <v>14.236241000325945</v>
      </c>
      <c r="E15" s="134">
        <v>12.132275663988324</v>
      </c>
      <c r="F15" s="134">
        <v>13.353083018727769</v>
      </c>
      <c r="G15" s="134">
        <v>16.119227385534924</v>
      </c>
      <c r="H15" s="134">
        <v>25.161284383068146</v>
      </c>
      <c r="I15" s="134">
        <v>16.362028481098719</v>
      </c>
      <c r="J15" s="134">
        <v>14.185617318791525</v>
      </c>
      <c r="K15" s="134">
        <v>16.413334905799893</v>
      </c>
      <c r="L15" s="134">
        <v>20.141251280997736</v>
      </c>
      <c r="M15" s="134">
        <v>21.637054327960911</v>
      </c>
      <c r="N15" s="134">
        <v>18.527570893048253</v>
      </c>
      <c r="O15" s="134">
        <v>17.508821837596699</v>
      </c>
      <c r="P15" s="134">
        <v>10.329774664662665</v>
      </c>
      <c r="Q15" s="134">
        <v>9.5355671920496903</v>
      </c>
      <c r="R15" s="134">
        <v>10.575611571180509</v>
      </c>
      <c r="S15" s="134">
        <v>11.459529787984579</v>
      </c>
      <c r="T15" s="134">
        <v>13.782275243312323</v>
      </c>
      <c r="U15" s="134">
        <v>13.679851513522463</v>
      </c>
      <c r="V15" s="134">
        <v>12.492013379888981</v>
      </c>
      <c r="W15" s="134">
        <v>15.196855336597604</v>
      </c>
      <c r="X15" s="134">
        <v>14.629105079694369</v>
      </c>
      <c r="Y15" s="134">
        <v>13.752366467948733</v>
      </c>
      <c r="DA15" s="157" t="s">
        <v>313</v>
      </c>
    </row>
    <row r="16" spans="1:105" ht="12.95" customHeight="1" x14ac:dyDescent="0.25">
      <c r="A16" s="129" t="s">
        <v>74</v>
      </c>
      <c r="B16" s="130">
        <f t="shared" ref="B16:Q16" si="6">SUM(B17:B18)</f>
        <v>416.21185130937749</v>
      </c>
      <c r="C16" s="130">
        <f t="shared" si="6"/>
        <v>508.28667102681356</v>
      </c>
      <c r="D16" s="130">
        <f t="shared" si="6"/>
        <v>531.21530951054081</v>
      </c>
      <c r="E16" s="130">
        <f t="shared" si="6"/>
        <v>826.0527793887029</v>
      </c>
      <c r="F16" s="130">
        <f t="shared" si="6"/>
        <v>810.970927293567</v>
      </c>
      <c r="G16" s="130">
        <f t="shared" si="6"/>
        <v>988.94850828663573</v>
      </c>
      <c r="H16" s="130">
        <f t="shared" si="6"/>
        <v>1300.1869893126247</v>
      </c>
      <c r="I16" s="130">
        <f t="shared" si="6"/>
        <v>1175.3083668106701</v>
      </c>
      <c r="J16" s="130">
        <f t="shared" si="6"/>
        <v>1404.8323430597388</v>
      </c>
      <c r="K16" s="130">
        <f t="shared" si="6"/>
        <v>2010.9676705834775</v>
      </c>
      <c r="L16" s="130">
        <f t="shared" si="6"/>
        <v>2068.5345855561486</v>
      </c>
      <c r="M16" s="130">
        <f t="shared" si="6"/>
        <v>1982.2613720823178</v>
      </c>
      <c r="N16" s="130">
        <f t="shared" si="6"/>
        <v>2487.9733222719356</v>
      </c>
      <c r="O16" s="130">
        <f t="shared" si="6"/>
        <v>2071.2610971923405</v>
      </c>
      <c r="P16" s="130">
        <f t="shared" si="6"/>
        <v>1959.7525064987055</v>
      </c>
      <c r="Q16" s="130">
        <f t="shared" si="6"/>
        <v>2938.3593534564425</v>
      </c>
      <c r="R16" s="130">
        <f t="shared" ref="R16:W16" si="7">SUM(R17:R18)</f>
        <v>2925.9224981897551</v>
      </c>
      <c r="S16" s="130">
        <f t="shared" si="7"/>
        <v>3457.6180812206921</v>
      </c>
      <c r="T16" s="130">
        <f t="shared" si="7"/>
        <v>2508.8750157006643</v>
      </c>
      <c r="U16" s="130">
        <f t="shared" si="7"/>
        <v>2663.5966300688619</v>
      </c>
      <c r="V16" s="130">
        <f t="shared" si="7"/>
        <v>3008.9189740746042</v>
      </c>
      <c r="W16" s="130">
        <f t="shared" si="7"/>
        <v>2635.4468524510662</v>
      </c>
      <c r="X16" s="130">
        <f t="shared" ref="X16:Y16" si="8">SUM(X17:X18)</f>
        <v>3401.0238952870973</v>
      </c>
      <c r="Y16" s="130">
        <f t="shared" si="8"/>
        <v>3474.0498278417099</v>
      </c>
      <c r="DA16" s="155" t="s">
        <v>314</v>
      </c>
    </row>
    <row r="17" spans="1:105" ht="12.95" customHeight="1" x14ac:dyDescent="0.25">
      <c r="A17" s="131" t="s">
        <v>73</v>
      </c>
      <c r="B17" s="132">
        <v>0.31277286901977508</v>
      </c>
      <c r="C17" s="132">
        <v>0.37904041854886367</v>
      </c>
      <c r="D17" s="132">
        <v>0.35616552622029107</v>
      </c>
      <c r="E17" s="132">
        <v>0.77516265841180365</v>
      </c>
      <c r="F17" s="132">
        <v>0.78819328553726131</v>
      </c>
      <c r="G17" s="132">
        <v>1.0157326688719526</v>
      </c>
      <c r="H17" s="132">
        <v>1.3390869711330884</v>
      </c>
      <c r="I17" s="132">
        <v>1.4006882943877128</v>
      </c>
      <c r="J17" s="132">
        <v>1.9112625388271371</v>
      </c>
      <c r="K17" s="132">
        <v>2.9282722192145445</v>
      </c>
      <c r="L17" s="132">
        <v>3.3912128045111793</v>
      </c>
      <c r="M17" s="132">
        <v>3.7316654532722193</v>
      </c>
      <c r="N17" s="132">
        <v>5.1688228787828123</v>
      </c>
      <c r="O17" s="132">
        <v>5.3679420417544588</v>
      </c>
      <c r="P17" s="132">
        <v>5.7372682916827218</v>
      </c>
      <c r="Q17" s="132">
        <v>10.063706312494952</v>
      </c>
      <c r="R17" s="132">
        <v>11.722554994822158</v>
      </c>
      <c r="S17" s="132">
        <v>15.030871933826011</v>
      </c>
      <c r="T17" s="132">
        <v>12.926869412634764</v>
      </c>
      <c r="U17" s="132">
        <v>14.502584310840945</v>
      </c>
      <c r="V17" s="132">
        <v>15.870332509015515</v>
      </c>
      <c r="W17" s="132">
        <v>14.594056922518554</v>
      </c>
      <c r="X17" s="132">
        <v>23.117434615825164</v>
      </c>
      <c r="Y17" s="132">
        <v>21.481905500067938</v>
      </c>
      <c r="DA17" s="156" t="s">
        <v>315</v>
      </c>
    </row>
    <row r="18" spans="1:105" ht="12" customHeight="1" x14ac:dyDescent="0.25">
      <c r="A18" s="131" t="s">
        <v>72</v>
      </c>
      <c r="B18" s="132">
        <v>415.8990784403577</v>
      </c>
      <c r="C18" s="132">
        <v>507.9076306082647</v>
      </c>
      <c r="D18" s="132">
        <v>530.85914398432055</v>
      </c>
      <c r="E18" s="132">
        <v>825.27761673029113</v>
      </c>
      <c r="F18" s="132">
        <v>810.18273400802968</v>
      </c>
      <c r="G18" s="132">
        <v>987.93277561776381</v>
      </c>
      <c r="H18" s="132">
        <v>1298.8479023414916</v>
      </c>
      <c r="I18" s="132">
        <v>1173.9076785162824</v>
      </c>
      <c r="J18" s="132">
        <v>1402.9210805209118</v>
      </c>
      <c r="K18" s="132">
        <v>2008.039398364263</v>
      </c>
      <c r="L18" s="132">
        <v>2065.1433727516373</v>
      </c>
      <c r="M18" s="132">
        <v>1978.5297066290457</v>
      </c>
      <c r="N18" s="132">
        <v>2482.8044993931526</v>
      </c>
      <c r="O18" s="132">
        <v>2065.8931551505862</v>
      </c>
      <c r="P18" s="132">
        <v>1954.0152382070228</v>
      </c>
      <c r="Q18" s="132">
        <v>2928.2956471439475</v>
      </c>
      <c r="R18" s="132">
        <v>2914.199943194933</v>
      </c>
      <c r="S18" s="132">
        <v>3442.5872092868663</v>
      </c>
      <c r="T18" s="132">
        <v>2495.9481462880294</v>
      </c>
      <c r="U18" s="132">
        <v>2649.0940457580209</v>
      </c>
      <c r="V18" s="132">
        <v>2993.0486415655887</v>
      </c>
      <c r="W18" s="132">
        <v>2620.8527955285476</v>
      </c>
      <c r="X18" s="132">
        <v>3377.9064606712723</v>
      </c>
      <c r="Y18" s="132">
        <v>3452.5679223416419</v>
      </c>
      <c r="DA18" s="156" t="s">
        <v>316</v>
      </c>
    </row>
    <row r="19" spans="1:105" ht="12.95" customHeight="1" x14ac:dyDescent="0.25">
      <c r="A19" s="129" t="s">
        <v>35</v>
      </c>
      <c r="B19" s="130">
        <f t="shared" ref="B19:Q19" si="9">SUM(B20:B27)</f>
        <v>480.20734276593026</v>
      </c>
      <c r="C19" s="130">
        <f t="shared" si="9"/>
        <v>513.81185349495468</v>
      </c>
      <c r="D19" s="130">
        <f t="shared" si="9"/>
        <v>554.68744099669516</v>
      </c>
      <c r="E19" s="130">
        <f t="shared" si="9"/>
        <v>573.33538103823139</v>
      </c>
      <c r="F19" s="130">
        <f t="shared" si="9"/>
        <v>625.85722564570699</v>
      </c>
      <c r="G19" s="130">
        <f t="shared" si="9"/>
        <v>646.97602521500187</v>
      </c>
      <c r="H19" s="130">
        <f t="shared" si="9"/>
        <v>685.5978036444136</v>
      </c>
      <c r="I19" s="130">
        <f t="shared" si="9"/>
        <v>701.62920900842244</v>
      </c>
      <c r="J19" s="130">
        <f t="shared" si="9"/>
        <v>729.26759247531368</v>
      </c>
      <c r="K19" s="130">
        <f t="shared" si="9"/>
        <v>730.89115021350119</v>
      </c>
      <c r="L19" s="130">
        <f t="shared" si="9"/>
        <v>751.07992575956155</v>
      </c>
      <c r="M19" s="130">
        <f t="shared" si="9"/>
        <v>761.75239455392045</v>
      </c>
      <c r="N19" s="130">
        <f t="shared" si="9"/>
        <v>754.23253599552595</v>
      </c>
      <c r="O19" s="130">
        <f t="shared" si="9"/>
        <v>777.34325176383993</v>
      </c>
      <c r="P19" s="130">
        <f t="shared" si="9"/>
        <v>762.89641149497004</v>
      </c>
      <c r="Q19" s="130">
        <f t="shared" si="9"/>
        <v>732.84604400159685</v>
      </c>
      <c r="R19" s="130">
        <f t="shared" ref="R19:W19" si="10">SUM(R20:R27)</f>
        <v>726.47721496286943</v>
      </c>
      <c r="S19" s="130">
        <f t="shared" si="10"/>
        <v>714.4768049663295</v>
      </c>
      <c r="T19" s="130">
        <f t="shared" si="10"/>
        <v>778.38285276382396</v>
      </c>
      <c r="U19" s="130">
        <f t="shared" si="10"/>
        <v>777.37372160876714</v>
      </c>
      <c r="V19" s="130">
        <f t="shared" si="10"/>
        <v>694.76150018858175</v>
      </c>
      <c r="W19" s="130">
        <f t="shared" si="10"/>
        <v>764.53783970693451</v>
      </c>
      <c r="X19" s="130">
        <f t="shared" ref="X19:Y19" si="11">SUM(X20:X27)</f>
        <v>737.76217062360433</v>
      </c>
      <c r="Y19" s="130">
        <f t="shared" si="11"/>
        <v>754.23935832321922</v>
      </c>
      <c r="DA19" s="155" t="s">
        <v>317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318</v>
      </c>
    </row>
    <row r="21" spans="1:105" s="2" customFormat="1" ht="12" customHeight="1" x14ac:dyDescent="0.25">
      <c r="A21" s="131" t="s">
        <v>52</v>
      </c>
      <c r="B21" s="132">
        <v>26.036437420554339</v>
      </c>
      <c r="C21" s="132">
        <v>25.535576728264672</v>
      </c>
      <c r="D21" s="132">
        <v>25.785176307033698</v>
      </c>
      <c r="E21" s="132">
        <v>25.965935907637135</v>
      </c>
      <c r="F21" s="132">
        <v>23.759887016725198</v>
      </c>
      <c r="G21" s="132">
        <v>23.7508437465839</v>
      </c>
      <c r="H21" s="132">
        <v>24.279306349820907</v>
      </c>
      <c r="I21" s="132">
        <v>24.322818213238961</v>
      </c>
      <c r="J21" s="132">
        <v>24.303929655529654</v>
      </c>
      <c r="K21" s="132">
        <v>24.390900455899924</v>
      </c>
      <c r="L21" s="132">
        <v>24.875399834828499</v>
      </c>
      <c r="M21" s="132">
        <v>25.238630784064089</v>
      </c>
      <c r="N21" s="132">
        <v>25.739005083332053</v>
      </c>
      <c r="O21" s="132">
        <v>26.392070012269343</v>
      </c>
      <c r="P21" s="132">
        <v>26.340528885425535</v>
      </c>
      <c r="Q21" s="132">
        <v>27.155924066588668</v>
      </c>
      <c r="R21" s="132">
        <v>28.054718180749784</v>
      </c>
      <c r="S21" s="132">
        <v>27.804785747035083</v>
      </c>
      <c r="T21" s="132">
        <v>28.203878100672142</v>
      </c>
      <c r="U21" s="132">
        <v>22.986591865926783</v>
      </c>
      <c r="V21" s="132">
        <v>14.985929362293462</v>
      </c>
      <c r="W21" s="132">
        <v>17.774877952989989</v>
      </c>
      <c r="X21" s="132">
        <v>23.330280178673529</v>
      </c>
      <c r="Y21" s="132">
        <v>35.235097858162142</v>
      </c>
      <c r="DA21" s="156" t="s">
        <v>319</v>
      </c>
    </row>
    <row r="22" spans="1:105" ht="12" customHeight="1" x14ac:dyDescent="0.25">
      <c r="A22" s="131" t="s">
        <v>161</v>
      </c>
      <c r="B22" s="132">
        <v>135.18426610202243</v>
      </c>
      <c r="C22" s="132">
        <v>141.75985354164089</v>
      </c>
      <c r="D22" s="132">
        <v>146.01874394376128</v>
      </c>
      <c r="E22" s="132">
        <v>149.84735910211816</v>
      </c>
      <c r="F22" s="132">
        <v>152.73876482114295</v>
      </c>
      <c r="G22" s="132">
        <v>153.92025141317208</v>
      </c>
      <c r="H22" s="132">
        <v>150.78276629701878</v>
      </c>
      <c r="I22" s="132">
        <v>141.14335846678864</v>
      </c>
      <c r="J22" s="132">
        <v>136.56735365803655</v>
      </c>
      <c r="K22" s="132">
        <v>134.40269682950276</v>
      </c>
      <c r="L22" s="132">
        <v>135.36234625874604</v>
      </c>
      <c r="M22" s="132">
        <v>139.38904949366969</v>
      </c>
      <c r="N22" s="132">
        <v>148.05757063848415</v>
      </c>
      <c r="O22" s="132">
        <v>155.25414657888462</v>
      </c>
      <c r="P22" s="132">
        <v>161.73464400683744</v>
      </c>
      <c r="Q22" s="132">
        <v>180.23941137695124</v>
      </c>
      <c r="R22" s="132">
        <v>194.0981872631933</v>
      </c>
      <c r="S22" s="132">
        <v>196.30497655612885</v>
      </c>
      <c r="T22" s="132">
        <v>201.54844377544239</v>
      </c>
      <c r="U22" s="132">
        <v>202.79029660645702</v>
      </c>
      <c r="V22" s="132">
        <v>201.29415011200894</v>
      </c>
      <c r="W22" s="132">
        <v>217.96563407980688</v>
      </c>
      <c r="X22" s="132">
        <v>212.91987536925578</v>
      </c>
      <c r="Y22" s="132">
        <v>206.75358922739241</v>
      </c>
      <c r="DA22" s="156" t="s">
        <v>320</v>
      </c>
    </row>
    <row r="23" spans="1:105" ht="12" customHeight="1" x14ac:dyDescent="0.25">
      <c r="A23" s="131" t="s">
        <v>149</v>
      </c>
      <c r="B23" s="132">
        <v>60.451537900701062</v>
      </c>
      <c r="C23" s="132">
        <v>54.694699060461993</v>
      </c>
      <c r="D23" s="132">
        <v>44.837680312364029</v>
      </c>
      <c r="E23" s="132">
        <v>17.571103917445622</v>
      </c>
      <c r="F23" s="132">
        <v>34.574966095234437</v>
      </c>
      <c r="G23" s="132">
        <v>45.892738406271725</v>
      </c>
      <c r="H23" s="132">
        <v>120.24146896362112</v>
      </c>
      <c r="I23" s="132">
        <v>128.66884448076075</v>
      </c>
      <c r="J23" s="132">
        <v>130.51904229779552</v>
      </c>
      <c r="K23" s="132">
        <v>136.21231782900736</v>
      </c>
      <c r="L23" s="132">
        <v>139.21061797471185</v>
      </c>
      <c r="M23" s="132">
        <v>141.5785021217296</v>
      </c>
      <c r="N23" s="132">
        <v>160.77335176288551</v>
      </c>
      <c r="O23" s="132">
        <v>185.82499504134944</v>
      </c>
      <c r="P23" s="132">
        <v>230.39412814226944</v>
      </c>
      <c r="Q23" s="132">
        <v>182.96739156903098</v>
      </c>
      <c r="R23" s="132">
        <v>187.96998187538978</v>
      </c>
      <c r="S23" s="132">
        <v>193.28479184025963</v>
      </c>
      <c r="T23" s="132">
        <v>203.78016377086138</v>
      </c>
      <c r="U23" s="132">
        <v>223.45980399467334</v>
      </c>
      <c r="V23" s="132">
        <v>222.70349194569775</v>
      </c>
      <c r="W23" s="132">
        <v>257.92908281260065</v>
      </c>
      <c r="X23" s="132">
        <v>263.92751656731679</v>
      </c>
      <c r="Y23" s="132">
        <v>269.57168999403956</v>
      </c>
      <c r="DA23" s="156" t="s">
        <v>321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322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323</v>
      </c>
    </row>
    <row r="26" spans="1:105" ht="12" customHeight="1" x14ac:dyDescent="0.25">
      <c r="A26" s="131" t="s">
        <v>24</v>
      </c>
      <c r="B26" s="65">
        <v>252.27267657910986</v>
      </c>
      <c r="C26" s="65">
        <v>283.86093310697743</v>
      </c>
      <c r="D26" s="65">
        <v>328.25650251436161</v>
      </c>
      <c r="E26" s="65">
        <v>367.45777488833056</v>
      </c>
      <c r="F26" s="65">
        <v>399.90450195164135</v>
      </c>
      <c r="G26" s="65">
        <v>405.31984427150206</v>
      </c>
      <c r="H26" s="65">
        <v>369.30707372784786</v>
      </c>
      <c r="I26" s="65">
        <v>384.83399868168397</v>
      </c>
      <c r="J26" s="65">
        <v>411.15740443918838</v>
      </c>
      <c r="K26" s="65">
        <v>404.10578540003689</v>
      </c>
      <c r="L26" s="65">
        <v>416.37790734905673</v>
      </c>
      <c r="M26" s="65">
        <v>417.47699461361447</v>
      </c>
      <c r="N26" s="65">
        <v>378.7048269115121</v>
      </c>
      <c r="O26" s="65">
        <v>368.13541072462971</v>
      </c>
      <c r="P26" s="65">
        <v>299.70870977256146</v>
      </c>
      <c r="Q26" s="65">
        <v>294.94247434070263</v>
      </c>
      <c r="R26" s="65">
        <v>268.89749187397501</v>
      </c>
      <c r="S26" s="65">
        <v>248.71733250820262</v>
      </c>
      <c r="T26" s="65">
        <v>295.65922352269496</v>
      </c>
      <c r="U26" s="65">
        <v>278.50186147189061</v>
      </c>
      <c r="V26" s="65">
        <v>206.469330316303</v>
      </c>
      <c r="W26" s="65">
        <v>222.52912190366939</v>
      </c>
      <c r="X26" s="65">
        <v>190.77693187035311</v>
      </c>
      <c r="Y26" s="65">
        <v>197.54389955832852</v>
      </c>
      <c r="DA26" s="109" t="s">
        <v>324</v>
      </c>
    </row>
    <row r="27" spans="1:105" ht="12" customHeight="1" x14ac:dyDescent="0.25">
      <c r="A27" s="144" t="s">
        <v>26</v>
      </c>
      <c r="B27" s="145">
        <v>6.2624247635425609</v>
      </c>
      <c r="C27" s="145">
        <v>7.9607910576096312</v>
      </c>
      <c r="D27" s="145">
        <v>9.7893379191745478</v>
      </c>
      <c r="E27" s="145">
        <v>12.493207222699914</v>
      </c>
      <c r="F27" s="145">
        <v>14.879105760963027</v>
      </c>
      <c r="G27" s="145">
        <v>18.092347377472052</v>
      </c>
      <c r="H27" s="145">
        <v>20.987188306104908</v>
      </c>
      <c r="I27" s="145">
        <v>22.660189165950129</v>
      </c>
      <c r="J27" s="145">
        <v>26.719862424763519</v>
      </c>
      <c r="K27" s="145">
        <v>31.779449699054172</v>
      </c>
      <c r="L27" s="145">
        <v>35.253654342218397</v>
      </c>
      <c r="M27" s="145">
        <v>38.069217540842622</v>
      </c>
      <c r="N27" s="145">
        <v>40.957781599312135</v>
      </c>
      <c r="O27" s="145">
        <v>41.736629406706818</v>
      </c>
      <c r="P27" s="145">
        <v>44.718400687876141</v>
      </c>
      <c r="Q27" s="145">
        <v>47.540842648323334</v>
      </c>
      <c r="R27" s="145">
        <v>47.456835769561479</v>
      </c>
      <c r="S27" s="145">
        <v>48.364918314703374</v>
      </c>
      <c r="T27" s="145">
        <v>49.191143594153047</v>
      </c>
      <c r="U27" s="145">
        <v>49.635167669819438</v>
      </c>
      <c r="V27" s="145">
        <v>49.308598452278588</v>
      </c>
      <c r="W27" s="145">
        <v>48.339122957867602</v>
      </c>
      <c r="X27" s="145">
        <v>46.807566638005113</v>
      </c>
      <c r="Y27" s="145">
        <v>45.135081685296676</v>
      </c>
      <c r="DA27" s="158" t="s">
        <v>325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607.14146444554035</v>
      </c>
      <c r="C29" s="130">
        <f t="shared" si="12"/>
        <v>640.47762098928092</v>
      </c>
      <c r="D29" s="130">
        <f t="shared" si="12"/>
        <v>636.6552285830287</v>
      </c>
      <c r="E29" s="130">
        <f t="shared" si="12"/>
        <v>637.24843080467804</v>
      </c>
      <c r="F29" s="130">
        <f t="shared" si="12"/>
        <v>699.10784082726059</v>
      </c>
      <c r="G29" s="130">
        <f t="shared" si="12"/>
        <v>727.49637418819862</v>
      </c>
      <c r="H29" s="130">
        <f t="shared" si="12"/>
        <v>800.25307320745685</v>
      </c>
      <c r="I29" s="130">
        <f t="shared" si="12"/>
        <v>839.37056237731485</v>
      </c>
      <c r="J29" s="130">
        <f t="shared" si="12"/>
        <v>883.14498030181005</v>
      </c>
      <c r="K29" s="130">
        <f t="shared" si="12"/>
        <v>880.9542187175432</v>
      </c>
      <c r="L29" s="130">
        <f t="shared" si="12"/>
        <v>915.36392072881267</v>
      </c>
      <c r="M29" s="130">
        <f t="shared" si="12"/>
        <v>928.18133646683577</v>
      </c>
      <c r="N29" s="130">
        <f t="shared" si="12"/>
        <v>917.76869355025769</v>
      </c>
      <c r="O29" s="130">
        <f t="shared" si="12"/>
        <v>918.17500901322524</v>
      </c>
      <c r="P29" s="130">
        <f t="shared" si="12"/>
        <v>912.50452262434317</v>
      </c>
      <c r="Q29" s="130">
        <f t="shared" si="12"/>
        <v>914.67701032042851</v>
      </c>
      <c r="R29" s="130">
        <f t="shared" ref="R29:W29" si="13">SUM(R30:R33)</f>
        <v>903.63926161782967</v>
      </c>
      <c r="S29" s="130">
        <f t="shared" si="13"/>
        <v>950.56032524737304</v>
      </c>
      <c r="T29" s="130">
        <f t="shared" si="13"/>
        <v>1005.0806264453811</v>
      </c>
      <c r="U29" s="130">
        <f t="shared" si="13"/>
        <v>1048.5704451952074</v>
      </c>
      <c r="V29" s="130">
        <f t="shared" si="13"/>
        <v>851.48290068051028</v>
      </c>
      <c r="W29" s="130">
        <f t="shared" si="13"/>
        <v>1026.2225146709195</v>
      </c>
      <c r="X29" s="130">
        <f t="shared" ref="X29:Y29" si="14">SUM(X30:X33)</f>
        <v>934.62251377082134</v>
      </c>
      <c r="Y29" s="130">
        <f t="shared" si="14"/>
        <v>1106.5052458575876</v>
      </c>
      <c r="DA29" s="155" t="s">
        <v>326</v>
      </c>
    </row>
    <row r="30" spans="1:105" ht="12" customHeight="1" x14ac:dyDescent="0.25">
      <c r="A30" s="131" t="s">
        <v>52</v>
      </c>
      <c r="B30" s="132">
        <v>93.300206451757177</v>
      </c>
      <c r="C30" s="132">
        <v>102.94485216832729</v>
      </c>
      <c r="D30" s="132">
        <v>102.90138013091037</v>
      </c>
      <c r="E30" s="132">
        <v>101.14458179934695</v>
      </c>
      <c r="F30" s="132">
        <v>106.6523691766936</v>
      </c>
      <c r="G30" s="132">
        <v>97.320303531624717</v>
      </c>
      <c r="H30" s="132">
        <v>87.446601071908503</v>
      </c>
      <c r="I30" s="132">
        <v>90.148410632818681</v>
      </c>
      <c r="J30" s="132">
        <v>94.194999454978856</v>
      </c>
      <c r="K30" s="132">
        <v>83.7415603874704</v>
      </c>
      <c r="L30" s="132">
        <v>82.481600061055417</v>
      </c>
      <c r="M30" s="132">
        <v>75.832908032832009</v>
      </c>
      <c r="N30" s="132">
        <v>71.011945362745848</v>
      </c>
      <c r="O30" s="132">
        <v>66.766737635498117</v>
      </c>
      <c r="P30" s="132">
        <v>45.948544932161973</v>
      </c>
      <c r="Q30" s="132">
        <v>74.335702010392978</v>
      </c>
      <c r="R30" s="132">
        <v>103.54758124115358</v>
      </c>
      <c r="S30" s="132">
        <v>84.336710193179542</v>
      </c>
      <c r="T30" s="132">
        <v>95.385436070898706</v>
      </c>
      <c r="U30" s="132">
        <v>79.588400985056978</v>
      </c>
      <c r="V30" s="132">
        <v>49.599314445932642</v>
      </c>
      <c r="W30" s="132">
        <v>58.716774850817721</v>
      </c>
      <c r="X30" s="132">
        <v>74.984209807540765</v>
      </c>
      <c r="Y30" s="132">
        <v>116.31732685626682</v>
      </c>
      <c r="DA30" s="156" t="s">
        <v>327</v>
      </c>
    </row>
    <row r="31" spans="1:105" ht="12" customHeight="1" x14ac:dyDescent="0.25">
      <c r="A31" s="131" t="s">
        <v>149</v>
      </c>
      <c r="B31" s="132">
        <v>85.643108618325527</v>
      </c>
      <c r="C31" s="132">
        <v>104.75241470694095</v>
      </c>
      <c r="D31" s="132">
        <v>92.705924273016237</v>
      </c>
      <c r="E31" s="132">
        <v>85.424706676276301</v>
      </c>
      <c r="F31" s="132">
        <v>136.57287427829721</v>
      </c>
      <c r="G31" s="132">
        <v>151.08956530381769</v>
      </c>
      <c r="H31" s="132">
        <v>175.64590070167696</v>
      </c>
      <c r="I31" s="132">
        <v>182.7624001246472</v>
      </c>
      <c r="J31" s="132">
        <v>192.79876400249714</v>
      </c>
      <c r="K31" s="132">
        <v>196.67732542115394</v>
      </c>
      <c r="L31" s="132">
        <v>210.75327084099177</v>
      </c>
      <c r="M31" s="132">
        <v>222.04397344135046</v>
      </c>
      <c r="N31" s="132">
        <v>243.56968328321364</v>
      </c>
      <c r="O31" s="132">
        <v>290.14182670193935</v>
      </c>
      <c r="P31" s="132">
        <v>511.26708139937642</v>
      </c>
      <c r="Q31" s="132">
        <v>545.63739894116418</v>
      </c>
      <c r="R31" s="132">
        <v>562.00466340986645</v>
      </c>
      <c r="S31" s="132">
        <v>571.35069293468405</v>
      </c>
      <c r="T31" s="132">
        <v>497.88281355140793</v>
      </c>
      <c r="U31" s="132">
        <v>517.9877302375728</v>
      </c>
      <c r="V31" s="132">
        <v>557.29744183333469</v>
      </c>
      <c r="W31" s="132">
        <v>543.5451918352187</v>
      </c>
      <c r="X31" s="132">
        <v>463.57650214383193</v>
      </c>
      <c r="Y31" s="132">
        <v>428.92725040651834</v>
      </c>
      <c r="DA31" s="156" t="s">
        <v>328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329</v>
      </c>
    </row>
    <row r="33" spans="1:105" ht="12" customHeight="1" x14ac:dyDescent="0.25">
      <c r="A33" s="62" t="s">
        <v>24</v>
      </c>
      <c r="B33" s="68">
        <v>428.1981493754576</v>
      </c>
      <c r="C33" s="68">
        <v>432.78035411401271</v>
      </c>
      <c r="D33" s="68">
        <v>441.04792417910215</v>
      </c>
      <c r="E33" s="68">
        <v>450.6791423290548</v>
      </c>
      <c r="F33" s="68">
        <v>455.88259737226986</v>
      </c>
      <c r="G33" s="68">
        <v>479.08650535275626</v>
      </c>
      <c r="H33" s="68">
        <v>537.16057143387138</v>
      </c>
      <c r="I33" s="68">
        <v>566.45975161984893</v>
      </c>
      <c r="J33" s="68">
        <v>596.15121684433404</v>
      </c>
      <c r="K33" s="68">
        <v>600.53533290891892</v>
      </c>
      <c r="L33" s="68">
        <v>622.12904982676548</v>
      </c>
      <c r="M33" s="68">
        <v>630.30445499265329</v>
      </c>
      <c r="N33" s="68">
        <v>603.18706490429827</v>
      </c>
      <c r="O33" s="68">
        <v>561.26644467578774</v>
      </c>
      <c r="P33" s="68">
        <v>355.28889629280479</v>
      </c>
      <c r="Q33" s="68">
        <v>294.70390936887134</v>
      </c>
      <c r="R33" s="68">
        <v>238.08701696680964</v>
      </c>
      <c r="S33" s="68">
        <v>294.87292211950944</v>
      </c>
      <c r="T33" s="68">
        <v>411.81237682307449</v>
      </c>
      <c r="U33" s="68">
        <v>450.99431397257769</v>
      </c>
      <c r="V33" s="68">
        <v>244.58614440124285</v>
      </c>
      <c r="W33" s="68">
        <v>423.96054798488314</v>
      </c>
      <c r="X33" s="68">
        <v>396.06180181944859</v>
      </c>
      <c r="Y33" s="68">
        <v>561.2606685948025</v>
      </c>
      <c r="DA33" s="111" t="s">
        <v>330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>
        <f>IF(SER_hh_tes!B3=0,"",SER_hh_tes!B3/SER_hh_fec!B3)</f>
        <v>0.59481759702176684</v>
      </c>
      <c r="C3" s="126">
        <f>IF(SER_hh_tes!C3=0,"",SER_hh_tes!C3/SER_hh_fec!C3)</f>
        <v>0.60637691826212037</v>
      </c>
      <c r="D3" s="126">
        <f>IF(SER_hh_tes!D3=0,"",SER_hh_tes!D3/SER_hh_fec!D3)</f>
        <v>0.61589076173889612</v>
      </c>
      <c r="E3" s="126">
        <f>IF(SER_hh_tes!E3=0,"",SER_hh_tes!E3/SER_hh_fec!E3)</f>
        <v>0.68424754982455172</v>
      </c>
      <c r="F3" s="126">
        <f>IF(SER_hh_tes!F3=0,"",SER_hh_tes!F3/SER_hh_fec!F3)</f>
        <v>0.67108481768130801</v>
      </c>
      <c r="G3" s="126">
        <f>IF(SER_hh_tes!G3=0,"",SER_hh_tes!G3/SER_hh_fec!G3)</f>
        <v>0.68783104182671528</v>
      </c>
      <c r="H3" s="126">
        <f>IF(SER_hh_tes!H3=0,"",SER_hh_tes!H3/SER_hh_fec!H3)</f>
        <v>0.69536843909584134</v>
      </c>
      <c r="I3" s="126">
        <f>IF(SER_hh_tes!I3=0,"",SER_hh_tes!I3/SER_hh_fec!I3)</f>
        <v>0.72495788267233086</v>
      </c>
      <c r="J3" s="126">
        <f>IF(SER_hh_tes!J3=0,"",SER_hh_tes!J3/SER_hh_fec!J3)</f>
        <v>0.76794503707492934</v>
      </c>
      <c r="K3" s="126">
        <f>IF(SER_hh_tes!K3=0,"",SER_hh_tes!K3/SER_hh_fec!K3)</f>
        <v>0.83625207087893971</v>
      </c>
      <c r="L3" s="126">
        <f>IF(SER_hh_tes!L3=0,"",SER_hh_tes!L3/SER_hh_fec!L3)</f>
        <v>0.82305265758851365</v>
      </c>
      <c r="M3" s="126">
        <f>IF(SER_hh_tes!M3=0,"",SER_hh_tes!M3/SER_hh_fec!M3)</f>
        <v>0.82041511047932292</v>
      </c>
      <c r="N3" s="126">
        <f>IF(SER_hh_tes!N3=0,"",SER_hh_tes!N3/SER_hh_fec!N3)</f>
        <v>0.9148887918748646</v>
      </c>
      <c r="O3" s="126">
        <f>IF(SER_hh_tes!O3=0,"",SER_hh_tes!O3/SER_hh_fec!O3)</f>
        <v>0.89057010194440134</v>
      </c>
      <c r="P3" s="126">
        <f>IF(SER_hh_tes!P3=0,"",SER_hh_tes!P3/SER_hh_fec!P3)</f>
        <v>0.93860423067630805</v>
      </c>
      <c r="Q3" s="126">
        <f>IF(SER_hh_tes!Q3=0,"",SER_hh_tes!Q3/SER_hh_fec!Q3)</f>
        <v>1.1026628722090719</v>
      </c>
      <c r="R3" s="126">
        <f>IF(SER_hh_tes!R3=0,"",SER_hh_tes!R3/SER_hh_fec!R3)</f>
        <v>1.1088852835246055</v>
      </c>
      <c r="S3" s="126">
        <f>IF(SER_hh_tes!S3=0,"",SER_hh_tes!S3/SER_hh_fec!S3)</f>
        <v>1.1902820602720832</v>
      </c>
      <c r="T3" s="126">
        <f>IF(SER_hh_tes!T3=0,"",SER_hh_tes!T3/SER_hh_fec!T3)</f>
        <v>1.0679647826041043</v>
      </c>
      <c r="U3" s="126">
        <f>IF(SER_hh_tes!U3=0,"",SER_hh_tes!U3/SER_hh_fec!U3)</f>
        <v>1.1187163073656059</v>
      </c>
      <c r="V3" s="126">
        <f>IF(SER_hh_tes!V3=0,"",SER_hh_tes!V3/SER_hh_fec!V3)</f>
        <v>1.2439248837371575</v>
      </c>
      <c r="W3" s="126">
        <f>IF(SER_hh_tes!W3=0,"",SER_hh_tes!W3/SER_hh_fec!W3)</f>
        <v>1.1679724068025059</v>
      </c>
      <c r="X3" s="126">
        <f>IF(SER_hh_tes!X3=0,"",SER_hh_tes!X3/SER_hh_fec!X3)</f>
        <v>1.3274056134289645</v>
      </c>
      <c r="Y3" s="126">
        <f>IF(SER_hh_tes!Y3=0,"",SER_hh_tes!Y3/SER_hh_fec!Y3)</f>
        <v>1.3633152044416961</v>
      </c>
      <c r="DA3" s="161" t="s">
        <v>239</v>
      </c>
    </row>
    <row r="4" spans="1:105" ht="12.95" customHeight="1" x14ac:dyDescent="0.25">
      <c r="A4" s="129" t="s">
        <v>32</v>
      </c>
      <c r="B4" s="135">
        <f>IF(SER_hh_tes!B4=0,"",SER_hh_tes!B4/SER_hh_fec!B4)</f>
        <v>0.46286434404320109</v>
      </c>
      <c r="C4" s="135">
        <f>IF(SER_hh_tes!C4=0,"",SER_hh_tes!C4/SER_hh_fec!C4)</f>
        <v>0.45090076579691329</v>
      </c>
      <c r="D4" s="135">
        <f>IF(SER_hh_tes!D4=0,"",SER_hh_tes!D4/SER_hh_fec!D4)</f>
        <v>0.45006467347700019</v>
      </c>
      <c r="E4" s="135">
        <f>IF(SER_hh_tes!E4=0,"",SER_hh_tes!E4/SER_hh_fec!E4)</f>
        <v>0.45156176518819252</v>
      </c>
      <c r="F4" s="135">
        <f>IF(SER_hh_tes!F4=0,"",SER_hh_tes!F4/SER_hh_fec!F4)</f>
        <v>0.46133855720350614</v>
      </c>
      <c r="G4" s="135">
        <f>IF(SER_hh_tes!G4=0,"",SER_hh_tes!G4/SER_hh_fec!G4)</f>
        <v>0.46514381248954345</v>
      </c>
      <c r="H4" s="135">
        <f>IF(SER_hh_tes!H4=0,"",SER_hh_tes!H4/SER_hh_fec!H4)</f>
        <v>0.50908844696802991</v>
      </c>
      <c r="I4" s="135">
        <f>IF(SER_hh_tes!I4=0,"",SER_hh_tes!I4/SER_hh_fec!I4)</f>
        <v>0.51394212601824207</v>
      </c>
      <c r="J4" s="135">
        <f>IF(SER_hh_tes!J4=0,"",SER_hh_tes!J4/SER_hh_fec!J4)</f>
        <v>0.53962949792049419</v>
      </c>
      <c r="K4" s="135">
        <f>IF(SER_hh_tes!K4=0,"",SER_hh_tes!K4/SER_hh_fec!K4)</f>
        <v>0.53667430567810492</v>
      </c>
      <c r="L4" s="135">
        <f>IF(SER_hh_tes!L4=0,"",SER_hh_tes!L4/SER_hh_fec!L4)</f>
        <v>0.54573786773293764</v>
      </c>
      <c r="M4" s="135">
        <f>IF(SER_hh_tes!M4=0,"",SER_hh_tes!M4/SER_hh_fec!M4)</f>
        <v>0.55013273853055444</v>
      </c>
      <c r="N4" s="135">
        <f>IF(SER_hh_tes!N4=0,"",SER_hh_tes!N4/SER_hh_fec!N4)</f>
        <v>0.56436697355686227</v>
      </c>
      <c r="O4" s="135">
        <f>IF(SER_hh_tes!O4=0,"",SER_hh_tes!O4/SER_hh_fec!O4)</f>
        <v>0.58148605862719249</v>
      </c>
      <c r="P4" s="135">
        <f>IF(SER_hh_tes!P4=0,"",SER_hh_tes!P4/SER_hh_fec!P4)</f>
        <v>0.63368448253684329</v>
      </c>
      <c r="Q4" s="135">
        <f>IF(SER_hh_tes!Q4=0,"",SER_hh_tes!Q4/SER_hh_fec!Q4)</f>
        <v>0.69724742761772762</v>
      </c>
      <c r="R4" s="135">
        <f>IF(SER_hh_tes!R4=0,"",SER_hh_tes!R4/SER_hh_fec!R4)</f>
        <v>0.73441487481115042</v>
      </c>
      <c r="S4" s="135">
        <f>IF(SER_hh_tes!S4=0,"",SER_hh_tes!S4/SER_hh_fec!S4)</f>
        <v>0.78054124414966353</v>
      </c>
      <c r="T4" s="135">
        <f>IF(SER_hh_tes!T4=0,"",SER_hh_tes!T4/SER_hh_fec!T4)</f>
        <v>0.80107250574305522</v>
      </c>
      <c r="U4" s="135">
        <f>IF(SER_hh_tes!U4=0,"",SER_hh_tes!U4/SER_hh_fec!U4)</f>
        <v>0.8627077075651981</v>
      </c>
      <c r="V4" s="135">
        <f>IF(SER_hh_tes!V4=0,"",SER_hh_tes!V4/SER_hh_fec!V4)</f>
        <v>0.9485220248184244</v>
      </c>
      <c r="W4" s="135">
        <f>IF(SER_hh_tes!W4=0,"",SER_hh_tes!W4/SER_hh_fec!W4)</f>
        <v>0.95193698182696196</v>
      </c>
      <c r="X4" s="135">
        <f>IF(SER_hh_tes!X4=0,"",SER_hh_tes!X4/SER_hh_fec!X4)</f>
        <v>1.0327334024186976</v>
      </c>
      <c r="Y4" s="135">
        <f>IF(SER_hh_tes!Y4=0,"",SER_hh_tes!Y4/SER_hh_fec!Y4)</f>
        <v>1.1276676312518086</v>
      </c>
      <c r="DA4" s="162" t="s">
        <v>240</v>
      </c>
    </row>
    <row r="5" spans="1:105" ht="12" customHeight="1" x14ac:dyDescent="0.25">
      <c r="A5" s="131" t="s">
        <v>29</v>
      </c>
      <c r="B5" s="136" t="str">
        <f>IF(SER_hh_tes!B5=0,"",SER_hh_tes!B5/SER_hh_fec!B5)</f>
        <v/>
      </c>
      <c r="C5" s="136" t="str">
        <f>IF(SER_hh_tes!C5=0,"",SER_hh_tes!C5/SER_hh_fec!C5)</f>
        <v/>
      </c>
      <c r="D5" s="136" t="str">
        <f>IF(SER_hh_tes!D5=0,"",SER_hh_tes!D5/SER_hh_fec!D5)</f>
        <v/>
      </c>
      <c r="E5" s="136" t="str">
        <f>IF(SER_hh_tes!E5=0,"",SER_hh_tes!E5/SER_hh_fec!E5)</f>
        <v/>
      </c>
      <c r="F5" s="136" t="str">
        <f>IF(SER_hh_tes!F5=0,"",SER_hh_tes!F5/SER_hh_fec!F5)</f>
        <v/>
      </c>
      <c r="G5" s="136" t="str">
        <f>IF(SER_hh_tes!G5=0,"",SER_hh_tes!G5/SER_hh_fec!G5)</f>
        <v/>
      </c>
      <c r="H5" s="136" t="str">
        <f>IF(SER_hh_tes!H5=0,"",SER_hh_tes!H5/SER_hh_fec!H5)</f>
        <v/>
      </c>
      <c r="I5" s="136" t="str">
        <f>IF(SER_hh_tes!I5=0,"",SER_hh_tes!I5/SER_hh_fec!I5)</f>
        <v/>
      </c>
      <c r="J5" s="136" t="str">
        <f>IF(SER_hh_tes!J5=0,"",SER_hh_tes!J5/SER_hh_fec!J5)</f>
        <v/>
      </c>
      <c r="K5" s="136" t="str">
        <f>IF(SER_hh_tes!K5=0,"",SER_hh_tes!K5/SER_hh_fec!K5)</f>
        <v/>
      </c>
      <c r="L5" s="136" t="str">
        <f>IF(SER_hh_tes!L5=0,"",SER_hh_tes!L5/SER_hh_fec!L5)</f>
        <v/>
      </c>
      <c r="M5" s="136" t="str">
        <f>IF(SER_hh_tes!M5=0,"",SER_hh_tes!M5/SER_hh_fec!M5)</f>
        <v/>
      </c>
      <c r="N5" s="136" t="str">
        <f>IF(SER_hh_tes!N5=0,"",SER_hh_tes!N5/SER_hh_fec!N5)</f>
        <v/>
      </c>
      <c r="O5" s="136" t="str">
        <f>IF(SER_hh_tes!O5=0,"",SER_hh_tes!O5/SER_hh_fec!O5)</f>
        <v/>
      </c>
      <c r="P5" s="136" t="str">
        <f>IF(SER_hh_tes!P5=0,"",SER_hh_tes!P5/SER_hh_fec!P5)</f>
        <v/>
      </c>
      <c r="Q5" s="136" t="str">
        <f>IF(SER_hh_tes!Q5=0,"",SER_hh_tes!Q5/SER_hh_fec!Q5)</f>
        <v/>
      </c>
      <c r="R5" s="136" t="str">
        <f>IF(SER_hh_tes!R5=0,"",SER_hh_tes!R5/SER_hh_fec!R5)</f>
        <v/>
      </c>
      <c r="S5" s="136" t="str">
        <f>IF(SER_hh_tes!S5=0,"",SER_hh_tes!S5/SER_hh_fec!S5)</f>
        <v/>
      </c>
      <c r="T5" s="136" t="str">
        <f>IF(SER_hh_tes!T5=0,"",SER_hh_tes!T5/SER_hh_fec!T5)</f>
        <v/>
      </c>
      <c r="U5" s="136" t="str">
        <f>IF(SER_hh_tes!U5=0,"",SER_hh_tes!U5/SER_hh_fec!U5)</f>
        <v/>
      </c>
      <c r="V5" s="136" t="str">
        <f>IF(SER_hh_tes!V5=0,"",SER_hh_tes!V5/SER_hh_fec!V5)</f>
        <v/>
      </c>
      <c r="W5" s="136" t="str">
        <f>IF(SER_hh_tes!W5=0,"",SER_hh_tes!W5/SER_hh_fec!W5)</f>
        <v/>
      </c>
      <c r="X5" s="136" t="str">
        <f>IF(SER_hh_tes!X5=0,"",SER_hh_tes!X5/SER_hh_fec!X5)</f>
        <v/>
      </c>
      <c r="Y5" s="136" t="str">
        <f>IF(SER_hh_tes!Y5=0,"",SER_hh_tes!Y5/SER_hh_fec!Y5)</f>
        <v/>
      </c>
      <c r="DA5" s="163" t="s">
        <v>332</v>
      </c>
    </row>
    <row r="6" spans="1:105" ht="12" customHeight="1" x14ac:dyDescent="0.25">
      <c r="A6" s="131" t="s">
        <v>52</v>
      </c>
      <c r="B6" s="136" t="str">
        <f>IF(SER_hh_tes!B6=0,"",SER_hh_tes!B6/SER_hh_fec!B6)</f>
        <v/>
      </c>
      <c r="C6" s="136" t="str">
        <f>IF(SER_hh_tes!C6=0,"",SER_hh_tes!C6/SER_hh_fec!C6)</f>
        <v/>
      </c>
      <c r="D6" s="136" t="str">
        <f>IF(SER_hh_tes!D6=0,"",SER_hh_tes!D6/SER_hh_fec!D6)</f>
        <v/>
      </c>
      <c r="E6" s="136" t="str">
        <f>IF(SER_hh_tes!E6=0,"",SER_hh_tes!E6/SER_hh_fec!E6)</f>
        <v/>
      </c>
      <c r="F6" s="136" t="str">
        <f>IF(SER_hh_tes!F6=0,"",SER_hh_tes!F6/SER_hh_fec!F6)</f>
        <v/>
      </c>
      <c r="G6" s="136" t="str">
        <f>IF(SER_hh_tes!G6=0,"",SER_hh_tes!G6/SER_hh_fec!G6)</f>
        <v/>
      </c>
      <c r="H6" s="136" t="str">
        <f>IF(SER_hh_tes!H6=0,"",SER_hh_tes!H6/SER_hh_fec!H6)</f>
        <v/>
      </c>
      <c r="I6" s="136" t="str">
        <f>IF(SER_hh_tes!I6=0,"",SER_hh_tes!I6/SER_hh_fec!I6)</f>
        <v/>
      </c>
      <c r="J6" s="136" t="str">
        <f>IF(SER_hh_tes!J6=0,"",SER_hh_tes!J6/SER_hh_fec!J6)</f>
        <v/>
      </c>
      <c r="K6" s="136" t="str">
        <f>IF(SER_hh_tes!K6=0,"",SER_hh_tes!K6/SER_hh_fec!K6)</f>
        <v/>
      </c>
      <c r="L6" s="136" t="str">
        <f>IF(SER_hh_tes!L6=0,"",SER_hh_tes!L6/SER_hh_fec!L6)</f>
        <v/>
      </c>
      <c r="M6" s="136" t="str">
        <f>IF(SER_hh_tes!M6=0,"",SER_hh_tes!M6/SER_hh_fec!M6)</f>
        <v/>
      </c>
      <c r="N6" s="136" t="str">
        <f>IF(SER_hh_tes!N6=0,"",SER_hh_tes!N6/SER_hh_fec!N6)</f>
        <v/>
      </c>
      <c r="O6" s="136" t="str">
        <f>IF(SER_hh_tes!O6=0,"",SER_hh_tes!O6/SER_hh_fec!O6)</f>
        <v/>
      </c>
      <c r="P6" s="136" t="str">
        <f>IF(SER_hh_tes!P6=0,"",SER_hh_tes!P6/SER_hh_fec!P6)</f>
        <v/>
      </c>
      <c r="Q6" s="136" t="str">
        <f>IF(SER_hh_tes!Q6=0,"",SER_hh_tes!Q6/SER_hh_fec!Q6)</f>
        <v/>
      </c>
      <c r="R6" s="136" t="str">
        <f>IF(SER_hh_tes!R6=0,"",SER_hh_tes!R6/SER_hh_fec!R6)</f>
        <v/>
      </c>
      <c r="S6" s="136" t="str">
        <f>IF(SER_hh_tes!S6=0,"",SER_hh_tes!S6/SER_hh_fec!S6)</f>
        <v/>
      </c>
      <c r="T6" s="136" t="str">
        <f>IF(SER_hh_tes!T6=0,"",SER_hh_tes!T6/SER_hh_fec!T6)</f>
        <v/>
      </c>
      <c r="U6" s="136" t="str">
        <f>IF(SER_hh_tes!U6=0,"",SER_hh_tes!U6/SER_hh_fec!U6)</f>
        <v/>
      </c>
      <c r="V6" s="136" t="str">
        <f>IF(SER_hh_tes!V6=0,"",SER_hh_tes!V6/SER_hh_fec!V6)</f>
        <v/>
      </c>
      <c r="W6" s="136" t="str">
        <f>IF(SER_hh_tes!W6=0,"",SER_hh_tes!W6/SER_hh_fec!W6)</f>
        <v/>
      </c>
      <c r="X6" s="136" t="str">
        <f>IF(SER_hh_tes!X6=0,"",SER_hh_tes!X6/SER_hh_fec!X6)</f>
        <v/>
      </c>
      <c r="Y6" s="136" t="str">
        <f>IF(SER_hh_tes!Y6=0,"",SER_hh_tes!Y6/SER_hh_fec!Y6)</f>
        <v/>
      </c>
      <c r="DA6" s="163" t="s">
        <v>333</v>
      </c>
    </row>
    <row r="7" spans="1:105" ht="12" customHeight="1" x14ac:dyDescent="0.25">
      <c r="A7" s="131" t="s">
        <v>161</v>
      </c>
      <c r="B7" s="136">
        <f>IF(SER_hh_tes!B7=0,"",SER_hh_tes!B7/SER_hh_fec!B7)</f>
        <v>0.41334920014353904</v>
      </c>
      <c r="C7" s="136">
        <f>IF(SER_hh_tes!C7=0,"",SER_hh_tes!C7/SER_hh_fec!C7)</f>
        <v>0.42136916580268186</v>
      </c>
      <c r="D7" s="136">
        <f>IF(SER_hh_tes!D7=0,"",SER_hh_tes!D7/SER_hh_fec!D7)</f>
        <v>0.43002266779457032</v>
      </c>
      <c r="E7" s="136">
        <f>IF(SER_hh_tes!E7=0,"",SER_hh_tes!E7/SER_hh_fec!E7)</f>
        <v>0.436698155507043</v>
      </c>
      <c r="F7" s="136">
        <f>IF(SER_hh_tes!F7=0,"",SER_hh_tes!F7/SER_hh_fec!F7)</f>
        <v>0.43970942624519599</v>
      </c>
      <c r="G7" s="136">
        <f>IF(SER_hh_tes!G7=0,"",SER_hh_tes!G7/SER_hh_fec!G7)</f>
        <v>0.4412671878483857</v>
      </c>
      <c r="H7" s="136">
        <f>IF(SER_hh_tes!H7=0,"",SER_hh_tes!H7/SER_hh_fec!H7)</f>
        <v>0.4422175013970111</v>
      </c>
      <c r="I7" s="136">
        <f>IF(SER_hh_tes!I7=0,"",SER_hh_tes!I7/SER_hh_fec!I7)</f>
        <v>0.44221750139701116</v>
      </c>
      <c r="J7" s="136">
        <f>IF(SER_hh_tes!J7=0,"",SER_hh_tes!J7/SER_hh_fec!J7)</f>
        <v>0.4422175013970111</v>
      </c>
      <c r="K7" s="136">
        <f>IF(SER_hh_tes!K7=0,"",SER_hh_tes!K7/SER_hh_fec!K7)</f>
        <v>0.44235467849714605</v>
      </c>
      <c r="L7" s="136">
        <f>IF(SER_hh_tes!L7=0,"",SER_hh_tes!L7/SER_hh_fec!L7)</f>
        <v>0.4491678768636026</v>
      </c>
      <c r="M7" s="136">
        <f>IF(SER_hh_tes!M7=0,"",SER_hh_tes!M7/SER_hh_fec!M7)</f>
        <v>0.46882402988765148</v>
      </c>
      <c r="N7" s="136">
        <f>IF(SER_hh_tes!N7=0,"",SER_hh_tes!N7/SER_hh_fec!N7)</f>
        <v>0.48903017931592135</v>
      </c>
      <c r="O7" s="136">
        <f>IF(SER_hh_tes!O7=0,"",SER_hh_tes!O7/SER_hh_fec!O7)</f>
        <v>0.51124750059139623</v>
      </c>
      <c r="P7" s="136">
        <f>IF(SER_hh_tes!P7=0,"",SER_hh_tes!P7/SER_hh_fec!P7)</f>
        <v>0.51197387083482349</v>
      </c>
      <c r="Q7" s="136">
        <f>IF(SER_hh_tes!Q7=0,"",SER_hh_tes!Q7/SER_hh_fec!Q7)</f>
        <v>0.51486551606277586</v>
      </c>
      <c r="R7" s="136">
        <f>IF(SER_hh_tes!R7=0,"",SER_hh_tes!R7/SER_hh_fec!R7)</f>
        <v>0.52494837453002341</v>
      </c>
      <c r="S7" s="136">
        <f>IF(SER_hh_tes!S7=0,"",SER_hh_tes!S7/SER_hh_fec!S7)</f>
        <v>0.54359596503114738</v>
      </c>
      <c r="T7" s="136">
        <f>IF(SER_hh_tes!T7=0,"",SER_hh_tes!T7/SER_hh_fec!T7)</f>
        <v>0.56225564419401053</v>
      </c>
      <c r="U7" s="136">
        <f>IF(SER_hh_tes!U7=0,"",SER_hh_tes!U7/SER_hh_fec!U7)</f>
        <v>0.57222879528564885</v>
      </c>
      <c r="V7" s="136">
        <f>IF(SER_hh_tes!V7=0,"",SER_hh_tes!V7/SER_hh_fec!V7)</f>
        <v>0.57559773943759651</v>
      </c>
      <c r="W7" s="136">
        <f>IF(SER_hh_tes!W7=0,"",SER_hh_tes!W7/SER_hh_fec!W7)</f>
        <v>0.5769170342728146</v>
      </c>
      <c r="X7" s="136">
        <f>IF(SER_hh_tes!X7=0,"",SER_hh_tes!X7/SER_hh_fec!X7)</f>
        <v>0.57836112163231657</v>
      </c>
      <c r="Y7" s="136">
        <f>IF(SER_hh_tes!Y7=0,"",SER_hh_tes!Y7/SER_hh_fec!Y7)</f>
        <v>0.58039654895306481</v>
      </c>
      <c r="DA7" s="163" t="s">
        <v>334</v>
      </c>
    </row>
    <row r="8" spans="1:105" ht="12" customHeight="1" x14ac:dyDescent="0.25">
      <c r="A8" s="131" t="s">
        <v>73</v>
      </c>
      <c r="B8" s="136">
        <f>IF(SER_hh_tes!B8=0,"",SER_hh_tes!B8/SER_hh_fec!B8)</f>
        <v>1.028285154306245</v>
      </c>
      <c r="C8" s="136">
        <f>IF(SER_hh_tes!C8=0,"",SER_hh_tes!C8/SER_hh_fec!C8)</f>
        <v>1.1430385146025821</v>
      </c>
      <c r="D8" s="136">
        <f>IF(SER_hh_tes!D8=0,"",SER_hh_tes!D8/SER_hh_fec!D8)</f>
        <v>1.2730835395442506</v>
      </c>
      <c r="E8" s="136">
        <f>IF(SER_hh_tes!E8=0,"",SER_hh_tes!E8/SER_hh_fec!E8)</f>
        <v>1.3928215662796617</v>
      </c>
      <c r="F8" s="136">
        <f>IF(SER_hh_tes!F8=0,"",SER_hh_tes!F8/SER_hh_fec!F8)</f>
        <v>1.496712022303728</v>
      </c>
      <c r="G8" s="136">
        <f>IF(SER_hh_tes!G8=0,"",SER_hh_tes!G8/SER_hh_fec!G8)</f>
        <v>1.6002122194867423</v>
      </c>
      <c r="H8" s="136">
        <f>IF(SER_hh_tes!H8=0,"",SER_hh_tes!H8/SER_hh_fec!H8)</f>
        <v>1.6721723599770213</v>
      </c>
      <c r="I8" s="136">
        <f>IF(SER_hh_tes!I8=0,"",SER_hh_tes!I8/SER_hh_fec!I8)</f>
        <v>1.7382980357504214</v>
      </c>
      <c r="J8" s="136">
        <f>IF(SER_hh_tes!J8=0,"",SER_hh_tes!J8/SER_hh_fec!J8)</f>
        <v>1.7768571472110546</v>
      </c>
      <c r="K8" s="136">
        <f>IF(SER_hh_tes!K8=0,"",SER_hh_tes!K8/SER_hh_fec!K8)</f>
        <v>1.8263523876044561</v>
      </c>
      <c r="L8" s="136">
        <f>IF(SER_hh_tes!L8=0,"",SER_hh_tes!L8/SER_hh_fec!L8)</f>
        <v>1.9222833788070048</v>
      </c>
      <c r="M8" s="136">
        <f>IF(SER_hh_tes!M8=0,"",SER_hh_tes!M8/SER_hh_fec!M8)</f>
        <v>2.0836928666077372</v>
      </c>
      <c r="N8" s="136">
        <f>IF(SER_hh_tes!N8=0,"",SER_hh_tes!N8/SER_hh_fec!N8)</f>
        <v>2.2669524905519025</v>
      </c>
      <c r="O8" s="136">
        <f>IF(SER_hh_tes!O8=0,"",SER_hh_tes!O8/SER_hh_fec!O8)</f>
        <v>2.4207312441888131</v>
      </c>
      <c r="P8" s="136">
        <f>IF(SER_hh_tes!P8=0,"",SER_hh_tes!P8/SER_hh_fec!P8)</f>
        <v>2.560510035819854</v>
      </c>
      <c r="Q8" s="136">
        <f>IF(SER_hh_tes!Q8=0,"",SER_hh_tes!Q8/SER_hh_fec!Q8)</f>
        <v>2.6480593576392297</v>
      </c>
      <c r="R8" s="136">
        <f>IF(SER_hh_tes!R8=0,"",SER_hh_tes!R8/SER_hh_fec!R8)</f>
        <v>2.7079913415374377</v>
      </c>
      <c r="S8" s="136">
        <f>IF(SER_hh_tes!S8=0,"",SER_hh_tes!S8/SER_hh_fec!S8)</f>
        <v>2.7558237680240945</v>
      </c>
      <c r="T8" s="136">
        <f>IF(SER_hh_tes!T8=0,"",SER_hh_tes!T8/SER_hh_fec!T8)</f>
        <v>2.7885611478598316</v>
      </c>
      <c r="U8" s="136">
        <f>IF(SER_hh_tes!U8=0,"",SER_hh_tes!U8/SER_hh_fec!U8)</f>
        <v>2.8493447479396949</v>
      </c>
      <c r="V8" s="136">
        <f>IF(SER_hh_tes!V8=0,"",SER_hh_tes!V8/SER_hh_fec!V8)</f>
        <v>2.8761928049998247</v>
      </c>
      <c r="W8" s="136">
        <f>IF(SER_hh_tes!W8=0,"",SER_hh_tes!W8/SER_hh_fec!W8)</f>
        <v>2.9287708236617185</v>
      </c>
      <c r="X8" s="136">
        <f>IF(SER_hh_tes!X8=0,"",SER_hh_tes!X8/SER_hh_fec!X8)</f>
        <v>2.9803532229088661</v>
      </c>
      <c r="Y8" s="136">
        <f>IF(SER_hh_tes!Y8=0,"",SER_hh_tes!Y8/SER_hh_fec!Y8)</f>
        <v>3.0335121322402916</v>
      </c>
      <c r="DA8" s="163" t="s">
        <v>335</v>
      </c>
    </row>
    <row r="9" spans="1:105" ht="12" customHeight="1" x14ac:dyDescent="0.25">
      <c r="A9" s="131" t="s">
        <v>78</v>
      </c>
      <c r="B9" s="136">
        <f>IF(SER_hh_tes!B9=0,"",SER_hh_tes!B9/SER_hh_fec!B9)</f>
        <v>0.44678683740014047</v>
      </c>
      <c r="C9" s="136">
        <f>IF(SER_hh_tes!C9=0,"",SER_hh_tes!C9/SER_hh_fec!C9)</f>
        <v>0.44678683740014052</v>
      </c>
      <c r="D9" s="136">
        <f>IF(SER_hh_tes!D9=0,"",SER_hh_tes!D9/SER_hh_fec!D9)</f>
        <v>0.44678683740014047</v>
      </c>
      <c r="E9" s="136">
        <f>IF(SER_hh_tes!E9=0,"",SER_hh_tes!E9/SER_hh_fec!E9)</f>
        <v>0.44678683740014047</v>
      </c>
      <c r="F9" s="136">
        <f>IF(SER_hh_tes!F9=0,"",SER_hh_tes!F9/SER_hh_fec!F9)</f>
        <v>0.45374056488951864</v>
      </c>
      <c r="G9" s="136">
        <f>IF(SER_hh_tes!G9=0,"",SER_hh_tes!G9/SER_hh_fec!G9)</f>
        <v>0.47513863306292592</v>
      </c>
      <c r="H9" s="136">
        <f>IF(SER_hh_tes!H9=0,"",SER_hh_tes!H9/SER_hh_fec!H9)</f>
        <v>0.49211209933670086</v>
      </c>
      <c r="I9" s="136">
        <f>IF(SER_hh_tes!I9=0,"",SER_hh_tes!I9/SER_hh_fec!I9)</f>
        <v>0.49688454130034526</v>
      </c>
      <c r="J9" s="136">
        <f>IF(SER_hh_tes!J9=0,"",SER_hh_tes!J9/SER_hh_fec!J9)</f>
        <v>0.50182579859748111</v>
      </c>
      <c r="K9" s="136">
        <f>IF(SER_hh_tes!K9=0,"",SER_hh_tes!K9/SER_hh_fec!K9)</f>
        <v>0.50654788890547808</v>
      </c>
      <c r="L9" s="136">
        <f>IF(SER_hh_tes!L9=0,"",SER_hh_tes!L9/SER_hh_fec!L9)</f>
        <v>0.51175927707687463</v>
      </c>
      <c r="M9" s="136">
        <f>IF(SER_hh_tes!M9=0,"",SER_hh_tes!M9/SER_hh_fec!M9)</f>
        <v>0.51622030632806326</v>
      </c>
      <c r="N9" s="136">
        <f>IF(SER_hh_tes!N9=0,"",SER_hh_tes!N9/SER_hh_fec!N9)</f>
        <v>0.52072901642507341</v>
      </c>
      <c r="O9" s="136">
        <f>IF(SER_hh_tes!O9=0,"",SER_hh_tes!O9/SER_hh_fec!O9)</f>
        <v>0.52309981025835006</v>
      </c>
      <c r="P9" s="136">
        <f>IF(SER_hh_tes!P9=0,"",SER_hh_tes!P9/SER_hh_fec!P9)</f>
        <v>0.52310267769958474</v>
      </c>
      <c r="Q9" s="136">
        <f>IF(SER_hh_tes!Q9=0,"",SER_hh_tes!Q9/SER_hh_fec!Q9)</f>
        <v>0.52310267769958463</v>
      </c>
      <c r="R9" s="136">
        <f>IF(SER_hh_tes!R9=0,"",SER_hh_tes!R9/SER_hh_fec!R9)</f>
        <v>0.52310551203544686</v>
      </c>
      <c r="S9" s="136">
        <f>IF(SER_hh_tes!S9=0,"",SER_hh_tes!S9/SER_hh_fec!S9)</f>
        <v>0.52317473845776952</v>
      </c>
      <c r="T9" s="136">
        <f>IF(SER_hh_tes!T9=0,"",SER_hh_tes!T9/SER_hh_fec!T9)</f>
        <v>0.52838412430149573</v>
      </c>
      <c r="U9" s="136">
        <f>IF(SER_hh_tes!U9=0,"",SER_hh_tes!U9/SER_hh_fec!U9)</f>
        <v>0.54518601791886812</v>
      </c>
      <c r="V9" s="136">
        <f>IF(SER_hh_tes!V9=0,"",SER_hh_tes!V9/SER_hh_fec!V9)</f>
        <v>0.56796611067032665</v>
      </c>
      <c r="W9" s="136">
        <f>IF(SER_hh_tes!W9=0,"",SER_hh_tes!W9/SER_hh_fec!W9)</f>
        <v>0.60353565575993773</v>
      </c>
      <c r="X9" s="136">
        <f>IF(SER_hh_tes!X9=0,"",SER_hh_tes!X9/SER_hh_fec!X9)</f>
        <v>0.63749193629908929</v>
      </c>
      <c r="Y9" s="136">
        <f>IF(SER_hh_tes!Y9=0,"",SER_hh_tes!Y9/SER_hh_fec!Y9)</f>
        <v>0.65956793421946303</v>
      </c>
      <c r="DA9" s="163" t="s">
        <v>336</v>
      </c>
    </row>
    <row r="10" spans="1:105" ht="12" customHeight="1" x14ac:dyDescent="0.25">
      <c r="A10" s="131" t="s">
        <v>128</v>
      </c>
      <c r="B10" s="136">
        <f>IF(SER_hh_tes!B10=0,"",SER_hh_tes!B10/SER_hh_fec!B10)</f>
        <v>0.40735280321995904</v>
      </c>
      <c r="C10" s="136">
        <f>IF(SER_hh_tes!C10=0,"",SER_hh_tes!C10/SER_hh_fec!C10)</f>
        <v>0.41773766936416351</v>
      </c>
      <c r="D10" s="136">
        <f>IF(SER_hh_tes!D10=0,"",SER_hh_tes!D10/SER_hh_fec!D10)</f>
        <v>0.43028937647750448</v>
      </c>
      <c r="E10" s="136">
        <f>IF(SER_hh_tes!E10=0,"",SER_hh_tes!E10/SER_hh_fec!E10)</f>
        <v>0.43748607268718165</v>
      </c>
      <c r="F10" s="136">
        <f>IF(SER_hh_tes!F10=0,"",SER_hh_tes!F10/SER_hh_fec!F10)</f>
        <v>0.44365356174717463</v>
      </c>
      <c r="G10" s="136">
        <f>IF(SER_hh_tes!G10=0,"",SER_hh_tes!G10/SER_hh_fec!G10)</f>
        <v>0.44820001656710234</v>
      </c>
      <c r="H10" s="136">
        <f>IF(SER_hh_tes!H10=0,"",SER_hh_tes!H10/SER_hh_fec!H10)</f>
        <v>0.45518593652246264</v>
      </c>
      <c r="I10" s="136">
        <f>IF(SER_hh_tes!I10=0,"",SER_hh_tes!I10/SER_hh_fec!I10)</f>
        <v>0.46527388858855251</v>
      </c>
      <c r="J10" s="136">
        <f>IF(SER_hh_tes!J10=0,"",SER_hh_tes!J10/SER_hh_fec!J10)</f>
        <v>0.47071684242101341</v>
      </c>
      <c r="K10" s="136">
        <f>IF(SER_hh_tes!K10=0,"",SER_hh_tes!K10/SER_hh_fec!K10)</f>
        <v>0.47483727469743559</v>
      </c>
      <c r="L10" s="136">
        <f>IF(SER_hh_tes!L10=0,"",SER_hh_tes!L10/SER_hh_fec!L10)</f>
        <v>0.47945845383783536</v>
      </c>
      <c r="M10" s="136">
        <f>IF(SER_hh_tes!M10=0,"",SER_hh_tes!M10/SER_hh_fec!M10)</f>
        <v>0.48676555182398451</v>
      </c>
      <c r="N10" s="136">
        <f>IF(SER_hh_tes!N10=0,"",SER_hh_tes!N10/SER_hh_fec!N10)</f>
        <v>0.49489602974890828</v>
      </c>
      <c r="O10" s="136">
        <f>IF(SER_hh_tes!O10=0,"",SER_hh_tes!O10/SER_hh_fec!O10)</f>
        <v>0.49980113256466785</v>
      </c>
      <c r="P10" s="136">
        <f>IF(SER_hh_tes!P10=0,"",SER_hh_tes!P10/SER_hh_fec!P10)</f>
        <v>0.50010921589582491</v>
      </c>
      <c r="Q10" s="136">
        <f>IF(SER_hh_tes!Q10=0,"",SER_hh_tes!Q10/SER_hh_fec!Q10)</f>
        <v>0.50030748792469104</v>
      </c>
      <c r="R10" s="136">
        <f>IF(SER_hh_tes!R10=0,"",SER_hh_tes!R10/SER_hh_fec!R10)</f>
        <v>0.50044343148837245</v>
      </c>
      <c r="S10" s="136">
        <f>IF(SER_hh_tes!S10=0,"",SER_hh_tes!S10/SER_hh_fec!S10)</f>
        <v>0.50055088683156757</v>
      </c>
      <c r="T10" s="136">
        <f>IF(SER_hh_tes!T10=0,"",SER_hh_tes!T10/SER_hh_fec!T10)</f>
        <v>0.50062696477983082</v>
      </c>
      <c r="U10" s="136">
        <f>IF(SER_hh_tes!U10=0,"",SER_hh_tes!U10/SER_hh_fec!U10)</f>
        <v>0.50067732721285241</v>
      </c>
      <c r="V10" s="136">
        <f>IF(SER_hh_tes!V10=0,"",SER_hh_tes!V10/SER_hh_fec!V10)</f>
        <v>0.50072304021447178</v>
      </c>
      <c r="W10" s="136">
        <f>IF(SER_hh_tes!W10=0,"",SER_hh_tes!W10/SER_hh_fec!W10)</f>
        <v>0.50079965615393229</v>
      </c>
      <c r="X10" s="136">
        <f>IF(SER_hh_tes!X10=0,"",SER_hh_tes!X10/SER_hh_fec!X10)</f>
        <v>0.50111933388287766</v>
      </c>
      <c r="Y10" s="136">
        <f>IF(SER_hh_tes!Y10=0,"",SER_hh_tes!Y10/SER_hh_fec!Y10)</f>
        <v>0.5020320704806448</v>
      </c>
      <c r="DA10" s="163" t="s">
        <v>337</v>
      </c>
    </row>
    <row r="11" spans="1:105" ht="12" customHeight="1" x14ac:dyDescent="0.25">
      <c r="A11" s="131" t="s">
        <v>25</v>
      </c>
      <c r="B11" s="136">
        <f>IF(SER_hh_tes!B11=0,"",SER_hh_tes!B11/SER_hh_fec!B11)</f>
        <v>0.68106447814599957</v>
      </c>
      <c r="C11" s="136">
        <f>IF(SER_hh_tes!C11=0,"",SER_hh_tes!C11/SER_hh_fec!C11)</f>
        <v>0.68106447814599957</v>
      </c>
      <c r="D11" s="136">
        <f>IF(SER_hh_tes!D11=0,"",SER_hh_tes!D11/SER_hh_fec!D11)</f>
        <v>0.68106447814599957</v>
      </c>
      <c r="E11" s="136">
        <f>IF(SER_hh_tes!E11=0,"",SER_hh_tes!E11/SER_hh_fec!E11)</f>
        <v>0.68106447814599957</v>
      </c>
      <c r="F11" s="136">
        <f>IF(SER_hh_tes!F11=0,"",SER_hh_tes!F11/SER_hh_fec!F11)</f>
        <v>0.68106447814599957</v>
      </c>
      <c r="G11" s="136">
        <f>IF(SER_hh_tes!G11=0,"",SER_hh_tes!G11/SER_hh_fec!G11)</f>
        <v>0.68106447814599957</v>
      </c>
      <c r="H11" s="136">
        <f>IF(SER_hh_tes!H11=0,"",SER_hh_tes!H11/SER_hh_fec!H11)</f>
        <v>0.68106447814599957</v>
      </c>
      <c r="I11" s="136">
        <f>IF(SER_hh_tes!I11=0,"",SER_hh_tes!I11/SER_hh_fec!I11)</f>
        <v>0.68111707042524883</v>
      </c>
      <c r="J11" s="136">
        <f>IF(SER_hh_tes!J11=0,"",SER_hh_tes!J11/SER_hh_fec!J11)</f>
        <v>0.68111705759466767</v>
      </c>
      <c r="K11" s="136">
        <f>IF(SER_hh_tes!K11=0,"",SER_hh_tes!K11/SER_hh_fec!K11)</f>
        <v>0.68111705759466767</v>
      </c>
      <c r="L11" s="136">
        <f>IF(SER_hh_tes!L11=0,"",SER_hh_tes!L11/SER_hh_fec!L11)</f>
        <v>0.68111705759466767</v>
      </c>
      <c r="M11" s="136">
        <f>IF(SER_hh_tes!M11=0,"",SER_hh_tes!M11/SER_hh_fec!M11)</f>
        <v>0.68281523708952663</v>
      </c>
      <c r="N11" s="136">
        <f>IF(SER_hh_tes!N11=0,"",SER_hh_tes!N11/SER_hh_fec!N11)</f>
        <v>0.69865531017703886</v>
      </c>
      <c r="O11" s="136">
        <f>IF(SER_hh_tes!O11=0,"",SER_hh_tes!O11/SER_hh_fec!O11)</f>
        <v>0.77820864862586203</v>
      </c>
      <c r="P11" s="136">
        <f>IF(SER_hh_tes!P11=0,"",SER_hh_tes!P11/SER_hh_fec!P11)</f>
        <v>0.77910645023779923</v>
      </c>
      <c r="Q11" s="136">
        <f>IF(SER_hh_tes!Q11=0,"",SER_hh_tes!Q11/SER_hh_fec!Q11)</f>
        <v>0.77939843312363599</v>
      </c>
      <c r="R11" s="136">
        <f>IF(SER_hh_tes!R11=0,"",SER_hh_tes!R11/SER_hh_fec!R11)</f>
        <v>0.77940607443580445</v>
      </c>
      <c r="S11" s="136">
        <f>IF(SER_hh_tes!S11=0,"",SER_hh_tes!S11/SER_hh_fec!S11)</f>
        <v>0.77940626113334399</v>
      </c>
      <c r="T11" s="136">
        <f>IF(SER_hh_tes!T11=0,"",SER_hh_tes!T11/SER_hh_fec!T11)</f>
        <v>0.77940626113334421</v>
      </c>
      <c r="U11" s="136">
        <f>IF(SER_hh_tes!U11=0,"",SER_hh_tes!U11/SER_hh_fec!U11)</f>
        <v>0.77940626113334421</v>
      </c>
      <c r="V11" s="136">
        <f>IF(SER_hh_tes!V11=0,"",SER_hh_tes!V11/SER_hh_fec!V11)</f>
        <v>0.77940749935591402</v>
      </c>
      <c r="W11" s="136">
        <f>IF(SER_hh_tes!W11=0,"",SER_hh_tes!W11/SER_hh_fec!W11)</f>
        <v>0.77940980970673501</v>
      </c>
      <c r="X11" s="136">
        <f>IF(SER_hh_tes!X11=0,"",SER_hh_tes!X11/SER_hh_fec!X11)</f>
        <v>0.77941291720820882</v>
      </c>
      <c r="Y11" s="136">
        <f>IF(SER_hh_tes!Y11=0,"",SER_hh_tes!Y11/SER_hh_fec!Y11)</f>
        <v>0.77941712644294092</v>
      </c>
      <c r="DA11" s="163" t="s">
        <v>338</v>
      </c>
    </row>
    <row r="12" spans="1:105" ht="12" customHeight="1" x14ac:dyDescent="0.25">
      <c r="A12" s="131" t="s">
        <v>162</v>
      </c>
      <c r="B12" s="136" t="str">
        <f>IF(SER_hh_tes!B12=0,"",SER_hh_tes!B12/SER_hh_fec!B12)</f>
        <v/>
      </c>
      <c r="C12" s="136" t="str">
        <f>IF(SER_hh_tes!C12=0,"",SER_hh_tes!C12/SER_hh_fec!C12)</f>
        <v/>
      </c>
      <c r="D12" s="136" t="str">
        <f>IF(SER_hh_tes!D12=0,"",SER_hh_tes!D12/SER_hh_fec!D12)</f>
        <v/>
      </c>
      <c r="E12" s="136" t="str">
        <f>IF(SER_hh_tes!E12=0,"",SER_hh_tes!E12/SER_hh_fec!E12)</f>
        <v/>
      </c>
      <c r="F12" s="136" t="str">
        <f>IF(SER_hh_tes!F12=0,"",SER_hh_tes!F12/SER_hh_fec!F12)</f>
        <v/>
      </c>
      <c r="G12" s="136" t="str">
        <f>IF(SER_hh_tes!G12=0,"",SER_hh_tes!G12/SER_hh_fec!G12)</f>
        <v/>
      </c>
      <c r="H12" s="136" t="str">
        <f>IF(SER_hh_tes!H12=0,"",SER_hh_tes!H12/SER_hh_fec!H12)</f>
        <v/>
      </c>
      <c r="I12" s="136" t="str">
        <f>IF(SER_hh_tes!I12=0,"",SER_hh_tes!I12/SER_hh_fec!I12)</f>
        <v/>
      </c>
      <c r="J12" s="136" t="str">
        <f>IF(SER_hh_tes!J12=0,"",SER_hh_tes!J12/SER_hh_fec!J12)</f>
        <v/>
      </c>
      <c r="K12" s="136" t="str">
        <f>IF(SER_hh_tes!K12=0,"",SER_hh_tes!K12/SER_hh_fec!K12)</f>
        <v/>
      </c>
      <c r="L12" s="136" t="str">
        <f>IF(SER_hh_tes!L12=0,"",SER_hh_tes!L12/SER_hh_fec!L12)</f>
        <v/>
      </c>
      <c r="M12" s="136" t="str">
        <f>IF(SER_hh_tes!M12=0,"",SER_hh_tes!M12/SER_hh_fec!M12)</f>
        <v/>
      </c>
      <c r="N12" s="136" t="str">
        <f>IF(SER_hh_tes!N12=0,"",SER_hh_tes!N12/SER_hh_fec!N12)</f>
        <v/>
      </c>
      <c r="O12" s="136" t="str">
        <f>IF(SER_hh_tes!O12=0,"",SER_hh_tes!O12/SER_hh_fec!O12)</f>
        <v/>
      </c>
      <c r="P12" s="136" t="str">
        <f>IF(SER_hh_tes!P12=0,"",SER_hh_tes!P12/SER_hh_fec!P12)</f>
        <v/>
      </c>
      <c r="Q12" s="136" t="str">
        <f>IF(SER_hh_tes!Q12=0,"",SER_hh_tes!Q12/SER_hh_fec!Q12)</f>
        <v/>
      </c>
      <c r="R12" s="136" t="str">
        <f>IF(SER_hh_tes!R12=0,"",SER_hh_tes!R12/SER_hh_fec!R12)</f>
        <v/>
      </c>
      <c r="S12" s="136" t="str">
        <f>IF(SER_hh_tes!S12=0,"",SER_hh_tes!S12/SER_hh_fec!S12)</f>
        <v/>
      </c>
      <c r="T12" s="136" t="str">
        <f>IF(SER_hh_tes!T12=0,"",SER_hh_tes!T12/SER_hh_fec!T12)</f>
        <v/>
      </c>
      <c r="U12" s="136" t="str">
        <f>IF(SER_hh_tes!U12=0,"",SER_hh_tes!U12/SER_hh_fec!U12)</f>
        <v/>
      </c>
      <c r="V12" s="136" t="str">
        <f>IF(SER_hh_tes!V12=0,"",SER_hh_tes!V12/SER_hh_fec!V12)</f>
        <v/>
      </c>
      <c r="W12" s="136" t="str">
        <f>IF(SER_hh_tes!W12=0,"",SER_hh_tes!W12/SER_hh_fec!W12)</f>
        <v/>
      </c>
      <c r="X12" s="136" t="str">
        <f>IF(SER_hh_tes!X12=0,"",SER_hh_tes!X12/SER_hh_fec!X12)</f>
        <v/>
      </c>
      <c r="Y12" s="136" t="str">
        <f>IF(SER_hh_tes!Y12=0,"",SER_hh_tes!Y12/SER_hh_fec!Y12)</f>
        <v/>
      </c>
      <c r="DA12" s="163" t="s">
        <v>339</v>
      </c>
    </row>
    <row r="13" spans="1:105" ht="12" customHeight="1" x14ac:dyDescent="0.25">
      <c r="A13" s="131" t="s">
        <v>77</v>
      </c>
      <c r="B13" s="136">
        <f>IF(SER_hh_tes!B13=0,"",SER_hh_tes!B13/SER_hh_fec!B13)</f>
        <v>1.3835687247026387</v>
      </c>
      <c r="C13" s="136">
        <f>IF(SER_hh_tes!C13=0,"",SER_hh_tes!C13/SER_hh_fec!C13)</f>
        <v>1.4327496802736521</v>
      </c>
      <c r="D13" s="136">
        <f>IF(SER_hh_tes!D13=0,"",SER_hh_tes!D13/SER_hh_fec!D13)</f>
        <v>1.5132686772314614</v>
      </c>
      <c r="E13" s="136">
        <f>IF(SER_hh_tes!E13=0,"",SER_hh_tes!E13/SER_hh_fec!E13)</f>
        <v>1.5939217628178899</v>
      </c>
      <c r="F13" s="136">
        <f>IF(SER_hh_tes!F13=0,"",SER_hh_tes!F13/SER_hh_fec!F13)</f>
        <v>1.6436214167832737</v>
      </c>
      <c r="G13" s="136">
        <f>IF(SER_hh_tes!G13=0,"",SER_hh_tes!G13/SER_hh_fec!G13)</f>
        <v>1.7292554067382653</v>
      </c>
      <c r="H13" s="136">
        <f>IF(SER_hh_tes!H13=0,"",SER_hh_tes!H13/SER_hh_fec!H13)</f>
        <v>1.8212276505419209</v>
      </c>
      <c r="I13" s="136">
        <f>IF(SER_hh_tes!I13=0,"",SER_hh_tes!I13/SER_hh_fec!I13)</f>
        <v>1.9505580493395649</v>
      </c>
      <c r="J13" s="136">
        <f>IF(SER_hh_tes!J13=0,"",SER_hh_tes!J13/SER_hh_fec!J13)</f>
        <v>2.0412742801293509</v>
      </c>
      <c r="K13" s="136">
        <f>IF(SER_hh_tes!K13=0,"",SER_hh_tes!K13/SER_hh_fec!K13)</f>
        <v>2.1041092045705936</v>
      </c>
      <c r="L13" s="136">
        <f>IF(SER_hh_tes!L13=0,"",SER_hh_tes!L13/SER_hh_fec!L13)</f>
        <v>2.1615498174160308</v>
      </c>
      <c r="M13" s="136">
        <f>IF(SER_hh_tes!M13=0,"",SER_hh_tes!M13/SER_hh_fec!M13)</f>
        <v>2.2613845936456367</v>
      </c>
      <c r="N13" s="136">
        <f>IF(SER_hh_tes!N13=0,"",SER_hh_tes!N13/SER_hh_fec!N13)</f>
        <v>2.4336494344314592</v>
      </c>
      <c r="O13" s="136">
        <f>IF(SER_hh_tes!O13=0,"",SER_hh_tes!O13/SER_hh_fec!O13)</f>
        <v>2.6210851841894729</v>
      </c>
      <c r="P13" s="136">
        <f>IF(SER_hh_tes!P13=0,"",SER_hh_tes!P13/SER_hh_fec!P13)</f>
        <v>2.806507790469694</v>
      </c>
      <c r="Q13" s="136">
        <f>IF(SER_hh_tes!Q13=0,"",SER_hh_tes!Q13/SER_hh_fec!Q13)</f>
        <v>2.9443604467382243</v>
      </c>
      <c r="R13" s="136">
        <f>IF(SER_hh_tes!R13=0,"",SER_hh_tes!R13/SER_hh_fec!R13)</f>
        <v>3.040575201563418</v>
      </c>
      <c r="S13" s="136">
        <f>IF(SER_hh_tes!S13=0,"",SER_hh_tes!S13/SER_hh_fec!S13)</f>
        <v>3.1136103435705089</v>
      </c>
      <c r="T13" s="136">
        <f>IF(SER_hh_tes!T13=0,"",SER_hh_tes!T13/SER_hh_fec!T13)</f>
        <v>3.177651743776948</v>
      </c>
      <c r="U13" s="136">
        <f>IF(SER_hh_tes!U13=0,"",SER_hh_tes!U13/SER_hh_fec!U13)</f>
        <v>3.2438446709084818</v>
      </c>
      <c r="V13" s="136">
        <f>IF(SER_hh_tes!V13=0,"",SER_hh_tes!V13/SER_hh_fec!V13)</f>
        <v>3.3121569815305616</v>
      </c>
      <c r="W13" s="136">
        <f>IF(SER_hh_tes!W13=0,"",SER_hh_tes!W13/SER_hh_fec!W13)</f>
        <v>3.3694972080520467</v>
      </c>
      <c r="X13" s="136">
        <f>IF(SER_hh_tes!X13=0,"",SER_hh_tes!X13/SER_hh_fec!X13)</f>
        <v>3.4327623684970785</v>
      </c>
      <c r="Y13" s="136">
        <f>IF(SER_hh_tes!Y13=0,"",SER_hh_tes!Y13/SER_hh_fec!Y13)</f>
        <v>3.4996343403887056</v>
      </c>
      <c r="DA13" s="163" t="s">
        <v>340</v>
      </c>
    </row>
    <row r="14" spans="1:105" ht="12" customHeight="1" x14ac:dyDescent="0.25">
      <c r="A14" s="60" t="s">
        <v>76</v>
      </c>
      <c r="B14" s="137">
        <f>IF(SER_hh_tes!B14=0,"",SER_hh_tes!B14/SER_hh_fec!B14)</f>
        <v>0.62566486755417905</v>
      </c>
      <c r="C14" s="137">
        <f>IF(SER_hh_tes!C14=0,"",SER_hh_tes!C14/SER_hh_fec!C14)</f>
        <v>0.62566486755417905</v>
      </c>
      <c r="D14" s="137">
        <f>IF(SER_hh_tes!D14=0,"",SER_hh_tes!D14/SER_hh_fec!D14)</f>
        <v>0.62566486755417905</v>
      </c>
      <c r="E14" s="137">
        <f>IF(SER_hh_tes!E14=0,"",SER_hh_tes!E14/SER_hh_fec!E14)</f>
        <v>0.62566486755417905</v>
      </c>
      <c r="F14" s="137">
        <f>IF(SER_hh_tes!F14=0,"",SER_hh_tes!F14/SER_hh_fec!F14)</f>
        <v>0.6353092773195822</v>
      </c>
      <c r="G14" s="137">
        <f>IF(SER_hh_tes!G14=0,"",SER_hh_tes!G14/SER_hh_fec!G14)</f>
        <v>0.64437149788982961</v>
      </c>
      <c r="H14" s="137">
        <f>IF(SER_hh_tes!H14=0,"",SER_hh_tes!H14/SER_hh_fec!H14)</f>
        <v>0.65804277605860229</v>
      </c>
      <c r="I14" s="137">
        <f>IF(SER_hh_tes!I14=0,"",SER_hh_tes!I14/SER_hh_fec!I14)</f>
        <v>0.66325537672679369</v>
      </c>
      <c r="J14" s="137">
        <f>IF(SER_hh_tes!J14=0,"",SER_hh_tes!J14/SER_hh_fec!J14)</f>
        <v>0.66888358618036425</v>
      </c>
      <c r="K14" s="137">
        <f>IF(SER_hh_tes!K14=0,"",SER_hh_tes!K14/SER_hh_fec!K14)</f>
        <v>0.67199216811868101</v>
      </c>
      <c r="L14" s="137">
        <f>IF(SER_hh_tes!L14=0,"",SER_hh_tes!L14/SER_hh_fec!L14)</f>
        <v>0.674192900125405</v>
      </c>
      <c r="M14" s="137">
        <f>IF(SER_hh_tes!M14=0,"",SER_hh_tes!M14/SER_hh_fec!M14)</f>
        <v>0.67648857351284597</v>
      </c>
      <c r="N14" s="137">
        <f>IF(SER_hh_tes!N14=0,"",SER_hh_tes!N14/SER_hh_fec!N14)</f>
        <v>0.67875608233379603</v>
      </c>
      <c r="O14" s="137">
        <f>IF(SER_hh_tes!O14=0,"",SER_hh_tes!O14/SER_hh_fec!O14)</f>
        <v>0.68180620027612382</v>
      </c>
      <c r="P14" s="137">
        <f>IF(SER_hh_tes!P14=0,"",SER_hh_tes!P14/SER_hh_fec!P14)</f>
        <v>0.68180620027612371</v>
      </c>
      <c r="Q14" s="137">
        <f>IF(SER_hh_tes!Q14=0,"",SER_hh_tes!Q14/SER_hh_fec!Q14)</f>
        <v>0.68180620027612371</v>
      </c>
      <c r="R14" s="137">
        <f>IF(SER_hh_tes!R14=0,"",SER_hh_tes!R14/SER_hh_fec!R14)</f>
        <v>0.6818062002761236</v>
      </c>
      <c r="S14" s="137">
        <f>IF(SER_hh_tes!S14=0,"",SER_hh_tes!S14/SER_hh_fec!S14)</f>
        <v>0.69615539911141433</v>
      </c>
      <c r="T14" s="137">
        <f>IF(SER_hh_tes!T14=0,"",SER_hh_tes!T14/SER_hh_fec!T14)</f>
        <v>0.70390741870984863</v>
      </c>
      <c r="U14" s="137">
        <f>IF(SER_hh_tes!U14=0,"",SER_hh_tes!U14/SER_hh_fec!U14)</f>
        <v>0.70611725711037499</v>
      </c>
      <c r="V14" s="137">
        <f>IF(SER_hh_tes!V14=0,"",SER_hh_tes!V14/SER_hh_fec!V14)</f>
        <v>0.70781468718376783</v>
      </c>
      <c r="W14" s="137">
        <f>IF(SER_hh_tes!W14=0,"",SER_hh_tes!W14/SER_hh_fec!W14)</f>
        <v>0.71352085153519051</v>
      </c>
      <c r="X14" s="137">
        <f>IF(SER_hh_tes!X14=0,"",SER_hh_tes!X14/SER_hh_fec!X14)</f>
        <v>0.74037147067811226</v>
      </c>
      <c r="Y14" s="137">
        <f>IF(SER_hh_tes!Y14=0,"",SER_hh_tes!Y14/SER_hh_fec!Y14)</f>
        <v>0.75778829608975773</v>
      </c>
      <c r="DA14" s="164" t="s">
        <v>341</v>
      </c>
    </row>
    <row r="15" spans="1:105" ht="12" customHeight="1" x14ac:dyDescent="0.25">
      <c r="A15" s="133" t="s">
        <v>80</v>
      </c>
      <c r="B15" s="138">
        <f>IF(SER_hh_tes!B15=0,"",SER_hh_tes!B15/SER_hh_fec!B15)</f>
        <v>1</v>
      </c>
      <c r="C15" s="138">
        <f>IF(SER_hh_tes!C15=0,"",SER_hh_tes!C15/SER_hh_fec!C15)</f>
        <v>1</v>
      </c>
      <c r="D15" s="138">
        <f>IF(SER_hh_tes!D15=0,"",SER_hh_tes!D15/SER_hh_fec!D15)</f>
        <v>1</v>
      </c>
      <c r="E15" s="138">
        <f>IF(SER_hh_tes!E15=0,"",SER_hh_tes!E15/SER_hh_fec!E15)</f>
        <v>1</v>
      </c>
      <c r="F15" s="138">
        <f>IF(SER_hh_tes!F15=0,"",SER_hh_tes!F15/SER_hh_fec!F15)</f>
        <v>1</v>
      </c>
      <c r="G15" s="138">
        <f>IF(SER_hh_tes!G15=0,"",SER_hh_tes!G15/SER_hh_fec!G15)</f>
        <v>1</v>
      </c>
      <c r="H15" s="138">
        <f>IF(SER_hh_tes!H15=0,"",SER_hh_tes!H15/SER_hh_fec!H15)</f>
        <v>1</v>
      </c>
      <c r="I15" s="138">
        <f>IF(SER_hh_tes!I15=0,"",SER_hh_tes!I15/SER_hh_fec!I15)</f>
        <v>1</v>
      </c>
      <c r="J15" s="138">
        <f>IF(SER_hh_tes!J15=0,"",SER_hh_tes!J15/SER_hh_fec!J15)</f>
        <v>1</v>
      </c>
      <c r="K15" s="138">
        <f>IF(SER_hh_tes!K15=0,"",SER_hh_tes!K15/SER_hh_fec!K15)</f>
        <v>1</v>
      </c>
      <c r="L15" s="138">
        <f>IF(SER_hh_tes!L15=0,"",SER_hh_tes!L15/SER_hh_fec!L15)</f>
        <v>1</v>
      </c>
      <c r="M15" s="138">
        <f>IF(SER_hh_tes!M15=0,"",SER_hh_tes!M15/SER_hh_fec!M15)</f>
        <v>1</v>
      </c>
      <c r="N15" s="138">
        <f>IF(SER_hh_tes!N15=0,"",SER_hh_tes!N15/SER_hh_fec!N15)</f>
        <v>1</v>
      </c>
      <c r="O15" s="138">
        <f>IF(SER_hh_tes!O15=0,"",SER_hh_tes!O15/SER_hh_fec!O15)</f>
        <v>1</v>
      </c>
      <c r="P15" s="138">
        <f>IF(SER_hh_tes!P15=0,"",SER_hh_tes!P15/SER_hh_fec!P15)</f>
        <v>1</v>
      </c>
      <c r="Q15" s="138">
        <f>IF(SER_hh_tes!Q15=0,"",SER_hh_tes!Q15/SER_hh_fec!Q15)</f>
        <v>1</v>
      </c>
      <c r="R15" s="138">
        <f>IF(SER_hh_tes!R15=0,"",SER_hh_tes!R15/SER_hh_fec!R15)</f>
        <v>1</v>
      </c>
      <c r="S15" s="138">
        <f>IF(SER_hh_tes!S15=0,"",SER_hh_tes!S15/SER_hh_fec!S15)</f>
        <v>1</v>
      </c>
      <c r="T15" s="138">
        <f>IF(SER_hh_tes!T15=0,"",SER_hh_tes!T15/SER_hh_fec!T15)</f>
        <v>1</v>
      </c>
      <c r="U15" s="138">
        <f>IF(SER_hh_tes!U15=0,"",SER_hh_tes!U15/SER_hh_fec!U15)</f>
        <v>1</v>
      </c>
      <c r="V15" s="138">
        <f>IF(SER_hh_tes!V15=0,"",SER_hh_tes!V15/SER_hh_fec!V15)</f>
        <v>1</v>
      </c>
      <c r="W15" s="138">
        <f>IF(SER_hh_tes!W15=0,"",SER_hh_tes!W15/SER_hh_fec!W15)</f>
        <v>1</v>
      </c>
      <c r="X15" s="138">
        <f>IF(SER_hh_tes!X15=0,"",SER_hh_tes!X15/SER_hh_fec!X15)</f>
        <v>1</v>
      </c>
      <c r="Y15" s="138">
        <f>IF(SER_hh_tes!Y15=0,"",SER_hh_tes!Y15/SER_hh_fec!Y15)</f>
        <v>1</v>
      </c>
      <c r="DA15" s="165" t="s">
        <v>342</v>
      </c>
    </row>
    <row r="16" spans="1:105" ht="12.95" customHeight="1" x14ac:dyDescent="0.25">
      <c r="A16" s="129" t="s">
        <v>74</v>
      </c>
      <c r="B16" s="135">
        <f>IF(SER_hh_tes!B16=0,"",SER_hh_tes!B16/SER_hh_fec!B16)</f>
        <v>1.687028441550751</v>
      </c>
      <c r="C16" s="135">
        <f>IF(SER_hh_tes!C16=0,"",SER_hh_tes!C16/SER_hh_fec!C16)</f>
        <v>1.7818229037609243</v>
      </c>
      <c r="D16" s="135">
        <f>IF(SER_hh_tes!D16=0,"",SER_hh_tes!D16/SER_hh_fec!D16)</f>
        <v>1.8865699510112224</v>
      </c>
      <c r="E16" s="135">
        <f>IF(SER_hh_tes!E16=0,"",SER_hh_tes!E16/SER_hh_fec!E16)</f>
        <v>1.9994097532925594</v>
      </c>
      <c r="F16" s="135">
        <f>IF(SER_hh_tes!F16=0,"",SER_hh_tes!F16/SER_hh_fec!F16)</f>
        <v>2.0837891604913703</v>
      </c>
      <c r="G16" s="135">
        <f>IF(SER_hh_tes!G16=0,"",SER_hh_tes!G16/SER_hh_fec!G16)</f>
        <v>2.1934710230394816</v>
      </c>
      <c r="H16" s="135">
        <f>IF(SER_hh_tes!H16=0,"",SER_hh_tes!H16/SER_hh_fec!H16)</f>
        <v>2.3075464472568257</v>
      </c>
      <c r="I16" s="135">
        <f>IF(SER_hh_tes!I16=0,"",SER_hh_tes!I16/SER_hh_fec!I16)</f>
        <v>2.4319739925626846</v>
      </c>
      <c r="J16" s="135">
        <f>IF(SER_hh_tes!J16=0,"",SER_hh_tes!J16/SER_hh_fec!J16)</f>
        <v>2.5429854146560005</v>
      </c>
      <c r="K16" s="135">
        <f>IF(SER_hh_tes!K16=0,"",SER_hh_tes!K16/SER_hh_fec!K16)</f>
        <v>2.6026466422734877</v>
      </c>
      <c r="L16" s="135">
        <f>IF(SER_hh_tes!L16=0,"",SER_hh_tes!L16/SER_hh_fec!L16)</f>
        <v>2.6709902159297894</v>
      </c>
      <c r="M16" s="135">
        <f>IF(SER_hh_tes!M16=0,"",SER_hh_tes!M16/SER_hh_fec!M16)</f>
        <v>2.7562718421321044</v>
      </c>
      <c r="N16" s="135">
        <f>IF(SER_hh_tes!N16=0,"",SER_hh_tes!N16/SER_hh_fec!N16)</f>
        <v>2.8412500215867813</v>
      </c>
      <c r="O16" s="135">
        <f>IF(SER_hh_tes!O16=0,"",SER_hh_tes!O16/SER_hh_fec!O16)</f>
        <v>2.9284516131022214</v>
      </c>
      <c r="P16" s="135">
        <f>IF(SER_hh_tes!P16=0,"",SER_hh_tes!P16/SER_hh_fec!P16)</f>
        <v>3.0208368346816101</v>
      </c>
      <c r="Q16" s="135">
        <f>IF(SER_hh_tes!Q16=0,"",SER_hh_tes!Q16/SER_hh_fec!Q16)</f>
        <v>3.1319941168823608</v>
      </c>
      <c r="R16" s="135">
        <f>IF(SER_hh_tes!R16=0,"",SER_hh_tes!R16/SER_hh_fec!R16)</f>
        <v>3.2508551453245387</v>
      </c>
      <c r="S16" s="135">
        <f>IF(SER_hh_tes!S16=0,"",SER_hh_tes!S16/SER_hh_fec!S16)</f>
        <v>3.3724975416829093</v>
      </c>
      <c r="T16" s="135">
        <f>IF(SER_hh_tes!T16=0,"",SER_hh_tes!T16/SER_hh_fec!T16)</f>
        <v>3.4751630952361712</v>
      </c>
      <c r="U16" s="135">
        <f>IF(SER_hh_tes!U16=0,"",SER_hh_tes!U16/SER_hh_fec!U16)</f>
        <v>3.5679112499266332</v>
      </c>
      <c r="V16" s="135">
        <f>IF(SER_hh_tes!V16=0,"",SER_hh_tes!V16/SER_hh_fec!V16)</f>
        <v>3.6500026388233646</v>
      </c>
      <c r="W16" s="135">
        <f>IF(SER_hh_tes!W16=0,"",SER_hh_tes!W16/SER_hh_fec!W16)</f>
        <v>3.7180629102866192</v>
      </c>
      <c r="X16" s="135">
        <f>IF(SER_hh_tes!X16=0,"",SER_hh_tes!X16/SER_hh_fec!X16)</f>
        <v>3.7631252705673908</v>
      </c>
      <c r="Y16" s="135">
        <f>IF(SER_hh_tes!Y16=0,"",SER_hh_tes!Y16/SER_hh_fec!Y16)</f>
        <v>3.8081104863888968</v>
      </c>
      <c r="DA16" s="162" t="s">
        <v>241</v>
      </c>
    </row>
    <row r="17" spans="1:105" ht="12.95" customHeight="1" x14ac:dyDescent="0.25">
      <c r="A17" s="131" t="s">
        <v>73</v>
      </c>
      <c r="B17" s="136">
        <f>IF(SER_hh_tes!B17=0,"",SER_hh_tes!B17/SER_hh_fec!B17)</f>
        <v>1.0529192935917897</v>
      </c>
      <c r="C17" s="136">
        <f>IF(SER_hh_tes!C17=0,"",SER_hh_tes!C17/SER_hh_fec!C17)</f>
        <v>1.0719632648478332</v>
      </c>
      <c r="D17" s="136">
        <f>IF(SER_hh_tes!D17=0,"",SER_hh_tes!D17/SER_hh_fec!D17)</f>
        <v>1.0863719479192628</v>
      </c>
      <c r="E17" s="136">
        <f>IF(SER_hh_tes!E17=0,"",SER_hh_tes!E17/SER_hh_fec!E17)</f>
        <v>1.1194775007195539</v>
      </c>
      <c r="F17" s="136">
        <f>IF(SER_hh_tes!F17=0,"",SER_hh_tes!F17/SER_hh_fec!F17)</f>
        <v>1.1441432088595027</v>
      </c>
      <c r="G17" s="136">
        <f>IF(SER_hh_tes!G17=0,"",SER_hh_tes!G17/SER_hh_fec!G17)</f>
        <v>1.1627610878368904</v>
      </c>
      <c r="H17" s="136">
        <f>IF(SER_hh_tes!H17=0,"",SER_hh_tes!H17/SER_hh_fec!H17)</f>
        <v>1.183565468813389</v>
      </c>
      <c r="I17" s="136">
        <f>IF(SER_hh_tes!I17=0,"",SER_hh_tes!I17/SER_hh_fec!I17)</f>
        <v>1.2005468552579344</v>
      </c>
      <c r="J17" s="136">
        <f>IF(SER_hh_tes!J17=0,"",SER_hh_tes!J17/SER_hh_fec!J17)</f>
        <v>1.2189222398818695</v>
      </c>
      <c r="K17" s="136">
        <f>IF(SER_hh_tes!K17=0,"",SER_hh_tes!K17/SER_hh_fec!K17)</f>
        <v>1.2299405484258152</v>
      </c>
      <c r="L17" s="136">
        <f>IF(SER_hh_tes!L17=0,"",SER_hh_tes!L17/SER_hh_fec!L17)</f>
        <v>1.2438960638550409</v>
      </c>
      <c r="M17" s="136">
        <f>IF(SER_hh_tes!M17=0,"",SER_hh_tes!M17/SER_hh_fec!M17)</f>
        <v>1.2602105932695566</v>
      </c>
      <c r="N17" s="136">
        <f>IF(SER_hh_tes!N17=0,"",SER_hh_tes!N17/SER_hh_fec!N17)</f>
        <v>1.274704612175156</v>
      </c>
      <c r="O17" s="136">
        <f>IF(SER_hh_tes!O17=0,"",SER_hh_tes!O17/SER_hh_fec!O17)</f>
        <v>1.2977231410861918</v>
      </c>
      <c r="P17" s="136">
        <f>IF(SER_hh_tes!P17=0,"",SER_hh_tes!P17/SER_hh_fec!P17)</f>
        <v>1.3148149808468483</v>
      </c>
      <c r="Q17" s="136">
        <f>IF(SER_hh_tes!Q17=0,"",SER_hh_tes!Q17/SER_hh_fec!Q17)</f>
        <v>1.3341974040120768</v>
      </c>
      <c r="R17" s="136">
        <f>IF(SER_hh_tes!R17=0,"",SER_hh_tes!R17/SER_hh_fec!R17)</f>
        <v>1.35410208087908</v>
      </c>
      <c r="S17" s="136">
        <f>IF(SER_hh_tes!S17=0,"",SER_hh_tes!S17/SER_hh_fec!S17)</f>
        <v>1.3706902692184</v>
      </c>
      <c r="T17" s="136">
        <f>IF(SER_hh_tes!T17=0,"",SER_hh_tes!T17/SER_hh_fec!T17)</f>
        <v>1.3953380110871472</v>
      </c>
      <c r="U17" s="136">
        <f>IF(SER_hh_tes!U17=0,"",SER_hh_tes!U17/SER_hh_fec!U17)</f>
        <v>1.4128155621065872</v>
      </c>
      <c r="V17" s="136">
        <f>IF(SER_hh_tes!V17=0,"",SER_hh_tes!V17/SER_hh_fec!V17)</f>
        <v>1.431583231261397</v>
      </c>
      <c r="W17" s="136">
        <f>IF(SER_hh_tes!W17=0,"",SER_hh_tes!W17/SER_hh_fec!W17)</f>
        <v>1.4497605616381986</v>
      </c>
      <c r="X17" s="136">
        <f>IF(SER_hh_tes!X17=0,"",SER_hh_tes!X17/SER_hh_fec!X17)</f>
        <v>1.4661411518884626</v>
      </c>
      <c r="Y17" s="136">
        <f>IF(SER_hh_tes!Y17=0,"",SER_hh_tes!Y17/SER_hh_fec!Y17)</f>
        <v>1.4837708665086358</v>
      </c>
      <c r="DA17" s="163" t="s">
        <v>343</v>
      </c>
    </row>
    <row r="18" spans="1:105" ht="12" customHeight="1" x14ac:dyDescent="0.25">
      <c r="A18" s="131" t="s">
        <v>72</v>
      </c>
      <c r="B18" s="136">
        <f>IF(SER_hh_tes!B18=0,"",SER_hh_tes!B18/SER_hh_fec!B18)</f>
        <v>1.6877928565410898</v>
      </c>
      <c r="C18" s="136">
        <f>IF(SER_hh_tes!C18=0,"",SER_hh_tes!C18/SER_hh_fec!C18)</f>
        <v>1.7827038970096594</v>
      </c>
      <c r="D18" s="136">
        <f>IF(SER_hh_tes!D18=0,"",SER_hh_tes!D18/SER_hh_fec!D18)</f>
        <v>1.8875027307150514</v>
      </c>
      <c r="E18" s="136">
        <f>IF(SER_hh_tes!E18=0,"",SER_hh_tes!E18/SER_hh_fec!E18)</f>
        <v>2.0008869869828705</v>
      </c>
      <c r="F18" s="136">
        <f>IF(SER_hh_tes!F18=0,"",SER_hh_tes!F18/SER_hh_fec!F18)</f>
        <v>2.0854553888093692</v>
      </c>
      <c r="G18" s="136">
        <f>IF(SER_hh_tes!G18=0,"",SER_hh_tes!G18/SER_hh_fec!G18)</f>
        <v>2.1954719253592239</v>
      </c>
      <c r="H18" s="136">
        <f>IF(SER_hh_tes!H18=0,"",SER_hh_tes!H18/SER_hh_fec!H18)</f>
        <v>2.3098079287116065</v>
      </c>
      <c r="I18" s="136">
        <f>IF(SER_hh_tes!I18=0,"",SER_hh_tes!I18/SER_hh_fec!I18)</f>
        <v>2.4349540726499557</v>
      </c>
      <c r="J18" s="136">
        <f>IF(SER_hh_tes!J18=0,"",SER_hh_tes!J18/SER_hh_fec!J18)</f>
        <v>2.5467542472888898</v>
      </c>
      <c r="K18" s="136">
        <f>IF(SER_hh_tes!K18=0,"",SER_hh_tes!K18/SER_hh_fec!K18)</f>
        <v>2.6068894688208615</v>
      </c>
      <c r="L18" s="136">
        <f>IF(SER_hh_tes!L18=0,"",SER_hh_tes!L18/SER_hh_fec!L18)</f>
        <v>2.6760317723739995</v>
      </c>
      <c r="M18" s="136">
        <f>IF(SER_hh_tes!M18=0,"",SER_hh_tes!M18/SER_hh_fec!M18)</f>
        <v>2.762457158616805</v>
      </c>
      <c r="N18" s="136">
        <f>IF(SER_hh_tes!N18=0,"",SER_hh_tes!N18/SER_hh_fec!N18)</f>
        <v>2.8485379578973835</v>
      </c>
      <c r="O18" s="136">
        <f>IF(SER_hh_tes!O18=0,"",SER_hh_tes!O18/SER_hh_fec!O18)</f>
        <v>2.9380446908395967</v>
      </c>
      <c r="P18" s="136">
        <f>IF(SER_hh_tes!P18=0,"",SER_hh_tes!P18/SER_hh_fec!P18)</f>
        <v>3.0323894987079454</v>
      </c>
      <c r="Q18" s="136">
        <f>IF(SER_hh_tes!Q18=0,"",SER_hh_tes!Q18/SER_hh_fec!Q18)</f>
        <v>3.1465654839120574</v>
      </c>
      <c r="R18" s="136">
        <f>IF(SER_hh_tes!R18=0,"",SER_hh_tes!R18/SER_hh_fec!R18)</f>
        <v>3.2692761762682268</v>
      </c>
      <c r="S18" s="136">
        <f>IF(SER_hh_tes!S18=0,"",SER_hh_tes!S18/SER_hh_fec!S18)</f>
        <v>3.394140266764488</v>
      </c>
      <c r="T18" s="136">
        <f>IF(SER_hh_tes!T18=0,"",SER_hh_tes!T18/SER_hh_fec!T18)</f>
        <v>3.5021993200436756</v>
      </c>
      <c r="U18" s="136">
        <f>IF(SER_hh_tes!U18=0,"",SER_hh_tes!U18/SER_hh_fec!U18)</f>
        <v>3.5979571415301486</v>
      </c>
      <c r="V18" s="136">
        <f>IF(SER_hh_tes!V18=0,"",SER_hh_tes!V18/SER_hh_fec!V18)</f>
        <v>3.6802422155014529</v>
      </c>
      <c r="W18" s="136">
        <f>IF(SER_hh_tes!W18=0,"",SER_hh_tes!W18/SER_hh_fec!W18)</f>
        <v>3.7507408848759867</v>
      </c>
      <c r="X18" s="136">
        <f>IF(SER_hh_tes!X18=0,"",SER_hh_tes!X18/SER_hh_fec!X18)</f>
        <v>3.8039106526432791</v>
      </c>
      <c r="Y18" s="136">
        <f>IF(SER_hh_tes!Y18=0,"",SER_hh_tes!Y18/SER_hh_fec!Y18)</f>
        <v>3.845592819354315</v>
      </c>
      <c r="DA18" s="163" t="s">
        <v>344</v>
      </c>
    </row>
    <row r="19" spans="1:105" ht="12.95" customHeight="1" x14ac:dyDescent="0.25">
      <c r="A19" s="129" t="s">
        <v>35</v>
      </c>
      <c r="B19" s="135">
        <f>IF(SER_hh_tes!B19=0,"",SER_hh_tes!B19/SER_hh_fec!B19)</f>
        <v>0.53084808648338655</v>
      </c>
      <c r="C19" s="135">
        <f>IF(SER_hh_tes!C19=0,"",SER_hh_tes!C19/SER_hh_fec!C19)</f>
        <v>0.53654630283135862</v>
      </c>
      <c r="D19" s="135">
        <f>IF(SER_hh_tes!D19=0,"",SER_hh_tes!D19/SER_hh_fec!D19)</f>
        <v>0.54425682850408508</v>
      </c>
      <c r="E19" s="135">
        <f>IF(SER_hh_tes!E19=0,"",SER_hh_tes!E19/SER_hh_fec!E19)</f>
        <v>0.55426278798511219</v>
      </c>
      <c r="F19" s="135">
        <f>IF(SER_hh_tes!F19=0,"",SER_hh_tes!F19/SER_hh_fec!F19)</f>
        <v>0.55741245010321527</v>
      </c>
      <c r="G19" s="135">
        <f>IF(SER_hh_tes!G19=0,"",SER_hh_tes!G19/SER_hh_fec!G19)</f>
        <v>0.5608154525068525</v>
      </c>
      <c r="H19" s="135">
        <f>IF(SER_hh_tes!H19=0,"",SER_hh_tes!H19/SER_hh_fec!H19)</f>
        <v>0.55866438056928847</v>
      </c>
      <c r="I19" s="135">
        <f>IF(SER_hh_tes!I19=0,"",SER_hh_tes!I19/SER_hh_fec!I19)</f>
        <v>0.56512947192582885</v>
      </c>
      <c r="J19" s="135">
        <f>IF(SER_hh_tes!J19=0,"",SER_hh_tes!J19/SER_hh_fec!J19)</f>
        <v>0.5723286957695064</v>
      </c>
      <c r="K19" s="135">
        <f>IF(SER_hh_tes!K19=0,"",SER_hh_tes!K19/SER_hh_fec!K19)</f>
        <v>0.57719758097242302</v>
      </c>
      <c r="L19" s="135">
        <f>IF(SER_hh_tes!L19=0,"",SER_hh_tes!L19/SER_hh_fec!L19)</f>
        <v>0.58320669383985013</v>
      </c>
      <c r="M19" s="135">
        <f>IF(SER_hh_tes!M19=0,"",SER_hh_tes!M19/SER_hh_fec!M19)</f>
        <v>0.58900970631327254</v>
      </c>
      <c r="N19" s="135">
        <f>IF(SER_hh_tes!N19=0,"",SER_hh_tes!N19/SER_hh_fec!N19)</f>
        <v>0.59454758522715689</v>
      </c>
      <c r="O19" s="135">
        <f>IF(SER_hh_tes!O19=0,"",SER_hh_tes!O19/SER_hh_fec!O19)</f>
        <v>0.60195847120423251</v>
      </c>
      <c r="P19" s="135">
        <f>IF(SER_hh_tes!P19=0,"",SER_hh_tes!P19/SER_hh_fec!P19)</f>
        <v>0.60524036878446075</v>
      </c>
      <c r="Q19" s="135">
        <f>IF(SER_hh_tes!Q19=0,"",SER_hh_tes!Q19/SER_hh_fec!Q19)</f>
        <v>0.6122311956016826</v>
      </c>
      <c r="R19" s="135">
        <f>IF(SER_hh_tes!R19=0,"",SER_hh_tes!R19/SER_hh_fec!R19)</f>
        <v>0.6208070853780292</v>
      </c>
      <c r="S19" s="135">
        <f>IF(SER_hh_tes!S19=0,"",SER_hh_tes!S19/SER_hh_fec!S19)</f>
        <v>0.63374303015306854</v>
      </c>
      <c r="T19" s="135">
        <f>IF(SER_hh_tes!T19=0,"",SER_hh_tes!T19/SER_hh_fec!T19)</f>
        <v>0.65061386097855567</v>
      </c>
      <c r="U19" s="135">
        <f>IF(SER_hh_tes!U19=0,"",SER_hh_tes!U19/SER_hh_fec!U19)</f>
        <v>0.66592806538548244</v>
      </c>
      <c r="V19" s="135">
        <f>IF(SER_hh_tes!V19=0,"",SER_hh_tes!V19/SER_hh_fec!V19)</f>
        <v>0.67961666963734202</v>
      </c>
      <c r="W19" s="135">
        <f>IF(SER_hh_tes!W19=0,"",SER_hh_tes!W19/SER_hh_fec!W19)</f>
        <v>0.69447236433519333</v>
      </c>
      <c r="X19" s="135">
        <f>IF(SER_hh_tes!X19=0,"",SER_hh_tes!X19/SER_hh_fec!X19)</f>
        <v>0.70834174146608631</v>
      </c>
      <c r="Y19" s="135">
        <f>IF(SER_hh_tes!Y19=0,"",SER_hh_tes!Y19/SER_hh_fec!Y19)</f>
        <v>0.72387518957785602</v>
      </c>
      <c r="DA19" s="162" t="s">
        <v>242</v>
      </c>
    </row>
    <row r="20" spans="1:105" ht="12" customHeight="1" x14ac:dyDescent="0.25">
      <c r="A20" s="131" t="s">
        <v>29</v>
      </c>
      <c r="B20" s="136" t="str">
        <f>IF(SER_hh_tes!B20=0,"",SER_hh_tes!B20/SER_hh_fec!B20)</f>
        <v/>
      </c>
      <c r="C20" s="136" t="str">
        <f>IF(SER_hh_tes!C20=0,"",SER_hh_tes!C20/SER_hh_fec!C20)</f>
        <v/>
      </c>
      <c r="D20" s="136" t="str">
        <f>IF(SER_hh_tes!D20=0,"",SER_hh_tes!D20/SER_hh_fec!D20)</f>
        <v/>
      </c>
      <c r="E20" s="136" t="str">
        <f>IF(SER_hh_tes!E20=0,"",SER_hh_tes!E20/SER_hh_fec!E20)</f>
        <v/>
      </c>
      <c r="F20" s="136" t="str">
        <f>IF(SER_hh_tes!F20=0,"",SER_hh_tes!F20/SER_hh_fec!F20)</f>
        <v/>
      </c>
      <c r="G20" s="136" t="str">
        <f>IF(SER_hh_tes!G20=0,"",SER_hh_tes!G20/SER_hh_fec!G20)</f>
        <v/>
      </c>
      <c r="H20" s="136" t="str">
        <f>IF(SER_hh_tes!H20=0,"",SER_hh_tes!H20/SER_hh_fec!H20)</f>
        <v/>
      </c>
      <c r="I20" s="136" t="str">
        <f>IF(SER_hh_tes!I20=0,"",SER_hh_tes!I20/SER_hh_fec!I20)</f>
        <v/>
      </c>
      <c r="J20" s="136" t="str">
        <f>IF(SER_hh_tes!J20=0,"",SER_hh_tes!J20/SER_hh_fec!J20)</f>
        <v/>
      </c>
      <c r="K20" s="136" t="str">
        <f>IF(SER_hh_tes!K20=0,"",SER_hh_tes!K20/SER_hh_fec!K20)</f>
        <v/>
      </c>
      <c r="L20" s="136" t="str">
        <f>IF(SER_hh_tes!L20=0,"",SER_hh_tes!L20/SER_hh_fec!L20)</f>
        <v/>
      </c>
      <c r="M20" s="136" t="str">
        <f>IF(SER_hh_tes!M20=0,"",SER_hh_tes!M20/SER_hh_fec!M20)</f>
        <v/>
      </c>
      <c r="N20" s="136" t="str">
        <f>IF(SER_hh_tes!N20=0,"",SER_hh_tes!N20/SER_hh_fec!N20)</f>
        <v/>
      </c>
      <c r="O20" s="136" t="str">
        <f>IF(SER_hh_tes!O20=0,"",SER_hh_tes!O20/SER_hh_fec!O20)</f>
        <v/>
      </c>
      <c r="P20" s="136" t="str">
        <f>IF(SER_hh_tes!P20=0,"",SER_hh_tes!P20/SER_hh_fec!P20)</f>
        <v/>
      </c>
      <c r="Q20" s="136" t="str">
        <f>IF(SER_hh_tes!Q20=0,"",SER_hh_tes!Q20/SER_hh_fec!Q20)</f>
        <v/>
      </c>
      <c r="R20" s="136" t="str">
        <f>IF(SER_hh_tes!R20=0,"",SER_hh_tes!R20/SER_hh_fec!R20)</f>
        <v/>
      </c>
      <c r="S20" s="136" t="str">
        <f>IF(SER_hh_tes!S20=0,"",SER_hh_tes!S20/SER_hh_fec!S20)</f>
        <v/>
      </c>
      <c r="T20" s="136" t="str">
        <f>IF(SER_hh_tes!T20=0,"",SER_hh_tes!T20/SER_hh_fec!T20)</f>
        <v/>
      </c>
      <c r="U20" s="136" t="str">
        <f>IF(SER_hh_tes!U20=0,"",SER_hh_tes!U20/SER_hh_fec!U20)</f>
        <v/>
      </c>
      <c r="V20" s="136" t="str">
        <f>IF(SER_hh_tes!V20=0,"",SER_hh_tes!V20/SER_hh_fec!V20)</f>
        <v/>
      </c>
      <c r="W20" s="136" t="str">
        <f>IF(SER_hh_tes!W20=0,"",SER_hh_tes!W20/SER_hh_fec!W20)</f>
        <v/>
      </c>
      <c r="X20" s="136" t="str">
        <f>IF(SER_hh_tes!X20=0,"",SER_hh_tes!X20/SER_hh_fec!X20)</f>
        <v/>
      </c>
      <c r="Y20" s="136" t="str">
        <f>IF(SER_hh_tes!Y20=0,"",SER_hh_tes!Y20/SER_hh_fec!Y20)</f>
        <v/>
      </c>
      <c r="DA20" s="163" t="s">
        <v>345</v>
      </c>
    </row>
    <row r="21" spans="1:105" s="2" customFormat="1" ht="12" customHeight="1" x14ac:dyDescent="0.25">
      <c r="A21" s="131" t="s">
        <v>52</v>
      </c>
      <c r="B21" s="136">
        <f>IF(SER_hh_tes!B21=0,"",SER_hh_tes!B21/SER_hh_fec!B21)</f>
        <v>0.49334553675206488</v>
      </c>
      <c r="C21" s="136">
        <f>IF(SER_hh_tes!C21=0,"",SER_hh_tes!C21/SER_hh_fec!C21)</f>
        <v>0.49423726847673793</v>
      </c>
      <c r="D21" s="136">
        <f>IF(SER_hh_tes!D21=0,"",SER_hh_tes!D21/SER_hh_fec!D21)</f>
        <v>0.49526710939625412</v>
      </c>
      <c r="E21" s="136">
        <f>IF(SER_hh_tes!E21=0,"",SER_hh_tes!E21/SER_hh_fec!E21)</f>
        <v>0.4965122323728362</v>
      </c>
      <c r="F21" s="136">
        <f>IF(SER_hh_tes!F21=0,"",SER_hh_tes!F21/SER_hh_fec!F21)</f>
        <v>0.4975080652464311</v>
      </c>
      <c r="G21" s="136">
        <f>IF(SER_hh_tes!G21=0,"",SER_hh_tes!G21/SER_hh_fec!G21)</f>
        <v>0.49954784889523618</v>
      </c>
      <c r="H21" s="136">
        <f>IF(SER_hh_tes!H21=0,"",SER_hh_tes!H21/SER_hh_fec!H21)</f>
        <v>0.50223349762837777</v>
      </c>
      <c r="I21" s="136">
        <f>IF(SER_hh_tes!I21=0,"",SER_hh_tes!I21/SER_hh_fec!I21)</f>
        <v>0.50569988714385972</v>
      </c>
      <c r="J21" s="136">
        <f>IF(SER_hh_tes!J21=0,"",SER_hh_tes!J21/SER_hh_fec!J21)</f>
        <v>0.50948596818976388</v>
      </c>
      <c r="K21" s="136">
        <f>IF(SER_hh_tes!K21=0,"",SER_hh_tes!K21/SER_hh_fec!K21)</f>
        <v>0.51374415266583884</v>
      </c>
      <c r="L21" s="136">
        <f>IF(SER_hh_tes!L21=0,"",SER_hh_tes!L21/SER_hh_fec!L21)</f>
        <v>0.51902815843560834</v>
      </c>
      <c r="M21" s="136">
        <f>IF(SER_hh_tes!M21=0,"",SER_hh_tes!M21/SER_hh_fec!M21)</f>
        <v>0.52568623001543646</v>
      </c>
      <c r="N21" s="136">
        <f>IF(SER_hh_tes!N21=0,"",SER_hh_tes!N21/SER_hh_fec!N21)</f>
        <v>0.53500178864687209</v>
      </c>
      <c r="O21" s="136">
        <f>IF(SER_hh_tes!O21=0,"",SER_hh_tes!O21/SER_hh_fec!O21)</f>
        <v>0.54590959002859196</v>
      </c>
      <c r="P21" s="136">
        <f>IF(SER_hh_tes!P21=0,"",SER_hh_tes!P21/SER_hh_fec!P21)</f>
        <v>0.55129687852173948</v>
      </c>
      <c r="Q21" s="136">
        <f>IF(SER_hh_tes!Q21=0,"",SER_hh_tes!Q21/SER_hh_fec!Q21)</f>
        <v>0.56068872899886313</v>
      </c>
      <c r="R21" s="136">
        <f>IF(SER_hh_tes!R21=0,"",SER_hh_tes!R21/SER_hh_fec!R21)</f>
        <v>0.57104825727409148</v>
      </c>
      <c r="S21" s="136">
        <f>IF(SER_hh_tes!S21=0,"",SER_hh_tes!S21/SER_hh_fec!S21)</f>
        <v>0.57970220148981111</v>
      </c>
      <c r="T21" s="136">
        <f>IF(SER_hh_tes!T21=0,"",SER_hh_tes!T21/SER_hh_fec!T21)</f>
        <v>0.58309491640901245</v>
      </c>
      <c r="U21" s="136">
        <f>IF(SER_hh_tes!U21=0,"",SER_hh_tes!U21/SER_hh_fec!U21)</f>
        <v>0.58672061170575407</v>
      </c>
      <c r="V21" s="136">
        <f>IF(SER_hh_tes!V21=0,"",SER_hh_tes!V21/SER_hh_fec!V21)</f>
        <v>0.5895231095919512</v>
      </c>
      <c r="W21" s="136">
        <f>IF(SER_hh_tes!W21=0,"",SER_hh_tes!W21/SER_hh_fec!W21)</f>
        <v>0.60870204338508305</v>
      </c>
      <c r="X21" s="136">
        <f>IF(SER_hh_tes!X21=0,"",SER_hh_tes!X21/SER_hh_fec!X21)</f>
        <v>0.64516158515520972</v>
      </c>
      <c r="Y21" s="136">
        <f>IF(SER_hh_tes!Y21=0,"",SER_hh_tes!Y21/SER_hh_fec!Y21)</f>
        <v>0.67966699259340291</v>
      </c>
      <c r="DA21" s="163" t="s">
        <v>346</v>
      </c>
    </row>
    <row r="22" spans="1:105" ht="12" customHeight="1" x14ac:dyDescent="0.25">
      <c r="A22" s="131" t="s">
        <v>161</v>
      </c>
      <c r="B22" s="136">
        <f>IF(SER_hh_tes!B22=0,"",SER_hh_tes!B22/SER_hh_fec!B22)</f>
        <v>0.46492331128013875</v>
      </c>
      <c r="C22" s="136">
        <f>IF(SER_hh_tes!C22=0,"",SER_hh_tes!C22/SER_hh_fec!C22)</f>
        <v>0.46633114306678752</v>
      </c>
      <c r="D22" s="136">
        <f>IF(SER_hh_tes!D22=0,"",SER_hh_tes!D22/SER_hh_fec!D22)</f>
        <v>0.46791417688758352</v>
      </c>
      <c r="E22" s="136">
        <f>IF(SER_hh_tes!E22=0,"",SER_hh_tes!E22/SER_hh_fec!E22)</f>
        <v>0.46988737096541838</v>
      </c>
      <c r="F22" s="136">
        <f>IF(SER_hh_tes!F22=0,"",SER_hh_tes!F22/SER_hh_fec!F22)</f>
        <v>0.47154889639428693</v>
      </c>
      <c r="G22" s="136">
        <f>IF(SER_hh_tes!G22=0,"",SER_hh_tes!G22/SER_hh_fec!G22)</f>
        <v>0.47355147500877343</v>
      </c>
      <c r="H22" s="136">
        <f>IF(SER_hh_tes!H22=0,"",SER_hh_tes!H22/SER_hh_fec!H22)</f>
        <v>0.47542313580478929</v>
      </c>
      <c r="I22" s="136">
        <f>IF(SER_hh_tes!I22=0,"",SER_hh_tes!I22/SER_hh_fec!I22)</f>
        <v>0.47753624222840496</v>
      </c>
      <c r="J22" s="136">
        <f>IF(SER_hh_tes!J22=0,"",SER_hh_tes!J22/SER_hh_fec!J22)</f>
        <v>0.48018564638143751</v>
      </c>
      <c r="K22" s="136">
        <f>IF(SER_hh_tes!K22=0,"",SER_hh_tes!K22/SER_hh_fec!K22)</f>
        <v>0.48377702080411411</v>
      </c>
      <c r="L22" s="136">
        <f>IF(SER_hh_tes!L22=0,"",SER_hh_tes!L22/SER_hh_fec!L22)</f>
        <v>0.48900369814312356</v>
      </c>
      <c r="M22" s="136">
        <f>IF(SER_hh_tes!M22=0,"",SER_hh_tes!M22/SER_hh_fec!M22)</f>
        <v>0.49630335888357791</v>
      </c>
      <c r="N22" s="136">
        <f>IF(SER_hh_tes!N22=0,"",SER_hh_tes!N22/SER_hh_fec!N22)</f>
        <v>0.50718946380087948</v>
      </c>
      <c r="O22" s="136">
        <f>IF(SER_hh_tes!O22=0,"",SER_hh_tes!O22/SER_hh_fec!O22)</f>
        <v>0.52073412469950164</v>
      </c>
      <c r="P22" s="136">
        <f>IF(SER_hh_tes!P22=0,"",SER_hh_tes!P22/SER_hh_fec!P22)</f>
        <v>0.53047840733640272</v>
      </c>
      <c r="Q22" s="136">
        <f>IF(SER_hh_tes!Q22=0,"",SER_hh_tes!Q22/SER_hh_fec!Q22)</f>
        <v>0.54585057153620054</v>
      </c>
      <c r="R22" s="136">
        <f>IF(SER_hh_tes!R22=0,"",SER_hh_tes!R22/SER_hh_fec!R22)</f>
        <v>0.5611755680349676</v>
      </c>
      <c r="S22" s="136">
        <f>IF(SER_hh_tes!S22=0,"",SER_hh_tes!S22/SER_hh_fec!S22)</f>
        <v>0.57544795267689697</v>
      </c>
      <c r="T22" s="136">
        <f>IF(SER_hh_tes!T22=0,"",SER_hh_tes!T22/SER_hh_fec!T22)</f>
        <v>0.58748699256457682</v>
      </c>
      <c r="U22" s="136">
        <f>IF(SER_hh_tes!U22=0,"",SER_hh_tes!U22/SER_hh_fec!U22)</f>
        <v>0.60092974361880958</v>
      </c>
      <c r="V22" s="136">
        <f>IF(SER_hh_tes!V22=0,"",SER_hh_tes!V22/SER_hh_fec!V22)</f>
        <v>0.6156200754323663</v>
      </c>
      <c r="W22" s="136">
        <f>IF(SER_hh_tes!W22=0,"",SER_hh_tes!W22/SER_hh_fec!W22)</f>
        <v>0.62875991585640201</v>
      </c>
      <c r="X22" s="136">
        <f>IF(SER_hh_tes!X22=0,"",SER_hh_tes!X22/SER_hh_fec!X22)</f>
        <v>0.64014304155712853</v>
      </c>
      <c r="Y22" s="136">
        <f>IF(SER_hh_tes!Y22=0,"",SER_hh_tes!Y22/SER_hh_fec!Y22)</f>
        <v>0.65162145507473601</v>
      </c>
      <c r="DA22" s="163" t="s">
        <v>347</v>
      </c>
    </row>
    <row r="23" spans="1:105" ht="12" customHeight="1" x14ac:dyDescent="0.25">
      <c r="A23" s="131" t="s">
        <v>149</v>
      </c>
      <c r="B23" s="136">
        <f>IF(SER_hh_tes!B23=0,"",SER_hh_tes!B23/SER_hh_fec!B23)</f>
        <v>0.47536891237042522</v>
      </c>
      <c r="C23" s="136">
        <f>IF(SER_hh_tes!C23=0,"",SER_hh_tes!C23/SER_hh_fec!C23)</f>
        <v>0.47536891237042511</v>
      </c>
      <c r="D23" s="136">
        <f>IF(SER_hh_tes!D23=0,"",SER_hh_tes!D23/SER_hh_fec!D23)</f>
        <v>0.47536891237042517</v>
      </c>
      <c r="E23" s="136">
        <f>IF(SER_hh_tes!E23=0,"",SER_hh_tes!E23/SER_hh_fec!E23)</f>
        <v>0.47536891237042528</v>
      </c>
      <c r="F23" s="136">
        <f>IF(SER_hh_tes!F23=0,"",SER_hh_tes!F23/SER_hh_fec!F23)</f>
        <v>0.48840698527242848</v>
      </c>
      <c r="G23" s="136">
        <f>IF(SER_hh_tes!G23=0,"",SER_hh_tes!G23/SER_hh_fec!G23)</f>
        <v>0.50673408679292031</v>
      </c>
      <c r="H23" s="136">
        <f>IF(SER_hh_tes!H23=0,"",SER_hh_tes!H23/SER_hh_fec!H23)</f>
        <v>0.5235938385269957</v>
      </c>
      <c r="I23" s="136">
        <f>IF(SER_hh_tes!I23=0,"",SER_hh_tes!I23/SER_hh_fec!I23)</f>
        <v>0.53352690829410487</v>
      </c>
      <c r="J23" s="136">
        <f>IF(SER_hh_tes!J23=0,"",SER_hh_tes!J23/SER_hh_fec!J23)</f>
        <v>0.54076927035643441</v>
      </c>
      <c r="K23" s="136">
        <f>IF(SER_hh_tes!K23=0,"",SER_hh_tes!K23/SER_hh_fec!K23)</f>
        <v>0.54617340100953904</v>
      </c>
      <c r="L23" s="136">
        <f>IF(SER_hh_tes!L23=0,"",SER_hh_tes!L23/SER_hh_fec!L23)</f>
        <v>0.55240960057498945</v>
      </c>
      <c r="M23" s="136">
        <f>IF(SER_hh_tes!M23=0,"",SER_hh_tes!M23/SER_hh_fec!M23)</f>
        <v>0.56043386948733032</v>
      </c>
      <c r="N23" s="136">
        <f>IF(SER_hh_tes!N23=0,"",SER_hh_tes!N23/SER_hh_fec!N23)</f>
        <v>0.57316548738027873</v>
      </c>
      <c r="O23" s="136">
        <f>IF(SER_hh_tes!O23=0,"",SER_hh_tes!O23/SER_hh_fec!O23)</f>
        <v>0.58663111801116741</v>
      </c>
      <c r="P23" s="136">
        <f>IF(SER_hh_tes!P23=0,"",SER_hh_tes!P23/SER_hh_fec!P23)</f>
        <v>0.59631392525884086</v>
      </c>
      <c r="Q23" s="136">
        <f>IF(SER_hh_tes!Q23=0,"",SER_hh_tes!Q23/SER_hh_fec!Q23)</f>
        <v>0.60034515535326161</v>
      </c>
      <c r="R23" s="136">
        <f>IF(SER_hh_tes!R23=0,"",SER_hh_tes!R23/SER_hh_fec!R23)</f>
        <v>0.60778019547004825</v>
      </c>
      <c r="S23" s="136">
        <f>IF(SER_hh_tes!S23=0,"",SER_hh_tes!S23/SER_hh_fec!S23)</f>
        <v>0.61784342303112705</v>
      </c>
      <c r="T23" s="136">
        <f>IF(SER_hh_tes!T23=0,"",SER_hh_tes!T23/SER_hh_fec!T23)</f>
        <v>0.6327608473813241</v>
      </c>
      <c r="U23" s="136">
        <f>IF(SER_hh_tes!U23=0,"",SER_hh_tes!U23/SER_hh_fec!U23)</f>
        <v>0.65330385753941955</v>
      </c>
      <c r="V23" s="136">
        <f>IF(SER_hh_tes!V23=0,"",SER_hh_tes!V23/SER_hh_fec!V23)</f>
        <v>0.6763124772993373</v>
      </c>
      <c r="W23" s="136">
        <f>IF(SER_hh_tes!W23=0,"",SER_hh_tes!W23/SER_hh_fec!W23)</f>
        <v>0.69911550879204976</v>
      </c>
      <c r="X23" s="136">
        <f>IF(SER_hh_tes!X23=0,"",SER_hh_tes!X23/SER_hh_fec!X23)</f>
        <v>0.71859648548547728</v>
      </c>
      <c r="Y23" s="136">
        <f>IF(SER_hh_tes!Y23=0,"",SER_hh_tes!Y23/SER_hh_fec!Y23)</f>
        <v>0.73167254631764844</v>
      </c>
      <c r="DA23" s="163" t="s">
        <v>348</v>
      </c>
    </row>
    <row r="24" spans="1:105" ht="12" customHeight="1" x14ac:dyDescent="0.25">
      <c r="A24" s="131" t="s">
        <v>128</v>
      </c>
      <c r="B24" s="136" t="str">
        <f>IF(SER_hh_tes!B24=0,"",SER_hh_tes!B24/SER_hh_fec!B24)</f>
        <v/>
      </c>
      <c r="C24" s="136" t="str">
        <f>IF(SER_hh_tes!C24=0,"",SER_hh_tes!C24/SER_hh_fec!C24)</f>
        <v/>
      </c>
      <c r="D24" s="136" t="str">
        <f>IF(SER_hh_tes!D24=0,"",SER_hh_tes!D24/SER_hh_fec!D24)</f>
        <v/>
      </c>
      <c r="E24" s="136" t="str">
        <f>IF(SER_hh_tes!E24=0,"",SER_hh_tes!E24/SER_hh_fec!E24)</f>
        <v/>
      </c>
      <c r="F24" s="136" t="str">
        <f>IF(SER_hh_tes!F24=0,"",SER_hh_tes!F24/SER_hh_fec!F24)</f>
        <v/>
      </c>
      <c r="G24" s="136" t="str">
        <f>IF(SER_hh_tes!G24=0,"",SER_hh_tes!G24/SER_hh_fec!G24)</f>
        <v/>
      </c>
      <c r="H24" s="136" t="str">
        <f>IF(SER_hh_tes!H24=0,"",SER_hh_tes!H24/SER_hh_fec!H24)</f>
        <v/>
      </c>
      <c r="I24" s="136" t="str">
        <f>IF(SER_hh_tes!I24=0,"",SER_hh_tes!I24/SER_hh_fec!I24)</f>
        <v/>
      </c>
      <c r="J24" s="136" t="str">
        <f>IF(SER_hh_tes!J24=0,"",SER_hh_tes!J24/SER_hh_fec!J24)</f>
        <v/>
      </c>
      <c r="K24" s="136" t="str">
        <f>IF(SER_hh_tes!K24=0,"",SER_hh_tes!K24/SER_hh_fec!K24)</f>
        <v/>
      </c>
      <c r="L24" s="136" t="str">
        <f>IF(SER_hh_tes!L24=0,"",SER_hh_tes!L24/SER_hh_fec!L24)</f>
        <v/>
      </c>
      <c r="M24" s="136" t="str">
        <f>IF(SER_hh_tes!M24=0,"",SER_hh_tes!M24/SER_hh_fec!M24)</f>
        <v/>
      </c>
      <c r="N24" s="136" t="str">
        <f>IF(SER_hh_tes!N24=0,"",SER_hh_tes!N24/SER_hh_fec!N24)</f>
        <v/>
      </c>
      <c r="O24" s="136" t="str">
        <f>IF(SER_hh_tes!O24=0,"",SER_hh_tes!O24/SER_hh_fec!O24)</f>
        <v/>
      </c>
      <c r="P24" s="136" t="str">
        <f>IF(SER_hh_tes!P24=0,"",SER_hh_tes!P24/SER_hh_fec!P24)</f>
        <v/>
      </c>
      <c r="Q24" s="136" t="str">
        <f>IF(SER_hh_tes!Q24=0,"",SER_hh_tes!Q24/SER_hh_fec!Q24)</f>
        <v/>
      </c>
      <c r="R24" s="136" t="str">
        <f>IF(SER_hh_tes!R24=0,"",SER_hh_tes!R24/SER_hh_fec!R24)</f>
        <v/>
      </c>
      <c r="S24" s="136" t="str">
        <f>IF(SER_hh_tes!S24=0,"",SER_hh_tes!S24/SER_hh_fec!S24)</f>
        <v/>
      </c>
      <c r="T24" s="136" t="str">
        <f>IF(SER_hh_tes!T24=0,"",SER_hh_tes!T24/SER_hh_fec!T24)</f>
        <v/>
      </c>
      <c r="U24" s="136" t="str">
        <f>IF(SER_hh_tes!U24=0,"",SER_hh_tes!U24/SER_hh_fec!U24)</f>
        <v/>
      </c>
      <c r="V24" s="136" t="str">
        <f>IF(SER_hh_tes!V24=0,"",SER_hh_tes!V24/SER_hh_fec!V24)</f>
        <v/>
      </c>
      <c r="W24" s="136" t="str">
        <f>IF(SER_hh_tes!W24=0,"",SER_hh_tes!W24/SER_hh_fec!W24)</f>
        <v/>
      </c>
      <c r="X24" s="136" t="str">
        <f>IF(SER_hh_tes!X24=0,"",SER_hh_tes!X24/SER_hh_fec!X24)</f>
        <v/>
      </c>
      <c r="Y24" s="136" t="str">
        <f>IF(SER_hh_tes!Y24=0,"",SER_hh_tes!Y24/SER_hh_fec!Y24)</f>
        <v/>
      </c>
      <c r="DA24" s="163" t="s">
        <v>349</v>
      </c>
    </row>
    <row r="25" spans="1:105" ht="12" customHeight="1" x14ac:dyDescent="0.25">
      <c r="A25" s="131" t="s">
        <v>162</v>
      </c>
      <c r="B25" s="136" t="str">
        <f>IF(SER_hh_tes!B25=0,"",SER_hh_tes!B25/SER_hh_fec!B25)</f>
        <v/>
      </c>
      <c r="C25" s="136" t="str">
        <f>IF(SER_hh_tes!C25=0,"",SER_hh_tes!C25/SER_hh_fec!C25)</f>
        <v/>
      </c>
      <c r="D25" s="136" t="str">
        <f>IF(SER_hh_tes!D25=0,"",SER_hh_tes!D25/SER_hh_fec!D25)</f>
        <v/>
      </c>
      <c r="E25" s="136" t="str">
        <f>IF(SER_hh_tes!E25=0,"",SER_hh_tes!E25/SER_hh_fec!E25)</f>
        <v/>
      </c>
      <c r="F25" s="136" t="str">
        <f>IF(SER_hh_tes!F25=0,"",SER_hh_tes!F25/SER_hh_fec!F25)</f>
        <v/>
      </c>
      <c r="G25" s="136" t="str">
        <f>IF(SER_hh_tes!G25=0,"",SER_hh_tes!G25/SER_hh_fec!G25)</f>
        <v/>
      </c>
      <c r="H25" s="136" t="str">
        <f>IF(SER_hh_tes!H25=0,"",SER_hh_tes!H25/SER_hh_fec!H25)</f>
        <v/>
      </c>
      <c r="I25" s="136" t="str">
        <f>IF(SER_hh_tes!I25=0,"",SER_hh_tes!I25/SER_hh_fec!I25)</f>
        <v/>
      </c>
      <c r="J25" s="136" t="str">
        <f>IF(SER_hh_tes!J25=0,"",SER_hh_tes!J25/SER_hh_fec!J25)</f>
        <v/>
      </c>
      <c r="K25" s="136" t="str">
        <f>IF(SER_hh_tes!K25=0,"",SER_hh_tes!K25/SER_hh_fec!K25)</f>
        <v/>
      </c>
      <c r="L25" s="136" t="str">
        <f>IF(SER_hh_tes!L25=0,"",SER_hh_tes!L25/SER_hh_fec!L25)</f>
        <v/>
      </c>
      <c r="M25" s="136" t="str">
        <f>IF(SER_hh_tes!M25=0,"",SER_hh_tes!M25/SER_hh_fec!M25)</f>
        <v/>
      </c>
      <c r="N25" s="136" t="str">
        <f>IF(SER_hh_tes!N25=0,"",SER_hh_tes!N25/SER_hh_fec!N25)</f>
        <v/>
      </c>
      <c r="O25" s="136" t="str">
        <f>IF(SER_hh_tes!O25=0,"",SER_hh_tes!O25/SER_hh_fec!O25)</f>
        <v/>
      </c>
      <c r="P25" s="136" t="str">
        <f>IF(SER_hh_tes!P25=0,"",SER_hh_tes!P25/SER_hh_fec!P25)</f>
        <v/>
      </c>
      <c r="Q25" s="136" t="str">
        <f>IF(SER_hh_tes!Q25=0,"",SER_hh_tes!Q25/SER_hh_fec!Q25)</f>
        <v/>
      </c>
      <c r="R25" s="136" t="str">
        <f>IF(SER_hh_tes!R25=0,"",SER_hh_tes!R25/SER_hh_fec!R25)</f>
        <v/>
      </c>
      <c r="S25" s="136" t="str">
        <f>IF(SER_hh_tes!S25=0,"",SER_hh_tes!S25/SER_hh_fec!S25)</f>
        <v/>
      </c>
      <c r="T25" s="136" t="str">
        <f>IF(SER_hh_tes!T25=0,"",SER_hh_tes!T25/SER_hh_fec!T25)</f>
        <v/>
      </c>
      <c r="U25" s="136" t="str">
        <f>IF(SER_hh_tes!U25=0,"",SER_hh_tes!U25/SER_hh_fec!U25)</f>
        <v/>
      </c>
      <c r="V25" s="136" t="str">
        <f>IF(SER_hh_tes!V25=0,"",SER_hh_tes!V25/SER_hh_fec!V25)</f>
        <v/>
      </c>
      <c r="W25" s="136" t="str">
        <f>IF(SER_hh_tes!W25=0,"",SER_hh_tes!W25/SER_hh_fec!W25)</f>
        <v/>
      </c>
      <c r="X25" s="136" t="str">
        <f>IF(SER_hh_tes!X25=0,"",SER_hh_tes!X25/SER_hh_fec!X25)</f>
        <v/>
      </c>
      <c r="Y25" s="136" t="str">
        <f>IF(SER_hh_tes!Y25=0,"",SER_hh_tes!Y25/SER_hh_fec!Y25)</f>
        <v/>
      </c>
      <c r="DA25" s="163" t="s">
        <v>350</v>
      </c>
    </row>
    <row r="26" spans="1:105" ht="12" customHeight="1" x14ac:dyDescent="0.25">
      <c r="A26" s="131" t="s">
        <v>24</v>
      </c>
      <c r="B26" s="137">
        <f>IF(SER_hh_tes!B26=0,"",SER_hh_tes!B26/SER_hh_fec!B26)</f>
        <v>0.58992942732171305</v>
      </c>
      <c r="C26" s="137">
        <f>IF(SER_hh_tes!C26=0,"",SER_hh_tes!C26/SER_hh_fec!C26)</f>
        <v>0.59266884993531943</v>
      </c>
      <c r="D26" s="137">
        <f>IF(SER_hh_tes!D26=0,"",SER_hh_tes!D26/SER_hh_fec!D26)</f>
        <v>0.59582532154134105</v>
      </c>
      <c r="E26" s="137">
        <f>IF(SER_hh_tes!E26=0,"",SER_hh_tes!E26/SER_hh_fec!E26)</f>
        <v>0.59870219583905981</v>
      </c>
      <c r="F26" s="137">
        <f>IF(SER_hh_tes!F26=0,"",SER_hh_tes!F26/SER_hh_fec!F26)</f>
        <v>0.60095048178145072</v>
      </c>
      <c r="G26" s="137">
        <f>IF(SER_hh_tes!G26=0,"",SER_hh_tes!G26/SER_hh_fec!G26)</f>
        <v>0.60279763892926219</v>
      </c>
      <c r="H26" s="137">
        <f>IF(SER_hh_tes!H26=0,"",SER_hh_tes!H26/SER_hh_fec!H26)</f>
        <v>0.60435386539235803</v>
      </c>
      <c r="I26" s="137">
        <f>IF(SER_hh_tes!I26=0,"",SER_hh_tes!I26/SER_hh_fec!I26)</f>
        <v>0.60694843000018472</v>
      </c>
      <c r="J26" s="137">
        <f>IF(SER_hh_tes!J26=0,"",SER_hh_tes!J26/SER_hh_fec!J26)</f>
        <v>0.61000319591418994</v>
      </c>
      <c r="K26" s="137">
        <f>IF(SER_hh_tes!K26=0,"",SER_hh_tes!K26/SER_hh_fec!K26)</f>
        <v>0.6124616351112494</v>
      </c>
      <c r="L26" s="137">
        <f>IF(SER_hh_tes!L26=0,"",SER_hh_tes!L26/SER_hh_fec!L26)</f>
        <v>0.61608403056244099</v>
      </c>
      <c r="M26" s="137">
        <f>IF(SER_hh_tes!M26=0,"",SER_hh_tes!M26/SER_hh_fec!M26)</f>
        <v>0.61966054220252187</v>
      </c>
      <c r="N26" s="137">
        <f>IF(SER_hh_tes!N26=0,"",SER_hh_tes!N26/SER_hh_fec!N26)</f>
        <v>0.62379732608928185</v>
      </c>
      <c r="O26" s="137">
        <f>IF(SER_hh_tes!O26=0,"",SER_hh_tes!O26/SER_hh_fec!O26)</f>
        <v>0.62782734907809323</v>
      </c>
      <c r="P26" s="137">
        <f>IF(SER_hh_tes!P26=0,"",SER_hh_tes!P26/SER_hh_fec!P26)</f>
        <v>0.6286640330267862</v>
      </c>
      <c r="Q26" s="137">
        <f>IF(SER_hh_tes!Q26=0,"",SER_hh_tes!Q26/SER_hh_fec!Q26)</f>
        <v>0.63283528621366458</v>
      </c>
      <c r="R26" s="137">
        <f>IF(SER_hh_tes!R26=0,"",SER_hh_tes!R26/SER_hh_fec!R26)</f>
        <v>0.64256058806376393</v>
      </c>
      <c r="S26" s="137">
        <f>IF(SER_hh_tes!S26=0,"",SER_hh_tes!S26/SER_hh_fec!S26)</f>
        <v>0.65956825842112798</v>
      </c>
      <c r="T26" s="137">
        <f>IF(SER_hh_tes!T26=0,"",SER_hh_tes!T26/SER_hh_fec!T26)</f>
        <v>0.68170777173853414</v>
      </c>
      <c r="U26" s="137">
        <f>IF(SER_hh_tes!U26=0,"",SER_hh_tes!U26/SER_hh_fec!U26)</f>
        <v>0.69794019891183334</v>
      </c>
      <c r="V26" s="137">
        <f>IF(SER_hh_tes!V26=0,"",SER_hh_tes!V26/SER_hh_fec!V26)</f>
        <v>0.70881840394070139</v>
      </c>
      <c r="W26" s="137">
        <f>IF(SER_hh_tes!W26=0,"",SER_hh_tes!W26/SER_hh_fec!W26)</f>
        <v>0.72307472047818233</v>
      </c>
      <c r="X26" s="137">
        <f>IF(SER_hh_tes!X26=0,"",SER_hh_tes!X26/SER_hh_fec!X26)</f>
        <v>0.73753065620163216</v>
      </c>
      <c r="Y26" s="137">
        <f>IF(SER_hh_tes!Y26=0,"",SER_hh_tes!Y26/SER_hh_fec!Y26)</f>
        <v>0.76199165426057602</v>
      </c>
      <c r="DA26" s="164" t="s">
        <v>351</v>
      </c>
    </row>
    <row r="27" spans="1:105" ht="12" customHeight="1" x14ac:dyDescent="0.25">
      <c r="A27" s="144" t="s">
        <v>26</v>
      </c>
      <c r="B27" s="153">
        <f>IF(SER_hh_tes!B27=0,"",SER_hh_tes!B27/SER_hh_fec!B27)</f>
        <v>1</v>
      </c>
      <c r="C27" s="153">
        <f>IF(SER_hh_tes!C27=0,"",SER_hh_tes!C27/SER_hh_fec!C27)</f>
        <v>1</v>
      </c>
      <c r="D27" s="153">
        <f>IF(SER_hh_tes!D27=0,"",SER_hh_tes!D27/SER_hh_fec!D27)</f>
        <v>1</v>
      </c>
      <c r="E27" s="153">
        <f>IF(SER_hh_tes!E27=0,"",SER_hh_tes!E27/SER_hh_fec!E27)</f>
        <v>1</v>
      </c>
      <c r="F27" s="153">
        <f>IF(SER_hh_tes!F27=0,"",SER_hh_tes!F27/SER_hh_fec!F27)</f>
        <v>1</v>
      </c>
      <c r="G27" s="153">
        <f>IF(SER_hh_tes!G27=0,"",SER_hh_tes!G27/SER_hh_fec!G27)</f>
        <v>1</v>
      </c>
      <c r="H27" s="153">
        <f>IF(SER_hh_tes!H27=0,"",SER_hh_tes!H27/SER_hh_fec!H27)</f>
        <v>1</v>
      </c>
      <c r="I27" s="153">
        <f>IF(SER_hh_tes!I27=0,"",SER_hh_tes!I27/SER_hh_fec!I27)</f>
        <v>1</v>
      </c>
      <c r="J27" s="153">
        <f>IF(SER_hh_tes!J27=0,"",SER_hh_tes!J27/SER_hh_fec!J27)</f>
        <v>1</v>
      </c>
      <c r="K27" s="153">
        <f>IF(SER_hh_tes!K27=0,"",SER_hh_tes!K27/SER_hh_fec!K27)</f>
        <v>1</v>
      </c>
      <c r="L27" s="153">
        <f>IF(SER_hh_tes!L27=0,"",SER_hh_tes!L27/SER_hh_fec!L27)</f>
        <v>1</v>
      </c>
      <c r="M27" s="153">
        <f>IF(SER_hh_tes!M27=0,"",SER_hh_tes!M27/SER_hh_fec!M27)</f>
        <v>1</v>
      </c>
      <c r="N27" s="153">
        <f>IF(SER_hh_tes!N27=0,"",SER_hh_tes!N27/SER_hh_fec!N27)</f>
        <v>1</v>
      </c>
      <c r="O27" s="153">
        <f>IF(SER_hh_tes!O27=0,"",SER_hh_tes!O27/SER_hh_fec!O27)</f>
        <v>1</v>
      </c>
      <c r="P27" s="153">
        <f>IF(SER_hh_tes!P27=0,"",SER_hh_tes!P27/SER_hh_fec!P27)</f>
        <v>1</v>
      </c>
      <c r="Q27" s="153">
        <f>IF(SER_hh_tes!Q27=0,"",SER_hh_tes!Q27/SER_hh_fec!Q27)</f>
        <v>1</v>
      </c>
      <c r="R27" s="153">
        <f>IF(SER_hh_tes!R27=0,"",SER_hh_tes!R27/SER_hh_fec!R27)</f>
        <v>1</v>
      </c>
      <c r="S27" s="153">
        <f>IF(SER_hh_tes!S27=0,"",SER_hh_tes!S27/SER_hh_fec!S27)</f>
        <v>1</v>
      </c>
      <c r="T27" s="153">
        <f>IF(SER_hh_tes!T27=0,"",SER_hh_tes!T27/SER_hh_fec!T27)</f>
        <v>1</v>
      </c>
      <c r="U27" s="153">
        <f>IF(SER_hh_tes!U27=0,"",SER_hh_tes!U27/SER_hh_fec!U27)</f>
        <v>1</v>
      </c>
      <c r="V27" s="153">
        <f>IF(SER_hh_tes!V27=0,"",SER_hh_tes!V27/SER_hh_fec!V27)</f>
        <v>1</v>
      </c>
      <c r="W27" s="153">
        <f>IF(SER_hh_tes!W27=0,"",SER_hh_tes!W27/SER_hh_fec!W27)</f>
        <v>1</v>
      </c>
      <c r="X27" s="153">
        <f>IF(SER_hh_tes!X27=0,"",SER_hh_tes!X27/SER_hh_fec!X27)</f>
        <v>1</v>
      </c>
      <c r="Y27" s="153">
        <f>IF(SER_hh_tes!Y27=0,"",SER_hh_tes!Y27/SER_hh_fec!Y27)</f>
        <v>1</v>
      </c>
      <c r="DA27" s="176" t="s">
        <v>352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>
        <f>IF(SER_hh_tes!B29=0,"",SER_hh_tes!B29/SER_hh_fec!B29)</f>
        <v>0.63566527026371855</v>
      </c>
      <c r="C29" s="135">
        <f>IF(SER_hh_tes!C29=0,"",SER_hh_tes!C29/SER_hh_fec!C29)</f>
        <v>0.63161152949580235</v>
      </c>
      <c r="D29" s="135">
        <f>IF(SER_hh_tes!D29=0,"",SER_hh_tes!D29/SER_hh_fec!D29)</f>
        <v>0.63597413384181567</v>
      </c>
      <c r="E29" s="135">
        <f>IF(SER_hh_tes!E29=0,"",SER_hh_tes!E29/SER_hh_fec!E29)</f>
        <v>0.6400844463712495</v>
      </c>
      <c r="F29" s="135">
        <f>IF(SER_hh_tes!F29=0,"",SER_hh_tes!F29/SER_hh_fec!F29)</f>
        <v>0.63179753792226256</v>
      </c>
      <c r="G29" s="135">
        <f>IF(SER_hh_tes!G29=0,"",SER_hh_tes!G29/SER_hh_fec!G29)</f>
        <v>0.63471340546173904</v>
      </c>
      <c r="H29" s="135">
        <f>IF(SER_hh_tes!H29=0,"",SER_hh_tes!H29/SER_hh_fec!H29)</f>
        <v>0.63895691804874921</v>
      </c>
      <c r="I29" s="135">
        <f>IF(SER_hh_tes!I29=0,"",SER_hh_tes!I29/SER_hh_fec!I29)</f>
        <v>0.64142936331210598</v>
      </c>
      <c r="J29" s="135">
        <f>IF(SER_hh_tes!J29=0,"",SER_hh_tes!J29/SER_hh_fec!J29)</f>
        <v>0.64336652977692488</v>
      </c>
      <c r="K29" s="135">
        <f>IF(SER_hh_tes!K29=0,"",SER_hh_tes!K29/SER_hh_fec!K29)</f>
        <v>0.64663278253396961</v>
      </c>
      <c r="L29" s="135">
        <f>IF(SER_hh_tes!L29=0,"",SER_hh_tes!L29/SER_hh_fec!L29)</f>
        <v>0.64794303006714993</v>
      </c>
      <c r="M29" s="135">
        <f>IF(SER_hh_tes!M29=0,"",SER_hh_tes!M29/SER_hh_fec!M29)</f>
        <v>0.64864058448401896</v>
      </c>
      <c r="N29" s="135">
        <f>IF(SER_hh_tes!N29=0,"",SER_hh_tes!N29/SER_hh_fec!N29)</f>
        <v>0.64552974807739172</v>
      </c>
      <c r="O29" s="135">
        <f>IF(SER_hh_tes!O29=0,"",SER_hh_tes!O29/SER_hh_fec!O29)</f>
        <v>0.6380154786172626</v>
      </c>
      <c r="P29" s="135">
        <f>IF(SER_hh_tes!P29=0,"",SER_hh_tes!P29/SER_hh_fec!P29)</f>
        <v>0.60120932517896986</v>
      </c>
      <c r="Q29" s="135">
        <f>IF(SER_hh_tes!Q29=0,"",SER_hh_tes!Q29/SER_hh_fec!Q29)</f>
        <v>0.5912095538457468</v>
      </c>
      <c r="R29" s="135">
        <f>IF(SER_hh_tes!R29=0,"",SER_hh_tes!R29/SER_hh_fec!R29)</f>
        <v>0.58360504480427711</v>
      </c>
      <c r="S29" s="135">
        <f>IF(SER_hh_tes!S29=0,"",SER_hh_tes!S29/SER_hh_fec!S29)</f>
        <v>0.59469423462953352</v>
      </c>
      <c r="T29" s="135">
        <f>IF(SER_hh_tes!T29=0,"",SER_hh_tes!T29/SER_hh_fec!T29)</f>
        <v>0.61827631977569508</v>
      </c>
      <c r="U29" s="135">
        <f>IF(SER_hh_tes!U29=0,"",SER_hh_tes!U29/SER_hh_fec!U29)</f>
        <v>0.62958534399648802</v>
      </c>
      <c r="V29" s="135">
        <f>IF(SER_hh_tes!V29=0,"",SER_hh_tes!V29/SER_hh_fec!V29)</f>
        <v>0.60676453392439178</v>
      </c>
      <c r="W29" s="135">
        <f>IF(SER_hh_tes!W29=0,"",SER_hh_tes!W29/SER_hh_fec!W29)</f>
        <v>0.63953306262347476</v>
      </c>
      <c r="X29" s="135">
        <f>IF(SER_hh_tes!X29=0,"",SER_hh_tes!X29/SER_hh_fec!X29)</f>
        <v>0.64766333724014336</v>
      </c>
      <c r="Y29" s="135">
        <f>IF(SER_hh_tes!Y29=0,"",SER_hh_tes!Y29/SER_hh_fec!Y29)</f>
        <v>0.67395370031673274</v>
      </c>
      <c r="DA29" s="162" t="s">
        <v>243</v>
      </c>
    </row>
    <row r="30" spans="1:105" ht="12" customHeight="1" x14ac:dyDescent="0.25">
      <c r="A30" s="131" t="s">
        <v>52</v>
      </c>
      <c r="B30" s="136">
        <f>IF(SER_hh_tes!B30=0,"",SER_hh_tes!B30/SER_hh_fec!B30)</f>
        <v>0.52506731031118381</v>
      </c>
      <c r="C30" s="136">
        <f>IF(SER_hh_tes!C30=0,"",SER_hh_tes!C30/SER_hh_fec!C30)</f>
        <v>0.52590851465270472</v>
      </c>
      <c r="D30" s="136">
        <f>IF(SER_hh_tes!D30=0,"",SER_hh_tes!D30/SER_hh_fec!D30)</f>
        <v>0.52675350779102614</v>
      </c>
      <c r="E30" s="136">
        <f>IF(SER_hh_tes!E30=0,"",SER_hh_tes!E30/SER_hh_fec!E30)</f>
        <v>0.52754368088037018</v>
      </c>
      <c r="F30" s="136">
        <f>IF(SER_hh_tes!F30=0,"",SER_hh_tes!F30/SER_hh_fec!F30)</f>
        <v>0.52820441991046696</v>
      </c>
      <c r="G30" s="136">
        <f>IF(SER_hh_tes!G30=0,"",SER_hh_tes!G30/SER_hh_fec!G30)</f>
        <v>0.52876462079070075</v>
      </c>
      <c r="H30" s="136">
        <f>IF(SER_hh_tes!H30=0,"",SER_hh_tes!H30/SER_hh_fec!H30)</f>
        <v>0.52940699926987511</v>
      </c>
      <c r="I30" s="136">
        <f>IF(SER_hh_tes!I30=0,"",SER_hh_tes!I30/SER_hh_fec!I30)</f>
        <v>0.53046346860887694</v>
      </c>
      <c r="J30" s="136">
        <f>IF(SER_hh_tes!J30=0,"",SER_hh_tes!J30/SER_hh_fec!J30)</f>
        <v>0.53182766935928827</v>
      </c>
      <c r="K30" s="136">
        <f>IF(SER_hh_tes!K30=0,"",SER_hh_tes!K30/SER_hh_fec!K30)</f>
        <v>0.53336398796350792</v>
      </c>
      <c r="L30" s="136">
        <f>IF(SER_hh_tes!L30=0,"",SER_hh_tes!L30/SER_hh_fec!L30)</f>
        <v>0.53456466970919914</v>
      </c>
      <c r="M30" s="136">
        <f>IF(SER_hh_tes!M30=0,"",SER_hh_tes!M30/SER_hh_fec!M30)</f>
        <v>0.53484192115978313</v>
      </c>
      <c r="N30" s="136">
        <f>IF(SER_hh_tes!N30=0,"",SER_hh_tes!N30/SER_hh_fec!N30)</f>
        <v>0.53533952323558731</v>
      </c>
      <c r="O30" s="136">
        <f>IF(SER_hh_tes!O30=0,"",SER_hh_tes!O30/SER_hh_fec!O30)</f>
        <v>0.53625637340322541</v>
      </c>
      <c r="P30" s="136">
        <f>IF(SER_hh_tes!P30=0,"",SER_hh_tes!P30/SER_hh_fec!P30)</f>
        <v>0.53721981886349746</v>
      </c>
      <c r="Q30" s="136">
        <f>IF(SER_hh_tes!Q30=0,"",SER_hh_tes!Q30/SER_hh_fec!Q30)</f>
        <v>0.53876541348943785</v>
      </c>
      <c r="R30" s="136">
        <f>IF(SER_hh_tes!R30=0,"",SER_hh_tes!R30/SER_hh_fec!R30)</f>
        <v>0.54070045565674418</v>
      </c>
      <c r="S30" s="136">
        <f>IF(SER_hh_tes!S30=0,"",SER_hh_tes!S30/SER_hh_fec!S30)</f>
        <v>0.54274400143651702</v>
      </c>
      <c r="T30" s="136">
        <f>IF(SER_hh_tes!T30=0,"",SER_hh_tes!T30/SER_hh_fec!T30)</f>
        <v>0.54406644457606701</v>
      </c>
      <c r="U30" s="136">
        <f>IF(SER_hh_tes!U30=0,"",SER_hh_tes!U30/SER_hh_fec!U30)</f>
        <v>0.54475489243603303</v>
      </c>
      <c r="V30" s="136">
        <f>IF(SER_hh_tes!V30=0,"",SER_hh_tes!V30/SER_hh_fec!V30)</f>
        <v>0.54538936900495694</v>
      </c>
      <c r="W30" s="136">
        <f>IF(SER_hh_tes!W30=0,"",SER_hh_tes!W30/SER_hh_fec!W30)</f>
        <v>0.54983914091786379</v>
      </c>
      <c r="X30" s="136">
        <f>IF(SER_hh_tes!X30=0,"",SER_hh_tes!X30/SER_hh_fec!X30)</f>
        <v>0.55799965817788544</v>
      </c>
      <c r="Y30" s="136">
        <f>IF(SER_hh_tes!Y30=0,"",SER_hh_tes!Y30/SER_hh_fec!Y30)</f>
        <v>0.56490990743337666</v>
      </c>
      <c r="DA30" s="163" t="s">
        <v>353</v>
      </c>
    </row>
    <row r="31" spans="1:105" ht="12" customHeight="1" x14ac:dyDescent="0.25">
      <c r="A31" s="131" t="s">
        <v>149</v>
      </c>
      <c r="B31" s="136">
        <f>IF(SER_hh_tes!B31=0,"",SER_hh_tes!B31/SER_hh_fec!B31)</f>
        <v>0.53156080421996188</v>
      </c>
      <c r="C31" s="136">
        <f>IF(SER_hh_tes!C31=0,"",SER_hh_tes!C31/SER_hh_fec!C31)</f>
        <v>0.53247065793915771</v>
      </c>
      <c r="D31" s="136">
        <f>IF(SER_hh_tes!D31=0,"",SER_hh_tes!D31/SER_hh_fec!D31)</f>
        <v>0.53325434308903619</v>
      </c>
      <c r="E31" s="136">
        <f>IF(SER_hh_tes!E31=0,"",SER_hh_tes!E31/SER_hh_fec!E31)</f>
        <v>0.53442292704850847</v>
      </c>
      <c r="F31" s="136">
        <f>IF(SER_hh_tes!F31=0,"",SER_hh_tes!F31/SER_hh_fec!F31)</f>
        <v>0.53596250547835278</v>
      </c>
      <c r="G31" s="136">
        <f>IF(SER_hh_tes!G31=0,"",SER_hh_tes!G31/SER_hh_fec!G31)</f>
        <v>0.53716144398584043</v>
      </c>
      <c r="H31" s="136">
        <f>IF(SER_hh_tes!H31=0,"",SER_hh_tes!H31/SER_hh_fec!H31)</f>
        <v>0.53818232028919977</v>
      </c>
      <c r="I31" s="136">
        <f>IF(SER_hh_tes!I31=0,"",SER_hh_tes!I31/SER_hh_fec!I31)</f>
        <v>0.53902879361066725</v>
      </c>
      <c r="J31" s="136">
        <f>IF(SER_hh_tes!J31=0,"",SER_hh_tes!J31/SER_hh_fec!J31)</f>
        <v>0.53989287239997685</v>
      </c>
      <c r="K31" s="136">
        <f>IF(SER_hh_tes!K31=0,"",SER_hh_tes!K31/SER_hh_fec!K31)</f>
        <v>0.54081950119542022</v>
      </c>
      <c r="L31" s="136">
        <f>IF(SER_hh_tes!L31=0,"",SER_hh_tes!L31/SER_hh_fec!L31)</f>
        <v>0.54162274998932947</v>
      </c>
      <c r="M31" s="136">
        <f>IF(SER_hh_tes!M31=0,"",SER_hh_tes!M31/SER_hh_fec!M31)</f>
        <v>0.54218380760434548</v>
      </c>
      <c r="N31" s="136">
        <f>IF(SER_hh_tes!N31=0,"",SER_hh_tes!N31/SER_hh_fec!N31)</f>
        <v>0.54311360951177268</v>
      </c>
      <c r="O31" s="136">
        <f>IF(SER_hh_tes!O31=0,"",SER_hh_tes!O31/SER_hh_fec!O31)</f>
        <v>0.544067028165791</v>
      </c>
      <c r="P31" s="136">
        <f>IF(SER_hh_tes!P31=0,"",SER_hh_tes!P31/SER_hh_fec!P31)</f>
        <v>0.54493202528139173</v>
      </c>
      <c r="Q31" s="136">
        <f>IF(SER_hh_tes!Q31=0,"",SER_hh_tes!Q31/SER_hh_fec!Q31)</f>
        <v>0.54577459798647876</v>
      </c>
      <c r="R31" s="136">
        <f>IF(SER_hh_tes!R31=0,"",SER_hh_tes!R31/SER_hh_fec!R31)</f>
        <v>0.54677205489055769</v>
      </c>
      <c r="S31" s="136">
        <f>IF(SER_hh_tes!S31=0,"",SER_hh_tes!S31/SER_hh_fec!S31)</f>
        <v>0.54800772475803083</v>
      </c>
      <c r="T31" s="136">
        <f>IF(SER_hh_tes!T31=0,"",SER_hh_tes!T31/SER_hh_fec!T31)</f>
        <v>0.54872872070883094</v>
      </c>
      <c r="U31" s="136">
        <f>IF(SER_hh_tes!U31=0,"",SER_hh_tes!U31/SER_hh_fec!U31)</f>
        <v>0.55105072943196998</v>
      </c>
      <c r="V31" s="136">
        <f>IF(SER_hh_tes!V31=0,"",SER_hh_tes!V31/SER_hh_fec!V31)</f>
        <v>0.55459005606271039</v>
      </c>
      <c r="W31" s="136">
        <f>IF(SER_hh_tes!W31=0,"",SER_hh_tes!W31/SER_hh_fec!W31)</f>
        <v>0.55724172643309122</v>
      </c>
      <c r="X31" s="136">
        <f>IF(SER_hh_tes!X31=0,"",SER_hh_tes!X31/SER_hh_fec!X31)</f>
        <v>0.55954436922310957</v>
      </c>
      <c r="Y31" s="136">
        <f>IF(SER_hh_tes!Y31=0,"",SER_hh_tes!Y31/SER_hh_fec!Y31)</f>
        <v>0.56241079142710348</v>
      </c>
      <c r="DA31" s="163" t="s">
        <v>354</v>
      </c>
    </row>
    <row r="32" spans="1:105" ht="12" customHeight="1" x14ac:dyDescent="0.25">
      <c r="A32" s="131" t="s">
        <v>128</v>
      </c>
      <c r="B32" s="136" t="str">
        <f>IF(SER_hh_tes!B32=0,"",SER_hh_tes!B32/SER_hh_fec!B32)</f>
        <v/>
      </c>
      <c r="C32" s="136" t="str">
        <f>IF(SER_hh_tes!C32=0,"",SER_hh_tes!C32/SER_hh_fec!C32)</f>
        <v/>
      </c>
      <c r="D32" s="136" t="str">
        <f>IF(SER_hh_tes!D32=0,"",SER_hh_tes!D32/SER_hh_fec!D32)</f>
        <v/>
      </c>
      <c r="E32" s="136" t="str">
        <f>IF(SER_hh_tes!E32=0,"",SER_hh_tes!E32/SER_hh_fec!E32)</f>
        <v/>
      </c>
      <c r="F32" s="136" t="str">
        <f>IF(SER_hh_tes!F32=0,"",SER_hh_tes!F32/SER_hh_fec!F32)</f>
        <v/>
      </c>
      <c r="G32" s="136" t="str">
        <f>IF(SER_hh_tes!G32=0,"",SER_hh_tes!G32/SER_hh_fec!G32)</f>
        <v/>
      </c>
      <c r="H32" s="136" t="str">
        <f>IF(SER_hh_tes!H32=0,"",SER_hh_tes!H32/SER_hh_fec!H32)</f>
        <v/>
      </c>
      <c r="I32" s="136" t="str">
        <f>IF(SER_hh_tes!I32=0,"",SER_hh_tes!I32/SER_hh_fec!I32)</f>
        <v/>
      </c>
      <c r="J32" s="136" t="str">
        <f>IF(SER_hh_tes!J32=0,"",SER_hh_tes!J32/SER_hh_fec!J32)</f>
        <v/>
      </c>
      <c r="K32" s="136" t="str">
        <f>IF(SER_hh_tes!K32=0,"",SER_hh_tes!K32/SER_hh_fec!K32)</f>
        <v/>
      </c>
      <c r="L32" s="136" t="str">
        <f>IF(SER_hh_tes!L32=0,"",SER_hh_tes!L32/SER_hh_fec!L32)</f>
        <v/>
      </c>
      <c r="M32" s="136" t="str">
        <f>IF(SER_hh_tes!M32=0,"",SER_hh_tes!M32/SER_hh_fec!M32)</f>
        <v/>
      </c>
      <c r="N32" s="136" t="str">
        <f>IF(SER_hh_tes!N32=0,"",SER_hh_tes!N32/SER_hh_fec!N32)</f>
        <v/>
      </c>
      <c r="O32" s="136" t="str">
        <f>IF(SER_hh_tes!O32=0,"",SER_hh_tes!O32/SER_hh_fec!O32)</f>
        <v/>
      </c>
      <c r="P32" s="136" t="str">
        <f>IF(SER_hh_tes!P32=0,"",SER_hh_tes!P32/SER_hh_fec!P32)</f>
        <v/>
      </c>
      <c r="Q32" s="136" t="str">
        <f>IF(SER_hh_tes!Q32=0,"",SER_hh_tes!Q32/SER_hh_fec!Q32)</f>
        <v/>
      </c>
      <c r="R32" s="136" t="str">
        <f>IF(SER_hh_tes!R32=0,"",SER_hh_tes!R32/SER_hh_fec!R32)</f>
        <v/>
      </c>
      <c r="S32" s="136" t="str">
        <f>IF(SER_hh_tes!S32=0,"",SER_hh_tes!S32/SER_hh_fec!S32)</f>
        <v/>
      </c>
      <c r="T32" s="136" t="str">
        <f>IF(SER_hh_tes!T32=0,"",SER_hh_tes!T32/SER_hh_fec!T32)</f>
        <v/>
      </c>
      <c r="U32" s="136" t="str">
        <f>IF(SER_hh_tes!U32=0,"",SER_hh_tes!U32/SER_hh_fec!U32)</f>
        <v/>
      </c>
      <c r="V32" s="136" t="str">
        <f>IF(SER_hh_tes!V32=0,"",SER_hh_tes!V32/SER_hh_fec!V32)</f>
        <v/>
      </c>
      <c r="W32" s="136" t="str">
        <f>IF(SER_hh_tes!W32=0,"",SER_hh_tes!W32/SER_hh_fec!W32)</f>
        <v/>
      </c>
      <c r="X32" s="136" t="str">
        <f>IF(SER_hh_tes!X32=0,"",SER_hh_tes!X32/SER_hh_fec!X32)</f>
        <v/>
      </c>
      <c r="Y32" s="136" t="str">
        <f>IF(SER_hh_tes!Y32=0,"",SER_hh_tes!Y32/SER_hh_fec!Y32)</f>
        <v/>
      </c>
      <c r="DA32" s="163" t="s">
        <v>355</v>
      </c>
    </row>
    <row r="33" spans="1:105" ht="12" customHeight="1" x14ac:dyDescent="0.25">
      <c r="A33" s="62" t="s">
        <v>24</v>
      </c>
      <c r="B33" s="149">
        <f>IF(SER_hh_tes!B33=0,"",SER_hh_tes!B33/SER_hh_fec!B33)</f>
        <v>0.69476658233786825</v>
      </c>
      <c r="C33" s="149">
        <f>IF(SER_hh_tes!C33=0,"",SER_hh_tes!C33/SER_hh_fec!C33)</f>
        <v>0.69627913582632017</v>
      </c>
      <c r="D33" s="149">
        <f>IF(SER_hh_tes!D33=0,"",SER_hh_tes!D33/SER_hh_fec!D33)</f>
        <v>0.69800263162649012</v>
      </c>
      <c r="E33" s="149">
        <f>IF(SER_hh_tes!E33=0,"",SER_hh_tes!E33/SER_hh_fec!E33)</f>
        <v>0.6998154410605818</v>
      </c>
      <c r="F33" s="149">
        <f>IF(SER_hh_tes!F33=0,"",SER_hh_tes!F33/SER_hh_fec!F33)</f>
        <v>0.70156846443698395</v>
      </c>
      <c r="G33" s="149">
        <f>IF(SER_hh_tes!G33=0,"",SER_hh_tes!G33/SER_hh_fec!G33)</f>
        <v>0.7036546163633115</v>
      </c>
      <c r="H33" s="149">
        <f>IF(SER_hh_tes!H33=0,"",SER_hh_tes!H33/SER_hh_fec!H33)</f>
        <v>0.70596396913620962</v>
      </c>
      <c r="I33" s="149">
        <f>IF(SER_hh_tes!I33=0,"",SER_hh_tes!I33/SER_hh_fec!I33)</f>
        <v>0.70843555918201739</v>
      </c>
      <c r="J33" s="149">
        <f>IF(SER_hh_tes!J33=0,"",SER_hh_tes!J33/SER_hh_fec!J33)</f>
        <v>0.71099703912710543</v>
      </c>
      <c r="K33" s="149">
        <f>IF(SER_hh_tes!K33=0,"",SER_hh_tes!K33/SER_hh_fec!K33)</f>
        <v>0.71347911205519499</v>
      </c>
      <c r="L33" s="149">
        <f>IF(SER_hh_tes!L33=0,"",SER_hh_tes!L33/SER_hh_fec!L33)</f>
        <v>0.71565716179722294</v>
      </c>
      <c r="M33" s="149">
        <f>IF(SER_hh_tes!M33=0,"",SER_hh_tes!M33/SER_hh_fec!M33)</f>
        <v>0.71654654430142217</v>
      </c>
      <c r="N33" s="149">
        <f>IF(SER_hh_tes!N33=0,"",SER_hh_tes!N33/SER_hh_fec!N33)</f>
        <v>0.71755707841965588</v>
      </c>
      <c r="O33" s="149">
        <f>IF(SER_hh_tes!O33=0,"",SER_hh_tes!O33/SER_hh_fec!O33)</f>
        <v>0.71835450344952034</v>
      </c>
      <c r="P33" s="149">
        <f>IF(SER_hh_tes!P33=0,"",SER_hh_tes!P33/SER_hh_fec!P33)</f>
        <v>0.71916503494553563</v>
      </c>
      <c r="Q33" s="149">
        <f>IF(SER_hh_tes!Q33=0,"",SER_hh_tes!Q33/SER_hh_fec!Q33)</f>
        <v>0.71983379298403838</v>
      </c>
      <c r="R33" s="149">
        <f>IF(SER_hh_tes!R33=0,"",SER_hh_tes!R33/SER_hh_fec!R33)</f>
        <v>0.72364865958426805</v>
      </c>
      <c r="S33" s="149">
        <f>IF(SER_hh_tes!S33=0,"",SER_hh_tes!S33/SER_hh_fec!S33)</f>
        <v>0.73641598548569065</v>
      </c>
      <c r="T33" s="149">
        <f>IF(SER_hh_tes!T33=0,"",SER_hh_tes!T33/SER_hh_fec!T33)</f>
        <v>0.75845939102502347</v>
      </c>
      <c r="U33" s="149">
        <f>IF(SER_hh_tes!U33=0,"",SER_hh_tes!U33/SER_hh_fec!U33)</f>
        <v>0.77838944074602212</v>
      </c>
      <c r="V33" s="149">
        <f>IF(SER_hh_tes!V33=0,"",SER_hh_tes!V33/SER_hh_fec!V33)</f>
        <v>0.79542243103148247</v>
      </c>
      <c r="W33" s="149">
        <f>IF(SER_hh_tes!W33=0,"",SER_hh_tes!W33/SER_hh_fec!W33)</f>
        <v>0.81151092629427901</v>
      </c>
      <c r="X33" s="149">
        <f>IF(SER_hh_tes!X33=0,"",SER_hh_tes!X33/SER_hh_fec!X33)</f>
        <v>0.82478719227865205</v>
      </c>
      <c r="Y33" s="149">
        <f>IF(SER_hh_tes!Y33=0,"",SER_hh_tes!Y33/SER_hh_fec!Y33)</f>
        <v>0.83365928478250262</v>
      </c>
      <c r="DA33" s="167" t="s">
        <v>356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>
        <f t="shared" ref="B3:Q3" si="0">SUM(B4,B16,B19,B29)</f>
        <v>6594.5130883199981</v>
      </c>
      <c r="C3" s="125">
        <f t="shared" si="0"/>
        <v>7224.396806159999</v>
      </c>
      <c r="D3" s="125">
        <f t="shared" si="0"/>
        <v>7175.9158200000002</v>
      </c>
      <c r="E3" s="125">
        <f t="shared" si="0"/>
        <v>6589.319383080001</v>
      </c>
      <c r="F3" s="125">
        <f t="shared" si="0"/>
        <v>7421.5123700400018</v>
      </c>
      <c r="G3" s="125">
        <f t="shared" si="0"/>
        <v>8293.9101465599997</v>
      </c>
      <c r="H3" s="125">
        <f t="shared" si="0"/>
        <v>10517.143752360003</v>
      </c>
      <c r="I3" s="125">
        <f t="shared" si="0"/>
        <v>8117.188170479998</v>
      </c>
      <c r="J3" s="125">
        <f t="shared" si="0"/>
        <v>7600.108937760001</v>
      </c>
      <c r="K3" s="125">
        <f t="shared" si="0"/>
        <v>8231.568825960001</v>
      </c>
      <c r="L3" s="125">
        <f t="shared" si="0"/>
        <v>9277.6660466400008</v>
      </c>
      <c r="M3" s="125">
        <f t="shared" si="0"/>
        <v>9566.1793256400015</v>
      </c>
      <c r="N3" s="125">
        <f t="shared" si="0"/>
        <v>8853.4302519600024</v>
      </c>
      <c r="O3" s="125">
        <f t="shared" si="0"/>
        <v>8800.8233932800031</v>
      </c>
      <c r="P3" s="125">
        <f t="shared" si="0"/>
        <v>7714.909640519998</v>
      </c>
      <c r="Q3" s="125">
        <f t="shared" si="0"/>
        <v>7559.1515224800041</v>
      </c>
      <c r="R3" s="125">
        <f t="shared" ref="R3:W3" si="1">SUM(R4,R16,R19,R29)</f>
        <v>8112.5668843199946</v>
      </c>
      <c r="S3" s="125">
        <f t="shared" si="1"/>
        <v>8286.2860624091736</v>
      </c>
      <c r="T3" s="125">
        <f t="shared" si="1"/>
        <v>8633.7156765405871</v>
      </c>
      <c r="U3" s="125">
        <f t="shared" si="1"/>
        <v>8498.4204972366333</v>
      </c>
      <c r="V3" s="125">
        <f t="shared" si="1"/>
        <v>8008.6598363165858</v>
      </c>
      <c r="W3" s="125">
        <f t="shared" si="1"/>
        <v>8752.1958995257392</v>
      </c>
      <c r="X3" s="125">
        <f t="shared" ref="X3:Y3" si="2">SUM(X4,X16,X19,X29)</f>
        <v>8207.4687550994495</v>
      </c>
      <c r="Y3" s="125">
        <f t="shared" si="2"/>
        <v>7774.628392503736</v>
      </c>
      <c r="DA3" s="154" t="s">
        <v>233</v>
      </c>
    </row>
    <row r="4" spans="1:105" ht="12.95" customHeight="1" x14ac:dyDescent="0.25">
      <c r="A4" s="129" t="s">
        <v>32</v>
      </c>
      <c r="B4" s="130">
        <f t="shared" ref="B4:Q4" si="3">SUM(B5:B15)</f>
        <v>4416.6643654657873</v>
      </c>
      <c r="C4" s="130">
        <f t="shared" si="3"/>
        <v>4899.491248774294</v>
      </c>
      <c r="D4" s="130">
        <f t="shared" si="3"/>
        <v>4929.4144213420996</v>
      </c>
      <c r="E4" s="130">
        <f t="shared" si="3"/>
        <v>4515.3843002834437</v>
      </c>
      <c r="F4" s="130">
        <f t="shared" si="3"/>
        <v>5016.7768917951353</v>
      </c>
      <c r="G4" s="130">
        <f t="shared" si="3"/>
        <v>5813.0122326025348</v>
      </c>
      <c r="H4" s="130">
        <f t="shared" si="3"/>
        <v>7680.7077819390915</v>
      </c>
      <c r="I4" s="130">
        <f t="shared" si="3"/>
        <v>5296.6300349021312</v>
      </c>
      <c r="J4" s="130">
        <f t="shared" si="3"/>
        <v>4725.1780866532299</v>
      </c>
      <c r="K4" s="130">
        <f t="shared" si="3"/>
        <v>5384.0667513867975</v>
      </c>
      <c r="L4" s="130">
        <f t="shared" si="3"/>
        <v>6374.038125367133</v>
      </c>
      <c r="M4" s="130">
        <f t="shared" si="3"/>
        <v>6640.423879406726</v>
      </c>
      <c r="N4" s="130">
        <f t="shared" si="3"/>
        <v>5768.5530763304778</v>
      </c>
      <c r="O4" s="130">
        <f t="shared" si="3"/>
        <v>5471.2481354822939</v>
      </c>
      <c r="P4" s="130">
        <f t="shared" si="3"/>
        <v>3374.2724235113674</v>
      </c>
      <c r="Q4" s="130">
        <f t="shared" si="3"/>
        <v>2983.7915175605553</v>
      </c>
      <c r="R4" s="130">
        <f t="shared" ref="R4:W4" si="4">SUM(R5:R15)</f>
        <v>3335.2051541089427</v>
      </c>
      <c r="S4" s="130">
        <f t="shared" si="4"/>
        <v>3575.1032618947602</v>
      </c>
      <c r="T4" s="130">
        <f t="shared" si="4"/>
        <v>4152.7234628718734</v>
      </c>
      <c r="U4" s="130">
        <f t="shared" si="4"/>
        <v>4011.672807142394</v>
      </c>
      <c r="V4" s="130">
        <f t="shared" si="4"/>
        <v>3612.0772639974107</v>
      </c>
      <c r="W4" s="130">
        <f t="shared" si="4"/>
        <v>4223.5099638076008</v>
      </c>
      <c r="X4" s="130">
        <f t="shared" ref="X4:Y4" si="5">SUM(X5:X15)</f>
        <v>3968.1592298222026</v>
      </c>
      <c r="Y4" s="130">
        <f t="shared" si="5"/>
        <v>3506.8020888439437</v>
      </c>
      <c r="DA4" s="155" t="s">
        <v>234</v>
      </c>
    </row>
    <row r="5" spans="1:105" ht="12" customHeight="1" x14ac:dyDescent="0.25">
      <c r="A5" s="131" t="s">
        <v>29</v>
      </c>
      <c r="B5" s="132">
        <v>0</v>
      </c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358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359</v>
      </c>
    </row>
    <row r="7" spans="1:105" ht="12" customHeight="1" x14ac:dyDescent="0.25">
      <c r="A7" s="131" t="s">
        <v>161</v>
      </c>
      <c r="B7" s="132">
        <v>3722.1319927944269</v>
      </c>
      <c r="C7" s="132">
        <v>4103.5303488849659</v>
      </c>
      <c r="D7" s="132">
        <v>3970.5979205416793</v>
      </c>
      <c r="E7" s="132">
        <v>4448.7371139193965</v>
      </c>
      <c r="F7" s="132">
        <v>4921.9472776818902</v>
      </c>
      <c r="G7" s="132">
        <v>4989.3421518121322</v>
      </c>
      <c r="H7" s="132">
        <v>3485.652530512356</v>
      </c>
      <c r="I7" s="132">
        <v>3200.1627046904191</v>
      </c>
      <c r="J7" s="132">
        <v>3015.0536289752135</v>
      </c>
      <c r="K7" s="132">
        <v>2984.997847905167</v>
      </c>
      <c r="L7" s="132">
        <v>2957.2188310328793</v>
      </c>
      <c r="M7" s="132">
        <v>2768.7597661534473</v>
      </c>
      <c r="N7" s="132">
        <v>2936.8039279379859</v>
      </c>
      <c r="O7" s="132">
        <v>3242.2363757321395</v>
      </c>
      <c r="P7" s="132">
        <v>2459.1708711999236</v>
      </c>
      <c r="Q7" s="132">
        <v>1713.0582778851729</v>
      </c>
      <c r="R7" s="132">
        <v>2167.7369365469081</v>
      </c>
      <c r="S7" s="132">
        <v>2366.9945841693743</v>
      </c>
      <c r="T7" s="132">
        <v>2458.3164010143923</v>
      </c>
      <c r="U7" s="132">
        <v>2278.0531894481692</v>
      </c>
      <c r="V7" s="132">
        <v>2147.2675051358196</v>
      </c>
      <c r="W7" s="132">
        <v>2403.812749402859</v>
      </c>
      <c r="X7" s="132">
        <v>2327.3375343360244</v>
      </c>
      <c r="Y7" s="132">
        <v>1761.9360357690805</v>
      </c>
      <c r="DA7" s="156" t="s">
        <v>360</v>
      </c>
    </row>
    <row r="8" spans="1:105" ht="12" customHeight="1" x14ac:dyDescent="0.25">
      <c r="A8" s="131" t="s">
        <v>73</v>
      </c>
      <c r="B8" s="132">
        <v>3.3109256531584114E-2</v>
      </c>
      <c r="C8" s="132">
        <v>4.7424997217461282E-2</v>
      </c>
      <c r="D8" s="132">
        <v>6.2019840785776048E-2</v>
      </c>
      <c r="E8" s="132">
        <v>6.1060842378291451E-2</v>
      </c>
      <c r="F8" s="132">
        <v>9.9939651257894488E-2</v>
      </c>
      <c r="G8" s="132">
        <v>0.24185146089474127</v>
      </c>
      <c r="H8" s="132">
        <v>0.51428789253264595</v>
      </c>
      <c r="I8" s="132">
        <v>0.58140072994589109</v>
      </c>
      <c r="J8" s="132">
        <v>0.64434215162481545</v>
      </c>
      <c r="K8" s="132">
        <v>0.69137392177951584</v>
      </c>
      <c r="L8" s="132">
        <v>0.81513791485334597</v>
      </c>
      <c r="M8" s="132">
        <v>1.4439113951378053</v>
      </c>
      <c r="N8" s="132">
        <v>2.4085286465451681</v>
      </c>
      <c r="O8" s="132">
        <v>4.4279716773733684</v>
      </c>
      <c r="P8" s="132">
        <v>7.7559323388082175</v>
      </c>
      <c r="Q8" s="132">
        <v>10.260004763483552</v>
      </c>
      <c r="R8" s="132">
        <v>13.794045010514138</v>
      </c>
      <c r="S8" s="132">
        <v>17.158786445429943</v>
      </c>
      <c r="T8" s="132">
        <v>18.302321195043149</v>
      </c>
      <c r="U8" s="132">
        <v>30.362963322501432</v>
      </c>
      <c r="V8" s="132">
        <v>24.668544764827381</v>
      </c>
      <c r="W8" s="132">
        <v>33.016858682017038</v>
      </c>
      <c r="X8" s="132">
        <v>37.374071545315083</v>
      </c>
      <c r="Y8" s="132">
        <v>45.875901304098669</v>
      </c>
      <c r="DA8" s="156" t="s">
        <v>361</v>
      </c>
    </row>
    <row r="9" spans="1:105" ht="12" customHeight="1" x14ac:dyDescent="0.25">
      <c r="A9" s="131" t="s">
        <v>78</v>
      </c>
      <c r="B9" s="132">
        <v>694.49926341482842</v>
      </c>
      <c r="C9" s="132">
        <v>795.9134748921108</v>
      </c>
      <c r="D9" s="132">
        <v>958.75448095963418</v>
      </c>
      <c r="E9" s="132">
        <v>66.586125521668819</v>
      </c>
      <c r="F9" s="132">
        <v>94.729674461987003</v>
      </c>
      <c r="G9" s="132">
        <v>823.42822932950799</v>
      </c>
      <c r="H9" s="132">
        <v>4194.540963534203</v>
      </c>
      <c r="I9" s="132">
        <v>2095.8859294817657</v>
      </c>
      <c r="J9" s="132">
        <v>1709.4801155263913</v>
      </c>
      <c r="K9" s="132">
        <v>2398.3775295598507</v>
      </c>
      <c r="L9" s="132">
        <v>3416.0041564193998</v>
      </c>
      <c r="M9" s="132">
        <v>3870.2202018581402</v>
      </c>
      <c r="N9" s="132">
        <v>2829.3406197459467</v>
      </c>
      <c r="O9" s="132">
        <v>2224.5837880727813</v>
      </c>
      <c r="P9" s="132">
        <v>907.34561997263586</v>
      </c>
      <c r="Q9" s="132">
        <v>1251.2147549118993</v>
      </c>
      <c r="R9" s="132">
        <v>1132.0406925515204</v>
      </c>
      <c r="S9" s="132">
        <v>1164.2291312799557</v>
      </c>
      <c r="T9" s="132">
        <v>1659.8796306624374</v>
      </c>
      <c r="U9" s="132">
        <v>1684.831764371723</v>
      </c>
      <c r="V9" s="132">
        <v>1422.2215540967636</v>
      </c>
      <c r="W9" s="132">
        <v>1764.4248257227241</v>
      </c>
      <c r="X9" s="132">
        <v>1575.6230139408633</v>
      </c>
      <c r="Y9" s="132">
        <v>1675.0994717707642</v>
      </c>
      <c r="DA9" s="156" t="s">
        <v>362</v>
      </c>
    </row>
    <row r="10" spans="1:105" ht="12" customHeight="1" x14ac:dyDescent="0.25">
      <c r="A10" s="131" t="s">
        <v>128</v>
      </c>
      <c r="B10" s="132">
        <v>0</v>
      </c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9.2584800000000005</v>
      </c>
      <c r="R10" s="132">
        <v>21.633480000000006</v>
      </c>
      <c r="S10" s="132">
        <v>26.720760000000006</v>
      </c>
      <c r="T10" s="132">
        <v>16.225110000000008</v>
      </c>
      <c r="U10" s="132">
        <v>18.424890000000008</v>
      </c>
      <c r="V10" s="132">
        <v>17.919659999999986</v>
      </c>
      <c r="W10" s="132">
        <v>22.255530000000029</v>
      </c>
      <c r="X10" s="132">
        <v>27.824609999999993</v>
      </c>
      <c r="Y10" s="132">
        <v>23.89068</v>
      </c>
      <c r="DA10" s="156" t="s">
        <v>363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364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365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366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367</v>
      </c>
    </row>
    <row r="15" spans="1:105" ht="12" customHeight="1" x14ac:dyDescent="0.25">
      <c r="A15" s="133" t="s">
        <v>80</v>
      </c>
      <c r="B15" s="134">
        <v>0</v>
      </c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368</v>
      </c>
    </row>
    <row r="16" spans="1:105" ht="12.95" customHeight="1" x14ac:dyDescent="0.25">
      <c r="A16" s="129" t="s">
        <v>74</v>
      </c>
      <c r="B16" s="130">
        <f t="shared" ref="B16:Q16" si="6">SUM(B17:B18)</f>
        <v>0.67721231575947216</v>
      </c>
      <c r="C16" s="130">
        <f t="shared" si="6"/>
        <v>0.81548810782050285</v>
      </c>
      <c r="D16" s="130">
        <f t="shared" si="6"/>
        <v>0.75263502954142891</v>
      </c>
      <c r="E16" s="130">
        <f t="shared" si="6"/>
        <v>1.5132947785684694</v>
      </c>
      <c r="F16" s="130">
        <f t="shared" si="6"/>
        <v>1.5488337117339039</v>
      </c>
      <c r="G16" s="130">
        <f t="shared" si="6"/>
        <v>2.0045400653497767</v>
      </c>
      <c r="H16" s="130">
        <f t="shared" si="6"/>
        <v>2.6083057439363668</v>
      </c>
      <c r="I16" s="130">
        <f t="shared" si="6"/>
        <v>2.657091729597655</v>
      </c>
      <c r="J16" s="130">
        <f t="shared" si="6"/>
        <v>3.645834725758446</v>
      </c>
      <c r="K16" s="130">
        <f t="shared" si="6"/>
        <v>5.5791091715241707</v>
      </c>
      <c r="L16" s="130">
        <f t="shared" si="6"/>
        <v>6.3838051571777914</v>
      </c>
      <c r="M16" s="130">
        <f t="shared" si="6"/>
        <v>6.9057080225631173</v>
      </c>
      <c r="N16" s="130">
        <f t="shared" si="6"/>
        <v>9.4391990641166608</v>
      </c>
      <c r="O16" s="130">
        <f t="shared" si="6"/>
        <v>9.4353598204028284</v>
      </c>
      <c r="P16" s="130">
        <f t="shared" si="6"/>
        <v>9.9919738475637239</v>
      </c>
      <c r="Q16" s="130">
        <f t="shared" si="6"/>
        <v>17.602299749489212</v>
      </c>
      <c r="R16" s="130">
        <f t="shared" ref="R16:W16" si="7">SUM(R17:R18)</f>
        <v>19.764444394089551</v>
      </c>
      <c r="S16" s="130">
        <f t="shared" si="7"/>
        <v>25.036095827731597</v>
      </c>
      <c r="T16" s="130">
        <f t="shared" si="7"/>
        <v>21.176691003898579</v>
      </c>
      <c r="U16" s="130">
        <f t="shared" si="7"/>
        <v>23.486773941402969</v>
      </c>
      <c r="V16" s="130">
        <f t="shared" si="7"/>
        <v>25.345426598202824</v>
      </c>
      <c r="W16" s="130">
        <f t="shared" si="7"/>
        <v>23.011995139342115</v>
      </c>
      <c r="X16" s="130">
        <f t="shared" ref="X16:Y16" si="8">SUM(X17:X18)</f>
        <v>35.904480668049501</v>
      </c>
      <c r="Y16" s="130">
        <f t="shared" si="8"/>
        <v>32.880617003636544</v>
      </c>
      <c r="DA16" s="155" t="s">
        <v>235</v>
      </c>
    </row>
    <row r="17" spans="1:105" ht="12.95" customHeight="1" x14ac:dyDescent="0.25">
      <c r="A17" s="131" t="s">
        <v>73</v>
      </c>
      <c r="B17" s="132">
        <v>0.67721231575947216</v>
      </c>
      <c r="C17" s="132">
        <v>0.81548810782050285</v>
      </c>
      <c r="D17" s="132">
        <v>0.75263502954142891</v>
      </c>
      <c r="E17" s="132">
        <v>1.5132947785684694</v>
      </c>
      <c r="F17" s="132">
        <v>1.5488337117339039</v>
      </c>
      <c r="G17" s="132">
        <v>2.0045400653497767</v>
      </c>
      <c r="H17" s="132">
        <v>2.6083057439363668</v>
      </c>
      <c r="I17" s="132">
        <v>2.657091729597655</v>
      </c>
      <c r="J17" s="132">
        <v>3.645834725758446</v>
      </c>
      <c r="K17" s="132">
        <v>5.5791091715241707</v>
      </c>
      <c r="L17" s="132">
        <v>6.3838051571777914</v>
      </c>
      <c r="M17" s="132">
        <v>6.9057080225631173</v>
      </c>
      <c r="N17" s="132">
        <v>9.4391990641166608</v>
      </c>
      <c r="O17" s="132">
        <v>9.4353598204028284</v>
      </c>
      <c r="P17" s="132">
        <v>9.9919738475637239</v>
      </c>
      <c r="Q17" s="132">
        <v>17.602299749489212</v>
      </c>
      <c r="R17" s="132">
        <v>19.764444394089551</v>
      </c>
      <c r="S17" s="132">
        <v>25.036095827731597</v>
      </c>
      <c r="T17" s="132">
        <v>21.176691003898579</v>
      </c>
      <c r="U17" s="132">
        <v>23.486773941402969</v>
      </c>
      <c r="V17" s="132">
        <v>25.345426598202824</v>
      </c>
      <c r="W17" s="132">
        <v>23.011995139342115</v>
      </c>
      <c r="X17" s="132">
        <v>35.904480668049501</v>
      </c>
      <c r="Y17" s="132">
        <v>32.880617003636544</v>
      </c>
      <c r="DA17" s="156" t="s">
        <v>369</v>
      </c>
    </row>
    <row r="18" spans="1:105" ht="12" customHeight="1" x14ac:dyDescent="0.25">
      <c r="A18" s="131" t="s">
        <v>72</v>
      </c>
      <c r="B18" s="132">
        <v>0</v>
      </c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370</v>
      </c>
    </row>
    <row r="19" spans="1:105" ht="12.95" customHeight="1" x14ac:dyDescent="0.25">
      <c r="A19" s="129" t="s">
        <v>35</v>
      </c>
      <c r="B19" s="130">
        <f t="shared" ref="B19:Q19" si="9">SUM(B20:B27)</f>
        <v>1340.4245246208832</v>
      </c>
      <c r="C19" s="130">
        <f t="shared" si="9"/>
        <v>1353.2404857136869</v>
      </c>
      <c r="D19" s="130">
        <f t="shared" si="9"/>
        <v>1330.5566396743275</v>
      </c>
      <c r="E19" s="130">
        <f t="shared" si="9"/>
        <v>1216.5658408885758</v>
      </c>
      <c r="F19" s="130">
        <f t="shared" si="9"/>
        <v>1296.8485949456262</v>
      </c>
      <c r="G19" s="130">
        <f t="shared" si="9"/>
        <v>1347.2118177381335</v>
      </c>
      <c r="H19" s="130">
        <f t="shared" si="9"/>
        <v>1645.0445476283689</v>
      </c>
      <c r="I19" s="130">
        <f t="shared" si="9"/>
        <v>1596.7534122166774</v>
      </c>
      <c r="J19" s="130">
        <f t="shared" si="9"/>
        <v>1573.0411389639876</v>
      </c>
      <c r="K19" s="130">
        <f t="shared" si="9"/>
        <v>1574.9363558082778</v>
      </c>
      <c r="L19" s="130">
        <f t="shared" si="9"/>
        <v>1578.4699253523663</v>
      </c>
      <c r="M19" s="130">
        <f t="shared" si="9"/>
        <v>1589.1874460014169</v>
      </c>
      <c r="N19" s="130">
        <f t="shared" si="9"/>
        <v>1681.0337919514732</v>
      </c>
      <c r="O19" s="130">
        <f t="shared" si="9"/>
        <v>1774.7732660502779</v>
      </c>
      <c r="P19" s="130">
        <f t="shared" si="9"/>
        <v>1956.2797924170727</v>
      </c>
      <c r="Q19" s="130">
        <f t="shared" si="9"/>
        <v>1860.2068717347393</v>
      </c>
      <c r="R19" s="130">
        <f t="shared" ref="R19:W19" si="10">SUM(R20:R27)</f>
        <v>1905.0174620111156</v>
      </c>
      <c r="S19" s="130">
        <f t="shared" si="10"/>
        <v>1895.2941027692652</v>
      </c>
      <c r="T19" s="130">
        <f t="shared" si="10"/>
        <v>1922.6209738734865</v>
      </c>
      <c r="U19" s="130">
        <f t="shared" si="10"/>
        <v>1926.5280684426057</v>
      </c>
      <c r="V19" s="130">
        <f t="shared" si="10"/>
        <v>1833.5324811113974</v>
      </c>
      <c r="W19" s="130">
        <f t="shared" si="10"/>
        <v>1993.7479142940128</v>
      </c>
      <c r="X19" s="130">
        <f t="shared" ref="X19:Y19" si="11">SUM(X20:X27)</f>
        <v>1961.8248306554297</v>
      </c>
      <c r="Y19" s="130">
        <f t="shared" si="11"/>
        <v>1958.9091564409732</v>
      </c>
      <c r="DA19" s="155" t="s">
        <v>236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371</v>
      </c>
    </row>
    <row r="21" spans="1:105" s="2" customFormat="1" ht="12" customHeight="1" x14ac:dyDescent="0.25">
      <c r="A21" s="131" t="s">
        <v>52</v>
      </c>
      <c r="B21" s="132">
        <v>139.42541004877543</v>
      </c>
      <c r="C21" s="132">
        <v>136.49657527341481</v>
      </c>
      <c r="D21" s="132">
        <v>137.54417175298778</v>
      </c>
      <c r="E21" s="132">
        <v>138.16104296408679</v>
      </c>
      <c r="F21" s="132">
        <v>126.16991784785084</v>
      </c>
      <c r="G21" s="132">
        <v>125.60690774312927</v>
      </c>
      <c r="H21" s="132">
        <v>127.71507833057406</v>
      </c>
      <c r="I21" s="132">
        <v>127.06695185198723</v>
      </c>
      <c r="J21" s="132">
        <v>126.02475061351038</v>
      </c>
      <c r="K21" s="132">
        <v>125.42742796347054</v>
      </c>
      <c r="L21" s="132">
        <v>126.61662261260784</v>
      </c>
      <c r="M21" s="132">
        <v>126.83840263124659</v>
      </c>
      <c r="N21" s="132">
        <v>127.10074506982509</v>
      </c>
      <c r="O21" s="132">
        <v>127.72158685345357</v>
      </c>
      <c r="P21" s="132">
        <v>126.22649760970521</v>
      </c>
      <c r="Q21" s="132">
        <v>127.9541377024601</v>
      </c>
      <c r="R21" s="132">
        <v>129.79102872627692</v>
      </c>
      <c r="S21" s="132">
        <v>126.71446024625676</v>
      </c>
      <c r="T21" s="132">
        <v>127.78537405162247</v>
      </c>
      <c r="U21" s="132">
        <v>103.50344717830529</v>
      </c>
      <c r="V21" s="132">
        <v>67.157484666732145</v>
      </c>
      <c r="W21" s="132">
        <v>77.146005254758791</v>
      </c>
      <c r="X21" s="132">
        <v>95.535114579130465</v>
      </c>
      <c r="Y21" s="132">
        <v>136.95909494064293</v>
      </c>
      <c r="DA21" s="156" t="s">
        <v>372</v>
      </c>
    </row>
    <row r="22" spans="1:105" ht="12" customHeight="1" x14ac:dyDescent="0.25">
      <c r="A22" s="131" t="s">
        <v>161</v>
      </c>
      <c r="B22" s="132">
        <v>911.08628512557038</v>
      </c>
      <c r="C22" s="132">
        <v>951.38940111503268</v>
      </c>
      <c r="D22" s="132">
        <v>976.47978917831983</v>
      </c>
      <c r="E22" s="132">
        <v>997.62284836060473</v>
      </c>
      <c r="F22" s="132">
        <v>1011.5192579981106</v>
      </c>
      <c r="G22" s="132">
        <v>1013.7837985078687</v>
      </c>
      <c r="H22" s="132">
        <v>987.90776088764733</v>
      </c>
      <c r="I22" s="132">
        <v>920.44762726957924</v>
      </c>
      <c r="J22" s="132">
        <v>885.82046890478614</v>
      </c>
      <c r="K22" s="132">
        <v>865.09121665483394</v>
      </c>
      <c r="L22" s="132">
        <v>861.76118020711965</v>
      </c>
      <c r="M22" s="132">
        <v>873.20488520655238</v>
      </c>
      <c r="N22" s="132">
        <v>900.97228234201293</v>
      </c>
      <c r="O22" s="132">
        <v>924.49531410786017</v>
      </c>
      <c r="P22" s="132">
        <v>945.33047684007511</v>
      </c>
      <c r="Q22" s="132">
        <v>1021.0322839148288</v>
      </c>
      <c r="R22" s="132">
        <v>1069.14353637309</v>
      </c>
      <c r="S22" s="132">
        <v>1054.3448267906206</v>
      </c>
      <c r="T22" s="132">
        <v>1058.6853372656108</v>
      </c>
      <c r="U22" s="132">
        <v>1040.4105903918307</v>
      </c>
      <c r="V22" s="132">
        <v>1013.5226488641822</v>
      </c>
      <c r="W22" s="132">
        <v>1073.2168626371408</v>
      </c>
      <c r="X22" s="132">
        <v>1029.9468098639754</v>
      </c>
      <c r="Y22" s="132">
        <v>985.20815987091737</v>
      </c>
      <c r="DA22" s="156" t="s">
        <v>373</v>
      </c>
    </row>
    <row r="23" spans="1:105" ht="12" customHeight="1" x14ac:dyDescent="0.25">
      <c r="A23" s="131" t="s">
        <v>149</v>
      </c>
      <c r="B23" s="132">
        <v>289.91282944653739</v>
      </c>
      <c r="C23" s="132">
        <v>265.35450932523935</v>
      </c>
      <c r="D23" s="132">
        <v>216.53267874302003</v>
      </c>
      <c r="E23" s="132">
        <v>80.781949563884339</v>
      </c>
      <c r="F23" s="132">
        <v>159.15941909966472</v>
      </c>
      <c r="G23" s="132">
        <v>207.8211114871356</v>
      </c>
      <c r="H23" s="132">
        <v>529.42170841014752</v>
      </c>
      <c r="I23" s="132">
        <v>549.23883309511098</v>
      </c>
      <c r="J23" s="132">
        <v>561.19591944569106</v>
      </c>
      <c r="K23" s="132">
        <v>584.41771118997337</v>
      </c>
      <c r="L23" s="132">
        <v>590.09212253263877</v>
      </c>
      <c r="M23" s="132">
        <v>589.14415816361782</v>
      </c>
      <c r="N23" s="132">
        <v>652.96076453963508</v>
      </c>
      <c r="O23" s="132">
        <v>722.5563650889643</v>
      </c>
      <c r="P23" s="132">
        <v>884.72281796729249</v>
      </c>
      <c r="Q23" s="132">
        <v>711.22045011745035</v>
      </c>
      <c r="R23" s="132">
        <v>706.08289691174889</v>
      </c>
      <c r="S23" s="132">
        <v>714.23481573238791</v>
      </c>
      <c r="T23" s="132">
        <v>736.1502625562531</v>
      </c>
      <c r="U23" s="132">
        <v>782.61403087246958</v>
      </c>
      <c r="V23" s="132">
        <v>752.85234758048296</v>
      </c>
      <c r="W23" s="132">
        <v>843.38504640211318</v>
      </c>
      <c r="X23" s="132">
        <v>836.34290621232356</v>
      </c>
      <c r="Y23" s="132">
        <v>836.74190162941284</v>
      </c>
      <c r="DA23" s="156" t="s">
        <v>374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375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376</v>
      </c>
    </row>
    <row r="26" spans="1:105" ht="12" customHeight="1" x14ac:dyDescent="0.25">
      <c r="A26" s="131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377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378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836.74698591756805</v>
      </c>
      <c r="C29" s="130">
        <f t="shared" si="12"/>
        <v>970.84958356419702</v>
      </c>
      <c r="D29" s="130">
        <f t="shared" si="12"/>
        <v>915.19212395403133</v>
      </c>
      <c r="E29" s="130">
        <f t="shared" si="12"/>
        <v>855.85594712941304</v>
      </c>
      <c r="F29" s="130">
        <f t="shared" si="12"/>
        <v>1106.3380495875062</v>
      </c>
      <c r="G29" s="130">
        <f t="shared" si="12"/>
        <v>1131.6815561539825</v>
      </c>
      <c r="H29" s="130">
        <f t="shared" si="12"/>
        <v>1188.7831170486052</v>
      </c>
      <c r="I29" s="130">
        <f t="shared" si="12"/>
        <v>1221.1476316315925</v>
      </c>
      <c r="J29" s="130">
        <f t="shared" si="12"/>
        <v>1298.243877417025</v>
      </c>
      <c r="K29" s="130">
        <f t="shared" si="12"/>
        <v>1266.986609593401</v>
      </c>
      <c r="L29" s="130">
        <f t="shared" si="12"/>
        <v>1318.7741907633244</v>
      </c>
      <c r="M29" s="130">
        <f t="shared" si="12"/>
        <v>1329.6622922092961</v>
      </c>
      <c r="N29" s="130">
        <f t="shared" si="12"/>
        <v>1394.4041846139339</v>
      </c>
      <c r="O29" s="130">
        <f t="shared" si="12"/>
        <v>1545.3666319270287</v>
      </c>
      <c r="P29" s="130">
        <f t="shared" si="12"/>
        <v>2374.3654507439937</v>
      </c>
      <c r="Q29" s="130">
        <f t="shared" si="12"/>
        <v>2697.5508334352203</v>
      </c>
      <c r="R29" s="130">
        <f t="shared" ref="R29:W29" si="13">SUM(R30:R33)</f>
        <v>2852.5798238058469</v>
      </c>
      <c r="S29" s="130">
        <f t="shared" si="13"/>
        <v>2790.8526019174174</v>
      </c>
      <c r="T29" s="130">
        <f t="shared" si="13"/>
        <v>2537.1945487913295</v>
      </c>
      <c r="U29" s="130">
        <f t="shared" si="13"/>
        <v>2536.732847710231</v>
      </c>
      <c r="V29" s="130">
        <f t="shared" si="13"/>
        <v>2537.704664609575</v>
      </c>
      <c r="W29" s="130">
        <f t="shared" si="13"/>
        <v>2511.9260262847838</v>
      </c>
      <c r="X29" s="130">
        <f t="shared" ref="X29:Y29" si="14">SUM(X30:X33)</f>
        <v>2241.5802139537691</v>
      </c>
      <c r="Y29" s="130">
        <f t="shared" si="14"/>
        <v>2276.0365302151831</v>
      </c>
      <c r="DA29" s="155" t="s">
        <v>237</v>
      </c>
    </row>
    <row r="30" spans="1:105" ht="12" customHeight="1" x14ac:dyDescent="0.25">
      <c r="A30" s="131" t="s">
        <v>52</v>
      </c>
      <c r="B30" s="132">
        <v>469.43903423122475</v>
      </c>
      <c r="C30" s="132">
        <v>517.1374704465851</v>
      </c>
      <c r="D30" s="132">
        <v>516.08987396701229</v>
      </c>
      <c r="E30" s="132">
        <v>506.51903703591319</v>
      </c>
      <c r="F30" s="132">
        <v>533.43321119214943</v>
      </c>
      <c r="G30" s="132">
        <v>486.24219177687075</v>
      </c>
      <c r="H30" s="132">
        <v>436.37999166942586</v>
      </c>
      <c r="I30" s="132">
        <v>448.96673910801297</v>
      </c>
      <c r="J30" s="132">
        <v>467.91664462649021</v>
      </c>
      <c r="K30" s="132">
        <v>414.79062727652951</v>
      </c>
      <c r="L30" s="132">
        <v>407.63212214739201</v>
      </c>
      <c r="M30" s="132">
        <v>374.57936164875321</v>
      </c>
      <c r="N30" s="132">
        <v>350.4400044501748</v>
      </c>
      <c r="O30" s="132">
        <v>328.92680314654632</v>
      </c>
      <c r="P30" s="132">
        <v>225.95986763029455</v>
      </c>
      <c r="Q30" s="132">
        <v>364.50988801753982</v>
      </c>
      <c r="R30" s="132">
        <v>505.93508555372222</v>
      </c>
      <c r="S30" s="132">
        <v>410.51893975374389</v>
      </c>
      <c r="T30" s="132">
        <v>463.17136594837723</v>
      </c>
      <c r="U30" s="132">
        <v>385.97592330169482</v>
      </c>
      <c r="V30" s="132">
        <v>240.25950629326752</v>
      </c>
      <c r="W30" s="132">
        <v>282.12275446524137</v>
      </c>
      <c r="X30" s="132">
        <v>355.01561954086986</v>
      </c>
      <c r="Y30" s="132">
        <v>543.97231365935716</v>
      </c>
      <c r="DA30" s="156" t="s">
        <v>379</v>
      </c>
    </row>
    <row r="31" spans="1:105" ht="12" customHeight="1" x14ac:dyDescent="0.25">
      <c r="A31" s="131" t="s">
        <v>149</v>
      </c>
      <c r="B31" s="132">
        <v>367.30795168634324</v>
      </c>
      <c r="C31" s="132">
        <v>453.71211311761192</v>
      </c>
      <c r="D31" s="132">
        <v>399.10224998701904</v>
      </c>
      <c r="E31" s="132">
        <v>349.33691009349985</v>
      </c>
      <c r="F31" s="132">
        <v>572.90483839535671</v>
      </c>
      <c r="G31" s="132">
        <v>645.43936437711159</v>
      </c>
      <c r="H31" s="132">
        <v>752.4031253791793</v>
      </c>
      <c r="I31" s="132">
        <v>772.18089252357947</v>
      </c>
      <c r="J31" s="132">
        <v>830.32723279053471</v>
      </c>
      <c r="K31" s="132">
        <v>852.19598231687155</v>
      </c>
      <c r="L31" s="132">
        <v>911.14206861593243</v>
      </c>
      <c r="M31" s="132">
        <v>955.08293056054276</v>
      </c>
      <c r="N31" s="132">
        <v>1043.964180163759</v>
      </c>
      <c r="O31" s="132">
        <v>1216.4398287804825</v>
      </c>
      <c r="P31" s="132">
        <v>2148.4055831136993</v>
      </c>
      <c r="Q31" s="132">
        <v>2333.0409454176806</v>
      </c>
      <c r="R31" s="132">
        <v>2346.6447382521246</v>
      </c>
      <c r="S31" s="132">
        <v>2380.3336621636736</v>
      </c>
      <c r="T31" s="132">
        <v>2074.0231828429523</v>
      </c>
      <c r="U31" s="132">
        <v>2150.7569244085362</v>
      </c>
      <c r="V31" s="132">
        <v>2297.4451583163077</v>
      </c>
      <c r="W31" s="132">
        <v>2229.8032718195423</v>
      </c>
      <c r="X31" s="132">
        <v>1886.5645944128992</v>
      </c>
      <c r="Y31" s="132">
        <v>1732.0642165558259</v>
      </c>
      <c r="DA31" s="156" t="s">
        <v>380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381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382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>
        <f>IF(SER_hh_fec!B3=0,0,11630*1000*SER_hh_fec!B3/SER_hh_num!B3)</f>
        <v>26773.952370971729</v>
      </c>
      <c r="C3" s="125">
        <f>IF(SER_hh_fec!C3=0,0,11630*1000*SER_hh_fec!C3/SER_hh_num!C3)</f>
        <v>26892.781176241046</v>
      </c>
      <c r="D3" s="125">
        <f>IF(SER_hh_fec!D3=0,0,11630*1000*SER_hh_fec!D3/SER_hh_num!D3)</f>
        <v>26056.262577995469</v>
      </c>
      <c r="E3" s="125">
        <f>IF(SER_hh_fec!E3=0,0,11630*1000*SER_hh_fec!E3/SER_hh_num!E3)</f>
        <v>24378.76305869281</v>
      </c>
      <c r="F3" s="125">
        <f>IF(SER_hh_fec!F3=0,0,11630*1000*SER_hh_fec!F3/SER_hh_num!F3)</f>
        <v>25984.620111620559</v>
      </c>
      <c r="G3" s="125">
        <f>IF(SER_hh_fec!G3=0,0,11630*1000*SER_hh_fec!G3/SER_hh_num!G3)</f>
        <v>27606.629395911597</v>
      </c>
      <c r="H3" s="125">
        <f>IF(SER_hh_fec!H3=0,0,11630*1000*SER_hh_fec!H3/SER_hh_num!H3)</f>
        <v>36347.762897187575</v>
      </c>
      <c r="I3" s="125">
        <f>IF(SER_hh_fec!I3=0,0,11630*1000*SER_hh_fec!I3/SER_hh_num!I3)</f>
        <v>29058.670441275841</v>
      </c>
      <c r="J3" s="125">
        <f>IF(SER_hh_fec!J3=0,0,11630*1000*SER_hh_fec!J3/SER_hh_num!J3)</f>
        <v>29166.261237251547</v>
      </c>
      <c r="K3" s="125">
        <f>IF(SER_hh_fec!K3=0,0,11630*1000*SER_hh_fec!K3/SER_hh_num!K3)</f>
        <v>31128.055871955799</v>
      </c>
      <c r="L3" s="125">
        <f>IF(SER_hh_fec!L3=0,0,11630*1000*SER_hh_fec!L3/SER_hh_num!L3)</f>
        <v>33869.683293970309</v>
      </c>
      <c r="M3" s="125">
        <f>IF(SER_hh_fec!M3=0,0,11630*1000*SER_hh_fec!M3/SER_hh_num!M3)</f>
        <v>33481.785782367122</v>
      </c>
      <c r="N3" s="125">
        <f>IF(SER_hh_fec!N3=0,0,11630*1000*SER_hh_fec!N3/SER_hh_num!N3)</f>
        <v>30875.792978611506</v>
      </c>
      <c r="O3" s="125">
        <f>IF(SER_hh_fec!O3=0,0,11630*1000*SER_hh_fec!O3/SER_hh_num!O3)</f>
        <v>28864.482676968481</v>
      </c>
      <c r="P3" s="125">
        <f>IF(SER_hh_fec!P3=0,0,11630*1000*SER_hh_fec!P3/SER_hh_num!P3)</f>
        <v>24086.162060631614</v>
      </c>
      <c r="Q3" s="125">
        <f>IF(SER_hh_fec!Q3=0,0,11630*1000*SER_hh_fec!Q3/SER_hh_num!Q3)</f>
        <v>24733.124101116871</v>
      </c>
      <c r="R3" s="125">
        <f>IF(SER_hh_fec!R3=0,0,11630*1000*SER_hh_fec!R3/SER_hh_num!R3)</f>
        <v>24913.57741333012</v>
      </c>
      <c r="S3" s="125">
        <f>IF(SER_hh_fec!S3=0,0,11630*1000*SER_hh_fec!S3/SER_hh_num!S3)</f>
        <v>26048.244578290229</v>
      </c>
      <c r="T3" s="125">
        <f>IF(SER_hh_fec!T3=0,0,11630*1000*SER_hh_fec!T3/SER_hh_num!T3)</f>
        <v>26205.429708829546</v>
      </c>
      <c r="U3" s="125">
        <f>IF(SER_hh_fec!U3=0,0,11630*1000*SER_hh_fec!U3/SER_hh_num!U3)</f>
        <v>26104.141274496997</v>
      </c>
      <c r="V3" s="125">
        <f>IF(SER_hh_fec!V3=0,0,11630*1000*SER_hh_fec!V3/SER_hh_num!V3)</f>
        <v>23572.358686528052</v>
      </c>
      <c r="W3" s="125">
        <f>IF(SER_hh_fec!W3=0,0,11630*1000*SER_hh_fec!W3/SER_hh_num!W3)</f>
        <v>25540.4182213942</v>
      </c>
      <c r="X3" s="125">
        <f>IF(SER_hh_fec!X3=0,0,11630*1000*SER_hh_fec!X3/SER_hh_num!X3)</f>
        <v>24878.223431952134</v>
      </c>
      <c r="Y3" s="125">
        <f>IF(SER_hh_fec!Y3=0,0,11630*1000*SER_hh_fec!Y3/SER_hh_num!Y3)</f>
        <v>25108.562298919325</v>
      </c>
      <c r="DA3" s="154" t="s">
        <v>384</v>
      </c>
    </row>
    <row r="4" spans="1:105" ht="12.95" customHeight="1" x14ac:dyDescent="0.25">
      <c r="A4" s="129" t="s">
        <v>32</v>
      </c>
      <c r="B4" s="130">
        <f>IF(SER_hh_fec!B4=0,0,11630*1000*SER_hh_fec!B4/SER_hh_num!B4)</f>
        <v>12694.482714424599</v>
      </c>
      <c r="C4" s="130">
        <f>IF(SER_hh_fec!C4=0,0,11630*1000*SER_hh_fec!C4/SER_hh_num!C4)</f>
        <v>12260.656198192162</v>
      </c>
      <c r="D4" s="130">
        <f>IF(SER_hh_fec!D4=0,0,11630*1000*SER_hh_fec!D4/SER_hh_num!D4)</f>
        <v>11570.694059364905</v>
      </c>
      <c r="E4" s="130">
        <f>IF(SER_hh_fec!E4=0,0,11630*1000*SER_hh_fec!E4/SER_hh_num!E4)</f>
        <v>9531.2453391161471</v>
      </c>
      <c r="F4" s="130">
        <f>IF(SER_hh_fec!F4=0,0,11630*1000*SER_hh_fec!F4/SER_hh_num!F4)</f>
        <v>10604.64758366139</v>
      </c>
      <c r="G4" s="130">
        <f>IF(SER_hh_fec!G4=0,0,11630*1000*SER_hh_fec!G4/SER_hh_num!G4)</f>
        <v>12006.28160211557</v>
      </c>
      <c r="H4" s="130">
        <f>IF(SER_hh_fec!H4=0,0,11630*1000*SER_hh_fec!H4/SER_hh_num!H4)</f>
        <v>19688.785578188541</v>
      </c>
      <c r="I4" s="130">
        <f>IF(SER_hh_fec!I4=0,0,11630*1000*SER_hh_fec!I4/SER_hh_num!I4)</f>
        <v>12986.674842224051</v>
      </c>
      <c r="J4" s="130">
        <f>IF(SER_hh_fec!J4=0,0,11630*1000*SER_hh_fec!J4/SER_hh_num!J4)</f>
        <v>12661.023897613297</v>
      </c>
      <c r="K4" s="130">
        <f>IF(SER_hh_fec!K4=0,0,11630*1000*SER_hh_fec!K4/SER_hh_num!K4)</f>
        <v>13481.546704172559</v>
      </c>
      <c r="L4" s="130">
        <f>IF(SER_hh_fec!L4=0,0,11630*1000*SER_hh_fec!L4/SER_hh_num!L4)</f>
        <v>16116.783022060106</v>
      </c>
      <c r="M4" s="130">
        <f>IF(SER_hh_fec!M4=0,0,11630*1000*SER_hh_fec!M4/SER_hh_num!M4)</f>
        <v>15954.277784674437</v>
      </c>
      <c r="N4" s="130">
        <f>IF(SER_hh_fec!N4=0,0,11630*1000*SER_hh_fec!N4/SER_hh_num!N4)</f>
        <v>12904.190906320277</v>
      </c>
      <c r="O4" s="130">
        <f>IF(SER_hh_fec!O4=0,0,11630*1000*SER_hh_fec!O4/SER_hh_num!O4)</f>
        <v>11514.889719472289</v>
      </c>
      <c r="P4" s="130">
        <f>IF(SER_hh_fec!P4=0,0,11630*1000*SER_hh_fec!P4/SER_hh_num!P4)</f>
        <v>6888.3485851091637</v>
      </c>
      <c r="Q4" s="130">
        <f>IF(SER_hh_fec!Q4=0,0,11630*1000*SER_hh_fec!Q4/SER_hh_num!Q4)</f>
        <v>6439.7973124734954</v>
      </c>
      <c r="R4" s="130">
        <f>IF(SER_hh_fec!R4=0,0,11630*1000*SER_hh_fec!R4/SER_hh_num!R4)</f>
        <v>7130.8960340754629</v>
      </c>
      <c r="S4" s="130">
        <f>IF(SER_hh_fec!S4=0,0,11630*1000*SER_hh_fec!S4/SER_hh_num!S4)</f>
        <v>7807.6112028042071</v>
      </c>
      <c r="T4" s="130">
        <f>IF(SER_hh_fec!T4=0,0,11630*1000*SER_hh_fec!T4/SER_hh_num!T4)</f>
        <v>9151.1164842169273</v>
      </c>
      <c r="U4" s="130">
        <f>IF(SER_hh_fec!U4=0,0,11630*1000*SER_hh_fec!U4/SER_hh_num!U4)</f>
        <v>9037.145129885801</v>
      </c>
      <c r="V4" s="130">
        <f>IF(SER_hh_fec!V4=0,0,11630*1000*SER_hh_fec!V4/SER_hh_num!V4)</f>
        <v>8203.5615867908909</v>
      </c>
      <c r="W4" s="130">
        <f>IF(SER_hh_fec!W4=0,0,11630*1000*SER_hh_fec!W4/SER_hh_num!W4)</f>
        <v>9520.1052323563599</v>
      </c>
      <c r="X4" s="130">
        <f>IF(SER_hh_fec!X4=0,0,11630*1000*SER_hh_fec!X4/SER_hh_num!X4)</f>
        <v>9097.979395011329</v>
      </c>
      <c r="Y4" s="130">
        <f>IF(SER_hh_fec!Y4=0,0,11630*1000*SER_hh_fec!Y4/SER_hh_num!Y4)</f>
        <v>8481.5778250643507</v>
      </c>
      <c r="DA4" s="155" t="s">
        <v>385</v>
      </c>
    </row>
    <row r="5" spans="1:105" ht="12" customHeight="1" x14ac:dyDescent="0.25">
      <c r="A5" s="131" t="s">
        <v>29</v>
      </c>
      <c r="B5" s="132">
        <f>IF(SER_hh_fec!B5=0,0,11630*1000*SER_hh_fec!B5/SER_hh_num!B5)</f>
        <v>0</v>
      </c>
      <c r="C5" s="132">
        <f>IF(SER_hh_fec!C5=0,0,11630*1000*SER_hh_fec!C5/SER_hh_num!C5)</f>
        <v>0</v>
      </c>
      <c r="D5" s="132">
        <f>IF(SER_hh_fec!D5=0,0,11630*1000*SER_hh_fec!D5/SER_hh_num!D5)</f>
        <v>0</v>
      </c>
      <c r="E5" s="132">
        <f>IF(SER_hh_fec!E5=0,0,11630*1000*SER_hh_fec!E5/SER_hh_num!E5)</f>
        <v>0</v>
      </c>
      <c r="F5" s="132">
        <f>IF(SER_hh_fec!F5=0,0,11630*1000*SER_hh_fec!F5/SER_hh_num!F5)</f>
        <v>0</v>
      </c>
      <c r="G5" s="132">
        <f>IF(SER_hh_fec!G5=0,0,11630*1000*SER_hh_fec!G5/SER_hh_num!G5)</f>
        <v>0</v>
      </c>
      <c r="H5" s="132">
        <f>IF(SER_hh_fec!H5=0,0,11630*1000*SER_hh_fec!H5/SER_hh_num!H5)</f>
        <v>0</v>
      </c>
      <c r="I5" s="132">
        <f>IF(SER_hh_fec!I5=0,0,11630*1000*SER_hh_fec!I5/SER_hh_num!I5)</f>
        <v>0</v>
      </c>
      <c r="J5" s="132">
        <f>IF(SER_hh_fec!J5=0,0,11630*1000*SER_hh_fec!J5/SER_hh_num!J5)</f>
        <v>0</v>
      </c>
      <c r="K5" s="132">
        <f>IF(SER_hh_fec!K5=0,0,11630*1000*SER_hh_fec!K5/SER_hh_num!K5)</f>
        <v>0</v>
      </c>
      <c r="L5" s="132">
        <f>IF(SER_hh_fec!L5=0,0,11630*1000*SER_hh_fec!L5/SER_hh_num!L5)</f>
        <v>0</v>
      </c>
      <c r="M5" s="132">
        <f>IF(SER_hh_fec!M5=0,0,11630*1000*SER_hh_fec!M5/SER_hh_num!M5)</f>
        <v>0</v>
      </c>
      <c r="N5" s="132">
        <f>IF(SER_hh_fec!N5=0,0,11630*1000*SER_hh_fec!N5/SER_hh_num!N5)</f>
        <v>0</v>
      </c>
      <c r="O5" s="132">
        <f>IF(SER_hh_fec!O5=0,0,11630*1000*SER_hh_fec!O5/SER_hh_num!O5)</f>
        <v>0</v>
      </c>
      <c r="P5" s="132">
        <f>IF(SER_hh_fec!P5=0,0,11630*1000*SER_hh_fec!P5/SER_hh_num!P5)</f>
        <v>0</v>
      </c>
      <c r="Q5" s="132">
        <f>IF(SER_hh_fec!Q5=0,0,11630*1000*SER_hh_fec!Q5/SER_hh_num!Q5)</f>
        <v>0</v>
      </c>
      <c r="R5" s="132">
        <f>IF(SER_hh_fec!R5=0,0,11630*1000*SER_hh_fec!R5/SER_hh_num!R5)</f>
        <v>0</v>
      </c>
      <c r="S5" s="132">
        <f>IF(SER_hh_fec!S5=0,0,11630*1000*SER_hh_fec!S5/SER_hh_num!S5)</f>
        <v>0</v>
      </c>
      <c r="T5" s="132">
        <f>IF(SER_hh_fec!T5=0,0,11630*1000*SER_hh_fec!T5/SER_hh_num!T5)</f>
        <v>0</v>
      </c>
      <c r="U5" s="132">
        <f>IF(SER_hh_fec!U5=0,0,11630*1000*SER_hh_fec!U5/SER_hh_num!U5)</f>
        <v>0</v>
      </c>
      <c r="V5" s="132">
        <f>IF(SER_hh_fec!V5=0,0,11630*1000*SER_hh_fec!V5/SER_hh_num!V5)</f>
        <v>0</v>
      </c>
      <c r="W5" s="132">
        <f>IF(SER_hh_fec!W5=0,0,11630*1000*SER_hh_fec!W5/SER_hh_num!W5)</f>
        <v>0</v>
      </c>
      <c r="X5" s="132">
        <f>IF(SER_hh_fec!X5=0,0,11630*1000*SER_hh_fec!X5/SER_hh_num!X5)</f>
        <v>0</v>
      </c>
      <c r="Y5" s="132">
        <f>IF(SER_hh_fec!Y5=0,0,11630*1000*SER_hh_fec!Y5/SER_hh_num!Y5)</f>
        <v>0</v>
      </c>
      <c r="DA5" s="156" t="s">
        <v>386</v>
      </c>
    </row>
    <row r="6" spans="1:105" ht="12" customHeight="1" x14ac:dyDescent="0.25">
      <c r="A6" s="131" t="s">
        <v>52</v>
      </c>
      <c r="B6" s="132">
        <f>IF(SER_hh_fec!B6=0,0,11630*1000*SER_hh_fec!B6/SER_hh_num!B6)</f>
        <v>0</v>
      </c>
      <c r="C6" s="132">
        <f>IF(SER_hh_fec!C6=0,0,11630*1000*SER_hh_fec!C6/SER_hh_num!C6)</f>
        <v>0</v>
      </c>
      <c r="D6" s="132">
        <f>IF(SER_hh_fec!D6=0,0,11630*1000*SER_hh_fec!D6/SER_hh_num!D6)</f>
        <v>0</v>
      </c>
      <c r="E6" s="132">
        <f>IF(SER_hh_fec!E6=0,0,11630*1000*SER_hh_fec!E6/SER_hh_num!E6)</f>
        <v>0</v>
      </c>
      <c r="F6" s="132">
        <f>IF(SER_hh_fec!F6=0,0,11630*1000*SER_hh_fec!F6/SER_hh_num!F6)</f>
        <v>0</v>
      </c>
      <c r="G6" s="132">
        <f>IF(SER_hh_fec!G6=0,0,11630*1000*SER_hh_fec!G6/SER_hh_num!G6)</f>
        <v>0</v>
      </c>
      <c r="H6" s="132">
        <f>IF(SER_hh_fec!H6=0,0,11630*1000*SER_hh_fec!H6/SER_hh_num!H6)</f>
        <v>0</v>
      </c>
      <c r="I6" s="132">
        <f>IF(SER_hh_fec!I6=0,0,11630*1000*SER_hh_fec!I6/SER_hh_num!I6)</f>
        <v>0</v>
      </c>
      <c r="J6" s="132">
        <f>IF(SER_hh_fec!J6=0,0,11630*1000*SER_hh_fec!J6/SER_hh_num!J6)</f>
        <v>0</v>
      </c>
      <c r="K6" s="132">
        <f>IF(SER_hh_fec!K6=0,0,11630*1000*SER_hh_fec!K6/SER_hh_num!K6)</f>
        <v>0</v>
      </c>
      <c r="L6" s="132">
        <f>IF(SER_hh_fec!L6=0,0,11630*1000*SER_hh_fec!L6/SER_hh_num!L6)</f>
        <v>0</v>
      </c>
      <c r="M6" s="132">
        <f>IF(SER_hh_fec!M6=0,0,11630*1000*SER_hh_fec!M6/SER_hh_num!M6)</f>
        <v>0</v>
      </c>
      <c r="N6" s="132">
        <f>IF(SER_hh_fec!N6=0,0,11630*1000*SER_hh_fec!N6/SER_hh_num!N6)</f>
        <v>0</v>
      </c>
      <c r="O6" s="132">
        <f>IF(SER_hh_fec!O6=0,0,11630*1000*SER_hh_fec!O6/SER_hh_num!O6)</f>
        <v>0</v>
      </c>
      <c r="P6" s="132">
        <f>IF(SER_hh_fec!P6=0,0,11630*1000*SER_hh_fec!P6/SER_hh_num!P6)</f>
        <v>0</v>
      </c>
      <c r="Q6" s="132">
        <f>IF(SER_hh_fec!Q6=0,0,11630*1000*SER_hh_fec!Q6/SER_hh_num!Q6)</f>
        <v>0</v>
      </c>
      <c r="R6" s="132">
        <f>IF(SER_hh_fec!R6=0,0,11630*1000*SER_hh_fec!R6/SER_hh_num!R6)</f>
        <v>0</v>
      </c>
      <c r="S6" s="132">
        <f>IF(SER_hh_fec!S6=0,0,11630*1000*SER_hh_fec!S6/SER_hh_num!S6)</f>
        <v>0</v>
      </c>
      <c r="T6" s="132">
        <f>IF(SER_hh_fec!T6=0,0,11630*1000*SER_hh_fec!T6/SER_hh_num!T6)</f>
        <v>0</v>
      </c>
      <c r="U6" s="132">
        <f>IF(SER_hh_fec!U6=0,0,11630*1000*SER_hh_fec!U6/SER_hh_num!U6)</f>
        <v>0</v>
      </c>
      <c r="V6" s="132">
        <f>IF(SER_hh_fec!V6=0,0,11630*1000*SER_hh_fec!V6/SER_hh_num!V6)</f>
        <v>0</v>
      </c>
      <c r="W6" s="132">
        <f>IF(SER_hh_fec!W6=0,0,11630*1000*SER_hh_fec!W6/SER_hh_num!W6)</f>
        <v>0</v>
      </c>
      <c r="X6" s="132">
        <f>IF(SER_hh_fec!X6=0,0,11630*1000*SER_hh_fec!X6/SER_hh_num!X6)</f>
        <v>0</v>
      </c>
      <c r="Y6" s="132">
        <f>IF(SER_hh_fec!Y6=0,0,11630*1000*SER_hh_fec!Y6/SER_hh_num!Y6)</f>
        <v>0</v>
      </c>
      <c r="DA6" s="156" t="s">
        <v>387</v>
      </c>
    </row>
    <row r="7" spans="1:105" ht="12" customHeight="1" x14ac:dyDescent="0.25">
      <c r="A7" s="131" t="s">
        <v>161</v>
      </c>
      <c r="B7" s="132">
        <f>IF(SER_hh_fec!B7=0,0,11630*1000*SER_hh_fec!B7/SER_hh_num!B7)</f>
        <v>13572.0609541991</v>
      </c>
      <c r="C7" s="132">
        <f>IF(SER_hh_fec!C7=0,0,11630*1000*SER_hh_fec!C7/SER_hh_num!C7)</f>
        <v>13251.009722925819</v>
      </c>
      <c r="D7" s="132">
        <f>IF(SER_hh_fec!D7=0,0,11630*1000*SER_hh_fec!D7/SER_hh_num!D7)</f>
        <v>11029.591862546391</v>
      </c>
      <c r="E7" s="132">
        <f>IF(SER_hh_fec!E7=0,0,11630*1000*SER_hh_fec!E7/SER_hh_num!E7)</f>
        <v>11143.301005758998</v>
      </c>
      <c r="F7" s="132">
        <f>IF(SER_hh_fec!F7=0,0,11630*1000*SER_hh_fec!F7/SER_hh_num!F7)</f>
        <v>12443.807173295399</v>
      </c>
      <c r="G7" s="132">
        <f>IF(SER_hh_fec!G7=0,0,11630*1000*SER_hh_fec!G7/SER_hh_num!G7)</f>
        <v>14296.357771915295</v>
      </c>
      <c r="H7" s="132">
        <f>IF(SER_hh_fec!H7=0,0,11630*1000*SER_hh_fec!H7/SER_hh_num!H7)</f>
        <v>13869.845539812248</v>
      </c>
      <c r="I7" s="132">
        <f>IF(SER_hh_fec!I7=0,0,11630*1000*SER_hh_fec!I7/SER_hh_num!I7)</f>
        <v>14600.956690615078</v>
      </c>
      <c r="J7" s="132">
        <f>IF(SER_hh_fec!J7=0,0,11630*1000*SER_hh_fec!J7/SER_hh_num!J7)</f>
        <v>15807.988019688084</v>
      </c>
      <c r="K7" s="132">
        <f>IF(SER_hh_fec!K7=0,0,11630*1000*SER_hh_fec!K7/SER_hh_num!K7)</f>
        <v>17776.106995972485</v>
      </c>
      <c r="L7" s="132">
        <f>IF(SER_hh_fec!L7=0,0,11630*1000*SER_hh_fec!L7/SER_hh_num!L7)</f>
        <v>17526.292967577443</v>
      </c>
      <c r="M7" s="132">
        <f>IF(SER_hh_fec!M7=0,0,11630*1000*SER_hh_fec!M7/SER_hh_num!M7)</f>
        <v>14700.212061600552</v>
      </c>
      <c r="N7" s="132">
        <f>IF(SER_hh_fec!N7=0,0,11630*1000*SER_hh_fec!N7/SER_hh_num!N7)</f>
        <v>14357.671568937518</v>
      </c>
      <c r="O7" s="132">
        <f>IF(SER_hh_fec!O7=0,0,11630*1000*SER_hh_fec!O7/SER_hh_num!O7)</f>
        <v>13899.291013969359</v>
      </c>
      <c r="P7" s="132">
        <f>IF(SER_hh_fec!P7=0,0,11630*1000*SER_hh_fec!P7/SER_hh_num!P7)</f>
        <v>10465.688183879602</v>
      </c>
      <c r="Q7" s="132">
        <f>IF(SER_hh_fec!Q7=0,0,11630*1000*SER_hh_fec!Q7/SER_hh_num!Q7)</f>
        <v>7494.5741204986343</v>
      </c>
      <c r="R7" s="132">
        <f>IF(SER_hh_fec!R7=0,0,11630*1000*SER_hh_fec!R7/SER_hh_num!R7)</f>
        <v>9872.9011316812539</v>
      </c>
      <c r="S7" s="132">
        <f>IF(SER_hh_fec!S7=0,0,11630*1000*SER_hh_fec!S7/SER_hh_num!S7)</f>
        <v>11527.95525177956</v>
      </c>
      <c r="T7" s="132">
        <f>IF(SER_hh_fec!T7=0,0,11630*1000*SER_hh_fec!T7/SER_hh_num!T7)</f>
        <v>12831.321406237414</v>
      </c>
      <c r="U7" s="132">
        <f>IF(SER_hh_fec!U7=0,0,11630*1000*SER_hh_fec!U7/SER_hh_num!U7)</f>
        <v>13001.518299938787</v>
      </c>
      <c r="V7" s="132">
        <f>IF(SER_hh_fec!V7=0,0,11630*1000*SER_hh_fec!V7/SER_hh_num!V7)</f>
        <v>13121.162238988216</v>
      </c>
      <c r="W7" s="132">
        <f>IF(SER_hh_fec!W7=0,0,11630*1000*SER_hh_fec!W7/SER_hh_num!W7)</f>
        <v>15876.527007231498</v>
      </c>
      <c r="X7" s="132">
        <f>IF(SER_hh_fec!X7=0,0,11630*1000*SER_hh_fec!X7/SER_hh_num!X7)</f>
        <v>16777.369668492316</v>
      </c>
      <c r="Y7" s="132">
        <f>IF(SER_hh_fec!Y7=0,0,11630*1000*SER_hh_fec!Y7/SER_hh_num!Y7)</f>
        <v>14554.56761030817</v>
      </c>
      <c r="DA7" s="156" t="s">
        <v>388</v>
      </c>
    </row>
    <row r="8" spans="1:105" ht="12" customHeight="1" x14ac:dyDescent="0.25">
      <c r="A8" s="131" t="s">
        <v>73</v>
      </c>
      <c r="B8" s="132">
        <f>IF(SER_hh_fec!B8=0,0,11630*1000*SER_hh_fec!B8/SER_hh_num!B8)</f>
        <v>4644.373635806769</v>
      </c>
      <c r="C8" s="132">
        <f>IF(SER_hh_fec!C8=0,0,11630*1000*SER_hh_fec!C8/SER_hh_num!C8)</f>
        <v>4637.7918788416628</v>
      </c>
      <c r="D8" s="132">
        <f>IF(SER_hh_fec!D8=0,0,11630*1000*SER_hh_fec!D8/SER_hh_num!D8)</f>
        <v>3888.6090402735226</v>
      </c>
      <c r="E8" s="132">
        <f>IF(SER_hh_fec!E8=0,0,11630*1000*SER_hh_fec!E8/SER_hh_num!E8)</f>
        <v>2504.815763686031</v>
      </c>
      <c r="F8" s="132">
        <f>IF(SER_hh_fec!F8=0,0,11630*1000*SER_hh_fec!F8/SER_hh_num!F8)</f>
        <v>2504.1718443466398</v>
      </c>
      <c r="G8" s="132">
        <f>IF(SER_hh_fec!G8=0,0,11630*1000*SER_hh_fec!G8/SER_hh_num!G8)</f>
        <v>3521.3672611697721</v>
      </c>
      <c r="H8" s="132">
        <f>IF(SER_hh_fec!H8=0,0,11630*1000*SER_hh_fec!H8/SER_hh_num!H8)</f>
        <v>5190.2137828971427</v>
      </c>
      <c r="I8" s="132">
        <f>IF(SER_hh_fec!I8=0,0,11630*1000*SER_hh_fec!I8/SER_hh_num!I8)</f>
        <v>4313.8582274249075</v>
      </c>
      <c r="J8" s="132">
        <f>IF(SER_hh_fec!J8=0,0,11630*1000*SER_hh_fec!J8/SER_hh_num!J8)</f>
        <v>4036.8551746164717</v>
      </c>
      <c r="K8" s="132">
        <f>IF(SER_hh_fec!K8=0,0,11630*1000*SER_hh_fec!K8/SER_hh_num!K8)</f>
        <v>3637.3243237634101</v>
      </c>
      <c r="L8" s="132">
        <f>IF(SER_hh_fec!L8=0,0,11630*1000*SER_hh_fec!L8/SER_hh_num!L8)</f>
        <v>3037.1199968613569</v>
      </c>
      <c r="M8" s="132">
        <f>IF(SER_hh_fec!M8=0,0,11630*1000*SER_hh_fec!M8/SER_hh_num!M8)</f>
        <v>2853.8224089713904</v>
      </c>
      <c r="N8" s="132">
        <f>IF(SER_hh_fec!N8=0,0,11630*1000*SER_hh_fec!N8/SER_hh_num!N8)</f>
        <v>2040.893112084558</v>
      </c>
      <c r="O8" s="132">
        <f>IF(SER_hh_fec!O8=0,0,11630*1000*SER_hh_fec!O8/SER_hh_num!O8)</f>
        <v>1901.8761097519791</v>
      </c>
      <c r="P8" s="132">
        <f>IF(SER_hh_fec!P8=0,0,11630*1000*SER_hh_fec!P8/SER_hh_num!P8)</f>
        <v>1875.7599750190418</v>
      </c>
      <c r="Q8" s="132">
        <f>IF(SER_hh_fec!Q8=0,0,11630*1000*SER_hh_fec!Q8/SER_hh_num!Q8)</f>
        <v>1773.1439156072061</v>
      </c>
      <c r="R8" s="132">
        <f>IF(SER_hh_fec!R8=0,0,11630*1000*SER_hh_fec!R8/SER_hh_num!R8)</f>
        <v>2038.9119920621117</v>
      </c>
      <c r="S8" s="132">
        <f>IF(SER_hh_fec!S8=0,0,11630*1000*SER_hh_fec!S8/SER_hh_num!S8)</f>
        <v>2242.571379839088</v>
      </c>
      <c r="T8" s="132">
        <f>IF(SER_hh_fec!T8=0,0,11630*1000*SER_hh_fec!T8/SER_hh_num!T8)</f>
        <v>2227.9504723211717</v>
      </c>
      <c r="U8" s="132">
        <f>IF(SER_hh_fec!U8=0,0,11630*1000*SER_hh_fec!U8/SER_hh_num!U8)</f>
        <v>3182.1464253923946</v>
      </c>
      <c r="V8" s="132">
        <f>IF(SER_hh_fec!V8=0,0,11630*1000*SER_hh_fec!V8/SER_hh_num!V8)</f>
        <v>2485.3073878027903</v>
      </c>
      <c r="W8" s="132">
        <f>IF(SER_hh_fec!W8=0,0,11630*1000*SER_hh_fec!W8/SER_hh_num!W8)</f>
        <v>2977.4081036072844</v>
      </c>
      <c r="X8" s="132">
        <f>IF(SER_hh_fec!X8=0,0,11630*1000*SER_hh_fec!X8/SER_hh_num!X8)</f>
        <v>3043.3635886873644</v>
      </c>
      <c r="Y8" s="132">
        <f>IF(SER_hh_fec!Y8=0,0,11630*1000*SER_hh_fec!Y8/SER_hh_num!Y8)</f>
        <v>3349.675941120795</v>
      </c>
      <c r="DA8" s="156" t="s">
        <v>389</v>
      </c>
    </row>
    <row r="9" spans="1:105" ht="12" customHeight="1" x14ac:dyDescent="0.25">
      <c r="A9" s="131" t="s">
        <v>78</v>
      </c>
      <c r="B9" s="132">
        <f>IF(SER_hh_fec!B9=0,0,11630*1000*SER_hh_fec!B9/SER_hh_num!B9)</f>
        <v>9487.4864641061667</v>
      </c>
      <c r="C9" s="132">
        <f>IF(SER_hh_fec!C9=0,0,11630*1000*SER_hh_fec!C9/SER_hh_num!C9)</f>
        <v>11796.497353899955</v>
      </c>
      <c r="D9" s="132">
        <f>IF(SER_hh_fec!D9=0,0,11630*1000*SER_hh_fec!D9/SER_hh_num!D9)</f>
        <v>17621.539041301938</v>
      </c>
      <c r="E9" s="132">
        <f>IF(SER_hh_fec!E9=0,0,11630*1000*SER_hh_fec!E9/SER_hh_num!E9)</f>
        <v>1537.8206675377185</v>
      </c>
      <c r="F9" s="132">
        <f>IF(SER_hh_fec!F9=0,0,11630*1000*SER_hh_fec!F9/SER_hh_num!F9)</f>
        <v>1838.4781474999354</v>
      </c>
      <c r="G9" s="132">
        <f>IF(SER_hh_fec!G9=0,0,11630*1000*SER_hh_fec!G9/SER_hh_num!G9)</f>
        <v>9269.9600573060834</v>
      </c>
      <c r="H9" s="132">
        <f>IF(SER_hh_fec!H9=0,0,11630*1000*SER_hh_fec!H9/SER_hh_num!H9)</f>
        <v>29146.684251952778</v>
      </c>
      <c r="I9" s="132">
        <f>IF(SER_hh_fec!I9=0,0,11630*1000*SER_hh_fec!I9/SER_hh_num!I9)</f>
        <v>13642.258461450256</v>
      </c>
      <c r="J9" s="132">
        <f>IF(SER_hh_fec!J9=0,0,11630*1000*SER_hh_fec!J9/SER_hh_num!J9)</f>
        <v>10052.428259717548</v>
      </c>
      <c r="K9" s="132">
        <f>IF(SER_hh_fec!K9=0,0,11630*1000*SER_hh_fec!K9/SER_hh_num!K9)</f>
        <v>13152.9298774658</v>
      </c>
      <c r="L9" s="132">
        <f>IF(SER_hh_fec!L9=0,0,11630*1000*SER_hh_fec!L9/SER_hh_num!L9)</f>
        <v>17437.417682229094</v>
      </c>
      <c r="M9" s="132">
        <f>IF(SER_hh_fec!M9=0,0,11630*1000*SER_hh_fec!M9/SER_hh_num!M9)</f>
        <v>19451.331306839304</v>
      </c>
      <c r="N9" s="132">
        <f>IF(SER_hh_fec!N9=0,0,11630*1000*SER_hh_fec!N9/SER_hh_num!N9)</f>
        <v>14338.563518431813</v>
      </c>
      <c r="O9" s="132">
        <f>IF(SER_hh_fec!O9=0,0,11630*1000*SER_hh_fec!O9/SER_hh_num!O9)</f>
        <v>13077.889003869775</v>
      </c>
      <c r="P9" s="132">
        <f>IF(SER_hh_fec!P9=0,0,11630*1000*SER_hh_fec!P9/SER_hh_num!P9)</f>
        <v>6035.0460964960012</v>
      </c>
      <c r="Q9" s="132">
        <f>IF(SER_hh_fec!Q9=0,0,11630*1000*SER_hh_fec!Q9/SER_hh_num!Q9)</f>
        <v>9356.6861354627217</v>
      </c>
      <c r="R9" s="132">
        <f>IF(SER_hh_fec!R9=0,0,11630*1000*SER_hh_fec!R9/SER_hh_num!R9)</f>
        <v>9528.1035948717254</v>
      </c>
      <c r="S9" s="132">
        <f>IF(SER_hh_fec!S9=0,0,11630*1000*SER_hh_fec!S9/SER_hh_num!S9)</f>
        <v>10183.563749113364</v>
      </c>
      <c r="T9" s="132">
        <f>IF(SER_hh_fec!T9=0,0,11630*1000*SER_hh_fec!T9/SER_hh_num!T9)</f>
        <v>14442.945616740182</v>
      </c>
      <c r="U9" s="132">
        <f>IF(SER_hh_fec!U9=0,0,11630*1000*SER_hh_fec!U9/SER_hh_num!U9)</f>
        <v>14593.313961839152</v>
      </c>
      <c r="V9" s="132">
        <f>IF(SER_hh_fec!V9=0,0,11630*1000*SER_hh_fec!V9/SER_hh_num!V9)</f>
        <v>12580.551470016151</v>
      </c>
      <c r="W9" s="132">
        <f>IF(SER_hh_fec!W9=0,0,11630*1000*SER_hh_fec!W9/SER_hh_num!W9)</f>
        <v>15421.168609460563</v>
      </c>
      <c r="X9" s="132">
        <f>IF(SER_hh_fec!X9=0,0,11630*1000*SER_hh_fec!X9/SER_hh_num!X9)</f>
        <v>13889.145050221248</v>
      </c>
      <c r="Y9" s="132">
        <f>IF(SER_hh_fec!Y9=0,0,11630*1000*SER_hh_fec!Y9/SER_hh_num!Y9)</f>
        <v>14650.317209111461</v>
      </c>
      <c r="DA9" s="156" t="s">
        <v>390</v>
      </c>
    </row>
    <row r="10" spans="1:105" ht="12" customHeight="1" x14ac:dyDescent="0.25">
      <c r="A10" s="131" t="s">
        <v>128</v>
      </c>
      <c r="B10" s="132">
        <f>IF(SER_hh_fec!B10=0,0,11630*1000*SER_hh_fec!B10/SER_hh_num!B10)</f>
        <v>13785.131380379022</v>
      </c>
      <c r="C10" s="132">
        <f>IF(SER_hh_fec!C10=0,0,11630*1000*SER_hh_fec!C10/SER_hh_num!C10)</f>
        <v>13119.51186073015</v>
      </c>
      <c r="D10" s="132">
        <f>IF(SER_hh_fec!D10=0,0,11630*1000*SER_hh_fec!D10/SER_hh_num!D10)</f>
        <v>11732.435834759042</v>
      </c>
      <c r="E10" s="132">
        <f>IF(SER_hh_fec!E10=0,0,11630*1000*SER_hh_fec!E10/SER_hh_num!E10)</f>
        <v>11359.700802771124</v>
      </c>
      <c r="F10" s="132">
        <f>IF(SER_hh_fec!F10=0,0,11630*1000*SER_hh_fec!F10/SER_hh_num!F10)</f>
        <v>11248.7255912828</v>
      </c>
      <c r="G10" s="132">
        <f>IF(SER_hh_fec!G10=0,0,11630*1000*SER_hh_fec!G10/SER_hh_num!G10)</f>
        <v>11660.986571110489</v>
      </c>
      <c r="H10" s="132">
        <f>IF(SER_hh_fec!H10=0,0,11630*1000*SER_hh_fec!H10/SER_hh_num!H10)</f>
        <v>17482.382198907533</v>
      </c>
      <c r="I10" s="132">
        <f>IF(SER_hh_fec!I10=0,0,11630*1000*SER_hh_fec!I10/SER_hh_num!I10)</f>
        <v>15704.827857600147</v>
      </c>
      <c r="J10" s="132">
        <f>IF(SER_hh_fec!J10=0,0,11630*1000*SER_hh_fec!J10/SER_hh_num!J10)</f>
        <v>17983.141362272348</v>
      </c>
      <c r="K10" s="132">
        <f>IF(SER_hh_fec!K10=0,0,11630*1000*SER_hh_fec!K10/SER_hh_num!K10)</f>
        <v>13972.536178028191</v>
      </c>
      <c r="L10" s="132">
        <f>IF(SER_hh_fec!L10=0,0,11630*1000*SER_hh_fec!L10/SER_hh_num!L10)</f>
        <v>15667.976562297305</v>
      </c>
      <c r="M10" s="132">
        <f>IF(SER_hh_fec!M10=0,0,11630*1000*SER_hh_fec!M10/SER_hh_num!M10)</f>
        <v>16179.766035001312</v>
      </c>
      <c r="N10" s="132">
        <f>IF(SER_hh_fec!N10=0,0,11630*1000*SER_hh_fec!N10/SER_hh_num!N10)</f>
        <v>14086.119611217759</v>
      </c>
      <c r="O10" s="132">
        <f>IF(SER_hh_fec!O10=0,0,11630*1000*SER_hh_fec!O10/SER_hh_num!O10)</f>
        <v>11792.351647417163</v>
      </c>
      <c r="P10" s="132">
        <f>IF(SER_hh_fec!P10=0,0,11630*1000*SER_hh_fec!P10/SER_hh_num!P10)</f>
        <v>9340.6288025144513</v>
      </c>
      <c r="Q10" s="132">
        <f>IF(SER_hh_fec!Q10=0,0,11630*1000*SER_hh_fec!Q10/SER_hh_num!Q10)</f>
        <v>9318.8724347314965</v>
      </c>
      <c r="R10" s="132">
        <f>IF(SER_hh_fec!R10=0,0,11630*1000*SER_hh_fec!R10/SER_hh_num!R10)</f>
        <v>11388.41749755741</v>
      </c>
      <c r="S10" s="132">
        <f>IF(SER_hh_fec!S10=0,0,11630*1000*SER_hh_fec!S10/SER_hh_num!S10)</f>
        <v>12594.513145073941</v>
      </c>
      <c r="T10" s="132">
        <f>IF(SER_hh_fec!T10=0,0,11630*1000*SER_hh_fec!T10/SER_hh_num!T10)</f>
        <v>13587.889042101207</v>
      </c>
      <c r="U10" s="132">
        <f>IF(SER_hh_fec!U10=0,0,11630*1000*SER_hh_fec!U10/SER_hh_num!U10)</f>
        <v>15012.526122640347</v>
      </c>
      <c r="V10" s="132">
        <f>IF(SER_hh_fec!V10=0,0,11630*1000*SER_hh_fec!V10/SER_hh_num!V10)</f>
        <v>15812.406803782074</v>
      </c>
      <c r="W10" s="132">
        <f>IF(SER_hh_fec!W10=0,0,11630*1000*SER_hh_fec!W10/SER_hh_num!W10)</f>
        <v>17701.553875237092</v>
      </c>
      <c r="X10" s="132">
        <f>IF(SER_hh_fec!X10=0,0,11630*1000*SER_hh_fec!X10/SER_hh_num!X10)</f>
        <v>18487.690672979406</v>
      </c>
      <c r="Y10" s="132">
        <f>IF(SER_hh_fec!Y10=0,0,11630*1000*SER_hh_fec!Y10/SER_hh_num!Y10)</f>
        <v>18934.431758614282</v>
      </c>
      <c r="DA10" s="156" t="s">
        <v>391</v>
      </c>
    </row>
    <row r="11" spans="1:105" ht="12" customHeight="1" x14ac:dyDescent="0.25">
      <c r="A11" s="131" t="s">
        <v>25</v>
      </c>
      <c r="B11" s="132">
        <f>IF(SER_hh_fec!B11=0,0,11630*1000*SER_hh_fec!B11/SER_hh_num!B11)</f>
        <v>8408.6222219629217</v>
      </c>
      <c r="C11" s="132">
        <f>IF(SER_hh_fec!C11=0,0,11630*1000*SER_hh_fec!C11/SER_hh_num!C11)</f>
        <v>10500.75689967745</v>
      </c>
      <c r="D11" s="132">
        <f>IF(SER_hh_fec!D11=0,0,11630*1000*SER_hh_fec!D11/SER_hh_num!D11)</f>
        <v>2706.8556012602362</v>
      </c>
      <c r="E11" s="132">
        <f>IF(SER_hh_fec!E11=0,0,11630*1000*SER_hh_fec!E11/SER_hh_num!E11)</f>
        <v>3627.4234049198294</v>
      </c>
      <c r="F11" s="132">
        <f>IF(SER_hh_fec!F11=0,0,11630*1000*SER_hh_fec!F11/SER_hh_num!F11)</f>
        <v>7275.7347018439623</v>
      </c>
      <c r="G11" s="132">
        <f>IF(SER_hh_fec!G11=0,0,11630*1000*SER_hh_fec!G11/SER_hh_num!G11)</f>
        <v>8563.6345666462094</v>
      </c>
      <c r="H11" s="132">
        <f>IF(SER_hh_fec!H11=0,0,11630*1000*SER_hh_fec!H11/SER_hh_num!H11)</f>
        <v>10384.219666728208</v>
      </c>
      <c r="I11" s="132">
        <f>IF(SER_hh_fec!I11=0,0,11630*1000*SER_hh_fec!I11/SER_hh_num!I11)</f>
        <v>10375.598616177529</v>
      </c>
      <c r="J11" s="132">
        <f>IF(SER_hh_fec!J11=0,0,11630*1000*SER_hh_fec!J11/SER_hh_num!J11)</f>
        <v>10631.488642697655</v>
      </c>
      <c r="K11" s="132">
        <f>IF(SER_hh_fec!K11=0,0,11630*1000*SER_hh_fec!K11/SER_hh_num!K11)</f>
        <v>10934.004523765127</v>
      </c>
      <c r="L11" s="132">
        <f>IF(SER_hh_fec!L11=0,0,11630*1000*SER_hh_fec!L11/SER_hh_num!L11)</f>
        <v>11725.302139023817</v>
      </c>
      <c r="M11" s="132">
        <f>IF(SER_hh_fec!M11=0,0,11630*1000*SER_hh_fec!M11/SER_hh_num!M11)</f>
        <v>11468.767450852811</v>
      </c>
      <c r="N11" s="132">
        <f>IF(SER_hh_fec!N11=0,0,11630*1000*SER_hh_fec!N11/SER_hh_num!N11)</f>
        <v>9690.2241861617877</v>
      </c>
      <c r="O11" s="132">
        <f>IF(SER_hh_fec!O11=0,0,11630*1000*SER_hh_fec!O11/SER_hh_num!O11)</f>
        <v>7871.9265451915953</v>
      </c>
      <c r="P11" s="132">
        <f>IF(SER_hh_fec!P11=0,0,11630*1000*SER_hh_fec!P11/SER_hh_num!P11)</f>
        <v>6473.9370589049413</v>
      </c>
      <c r="Q11" s="132">
        <f>IF(SER_hh_fec!Q11=0,0,11630*1000*SER_hh_fec!Q11/SER_hh_num!Q11)</f>
        <v>6251.5159031656876</v>
      </c>
      <c r="R11" s="132">
        <f>IF(SER_hh_fec!R11=0,0,11630*1000*SER_hh_fec!R11/SER_hh_num!R11)</f>
        <v>6715.29470993</v>
      </c>
      <c r="S11" s="132">
        <f>IF(SER_hh_fec!S11=0,0,11630*1000*SER_hh_fec!S11/SER_hh_num!S11)</f>
        <v>7688.1088679267268</v>
      </c>
      <c r="T11" s="132">
        <f>IF(SER_hh_fec!T11=0,0,11630*1000*SER_hh_fec!T11/SER_hh_num!T11)</f>
        <v>8813.6601672289235</v>
      </c>
      <c r="U11" s="132">
        <f>IF(SER_hh_fec!U11=0,0,11630*1000*SER_hh_fec!U11/SER_hh_num!U11)</f>
        <v>9700.099656782475</v>
      </c>
      <c r="V11" s="132">
        <f>IF(SER_hh_fec!V11=0,0,11630*1000*SER_hh_fec!V11/SER_hh_num!V11)</f>
        <v>10354.484247156293</v>
      </c>
      <c r="W11" s="132">
        <f>IF(SER_hh_fec!W11=0,0,11630*1000*SER_hh_fec!W11/SER_hh_num!W11)</f>
        <v>11169.693168151131</v>
      </c>
      <c r="X11" s="132">
        <f>IF(SER_hh_fec!X11=0,0,11630*1000*SER_hh_fec!X11/SER_hh_num!X11)</f>
        <v>11950.103717419443</v>
      </c>
      <c r="Y11" s="132">
        <f>IF(SER_hh_fec!Y11=0,0,11630*1000*SER_hh_fec!Y11/SER_hh_num!Y11)</f>
        <v>12150.0315421549</v>
      </c>
      <c r="DA11" s="156" t="s">
        <v>392</v>
      </c>
    </row>
    <row r="12" spans="1:105" ht="12" customHeight="1" x14ac:dyDescent="0.25">
      <c r="A12" s="131" t="s">
        <v>162</v>
      </c>
      <c r="B12" s="132">
        <f>IF(SER_hh_fec!B12=0,0,11630*1000*SER_hh_fec!B12/SER_hh_num!B12)</f>
        <v>0</v>
      </c>
      <c r="C12" s="132">
        <f>IF(SER_hh_fec!C12=0,0,11630*1000*SER_hh_fec!C12/SER_hh_num!C12)</f>
        <v>0</v>
      </c>
      <c r="D12" s="132">
        <f>IF(SER_hh_fec!D12=0,0,11630*1000*SER_hh_fec!D12/SER_hh_num!D12)</f>
        <v>0</v>
      </c>
      <c r="E12" s="132">
        <f>IF(SER_hh_fec!E12=0,0,11630*1000*SER_hh_fec!E12/SER_hh_num!E12)</f>
        <v>0</v>
      </c>
      <c r="F12" s="132">
        <f>IF(SER_hh_fec!F12=0,0,11630*1000*SER_hh_fec!F12/SER_hh_num!F12)</f>
        <v>0</v>
      </c>
      <c r="G12" s="132">
        <f>IF(SER_hh_fec!G12=0,0,11630*1000*SER_hh_fec!G12/SER_hh_num!G12)</f>
        <v>0</v>
      </c>
      <c r="H12" s="132">
        <f>IF(SER_hh_fec!H12=0,0,11630*1000*SER_hh_fec!H12/SER_hh_num!H12)</f>
        <v>0</v>
      </c>
      <c r="I12" s="132">
        <f>IF(SER_hh_fec!I12=0,0,11630*1000*SER_hh_fec!I12/SER_hh_num!I12)</f>
        <v>0</v>
      </c>
      <c r="J12" s="132">
        <f>IF(SER_hh_fec!J12=0,0,11630*1000*SER_hh_fec!J12/SER_hh_num!J12)</f>
        <v>0</v>
      </c>
      <c r="K12" s="132">
        <f>IF(SER_hh_fec!K12=0,0,11630*1000*SER_hh_fec!K12/SER_hh_num!K12)</f>
        <v>0</v>
      </c>
      <c r="L12" s="132">
        <f>IF(SER_hh_fec!L12=0,0,11630*1000*SER_hh_fec!L12/SER_hh_num!L12)</f>
        <v>0</v>
      </c>
      <c r="M12" s="132">
        <f>IF(SER_hh_fec!M12=0,0,11630*1000*SER_hh_fec!M12/SER_hh_num!M12)</f>
        <v>0</v>
      </c>
      <c r="N12" s="132">
        <f>IF(SER_hh_fec!N12=0,0,11630*1000*SER_hh_fec!N12/SER_hh_num!N12)</f>
        <v>0</v>
      </c>
      <c r="O12" s="132">
        <f>IF(SER_hh_fec!O12=0,0,11630*1000*SER_hh_fec!O12/SER_hh_num!O12)</f>
        <v>0</v>
      </c>
      <c r="P12" s="132">
        <f>IF(SER_hh_fec!P12=0,0,11630*1000*SER_hh_fec!P12/SER_hh_num!P12)</f>
        <v>0</v>
      </c>
      <c r="Q12" s="132">
        <f>IF(SER_hh_fec!Q12=0,0,11630*1000*SER_hh_fec!Q12/SER_hh_num!Q12)</f>
        <v>0</v>
      </c>
      <c r="R12" s="132">
        <f>IF(SER_hh_fec!R12=0,0,11630*1000*SER_hh_fec!R12/SER_hh_num!R12)</f>
        <v>0</v>
      </c>
      <c r="S12" s="132">
        <f>IF(SER_hh_fec!S12=0,0,11630*1000*SER_hh_fec!S12/SER_hh_num!S12)</f>
        <v>0</v>
      </c>
      <c r="T12" s="132">
        <f>IF(SER_hh_fec!T12=0,0,11630*1000*SER_hh_fec!T12/SER_hh_num!T12)</f>
        <v>0</v>
      </c>
      <c r="U12" s="132">
        <f>IF(SER_hh_fec!U12=0,0,11630*1000*SER_hh_fec!U12/SER_hh_num!U12)</f>
        <v>0</v>
      </c>
      <c r="V12" s="132">
        <f>IF(SER_hh_fec!V12=0,0,11630*1000*SER_hh_fec!V12/SER_hh_num!V12)</f>
        <v>0</v>
      </c>
      <c r="W12" s="132">
        <f>IF(SER_hh_fec!W12=0,0,11630*1000*SER_hh_fec!W12/SER_hh_num!W12)</f>
        <v>0</v>
      </c>
      <c r="X12" s="132">
        <f>IF(SER_hh_fec!X12=0,0,11630*1000*SER_hh_fec!X12/SER_hh_num!X12)</f>
        <v>0</v>
      </c>
      <c r="Y12" s="132">
        <f>IF(SER_hh_fec!Y12=0,0,11630*1000*SER_hh_fec!Y12/SER_hh_num!Y12)</f>
        <v>0</v>
      </c>
      <c r="DA12" s="156" t="s">
        <v>393</v>
      </c>
    </row>
    <row r="13" spans="1:105" ht="12" customHeight="1" x14ac:dyDescent="0.25">
      <c r="A13" s="131" t="s">
        <v>77</v>
      </c>
      <c r="B13" s="132">
        <f>IF(SER_hh_fec!B13=0,0,11630*1000*SER_hh_fec!B13/SER_hh_num!B13)</f>
        <v>3689.9697128673311</v>
      </c>
      <c r="C13" s="132">
        <f>IF(SER_hh_fec!C13=0,0,11630*1000*SER_hh_fec!C13/SER_hh_num!C13)</f>
        <v>3995.5572522510047</v>
      </c>
      <c r="D13" s="132">
        <f>IF(SER_hh_fec!D13=0,0,11630*1000*SER_hh_fec!D13/SER_hh_num!D13)</f>
        <v>3022.2453457785737</v>
      </c>
      <c r="E13" s="132">
        <f>IF(SER_hh_fec!E13=0,0,11630*1000*SER_hh_fec!E13/SER_hh_num!E13)</f>
        <v>2986.112282658461</v>
      </c>
      <c r="F13" s="132">
        <f>IF(SER_hh_fec!F13=0,0,11630*1000*SER_hh_fec!F13/SER_hh_num!F13)</f>
        <v>2778.6176941224403</v>
      </c>
      <c r="G13" s="132">
        <f>IF(SER_hh_fec!G13=0,0,11630*1000*SER_hh_fec!G13/SER_hh_num!G13)</f>
        <v>3378.0500691154257</v>
      </c>
      <c r="H13" s="132">
        <f>IF(SER_hh_fec!H13=0,0,11630*1000*SER_hh_fec!H13/SER_hh_num!H13)</f>
        <v>3328.4186764303831</v>
      </c>
      <c r="I13" s="132">
        <f>IF(SER_hh_fec!I13=0,0,11630*1000*SER_hh_fec!I13/SER_hh_num!I13)</f>
        <v>3377.9869783173326</v>
      </c>
      <c r="J13" s="132">
        <f>IF(SER_hh_fec!J13=0,0,11630*1000*SER_hh_fec!J13/SER_hh_num!J13)</f>
        <v>3768.6463430616918</v>
      </c>
      <c r="K13" s="132">
        <f>IF(SER_hh_fec!K13=0,0,11630*1000*SER_hh_fec!K13/SER_hh_num!K13)</f>
        <v>3698.5758296721497</v>
      </c>
      <c r="L13" s="132">
        <f>IF(SER_hh_fec!L13=0,0,11630*1000*SER_hh_fec!L13/SER_hh_num!L13)</f>
        <v>3587.5097988049583</v>
      </c>
      <c r="M13" s="132">
        <f>IF(SER_hh_fec!M13=0,0,11630*1000*SER_hh_fec!M13/SER_hh_num!M13)</f>
        <v>3161.981328354942</v>
      </c>
      <c r="N13" s="132">
        <f>IF(SER_hh_fec!N13=0,0,11630*1000*SER_hh_fec!N13/SER_hh_num!N13)</f>
        <v>2731.407586699811</v>
      </c>
      <c r="O13" s="132">
        <f>IF(SER_hh_fec!O13=0,0,11630*1000*SER_hh_fec!O13/SER_hh_num!O13)</f>
        <v>2073.8996154797142</v>
      </c>
      <c r="P13" s="132">
        <f>IF(SER_hh_fec!P13=0,0,11630*1000*SER_hh_fec!P13/SER_hh_num!P13)</f>
        <v>1566.7386613881051</v>
      </c>
      <c r="Q13" s="132">
        <f>IF(SER_hh_fec!Q13=0,0,11630*1000*SER_hh_fec!Q13/SER_hh_num!Q13)</f>
        <v>1640.9583990214355</v>
      </c>
      <c r="R13" s="132">
        <f>IF(SER_hh_fec!R13=0,0,11630*1000*SER_hh_fec!R13/SER_hh_num!R13)</f>
        <v>1773.9446649022027</v>
      </c>
      <c r="S13" s="132">
        <f>IF(SER_hh_fec!S13=0,0,11630*1000*SER_hh_fec!S13/SER_hh_num!S13)</f>
        <v>1992.6476362663568</v>
      </c>
      <c r="T13" s="132">
        <f>IF(SER_hh_fec!T13=0,0,11630*1000*SER_hh_fec!T13/SER_hh_num!T13)</f>
        <v>2229.0568051424202</v>
      </c>
      <c r="U13" s="132">
        <f>IF(SER_hh_fec!U13=0,0,11630*1000*SER_hh_fec!U13/SER_hh_num!U13)</f>
        <v>2366.2296287407498</v>
      </c>
      <c r="V13" s="132">
        <f>IF(SER_hh_fec!V13=0,0,11630*1000*SER_hh_fec!V13/SER_hh_num!V13)</f>
        <v>2482.8874631366198</v>
      </c>
      <c r="W13" s="132">
        <f>IF(SER_hh_fec!W13=0,0,11630*1000*SER_hh_fec!W13/SER_hh_num!W13)</f>
        <v>2593.2604083365304</v>
      </c>
      <c r="X13" s="132">
        <f>IF(SER_hh_fec!X13=0,0,11630*1000*SER_hh_fec!X13/SER_hh_num!X13)</f>
        <v>2737.0585052945012</v>
      </c>
      <c r="Y13" s="132">
        <f>IF(SER_hh_fec!Y13=0,0,11630*1000*SER_hh_fec!Y13/SER_hh_num!Y13)</f>
        <v>2796.8257689080442</v>
      </c>
      <c r="DA13" s="156" t="s">
        <v>394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13348.894860941517</v>
      </c>
      <c r="C14" s="65">
        <f>IF(SER_hh_fec!C14=0,0,11630*1000*SER_hh_fec!C14/SER_hh_num!C14)</f>
        <v>7945.642693224243</v>
      </c>
      <c r="D14" s="65">
        <f>IF(SER_hh_fec!D14=0,0,11630*1000*SER_hh_fec!D14/SER_hh_num!D14)</f>
        <v>5964.867016665733</v>
      </c>
      <c r="E14" s="65">
        <f>IF(SER_hh_fec!E14=0,0,11630*1000*SER_hh_fec!E14/SER_hh_num!E14)</f>
        <v>4755.0567574145116</v>
      </c>
      <c r="F14" s="65">
        <f>IF(SER_hh_fec!F14=0,0,11630*1000*SER_hh_fec!F14/SER_hh_num!F14)</f>
        <v>8390.4477330448808</v>
      </c>
      <c r="G14" s="65">
        <f>IF(SER_hh_fec!G14=0,0,11630*1000*SER_hh_fec!G14/SER_hh_num!G14)</f>
        <v>4616.0608160757783</v>
      </c>
      <c r="H14" s="65">
        <f>IF(SER_hh_fec!H14=0,0,11630*1000*SER_hh_fec!H14/SER_hh_num!H14)</f>
        <v>17115.468112481936</v>
      </c>
      <c r="I14" s="65">
        <f>IF(SER_hh_fec!I14=0,0,11630*1000*SER_hh_fec!I14/SER_hh_num!I14)</f>
        <v>9679.7417775017348</v>
      </c>
      <c r="J14" s="65">
        <f>IF(SER_hh_fec!J14=0,0,11630*1000*SER_hh_fec!J14/SER_hh_num!J14)</f>
        <v>13129.393954956689</v>
      </c>
      <c r="K14" s="65">
        <f>IF(SER_hh_fec!K14=0,0,11630*1000*SER_hh_fec!K14/SER_hh_num!K14)</f>
        <v>10531.098195033575</v>
      </c>
      <c r="L14" s="65">
        <f>IF(SER_hh_fec!L14=0,0,11630*1000*SER_hh_fec!L14/SER_hh_num!L14)</f>
        <v>14186.021308815381</v>
      </c>
      <c r="M14" s="65">
        <f>IF(SER_hh_fec!M14=0,0,11630*1000*SER_hh_fec!M14/SER_hh_num!M14)</f>
        <v>13321.156396187325</v>
      </c>
      <c r="N14" s="65">
        <f>IF(SER_hh_fec!N14=0,0,11630*1000*SER_hh_fec!N14/SER_hh_num!N14)</f>
        <v>10567.031584790888</v>
      </c>
      <c r="O14" s="65">
        <f>IF(SER_hh_fec!O14=0,0,11630*1000*SER_hh_fec!O14/SER_hh_num!O14)</f>
        <v>7944.8624947029048</v>
      </c>
      <c r="P14" s="65">
        <f>IF(SER_hh_fec!P14=0,0,11630*1000*SER_hh_fec!P14/SER_hh_num!P14)</f>
        <v>4266.0141389238361</v>
      </c>
      <c r="Q14" s="65">
        <f>IF(SER_hh_fec!Q14=0,0,11630*1000*SER_hh_fec!Q14/SER_hh_num!Q14)</f>
        <v>4287.6753875203749</v>
      </c>
      <c r="R14" s="65">
        <f>IF(SER_hh_fec!R14=0,0,11630*1000*SER_hh_fec!R14/SER_hh_num!R14)</f>
        <v>4164.6036315817719</v>
      </c>
      <c r="S14" s="65">
        <f>IF(SER_hh_fec!S14=0,0,11630*1000*SER_hh_fec!S14/SER_hh_num!S14)</f>
        <v>10280.610053465733</v>
      </c>
      <c r="T14" s="65">
        <f>IF(SER_hh_fec!T14=0,0,11630*1000*SER_hh_fec!T14/SER_hh_num!T14)</f>
        <v>11883.315511611127</v>
      </c>
      <c r="U14" s="65">
        <f>IF(SER_hh_fec!U14=0,0,11630*1000*SER_hh_fec!U14/SER_hh_num!U14)</f>
        <v>12371.20330164177</v>
      </c>
      <c r="V14" s="65">
        <f>IF(SER_hh_fec!V14=0,0,11630*1000*SER_hh_fec!V14/SER_hh_num!V14)</f>
        <v>8878.5249758186928</v>
      </c>
      <c r="W14" s="65">
        <f>IF(SER_hh_fec!W14=0,0,11630*1000*SER_hh_fec!W14/SER_hh_num!W14)</f>
        <v>13347.738595160718</v>
      </c>
      <c r="X14" s="65">
        <f>IF(SER_hh_fec!X14=0,0,11630*1000*SER_hh_fec!X14/SER_hh_num!X14)</f>
        <v>13045.08693219248</v>
      </c>
      <c r="Y14" s="65">
        <f>IF(SER_hh_fec!Y14=0,0,11630*1000*SER_hh_fec!Y14/SER_hh_num!Y14)</f>
        <v>11816.240623615382</v>
      </c>
      <c r="DA14" s="109" t="s">
        <v>395</v>
      </c>
    </row>
    <row r="15" spans="1:105" ht="12" customHeight="1" x14ac:dyDescent="0.25">
      <c r="A15" s="133" t="s">
        <v>80</v>
      </c>
      <c r="B15" s="134">
        <f>IF(SER_hh_fec!B15=0,0,11630*1000*SER_hh_fec!B15/SER_hh_num!B15)</f>
        <v>103.53157896812621</v>
      </c>
      <c r="C15" s="134">
        <f>IF(SER_hh_fec!C15=0,0,11630*1000*SER_hh_fec!C15/SER_hh_num!C15)</f>
        <v>106.5271544429722</v>
      </c>
      <c r="D15" s="134">
        <f>IF(SER_hh_fec!D15=0,0,11630*1000*SER_hh_fec!D15/SER_hh_num!D15)</f>
        <v>99.902723088282258</v>
      </c>
      <c r="E15" s="134">
        <f>IF(SER_hh_fec!E15=0,0,11630*1000*SER_hh_fec!E15/SER_hh_num!E15)</f>
        <v>80.194771675865837</v>
      </c>
      <c r="F15" s="134">
        <f>IF(SER_hh_fec!F15=0,0,11630*1000*SER_hh_fec!F15/SER_hh_num!F15)</f>
        <v>87.001976556287588</v>
      </c>
      <c r="G15" s="134">
        <f>IF(SER_hh_fec!G15=0,0,11630*1000*SER_hh_fec!G15/SER_hh_num!G15)</f>
        <v>104.37937236006772</v>
      </c>
      <c r="H15" s="134">
        <f>IF(SER_hh_fec!H15=0,0,11630*1000*SER_hh_fec!H15/SER_hh_num!H15)</f>
        <v>171.10597907865792</v>
      </c>
      <c r="I15" s="134">
        <f>IF(SER_hh_fec!I15=0,0,11630*1000*SER_hh_fec!I15/SER_hh_num!I15)</f>
        <v>114.95267290561206</v>
      </c>
      <c r="J15" s="134">
        <f>IF(SER_hh_fec!J15=0,0,11630*1000*SER_hh_fec!J15/SER_hh_num!J15)</f>
        <v>102.13986348738193</v>
      </c>
      <c r="K15" s="134">
        <f>IF(SER_hh_fec!K15=0,0,11630*1000*SER_hh_fec!K15/SER_hh_num!K15)</f>
        <v>120.70083067220214</v>
      </c>
      <c r="L15" s="134">
        <f>IF(SER_hh_fec!L15=0,0,11630*1000*SER_hh_fec!L15/SER_hh_num!L15)</f>
        <v>142.02479870971897</v>
      </c>
      <c r="M15" s="134">
        <f>IF(SER_hh_fec!M15=0,0,11630*1000*SER_hh_fec!M15/SER_hh_num!M15)</f>
        <v>144.15973582948379</v>
      </c>
      <c r="N15" s="134">
        <f>IF(SER_hh_fec!N15=0,0,11630*1000*SER_hh_fec!N15/SER_hh_num!N15)</f>
        <v>118.43415506790745</v>
      </c>
      <c r="O15" s="134">
        <f>IF(SER_hh_fec!O15=0,0,11630*1000*SER_hh_fec!O15/SER_hh_num!O15)</f>
        <v>111.5323543859673</v>
      </c>
      <c r="P15" s="134">
        <f>IF(SER_hh_fec!P15=0,0,11630*1000*SER_hh_fec!P15/SER_hh_num!P15)</f>
        <v>68.320440318376896</v>
      </c>
      <c r="Q15" s="134">
        <f>IF(SER_hh_fec!Q15=0,0,11630*1000*SER_hh_fec!Q15/SER_hh_num!Q15)</f>
        <v>66.759137744565393</v>
      </c>
      <c r="R15" s="134">
        <f>IF(SER_hh_fec!R15=0,0,11630*1000*SER_hh_fec!R15/SER_hh_num!R15)</f>
        <v>78.039007185700854</v>
      </c>
      <c r="S15" s="134">
        <f>IF(SER_hh_fec!S15=0,0,11630*1000*SER_hh_fec!S15/SER_hh_num!S15)</f>
        <v>88.753976106564082</v>
      </c>
      <c r="T15" s="134">
        <f>IF(SER_hh_fec!T15=0,0,11630*1000*SER_hh_fec!T15/SER_hh_num!T15)</f>
        <v>110.76088870903975</v>
      </c>
      <c r="U15" s="134">
        <f>IF(SER_hh_fec!U15=0,0,11630*1000*SER_hh_fec!U15/SER_hh_num!U15)</f>
        <v>114.55588566093226</v>
      </c>
      <c r="V15" s="134">
        <f>IF(SER_hh_fec!V15=0,0,11630*1000*SER_hh_fec!V15/SER_hh_num!V15)</f>
        <v>109.32171989303123</v>
      </c>
      <c r="W15" s="134">
        <f>IF(SER_hh_fec!W15=0,0,11630*1000*SER_hh_fec!W15/SER_hh_num!W15)</f>
        <v>136.57998277763585</v>
      </c>
      <c r="X15" s="134">
        <f>IF(SER_hh_fec!X15=0,0,11630*1000*SER_hh_fec!X15/SER_hh_num!X15)</f>
        <v>136.37829070484946</v>
      </c>
      <c r="Y15" s="134">
        <f>IF(SER_hh_fec!Y15=0,0,11630*1000*SER_hh_fec!Y15/SER_hh_num!Y15)</f>
        <v>134.0355646204294</v>
      </c>
      <c r="DA15" s="157" t="s">
        <v>396</v>
      </c>
    </row>
    <row r="16" spans="1:105" ht="12.95" customHeight="1" x14ac:dyDescent="0.25">
      <c r="A16" s="129" t="s">
        <v>74</v>
      </c>
      <c r="B16" s="130">
        <f>IF(SER_hh_fec!B16=0,0,11630*1000*SER_hh_fec!B16/SER_hh_num!B16)</f>
        <v>9080.8259307320568</v>
      </c>
      <c r="C16" s="130">
        <f>IF(SER_hh_fec!C16=0,0,11630*1000*SER_hh_fec!C16/SER_hh_num!C16)</f>
        <v>9107.1304384571358</v>
      </c>
      <c r="D16" s="130">
        <f>IF(SER_hh_fec!D16=0,0,11630*1000*SER_hh_fec!D16/SER_hh_num!D16)</f>
        <v>7650.9269500060627</v>
      </c>
      <c r="E16" s="130">
        <f>IF(SER_hh_fec!E16=0,0,11630*1000*SER_hh_fec!E16/SER_hh_num!E16)</f>
        <v>9332.9475633642778</v>
      </c>
      <c r="F16" s="130">
        <f>IF(SER_hh_fec!F16=0,0,11630*1000*SER_hh_fec!F16/SER_hh_num!F16)</f>
        <v>8048.7947378130648</v>
      </c>
      <c r="G16" s="130">
        <f>IF(SER_hh_fec!G16=0,0,11630*1000*SER_hh_fec!G16/SER_hh_num!G16)</f>
        <v>8008.8592874660708</v>
      </c>
      <c r="H16" s="130">
        <f>IF(SER_hh_fec!H16=0,0,11630*1000*SER_hh_fec!H16/SER_hh_num!H16)</f>
        <v>8544.7040138235934</v>
      </c>
      <c r="I16" s="130">
        <f>IF(SER_hh_fec!I16=0,0,11630*1000*SER_hh_fec!I16/SER_hh_num!I16)</f>
        <v>6076.2733737804738</v>
      </c>
      <c r="J16" s="130">
        <f>IF(SER_hh_fec!J16=0,0,11630*1000*SER_hh_fec!J16/SER_hh_num!J16)</f>
        <v>6137.6779143211497</v>
      </c>
      <c r="K16" s="130">
        <f>IF(SER_hh_fec!K16=0,0,11630*1000*SER_hh_fec!K16/SER_hh_num!K16)</f>
        <v>7713.7929446800063</v>
      </c>
      <c r="L16" s="130">
        <f>IF(SER_hh_fec!L16=0,0,11630*1000*SER_hh_fec!L16/SER_hh_num!L16)</f>
        <v>7114.8396147000567</v>
      </c>
      <c r="M16" s="130">
        <f>IF(SER_hh_fec!M16=0,0,11630*1000*SER_hh_fec!M16/SER_hh_num!M16)</f>
        <v>6217.027154505402</v>
      </c>
      <c r="N16" s="130">
        <f>IF(SER_hh_fec!N16=0,0,11630*1000*SER_hh_fec!N16/SER_hh_num!N16)</f>
        <v>7290.871903768797</v>
      </c>
      <c r="O16" s="130">
        <f>IF(SER_hh_fec!O16=0,0,11630*1000*SER_hh_fec!O16/SER_hh_num!O16)</f>
        <v>5778.1445710237758</v>
      </c>
      <c r="P16" s="130">
        <f>IF(SER_hh_fec!P16=0,0,11630*1000*SER_hh_fec!P16/SER_hh_num!P16)</f>
        <v>5227.2462422946355</v>
      </c>
      <c r="Q16" s="130">
        <f>IF(SER_hh_fec!Q16=0,0,11630*1000*SER_hh_fec!Q16/SER_hh_num!Q16)</f>
        <v>7443.2054497179215</v>
      </c>
      <c r="R16" s="130">
        <f>IF(SER_hh_fec!R16=0,0,11630*1000*SER_hh_fec!R16/SER_hh_num!R16)</f>
        <v>7067.7579646282511</v>
      </c>
      <c r="S16" s="130">
        <f>IF(SER_hh_fec!S16=0,0,11630*1000*SER_hh_fec!S16/SER_hh_num!S16)</f>
        <v>7979.9808452774523</v>
      </c>
      <c r="T16" s="130">
        <f>IF(SER_hh_fec!T16=0,0,11630*1000*SER_hh_fec!T16/SER_hh_num!T16)</f>
        <v>5566.0051262689267</v>
      </c>
      <c r="U16" s="130">
        <f>IF(SER_hh_fec!U16=0,0,11630*1000*SER_hh_fec!U16/SER_hh_num!U16)</f>
        <v>5666.3229529367582</v>
      </c>
      <c r="V16" s="130">
        <f>IF(SER_hh_fec!V16=0,0,11630*1000*SER_hh_fec!V16/SER_hh_num!V16)</f>
        <v>6178.0949566674271</v>
      </c>
      <c r="W16" s="130">
        <f>IF(SER_hh_fec!W16=0,0,11630*1000*SER_hh_fec!W16/SER_hh_num!W16)</f>
        <v>5284.4081577329862</v>
      </c>
      <c r="X16" s="130">
        <f>IF(SER_hh_fec!X16=0,0,11630*1000*SER_hh_fec!X16/SER_hh_num!X16)</f>
        <v>6687.4898850842819</v>
      </c>
      <c r="Y16" s="130">
        <f>IF(SER_hh_fec!Y16=0,0,11630*1000*SER_hh_fec!Y16/SER_hh_num!Y16)</f>
        <v>6711.8042952517462</v>
      </c>
      <c r="DA16" s="155" t="s">
        <v>397</v>
      </c>
    </row>
    <row r="17" spans="1:105" ht="12.95" customHeight="1" x14ac:dyDescent="0.25">
      <c r="A17" s="131" t="s">
        <v>73</v>
      </c>
      <c r="B17" s="132">
        <f>IF(SER_hh_fec!B17=0,0,11630*1000*SER_hh_fec!B17/SER_hh_num!B17)</f>
        <v>14549.654195866473</v>
      </c>
      <c r="C17" s="132">
        <f>IF(SER_hh_fec!C17=0,0,11630*1000*SER_hh_fec!C17/SER_hh_num!C17)</f>
        <v>15137.919493057188</v>
      </c>
      <c r="D17" s="132">
        <f>IF(SER_hh_fec!D17=0,0,11630*1000*SER_hh_fec!D17/SER_hh_num!D17)</f>
        <v>13286.433719969467</v>
      </c>
      <c r="E17" s="132">
        <f>IF(SER_hh_fec!E17=0,0,11630*1000*SER_hh_fec!E17/SER_hh_num!E17)</f>
        <v>19735.541681593255</v>
      </c>
      <c r="F17" s="132">
        <f>IF(SER_hh_fec!F17=0,0,11630*1000*SER_hh_fec!F17/SER_hh_num!F17)</f>
        <v>14658.996443910628</v>
      </c>
      <c r="G17" s="132">
        <f>IF(SER_hh_fec!G17=0,0,11630*1000*SER_hh_fec!G17/SER_hh_num!G17)</f>
        <v>15108.177387637359</v>
      </c>
      <c r="H17" s="132">
        <f>IF(SER_hh_fec!H17=0,0,11630*1000*SER_hh_fec!H17/SER_hh_num!H17)</f>
        <v>14788.797804381353</v>
      </c>
      <c r="I17" s="132">
        <f>IF(SER_hh_fec!I17=0,0,11630*1000*SER_hh_fec!I17/SER_hh_num!I17)</f>
        <v>12308.839719164907</v>
      </c>
      <c r="J17" s="132">
        <f>IF(SER_hh_fec!J17=0,0,11630*1000*SER_hh_fec!J17/SER_hh_num!J17)</f>
        <v>12804.775321436706</v>
      </c>
      <c r="K17" s="132">
        <f>IF(SER_hh_fec!K17=0,0,11630*1000*SER_hh_fec!K17/SER_hh_num!K17)</f>
        <v>16322.965636340057</v>
      </c>
      <c r="L17" s="132">
        <f>IF(SER_hh_fec!L17=0,0,11630*1000*SER_hh_fec!L17/SER_hh_num!L17)</f>
        <v>15277.536082810995</v>
      </c>
      <c r="M17" s="132">
        <f>IF(SER_hh_fec!M17=0,0,11630*1000*SER_hh_fec!M17/SER_hh_num!M17)</f>
        <v>13597.582006761068</v>
      </c>
      <c r="N17" s="132">
        <f>IF(SER_hh_fec!N17=0,0,11630*1000*SER_hh_fec!N17/SER_hh_num!N17)</f>
        <v>16250.97277922777</v>
      </c>
      <c r="O17" s="132">
        <f>IF(SER_hh_fec!O17=0,0,11630*1000*SER_hh_fec!O17/SER_hh_num!O17)</f>
        <v>13039.003662693798</v>
      </c>
      <c r="P17" s="132">
        <f>IF(SER_hh_fec!P17=0,0,11630*1000*SER_hh_fec!P17/SER_hh_num!P17)</f>
        <v>12009.794703738657</v>
      </c>
      <c r="Q17" s="132">
        <f>IF(SER_hh_fec!Q17=0,0,11630*1000*SER_hh_fec!Q17/SER_hh_num!Q17)</f>
        <v>17472.733500882463</v>
      </c>
      <c r="R17" s="132">
        <f>IF(SER_hh_fec!R17=0,0,11630*1000*SER_hh_fec!R17/SER_hh_num!R17)</f>
        <v>16967.893444584461</v>
      </c>
      <c r="S17" s="132">
        <f>IF(SER_hh_fec!S17=0,0,11630*1000*SER_hh_fec!S17/SER_hh_num!S17)</f>
        <v>19634.245496520321</v>
      </c>
      <c r="T17" s="132">
        <f>IF(SER_hh_fec!T17=0,0,11630*1000*SER_hh_fec!T17/SER_hh_num!T17)</f>
        <v>13862.431441665078</v>
      </c>
      <c r="U17" s="132">
        <f>IF(SER_hh_fec!U17=0,0,11630*1000*SER_hh_fec!U17/SER_hh_num!U17)</f>
        <v>14309.679641233392</v>
      </c>
      <c r="V17" s="132">
        <f>IF(SER_hh_fec!V17=0,0,11630*1000*SER_hh_fec!V17/SER_hh_num!V17)</f>
        <v>14546.426128339514</v>
      </c>
      <c r="W17" s="132">
        <f>IF(SER_hh_fec!W17=0,0,11630*1000*SER_hh_fec!W17/SER_hh_num!W17)</f>
        <v>12814.806716745368</v>
      </c>
      <c r="X17" s="132">
        <f>IF(SER_hh_fec!X17=0,0,11630*1000*SER_hh_fec!X17/SER_hh_num!X17)</f>
        <v>19924.663664552412</v>
      </c>
      <c r="Y17" s="132">
        <f>IF(SER_hh_fec!Y17=0,0,11630*1000*SER_hh_fec!Y17/SER_hh_num!Y17)</f>
        <v>18165.75588138567</v>
      </c>
      <c r="DA17" s="156" t="s">
        <v>398</v>
      </c>
    </row>
    <row r="18" spans="1:105" ht="12" customHeight="1" x14ac:dyDescent="0.25">
      <c r="A18" s="131" t="s">
        <v>72</v>
      </c>
      <c r="B18" s="132">
        <f>IF(SER_hh_fec!B18=0,0,11630*1000*SER_hh_fec!B18/SER_hh_num!B18)</f>
        <v>9076.7131514658049</v>
      </c>
      <c r="C18" s="132">
        <f>IF(SER_hh_fec!C18=0,0,11630*1000*SER_hh_fec!C18/SER_hh_num!C18)</f>
        <v>9102.6297917456504</v>
      </c>
      <c r="D18" s="132">
        <f>IF(SER_hh_fec!D18=0,0,11630*1000*SER_hh_fec!D18/SER_hh_num!D18)</f>
        <v>7647.1459597810917</v>
      </c>
      <c r="E18" s="132">
        <f>IF(SER_hh_fec!E18=0,0,11630*1000*SER_hh_fec!E18/SER_hh_num!E18)</f>
        <v>9324.6961705956364</v>
      </c>
      <c r="F18" s="132">
        <f>IF(SER_hh_fec!F18=0,0,11630*1000*SER_hh_fec!F18/SER_hh_num!F18)</f>
        <v>8042.3639458670068</v>
      </c>
      <c r="G18" s="132">
        <f>IF(SER_hh_fec!G18=0,0,11630*1000*SER_hh_fec!G18/SER_hh_num!G18)</f>
        <v>8001.5601983993874</v>
      </c>
      <c r="H18" s="132">
        <f>IF(SER_hh_fec!H18=0,0,11630*1000*SER_hh_fec!H18/SER_hh_num!H18)</f>
        <v>8537.4513281386226</v>
      </c>
      <c r="I18" s="132">
        <f>IF(SER_hh_fec!I18=0,0,11630*1000*SER_hh_fec!I18/SER_hh_num!I18)</f>
        <v>6068.8367730291966</v>
      </c>
      <c r="J18" s="132">
        <f>IF(SER_hh_fec!J18=0,0,11630*1000*SER_hh_fec!J18/SER_hh_num!J18)</f>
        <v>6128.5950274119405</v>
      </c>
      <c r="K18" s="132">
        <f>IF(SER_hh_fec!K18=0,0,11630*1000*SER_hh_fec!K18/SER_hh_num!K18)</f>
        <v>7701.2384095230245</v>
      </c>
      <c r="L18" s="132">
        <f>IF(SER_hh_fec!L18=0,0,11630*1000*SER_hh_fec!L18/SER_hh_num!L18)</f>
        <v>7101.4354892784613</v>
      </c>
      <c r="M18" s="132">
        <f>IF(SER_hh_fec!M18=0,0,11630*1000*SER_hh_fec!M18/SER_hh_num!M18)</f>
        <v>6203.1068370718031</v>
      </c>
      <c r="N18" s="132">
        <f>IF(SER_hh_fec!N18=0,0,11630*1000*SER_hh_fec!N18/SER_hh_num!N18)</f>
        <v>7272.2183309995789</v>
      </c>
      <c r="O18" s="132">
        <f>IF(SER_hh_fec!O18=0,0,11630*1000*SER_hh_fec!O18/SER_hh_num!O18)</f>
        <v>5759.2782174177437</v>
      </c>
      <c r="P18" s="132">
        <f>IF(SER_hh_fec!P18=0,0,11630*1000*SER_hh_fec!P18/SER_hh_num!P18)</f>
        <v>5207.3317096635456</v>
      </c>
      <c r="Q18" s="132">
        <f>IF(SER_hh_fec!Q18=0,0,11630*1000*SER_hh_fec!Q18/SER_hh_num!Q18)</f>
        <v>7408.7368587939354</v>
      </c>
      <c r="R18" s="132">
        <f>IF(SER_hh_fec!R18=0,0,11630*1000*SER_hh_fec!R18/SER_hh_num!R18)</f>
        <v>7027.9340430290968</v>
      </c>
      <c r="S18" s="132">
        <f>IF(SER_hh_fec!S18=0,0,11630*1000*SER_hh_fec!S18/SER_hh_num!S18)</f>
        <v>7929.0965172495098</v>
      </c>
      <c r="T18" s="132">
        <f>IF(SER_hh_fec!T18=0,0,11630*1000*SER_hh_fec!T18/SER_hh_num!T18)</f>
        <v>5523.036762097061</v>
      </c>
      <c r="U18" s="132">
        <f>IF(SER_hh_fec!U18=0,0,11630*1000*SER_hh_fec!U18/SER_hh_num!U18)</f>
        <v>5619.0045102092845</v>
      </c>
      <c r="V18" s="132">
        <f>IF(SER_hh_fec!V18=0,0,11630*1000*SER_hh_fec!V18/SER_hh_num!V18)</f>
        <v>6130.0246574225848</v>
      </c>
      <c r="W18" s="132">
        <f>IF(SER_hh_fec!W18=0,0,11630*1000*SER_hh_fec!W18/SER_hh_num!W18)</f>
        <v>5240.0477696585722</v>
      </c>
      <c r="X18" s="132">
        <f>IF(SER_hh_fec!X18=0,0,11630*1000*SER_hh_fec!X18/SER_hh_num!X18)</f>
        <v>6609.5210928678143</v>
      </c>
      <c r="Y18" s="132">
        <f>IF(SER_hh_fec!Y18=0,0,11630*1000*SER_hh_fec!Y18/SER_hh_num!Y18)</f>
        <v>6644.2466282770847</v>
      </c>
      <c r="DA18" s="156" t="s">
        <v>399</v>
      </c>
    </row>
    <row r="19" spans="1:105" ht="12.95" customHeight="1" x14ac:dyDescent="0.25">
      <c r="A19" s="129" t="s">
        <v>35</v>
      </c>
      <c r="B19" s="130">
        <f>IF(SER_hh_fec!B19=0,0,11630*1000*SER_hh_fec!B19/SER_hh_num!B19)</f>
        <v>6046.3707295527392</v>
      </c>
      <c r="C19" s="130">
        <f>IF(SER_hh_fec!C19=0,0,11630*1000*SER_hh_fec!C19/SER_hh_num!C19)</f>
        <v>6208.5000348176809</v>
      </c>
      <c r="D19" s="130">
        <f>IF(SER_hh_fec!D19=0,0,11630*1000*SER_hh_fec!D19/SER_hh_num!D19)</f>
        <v>6413.7189672106088</v>
      </c>
      <c r="E19" s="130">
        <f>IF(SER_hh_fec!E19=0,0,11630*1000*SER_hh_fec!E19/SER_hh_num!E19)</f>
        <v>6286.3793763458134</v>
      </c>
      <c r="F19" s="130">
        <f>IF(SER_hh_fec!F19=0,0,11630*1000*SER_hh_fec!F19/SER_hh_num!F19)</f>
        <v>6594.7770813076995</v>
      </c>
      <c r="G19" s="130">
        <f>IF(SER_hh_fec!G19=0,0,11630*1000*SER_hh_fec!G19/SER_hh_num!G19)</f>
        <v>6542.7925656815141</v>
      </c>
      <c r="H19" s="130">
        <f>IF(SER_hh_fec!H19=0,0,11630*1000*SER_hh_fec!H19/SER_hh_num!H19)</f>
        <v>6718.1733951251454</v>
      </c>
      <c r="I19" s="130">
        <f>IF(SER_hh_fec!I19=0,0,11630*1000*SER_hh_fec!I19/SER_hh_num!I19)</f>
        <v>6578.0806163900361</v>
      </c>
      <c r="J19" s="130">
        <f>IF(SER_hh_fec!J19=0,0,11630*1000*SER_hh_fec!J19/SER_hh_num!J19)</f>
        <v>6573.5948468221495</v>
      </c>
      <c r="K19" s="130">
        <f>IF(SER_hh_fec!K19=0,0,11630*1000*SER_hh_fec!K19/SER_hh_num!K19)</f>
        <v>6569.6285855342812</v>
      </c>
      <c r="L19" s="130">
        <f>IF(SER_hh_fec!L19=0,0,11630*1000*SER_hh_fec!L19/SER_hh_num!L19)</f>
        <v>6579.2524729442293</v>
      </c>
      <c r="M19" s="130">
        <f>IF(SER_hh_fec!M19=0,0,11630*1000*SER_hh_fec!M19/SER_hh_num!M19)</f>
        <v>6582.9601539333389</v>
      </c>
      <c r="N19" s="130">
        <f>IF(SER_hh_fec!N19=0,0,11630*1000*SER_hh_fec!N19/SER_hh_num!N19)</f>
        <v>6393.3333230418939</v>
      </c>
      <c r="O19" s="130">
        <f>IF(SER_hh_fec!O19=0,0,11630*1000*SER_hh_fec!O19/SER_hh_num!O19)</f>
        <v>6517.1912139513524</v>
      </c>
      <c r="P19" s="130">
        <f>IF(SER_hh_fec!P19=0,0,11630*1000*SER_hh_fec!P19/SER_hh_num!P19)</f>
        <v>6325.5069995042377</v>
      </c>
      <c r="Q19" s="130">
        <f>IF(SER_hh_fec!Q19=0,0,11630*1000*SER_hh_fec!Q19/SER_hh_num!Q19)</f>
        <v>5946.6089765478946</v>
      </c>
      <c r="R19" s="130">
        <f>IF(SER_hh_fec!R19=0,0,11630*1000*SER_hh_fec!R19/SER_hh_num!R19)</f>
        <v>5750.6601770353891</v>
      </c>
      <c r="S19" s="130">
        <f>IF(SER_hh_fec!S19=0,0,11630*1000*SER_hh_fec!S19/SER_hh_num!S19)</f>
        <v>5482.3142345059423</v>
      </c>
      <c r="T19" s="130">
        <f>IF(SER_hh_fec!T19=0,0,11630*1000*SER_hh_fec!T19/SER_hh_num!T19)</f>
        <v>5757.279813160374</v>
      </c>
      <c r="U19" s="130">
        <f>IF(SER_hh_fec!U19=0,0,11630*1000*SER_hh_fec!U19/SER_hh_num!U19)</f>
        <v>5566.0950324235482</v>
      </c>
      <c r="V19" s="130">
        <f>IF(SER_hh_fec!V19=0,0,11630*1000*SER_hh_fec!V19/SER_hh_num!V19)</f>
        <v>4834.2968606946242</v>
      </c>
      <c r="W19" s="130">
        <f>IF(SER_hh_fec!W19=0,0,11630*1000*SER_hh_fec!W19/SER_hh_num!W19)</f>
        <v>5165.4265173774702</v>
      </c>
      <c r="X19" s="130">
        <f>IF(SER_hh_fec!X19=0,0,11630*1000*SER_hh_fec!X19/SER_hh_num!X19)</f>
        <v>4850.5978632736633</v>
      </c>
      <c r="Y19" s="130">
        <f>IF(SER_hh_fec!Y19=0,0,11630*1000*SER_hh_fec!Y19/SER_hh_num!Y19)</f>
        <v>4817.6479284878669</v>
      </c>
      <c r="DA19" s="155" t="s">
        <v>400</v>
      </c>
    </row>
    <row r="20" spans="1:105" ht="12" customHeight="1" x14ac:dyDescent="0.25">
      <c r="A20" s="131" t="s">
        <v>29</v>
      </c>
      <c r="B20" s="132">
        <f>IF(SER_hh_fec!B20=0,0,11630*1000*SER_hh_fec!B20/SER_hh_num!B20)</f>
        <v>0</v>
      </c>
      <c r="C20" s="132">
        <f>IF(SER_hh_fec!C20=0,0,11630*1000*SER_hh_fec!C20/SER_hh_num!C20)</f>
        <v>0</v>
      </c>
      <c r="D20" s="132">
        <f>IF(SER_hh_fec!D20=0,0,11630*1000*SER_hh_fec!D20/SER_hh_num!D20)</f>
        <v>0</v>
      </c>
      <c r="E20" s="132">
        <f>IF(SER_hh_fec!E20=0,0,11630*1000*SER_hh_fec!E20/SER_hh_num!E20)</f>
        <v>0</v>
      </c>
      <c r="F20" s="132">
        <f>IF(SER_hh_fec!F20=0,0,11630*1000*SER_hh_fec!F20/SER_hh_num!F20)</f>
        <v>0</v>
      </c>
      <c r="G20" s="132">
        <f>IF(SER_hh_fec!G20=0,0,11630*1000*SER_hh_fec!G20/SER_hh_num!G20)</f>
        <v>0</v>
      </c>
      <c r="H20" s="132">
        <f>IF(SER_hh_fec!H20=0,0,11630*1000*SER_hh_fec!H20/SER_hh_num!H20)</f>
        <v>0</v>
      </c>
      <c r="I20" s="132">
        <f>IF(SER_hh_fec!I20=0,0,11630*1000*SER_hh_fec!I20/SER_hh_num!I20)</f>
        <v>0</v>
      </c>
      <c r="J20" s="132">
        <f>IF(SER_hh_fec!J20=0,0,11630*1000*SER_hh_fec!J20/SER_hh_num!J20)</f>
        <v>0</v>
      </c>
      <c r="K20" s="132">
        <f>IF(SER_hh_fec!K20=0,0,11630*1000*SER_hh_fec!K20/SER_hh_num!K20)</f>
        <v>0</v>
      </c>
      <c r="L20" s="132">
        <f>IF(SER_hh_fec!L20=0,0,11630*1000*SER_hh_fec!L20/SER_hh_num!L20)</f>
        <v>0</v>
      </c>
      <c r="M20" s="132">
        <f>IF(SER_hh_fec!M20=0,0,11630*1000*SER_hh_fec!M20/SER_hh_num!M20)</f>
        <v>0</v>
      </c>
      <c r="N20" s="132">
        <f>IF(SER_hh_fec!N20=0,0,11630*1000*SER_hh_fec!N20/SER_hh_num!N20)</f>
        <v>0</v>
      </c>
      <c r="O20" s="132">
        <f>IF(SER_hh_fec!O20=0,0,11630*1000*SER_hh_fec!O20/SER_hh_num!O20)</f>
        <v>0</v>
      </c>
      <c r="P20" s="132">
        <f>IF(SER_hh_fec!P20=0,0,11630*1000*SER_hh_fec!P20/SER_hh_num!P20)</f>
        <v>0</v>
      </c>
      <c r="Q20" s="132">
        <f>IF(SER_hh_fec!Q20=0,0,11630*1000*SER_hh_fec!Q20/SER_hh_num!Q20)</f>
        <v>0</v>
      </c>
      <c r="R20" s="132">
        <f>IF(SER_hh_fec!R20=0,0,11630*1000*SER_hh_fec!R20/SER_hh_num!R20)</f>
        <v>0</v>
      </c>
      <c r="S20" s="132">
        <f>IF(SER_hh_fec!S20=0,0,11630*1000*SER_hh_fec!S20/SER_hh_num!S20)</f>
        <v>0</v>
      </c>
      <c r="T20" s="132">
        <f>IF(SER_hh_fec!T20=0,0,11630*1000*SER_hh_fec!T20/SER_hh_num!T20)</f>
        <v>0</v>
      </c>
      <c r="U20" s="132">
        <f>IF(SER_hh_fec!U20=0,0,11630*1000*SER_hh_fec!U20/SER_hh_num!U20)</f>
        <v>0</v>
      </c>
      <c r="V20" s="132">
        <f>IF(SER_hh_fec!V20=0,0,11630*1000*SER_hh_fec!V20/SER_hh_num!V20)</f>
        <v>0</v>
      </c>
      <c r="W20" s="132">
        <f>IF(SER_hh_fec!W20=0,0,11630*1000*SER_hh_fec!W20/SER_hh_num!W20)</f>
        <v>0</v>
      </c>
      <c r="X20" s="132">
        <f>IF(SER_hh_fec!X20=0,0,11630*1000*SER_hh_fec!X20/SER_hh_num!X20)</f>
        <v>0</v>
      </c>
      <c r="Y20" s="132">
        <f>IF(SER_hh_fec!Y20=0,0,11630*1000*SER_hh_fec!Y20/SER_hh_num!Y20)</f>
        <v>0</v>
      </c>
      <c r="DA20" s="156" t="s">
        <v>401</v>
      </c>
    </row>
    <row r="21" spans="1:105" s="2" customFormat="1" ht="12" customHeight="1" x14ac:dyDescent="0.25">
      <c r="A21" s="131" t="s">
        <v>52</v>
      </c>
      <c r="B21" s="132">
        <f>IF(SER_hh_fec!B21=0,0,11630*1000*SER_hh_fec!B21/SER_hh_num!B21)</f>
        <v>6611.7194688955606</v>
      </c>
      <c r="C21" s="132">
        <f>IF(SER_hh_fec!C21=0,0,11630*1000*SER_hh_fec!C21/SER_hh_num!C21)</f>
        <v>6686.2819429459387</v>
      </c>
      <c r="D21" s="132">
        <f>IF(SER_hh_fec!D21=0,0,11630*1000*SER_hh_fec!D21/SER_hh_num!D21)</f>
        <v>6981.7456964570247</v>
      </c>
      <c r="E21" s="132">
        <f>IF(SER_hh_fec!E21=0,0,11630*1000*SER_hh_fec!E21/SER_hh_num!E21)</f>
        <v>7268.2101571890335</v>
      </c>
      <c r="F21" s="132">
        <f>IF(SER_hh_fec!F21=0,0,11630*1000*SER_hh_fec!F21/SER_hh_num!F21)</f>
        <v>7042.9929137937088</v>
      </c>
      <c r="G21" s="132">
        <f>IF(SER_hh_fec!G21=0,0,11630*1000*SER_hh_fec!G21/SER_hh_num!G21)</f>
        <v>7199.9668529878509</v>
      </c>
      <c r="H21" s="132">
        <f>IF(SER_hh_fec!H21=0,0,11630*1000*SER_hh_fec!H21/SER_hh_num!H21)</f>
        <v>7419.616793540119</v>
      </c>
      <c r="I21" s="132">
        <f>IF(SER_hh_fec!I21=0,0,11630*1000*SER_hh_fec!I21/SER_hh_num!I21)</f>
        <v>7365.7717377066092</v>
      </c>
      <c r="J21" s="132">
        <f>IF(SER_hh_fec!J21=0,0,11630*1000*SER_hh_fec!J21/SER_hh_num!J21)</f>
        <v>7322.033654775646</v>
      </c>
      <c r="K21" s="132">
        <f>IF(SER_hh_fec!K21=0,0,11630*1000*SER_hh_fec!K21/SER_hh_num!K21)</f>
        <v>7289.8560208863673</v>
      </c>
      <c r="L21" s="132">
        <f>IF(SER_hh_fec!L21=0,0,11630*1000*SER_hh_fec!L21/SER_hh_num!L21)</f>
        <v>7310.1667560980613</v>
      </c>
      <c r="M21" s="132">
        <f>IF(SER_hh_fec!M21=0,0,11630*1000*SER_hh_fec!M21/SER_hh_num!M21)</f>
        <v>7243.7013244310847</v>
      </c>
      <c r="N21" s="132">
        <f>IF(SER_hh_fec!N21=0,0,11630*1000*SER_hh_fec!N21/SER_hh_num!N21)</f>
        <v>7118.8379200586551</v>
      </c>
      <c r="O21" s="132">
        <f>IF(SER_hh_fec!O21=0,0,11630*1000*SER_hh_fec!O21/SER_hh_num!O21)</f>
        <v>7013.203515510394</v>
      </c>
      <c r="P21" s="132">
        <f>IF(SER_hh_fec!P21=0,0,11630*1000*SER_hh_fec!P21/SER_hh_num!P21)</f>
        <v>6689.6771065875855</v>
      </c>
      <c r="Q21" s="132">
        <f>IF(SER_hh_fec!Q21=0,0,11630*1000*SER_hh_fec!Q21/SER_hh_num!Q21)</f>
        <v>6449.8941313234609</v>
      </c>
      <c r="R21" s="132">
        <f>IF(SER_hh_fec!R21=0,0,11630*1000*SER_hh_fec!R21/SER_hh_num!R21)</f>
        <v>6304.4775579026873</v>
      </c>
      <c r="S21" s="132">
        <f>IF(SER_hh_fec!S21=0,0,11630*1000*SER_hh_fec!S21/SER_hh_num!S21)</f>
        <v>6177.6477021467699</v>
      </c>
      <c r="T21" s="132">
        <f>IF(SER_hh_fec!T21=0,0,11630*1000*SER_hh_fec!T21/SER_hh_num!T21)</f>
        <v>6713.2520083648214</v>
      </c>
      <c r="U21" s="132">
        <f>IF(SER_hh_fec!U21=0,0,11630*1000*SER_hh_fec!U21/SER_hh_num!U21)</f>
        <v>6224.1124873337158</v>
      </c>
      <c r="V21" s="132">
        <f>IF(SER_hh_fec!V21=0,0,11630*1000*SER_hh_fec!V21/SER_hh_num!V21)</f>
        <v>4551.964659972341</v>
      </c>
      <c r="W21" s="132">
        <f>IF(SER_hh_fec!W21=0,0,11630*1000*SER_hh_fec!W21/SER_hh_num!W21)</f>
        <v>4874.7919412641804</v>
      </c>
      <c r="X21" s="132">
        <f>IF(SER_hh_fec!X21=0,0,11630*1000*SER_hh_fec!X21/SER_hh_num!X21)</f>
        <v>4958.0348850696364</v>
      </c>
      <c r="Y21" s="132">
        <f>IF(SER_hh_fec!Y21=0,0,11630*1000*SER_hh_fec!Y21/SER_hh_num!Y21)</f>
        <v>5656.2695221716367</v>
      </c>
      <c r="DA21" s="156" t="s">
        <v>402</v>
      </c>
    </row>
    <row r="22" spans="1:105" ht="12" customHeight="1" x14ac:dyDescent="0.25">
      <c r="A22" s="131" t="s">
        <v>161</v>
      </c>
      <c r="B22" s="132">
        <f>IF(SER_hh_fec!B22=0,0,11630*1000*SER_hh_fec!B22/SER_hh_num!B22)</f>
        <v>6863.455307311021</v>
      </c>
      <c r="C22" s="132">
        <f>IF(SER_hh_fec!C22=0,0,11630*1000*SER_hh_fec!C22/SER_hh_num!C22)</f>
        <v>7174.0407957661973</v>
      </c>
      <c r="D22" s="132">
        <f>IF(SER_hh_fec!D22=0,0,11630*1000*SER_hh_fec!D22/SER_hh_num!D22)</f>
        <v>7371.7164164488613</v>
      </c>
      <c r="E22" s="132">
        <f>IF(SER_hh_fec!E22=0,0,11630*1000*SER_hh_fec!E22/SER_hh_num!E22)</f>
        <v>7464.2199181320348</v>
      </c>
      <c r="F22" s="132">
        <f>IF(SER_hh_fec!F22=0,0,11630*1000*SER_hh_fec!F22/SER_hh_num!F22)</f>
        <v>7718.3004794143262</v>
      </c>
      <c r="G22" s="132">
        <f>IF(SER_hh_fec!G22=0,0,11630*1000*SER_hh_fec!G22/SER_hh_num!G22)</f>
        <v>7851.2762564137556</v>
      </c>
      <c r="H22" s="132">
        <f>IF(SER_hh_fec!H22=0,0,11630*1000*SER_hh_fec!H22/SER_hh_num!H22)</f>
        <v>7921.7102604243246</v>
      </c>
      <c r="I22" s="132">
        <f>IF(SER_hh_fec!I22=0,0,11630*1000*SER_hh_fec!I22/SER_hh_num!I22)</f>
        <v>7690.1876866643724</v>
      </c>
      <c r="J22" s="132">
        <f>IF(SER_hh_fec!J22=0,0,11630*1000*SER_hh_fec!J22/SER_hh_num!J22)</f>
        <v>7691.2327560177664</v>
      </c>
      <c r="K22" s="132">
        <f>IF(SER_hh_fec!K22=0,0,11630*1000*SER_hh_fec!K22/SER_hh_num!K22)</f>
        <v>7687.3923832874816</v>
      </c>
      <c r="L22" s="132">
        <f>IF(SER_hh_fec!L22=0,0,11630*1000*SER_hh_fec!L22/SER_hh_num!L22)</f>
        <v>7646.7871165621809</v>
      </c>
      <c r="M22" s="132">
        <f>IF(SER_hh_fec!M22=0,0,11630*1000*SER_hh_fec!M22/SER_hh_num!M22)</f>
        <v>7580.5918641856988</v>
      </c>
      <c r="N22" s="132">
        <f>IF(SER_hh_fec!N22=0,0,11630*1000*SER_hh_fec!N22/SER_hh_num!N22)</f>
        <v>7520.1648934714467</v>
      </c>
      <c r="O22" s="132">
        <f>IF(SER_hh_fec!O22=0,0,11630*1000*SER_hh_fec!O22/SER_hh_num!O22)</f>
        <v>7259.9820100165543</v>
      </c>
      <c r="P22" s="132">
        <f>IF(SER_hh_fec!P22=0,0,11630*1000*SER_hh_fec!P22/SER_hh_num!P22)</f>
        <v>6834.1188196706462</v>
      </c>
      <c r="Q22" s="132">
        <f>IF(SER_hh_fec!Q22=0,0,11630*1000*SER_hh_fec!Q22/SER_hh_num!Q22)</f>
        <v>6680.5521797468937</v>
      </c>
      <c r="R22" s="132">
        <f>IF(SER_hh_fec!R22=0,0,11630*1000*SER_hh_fec!R22/SER_hh_num!R22)</f>
        <v>6483.2252468740153</v>
      </c>
      <c r="S22" s="132">
        <f>IF(SER_hh_fec!S22=0,0,11630*1000*SER_hh_fec!S22/SER_hh_num!S22)</f>
        <v>6145.3960610113882</v>
      </c>
      <c r="T22" s="132">
        <f>IF(SER_hh_fec!T22=0,0,11630*1000*SER_hh_fec!T22/SER_hh_num!T22)</f>
        <v>6104.3181210906332</v>
      </c>
      <c r="U22" s="132">
        <f>IF(SER_hh_fec!U22=0,0,11630*1000*SER_hh_fec!U22/SER_hh_num!U22)</f>
        <v>5862.6809352396776</v>
      </c>
      <c r="V22" s="132">
        <f>IF(SER_hh_fec!V22=0,0,11630*1000*SER_hh_fec!V22/SER_hh_num!V22)</f>
        <v>5427.5124432823477</v>
      </c>
      <c r="W22" s="132">
        <f>IF(SER_hh_fec!W22=0,0,11630*1000*SER_hh_fec!W22/SER_hh_num!W22)</f>
        <v>5640.6081156585187</v>
      </c>
      <c r="X22" s="132">
        <f>IF(SER_hh_fec!X22=0,0,11630*1000*SER_hh_fec!X22/SER_hh_num!X22)</f>
        <v>5390.0765797795011</v>
      </c>
      <c r="Y22" s="132">
        <f>IF(SER_hh_fec!Y22=0,0,11630*1000*SER_hh_fec!Y22/SER_hh_num!Y22)</f>
        <v>5176.053782145591</v>
      </c>
      <c r="DA22" s="156" t="s">
        <v>403</v>
      </c>
    </row>
    <row r="23" spans="1:105" ht="12" customHeight="1" x14ac:dyDescent="0.25">
      <c r="A23" s="131" t="s">
        <v>149</v>
      </c>
      <c r="B23" s="132">
        <f>IF(SER_hh_fec!B23=0,0,11630*1000*SER_hh_fec!B23/SER_hh_num!B23)</f>
        <v>7036.7453169759447</v>
      </c>
      <c r="C23" s="132">
        <f>IF(SER_hh_fec!C23=0,0,11630*1000*SER_hh_fec!C23/SER_hh_num!C23)</f>
        <v>7115.3161368169867</v>
      </c>
      <c r="D23" s="132">
        <f>IF(SER_hh_fec!D23=0,0,11630*1000*SER_hh_fec!D23/SER_hh_num!D23)</f>
        <v>7675.8612381323373</v>
      </c>
      <c r="E23" s="132">
        <f>IF(SER_hh_fec!E23=0,0,11630*1000*SER_hh_fec!E23/SER_hh_num!E23)</f>
        <v>3965.8570128337351</v>
      </c>
      <c r="F23" s="132">
        <f>IF(SER_hh_fec!F23=0,0,11630*1000*SER_hh_fec!F23/SER_hh_num!F23)</f>
        <v>5995.1821264974269</v>
      </c>
      <c r="G23" s="132">
        <f>IF(SER_hh_fec!G23=0,0,11630*1000*SER_hh_fec!G23/SER_hh_num!G23)</f>
        <v>5223.2421951873912</v>
      </c>
      <c r="H23" s="132">
        <f>IF(SER_hh_fec!H23=0,0,11630*1000*SER_hh_fec!H23/SER_hh_num!H23)</f>
        <v>8572.5349694789984</v>
      </c>
      <c r="I23" s="132">
        <f>IF(SER_hh_fec!I23=0,0,11630*1000*SER_hh_fec!I23/SER_hh_num!I23)</f>
        <v>7485.7980441636737</v>
      </c>
      <c r="J23" s="132">
        <f>IF(SER_hh_fec!J23=0,0,11630*1000*SER_hh_fec!J23/SER_hh_num!J23)</f>
        <v>6888.9952671090387</v>
      </c>
      <c r="K23" s="132">
        <f>IF(SER_hh_fec!K23=0,0,11630*1000*SER_hh_fec!K23/SER_hh_num!K23)</f>
        <v>6941.0749810534398</v>
      </c>
      <c r="L23" s="132">
        <f>IF(SER_hh_fec!L23=0,0,11630*1000*SER_hh_fec!L23/SER_hh_num!L23)</f>
        <v>6812.7572554062081</v>
      </c>
      <c r="M23" s="132">
        <f>IF(SER_hh_fec!M23=0,0,11630*1000*SER_hh_fec!M23/SER_hh_num!M23)</f>
        <v>6479.1463787596449</v>
      </c>
      <c r="N23" s="132">
        <f>IF(SER_hh_fec!N23=0,0,11630*1000*SER_hh_fec!N23/SER_hh_num!N23)</f>
        <v>6407.6635212821438</v>
      </c>
      <c r="O23" s="132">
        <f>IF(SER_hh_fec!O23=0,0,11630*1000*SER_hh_fec!O23/SER_hh_num!O23)</f>
        <v>6509.9986706575864</v>
      </c>
      <c r="P23" s="132">
        <f>IF(SER_hh_fec!P23=0,0,11630*1000*SER_hh_fec!P23/SER_hh_num!P23)</f>
        <v>7185.5201325676717</v>
      </c>
      <c r="Q23" s="132">
        <f>IF(SER_hh_fec!Q23=0,0,11630*1000*SER_hh_fec!Q23/SER_hh_num!Q23)</f>
        <v>5673.8374939939522</v>
      </c>
      <c r="R23" s="132">
        <f>IF(SER_hh_fec!R23=0,0,11630*1000*SER_hh_fec!R23/SER_hh_num!R23)</f>
        <v>5674.2035085148464</v>
      </c>
      <c r="S23" s="132">
        <f>IF(SER_hh_fec!S23=0,0,11630*1000*SER_hh_fec!S23/SER_hh_num!S23)</f>
        <v>5629.4611075491184</v>
      </c>
      <c r="T23" s="132">
        <f>IF(SER_hh_fec!T23=0,0,11630*1000*SER_hh_fec!T23/SER_hh_num!T23)</f>
        <v>5563.2611765404126</v>
      </c>
      <c r="U23" s="132">
        <f>IF(SER_hh_fec!U23=0,0,11630*1000*SER_hh_fec!U23/SER_hh_num!U23)</f>
        <v>5488.4633223218016</v>
      </c>
      <c r="V23" s="132">
        <f>IF(SER_hh_fec!V23=0,0,11630*1000*SER_hh_fec!V23/SER_hh_num!V23)</f>
        <v>4851.3453809893826</v>
      </c>
      <c r="W23" s="132">
        <f>IF(SER_hh_fec!W23=0,0,11630*1000*SER_hh_fec!W23/SER_hh_num!W23)</f>
        <v>5071.3628812838588</v>
      </c>
      <c r="X23" s="132">
        <f>IF(SER_hh_fec!X23=0,0,11630*1000*SER_hh_fec!X23/SER_hh_num!X23)</f>
        <v>4761.5372340534905</v>
      </c>
      <c r="Y23" s="132">
        <f>IF(SER_hh_fec!Y23=0,0,11630*1000*SER_hh_fec!Y23/SER_hh_num!Y23)</f>
        <v>4658.4586041011489</v>
      </c>
      <c r="DA23" s="156" t="s">
        <v>404</v>
      </c>
    </row>
    <row r="24" spans="1:105" ht="12" customHeight="1" x14ac:dyDescent="0.25">
      <c r="A24" s="131" t="s">
        <v>128</v>
      </c>
      <c r="B24" s="132">
        <f>IF(SER_hh_fec!B24=0,0,11630*1000*SER_hh_fec!B24/SER_hh_num!B24)</f>
        <v>0</v>
      </c>
      <c r="C24" s="132">
        <f>IF(SER_hh_fec!C24=0,0,11630*1000*SER_hh_fec!C24/SER_hh_num!C24)</f>
        <v>0</v>
      </c>
      <c r="D24" s="132">
        <f>IF(SER_hh_fec!D24=0,0,11630*1000*SER_hh_fec!D24/SER_hh_num!D24)</f>
        <v>0</v>
      </c>
      <c r="E24" s="132">
        <f>IF(SER_hh_fec!E24=0,0,11630*1000*SER_hh_fec!E24/SER_hh_num!E24)</f>
        <v>0</v>
      </c>
      <c r="F24" s="132">
        <f>IF(SER_hh_fec!F24=0,0,11630*1000*SER_hh_fec!F24/SER_hh_num!F24)</f>
        <v>0</v>
      </c>
      <c r="G24" s="132">
        <f>IF(SER_hh_fec!G24=0,0,11630*1000*SER_hh_fec!G24/SER_hh_num!G24)</f>
        <v>0</v>
      </c>
      <c r="H24" s="132">
        <f>IF(SER_hh_fec!H24=0,0,11630*1000*SER_hh_fec!H24/SER_hh_num!H24)</f>
        <v>0</v>
      </c>
      <c r="I24" s="132">
        <f>IF(SER_hh_fec!I24=0,0,11630*1000*SER_hh_fec!I24/SER_hh_num!I24)</f>
        <v>0</v>
      </c>
      <c r="J24" s="132">
        <f>IF(SER_hh_fec!J24=0,0,11630*1000*SER_hh_fec!J24/SER_hh_num!J24)</f>
        <v>0</v>
      </c>
      <c r="K24" s="132">
        <f>IF(SER_hh_fec!K24=0,0,11630*1000*SER_hh_fec!K24/SER_hh_num!K24)</f>
        <v>0</v>
      </c>
      <c r="L24" s="132">
        <f>IF(SER_hh_fec!L24=0,0,11630*1000*SER_hh_fec!L24/SER_hh_num!L24)</f>
        <v>0</v>
      </c>
      <c r="M24" s="132">
        <f>IF(SER_hh_fec!M24=0,0,11630*1000*SER_hh_fec!M24/SER_hh_num!M24)</f>
        <v>0</v>
      </c>
      <c r="N24" s="132">
        <f>IF(SER_hh_fec!N24=0,0,11630*1000*SER_hh_fec!N24/SER_hh_num!N24)</f>
        <v>0</v>
      </c>
      <c r="O24" s="132">
        <f>IF(SER_hh_fec!O24=0,0,11630*1000*SER_hh_fec!O24/SER_hh_num!O24)</f>
        <v>0</v>
      </c>
      <c r="P24" s="132">
        <f>IF(SER_hh_fec!P24=0,0,11630*1000*SER_hh_fec!P24/SER_hh_num!P24)</f>
        <v>0</v>
      </c>
      <c r="Q24" s="132">
        <f>IF(SER_hh_fec!Q24=0,0,11630*1000*SER_hh_fec!Q24/SER_hh_num!Q24)</f>
        <v>0</v>
      </c>
      <c r="R24" s="132">
        <f>IF(SER_hh_fec!R24=0,0,11630*1000*SER_hh_fec!R24/SER_hh_num!R24)</f>
        <v>0</v>
      </c>
      <c r="S24" s="132">
        <f>IF(SER_hh_fec!S24=0,0,11630*1000*SER_hh_fec!S24/SER_hh_num!S24)</f>
        <v>0</v>
      </c>
      <c r="T24" s="132">
        <f>IF(SER_hh_fec!T24=0,0,11630*1000*SER_hh_fec!T24/SER_hh_num!T24)</f>
        <v>0</v>
      </c>
      <c r="U24" s="132">
        <f>IF(SER_hh_fec!U24=0,0,11630*1000*SER_hh_fec!U24/SER_hh_num!U24)</f>
        <v>0</v>
      </c>
      <c r="V24" s="132">
        <f>IF(SER_hh_fec!V24=0,0,11630*1000*SER_hh_fec!V24/SER_hh_num!V24)</f>
        <v>0</v>
      </c>
      <c r="W24" s="132">
        <f>IF(SER_hh_fec!W24=0,0,11630*1000*SER_hh_fec!W24/SER_hh_num!W24)</f>
        <v>0</v>
      </c>
      <c r="X24" s="132">
        <f>IF(SER_hh_fec!X24=0,0,11630*1000*SER_hh_fec!X24/SER_hh_num!X24)</f>
        <v>0</v>
      </c>
      <c r="Y24" s="132">
        <f>IF(SER_hh_fec!Y24=0,0,11630*1000*SER_hh_fec!Y24/SER_hh_num!Y24)</f>
        <v>0</v>
      </c>
      <c r="DA24" s="156" t="s">
        <v>405</v>
      </c>
    </row>
    <row r="25" spans="1:105" ht="12" customHeight="1" x14ac:dyDescent="0.25">
      <c r="A25" s="131" t="s">
        <v>162</v>
      </c>
      <c r="B25" s="132">
        <f>IF(SER_hh_fec!B25=0,0,11630*1000*SER_hh_fec!B25/SER_hh_num!B25)</f>
        <v>0</v>
      </c>
      <c r="C25" s="132">
        <f>IF(SER_hh_fec!C25=0,0,11630*1000*SER_hh_fec!C25/SER_hh_num!C25)</f>
        <v>0</v>
      </c>
      <c r="D25" s="132">
        <f>IF(SER_hh_fec!D25=0,0,11630*1000*SER_hh_fec!D25/SER_hh_num!D25)</f>
        <v>0</v>
      </c>
      <c r="E25" s="132">
        <f>IF(SER_hh_fec!E25=0,0,11630*1000*SER_hh_fec!E25/SER_hh_num!E25)</f>
        <v>0</v>
      </c>
      <c r="F25" s="132">
        <f>IF(SER_hh_fec!F25=0,0,11630*1000*SER_hh_fec!F25/SER_hh_num!F25)</f>
        <v>0</v>
      </c>
      <c r="G25" s="132">
        <f>IF(SER_hh_fec!G25=0,0,11630*1000*SER_hh_fec!G25/SER_hh_num!G25)</f>
        <v>0</v>
      </c>
      <c r="H25" s="132">
        <f>IF(SER_hh_fec!H25=0,0,11630*1000*SER_hh_fec!H25/SER_hh_num!H25)</f>
        <v>0</v>
      </c>
      <c r="I25" s="132">
        <f>IF(SER_hh_fec!I25=0,0,11630*1000*SER_hh_fec!I25/SER_hh_num!I25)</f>
        <v>0</v>
      </c>
      <c r="J25" s="132">
        <f>IF(SER_hh_fec!J25=0,0,11630*1000*SER_hh_fec!J25/SER_hh_num!J25)</f>
        <v>0</v>
      </c>
      <c r="K25" s="132">
        <f>IF(SER_hh_fec!K25=0,0,11630*1000*SER_hh_fec!K25/SER_hh_num!K25)</f>
        <v>0</v>
      </c>
      <c r="L25" s="132">
        <f>IF(SER_hh_fec!L25=0,0,11630*1000*SER_hh_fec!L25/SER_hh_num!L25)</f>
        <v>0</v>
      </c>
      <c r="M25" s="132">
        <f>IF(SER_hh_fec!M25=0,0,11630*1000*SER_hh_fec!M25/SER_hh_num!M25)</f>
        <v>0</v>
      </c>
      <c r="N25" s="132">
        <f>IF(SER_hh_fec!N25=0,0,11630*1000*SER_hh_fec!N25/SER_hh_num!N25)</f>
        <v>0</v>
      </c>
      <c r="O25" s="132">
        <f>IF(SER_hh_fec!O25=0,0,11630*1000*SER_hh_fec!O25/SER_hh_num!O25)</f>
        <v>0</v>
      </c>
      <c r="P25" s="132">
        <f>IF(SER_hh_fec!P25=0,0,11630*1000*SER_hh_fec!P25/SER_hh_num!P25)</f>
        <v>0</v>
      </c>
      <c r="Q25" s="132">
        <f>IF(SER_hh_fec!Q25=0,0,11630*1000*SER_hh_fec!Q25/SER_hh_num!Q25)</f>
        <v>0</v>
      </c>
      <c r="R25" s="132">
        <f>IF(SER_hh_fec!R25=0,0,11630*1000*SER_hh_fec!R25/SER_hh_num!R25)</f>
        <v>0</v>
      </c>
      <c r="S25" s="132">
        <f>IF(SER_hh_fec!S25=0,0,11630*1000*SER_hh_fec!S25/SER_hh_num!S25)</f>
        <v>0</v>
      </c>
      <c r="T25" s="132">
        <f>IF(SER_hh_fec!T25=0,0,11630*1000*SER_hh_fec!T25/SER_hh_num!T25)</f>
        <v>0</v>
      </c>
      <c r="U25" s="132">
        <f>IF(SER_hh_fec!U25=0,0,11630*1000*SER_hh_fec!U25/SER_hh_num!U25)</f>
        <v>0</v>
      </c>
      <c r="V25" s="132">
        <f>IF(SER_hh_fec!V25=0,0,11630*1000*SER_hh_fec!V25/SER_hh_num!V25)</f>
        <v>0</v>
      </c>
      <c r="W25" s="132">
        <f>IF(SER_hh_fec!W25=0,0,11630*1000*SER_hh_fec!W25/SER_hh_num!W25)</f>
        <v>0</v>
      </c>
      <c r="X25" s="132">
        <f>IF(SER_hh_fec!X25=0,0,11630*1000*SER_hh_fec!X25/SER_hh_num!X25)</f>
        <v>0</v>
      </c>
      <c r="Y25" s="132">
        <f>IF(SER_hh_fec!Y25=0,0,11630*1000*SER_hh_fec!Y25/SER_hh_num!Y25)</f>
        <v>0</v>
      </c>
      <c r="DA25" s="156" t="s">
        <v>406</v>
      </c>
    </row>
    <row r="26" spans="1:105" ht="12" customHeight="1" x14ac:dyDescent="0.25">
      <c r="A26" s="131" t="s">
        <v>24</v>
      </c>
      <c r="B26" s="65">
        <f>IF(SER_hh_fec!B26=0,0,11630*1000*SER_hh_fec!B26/SER_hh_num!B26)</f>
        <v>5266.8850969366977</v>
      </c>
      <c r="C26" s="65">
        <f>IF(SER_hh_fec!C26=0,0,11630*1000*SER_hh_fec!C26/SER_hh_num!C26)</f>
        <v>5444.2959081554172</v>
      </c>
      <c r="D26" s="65">
        <f>IF(SER_hh_fec!D26=0,0,11630*1000*SER_hh_fec!D26/SER_hh_num!D26)</f>
        <v>5689.8563239529176</v>
      </c>
      <c r="E26" s="65">
        <f>IF(SER_hh_fec!E26=0,0,11630*1000*SER_hh_fec!E26/SER_hh_num!E26)</f>
        <v>5828.1858520271408</v>
      </c>
      <c r="F26" s="65">
        <f>IF(SER_hh_fec!F26=0,0,11630*1000*SER_hh_fec!F26/SER_hh_num!F26)</f>
        <v>6066.1633182854921</v>
      </c>
      <c r="G26" s="65">
        <f>IF(SER_hh_fec!G26=0,0,11630*1000*SER_hh_fec!G26/SER_hh_num!G26)</f>
        <v>6058.7236116573204</v>
      </c>
      <c r="H26" s="65">
        <f>IF(SER_hh_fec!H26=0,0,11630*1000*SER_hh_fec!H26/SER_hh_num!H26)</f>
        <v>5589.3102235232236</v>
      </c>
      <c r="I26" s="65">
        <f>IF(SER_hh_fec!I26=0,0,11630*1000*SER_hh_fec!I26/SER_hh_num!I26)</f>
        <v>5683.56737152595</v>
      </c>
      <c r="J26" s="65">
        <f>IF(SER_hh_fec!J26=0,0,11630*1000*SER_hh_fec!J26/SER_hh_num!J26)</f>
        <v>5845.3476560601803</v>
      </c>
      <c r="K26" s="65">
        <f>IF(SER_hh_fec!K26=0,0,11630*1000*SER_hh_fec!K26/SER_hh_num!K26)</f>
        <v>5779.4366578333502</v>
      </c>
      <c r="L26" s="65">
        <f>IF(SER_hh_fec!L26=0,0,11630*1000*SER_hh_fec!L26/SER_hh_num!L26)</f>
        <v>5826.4082663622794</v>
      </c>
      <c r="M26" s="65">
        <f>IF(SER_hh_fec!M26=0,0,11630*1000*SER_hh_fec!M26/SER_hh_num!M26)</f>
        <v>5920.6730029962719</v>
      </c>
      <c r="N26" s="65">
        <f>IF(SER_hh_fec!N26=0,0,11630*1000*SER_hh_fec!N26/SER_hh_num!N26)</f>
        <v>5566.0764657864556</v>
      </c>
      <c r="O26" s="65">
        <f>IF(SER_hh_fec!O26=0,0,11630*1000*SER_hh_fec!O26/SER_hh_num!O26)</f>
        <v>5775.4218738240952</v>
      </c>
      <c r="P26" s="65">
        <f>IF(SER_hh_fec!P26=0,0,11630*1000*SER_hh_fec!P26/SER_hh_num!P26)</f>
        <v>5085.429939004207</v>
      </c>
      <c r="Q26" s="65">
        <f>IF(SER_hh_fec!Q26=0,0,11630*1000*SER_hh_fec!Q26/SER_hh_num!Q26)</f>
        <v>5141.8487850901984</v>
      </c>
      <c r="R26" s="65">
        <f>IF(SER_hh_fec!R26=0,0,11630*1000*SER_hh_fec!R26/SER_hh_num!R26)</f>
        <v>4763.8358925535958</v>
      </c>
      <c r="S26" s="65">
        <f>IF(SER_hh_fec!S26=0,0,11630*1000*SER_hh_fec!S26/SER_hh_num!S26)</f>
        <v>4344.5959102903435</v>
      </c>
      <c r="T26" s="65">
        <f>IF(SER_hh_fec!T26=0,0,11630*1000*SER_hh_fec!T26/SER_hh_num!T26)</f>
        <v>5013.4083350812307</v>
      </c>
      <c r="U26" s="65">
        <f>IF(SER_hh_fec!U26=0,0,11630*1000*SER_hh_fec!U26/SER_hh_num!U26)</f>
        <v>4776.0158289496521</v>
      </c>
      <c r="V26" s="65">
        <f>IF(SER_hh_fec!V26=0,0,11630*1000*SER_hh_fec!V26/SER_hh_num!V26)</f>
        <v>3745.9820343438723</v>
      </c>
      <c r="W26" s="65">
        <f>IF(SER_hh_fec!W26=0,0,11630*1000*SER_hh_fec!W26/SER_hh_num!W26)</f>
        <v>4219.8748583908482</v>
      </c>
      <c r="X26" s="65">
        <f>IF(SER_hh_fec!X26=0,0,11630*1000*SER_hh_fec!X26/SER_hh_num!X26)</f>
        <v>3771.4833337422638</v>
      </c>
      <c r="Y26" s="65">
        <f>IF(SER_hh_fec!Y26=0,0,11630*1000*SER_hh_fec!Y26/SER_hh_num!Y26)</f>
        <v>3885.414956933002</v>
      </c>
      <c r="DA26" s="109" t="s">
        <v>407</v>
      </c>
    </row>
    <row r="27" spans="1:105" ht="12" customHeight="1" x14ac:dyDescent="0.25">
      <c r="A27" s="144" t="s">
        <v>86</v>
      </c>
      <c r="B27" s="145">
        <f>IF(SER_hh_fec!B27=0,0,11630*1000*SER_hh_fec!B27/SER_hh_num!B19)</f>
        <v>41.858026943717881</v>
      </c>
      <c r="C27" s="145">
        <f>IF(SER_hh_fec!C27=0,0,11630*1000*SER_hh_fec!C27/SER_hh_num!C19)</f>
        <v>51.611442901277279</v>
      </c>
      <c r="D27" s="145">
        <f>IF(SER_hh_fec!D27=0,0,11630*1000*SER_hh_fec!D27/SER_hh_num!D19)</f>
        <v>61.605402628325997</v>
      </c>
      <c r="E27" s="145">
        <f>IF(SER_hh_fec!E27=0,0,11630*1000*SER_hh_fec!E27/SER_hh_num!E19)</f>
        <v>75.924424546598857</v>
      </c>
      <c r="F27" s="145">
        <f>IF(SER_hh_fec!F27=0,0,11630*1000*SER_hh_fec!F27/SER_hh_num!F19)</f>
        <v>87.393341461732106</v>
      </c>
      <c r="G27" s="145">
        <f>IF(SER_hh_fec!G27=0,0,11630*1000*SER_hh_fec!G27/SER_hh_num!G19)</f>
        <v>102.61003915040196</v>
      </c>
      <c r="H27" s="145">
        <f>IF(SER_hh_fec!H27=0,0,11630*1000*SER_hh_fec!H27/SER_hh_num!H19)</f>
        <v>114.89127068883226</v>
      </c>
      <c r="I27" s="145">
        <f>IF(SER_hh_fec!I27=0,0,11630*1000*SER_hh_fec!I27/SER_hh_num!I19)</f>
        <v>120.06129370862378</v>
      </c>
      <c r="J27" s="145">
        <f>IF(SER_hh_fec!J27=0,0,11630*1000*SER_hh_fec!J27/SER_hh_num!J19)</f>
        <v>137.84650456701189</v>
      </c>
      <c r="K27" s="145">
        <f>IF(SER_hh_fec!K27=0,0,11630*1000*SER_hh_fec!K27/SER_hh_num!K19)</f>
        <v>164.87658702212303</v>
      </c>
      <c r="L27" s="145">
        <f>IF(SER_hh_fec!L27=0,0,11630*1000*SER_hh_fec!L27/SER_hh_num!L19)</f>
        <v>180.10137965419057</v>
      </c>
      <c r="M27" s="145">
        <f>IF(SER_hh_fec!M27=0,0,11630*1000*SER_hh_fec!M27/SER_hh_num!M19)</f>
        <v>193.77770161321035</v>
      </c>
      <c r="N27" s="145">
        <f>IF(SER_hh_fec!N27=0,0,11630*1000*SER_hh_fec!N27/SER_hh_num!N19)</f>
        <v>206.41684218095344</v>
      </c>
      <c r="O27" s="145">
        <f>IF(SER_hh_fec!O27=0,0,11630*1000*SER_hh_fec!O27/SER_hh_num!O19)</f>
        <v>210.63548366082944</v>
      </c>
      <c r="P27" s="145">
        <f>IF(SER_hh_fec!P27=0,0,11630*1000*SER_hh_fec!P27/SER_hh_num!P19)</f>
        <v>224.41088518471759</v>
      </c>
      <c r="Q27" s="145">
        <f>IF(SER_hh_fec!Q27=0,0,11630*1000*SER_hh_fec!Q27/SER_hh_num!Q19)</f>
        <v>236.17774100391176</v>
      </c>
      <c r="R27" s="145">
        <f>IF(SER_hh_fec!R27=0,0,11630*1000*SER_hh_fec!R27/SER_hh_num!R19)</f>
        <v>233.21213761545937</v>
      </c>
      <c r="S27" s="145">
        <f>IF(SER_hh_fec!S27=0,0,11630*1000*SER_hh_fec!S27/SER_hh_num!S19)</f>
        <v>235.1903211498159</v>
      </c>
      <c r="T27" s="145">
        <f>IF(SER_hh_fec!T27=0,0,11630*1000*SER_hh_fec!T27/SER_hh_num!T19)</f>
        <v>236.71964879718129</v>
      </c>
      <c r="U27" s="145">
        <f>IF(SER_hh_fec!U27=0,0,11630*1000*SER_hh_fec!U27/SER_hh_num!U19)</f>
        <v>236.66692777415204</v>
      </c>
      <c r="V27" s="145">
        <f>IF(SER_hh_fec!V27=0,0,11630*1000*SER_hh_fec!V27/SER_hh_num!V19)</f>
        <v>233.17621718325051</v>
      </c>
      <c r="W27" s="145">
        <f>IF(SER_hh_fec!W27=0,0,11630*1000*SER_hh_fec!W27/SER_hh_num!W19)</f>
        <v>226.80934133052739</v>
      </c>
      <c r="X27" s="145">
        <f>IF(SER_hh_fec!X27=0,0,11630*1000*SER_hh_fec!X27/SER_hh_num!X19)</f>
        <v>217.99061045932672</v>
      </c>
      <c r="Y27" s="145">
        <f>IF(SER_hh_fec!Y27=0,0,11630*1000*SER_hh_fec!Y27/SER_hh_num!Y19)</f>
        <v>208.6910344896144</v>
      </c>
      <c r="DA27" s="158" t="s">
        <v>408</v>
      </c>
    </row>
    <row r="28" spans="1:105" ht="12" customHeight="1" x14ac:dyDescent="0.25">
      <c r="A28" s="78" t="s">
        <v>85</v>
      </c>
      <c r="B28" s="146">
        <f>IF(SER_hh_fec!B27=0,0,11630*1000*SER_hh_fec!B27/SER_hh_num!B27)</f>
        <v>2851.6304802482041</v>
      </c>
      <c r="C28" s="146">
        <f>IF(SER_hh_fec!C27=0,0,11630*1000*SER_hh_fec!C27/SER_hh_num!C27)</f>
        <v>2596.2968246147448</v>
      </c>
      <c r="D28" s="146">
        <f>IF(SER_hh_fec!D27=0,0,11630*1000*SER_hh_fec!D27/SER_hh_num!D27)</f>
        <v>3179.8321188647146</v>
      </c>
      <c r="E28" s="146">
        <f>IF(SER_hh_fec!E27=0,0,11630*1000*SER_hh_fec!E27/SER_hh_num!E27)</f>
        <v>3305.4366778336175</v>
      </c>
      <c r="F28" s="146">
        <f>IF(SER_hh_fec!F27=0,0,11630*1000*SER_hh_fec!F27/SER_hh_num!F27)</f>
        <v>3423.7033253514373</v>
      </c>
      <c r="G28" s="146">
        <f>IF(SER_hh_fec!G27=0,0,11630*1000*SER_hh_fec!G27/SER_hh_num!G27)</f>
        <v>3426.2766140054096</v>
      </c>
      <c r="H28" s="146">
        <f>IF(SER_hh_fec!H27=0,0,11630*1000*SER_hh_fec!H27/SER_hh_num!H27)</f>
        <v>3406.9873584106076</v>
      </c>
      <c r="I28" s="146">
        <f>IF(SER_hh_fec!I27=0,0,11630*1000*SER_hh_fec!I27/SER_hh_num!I27)</f>
        <v>3439.2624385899403</v>
      </c>
      <c r="J28" s="146">
        <f>IF(SER_hh_fec!J27=0,0,11630*1000*SER_hh_fec!J27/SER_hh_num!J27)</f>
        <v>3498.767983403503</v>
      </c>
      <c r="K28" s="146">
        <f>IF(SER_hh_fec!K27=0,0,11630*1000*SER_hh_fec!K27/SER_hh_num!K27)</f>
        <v>3544.6749597908256</v>
      </c>
      <c r="L28" s="146">
        <f>IF(SER_hh_fec!L27=0,0,11630*1000*SER_hh_fec!L27/SER_hh_num!L27)</f>
        <v>3588.8197448376127</v>
      </c>
      <c r="M28" s="146">
        <f>IF(SER_hh_fec!M27=0,0,11630*1000*SER_hh_fec!M27/SER_hh_num!M27)</f>
        <v>3497.7571992588432</v>
      </c>
      <c r="N28" s="146">
        <f>IF(SER_hh_fec!N27=0,0,11630*1000*SER_hh_fec!N27/SER_hh_num!N27)</f>
        <v>3556.1882523839108</v>
      </c>
      <c r="O28" s="146">
        <f>IF(SER_hh_fec!O27=0,0,11630*1000*SER_hh_fec!O27/SER_hh_num!O27)</f>
        <v>3773.4936898700907</v>
      </c>
      <c r="P28" s="146">
        <f>IF(SER_hh_fec!P27=0,0,11630*1000*SER_hh_fec!P27/SER_hh_num!P27)</f>
        <v>3500.6373176394154</v>
      </c>
      <c r="Q28" s="146">
        <f>IF(SER_hh_fec!Q27=0,0,11630*1000*SER_hh_fec!Q27/SER_hh_num!Q27)</f>
        <v>3592.8690692170171</v>
      </c>
      <c r="R28" s="146">
        <f>IF(SER_hh_fec!R27=0,0,11630*1000*SER_hh_fec!R27/SER_hh_num!R27)</f>
        <v>3478.5908692572107</v>
      </c>
      <c r="S28" s="146">
        <f>IF(SER_hh_fec!S27=0,0,11630*1000*SER_hh_fec!S27/SER_hh_num!S27)</f>
        <v>3283.3620870727891</v>
      </c>
      <c r="T28" s="146">
        <f>IF(SER_hh_fec!T27=0,0,11630*1000*SER_hh_fec!T27/SER_hh_num!T27)</f>
        <v>3501.6903790802189</v>
      </c>
      <c r="U28" s="146">
        <f>IF(SER_hh_fec!U27=0,0,11630*1000*SER_hh_fec!U27/SER_hh_num!U27)</f>
        <v>3389.5054359298992</v>
      </c>
      <c r="V28" s="146">
        <f>IF(SER_hh_fec!V27=0,0,11630*1000*SER_hh_fec!V27/SER_hh_num!V27)</f>
        <v>3054.2833727148359</v>
      </c>
      <c r="W28" s="146">
        <f>IF(SER_hh_fec!W27=0,0,11630*1000*SER_hh_fec!W27/SER_hh_num!W27)</f>
        <v>3319.6207408901191</v>
      </c>
      <c r="X28" s="146">
        <f>IF(SER_hh_fec!X27=0,0,11630*1000*SER_hh_fec!X27/SER_hh_num!X27)</f>
        <v>3157.0474943630497</v>
      </c>
      <c r="Y28" s="146">
        <f>IF(SER_hh_fec!Y27=0,0,11630*1000*SER_hh_fec!Y27/SER_hh_num!Y27)</f>
        <v>3254.730615342125</v>
      </c>
      <c r="DA28" s="159"/>
    </row>
    <row r="29" spans="1:105" ht="12.95" customHeight="1" x14ac:dyDescent="0.25">
      <c r="A29" s="129" t="s">
        <v>34</v>
      </c>
      <c r="B29" s="130">
        <f>IF(SER_hh_fec!B29=0,0,11630*1000*SER_hh_fec!B29/SER_hh_num!B29)</f>
        <v>6384.0700163287383</v>
      </c>
      <c r="C29" s="130">
        <f>IF(SER_hh_fec!C29=0,0,11630*1000*SER_hh_fec!C29/SER_hh_num!C29)</f>
        <v>6574.2117156275917</v>
      </c>
      <c r="D29" s="130">
        <f>IF(SER_hh_fec!D29=0,0,11630*1000*SER_hh_fec!D29/SER_hh_num!D29)</f>
        <v>6299.8518667167655</v>
      </c>
      <c r="E29" s="130">
        <f>IF(SER_hh_fec!E29=0,0,11630*1000*SER_hh_fec!E29/SER_hh_num!E29)</f>
        <v>6050.3300420003743</v>
      </c>
      <c r="F29" s="130">
        <f>IF(SER_hh_fec!F29=0,0,11630*1000*SER_hh_fec!F29/SER_hh_num!F29)</f>
        <v>6499.3175679501137</v>
      </c>
      <c r="G29" s="130">
        <f>IF(SER_hh_fec!G29=0,0,11630*1000*SER_hh_fec!G29/SER_hh_num!G29)</f>
        <v>6500.5199853285885</v>
      </c>
      <c r="H29" s="130">
        <f>IF(SER_hh_fec!H29=0,0,11630*1000*SER_hh_fec!H29/SER_hh_num!H29)</f>
        <v>6856.2800363668284</v>
      </c>
      <c r="I29" s="130">
        <f>IF(SER_hh_fec!I29=0,0,11630*1000*SER_hh_fec!I29/SER_hh_num!I29)</f>
        <v>6933.370120797561</v>
      </c>
      <c r="J29" s="130">
        <f>IF(SER_hh_fec!J29=0,0,11630*1000*SER_hh_fec!J29/SER_hh_num!J29)</f>
        <v>7081.660156644818</v>
      </c>
      <c r="K29" s="130">
        <f>IF(SER_hh_fec!K29=0,0,11630*1000*SER_hh_fec!K29/SER_hh_num!K29)</f>
        <v>7068.1903629884446</v>
      </c>
      <c r="L29" s="130">
        <f>IF(SER_hh_fec!L29=0,0,11630*1000*SER_hh_fec!L29/SER_hh_num!L29)</f>
        <v>7217.218701763044</v>
      </c>
      <c r="M29" s="130">
        <f>IF(SER_hh_fec!M29=0,0,11630*1000*SER_hh_fec!M29/SER_hh_num!M29)</f>
        <v>7283.8092361407935</v>
      </c>
      <c r="N29" s="130">
        <f>IF(SER_hh_fec!N29=0,0,11630*1000*SER_hh_fec!N29/SER_hh_num!N29)</f>
        <v>7165.1565292437899</v>
      </c>
      <c r="O29" s="130">
        <f>IF(SER_hh_fec!O29=0,0,11630*1000*SER_hh_fec!O29/SER_hh_num!O29)</f>
        <v>7262.8723967429887</v>
      </c>
      <c r="P29" s="130">
        <f>IF(SER_hh_fec!P29=0,0,11630*1000*SER_hh_fec!P29/SER_hh_num!P29)</f>
        <v>7616.7021557150301</v>
      </c>
      <c r="Q29" s="130">
        <f>IF(SER_hh_fec!Q29=0,0,11630*1000*SER_hh_fec!Q29/SER_hh_num!Q29)</f>
        <v>7685.9651181518366</v>
      </c>
      <c r="R29" s="130">
        <f>IF(SER_hh_fec!R29=0,0,11630*1000*SER_hh_fec!R29/SER_hh_num!R29)</f>
        <v>7609.0147594328419</v>
      </c>
      <c r="S29" s="130">
        <f>IF(SER_hh_fec!S29=0,0,11630*1000*SER_hh_fec!S29/SER_hh_num!S29)</f>
        <v>7772.7543409281297</v>
      </c>
      <c r="T29" s="130">
        <f>IF(SER_hh_fec!T29=0,0,11630*1000*SER_hh_fec!T29/SER_hh_num!T29)</f>
        <v>7822.8621474932952</v>
      </c>
      <c r="U29" s="130">
        <f>IF(SER_hh_fec!U29=0,0,11630*1000*SER_hh_fec!U29/SER_hh_num!U29)</f>
        <v>7941.2904934918788</v>
      </c>
      <c r="V29" s="130">
        <f>IF(SER_hh_fec!V29=0,0,11630*1000*SER_hh_fec!V29/SER_hh_num!V29)</f>
        <v>6636.1674690059044</v>
      </c>
      <c r="W29" s="130">
        <f>IF(SER_hh_fec!W29=0,0,11630*1000*SER_hh_fec!W29/SER_hh_num!W29)</f>
        <v>7529.0591287752432</v>
      </c>
      <c r="X29" s="130">
        <f>IF(SER_hh_fec!X29=0,0,11630*1000*SER_hh_fec!X29/SER_hh_num!X29)</f>
        <v>6720.6092965420439</v>
      </c>
      <c r="Y29" s="130">
        <f>IF(SER_hh_fec!Y29=0,0,11630*1000*SER_hh_fec!Y29/SER_hh_num!Y29)</f>
        <v>7591.2444075775493</v>
      </c>
      <c r="DA29" s="155" t="s">
        <v>409</v>
      </c>
    </row>
    <row r="30" spans="1:105" ht="12" customHeight="1" x14ac:dyDescent="0.25">
      <c r="A30" s="131" t="s">
        <v>52</v>
      </c>
      <c r="B30" s="132">
        <f>IF(SER_hh_fec!B30=0,0,11630*1000*SER_hh_fec!B30/SER_hh_num!B30)</f>
        <v>7532.1033022133925</v>
      </c>
      <c r="C30" s="132">
        <f>IF(SER_hh_fec!C30=0,0,11630*1000*SER_hh_fec!C30/SER_hh_num!C30)</f>
        <v>7968.6670812680641</v>
      </c>
      <c r="D30" s="132">
        <f>IF(SER_hh_fec!D30=0,0,11630*1000*SER_hh_fec!D30/SER_hh_num!D30)</f>
        <v>7705.6429947550705</v>
      </c>
      <c r="E30" s="132">
        <f>IF(SER_hh_fec!E30=0,0,11630*1000*SER_hh_fec!E30/SER_hh_num!E30)</f>
        <v>7484.6462761367638</v>
      </c>
      <c r="F30" s="132">
        <f>IF(SER_hh_fec!F30=0,0,11630*1000*SER_hh_fec!F30/SER_hh_num!F30)</f>
        <v>8110.7961702277844</v>
      </c>
      <c r="G30" s="132">
        <f>IF(SER_hh_fec!G30=0,0,11630*1000*SER_hh_fec!G30/SER_hh_num!G30)</f>
        <v>7912.6460293545024</v>
      </c>
      <c r="H30" s="132">
        <f>IF(SER_hh_fec!H30=0,0,11630*1000*SER_hh_fec!H30/SER_hh_num!H30)</f>
        <v>7711.1471024918528</v>
      </c>
      <c r="I30" s="132">
        <f>IF(SER_hh_fec!I30=0,0,11630*1000*SER_hh_fec!I30/SER_hh_num!I30)</f>
        <v>8319.8237914602123</v>
      </c>
      <c r="J30" s="132">
        <f>IF(SER_hh_fec!J30=0,0,11630*1000*SER_hh_fec!J30/SER_hh_num!J30)</f>
        <v>8968.6910466599802</v>
      </c>
      <c r="K30" s="132">
        <f>IF(SER_hh_fec!K30=0,0,11630*1000*SER_hh_fec!K30/SER_hh_num!K30)</f>
        <v>8430.5687923605637</v>
      </c>
      <c r="L30" s="132">
        <f>IF(SER_hh_fec!L30=0,0,11630*1000*SER_hh_fec!L30/SER_hh_num!L30)</f>
        <v>8800.6056795982931</v>
      </c>
      <c r="M30" s="132">
        <f>IF(SER_hh_fec!M30=0,0,11630*1000*SER_hh_fec!M30/SER_hh_num!M30)</f>
        <v>8703.02166568338</v>
      </c>
      <c r="N30" s="132">
        <f>IF(SER_hh_fec!N30=0,0,11630*1000*SER_hh_fec!N30/SER_hh_num!N30)</f>
        <v>8843.0977162210202</v>
      </c>
      <c r="O30" s="132">
        <f>IF(SER_hh_fec!O30=0,0,11630*1000*SER_hh_fec!O30/SER_hh_num!O30)</f>
        <v>8841.5747044651471</v>
      </c>
      <c r="P30" s="132">
        <f>IF(SER_hh_fec!P30=0,0,11630*1000*SER_hh_fec!P30/SER_hh_num!P30)</f>
        <v>6094.390916763281</v>
      </c>
      <c r="Q30" s="132">
        <f>IF(SER_hh_fec!Q30=0,0,11630*1000*SER_hh_fec!Q30/SER_hh_num!Q30)</f>
        <v>8372.5118690266609</v>
      </c>
      <c r="R30" s="132">
        <f>IF(SER_hh_fec!R30=0,0,11630*1000*SER_hh_fec!R30/SER_hh_num!R30)</f>
        <v>10428.497336580789</v>
      </c>
      <c r="S30" s="132">
        <f>IF(SER_hh_fec!S30=0,0,11630*1000*SER_hh_fec!S30/SER_hh_num!S30)</f>
        <v>8121.251727345707</v>
      </c>
      <c r="T30" s="132">
        <f>IF(SER_hh_fec!T30=0,0,11630*1000*SER_hh_fec!T30/SER_hh_num!T30)</f>
        <v>9588.2427916167617</v>
      </c>
      <c r="U30" s="132">
        <f>IF(SER_hh_fec!U30=0,0,11630*1000*SER_hh_fec!U30/SER_hh_num!U30)</f>
        <v>9235.5712591427473</v>
      </c>
      <c r="V30" s="132">
        <f>IF(SER_hh_fec!V30=0,0,11630*1000*SER_hh_fec!V30/SER_hh_num!V30)</f>
        <v>6384.384020119739</v>
      </c>
      <c r="W30" s="132">
        <f>IF(SER_hh_fec!W30=0,0,11630*1000*SER_hh_fec!W30/SER_hh_num!W30)</f>
        <v>7288.289466699357</v>
      </c>
      <c r="X30" s="132">
        <f>IF(SER_hh_fec!X30=0,0,11630*1000*SER_hh_fec!X30/SER_hh_num!X30)</f>
        <v>7747.0694263786027</v>
      </c>
      <c r="Y30" s="132">
        <f>IF(SER_hh_fec!Y30=0,0,11630*1000*SER_hh_fec!Y30/SER_hh_num!Y30)</f>
        <v>9852.2308054035038</v>
      </c>
      <c r="DA30" s="156" t="s">
        <v>410</v>
      </c>
    </row>
    <row r="31" spans="1:105" ht="12" customHeight="1" x14ac:dyDescent="0.25">
      <c r="A31" s="131" t="s">
        <v>149</v>
      </c>
      <c r="B31" s="132">
        <f>IF(SER_hh_fec!B31=0,0,11630*1000*SER_hh_fec!B31/SER_hh_num!B31)</f>
        <v>7167.5817769131963</v>
      </c>
      <c r="C31" s="132">
        <f>IF(SER_hh_fec!C31=0,0,11630*1000*SER_hh_fec!C31/SER_hh_num!C31)</f>
        <v>8309.80768228327</v>
      </c>
      <c r="D31" s="132">
        <f>IF(SER_hh_fec!D31=0,0,11630*1000*SER_hh_fec!D31/SER_hh_num!D31)</f>
        <v>7199.0593365721552</v>
      </c>
      <c r="E31" s="132">
        <f>IF(SER_hh_fec!E31=0,0,11630*1000*SER_hh_fec!E31/SER_hh_num!E31)</f>
        <v>6080.6284417684001</v>
      </c>
      <c r="F31" s="132">
        <f>IF(SER_hh_fec!F31=0,0,11630*1000*SER_hh_fec!F31/SER_hh_num!F31)</f>
        <v>8124.9016027515936</v>
      </c>
      <c r="G31" s="132">
        <f>IF(SER_hh_fec!G31=0,0,11630*1000*SER_hh_fec!G31/SER_hh_num!G31)</f>
        <v>7893.4741787861931</v>
      </c>
      <c r="H31" s="132">
        <f>IF(SER_hh_fec!H31=0,0,11630*1000*SER_hh_fec!H31/SER_hh_num!H31)</f>
        <v>8338.9010353176946</v>
      </c>
      <c r="I31" s="132">
        <f>IF(SER_hh_fec!I31=0,0,11630*1000*SER_hh_fec!I31/SER_hh_num!I31)</f>
        <v>8292.9132856738015</v>
      </c>
      <c r="J31" s="132">
        <f>IF(SER_hh_fec!J31=0,0,11630*1000*SER_hh_fec!J31/SER_hh_num!J31)</f>
        <v>8448.555682088112</v>
      </c>
      <c r="K31" s="132">
        <f>IF(SER_hh_fec!K31=0,0,11630*1000*SER_hh_fec!K31/SER_hh_num!K31)</f>
        <v>8360.3369547393995</v>
      </c>
      <c r="L31" s="132">
        <f>IF(SER_hh_fec!L31=0,0,11630*1000*SER_hh_fec!L31/SER_hh_num!L31)</f>
        <v>8546.1994222007525</v>
      </c>
      <c r="M31" s="132">
        <f>IF(SER_hh_fec!M31=0,0,11630*1000*SER_hh_fec!M31/SER_hh_num!M31)</f>
        <v>8373.3972058623003</v>
      </c>
      <c r="N31" s="132">
        <f>IF(SER_hh_fec!N31=0,0,11630*1000*SER_hh_fec!N31/SER_hh_num!N31)</f>
        <v>7645.4849562256259</v>
      </c>
      <c r="O31" s="132">
        <f>IF(SER_hh_fec!O31=0,0,11630*1000*SER_hh_fec!O31/SER_hh_num!O31)</f>
        <v>7147.1342948458259</v>
      </c>
      <c r="P31" s="132">
        <f>IF(SER_hh_fec!P31=0,0,11630*1000*SER_hh_fec!P31/SER_hh_num!P31)</f>
        <v>9515.1631044405331</v>
      </c>
      <c r="Q31" s="132">
        <f>IF(SER_hh_fec!Q31=0,0,11630*1000*SER_hh_fec!Q31/SER_hh_num!Q31)</f>
        <v>8893.0293621890069</v>
      </c>
      <c r="R31" s="132">
        <f>IF(SER_hh_fec!R31=0,0,11630*1000*SER_hh_fec!R31/SER_hh_num!R31)</f>
        <v>8821.258498797888</v>
      </c>
      <c r="S31" s="132">
        <f>IF(SER_hh_fec!S31=0,0,11630*1000*SER_hh_fec!S31/SER_hh_num!S31)</f>
        <v>8855.5620590117433</v>
      </c>
      <c r="T31" s="132">
        <f>IF(SER_hh_fec!T31=0,0,11630*1000*SER_hh_fec!T31/SER_hh_num!T31)</f>
        <v>8013.5049127105622</v>
      </c>
      <c r="U31" s="132">
        <f>IF(SER_hh_fec!U31=0,0,11630*1000*SER_hh_fec!U31/SER_hh_num!U31)</f>
        <v>8284.5820174448254</v>
      </c>
      <c r="V31" s="132">
        <f>IF(SER_hh_fec!V31=0,0,11630*1000*SER_hh_fec!V31/SER_hh_num!V31)</f>
        <v>8710.8319948796325</v>
      </c>
      <c r="W31" s="132">
        <f>IF(SER_hh_fec!W31=0,0,11630*1000*SER_hh_fec!W31/SER_hh_num!W31)</f>
        <v>8771.9498290612901</v>
      </c>
      <c r="X31" s="132">
        <f>IF(SER_hh_fec!X31=0,0,11630*1000*SER_hh_fec!X31/SER_hh_num!X31)</f>
        <v>8087.3448772567235</v>
      </c>
      <c r="Y31" s="132">
        <f>IF(SER_hh_fec!Y31=0,0,11630*1000*SER_hh_fec!Y31/SER_hh_num!Y31)</f>
        <v>8344.8138156675832</v>
      </c>
      <c r="DA31" s="156" t="s">
        <v>411</v>
      </c>
    </row>
    <row r="32" spans="1:105" ht="12" customHeight="1" x14ac:dyDescent="0.25">
      <c r="A32" s="131" t="s">
        <v>128</v>
      </c>
      <c r="B32" s="132">
        <f>IF(SER_hh_fec!B32=0,0,11630*1000*SER_hh_fec!B32/SER_hh_num!B32)</f>
        <v>0</v>
      </c>
      <c r="C32" s="132">
        <f>IF(SER_hh_fec!C32=0,0,11630*1000*SER_hh_fec!C32/SER_hh_num!C32)</f>
        <v>0</v>
      </c>
      <c r="D32" s="132">
        <f>IF(SER_hh_fec!D32=0,0,11630*1000*SER_hh_fec!D32/SER_hh_num!D32)</f>
        <v>0</v>
      </c>
      <c r="E32" s="132">
        <f>IF(SER_hh_fec!E32=0,0,11630*1000*SER_hh_fec!E32/SER_hh_num!E32)</f>
        <v>0</v>
      </c>
      <c r="F32" s="132">
        <f>IF(SER_hh_fec!F32=0,0,11630*1000*SER_hh_fec!F32/SER_hh_num!F32)</f>
        <v>0</v>
      </c>
      <c r="G32" s="132">
        <f>IF(SER_hh_fec!G32=0,0,11630*1000*SER_hh_fec!G32/SER_hh_num!G32)</f>
        <v>0</v>
      </c>
      <c r="H32" s="132">
        <f>IF(SER_hh_fec!H32=0,0,11630*1000*SER_hh_fec!H32/SER_hh_num!H32)</f>
        <v>0</v>
      </c>
      <c r="I32" s="132">
        <f>IF(SER_hh_fec!I32=0,0,11630*1000*SER_hh_fec!I32/SER_hh_num!I32)</f>
        <v>0</v>
      </c>
      <c r="J32" s="132">
        <f>IF(SER_hh_fec!J32=0,0,11630*1000*SER_hh_fec!J32/SER_hh_num!J32)</f>
        <v>0</v>
      </c>
      <c r="K32" s="132">
        <f>IF(SER_hh_fec!K32=0,0,11630*1000*SER_hh_fec!K32/SER_hh_num!K32)</f>
        <v>0</v>
      </c>
      <c r="L32" s="132">
        <f>IF(SER_hh_fec!L32=0,0,11630*1000*SER_hh_fec!L32/SER_hh_num!L32)</f>
        <v>0</v>
      </c>
      <c r="M32" s="132">
        <f>IF(SER_hh_fec!M32=0,0,11630*1000*SER_hh_fec!M32/SER_hh_num!M32)</f>
        <v>0</v>
      </c>
      <c r="N32" s="132">
        <f>IF(SER_hh_fec!N32=0,0,11630*1000*SER_hh_fec!N32/SER_hh_num!N32)</f>
        <v>0</v>
      </c>
      <c r="O32" s="132">
        <f>IF(SER_hh_fec!O32=0,0,11630*1000*SER_hh_fec!O32/SER_hh_num!O32)</f>
        <v>0</v>
      </c>
      <c r="P32" s="132">
        <f>IF(SER_hh_fec!P32=0,0,11630*1000*SER_hh_fec!P32/SER_hh_num!P32)</f>
        <v>0</v>
      </c>
      <c r="Q32" s="132">
        <f>IF(SER_hh_fec!Q32=0,0,11630*1000*SER_hh_fec!Q32/SER_hh_num!Q32)</f>
        <v>0</v>
      </c>
      <c r="R32" s="132">
        <f>IF(SER_hh_fec!R32=0,0,11630*1000*SER_hh_fec!R32/SER_hh_num!R32)</f>
        <v>0</v>
      </c>
      <c r="S32" s="132">
        <f>IF(SER_hh_fec!S32=0,0,11630*1000*SER_hh_fec!S32/SER_hh_num!S32)</f>
        <v>0</v>
      </c>
      <c r="T32" s="132">
        <f>IF(SER_hh_fec!T32=0,0,11630*1000*SER_hh_fec!T32/SER_hh_num!T32)</f>
        <v>0</v>
      </c>
      <c r="U32" s="132">
        <f>IF(SER_hh_fec!U32=0,0,11630*1000*SER_hh_fec!U32/SER_hh_num!U32)</f>
        <v>0</v>
      </c>
      <c r="V32" s="132">
        <f>IF(SER_hh_fec!V32=0,0,11630*1000*SER_hh_fec!V32/SER_hh_num!V32)</f>
        <v>0</v>
      </c>
      <c r="W32" s="132">
        <f>IF(SER_hh_fec!W32=0,0,11630*1000*SER_hh_fec!W32/SER_hh_num!W32)</f>
        <v>0</v>
      </c>
      <c r="X32" s="132">
        <f>IF(SER_hh_fec!X32=0,0,11630*1000*SER_hh_fec!X32/SER_hh_num!X32)</f>
        <v>0</v>
      </c>
      <c r="Y32" s="132">
        <f>IF(SER_hh_fec!Y32=0,0,11630*1000*SER_hh_fec!Y32/SER_hh_num!Y32)</f>
        <v>0</v>
      </c>
      <c r="DA32" s="156" t="s">
        <v>412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5952.3997805551635</v>
      </c>
      <c r="C33" s="68">
        <f>IF(SER_hh_fec!C33=0,0,11630*1000*SER_hh_fec!C33/SER_hh_num!C33)</f>
        <v>5863.4658522119735</v>
      </c>
      <c r="D33" s="68">
        <f>IF(SER_hh_fec!D33=0,0,11630*1000*SER_hh_fec!D33/SER_hh_num!D33)</f>
        <v>5775.6097011926931</v>
      </c>
      <c r="E33" s="68">
        <f>IF(SER_hh_fec!E33=0,0,11630*1000*SER_hh_fec!E33/SER_hh_num!E33)</f>
        <v>5717.08592079151</v>
      </c>
      <c r="F33" s="68">
        <f>IF(SER_hh_fec!F33=0,0,11630*1000*SER_hh_fec!F33/SER_hh_num!F33)</f>
        <v>5700.178925339068</v>
      </c>
      <c r="G33" s="68">
        <f>IF(SER_hh_fec!G33=0,0,11630*1000*SER_hh_fec!G33/SER_hh_num!G33)</f>
        <v>5798.1019671039921</v>
      </c>
      <c r="H33" s="68">
        <f>IF(SER_hh_fec!H33=0,0,11630*1000*SER_hh_fec!H33/SER_hh_num!H33)</f>
        <v>6231.1214004551466</v>
      </c>
      <c r="I33" s="68">
        <f>IF(SER_hh_fec!I33=0,0,11630*1000*SER_hh_fec!I33/SER_hh_num!I33)</f>
        <v>6274.9107615889607</v>
      </c>
      <c r="J33" s="68">
        <f>IF(SER_hh_fec!J33=0,0,11630*1000*SER_hh_fec!J33/SER_hh_num!J33)</f>
        <v>6360.6709411662741</v>
      </c>
      <c r="K33" s="68">
        <f>IF(SER_hh_fec!K33=0,0,11630*1000*SER_hh_fec!K33/SER_hh_num!K33)</f>
        <v>6443.6587863990326</v>
      </c>
      <c r="L33" s="68">
        <f>IF(SER_hh_fec!L33=0,0,11630*1000*SER_hh_fec!L33/SER_hh_num!L33)</f>
        <v>6551.9331824081464</v>
      </c>
      <c r="M33" s="68">
        <f>IF(SER_hh_fec!M33=0,0,11630*1000*SER_hh_fec!M33/SER_hh_num!M33)</f>
        <v>6701.6550756067963</v>
      </c>
      <c r="N33" s="68">
        <f>IF(SER_hh_fec!N33=0,0,11630*1000*SER_hh_fec!N33/SER_hh_num!N33)</f>
        <v>6737.5938255672336</v>
      </c>
      <c r="O33" s="68">
        <f>IF(SER_hh_fec!O33=0,0,11630*1000*SER_hh_fec!O33/SER_hh_num!O33)</f>
        <v>7138.6582794142305</v>
      </c>
      <c r="P33" s="68">
        <f>IF(SER_hh_fec!P33=0,0,11630*1000*SER_hh_fec!P33/SER_hh_num!P33)</f>
        <v>5702.5492605672835</v>
      </c>
      <c r="Q33" s="68">
        <f>IF(SER_hh_fec!Q33=0,0,11630*1000*SER_hh_fec!Q33/SER_hh_num!Q33)</f>
        <v>5655.2507315175426</v>
      </c>
      <c r="R33" s="68">
        <f>IF(SER_hh_fec!R33=0,0,11630*1000*SER_hh_fec!R33/SER_hh_num!R33)</f>
        <v>4795.5141464300486</v>
      </c>
      <c r="S33" s="68">
        <f>IF(SER_hh_fec!S33=0,0,11630*1000*SER_hh_fec!S33/SER_hh_num!S33)</f>
        <v>5822.1647210507281</v>
      </c>
      <c r="T33" s="68">
        <f>IF(SER_hh_fec!T33=0,0,11630*1000*SER_hh_fec!T33/SER_hh_num!T33)</f>
        <v>7116.8220421576607</v>
      </c>
      <c r="U33" s="68">
        <f>IF(SER_hh_fec!U33=0,0,11630*1000*SER_hh_fec!U33/SER_hh_num!U33)</f>
        <v>7202.5588454624267</v>
      </c>
      <c r="V33" s="68">
        <f>IF(SER_hh_fec!V33=0,0,11630*1000*SER_hh_fec!V33/SER_hh_num!V33)</f>
        <v>3756.3016964391036</v>
      </c>
      <c r="W33" s="68">
        <f>IF(SER_hh_fec!W33=0,0,11630*1000*SER_hh_fec!W33/SER_hh_num!W33)</f>
        <v>5985.9367531781891</v>
      </c>
      <c r="X33" s="68">
        <f>IF(SER_hh_fec!X33=0,0,11630*1000*SER_hh_fec!X33/SER_hh_num!X33)</f>
        <v>5058.2266455248009</v>
      </c>
      <c r="Y33" s="68">
        <f>IF(SER_hh_fec!Y33=0,0,11630*1000*SER_hh_fec!Y33/SER_hh_num!Y33)</f>
        <v>6474.503900143568</v>
      </c>
      <c r="DA33" s="111" t="s">
        <v>413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>
        <f>IF(SER_hh_tes!B3=0,0,11630*1000*SER_hh_tes!B3/SER_hh_num!B3)</f>
        <v>15925.61801207664</v>
      </c>
      <c r="C3" s="125">
        <f>IF(SER_hh_tes!C3=0,0,11630*1000*SER_hh_tes!C3/SER_hh_num!C3)</f>
        <v>16307.161773146609</v>
      </c>
      <c r="D3" s="125">
        <f>IF(SER_hh_tes!D3=0,0,11630*1000*SER_hh_tes!D3/SER_hh_num!D3)</f>
        <v>16047.811407230325</v>
      </c>
      <c r="E3" s="125">
        <f>IF(SER_hh_tes!E3=0,0,11630*1000*SER_hh_tes!E3/SER_hh_num!E3)</f>
        <v>16681.108890663851</v>
      </c>
      <c r="F3" s="125">
        <f>IF(SER_hh_tes!F3=0,0,11630*1000*SER_hh_tes!F3/SER_hh_num!F3)</f>
        <v>17437.884050124932</v>
      </c>
      <c r="G3" s="125">
        <f>IF(SER_hh_tes!G3=0,0,11630*1000*SER_hh_tes!G3/SER_hh_num!G3)</f>
        <v>18988.696658713896</v>
      </c>
      <c r="H3" s="125">
        <f>IF(SER_hh_tes!H3=0,0,11630*1000*SER_hh_tes!H3/SER_hh_num!H3)</f>
        <v>25275.087150443065</v>
      </c>
      <c r="I3" s="125">
        <f>IF(SER_hh_tes!I3=0,0,11630*1000*SER_hh_tes!I3/SER_hh_num!I3)</f>
        <v>21066.312196380382</v>
      </c>
      <c r="J3" s="125">
        <f>IF(SER_hh_tes!J3=0,0,11630*1000*SER_hh_tes!J3/SER_hh_num!J3)</f>
        <v>22398.085567178216</v>
      </c>
      <c r="K3" s="125">
        <f>IF(SER_hh_tes!K3=0,0,11630*1000*SER_hh_tes!K3/SER_hh_num!K3)</f>
        <v>26030.901185358376</v>
      </c>
      <c r="L3" s="125">
        <f>IF(SER_hh_tes!L3=0,0,11630*1000*SER_hh_tes!L3/SER_hh_num!L3)</f>
        <v>27876.532846783542</v>
      </c>
      <c r="M3" s="125">
        <f>IF(SER_hh_tes!M3=0,0,11630*1000*SER_hh_tes!M3/SER_hh_num!M3)</f>
        <v>27468.962981685745</v>
      </c>
      <c r="N3" s="125">
        <f>IF(SER_hh_tes!N3=0,0,11630*1000*SER_hh_tes!N3/SER_hh_num!N3)</f>
        <v>28247.916936380305</v>
      </c>
      <c r="O3" s="125">
        <f>IF(SER_hh_tes!O3=0,0,11630*1000*SER_hh_tes!O3/SER_hh_num!O3)</f>
        <v>25705.845280200228</v>
      </c>
      <c r="P3" s="125">
        <f>IF(SER_hh_tes!P3=0,0,11630*1000*SER_hh_tes!P3/SER_hh_num!P3)</f>
        <v>22607.373610864015</v>
      </c>
      <c r="Q3" s="125">
        <f>IF(SER_hh_tes!Q3=0,0,11630*1000*SER_hh_tes!Q3/SER_hh_num!Q3)</f>
        <v>27272.297660040953</v>
      </c>
      <c r="R3" s="125">
        <f>IF(SER_hh_tes!R3=0,0,11630*1000*SER_hh_tes!R3/SER_hh_num!R3)</f>
        <v>27626.299353592782</v>
      </c>
      <c r="S3" s="125">
        <f>IF(SER_hh_tes!S3=0,0,11630*1000*SER_hh_tes!S3/SER_hh_num!S3)</f>
        <v>31004.758223118417</v>
      </c>
      <c r="T3" s="125">
        <f>IF(SER_hh_tes!T3=0,0,11630*1000*SER_hh_tes!T3/SER_hh_num!T3)</f>
        <v>27986.476042037277</v>
      </c>
      <c r="U3" s="125">
        <f>IF(SER_hh_tes!U3=0,0,11630*1000*SER_hh_tes!U3/SER_hh_num!U3)</f>
        <v>29203.12853355538</v>
      </c>
      <c r="V3" s="125">
        <f>IF(SER_hh_tes!V3=0,0,11630*1000*SER_hh_tes!V3/SER_hh_num!V3)</f>
        <v>29322.243538549981</v>
      </c>
      <c r="W3" s="125">
        <f>IF(SER_hh_tes!W3=0,0,11630*1000*SER_hh_tes!W3/SER_hh_num!W3)</f>
        <v>29830.503740784363</v>
      </c>
      <c r="X3" s="125">
        <f>IF(SER_hh_tes!X3=0,0,11630*1000*SER_hh_tes!X3/SER_hh_num!X3)</f>
        <v>33023.493435713259</v>
      </c>
      <c r="Y3" s="125">
        <f>IF(SER_hh_tes!Y3=0,0,11630*1000*SER_hh_tes!Y3/SER_hh_num!Y3)</f>
        <v>34230.884743788265</v>
      </c>
      <c r="DA3" s="154" t="s">
        <v>415</v>
      </c>
    </row>
    <row r="4" spans="1:105" ht="12.95" customHeight="1" x14ac:dyDescent="0.25">
      <c r="A4" s="129" t="s">
        <v>32</v>
      </c>
      <c r="B4" s="130">
        <f>IF(SER_hh_tes!B4=0,0,11630*1000*SER_hh_tes!B4/SER_hh_num!B4)</f>
        <v>5875.8234145798979</v>
      </c>
      <c r="C4" s="130">
        <f>IF(SER_hh_tes!C4=0,0,11630*1000*SER_hh_tes!C4/SER_hh_num!C4)</f>
        <v>5528.3392689375169</v>
      </c>
      <c r="D4" s="130">
        <f>IF(SER_hh_tes!D4=0,0,11630*1000*SER_hh_tes!D4/SER_hh_num!D4)</f>
        <v>5207.5606437303322</v>
      </c>
      <c r="E4" s="130">
        <f>IF(SER_hh_tes!E4=0,0,11630*1000*SER_hh_tes!E4/SER_hh_num!E4)</f>
        <v>4303.9459697730199</v>
      </c>
      <c r="F4" s="130">
        <f>IF(SER_hh_tes!F4=0,0,11630*1000*SER_hh_tes!F4/SER_hh_num!F4)</f>
        <v>4892.3328158979939</v>
      </c>
      <c r="G4" s="130">
        <f>IF(SER_hh_tes!G4=0,0,11630*1000*SER_hh_tes!G4/SER_hh_num!G4)</f>
        <v>5584.6475982311003</v>
      </c>
      <c r="H4" s="130">
        <f>IF(SER_hh_tes!H4=0,0,11630*1000*SER_hh_tes!H4/SER_hh_num!H4)</f>
        <v>10023.33327268655</v>
      </c>
      <c r="I4" s="130">
        <f>IF(SER_hh_tes!I4=0,0,11630*1000*SER_hh_tes!I4/SER_hh_num!I4)</f>
        <v>6674.3992783202466</v>
      </c>
      <c r="J4" s="130">
        <f>IF(SER_hh_tes!J4=0,0,11630*1000*SER_hh_tes!J4/SER_hh_num!J4)</f>
        <v>6832.2619690284409</v>
      </c>
      <c r="K4" s="130">
        <f>IF(SER_hh_tes!K4=0,0,11630*1000*SER_hh_tes!K4/SER_hh_num!K4)</f>
        <v>7235.1997169287524</v>
      </c>
      <c r="L4" s="130">
        <f>IF(SER_hh_tes!L4=0,0,11630*1000*SER_hh_tes!L4/SER_hh_num!L4)</f>
        <v>8795.538801173494</v>
      </c>
      <c r="M4" s="130">
        <f>IF(SER_hh_tes!M4=0,0,11630*1000*SER_hh_tes!M4/SER_hh_num!M4)</f>
        <v>8776.9705289601352</v>
      </c>
      <c r="N4" s="130">
        <f>IF(SER_hh_tes!N4=0,0,11630*1000*SER_hh_tes!N4/SER_hh_num!N4)</f>
        <v>7282.6991679999592</v>
      </c>
      <c r="O4" s="130">
        <f>IF(SER_hh_tes!O4=0,0,11630*1000*SER_hh_tes!O4/SER_hh_num!O4)</f>
        <v>6695.7478385027198</v>
      </c>
      <c r="P4" s="130">
        <f>IF(SER_hh_tes!P4=0,0,11630*1000*SER_hh_tes!P4/SER_hh_num!P4)</f>
        <v>4365.0396086882965</v>
      </c>
      <c r="Q4" s="130">
        <f>IF(SER_hh_tes!Q4=0,0,11630*1000*SER_hh_tes!Q4/SER_hh_num!Q4)</f>
        <v>4490.1321105016996</v>
      </c>
      <c r="R4" s="130">
        <f>IF(SER_hh_tes!R4=0,0,11630*1000*SER_hh_tes!R4/SER_hh_num!R4)</f>
        <v>5237.0361181568596</v>
      </c>
      <c r="S4" s="130">
        <f>IF(SER_hh_tes!S4=0,0,11630*1000*SER_hh_tes!S4/SER_hh_num!S4)</f>
        <v>6094.1625620736468</v>
      </c>
      <c r="T4" s="130">
        <f>IF(SER_hh_tes!T4=0,0,11630*1000*SER_hh_tes!T4/SER_hh_num!T4)</f>
        <v>7330.7078123582323</v>
      </c>
      <c r="U4" s="130">
        <f>IF(SER_hh_tes!U4=0,0,11630*1000*SER_hh_tes!U4/SER_hh_num!U4)</f>
        <v>7796.4147579377723</v>
      </c>
      <c r="V4" s="130">
        <f>IF(SER_hh_tes!V4=0,0,11630*1000*SER_hh_tes!V4/SER_hh_num!V4)</f>
        <v>7781.2588470255423</v>
      </c>
      <c r="W4" s="130">
        <f>IF(SER_hh_tes!W4=0,0,11630*1000*SER_hh_tes!W4/SER_hh_num!W4)</f>
        <v>9062.5402415643821</v>
      </c>
      <c r="X4" s="130">
        <f>IF(SER_hh_tes!X4=0,0,11630*1000*SER_hh_tes!X4/SER_hh_num!X4)</f>
        <v>9395.7872157452548</v>
      </c>
      <c r="Y4" s="130">
        <f>IF(SER_hh_tes!Y4=0,0,11630*1000*SER_hh_tes!Y4/SER_hh_num!Y4)</f>
        <v>9564.400775268181</v>
      </c>
      <c r="DA4" s="155" t="s">
        <v>416</v>
      </c>
    </row>
    <row r="5" spans="1:105" ht="12" customHeight="1" x14ac:dyDescent="0.25">
      <c r="A5" s="131" t="s">
        <v>29</v>
      </c>
      <c r="B5" s="132">
        <f>IF(SER_hh_tes!B5=0,0,11630*1000*SER_hh_tes!B5/SER_hh_num!B5)</f>
        <v>0</v>
      </c>
      <c r="C5" s="132">
        <f>IF(SER_hh_tes!C5=0,0,11630*1000*SER_hh_tes!C5/SER_hh_num!C5)</f>
        <v>0</v>
      </c>
      <c r="D5" s="132">
        <f>IF(SER_hh_tes!D5=0,0,11630*1000*SER_hh_tes!D5/SER_hh_num!D5)</f>
        <v>0</v>
      </c>
      <c r="E5" s="132">
        <f>IF(SER_hh_tes!E5=0,0,11630*1000*SER_hh_tes!E5/SER_hh_num!E5)</f>
        <v>0</v>
      </c>
      <c r="F5" s="132">
        <f>IF(SER_hh_tes!F5=0,0,11630*1000*SER_hh_tes!F5/SER_hh_num!F5)</f>
        <v>0</v>
      </c>
      <c r="G5" s="132">
        <f>IF(SER_hh_tes!G5=0,0,11630*1000*SER_hh_tes!G5/SER_hh_num!G5)</f>
        <v>0</v>
      </c>
      <c r="H5" s="132">
        <f>IF(SER_hh_tes!H5=0,0,11630*1000*SER_hh_tes!H5/SER_hh_num!H5)</f>
        <v>0</v>
      </c>
      <c r="I5" s="132">
        <f>IF(SER_hh_tes!I5=0,0,11630*1000*SER_hh_tes!I5/SER_hh_num!I5)</f>
        <v>0</v>
      </c>
      <c r="J5" s="132">
        <f>IF(SER_hh_tes!J5=0,0,11630*1000*SER_hh_tes!J5/SER_hh_num!J5)</f>
        <v>0</v>
      </c>
      <c r="K5" s="132">
        <f>IF(SER_hh_tes!K5=0,0,11630*1000*SER_hh_tes!K5/SER_hh_num!K5)</f>
        <v>0</v>
      </c>
      <c r="L5" s="132">
        <f>IF(SER_hh_tes!L5=0,0,11630*1000*SER_hh_tes!L5/SER_hh_num!L5)</f>
        <v>0</v>
      </c>
      <c r="M5" s="132">
        <f>IF(SER_hh_tes!M5=0,0,11630*1000*SER_hh_tes!M5/SER_hh_num!M5)</f>
        <v>0</v>
      </c>
      <c r="N5" s="132">
        <f>IF(SER_hh_tes!N5=0,0,11630*1000*SER_hh_tes!N5/SER_hh_num!N5)</f>
        <v>0</v>
      </c>
      <c r="O5" s="132">
        <f>IF(SER_hh_tes!O5=0,0,11630*1000*SER_hh_tes!O5/SER_hh_num!O5)</f>
        <v>0</v>
      </c>
      <c r="P5" s="132">
        <f>IF(SER_hh_tes!P5=0,0,11630*1000*SER_hh_tes!P5/SER_hh_num!P5)</f>
        <v>0</v>
      </c>
      <c r="Q5" s="132">
        <f>IF(SER_hh_tes!Q5=0,0,11630*1000*SER_hh_tes!Q5/SER_hh_num!Q5)</f>
        <v>0</v>
      </c>
      <c r="R5" s="132">
        <f>IF(SER_hh_tes!R5=0,0,11630*1000*SER_hh_tes!R5/SER_hh_num!R5)</f>
        <v>0</v>
      </c>
      <c r="S5" s="132">
        <f>IF(SER_hh_tes!S5=0,0,11630*1000*SER_hh_tes!S5/SER_hh_num!S5)</f>
        <v>0</v>
      </c>
      <c r="T5" s="132">
        <f>IF(SER_hh_tes!T5=0,0,11630*1000*SER_hh_tes!T5/SER_hh_num!T5)</f>
        <v>0</v>
      </c>
      <c r="U5" s="132">
        <f>IF(SER_hh_tes!U5=0,0,11630*1000*SER_hh_tes!U5/SER_hh_num!U5)</f>
        <v>0</v>
      </c>
      <c r="V5" s="132">
        <f>IF(SER_hh_tes!V5=0,0,11630*1000*SER_hh_tes!V5/SER_hh_num!V5)</f>
        <v>0</v>
      </c>
      <c r="W5" s="132">
        <f>IF(SER_hh_tes!W5=0,0,11630*1000*SER_hh_tes!W5/SER_hh_num!W5)</f>
        <v>0</v>
      </c>
      <c r="X5" s="132">
        <f>IF(SER_hh_tes!X5=0,0,11630*1000*SER_hh_tes!X5/SER_hh_num!X5)</f>
        <v>0</v>
      </c>
      <c r="Y5" s="132">
        <f>IF(SER_hh_tes!Y5=0,0,11630*1000*SER_hh_tes!Y5/SER_hh_num!Y5)</f>
        <v>0</v>
      </c>
      <c r="DA5" s="156" t="s">
        <v>417</v>
      </c>
    </row>
    <row r="6" spans="1:105" ht="12" customHeight="1" x14ac:dyDescent="0.25">
      <c r="A6" s="131" t="s">
        <v>52</v>
      </c>
      <c r="B6" s="132">
        <f>IF(SER_hh_tes!B6=0,0,11630*1000*SER_hh_tes!B6/SER_hh_num!B6)</f>
        <v>0</v>
      </c>
      <c r="C6" s="132">
        <f>IF(SER_hh_tes!C6=0,0,11630*1000*SER_hh_tes!C6/SER_hh_num!C6)</f>
        <v>0</v>
      </c>
      <c r="D6" s="132">
        <f>IF(SER_hh_tes!D6=0,0,11630*1000*SER_hh_tes!D6/SER_hh_num!D6)</f>
        <v>0</v>
      </c>
      <c r="E6" s="132">
        <f>IF(SER_hh_tes!E6=0,0,11630*1000*SER_hh_tes!E6/SER_hh_num!E6)</f>
        <v>0</v>
      </c>
      <c r="F6" s="132">
        <f>IF(SER_hh_tes!F6=0,0,11630*1000*SER_hh_tes!F6/SER_hh_num!F6)</f>
        <v>0</v>
      </c>
      <c r="G6" s="132">
        <f>IF(SER_hh_tes!G6=0,0,11630*1000*SER_hh_tes!G6/SER_hh_num!G6)</f>
        <v>0</v>
      </c>
      <c r="H6" s="132">
        <f>IF(SER_hh_tes!H6=0,0,11630*1000*SER_hh_tes!H6/SER_hh_num!H6)</f>
        <v>0</v>
      </c>
      <c r="I6" s="132">
        <f>IF(SER_hh_tes!I6=0,0,11630*1000*SER_hh_tes!I6/SER_hh_num!I6)</f>
        <v>0</v>
      </c>
      <c r="J6" s="132">
        <f>IF(SER_hh_tes!J6=0,0,11630*1000*SER_hh_tes!J6/SER_hh_num!J6)</f>
        <v>0</v>
      </c>
      <c r="K6" s="132">
        <f>IF(SER_hh_tes!K6=0,0,11630*1000*SER_hh_tes!K6/SER_hh_num!K6)</f>
        <v>0</v>
      </c>
      <c r="L6" s="132">
        <f>IF(SER_hh_tes!L6=0,0,11630*1000*SER_hh_tes!L6/SER_hh_num!L6)</f>
        <v>0</v>
      </c>
      <c r="M6" s="132">
        <f>IF(SER_hh_tes!M6=0,0,11630*1000*SER_hh_tes!M6/SER_hh_num!M6)</f>
        <v>0</v>
      </c>
      <c r="N6" s="132">
        <f>IF(SER_hh_tes!N6=0,0,11630*1000*SER_hh_tes!N6/SER_hh_num!N6)</f>
        <v>0</v>
      </c>
      <c r="O6" s="132">
        <f>IF(SER_hh_tes!O6=0,0,11630*1000*SER_hh_tes!O6/SER_hh_num!O6)</f>
        <v>0</v>
      </c>
      <c r="P6" s="132">
        <f>IF(SER_hh_tes!P6=0,0,11630*1000*SER_hh_tes!P6/SER_hh_num!P6)</f>
        <v>0</v>
      </c>
      <c r="Q6" s="132">
        <f>IF(SER_hh_tes!Q6=0,0,11630*1000*SER_hh_tes!Q6/SER_hh_num!Q6)</f>
        <v>0</v>
      </c>
      <c r="R6" s="132">
        <f>IF(SER_hh_tes!R6=0,0,11630*1000*SER_hh_tes!R6/SER_hh_num!R6)</f>
        <v>0</v>
      </c>
      <c r="S6" s="132">
        <f>IF(SER_hh_tes!S6=0,0,11630*1000*SER_hh_tes!S6/SER_hh_num!S6)</f>
        <v>0</v>
      </c>
      <c r="T6" s="132">
        <f>IF(SER_hh_tes!T6=0,0,11630*1000*SER_hh_tes!T6/SER_hh_num!T6)</f>
        <v>0</v>
      </c>
      <c r="U6" s="132">
        <f>IF(SER_hh_tes!U6=0,0,11630*1000*SER_hh_tes!U6/SER_hh_num!U6)</f>
        <v>0</v>
      </c>
      <c r="V6" s="132">
        <f>IF(SER_hh_tes!V6=0,0,11630*1000*SER_hh_tes!V6/SER_hh_num!V6)</f>
        <v>0</v>
      </c>
      <c r="W6" s="132">
        <f>IF(SER_hh_tes!W6=0,0,11630*1000*SER_hh_tes!W6/SER_hh_num!W6)</f>
        <v>0</v>
      </c>
      <c r="X6" s="132">
        <f>IF(SER_hh_tes!X6=0,0,11630*1000*SER_hh_tes!X6/SER_hh_num!X6)</f>
        <v>0</v>
      </c>
      <c r="Y6" s="132">
        <f>IF(SER_hh_tes!Y6=0,0,11630*1000*SER_hh_tes!Y6/SER_hh_num!Y6)</f>
        <v>0</v>
      </c>
      <c r="DA6" s="156" t="s">
        <v>418</v>
      </c>
    </row>
    <row r="7" spans="1:105" ht="12" customHeight="1" x14ac:dyDescent="0.25">
      <c r="A7" s="131" t="s">
        <v>161</v>
      </c>
      <c r="B7" s="132">
        <f>IF(SER_hh_tes!B7=0,0,11630*1000*SER_hh_tes!B7/SER_hh_num!B7)</f>
        <v>5610.0005397175537</v>
      </c>
      <c r="C7" s="132">
        <f>IF(SER_hh_tes!C7=0,0,11630*1000*SER_hh_tes!C7/SER_hh_num!C7)</f>
        <v>5583.5669129924781</v>
      </c>
      <c r="D7" s="132">
        <f>IF(SER_hh_tes!D7=0,0,11630*1000*SER_hh_tes!D7/SER_hh_num!D7)</f>
        <v>4742.9745174174832</v>
      </c>
      <c r="E7" s="132">
        <f>IF(SER_hh_tes!E7=0,0,11630*1000*SER_hh_tes!E7/SER_hh_num!E7)</f>
        <v>4866.2589954747318</v>
      </c>
      <c r="F7" s="132">
        <f>IF(SER_hh_tes!F7=0,0,11630*1000*SER_hh_tes!F7/SER_hh_num!F7)</f>
        <v>5471.6593124755736</v>
      </c>
      <c r="G7" s="132">
        <f>IF(SER_hh_tes!G7=0,0,11630*1000*SER_hh_tes!G7/SER_hh_num!G7)</f>
        <v>6308.5135904874751</v>
      </c>
      <c r="H7" s="132">
        <f>IF(SER_hh_tes!H7=0,0,11630*1000*SER_hh_tes!H7/SER_hh_num!H7)</f>
        <v>6133.4884393782495</v>
      </c>
      <c r="I7" s="132">
        <f>IF(SER_hh_tes!I7=0,0,11630*1000*SER_hh_tes!I7/SER_hh_num!I7)</f>
        <v>6456.7985857297717</v>
      </c>
      <c r="J7" s="132">
        <f>IF(SER_hh_tes!J7=0,0,11630*1000*SER_hh_tes!J7/SER_hh_num!J7)</f>
        <v>6990.5689641803492</v>
      </c>
      <c r="K7" s="132">
        <f>IF(SER_hh_tes!K7=0,0,11630*1000*SER_hh_tes!K7/SER_hh_num!K7)</f>
        <v>7863.3440951342773</v>
      </c>
      <c r="L7" s="132">
        <f>IF(SER_hh_tes!L7=0,0,11630*1000*SER_hh_tes!L7/SER_hh_num!L7)</f>
        <v>7872.2478015362485</v>
      </c>
      <c r="M7" s="132">
        <f>IF(SER_hh_tes!M7=0,0,11630*1000*SER_hh_tes!M7/SER_hh_num!M7)</f>
        <v>6891.8126589226331</v>
      </c>
      <c r="N7" s="132">
        <f>IF(SER_hh_tes!N7=0,0,11630*1000*SER_hh_tes!N7/SER_hh_num!N7)</f>
        <v>7021.3347019166204</v>
      </c>
      <c r="O7" s="132">
        <f>IF(SER_hh_tes!O7=0,0,11630*1000*SER_hh_tes!O7/SER_hh_num!O7)</f>
        <v>7105.9777908842889</v>
      </c>
      <c r="P7" s="132">
        <f>IF(SER_hh_tes!P7=0,0,11630*1000*SER_hh_tes!P7/SER_hh_num!P7)</f>
        <v>5358.1588904511127</v>
      </c>
      <c r="Q7" s="132">
        <f>IF(SER_hh_tes!Q7=0,0,11630*1000*SER_hh_tes!Q7/SER_hh_num!Q7)</f>
        <v>3858.6977722212537</v>
      </c>
      <c r="R7" s="132">
        <f>IF(SER_hh_tes!R7=0,0,11630*1000*SER_hh_tes!R7/SER_hh_num!R7)</f>
        <v>5182.7634009717021</v>
      </c>
      <c r="S7" s="132">
        <f>IF(SER_hh_tes!S7=0,0,11630*1000*SER_hh_tes!S7/SER_hh_num!S7)</f>
        <v>6266.5499599269933</v>
      </c>
      <c r="T7" s="132">
        <f>IF(SER_hh_tes!T7=0,0,11630*1000*SER_hh_tes!T7/SER_hh_num!T7)</f>
        <v>7214.482883124414</v>
      </c>
      <c r="U7" s="132">
        <f>IF(SER_hh_tes!U7=0,0,11630*1000*SER_hh_tes!U7/SER_hh_num!U7)</f>
        <v>7439.8431536582902</v>
      </c>
      <c r="V7" s="132">
        <f>IF(SER_hh_tes!V7=0,0,11630*1000*SER_hh_tes!V7/SER_hh_num!V7)</f>
        <v>7552.5113235555682</v>
      </c>
      <c r="W7" s="132">
        <f>IF(SER_hh_tes!W7=0,0,11630*1000*SER_hh_tes!W7/SER_hh_num!W7)</f>
        <v>9159.4388755642412</v>
      </c>
      <c r="X7" s="132">
        <f>IF(SER_hh_tes!X7=0,0,11630*1000*SER_hh_tes!X7/SER_hh_num!X7)</f>
        <v>9703.3783395092232</v>
      </c>
      <c r="Y7" s="132">
        <f>IF(SER_hh_tes!Y7=0,0,11630*1000*SER_hh_tes!Y7/SER_hh_num!Y7)</f>
        <v>8447.4208125269179</v>
      </c>
      <c r="DA7" s="156" t="s">
        <v>419</v>
      </c>
    </row>
    <row r="8" spans="1:105" ht="12" customHeight="1" x14ac:dyDescent="0.25">
      <c r="A8" s="131" t="s">
        <v>73</v>
      </c>
      <c r="B8" s="132">
        <f>IF(SER_hh_tes!B8=0,0,11630*1000*SER_hh_tes!B8/SER_hh_num!B8)</f>
        <v>4775.7404607514191</v>
      </c>
      <c r="C8" s="132">
        <f>IF(SER_hh_tes!C8=0,0,11630*1000*SER_hh_tes!C8/SER_hh_num!C8)</f>
        <v>5301.174740227093</v>
      </c>
      <c r="D8" s="132">
        <f>IF(SER_hh_tes!D8=0,0,11630*1000*SER_hh_tes!D8/SER_hh_num!D8)</f>
        <v>4950.5241608951874</v>
      </c>
      <c r="E8" s="132">
        <f>IF(SER_hh_tes!E8=0,0,11630*1000*SER_hh_tes!E8/SER_hh_num!E8)</f>
        <v>3488.761415219165</v>
      </c>
      <c r="F8" s="132">
        <f>IF(SER_hh_tes!F8=0,0,11630*1000*SER_hh_tes!F8/SER_hh_num!F8)</f>
        <v>3748.0241053481159</v>
      </c>
      <c r="G8" s="132">
        <f>IF(SER_hh_tes!G8=0,0,11630*1000*SER_hh_tes!G8/SER_hh_num!G8)</f>
        <v>5634.9349206244324</v>
      </c>
      <c r="H8" s="132">
        <f>IF(SER_hh_tes!H8=0,0,11630*1000*SER_hh_tes!H8/SER_hh_num!H8)</f>
        <v>8678.9320301323769</v>
      </c>
      <c r="I8" s="132">
        <f>IF(SER_hh_tes!I8=0,0,11630*1000*SER_hh_tes!I8/SER_hh_num!I8)</f>
        <v>7498.7712832385123</v>
      </c>
      <c r="J8" s="132">
        <f>IF(SER_hh_tes!J8=0,0,11630*1000*SER_hh_tes!J8/SER_hh_num!J8)</f>
        <v>7172.914969273208</v>
      </c>
      <c r="K8" s="132">
        <f>IF(SER_hh_tes!K8=0,0,11630*1000*SER_hh_tes!K8/SER_hh_num!K8)</f>
        <v>6643.0359631970687</v>
      </c>
      <c r="L8" s="132">
        <f>IF(SER_hh_tes!L8=0,0,11630*1000*SER_hh_tes!L8/SER_hh_num!L8)</f>
        <v>5838.2052894089693</v>
      </c>
      <c r="M8" s="132">
        <f>IF(SER_hh_tes!M8=0,0,11630*1000*SER_hh_tes!M8/SER_hh_num!M8)</f>
        <v>5946.4893961389944</v>
      </c>
      <c r="N8" s="132">
        <f>IF(SER_hh_tes!N8=0,0,11630*1000*SER_hh_tes!N8/SER_hh_num!N8)</f>
        <v>4626.6077233903125</v>
      </c>
      <c r="O8" s="132">
        <f>IF(SER_hh_tes!O8=0,0,11630*1000*SER_hh_tes!O8/SER_hh_num!O8)</f>
        <v>4603.9309214528876</v>
      </c>
      <c r="P8" s="132">
        <f>IF(SER_hh_tes!P8=0,0,11630*1000*SER_hh_tes!P8/SER_hh_num!P8)</f>
        <v>4802.902240825455</v>
      </c>
      <c r="Q8" s="132">
        <f>IF(SER_hh_tes!Q8=0,0,11630*1000*SER_hh_tes!Q8/SER_hh_num!Q8)</f>
        <v>4695.3903381647269</v>
      </c>
      <c r="R8" s="132">
        <f>IF(SER_hh_tes!R8=0,0,11630*1000*SER_hh_tes!R8/SER_hh_num!R8)</f>
        <v>5521.3560206610473</v>
      </c>
      <c r="S8" s="132">
        <f>IF(SER_hh_tes!S8=0,0,11630*1000*SER_hh_tes!S8/SER_hh_num!S8)</f>
        <v>6180.1315100511474</v>
      </c>
      <c r="T8" s="132">
        <f>IF(SER_hh_tes!T8=0,0,11630*1000*SER_hh_tes!T8/SER_hh_num!T8)</f>
        <v>6212.7761264707806</v>
      </c>
      <c r="U8" s="132">
        <f>IF(SER_hh_tes!U8=0,0,11630*1000*SER_hh_tes!U8/SER_hh_num!U8)</f>
        <v>9067.0322043668948</v>
      </c>
      <c r="V8" s="132">
        <f>IF(SER_hh_tes!V8=0,0,11630*1000*SER_hh_tes!V8/SER_hh_num!V8)</f>
        <v>7148.2232270112945</v>
      </c>
      <c r="W8" s="132">
        <f>IF(SER_hh_tes!W8=0,0,11630*1000*SER_hh_tes!W8/SER_hh_num!W8)</f>
        <v>8720.1459839789823</v>
      </c>
      <c r="X8" s="132">
        <f>IF(SER_hh_tes!X8=0,0,11630*1000*SER_hh_tes!X8/SER_hh_num!X8)</f>
        <v>9070.2984800278773</v>
      </c>
      <c r="Y8" s="132">
        <f>IF(SER_hh_tes!Y8=0,0,11630*1000*SER_hh_tes!Y8/SER_hh_num!Y8)</f>
        <v>10161.282606463346</v>
      </c>
      <c r="DA8" s="156" t="s">
        <v>420</v>
      </c>
    </row>
    <row r="9" spans="1:105" ht="12" customHeight="1" x14ac:dyDescent="0.25">
      <c r="A9" s="131" t="s">
        <v>78</v>
      </c>
      <c r="B9" s="132">
        <f>IF(SER_hh_tes!B9=0,0,11630*1000*SER_hh_tes!B9/SER_hh_num!B9)</f>
        <v>4238.8840721746365</v>
      </c>
      <c r="C9" s="132">
        <f>IF(SER_hh_tes!C9=0,0,11630*1000*SER_hh_tes!C9/SER_hh_num!C9)</f>
        <v>5270.5197451480872</v>
      </c>
      <c r="D9" s="132">
        <f>IF(SER_hh_tes!D9=0,0,11630*1000*SER_hh_tes!D9/SER_hh_num!D9)</f>
        <v>7873.0716983863958</v>
      </c>
      <c r="E9" s="132">
        <f>IF(SER_hh_tes!E9=0,0,11630*1000*SER_hh_tes!E9/SER_hh_num!E9)</f>
        <v>687.07803253775012</v>
      </c>
      <c r="F9" s="132">
        <f>IF(SER_hh_tes!F9=0,0,11630*1000*SER_hh_tes!F9/SER_hh_num!F9)</f>
        <v>834.19211318365649</v>
      </c>
      <c r="G9" s="132">
        <f>IF(SER_hh_tes!G9=0,0,11630*1000*SER_hh_tes!G9/SER_hh_num!G9)</f>
        <v>4404.516150176335</v>
      </c>
      <c r="H9" s="132">
        <f>IF(SER_hh_tes!H9=0,0,11630*1000*SER_hh_tes!H9/SER_hh_num!H9)</f>
        <v>14343.43597593244</v>
      </c>
      <c r="I9" s="132">
        <f>IF(SER_hh_tes!I9=0,0,11630*1000*SER_hh_tes!I9/SER_hh_num!I9)</f>
        <v>6778.627337918464</v>
      </c>
      <c r="J9" s="132">
        <f>IF(SER_hh_tes!J9=0,0,11630*1000*SER_hh_tes!J9/SER_hh_num!J9)</f>
        <v>5044.5678392766458</v>
      </c>
      <c r="K9" s="132">
        <f>IF(SER_hh_tes!K9=0,0,11630*1000*SER_hh_tes!K9/SER_hh_num!K9)</f>
        <v>6662.5888623520887</v>
      </c>
      <c r="L9" s="132">
        <f>IF(SER_hh_tes!L9=0,0,11630*1000*SER_hh_tes!L9/SER_hh_num!L9)</f>
        <v>8923.7602671450713</v>
      </c>
      <c r="M9" s="132">
        <f>IF(SER_hh_tes!M9=0,0,11630*1000*SER_hh_tes!M9/SER_hh_num!M9)</f>
        <v>10041.172205705232</v>
      </c>
      <c r="N9" s="132">
        <f>IF(SER_hh_tes!N9=0,0,11630*1000*SER_hh_tes!N9/SER_hh_num!N9)</f>
        <v>7466.5060779014375</v>
      </c>
      <c r="O9" s="132">
        <f>IF(SER_hh_tes!O9=0,0,11630*1000*SER_hh_tes!O9/SER_hh_num!O9)</f>
        <v>6841.0412565040424</v>
      </c>
      <c r="P9" s="132">
        <f>IF(SER_hh_tes!P9=0,0,11630*1000*SER_hh_tes!P9/SER_hh_num!P9)</f>
        <v>3156.9487731174854</v>
      </c>
      <c r="Q9" s="132">
        <f>IF(SER_hh_tes!Q9=0,0,11630*1000*SER_hh_tes!Q9/SER_hh_num!Q9)</f>
        <v>4894.5075718551279</v>
      </c>
      <c r="R9" s="132">
        <f>IF(SER_hh_tes!R9=0,0,11630*1000*SER_hh_tes!R9/SER_hh_num!R9)</f>
        <v>4984.2035097221551</v>
      </c>
      <c r="S9" s="132">
        <f>IF(SER_hh_tes!S9=0,0,11630*1000*SER_hh_tes!S9/SER_hh_num!S9)</f>
        <v>5327.7833010104059</v>
      </c>
      <c r="T9" s="132">
        <f>IF(SER_hh_tes!T9=0,0,11630*1000*SER_hh_tes!T9/SER_hh_num!T9)</f>
        <v>7631.4231720353864</v>
      </c>
      <c r="U9" s="132">
        <f>IF(SER_hh_tes!U9=0,0,11630*1000*SER_hh_tes!U9/SER_hh_num!U9)</f>
        <v>7956.0707270949079</v>
      </c>
      <c r="V9" s="132">
        <f>IF(SER_hh_tes!V9=0,0,11630*1000*SER_hh_tes!V9/SER_hh_num!V9)</f>
        <v>7145.3268885129337</v>
      </c>
      <c r="W9" s="132">
        <f>IF(SER_hh_tes!W9=0,0,11630*1000*SER_hh_tes!W9/SER_hh_num!W9)</f>
        <v>9307.2251092953484</v>
      </c>
      <c r="X9" s="132">
        <f>IF(SER_hh_tes!X9=0,0,11630*1000*SER_hh_tes!X9/SER_hh_num!X9)</f>
        <v>8854.2179716044557</v>
      </c>
      <c r="Y9" s="132">
        <f>IF(SER_hh_tes!Y9=0,0,11630*1000*SER_hh_tes!Y9/SER_hh_num!Y9)</f>
        <v>9662.8794572734951</v>
      </c>
      <c r="DA9" s="156" t="s">
        <v>421</v>
      </c>
    </row>
    <row r="10" spans="1:105" ht="12" customHeight="1" x14ac:dyDescent="0.25">
      <c r="A10" s="131" t="s">
        <v>128</v>
      </c>
      <c r="B10" s="132">
        <f>IF(SER_hh_tes!B10=0,0,11630*1000*SER_hh_tes!B10/SER_hh_num!B10)</f>
        <v>5615.411910552818</v>
      </c>
      <c r="C10" s="132">
        <f>IF(SER_hh_tes!C10=0,0,11630*1000*SER_hh_tes!C10/SER_hh_num!C10)</f>
        <v>5480.5143078969131</v>
      </c>
      <c r="D10" s="132">
        <f>IF(SER_hh_tes!D10=0,0,11630*1000*SER_hh_tes!D10/SER_hh_num!D10)</f>
        <v>5048.3424999007984</v>
      </c>
      <c r="E10" s="132">
        <f>IF(SER_hh_tes!E10=0,0,11630*1000*SER_hh_tes!E10/SER_hh_num!E10)</f>
        <v>4969.710891105763</v>
      </c>
      <c r="F10" s="132">
        <f>IF(SER_hh_tes!F10=0,0,11630*1000*SER_hh_tes!F10/SER_hh_num!F10)</f>
        <v>4990.5371736892075</v>
      </c>
      <c r="G10" s="132">
        <f>IF(SER_hh_tes!G10=0,0,11630*1000*SER_hh_tes!G10/SER_hh_num!G10)</f>
        <v>5226.4543743604791</v>
      </c>
      <c r="H10" s="132">
        <f>IF(SER_hh_tes!H10=0,0,11630*1000*SER_hh_tes!H10/SER_hh_num!H10)</f>
        <v>7957.7345138533547</v>
      </c>
      <c r="I10" s="132">
        <f>IF(SER_hh_tes!I10=0,0,11630*1000*SER_hh_tes!I10/SER_hh_num!I10)</f>
        <v>7307.046326919447</v>
      </c>
      <c r="J10" s="132">
        <f>IF(SER_hh_tes!J10=0,0,11630*1000*SER_hh_tes!J10/SER_hh_num!J10)</f>
        <v>8464.9675188595611</v>
      </c>
      <c r="K10" s="132">
        <f>IF(SER_hh_tes!K10=0,0,11630*1000*SER_hh_tes!K10/SER_hh_num!K10)</f>
        <v>6634.680999386228</v>
      </c>
      <c r="L10" s="132">
        <f>IF(SER_hh_tes!L10=0,0,11630*1000*SER_hh_tes!L10/SER_hh_num!L10)</f>
        <v>7512.1438173265087</v>
      </c>
      <c r="M10" s="132">
        <f>IF(SER_hh_tes!M10=0,0,11630*1000*SER_hh_tes!M10/SER_hh_num!M10)</f>
        <v>7875.7527424103755</v>
      </c>
      <c r="N10" s="132">
        <f>IF(SER_hh_tes!N10=0,0,11630*1000*SER_hh_tes!N10/SER_hh_num!N10)</f>
        <v>6971.1646701599038</v>
      </c>
      <c r="O10" s="132">
        <f>IF(SER_hh_tes!O10=0,0,11630*1000*SER_hh_tes!O10/SER_hh_num!O10)</f>
        <v>5893.8307089799246</v>
      </c>
      <c r="P10" s="132">
        <f>IF(SER_hh_tes!P10=0,0,11630*1000*SER_hh_tes!P10/SER_hh_num!P10)</f>
        <v>4671.334546399461</v>
      </c>
      <c r="Q10" s="132">
        <f>IF(SER_hh_tes!Q10=0,0,11630*1000*SER_hh_tes!Q10/SER_hh_num!Q10)</f>
        <v>4662.3016581111642</v>
      </c>
      <c r="R10" s="132">
        <f>IF(SER_hh_tes!R10=0,0,11630*1000*SER_hh_tes!R10/SER_hh_num!R10)</f>
        <v>5699.2587316998543</v>
      </c>
      <c r="S10" s="132">
        <f>IF(SER_hh_tes!S10=0,0,11630*1000*SER_hh_tes!S10/SER_hh_num!S10)</f>
        <v>6304.1947239785959</v>
      </c>
      <c r="T10" s="132">
        <f>IF(SER_hh_tes!T10=0,0,11630*1000*SER_hh_tes!T10/SER_hh_num!T10)</f>
        <v>6802.4636489122495</v>
      </c>
      <c r="U10" s="132">
        <f>IF(SER_hh_tes!U10=0,0,11630*1000*SER_hh_tes!U10/SER_hh_num!U10)</f>
        <v>7516.4314537966948</v>
      </c>
      <c r="V10" s="132">
        <f>IF(SER_hh_tes!V10=0,0,11630*1000*SER_hh_tes!V10/SER_hh_num!V10)</f>
        <v>7917.6364078977595</v>
      </c>
      <c r="W10" s="132">
        <f>IF(SER_hh_tes!W10=0,0,11630*1000*SER_hh_tes!W10/SER_hh_num!W10)</f>
        <v>8864.9320941090446</v>
      </c>
      <c r="X10" s="132">
        <f>IF(SER_hh_tes!X10=0,0,11630*1000*SER_hh_tes!X10/SER_hh_num!X10)</f>
        <v>9264.5392350761304</v>
      </c>
      <c r="Y10" s="132">
        <f>IF(SER_hh_tes!Y10=0,0,11630*1000*SER_hh_tes!Y10/SER_hh_num!Y10)</f>
        <v>9505.6919791516048</v>
      </c>
      <c r="DA10" s="156" t="s">
        <v>422</v>
      </c>
    </row>
    <row r="11" spans="1:105" ht="12" customHeight="1" x14ac:dyDescent="0.25">
      <c r="A11" s="131" t="s">
        <v>25</v>
      </c>
      <c r="B11" s="132">
        <f>IF(SER_hh_tes!B11=0,0,11630*1000*SER_hh_tes!B11/SER_hh_num!B11)</f>
        <v>5726.8139055280326</v>
      </c>
      <c r="C11" s="132">
        <f>IF(SER_hh_tes!C11=0,0,11630*1000*SER_hh_tes!C11/SER_hh_num!C11)</f>
        <v>7151.6925180168273</v>
      </c>
      <c r="D11" s="132">
        <f>IF(SER_hh_tes!D11=0,0,11630*1000*SER_hh_tes!D11/SER_hh_num!D11)</f>
        <v>1843.5431974888786</v>
      </c>
      <c r="E11" s="132">
        <f>IF(SER_hh_tes!E11=0,0,11630*1000*SER_hh_tes!E11/SER_hh_num!E11)</f>
        <v>2470.5092282863088</v>
      </c>
      <c r="F11" s="132">
        <f>IF(SER_hh_tes!F11=0,0,11630*1000*SER_hh_tes!F11/SER_hh_num!F11)</f>
        <v>4955.2444578400991</v>
      </c>
      <c r="G11" s="132">
        <f>IF(SER_hh_tes!G11=0,0,11630*1000*SER_hh_tes!G11/SER_hh_num!G11)</f>
        <v>5832.3873071659445</v>
      </c>
      <c r="H11" s="132">
        <f>IF(SER_hh_tes!H11=0,0,11630*1000*SER_hh_tes!H11/SER_hh_num!H11)</f>
        <v>7072.3231482736728</v>
      </c>
      <c r="I11" s="132">
        <f>IF(SER_hh_tes!I11=0,0,11630*1000*SER_hh_tes!I11/SER_hh_num!I11)</f>
        <v>7066.9973333591033</v>
      </c>
      <c r="J11" s="132">
        <f>IF(SER_hh_tes!J11=0,0,11630*1000*SER_hh_tes!J11/SER_hh_num!J11)</f>
        <v>7241.2882621653544</v>
      </c>
      <c r="K11" s="132">
        <f>IF(SER_hh_tes!K11=0,0,11630*1000*SER_hh_tes!K11/SER_hh_num!K11)</f>
        <v>7447.3369889536898</v>
      </c>
      <c r="L11" s="132">
        <f>IF(SER_hh_tes!L11=0,0,11630*1000*SER_hh_tes!L11/SER_hh_num!L11)</f>
        <v>7986.3032923403662</v>
      </c>
      <c r="M11" s="132">
        <f>IF(SER_hh_tes!M11=0,0,11630*1000*SER_hh_tes!M11/SER_hh_num!M11)</f>
        <v>7831.0491660787084</v>
      </c>
      <c r="N11" s="132">
        <f>IF(SER_hh_tes!N11=0,0,11630*1000*SER_hh_tes!N11/SER_hh_num!N11)</f>
        <v>6770.1265844679065</v>
      </c>
      <c r="O11" s="132">
        <f>IF(SER_hh_tes!O11=0,0,11630*1000*SER_hh_tes!O11/SER_hh_num!O11)</f>
        <v>6126.0013188156017</v>
      </c>
      <c r="P11" s="132">
        <f>IF(SER_hh_tes!P11=0,0,11630*1000*SER_hh_tes!P11/SER_hh_num!P11)</f>
        <v>5043.8861210263667</v>
      </c>
      <c r="Q11" s="132">
        <f>IF(SER_hh_tes!Q11=0,0,11630*1000*SER_hh_tes!Q11/SER_hh_num!Q11)</f>
        <v>4872.4216995748302</v>
      </c>
      <c r="R11" s="132">
        <f>IF(SER_hh_tes!R11=0,0,11630*1000*SER_hh_tes!R11/SER_hh_num!R11)</f>
        <v>5233.9414885460656</v>
      </c>
      <c r="S11" s="132">
        <f>IF(SER_hh_tes!S11=0,0,11630*1000*SER_hh_tes!S11/SER_hh_num!S11)</f>
        <v>5992.1601879368754</v>
      </c>
      <c r="T11" s="132">
        <f>IF(SER_hh_tes!T11=0,0,11630*1000*SER_hh_tes!T11/SER_hh_num!T11)</f>
        <v>6869.4219178397798</v>
      </c>
      <c r="U11" s="132">
        <f>IF(SER_hh_tes!U11=0,0,11630*1000*SER_hh_tes!U11/SER_hh_num!U11)</f>
        <v>7560.3184061136635</v>
      </c>
      <c r="V11" s="132">
        <f>IF(SER_hh_tes!V11=0,0,11630*1000*SER_hh_tes!V11/SER_hh_num!V11)</f>
        <v>8070.3626741962908</v>
      </c>
      <c r="W11" s="132">
        <f>IF(SER_hh_tes!W11=0,0,11630*1000*SER_hh_tes!W11/SER_hh_num!W11)</f>
        <v>8705.7684266712913</v>
      </c>
      <c r="X11" s="132">
        <f>IF(SER_hh_tes!X11=0,0,11630*1000*SER_hh_tes!X11/SER_hh_num!X11)</f>
        <v>9314.0651993345473</v>
      </c>
      <c r="Y11" s="132">
        <f>IF(SER_hh_tes!Y11=0,0,11630*1000*SER_hh_tes!Y11/SER_hh_num!Y11)</f>
        <v>9469.9426707774674</v>
      </c>
      <c r="DA11" s="156" t="s">
        <v>423</v>
      </c>
    </row>
    <row r="12" spans="1:105" ht="12" customHeight="1" x14ac:dyDescent="0.25">
      <c r="A12" s="131" t="s">
        <v>162</v>
      </c>
      <c r="B12" s="132">
        <f>IF(SER_hh_tes!B12=0,0,11630*1000*SER_hh_tes!B12/SER_hh_num!B12)</f>
        <v>0</v>
      </c>
      <c r="C12" s="132">
        <f>IF(SER_hh_tes!C12=0,0,11630*1000*SER_hh_tes!C12/SER_hh_num!C12)</f>
        <v>0</v>
      </c>
      <c r="D12" s="132">
        <f>IF(SER_hh_tes!D12=0,0,11630*1000*SER_hh_tes!D12/SER_hh_num!D12)</f>
        <v>0</v>
      </c>
      <c r="E12" s="132">
        <f>IF(SER_hh_tes!E12=0,0,11630*1000*SER_hh_tes!E12/SER_hh_num!E12)</f>
        <v>0</v>
      </c>
      <c r="F12" s="132">
        <f>IF(SER_hh_tes!F12=0,0,11630*1000*SER_hh_tes!F12/SER_hh_num!F12)</f>
        <v>0</v>
      </c>
      <c r="G12" s="132">
        <f>IF(SER_hh_tes!G12=0,0,11630*1000*SER_hh_tes!G12/SER_hh_num!G12)</f>
        <v>0</v>
      </c>
      <c r="H12" s="132">
        <f>IF(SER_hh_tes!H12=0,0,11630*1000*SER_hh_tes!H12/SER_hh_num!H12)</f>
        <v>0</v>
      </c>
      <c r="I12" s="132">
        <f>IF(SER_hh_tes!I12=0,0,11630*1000*SER_hh_tes!I12/SER_hh_num!I12)</f>
        <v>0</v>
      </c>
      <c r="J12" s="132">
        <f>IF(SER_hh_tes!J12=0,0,11630*1000*SER_hh_tes!J12/SER_hh_num!J12)</f>
        <v>0</v>
      </c>
      <c r="K12" s="132">
        <f>IF(SER_hh_tes!K12=0,0,11630*1000*SER_hh_tes!K12/SER_hh_num!K12)</f>
        <v>0</v>
      </c>
      <c r="L12" s="132">
        <f>IF(SER_hh_tes!L12=0,0,11630*1000*SER_hh_tes!L12/SER_hh_num!L12)</f>
        <v>0</v>
      </c>
      <c r="M12" s="132">
        <f>IF(SER_hh_tes!M12=0,0,11630*1000*SER_hh_tes!M12/SER_hh_num!M12)</f>
        <v>0</v>
      </c>
      <c r="N12" s="132">
        <f>IF(SER_hh_tes!N12=0,0,11630*1000*SER_hh_tes!N12/SER_hh_num!N12)</f>
        <v>0</v>
      </c>
      <c r="O12" s="132">
        <f>IF(SER_hh_tes!O12=0,0,11630*1000*SER_hh_tes!O12/SER_hh_num!O12)</f>
        <v>0</v>
      </c>
      <c r="P12" s="132">
        <f>IF(SER_hh_tes!P12=0,0,11630*1000*SER_hh_tes!P12/SER_hh_num!P12)</f>
        <v>0</v>
      </c>
      <c r="Q12" s="132">
        <f>IF(SER_hh_tes!Q12=0,0,11630*1000*SER_hh_tes!Q12/SER_hh_num!Q12)</f>
        <v>0</v>
      </c>
      <c r="R12" s="132">
        <f>IF(SER_hh_tes!R12=0,0,11630*1000*SER_hh_tes!R12/SER_hh_num!R12)</f>
        <v>0</v>
      </c>
      <c r="S12" s="132">
        <f>IF(SER_hh_tes!S12=0,0,11630*1000*SER_hh_tes!S12/SER_hh_num!S12)</f>
        <v>0</v>
      </c>
      <c r="T12" s="132">
        <f>IF(SER_hh_tes!T12=0,0,11630*1000*SER_hh_tes!T12/SER_hh_num!T12)</f>
        <v>0</v>
      </c>
      <c r="U12" s="132">
        <f>IF(SER_hh_tes!U12=0,0,11630*1000*SER_hh_tes!U12/SER_hh_num!U12)</f>
        <v>0</v>
      </c>
      <c r="V12" s="132">
        <f>IF(SER_hh_tes!V12=0,0,11630*1000*SER_hh_tes!V12/SER_hh_num!V12)</f>
        <v>0</v>
      </c>
      <c r="W12" s="132">
        <f>IF(SER_hh_tes!W12=0,0,11630*1000*SER_hh_tes!W12/SER_hh_num!W12)</f>
        <v>0</v>
      </c>
      <c r="X12" s="132">
        <f>IF(SER_hh_tes!X12=0,0,11630*1000*SER_hh_tes!X12/SER_hh_num!X12)</f>
        <v>0</v>
      </c>
      <c r="Y12" s="132">
        <f>IF(SER_hh_tes!Y12=0,0,11630*1000*SER_hh_tes!Y12/SER_hh_num!Y12)</f>
        <v>0</v>
      </c>
      <c r="DA12" s="156" t="s">
        <v>424</v>
      </c>
    </row>
    <row r="13" spans="1:105" ht="12" customHeight="1" x14ac:dyDescent="0.25">
      <c r="A13" s="131" t="s">
        <v>77</v>
      </c>
      <c r="B13" s="132">
        <f>IF(SER_hh_tes!B13=0,0,11630*1000*SER_hh_tes!B13/SER_hh_num!B13)</f>
        <v>5105.326689823215</v>
      </c>
      <c r="C13" s="132">
        <f>IF(SER_hh_tes!C13=0,0,11630*1000*SER_hh_tes!C13/SER_hh_num!C13)</f>
        <v>5724.6333756776994</v>
      </c>
      <c r="D13" s="132">
        <f>IF(SER_hh_tes!D13=0,0,11630*1000*SER_hh_tes!D13/SER_hh_num!D13)</f>
        <v>4573.469216675283</v>
      </c>
      <c r="E13" s="132">
        <f>IF(SER_hh_tes!E13=0,0,11630*1000*SER_hh_tes!E13/SER_hh_num!E13)</f>
        <v>4759.6293535471277</v>
      </c>
      <c r="F13" s="132">
        <f>IF(SER_hh_tes!F13=0,0,11630*1000*SER_hh_tes!F13/SER_hh_num!F13)</f>
        <v>4566.9955511125982</v>
      </c>
      <c r="G13" s="132">
        <f>IF(SER_hh_tes!G13=0,0,11630*1000*SER_hh_tes!G13/SER_hh_num!G13)</f>
        <v>5841.5113462504196</v>
      </c>
      <c r="H13" s="132">
        <f>IF(SER_hh_tes!H13=0,0,11630*1000*SER_hh_tes!H13/SER_hh_num!H13)</f>
        <v>6061.8081260951567</v>
      </c>
      <c r="I13" s="132">
        <f>IF(SER_hh_tes!I13=0,0,11630*1000*SER_hh_tes!I13/SER_hh_num!I13)</f>
        <v>6588.9596911211083</v>
      </c>
      <c r="J13" s="132">
        <f>IF(SER_hh_tes!J13=0,0,11630*1000*SER_hh_tes!J13/SER_hh_num!J13)</f>
        <v>7692.840850995367</v>
      </c>
      <c r="K13" s="132">
        <f>IF(SER_hh_tes!K13=0,0,11630*1000*SER_hh_tes!K13/SER_hh_num!K13)</f>
        <v>7782.2074470154912</v>
      </c>
      <c r="L13" s="132">
        <f>IF(SER_hh_tes!L13=0,0,11630*1000*SER_hh_tes!L13/SER_hh_num!L13)</f>
        <v>7754.5811505850788</v>
      </c>
      <c r="M13" s="132">
        <f>IF(SER_hh_tes!M13=0,0,11630*1000*SER_hh_tes!M13/SER_hh_num!M13)</f>
        <v>7150.4558613370309</v>
      </c>
      <c r="N13" s="132">
        <f>IF(SER_hh_tes!N13=0,0,11630*1000*SER_hh_tes!N13/SER_hh_num!N13)</f>
        <v>6647.2885285737912</v>
      </c>
      <c r="O13" s="132">
        <f>IF(SER_hh_tes!O13=0,0,11630*1000*SER_hh_tes!O13/SER_hh_num!O13)</f>
        <v>5435.8675556301241</v>
      </c>
      <c r="P13" s="132">
        <f>IF(SER_hh_tes!P13=0,0,11630*1000*SER_hh_tes!P13/SER_hh_num!P13)</f>
        <v>4397.0642588157762</v>
      </c>
      <c r="Q13" s="132">
        <f>IF(SER_hh_tes!Q13=0,0,11630*1000*SER_hh_tes!Q13/SER_hh_num!Q13)</f>
        <v>4831.5730048215955</v>
      </c>
      <c r="R13" s="132">
        <f>IF(SER_hh_tes!R13=0,0,11630*1000*SER_hh_tes!R13/SER_hh_num!R13)</f>
        <v>5393.812157047365</v>
      </c>
      <c r="S13" s="132">
        <f>IF(SER_hh_tes!S13=0,0,11630*1000*SER_hh_tes!S13/SER_hh_num!S13)</f>
        <v>6204.3282913702533</v>
      </c>
      <c r="T13" s="132">
        <f>IF(SER_hh_tes!T13=0,0,11630*1000*SER_hh_tes!T13/SER_hh_num!T13)</f>
        <v>7083.1662438386838</v>
      </c>
      <c r="U13" s="132">
        <f>IF(SER_hh_tes!U13=0,0,11630*1000*SER_hh_tes!U13/SER_hh_num!U13)</f>
        <v>7675.6813713364363</v>
      </c>
      <c r="V13" s="132">
        <f>IF(SER_hh_tes!V13=0,0,11630*1000*SER_hh_tes!V13/SER_hh_num!V13)</f>
        <v>8223.7130453826594</v>
      </c>
      <c r="W13" s="132">
        <f>IF(SER_hh_tes!W13=0,0,11630*1000*SER_hh_tes!W13/SER_hh_num!W13)</f>
        <v>8737.9837056418492</v>
      </c>
      <c r="X13" s="132">
        <f>IF(SER_hh_tes!X13=0,0,11630*1000*SER_hh_tes!X13/SER_hh_num!X13)</f>
        <v>9395.6714373498235</v>
      </c>
      <c r="Y13" s="132">
        <f>IF(SER_hh_tes!Y13=0,0,11630*1000*SER_hh_tes!Y13/SER_hh_num!Y13)</f>
        <v>9787.8675049546382</v>
      </c>
      <c r="DA13" s="156" t="s">
        <v>425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8351.9345351656339</v>
      </c>
      <c r="C14" s="65">
        <f>IF(SER_hh_tes!C14=0,0,11630*1000*SER_hh_tes!C14/SER_hh_num!C14)</f>
        <v>4971.3094832889765</v>
      </c>
      <c r="D14" s="65">
        <f>IF(SER_hh_tes!D14=0,0,11630*1000*SER_hh_tes!D14/SER_hh_num!D14)</f>
        <v>3732.007731960457</v>
      </c>
      <c r="E14" s="65">
        <f>IF(SER_hh_tes!E14=0,0,11630*1000*SER_hh_tes!E14/SER_hh_num!E14)</f>
        <v>2975.071956340355</v>
      </c>
      <c r="F14" s="65">
        <f>IF(SER_hh_tes!F14=0,0,11630*1000*SER_hh_tes!F14/SER_hh_num!F14)</f>
        <v>5330.52928566847</v>
      </c>
      <c r="G14" s="65">
        <f>IF(SER_hh_tes!G14=0,0,11630*1000*SER_hh_tes!G14/SER_hh_num!G14)</f>
        <v>2974.4580224052988</v>
      </c>
      <c r="H14" s="65">
        <f>IF(SER_hh_tes!H14=0,0,11630*1000*SER_hh_tes!H14/SER_hh_num!H14)</f>
        <v>11262.7101502801</v>
      </c>
      <c r="I14" s="65">
        <f>IF(SER_hh_tes!I14=0,0,11630*1000*SER_hh_tes!I14/SER_hh_num!I14)</f>
        <v>6420.1407792549962</v>
      </c>
      <c r="J14" s="65">
        <f>IF(SER_hh_tes!J14=0,0,11630*1000*SER_hh_tes!J14/SER_hh_num!J14)</f>
        <v>8782.0361129662269</v>
      </c>
      <c r="K14" s="65">
        <f>IF(SER_hh_tes!K14=0,0,11630*1000*SER_hh_tes!K14/SER_hh_num!K14)</f>
        <v>7076.8155087513405</v>
      </c>
      <c r="L14" s="65">
        <f>IF(SER_hh_tes!L14=0,0,11630*1000*SER_hh_tes!L14/SER_hh_num!L14)</f>
        <v>9564.1148474310357</v>
      </c>
      <c r="M14" s="65">
        <f>IF(SER_hh_tes!M14=0,0,11630*1000*SER_hh_tes!M14/SER_hh_num!M14)</f>
        <v>9011.6100879982878</v>
      </c>
      <c r="N14" s="65">
        <f>IF(SER_hh_tes!N14=0,0,11630*1000*SER_hh_tes!N14/SER_hh_num!N14)</f>
        <v>7172.4369603901478</v>
      </c>
      <c r="O14" s="65">
        <f>IF(SER_hh_tes!O14=0,0,11630*1000*SER_hh_tes!O14/SER_hh_num!O14)</f>
        <v>5416.8565092296731</v>
      </c>
      <c r="P14" s="65">
        <f>IF(SER_hh_tes!P14=0,0,11630*1000*SER_hh_tes!P14/SER_hh_num!P14)</f>
        <v>2908.5948903838803</v>
      </c>
      <c r="Q14" s="65">
        <f>IF(SER_hh_tes!Q14=0,0,11630*1000*SER_hh_tes!Q14/SER_hh_num!Q14)</f>
        <v>2923.3636639827232</v>
      </c>
      <c r="R14" s="65">
        <f>IF(SER_hh_tes!R14=0,0,11630*1000*SER_hh_tes!R14/SER_hh_num!R14)</f>
        <v>2839.452577704913</v>
      </c>
      <c r="S14" s="65">
        <f>IF(SER_hh_tes!S14=0,0,11630*1000*SER_hh_tes!S14/SER_hh_num!S14)</f>
        <v>7156.902194879257</v>
      </c>
      <c r="T14" s="65">
        <f>IF(SER_hh_tes!T14=0,0,11630*1000*SER_hh_tes!T14/SER_hh_num!T14)</f>
        <v>8364.7539474928926</v>
      </c>
      <c r="U14" s="65">
        <f>IF(SER_hh_tes!U14=0,0,11630*1000*SER_hh_tes!U14/SER_hh_num!U14)</f>
        <v>8735.5201425101041</v>
      </c>
      <c r="V14" s="65">
        <f>IF(SER_hh_tes!V14=0,0,11630*1000*SER_hh_tes!V14/SER_hh_num!V14)</f>
        <v>6284.3503784123777</v>
      </c>
      <c r="W14" s="65">
        <f>IF(SER_hh_tes!W14=0,0,11630*1000*SER_hh_tes!W14/SER_hh_num!W14)</f>
        <v>9523.8898084882039</v>
      </c>
      <c r="X14" s="65">
        <f>IF(SER_hh_tes!X14=0,0,11630*1000*SER_hh_tes!X14/SER_hh_num!X14)</f>
        <v>9658.2101971111715</v>
      </c>
      <c r="Y14" s="65">
        <f>IF(SER_hh_tes!Y14=0,0,11630*1000*SER_hh_tes!Y14/SER_hh_num!Y14)</f>
        <v>8954.2088483560765</v>
      </c>
      <c r="DA14" s="109" t="s">
        <v>426</v>
      </c>
    </row>
    <row r="15" spans="1:105" ht="12" customHeight="1" x14ac:dyDescent="0.25">
      <c r="A15" s="133" t="s">
        <v>80</v>
      </c>
      <c r="B15" s="134">
        <f>IF(SER_hh_tes!B15=0,0,11630*1000*SER_hh_tes!B15/SER_hh_num!B15)</f>
        <v>103.53157896812621</v>
      </c>
      <c r="C15" s="134">
        <f>IF(SER_hh_tes!C15=0,0,11630*1000*SER_hh_tes!C15/SER_hh_num!C15)</f>
        <v>106.5271544429722</v>
      </c>
      <c r="D15" s="134">
        <f>IF(SER_hh_tes!D15=0,0,11630*1000*SER_hh_tes!D15/SER_hh_num!D15)</f>
        <v>99.902723088282258</v>
      </c>
      <c r="E15" s="134">
        <f>IF(SER_hh_tes!E15=0,0,11630*1000*SER_hh_tes!E15/SER_hh_num!E15)</f>
        <v>80.194771675865837</v>
      </c>
      <c r="F15" s="134">
        <f>IF(SER_hh_tes!F15=0,0,11630*1000*SER_hh_tes!F15/SER_hh_num!F15)</f>
        <v>87.001976556287588</v>
      </c>
      <c r="G15" s="134">
        <f>IF(SER_hh_tes!G15=0,0,11630*1000*SER_hh_tes!G15/SER_hh_num!G15)</f>
        <v>104.37937236006772</v>
      </c>
      <c r="H15" s="134">
        <f>IF(SER_hh_tes!H15=0,0,11630*1000*SER_hh_tes!H15/SER_hh_num!H15)</f>
        <v>171.10597907865792</v>
      </c>
      <c r="I15" s="134">
        <f>IF(SER_hh_tes!I15=0,0,11630*1000*SER_hh_tes!I15/SER_hh_num!I15)</f>
        <v>114.95267290561206</v>
      </c>
      <c r="J15" s="134">
        <f>IF(SER_hh_tes!J15=0,0,11630*1000*SER_hh_tes!J15/SER_hh_num!J15)</f>
        <v>102.13986348738193</v>
      </c>
      <c r="K15" s="134">
        <f>IF(SER_hh_tes!K15=0,0,11630*1000*SER_hh_tes!K15/SER_hh_num!K15)</f>
        <v>120.70083067220214</v>
      </c>
      <c r="L15" s="134">
        <f>IF(SER_hh_tes!L15=0,0,11630*1000*SER_hh_tes!L15/SER_hh_num!L15)</f>
        <v>142.02479870971897</v>
      </c>
      <c r="M15" s="134">
        <f>IF(SER_hh_tes!M15=0,0,11630*1000*SER_hh_tes!M15/SER_hh_num!M15)</f>
        <v>144.15973582948379</v>
      </c>
      <c r="N15" s="134">
        <f>IF(SER_hh_tes!N15=0,0,11630*1000*SER_hh_tes!N15/SER_hh_num!N15)</f>
        <v>118.43415506790745</v>
      </c>
      <c r="O15" s="134">
        <f>IF(SER_hh_tes!O15=0,0,11630*1000*SER_hh_tes!O15/SER_hh_num!O15)</f>
        <v>111.5323543859673</v>
      </c>
      <c r="P15" s="134">
        <f>IF(SER_hh_tes!P15=0,0,11630*1000*SER_hh_tes!P15/SER_hh_num!P15)</f>
        <v>68.320440318376896</v>
      </c>
      <c r="Q15" s="134">
        <f>IF(SER_hh_tes!Q15=0,0,11630*1000*SER_hh_tes!Q15/SER_hh_num!Q15)</f>
        <v>66.759137744565393</v>
      </c>
      <c r="R15" s="134">
        <f>IF(SER_hh_tes!R15=0,0,11630*1000*SER_hh_tes!R15/SER_hh_num!R15)</f>
        <v>78.039007185700854</v>
      </c>
      <c r="S15" s="134">
        <f>IF(SER_hh_tes!S15=0,0,11630*1000*SER_hh_tes!S15/SER_hh_num!S15)</f>
        <v>88.753976106564082</v>
      </c>
      <c r="T15" s="134">
        <f>IF(SER_hh_tes!T15=0,0,11630*1000*SER_hh_tes!T15/SER_hh_num!T15)</f>
        <v>110.76088870903975</v>
      </c>
      <c r="U15" s="134">
        <f>IF(SER_hh_tes!U15=0,0,11630*1000*SER_hh_tes!U15/SER_hh_num!U15)</f>
        <v>114.55588566093226</v>
      </c>
      <c r="V15" s="134">
        <f>IF(SER_hh_tes!V15=0,0,11630*1000*SER_hh_tes!V15/SER_hh_num!V15)</f>
        <v>109.32171989303123</v>
      </c>
      <c r="W15" s="134">
        <f>IF(SER_hh_tes!W15=0,0,11630*1000*SER_hh_tes!W15/SER_hh_num!W15)</f>
        <v>136.57998277763585</v>
      </c>
      <c r="X15" s="134">
        <f>IF(SER_hh_tes!X15=0,0,11630*1000*SER_hh_tes!X15/SER_hh_num!X15)</f>
        <v>136.37829070484946</v>
      </c>
      <c r="Y15" s="134">
        <f>IF(SER_hh_tes!Y15=0,0,11630*1000*SER_hh_tes!Y15/SER_hh_num!Y15)</f>
        <v>134.0355646204294</v>
      </c>
      <c r="DA15" s="157" t="s">
        <v>427</v>
      </c>
    </row>
    <row r="16" spans="1:105" ht="12.95" customHeight="1" x14ac:dyDescent="0.25">
      <c r="A16" s="129" t="s">
        <v>74</v>
      </c>
      <c r="B16" s="130">
        <f>IF(SER_hh_tes!B16=0,0,11630*1000*SER_hh_tes!B16/SER_hh_num!B16)</f>
        <v>15319.611617916551</v>
      </c>
      <c r="C16" s="130">
        <f>IF(SER_hh_tes!C16=0,0,11630*1000*SER_hh_tes!C16/SER_hh_num!C16)</f>
        <v>16227.293602781194</v>
      </c>
      <c r="D16" s="130">
        <f>IF(SER_hh_tes!D16=0,0,11630*1000*SER_hh_tes!D16/SER_hh_num!D16)</f>
        <v>14434.008881263382</v>
      </c>
      <c r="E16" s="130">
        <f>IF(SER_hh_tes!E16=0,0,11630*1000*SER_hh_tes!E16/SER_hh_num!E16)</f>
        <v>18660.386385158563</v>
      </c>
      <c r="F16" s="130">
        <f>IF(SER_hh_tes!F16=0,0,11630*1000*SER_hh_tes!F16/SER_hh_num!F16)</f>
        <v>16771.991229674848</v>
      </c>
      <c r="G16" s="130">
        <f>IF(SER_hh_tes!G16=0,0,11630*1000*SER_hh_tes!G16/SER_hh_num!G16)</f>
        <v>17567.200774657456</v>
      </c>
      <c r="H16" s="130">
        <f>IF(SER_hh_tes!H16=0,0,11630*1000*SER_hh_tes!H16/SER_hh_num!H16)</f>
        <v>19717.301389959772</v>
      </c>
      <c r="I16" s="130">
        <f>IF(SER_hh_tes!I16=0,0,11630*1000*SER_hh_tes!I16/SER_hh_num!I16)</f>
        <v>14777.338816735233</v>
      </c>
      <c r="J16" s="130">
        <f>IF(SER_hh_tes!J16=0,0,11630*1000*SER_hh_tes!J16/SER_hh_num!J16)</f>
        <v>15608.025415974947</v>
      </c>
      <c r="K16" s="130">
        <f>IF(SER_hh_tes!K16=0,0,11630*1000*SER_hh_tes!K16/SER_hh_num!K16)</f>
        <v>20076.277306664339</v>
      </c>
      <c r="L16" s="130">
        <f>IF(SER_hh_tes!L16=0,0,11630*1000*SER_hh_tes!L16/SER_hh_num!L16)</f>
        <v>19003.666998773522</v>
      </c>
      <c r="M16" s="130">
        <f>IF(SER_hh_tes!M16=0,0,11630*1000*SER_hh_tes!M16/SER_hh_num!M16)</f>
        <v>17135.816887733919</v>
      </c>
      <c r="N16" s="130">
        <f>IF(SER_hh_tes!N16=0,0,11630*1000*SER_hh_tes!N16/SER_hh_num!N16)</f>
        <v>20715.189953969555</v>
      </c>
      <c r="O16" s="130">
        <f>IF(SER_hh_tes!O16=0,0,11630*1000*SER_hh_tes!O16/SER_hh_num!O16)</f>
        <v>16921.016789752422</v>
      </c>
      <c r="P16" s="130">
        <f>IF(SER_hh_tes!P16=0,0,11630*1000*SER_hh_tes!P16/SER_hh_num!P16)</f>
        <v>15790.657992674669</v>
      </c>
      <c r="Q16" s="130">
        <f>IF(SER_hh_tes!Q16=0,0,11630*1000*SER_hh_tes!Q16/SER_hh_num!Q16)</f>
        <v>23312.075679263256</v>
      </c>
      <c r="R16" s="130">
        <f>IF(SER_hh_tes!R16=0,0,11630*1000*SER_hh_tes!R16/SER_hh_num!R16)</f>
        <v>22976.257345220241</v>
      </c>
      <c r="S16" s="130">
        <f>IF(SER_hh_tes!S16=0,0,11630*1000*SER_hh_tes!S16/SER_hh_num!S16)</f>
        <v>26912.465783374912</v>
      </c>
      <c r="T16" s="130">
        <f>IF(SER_hh_tes!T16=0,0,11630*1000*SER_hh_tes!T16/SER_hh_num!T16)</f>
        <v>19342.775602705118</v>
      </c>
      <c r="U16" s="130">
        <f>IF(SER_hh_tes!U16=0,0,11630*1000*SER_hh_tes!U16/SER_hh_num!U16)</f>
        <v>20216.937409500559</v>
      </c>
      <c r="V16" s="130">
        <f>IF(SER_hh_tes!V16=0,0,11630*1000*SER_hh_tes!V16/SER_hh_num!V16)</f>
        <v>22550.062894737428</v>
      </c>
      <c r="W16" s="130">
        <f>IF(SER_hh_tes!W16=0,0,11630*1000*SER_hh_tes!W16/SER_hh_num!W16)</f>
        <v>19647.76197408306</v>
      </c>
      <c r="X16" s="130">
        <f>IF(SER_hh_tes!X16=0,0,11630*1000*SER_hh_tes!X16/SER_hh_num!X16)</f>
        <v>25165.862183224479</v>
      </c>
      <c r="Y16" s="130">
        <f>IF(SER_hh_tes!Y16=0,0,11630*1000*SER_hh_tes!Y16/SER_hh_num!Y16)</f>
        <v>25559.292319338219</v>
      </c>
      <c r="DA16" s="155" t="s">
        <v>428</v>
      </c>
    </row>
    <row r="17" spans="1:105" ht="12.95" customHeight="1" x14ac:dyDescent="0.25">
      <c r="A17" s="131" t="s">
        <v>73</v>
      </c>
      <c r="B17" s="132">
        <f>IF(SER_hh_tes!B17=0,0,11630*1000*SER_hh_tes!B17/SER_hh_num!B17)</f>
        <v>15319.611617916547</v>
      </c>
      <c r="C17" s="132">
        <f>IF(SER_hh_tes!C17=0,0,11630*1000*SER_hh_tes!C17/SER_hh_num!C17)</f>
        <v>16227.293602781241</v>
      </c>
      <c r="D17" s="132">
        <f>IF(SER_hh_tes!D17=0,0,11630*1000*SER_hh_tes!D17/SER_hh_num!D17)</f>
        <v>14434.008881263408</v>
      </c>
      <c r="E17" s="132">
        <f>IF(SER_hh_tes!E17=0,0,11630*1000*SER_hh_tes!E17/SER_hh_num!E17)</f>
        <v>22093.494877056597</v>
      </c>
      <c r="F17" s="132">
        <f>IF(SER_hh_tes!F17=0,0,11630*1000*SER_hh_tes!F17/SER_hh_num!F17)</f>
        <v>16771.991229995947</v>
      </c>
      <c r="G17" s="132">
        <f>IF(SER_hh_tes!G17=0,0,11630*1000*SER_hh_tes!G17/SER_hh_num!G17)</f>
        <v>17567.200774481924</v>
      </c>
      <c r="H17" s="132">
        <f>IF(SER_hh_tes!H17=0,0,11630*1000*SER_hh_tes!H17/SER_hh_num!H17)</f>
        <v>17503.510406529036</v>
      </c>
      <c r="I17" s="132">
        <f>IF(SER_hh_tes!I17=0,0,11630*1000*SER_hh_tes!I17/SER_hh_num!I17)</f>
        <v>14777.338816717385</v>
      </c>
      <c r="J17" s="132">
        <f>IF(SER_hh_tes!J17=0,0,11630*1000*SER_hh_tes!J17/SER_hh_num!J17)</f>
        <v>15608.025415989714</v>
      </c>
      <c r="K17" s="132">
        <f>IF(SER_hh_tes!K17=0,0,11630*1000*SER_hh_tes!K17/SER_hh_num!K17)</f>
        <v>20076.277306695825</v>
      </c>
      <c r="L17" s="132">
        <f>IF(SER_hh_tes!L17=0,0,11630*1000*SER_hh_tes!L17/SER_hh_num!L17)</f>
        <v>19003.666998811954</v>
      </c>
      <c r="M17" s="132">
        <f>IF(SER_hh_tes!M17=0,0,11630*1000*SER_hh_tes!M17/SER_hh_num!M17)</f>
        <v>17135.816887771816</v>
      </c>
      <c r="N17" s="132">
        <f>IF(SER_hh_tes!N17=0,0,11630*1000*SER_hh_tes!N17/SER_hh_num!N17)</f>
        <v>20715.189954014553</v>
      </c>
      <c r="O17" s="132">
        <f>IF(SER_hh_tes!O17=0,0,11630*1000*SER_hh_tes!O17/SER_hh_num!O17)</f>
        <v>16921.016789785353</v>
      </c>
      <c r="P17" s="132">
        <f>IF(SER_hh_tes!P17=0,0,11630*1000*SER_hh_tes!P17/SER_hh_num!P17)</f>
        <v>15790.657993370723</v>
      </c>
      <c r="Q17" s="132">
        <f>IF(SER_hh_tes!Q17=0,0,11630*1000*SER_hh_tes!Q17/SER_hh_num!Q17)</f>
        <v>23312.075677872232</v>
      </c>
      <c r="R17" s="132">
        <f>IF(SER_hh_tes!R17=0,0,11630*1000*SER_hh_tes!R17/SER_hh_num!R17)</f>
        <v>22976.259821446321</v>
      </c>
      <c r="S17" s="132">
        <f>IF(SER_hh_tes!S17=0,0,11630*1000*SER_hh_tes!S17/SER_hh_num!S17)</f>
        <v>26912.469245525601</v>
      </c>
      <c r="T17" s="132">
        <f>IF(SER_hh_tes!T17=0,0,11630*1000*SER_hh_tes!T17/SER_hh_num!T17)</f>
        <v>19342.777516644885</v>
      </c>
      <c r="U17" s="132">
        <f>IF(SER_hh_tes!U17=0,0,11630*1000*SER_hh_tes!U17/SER_hh_num!U17)</f>
        <v>20216.938085894344</v>
      </c>
      <c r="V17" s="132">
        <f>IF(SER_hh_tes!V17=0,0,11630*1000*SER_hh_tes!V17/SER_hh_num!V17)</f>
        <v>20824.419720113492</v>
      </c>
      <c r="W17" s="132">
        <f>IF(SER_hh_tes!W17=0,0,11630*1000*SER_hh_tes!W17/SER_hh_num!W17)</f>
        <v>18578.401382953722</v>
      </c>
      <c r="X17" s="132">
        <f>IF(SER_hh_tes!X17=0,0,11630*1000*SER_hh_tes!X17/SER_hh_num!X17)</f>
        <v>29212.369336137068</v>
      </c>
      <c r="Y17" s="132">
        <f>IF(SER_hh_tes!Y17=0,0,11630*1000*SER_hh_tes!Y17/SER_hh_num!Y17)</f>
        <v>26953.819344907963</v>
      </c>
      <c r="DA17" s="156" t="s">
        <v>429</v>
      </c>
    </row>
    <row r="18" spans="1:105" ht="12" customHeight="1" x14ac:dyDescent="0.25">
      <c r="A18" s="131" t="s">
        <v>72</v>
      </c>
      <c r="B18" s="132">
        <f>IF(SER_hh_tes!B18=0,0,11630*1000*SER_hh_tes!B18/SER_hh_num!B18)</f>
        <v>15319.611617916549</v>
      </c>
      <c r="C18" s="132">
        <f>IF(SER_hh_tes!C18=0,0,11630*1000*SER_hh_tes!C18/SER_hh_num!C18)</f>
        <v>16227.293602781194</v>
      </c>
      <c r="D18" s="132">
        <f>IF(SER_hh_tes!D18=0,0,11630*1000*SER_hh_tes!D18/SER_hh_num!D18)</f>
        <v>14434.008881263382</v>
      </c>
      <c r="E18" s="132">
        <f>IF(SER_hh_tes!E18=0,0,11630*1000*SER_hh_tes!E18/SER_hh_num!E18)</f>
        <v>18657.663225313816</v>
      </c>
      <c r="F18" s="132">
        <f>IF(SER_hh_tes!F18=0,0,11630*1000*SER_hh_tes!F18/SER_hh_num!F18)</f>
        <v>16771.991229674535</v>
      </c>
      <c r="G18" s="132">
        <f>IF(SER_hh_tes!G18=0,0,11630*1000*SER_hh_tes!G18/SER_hh_num!G18)</f>
        <v>17567.200774657635</v>
      </c>
      <c r="H18" s="132">
        <f>IF(SER_hh_tes!H18=0,0,11630*1000*SER_hh_tes!H18/SER_hh_num!H18)</f>
        <v>19719.872768724021</v>
      </c>
      <c r="I18" s="132">
        <f>IF(SER_hh_tes!I18=0,0,11630*1000*SER_hh_tes!I18/SER_hh_num!I18)</f>
        <v>14777.338816735257</v>
      </c>
      <c r="J18" s="132">
        <f>IF(SER_hh_tes!J18=0,0,11630*1000*SER_hh_tes!J18/SER_hh_num!J18)</f>
        <v>15608.025415974927</v>
      </c>
      <c r="K18" s="132">
        <f>IF(SER_hh_tes!K18=0,0,11630*1000*SER_hh_tes!K18/SER_hh_num!K18)</f>
        <v>20076.277306664295</v>
      </c>
      <c r="L18" s="132">
        <f>IF(SER_hh_tes!L18=0,0,11630*1000*SER_hh_tes!L18/SER_hh_num!L18)</f>
        <v>19003.66699877346</v>
      </c>
      <c r="M18" s="132">
        <f>IF(SER_hh_tes!M18=0,0,11630*1000*SER_hh_tes!M18/SER_hh_num!M18)</f>
        <v>17135.81688773385</v>
      </c>
      <c r="N18" s="132">
        <f>IF(SER_hh_tes!N18=0,0,11630*1000*SER_hh_tes!N18/SER_hh_num!N18)</f>
        <v>20715.189953969457</v>
      </c>
      <c r="O18" s="132">
        <f>IF(SER_hh_tes!O18=0,0,11630*1000*SER_hh_tes!O18/SER_hh_num!O18)</f>
        <v>16921.016789752339</v>
      </c>
      <c r="P18" s="132">
        <f>IF(SER_hh_tes!P18=0,0,11630*1000*SER_hh_tes!P18/SER_hh_num!P18)</f>
        <v>15790.657992672626</v>
      </c>
      <c r="Q18" s="132">
        <f>IF(SER_hh_tes!Q18=0,0,11630*1000*SER_hh_tes!Q18/SER_hh_num!Q18)</f>
        <v>23312.075679268037</v>
      </c>
      <c r="R18" s="132">
        <f>IF(SER_hh_tes!R18=0,0,11630*1000*SER_hh_tes!R18/SER_hh_num!R18)</f>
        <v>22976.257335259466</v>
      </c>
      <c r="S18" s="132">
        <f>IF(SER_hh_tes!S18=0,0,11630*1000*SER_hh_tes!S18/SER_hh_num!S18)</f>
        <v>26912.465768258626</v>
      </c>
      <c r="T18" s="132">
        <f>IF(SER_hh_tes!T18=0,0,11630*1000*SER_hh_tes!T18/SER_hh_num!T18)</f>
        <v>19342.77559279255</v>
      </c>
      <c r="U18" s="132">
        <f>IF(SER_hh_tes!U18=0,0,11630*1000*SER_hh_tes!U18/SER_hh_num!U18)</f>
        <v>20216.937405797609</v>
      </c>
      <c r="V18" s="132">
        <f>IF(SER_hh_tes!V18=0,0,11630*1000*SER_hh_tes!V18/SER_hh_num!V18)</f>
        <v>22559.975526311428</v>
      </c>
      <c r="W18" s="132">
        <f>IF(SER_hh_tes!W18=0,0,11630*1000*SER_hh_tes!W18/SER_hh_num!W18)</f>
        <v>19654.061408361635</v>
      </c>
      <c r="X18" s="132">
        <f>IF(SER_hh_tes!X18=0,0,11630*1000*SER_hh_tes!X18/SER_hh_num!X18)</f>
        <v>25142.027694030323</v>
      </c>
      <c r="Y18" s="132">
        <f>IF(SER_hh_tes!Y18=0,0,11630*1000*SER_hh_tes!Y18/SER_hh_num!Y18)</f>
        <v>25551.067123721481</v>
      </c>
      <c r="DA18" s="156" t="s">
        <v>430</v>
      </c>
    </row>
    <row r="19" spans="1:105" ht="12.95" customHeight="1" x14ac:dyDescent="0.25">
      <c r="A19" s="129" t="s">
        <v>35</v>
      </c>
      <c r="B19" s="130">
        <f>IF(SER_hh_tes!B19=0,0,11630*1000*SER_hh_tes!B19/SER_hh_num!B19)</f>
        <v>3209.7043319522299</v>
      </c>
      <c r="C19" s="130">
        <f>IF(SER_hh_tes!C19=0,0,11630*1000*SER_hh_tes!C19/SER_hh_num!C19)</f>
        <v>3331.1477398097886</v>
      </c>
      <c r="D19" s="130">
        <f>IF(SER_hh_tes!D19=0,0,11630*1000*SER_hh_tes!D19/SER_hh_num!D19)</f>
        <v>3490.710344010542</v>
      </c>
      <c r="E19" s="130">
        <f>IF(SER_hh_tes!E19=0,0,11630*1000*SER_hh_tes!E19/SER_hh_num!E19)</f>
        <v>3484.3061594655419</v>
      </c>
      <c r="F19" s="130">
        <f>IF(SER_hh_tes!F19=0,0,11630*1000*SER_hh_tes!F19/SER_hh_num!F19)</f>
        <v>3676.0108507762557</v>
      </c>
      <c r="G19" s="130">
        <f>IF(SER_hh_tes!G19=0,0,11630*1000*SER_hh_tes!G19/SER_hh_num!G19)</f>
        <v>3669.2991733811486</v>
      </c>
      <c r="H19" s="130">
        <f>IF(SER_hh_tes!H19=0,0,11630*1000*SER_hh_tes!H19/SER_hh_num!H19)</f>
        <v>3753.204178344663</v>
      </c>
      <c r="I19" s="130">
        <f>IF(SER_hh_tes!I19=0,0,11630*1000*SER_hh_tes!I19/SER_hh_num!I19)</f>
        <v>3717.4672250260323</v>
      </c>
      <c r="J19" s="130">
        <f>IF(SER_hh_tes!J19=0,0,11630*1000*SER_hh_tes!J19/SER_hh_num!J19)</f>
        <v>3762.2569651988688</v>
      </c>
      <c r="K19" s="130">
        <f>IF(SER_hh_tes!K19=0,0,11630*1000*SER_hh_tes!K19/SER_hh_num!K19)</f>
        <v>3791.9737274576682</v>
      </c>
      <c r="L19" s="130">
        <f>IF(SER_hh_tes!L19=0,0,11630*1000*SER_hh_tes!L19/SER_hh_num!L19)</f>
        <v>3837.0640826834615</v>
      </c>
      <c r="M19" s="130">
        <f>IF(SER_hh_tes!M19=0,0,11630*1000*SER_hh_tes!M19/SER_hh_num!M19)</f>
        <v>3877.4274269402508</v>
      </c>
      <c r="N19" s="130">
        <f>IF(SER_hh_tes!N19=0,0,11630*1000*SER_hh_tes!N19/SER_hh_num!N19)</f>
        <v>3801.1408887668717</v>
      </c>
      <c r="O19" s="130">
        <f>IF(SER_hh_tes!O19=0,0,11630*1000*SER_hh_tes!O19/SER_hh_num!O19)</f>
        <v>3923.0784596958124</v>
      </c>
      <c r="P19" s="130">
        <f>IF(SER_hh_tes!P19=0,0,11630*1000*SER_hh_tes!P19/SER_hh_num!P19)</f>
        <v>3828.4521891286336</v>
      </c>
      <c r="Q19" s="130">
        <f>IF(SER_hh_tes!Q19=0,0,11630*1000*SER_hh_tes!Q19/SER_hh_num!Q19)</f>
        <v>3640.6995234876154</v>
      </c>
      <c r="R19" s="130">
        <f>IF(SER_hh_tes!R19=0,0,11630*1000*SER_hh_tes!R19/SER_hh_num!R19)</f>
        <v>3570.0505835048407</v>
      </c>
      <c r="S19" s="130">
        <f>IF(SER_hh_tes!S19=0,0,11630*1000*SER_hh_tes!S19/SER_hh_num!S19)</f>
        <v>3474.3784352270959</v>
      </c>
      <c r="T19" s="130">
        <f>IF(SER_hh_tes!T19=0,0,11630*1000*SER_hh_tes!T19/SER_hh_num!T19)</f>
        <v>3745.7660479741685</v>
      </c>
      <c r="U19" s="130">
        <f>IF(SER_hh_tes!U19=0,0,11630*1000*SER_hh_tes!U19/SER_hh_num!U19)</f>
        <v>3706.6188966935574</v>
      </c>
      <c r="V19" s="130">
        <f>IF(SER_hh_tes!V19=0,0,11630*1000*SER_hh_tes!V19/SER_hh_num!V19)</f>
        <v>3285.4687325035384</v>
      </c>
      <c r="W19" s="130">
        <f>IF(SER_hh_tes!W19=0,0,11630*1000*SER_hh_tes!W19/SER_hh_num!W19)</f>
        <v>3587.2459663228356</v>
      </c>
      <c r="X19" s="130">
        <f>IF(SER_hh_tes!X19=0,0,11630*1000*SER_hh_tes!X19/SER_hh_num!X19)</f>
        <v>3435.8809376229437</v>
      </c>
      <c r="Y19" s="130">
        <f>IF(SER_hh_tes!Y19=0,0,11630*1000*SER_hh_tes!Y19/SER_hh_num!Y19)</f>
        <v>3487.3758075535197</v>
      </c>
      <c r="DA19" s="155" t="s">
        <v>431</v>
      </c>
    </row>
    <row r="20" spans="1:105" ht="12" customHeight="1" x14ac:dyDescent="0.25">
      <c r="A20" s="131" t="s">
        <v>29</v>
      </c>
      <c r="B20" s="132">
        <f>IF(SER_hh_tes!B20=0,0,11630*1000*SER_hh_tes!B20/SER_hh_num!B20)</f>
        <v>0</v>
      </c>
      <c r="C20" s="132">
        <f>IF(SER_hh_tes!C20=0,0,11630*1000*SER_hh_tes!C20/SER_hh_num!C20)</f>
        <v>0</v>
      </c>
      <c r="D20" s="132">
        <f>IF(SER_hh_tes!D20=0,0,11630*1000*SER_hh_tes!D20/SER_hh_num!D20)</f>
        <v>0</v>
      </c>
      <c r="E20" s="132">
        <f>IF(SER_hh_tes!E20=0,0,11630*1000*SER_hh_tes!E20/SER_hh_num!E20)</f>
        <v>0</v>
      </c>
      <c r="F20" s="132">
        <f>IF(SER_hh_tes!F20=0,0,11630*1000*SER_hh_tes!F20/SER_hh_num!F20)</f>
        <v>0</v>
      </c>
      <c r="G20" s="132">
        <f>IF(SER_hh_tes!G20=0,0,11630*1000*SER_hh_tes!G20/SER_hh_num!G20)</f>
        <v>0</v>
      </c>
      <c r="H20" s="132">
        <f>IF(SER_hh_tes!H20=0,0,11630*1000*SER_hh_tes!H20/SER_hh_num!H20)</f>
        <v>0</v>
      </c>
      <c r="I20" s="132">
        <f>IF(SER_hh_tes!I20=0,0,11630*1000*SER_hh_tes!I20/SER_hh_num!I20)</f>
        <v>0</v>
      </c>
      <c r="J20" s="132">
        <f>IF(SER_hh_tes!J20=0,0,11630*1000*SER_hh_tes!J20/SER_hh_num!J20)</f>
        <v>0</v>
      </c>
      <c r="K20" s="132">
        <f>IF(SER_hh_tes!K20=0,0,11630*1000*SER_hh_tes!K20/SER_hh_num!K20)</f>
        <v>0</v>
      </c>
      <c r="L20" s="132">
        <f>IF(SER_hh_tes!L20=0,0,11630*1000*SER_hh_tes!L20/SER_hh_num!L20)</f>
        <v>0</v>
      </c>
      <c r="M20" s="132">
        <f>IF(SER_hh_tes!M20=0,0,11630*1000*SER_hh_tes!M20/SER_hh_num!M20)</f>
        <v>0</v>
      </c>
      <c r="N20" s="132">
        <f>IF(SER_hh_tes!N20=0,0,11630*1000*SER_hh_tes!N20/SER_hh_num!N20)</f>
        <v>0</v>
      </c>
      <c r="O20" s="132">
        <f>IF(SER_hh_tes!O20=0,0,11630*1000*SER_hh_tes!O20/SER_hh_num!O20)</f>
        <v>0</v>
      </c>
      <c r="P20" s="132">
        <f>IF(SER_hh_tes!P20=0,0,11630*1000*SER_hh_tes!P20/SER_hh_num!P20)</f>
        <v>0</v>
      </c>
      <c r="Q20" s="132">
        <f>IF(SER_hh_tes!Q20=0,0,11630*1000*SER_hh_tes!Q20/SER_hh_num!Q20)</f>
        <v>0</v>
      </c>
      <c r="R20" s="132">
        <f>IF(SER_hh_tes!R20=0,0,11630*1000*SER_hh_tes!R20/SER_hh_num!R20)</f>
        <v>0</v>
      </c>
      <c r="S20" s="132">
        <f>IF(SER_hh_tes!S20=0,0,11630*1000*SER_hh_tes!S20/SER_hh_num!S20)</f>
        <v>0</v>
      </c>
      <c r="T20" s="132">
        <f>IF(SER_hh_tes!T20=0,0,11630*1000*SER_hh_tes!T20/SER_hh_num!T20)</f>
        <v>0</v>
      </c>
      <c r="U20" s="132">
        <f>IF(SER_hh_tes!U20=0,0,11630*1000*SER_hh_tes!U20/SER_hh_num!U20)</f>
        <v>0</v>
      </c>
      <c r="V20" s="132">
        <f>IF(SER_hh_tes!V20=0,0,11630*1000*SER_hh_tes!V20/SER_hh_num!V20)</f>
        <v>0</v>
      </c>
      <c r="W20" s="132">
        <f>IF(SER_hh_tes!W20=0,0,11630*1000*SER_hh_tes!W20/SER_hh_num!W20)</f>
        <v>0</v>
      </c>
      <c r="X20" s="132">
        <f>IF(SER_hh_tes!X20=0,0,11630*1000*SER_hh_tes!X20/SER_hh_num!X20)</f>
        <v>0</v>
      </c>
      <c r="Y20" s="132">
        <f>IF(SER_hh_tes!Y20=0,0,11630*1000*SER_hh_tes!Y20/SER_hh_num!Y20)</f>
        <v>0</v>
      </c>
      <c r="DA20" s="156" t="s">
        <v>432</v>
      </c>
    </row>
    <row r="21" spans="1:105" s="2" customFormat="1" ht="12" customHeight="1" x14ac:dyDescent="0.25">
      <c r="A21" s="131" t="s">
        <v>52</v>
      </c>
      <c r="B21" s="132">
        <f>IF(SER_hh_tes!B21=0,0,11630*1000*SER_hh_tes!B21/SER_hh_num!B21)</f>
        <v>3261.8622902363577</v>
      </c>
      <c r="C21" s="132">
        <f>IF(SER_hh_tes!C21=0,0,11630*1000*SER_hh_tes!C21/SER_hh_num!C21)</f>
        <v>3304.6097237469367</v>
      </c>
      <c r="D21" s="132">
        <f>IF(SER_hh_tes!D21=0,0,11630*1000*SER_hh_tes!D21/SER_hh_num!D21)</f>
        <v>3457.8290096240075</v>
      </c>
      <c r="E21" s="132">
        <f>IF(SER_hh_tes!E21=0,0,11630*1000*SER_hh_tes!E21/SER_hh_num!E21)</f>
        <v>3608.7552505008503</v>
      </c>
      <c r="F21" s="132">
        <f>IF(SER_hh_tes!F21=0,0,11630*1000*SER_hh_tes!F21/SER_hh_num!F21)</f>
        <v>3503.945778085832</v>
      </c>
      <c r="G21" s="132">
        <f>IF(SER_hh_tes!G21=0,0,11630*1000*SER_hh_tes!G21/SER_hh_num!G21)</f>
        <v>3596.7279535270841</v>
      </c>
      <c r="H21" s="132">
        <f>IF(SER_hh_tes!H21=0,0,11630*1000*SER_hh_tes!H21/SER_hh_num!H21)</f>
        <v>3726.3800932819036</v>
      </c>
      <c r="I21" s="132">
        <f>IF(SER_hh_tes!I21=0,0,11630*1000*SER_hh_tes!I21/SER_hh_num!I21)</f>
        <v>3724.8699364856643</v>
      </c>
      <c r="J21" s="132">
        <f>IF(SER_hh_tes!J21=0,0,11630*1000*SER_hh_tes!J21/SER_hh_num!J21)</f>
        <v>3730.473405721405</v>
      </c>
      <c r="K21" s="132">
        <f>IF(SER_hh_tes!K21=0,0,11630*1000*SER_hh_tes!K21/SER_hh_num!K21)</f>
        <v>3745.1209045062301</v>
      </c>
      <c r="L21" s="132">
        <f>IF(SER_hh_tes!L21=0,0,11630*1000*SER_hh_tes!L21/SER_hh_num!L21)</f>
        <v>3794.1823892747811</v>
      </c>
      <c r="M21" s="132">
        <f>IF(SER_hh_tes!M21=0,0,11630*1000*SER_hh_tes!M21/SER_hh_num!M21)</f>
        <v>3807.9140405980006</v>
      </c>
      <c r="N21" s="132">
        <f>IF(SER_hh_tes!N21=0,0,11630*1000*SER_hh_tes!N21/SER_hh_num!N21)</f>
        <v>3808.591020318559</v>
      </c>
      <c r="O21" s="132">
        <f>IF(SER_hh_tes!O21=0,0,11630*1000*SER_hh_tes!O21/SER_hh_num!O21)</f>
        <v>3828.5750559393587</v>
      </c>
      <c r="P21" s="132">
        <f>IF(SER_hh_tes!P21=0,0,11630*1000*SER_hh_tes!P21/SER_hh_num!P21)</f>
        <v>3687.9981071800776</v>
      </c>
      <c r="Q21" s="132">
        <f>IF(SER_hh_tes!Q21=0,0,11630*1000*SER_hh_tes!Q21/SER_hh_num!Q21)</f>
        <v>3616.3829426689781</v>
      </c>
      <c r="R21" s="132">
        <f>IF(SER_hh_tes!R21=0,0,11630*1000*SER_hh_tes!R21/SER_hh_num!R21)</f>
        <v>3600.1609224639501</v>
      </c>
      <c r="S21" s="132">
        <f>IF(SER_hh_tes!S21=0,0,11630*1000*SER_hh_tes!S21/SER_hh_num!S21)</f>
        <v>3581.1959729629552</v>
      </c>
      <c r="T21" s="132">
        <f>IF(SER_hh_tes!T21=0,0,11630*1000*SER_hh_tes!T21/SER_hh_num!T21)</f>
        <v>3914.4631186501206</v>
      </c>
      <c r="U21" s="132">
        <f>IF(SER_hh_tes!U21=0,0,11630*1000*SER_hh_tes!U21/SER_hh_num!U21)</f>
        <v>3651.8150858938607</v>
      </c>
      <c r="V21" s="132">
        <f>IF(SER_hh_tes!V21=0,0,11630*1000*SER_hh_tes!V21/SER_hh_num!V21)</f>
        <v>2683.4883610995635</v>
      </c>
      <c r="W21" s="132">
        <f>IF(SER_hh_tes!W21=0,0,11630*1000*SER_hh_tes!W21/SER_hh_num!W21)</f>
        <v>2967.295815724643</v>
      </c>
      <c r="X21" s="132">
        <f>IF(SER_hh_tes!X21=0,0,11630*1000*SER_hh_tes!X21/SER_hh_num!X21)</f>
        <v>3198.7336457063548</v>
      </c>
      <c r="Y21" s="132">
        <f>IF(SER_hh_tes!Y21=0,0,11630*1000*SER_hh_tes!Y21/SER_hh_num!Y21)</f>
        <v>3844.3796954321206</v>
      </c>
      <c r="DA21" s="156" t="s">
        <v>433</v>
      </c>
    </row>
    <row r="22" spans="1:105" ht="12" customHeight="1" x14ac:dyDescent="0.25">
      <c r="A22" s="131" t="s">
        <v>161</v>
      </c>
      <c r="B22" s="132">
        <f>IF(SER_hh_tes!B22=0,0,11630*1000*SER_hh_tes!B22/SER_hh_num!B22)</f>
        <v>3190.980368298282</v>
      </c>
      <c r="C22" s="132">
        <f>IF(SER_hh_tes!C22=0,0,11630*1000*SER_hh_tes!C22/SER_hh_num!C22)</f>
        <v>3345.4786446974172</v>
      </c>
      <c r="D22" s="132">
        <f>IF(SER_hh_tes!D22=0,0,11630*1000*SER_hh_tes!D22/SER_hh_num!D22)</f>
        <v>3449.330619251356</v>
      </c>
      <c r="E22" s="132">
        <f>IF(SER_hh_tes!E22=0,0,11630*1000*SER_hh_tes!E22/SER_hh_num!E22)</f>
        <v>3507.3426736387728</v>
      </c>
      <c r="F22" s="132">
        <f>IF(SER_hh_tes!F22=0,0,11630*1000*SER_hh_tes!F22/SER_hh_num!F22)</f>
        <v>3639.5560731073215</v>
      </c>
      <c r="G22" s="132">
        <f>IF(SER_hh_tes!G22=0,0,11630*1000*SER_hh_tes!G22/SER_hh_num!G22)</f>
        <v>3717.9834519260949</v>
      </c>
      <c r="H22" s="132">
        <f>IF(SER_hh_tes!H22=0,0,11630*1000*SER_hh_tes!H22/SER_hh_num!H22)</f>
        <v>3766.1643329479066</v>
      </c>
      <c r="I22" s="132">
        <f>IF(SER_hh_tes!I22=0,0,11630*1000*SER_hh_tes!I22/SER_hh_num!I22)</f>
        <v>3672.343329920855</v>
      </c>
      <c r="J22" s="132">
        <f>IF(SER_hh_tes!J22=0,0,11630*1000*SER_hh_tes!J22/SER_hh_num!J22)</f>
        <v>3693.2195724184762</v>
      </c>
      <c r="K22" s="132">
        <f>IF(SER_hh_tes!K22=0,0,11630*1000*SER_hh_tes!K22/SER_hh_num!K22)</f>
        <v>3718.9837849390565</v>
      </c>
      <c r="L22" s="132">
        <f>IF(SER_hh_tes!L22=0,0,11630*1000*SER_hh_tes!L22/SER_hh_num!L22)</f>
        <v>3739.3071789120986</v>
      </c>
      <c r="M22" s="132">
        <f>IF(SER_hh_tes!M22=0,0,11630*1000*SER_hh_tes!M22/SER_hh_num!M22)</f>
        <v>3762.2732045208859</v>
      </c>
      <c r="N22" s="132">
        <f>IF(SER_hh_tes!N22=0,0,11630*1000*SER_hh_tes!N22/SER_hh_num!N22)</f>
        <v>3814.1484000139808</v>
      </c>
      <c r="O22" s="132">
        <f>IF(SER_hh_tes!O22=0,0,11630*1000*SER_hh_tes!O22/SER_hh_num!O22)</f>
        <v>3780.5203773200988</v>
      </c>
      <c r="P22" s="132">
        <f>IF(SER_hh_tes!P22=0,0,11630*1000*SER_hh_tes!P22/SER_hh_num!P22)</f>
        <v>3625.3524670066213</v>
      </c>
      <c r="Q22" s="132">
        <f>IF(SER_hh_tes!Q22=0,0,11630*1000*SER_hh_tes!Q22/SER_hh_num!Q22)</f>
        <v>3646.5832254922516</v>
      </c>
      <c r="R22" s="132">
        <f>IF(SER_hh_tes!R22=0,0,11630*1000*SER_hh_tes!R22/SER_hh_num!R22)</f>
        <v>3638.2276106131685</v>
      </c>
      <c r="S22" s="132">
        <f>IF(SER_hh_tes!S22=0,0,11630*1000*SER_hh_tes!S22/SER_hh_num!S22)</f>
        <v>3536.3555816976695</v>
      </c>
      <c r="T22" s="132">
        <f>IF(SER_hh_tes!T22=0,0,11630*1000*SER_hh_tes!T22/SER_hh_num!T22)</f>
        <v>3586.2074946169841</v>
      </c>
      <c r="U22" s="132">
        <f>IF(SER_hh_tes!U22=0,0,11630*1000*SER_hh_tes!U22/SER_hh_num!U22)</f>
        <v>3523.0593513324629</v>
      </c>
      <c r="V22" s="132">
        <f>IF(SER_hh_tes!V22=0,0,11630*1000*SER_hh_tes!V22/SER_hh_num!V22)</f>
        <v>3341.2856197435858</v>
      </c>
      <c r="W22" s="132">
        <f>IF(SER_hh_tes!W22=0,0,11630*1000*SER_hh_tes!W22/SER_hh_num!W22)</f>
        <v>3546.5882841803882</v>
      </c>
      <c r="X22" s="132">
        <f>IF(SER_hh_tes!X22=0,0,11630*1000*SER_hh_tes!X22/SER_hh_num!X22)</f>
        <v>3450.4200160058949</v>
      </c>
      <c r="Y22" s="132">
        <f>IF(SER_hh_tes!Y22=0,0,11630*1000*SER_hh_tes!Y22/SER_hh_num!Y22)</f>
        <v>3372.8276970668003</v>
      </c>
      <c r="DA22" s="156" t="s">
        <v>434</v>
      </c>
    </row>
    <row r="23" spans="1:105" ht="12" customHeight="1" x14ac:dyDescent="0.25">
      <c r="A23" s="131" t="s">
        <v>149</v>
      </c>
      <c r="B23" s="132">
        <f>IF(SER_hh_tes!B23=0,0,11630*1000*SER_hh_tes!B23/SER_hh_num!B23)</f>
        <v>3345.0499679585378</v>
      </c>
      <c r="C23" s="132">
        <f>IF(SER_hh_tes!C23=0,0,11630*1000*SER_hh_tes!C23/SER_hh_num!C23)</f>
        <v>3382.4000931304258</v>
      </c>
      <c r="D23" s="132">
        <f>IF(SER_hh_tes!D23=0,0,11630*1000*SER_hh_tes!D23/SER_hh_num!D23)</f>
        <v>3648.8658082772736</v>
      </c>
      <c r="E23" s="132">
        <f>IF(SER_hh_tes!E23=0,0,11630*1000*SER_hh_tes!E23/SER_hh_num!E23)</f>
        <v>1885.2451348073964</v>
      </c>
      <c r="F23" s="132">
        <f>IF(SER_hh_tes!F23=0,0,11630*1000*SER_hh_tes!F23/SER_hh_num!F23)</f>
        <v>2928.0888285617557</v>
      </c>
      <c r="G23" s="132">
        <f>IF(SER_hh_tes!G23=0,0,11630*1000*SER_hh_tes!G23/SER_hh_num!G23)</f>
        <v>2646.7948638765311</v>
      </c>
      <c r="H23" s="132">
        <f>IF(SER_hh_tes!H23=0,0,11630*1000*SER_hh_tes!H23/SER_hh_num!H23)</f>
        <v>4488.5264905764097</v>
      </c>
      <c r="I23" s="132">
        <f>IF(SER_hh_tes!I23=0,0,11630*1000*SER_hh_tes!I23/SER_hh_num!I23)</f>
        <v>3993.8746866167021</v>
      </c>
      <c r="J23" s="132">
        <f>IF(SER_hh_tes!J23=0,0,11630*1000*SER_hh_tes!J23/SER_hh_num!J23)</f>
        <v>3725.3569440834854</v>
      </c>
      <c r="K23" s="132">
        <f>IF(SER_hh_tes!K23=0,0,11630*1000*SER_hh_tes!K23/SER_hh_num!K23)</f>
        <v>3791.0305290641786</v>
      </c>
      <c r="L23" s="132">
        <f>IF(SER_hh_tes!L23=0,0,11630*1000*SER_hh_tes!L23/SER_hh_num!L23)</f>
        <v>3763.4325142733051</v>
      </c>
      <c r="M23" s="132">
        <f>IF(SER_hh_tes!M23=0,0,11630*1000*SER_hh_tes!M23/SER_hh_num!M23)</f>
        <v>3631.1330760230917</v>
      </c>
      <c r="N23" s="132">
        <f>IF(SER_hh_tes!N23=0,0,11630*1000*SER_hh_tes!N23/SER_hh_num!N23)</f>
        <v>3672.6515851445129</v>
      </c>
      <c r="O23" s="132">
        <f>IF(SER_hh_tes!O23=0,0,11630*1000*SER_hh_tes!O23/SER_hh_num!O23)</f>
        <v>3818.9677984190735</v>
      </c>
      <c r="P23" s="132">
        <f>IF(SER_hh_tes!P23=0,0,11630*1000*SER_hh_tes!P23/SER_hh_num!P23)</f>
        <v>4284.8257152778542</v>
      </c>
      <c r="Q23" s="132">
        <f>IF(SER_hh_tes!Q23=0,0,11630*1000*SER_hh_tes!Q23/SER_hh_num!Q23)</f>
        <v>3406.260851780959</v>
      </c>
      <c r="R23" s="132">
        <f>IF(SER_hh_tes!R23=0,0,11630*1000*SER_hh_tes!R23/SER_hh_num!R23)</f>
        <v>3448.6685175419871</v>
      </c>
      <c r="S23" s="132">
        <f>IF(SER_hh_tes!S23=0,0,11630*1000*SER_hh_tes!S23/SER_hh_num!S23)</f>
        <v>3478.1255205087477</v>
      </c>
      <c r="T23" s="132">
        <f>IF(SER_hh_tes!T23=0,0,11630*1000*SER_hh_tes!T23/SER_hh_num!T23)</f>
        <v>3520.2138562713335</v>
      </c>
      <c r="U23" s="132">
        <f>IF(SER_hh_tes!U23=0,0,11630*1000*SER_hh_tes!U23/SER_hh_num!U23)</f>
        <v>3585.6342604364513</v>
      </c>
      <c r="V23" s="132">
        <f>IF(SER_hh_tes!V23=0,0,11630*1000*SER_hh_tes!V23/SER_hh_num!V23)</f>
        <v>3281.0254128516272</v>
      </c>
      <c r="W23" s="132">
        <f>IF(SER_hh_tes!W23=0,0,11630*1000*SER_hh_tes!W23/SER_hh_num!W23)</f>
        <v>3545.4684410178802</v>
      </c>
      <c r="X23" s="132">
        <f>IF(SER_hh_tes!X23=0,0,11630*1000*SER_hh_tes!X23/SER_hh_num!X23)</f>
        <v>3421.6239218990791</v>
      </c>
      <c r="Y23" s="132">
        <f>IF(SER_hh_tes!Y23=0,0,11630*1000*SER_hh_tes!Y23/SER_hh_num!Y23)</f>
        <v>3408.466268778046</v>
      </c>
      <c r="DA23" s="156" t="s">
        <v>435</v>
      </c>
    </row>
    <row r="24" spans="1:105" ht="12" customHeight="1" x14ac:dyDescent="0.25">
      <c r="A24" s="131" t="s">
        <v>128</v>
      </c>
      <c r="B24" s="132">
        <f>IF(SER_hh_tes!B24=0,0,11630*1000*SER_hh_tes!B24/SER_hh_num!B24)</f>
        <v>0</v>
      </c>
      <c r="C24" s="132">
        <f>IF(SER_hh_tes!C24=0,0,11630*1000*SER_hh_tes!C24/SER_hh_num!C24)</f>
        <v>0</v>
      </c>
      <c r="D24" s="132">
        <f>IF(SER_hh_tes!D24=0,0,11630*1000*SER_hh_tes!D24/SER_hh_num!D24)</f>
        <v>0</v>
      </c>
      <c r="E24" s="132">
        <f>IF(SER_hh_tes!E24=0,0,11630*1000*SER_hh_tes!E24/SER_hh_num!E24)</f>
        <v>0</v>
      </c>
      <c r="F24" s="132">
        <f>IF(SER_hh_tes!F24=0,0,11630*1000*SER_hh_tes!F24/SER_hh_num!F24)</f>
        <v>0</v>
      </c>
      <c r="G24" s="132">
        <f>IF(SER_hh_tes!G24=0,0,11630*1000*SER_hh_tes!G24/SER_hh_num!G24)</f>
        <v>0</v>
      </c>
      <c r="H24" s="132">
        <f>IF(SER_hh_tes!H24=0,0,11630*1000*SER_hh_tes!H24/SER_hh_num!H24)</f>
        <v>0</v>
      </c>
      <c r="I24" s="132">
        <f>IF(SER_hh_tes!I24=0,0,11630*1000*SER_hh_tes!I24/SER_hh_num!I24)</f>
        <v>0</v>
      </c>
      <c r="J24" s="132">
        <f>IF(SER_hh_tes!J24=0,0,11630*1000*SER_hh_tes!J24/SER_hh_num!J24)</f>
        <v>0</v>
      </c>
      <c r="K24" s="132">
        <f>IF(SER_hh_tes!K24=0,0,11630*1000*SER_hh_tes!K24/SER_hh_num!K24)</f>
        <v>0</v>
      </c>
      <c r="L24" s="132">
        <f>IF(SER_hh_tes!L24=0,0,11630*1000*SER_hh_tes!L24/SER_hh_num!L24)</f>
        <v>0</v>
      </c>
      <c r="M24" s="132">
        <f>IF(SER_hh_tes!M24=0,0,11630*1000*SER_hh_tes!M24/SER_hh_num!M24)</f>
        <v>0</v>
      </c>
      <c r="N24" s="132">
        <f>IF(SER_hh_tes!N24=0,0,11630*1000*SER_hh_tes!N24/SER_hh_num!N24)</f>
        <v>0</v>
      </c>
      <c r="O24" s="132">
        <f>IF(SER_hh_tes!O24=0,0,11630*1000*SER_hh_tes!O24/SER_hh_num!O24)</f>
        <v>0</v>
      </c>
      <c r="P24" s="132">
        <f>IF(SER_hh_tes!P24=0,0,11630*1000*SER_hh_tes!P24/SER_hh_num!P24)</f>
        <v>0</v>
      </c>
      <c r="Q24" s="132">
        <f>IF(SER_hh_tes!Q24=0,0,11630*1000*SER_hh_tes!Q24/SER_hh_num!Q24)</f>
        <v>0</v>
      </c>
      <c r="R24" s="132">
        <f>IF(SER_hh_tes!R24=0,0,11630*1000*SER_hh_tes!R24/SER_hh_num!R24)</f>
        <v>0</v>
      </c>
      <c r="S24" s="132">
        <f>IF(SER_hh_tes!S24=0,0,11630*1000*SER_hh_tes!S24/SER_hh_num!S24)</f>
        <v>0</v>
      </c>
      <c r="T24" s="132">
        <f>IF(SER_hh_tes!T24=0,0,11630*1000*SER_hh_tes!T24/SER_hh_num!T24)</f>
        <v>0</v>
      </c>
      <c r="U24" s="132">
        <f>IF(SER_hh_tes!U24=0,0,11630*1000*SER_hh_tes!U24/SER_hh_num!U24)</f>
        <v>0</v>
      </c>
      <c r="V24" s="132">
        <f>IF(SER_hh_tes!V24=0,0,11630*1000*SER_hh_tes!V24/SER_hh_num!V24)</f>
        <v>0</v>
      </c>
      <c r="W24" s="132">
        <f>IF(SER_hh_tes!W24=0,0,11630*1000*SER_hh_tes!W24/SER_hh_num!W24)</f>
        <v>0</v>
      </c>
      <c r="X24" s="132">
        <f>IF(SER_hh_tes!X24=0,0,11630*1000*SER_hh_tes!X24/SER_hh_num!X24)</f>
        <v>0</v>
      </c>
      <c r="Y24" s="132">
        <f>IF(SER_hh_tes!Y24=0,0,11630*1000*SER_hh_tes!Y24/SER_hh_num!Y24)</f>
        <v>0</v>
      </c>
      <c r="DA24" s="156" t="s">
        <v>436</v>
      </c>
    </row>
    <row r="25" spans="1:105" ht="12" customHeight="1" x14ac:dyDescent="0.25">
      <c r="A25" s="131" t="s">
        <v>162</v>
      </c>
      <c r="B25" s="132">
        <f>IF(SER_hh_tes!B25=0,0,11630*1000*SER_hh_tes!B25/SER_hh_num!B25)</f>
        <v>0</v>
      </c>
      <c r="C25" s="132">
        <f>IF(SER_hh_tes!C25=0,0,11630*1000*SER_hh_tes!C25/SER_hh_num!C25)</f>
        <v>0</v>
      </c>
      <c r="D25" s="132">
        <f>IF(SER_hh_tes!D25=0,0,11630*1000*SER_hh_tes!D25/SER_hh_num!D25)</f>
        <v>0</v>
      </c>
      <c r="E25" s="132">
        <f>IF(SER_hh_tes!E25=0,0,11630*1000*SER_hh_tes!E25/SER_hh_num!E25)</f>
        <v>0</v>
      </c>
      <c r="F25" s="132">
        <f>IF(SER_hh_tes!F25=0,0,11630*1000*SER_hh_tes!F25/SER_hh_num!F25)</f>
        <v>0</v>
      </c>
      <c r="G25" s="132">
        <f>IF(SER_hh_tes!G25=0,0,11630*1000*SER_hh_tes!G25/SER_hh_num!G25)</f>
        <v>0</v>
      </c>
      <c r="H25" s="132">
        <f>IF(SER_hh_tes!H25=0,0,11630*1000*SER_hh_tes!H25/SER_hh_num!H25)</f>
        <v>0</v>
      </c>
      <c r="I25" s="132">
        <f>IF(SER_hh_tes!I25=0,0,11630*1000*SER_hh_tes!I25/SER_hh_num!I25)</f>
        <v>0</v>
      </c>
      <c r="J25" s="132">
        <f>IF(SER_hh_tes!J25=0,0,11630*1000*SER_hh_tes!J25/SER_hh_num!J25)</f>
        <v>0</v>
      </c>
      <c r="K25" s="132">
        <f>IF(SER_hh_tes!K25=0,0,11630*1000*SER_hh_tes!K25/SER_hh_num!K25)</f>
        <v>0</v>
      </c>
      <c r="L25" s="132">
        <f>IF(SER_hh_tes!L25=0,0,11630*1000*SER_hh_tes!L25/SER_hh_num!L25)</f>
        <v>0</v>
      </c>
      <c r="M25" s="132">
        <f>IF(SER_hh_tes!M25=0,0,11630*1000*SER_hh_tes!M25/SER_hh_num!M25)</f>
        <v>0</v>
      </c>
      <c r="N25" s="132">
        <f>IF(SER_hh_tes!N25=0,0,11630*1000*SER_hh_tes!N25/SER_hh_num!N25)</f>
        <v>0</v>
      </c>
      <c r="O25" s="132">
        <f>IF(SER_hh_tes!O25=0,0,11630*1000*SER_hh_tes!O25/SER_hh_num!O25)</f>
        <v>0</v>
      </c>
      <c r="P25" s="132">
        <f>IF(SER_hh_tes!P25=0,0,11630*1000*SER_hh_tes!P25/SER_hh_num!P25)</f>
        <v>0</v>
      </c>
      <c r="Q25" s="132">
        <f>IF(SER_hh_tes!Q25=0,0,11630*1000*SER_hh_tes!Q25/SER_hh_num!Q25)</f>
        <v>0</v>
      </c>
      <c r="R25" s="132">
        <f>IF(SER_hh_tes!R25=0,0,11630*1000*SER_hh_tes!R25/SER_hh_num!R25)</f>
        <v>0</v>
      </c>
      <c r="S25" s="132">
        <f>IF(SER_hh_tes!S25=0,0,11630*1000*SER_hh_tes!S25/SER_hh_num!S25)</f>
        <v>0</v>
      </c>
      <c r="T25" s="132">
        <f>IF(SER_hh_tes!T25=0,0,11630*1000*SER_hh_tes!T25/SER_hh_num!T25)</f>
        <v>0</v>
      </c>
      <c r="U25" s="132">
        <f>IF(SER_hh_tes!U25=0,0,11630*1000*SER_hh_tes!U25/SER_hh_num!U25)</f>
        <v>0</v>
      </c>
      <c r="V25" s="132">
        <f>IF(SER_hh_tes!V25=0,0,11630*1000*SER_hh_tes!V25/SER_hh_num!V25)</f>
        <v>0</v>
      </c>
      <c r="W25" s="132">
        <f>IF(SER_hh_tes!W25=0,0,11630*1000*SER_hh_tes!W25/SER_hh_num!W25)</f>
        <v>0</v>
      </c>
      <c r="X25" s="132">
        <f>IF(SER_hh_tes!X25=0,0,11630*1000*SER_hh_tes!X25/SER_hh_num!X25)</f>
        <v>0</v>
      </c>
      <c r="Y25" s="132">
        <f>IF(SER_hh_tes!Y25=0,0,11630*1000*SER_hh_tes!Y25/SER_hh_num!Y25)</f>
        <v>0</v>
      </c>
      <c r="DA25" s="156" t="s">
        <v>437</v>
      </c>
    </row>
    <row r="26" spans="1:105" ht="12" customHeight="1" x14ac:dyDescent="0.25">
      <c r="A26" s="131" t="s">
        <v>24</v>
      </c>
      <c r="B26" s="65">
        <f>IF(SER_hh_tes!B26=0,0,11630*1000*SER_hh_tes!B26/SER_hh_num!B26)</f>
        <v>3107.0905090051306</v>
      </c>
      <c r="C26" s="65">
        <f>IF(SER_hh_tes!C26=0,0,11630*1000*SER_hh_tes!C26/SER_hh_num!C26)</f>
        <v>3226.6645945940359</v>
      </c>
      <c r="D26" s="65">
        <f>IF(SER_hh_tes!D26=0,0,11630*1000*SER_hh_tes!D26/SER_hh_num!D26)</f>
        <v>3390.160473743279</v>
      </c>
      <c r="E26" s="65">
        <f>IF(SER_hh_tes!E26=0,0,11630*1000*SER_hh_tes!E26/SER_hh_num!E26)</f>
        <v>3489.3476673667906</v>
      </c>
      <c r="F26" s="65">
        <f>IF(SER_hh_tes!F26=0,0,11630*1000*SER_hh_tes!F26/SER_hh_num!F26)</f>
        <v>3645.4637686886304</v>
      </c>
      <c r="G26" s="65">
        <f>IF(SER_hh_tes!G26=0,0,11630*1000*SER_hh_tes!G26/SER_hh_num!G26)</f>
        <v>3652.1842880320046</v>
      </c>
      <c r="H26" s="65">
        <f>IF(SER_hh_tes!H26=0,0,11630*1000*SER_hh_tes!H26/SER_hh_num!H26)</f>
        <v>3377.9212384632847</v>
      </c>
      <c r="I26" s="65">
        <f>IF(SER_hh_tes!I26=0,0,11630*1000*SER_hh_tes!I26/SER_hh_num!I26)</f>
        <v>3449.6322929479525</v>
      </c>
      <c r="J26" s="65">
        <f>IF(SER_hh_tes!J26=0,0,11630*1000*SER_hh_tes!J26/SER_hh_num!J26)</f>
        <v>3565.6807514262287</v>
      </c>
      <c r="K26" s="65">
        <f>IF(SER_hh_tes!K26=0,0,11630*1000*SER_hh_tes!K26/SER_hh_num!K26)</f>
        <v>3539.6832254785072</v>
      </c>
      <c r="L26" s="65">
        <f>IF(SER_hh_tes!L26=0,0,11630*1000*SER_hh_tes!L26/SER_hh_num!L26)</f>
        <v>3589.557088442798</v>
      </c>
      <c r="M26" s="65">
        <f>IF(SER_hh_tes!M26=0,0,11630*1000*SER_hh_tes!M26/SER_hh_num!M26)</f>
        <v>3668.8074432405037</v>
      </c>
      <c r="N26" s="65">
        <f>IF(SER_hh_tes!N26=0,0,11630*1000*SER_hh_tes!N26/SER_hh_num!N26)</f>
        <v>3472.1036161660709</v>
      </c>
      <c r="O26" s="65">
        <f>IF(SER_hh_tes!O26=0,0,11630*1000*SER_hh_tes!O26/SER_hh_num!O26)</f>
        <v>3625.9678048506162</v>
      </c>
      <c r="P26" s="65">
        <f>IF(SER_hh_tes!P26=0,0,11630*1000*SER_hh_tes!P26/SER_hh_num!P26)</f>
        <v>3197.0268951295479</v>
      </c>
      <c r="Q26" s="65">
        <f>IF(SER_hh_tes!Q26=0,0,11630*1000*SER_hh_tes!Q26/SER_hh_num!Q26)</f>
        <v>3253.9433475799387</v>
      </c>
      <c r="R26" s="65">
        <f>IF(SER_hh_tes!R26=0,0,11630*1000*SER_hh_tes!R26/SER_hh_num!R26)</f>
        <v>3061.0531925585046</v>
      </c>
      <c r="S26" s="65">
        <f>IF(SER_hh_tes!S26=0,0,11630*1000*SER_hh_tes!S26/SER_hh_num!S26)</f>
        <v>2865.5575580937566</v>
      </c>
      <c r="T26" s="65">
        <f>IF(SER_hh_tes!T26=0,0,11630*1000*SER_hh_tes!T26/SER_hh_num!T26)</f>
        <v>3417.6794249236204</v>
      </c>
      <c r="U26" s="65">
        <f>IF(SER_hh_tes!U26=0,0,11630*1000*SER_hh_tes!U26/SER_hh_num!U26)</f>
        <v>3333.3734376631855</v>
      </c>
      <c r="V26" s="65">
        <f>IF(SER_hh_tes!V26=0,0,11630*1000*SER_hh_tes!V26/SER_hh_num!V26)</f>
        <v>2655.2210067741648</v>
      </c>
      <c r="W26" s="65">
        <f>IF(SER_hh_tes!W26=0,0,11630*1000*SER_hh_tes!W26/SER_hh_num!W26)</f>
        <v>3051.2848336838715</v>
      </c>
      <c r="X26" s="65">
        <f>IF(SER_hh_tes!X26=0,0,11630*1000*SER_hh_tes!X26/SER_hh_num!X26)</f>
        <v>2781.5845779884517</v>
      </c>
      <c r="Y26" s="65">
        <f>IF(SER_hh_tes!Y26=0,0,11630*1000*SER_hh_tes!Y26/SER_hh_num!Y26)</f>
        <v>2960.6537705221631</v>
      </c>
      <c r="DA26" s="109" t="s">
        <v>438</v>
      </c>
    </row>
    <row r="27" spans="1:105" ht="12" customHeight="1" x14ac:dyDescent="0.25">
      <c r="A27" s="144" t="s">
        <v>86</v>
      </c>
      <c r="B27" s="145">
        <f>IF(SER_hh_tes!B27=0,0,11630*1000*SER_hh_tes!B27/SER_hh_num!B19)</f>
        <v>41.858026943717881</v>
      </c>
      <c r="C27" s="145">
        <f>IF(SER_hh_tes!C27=0,0,11630*1000*SER_hh_tes!C27/SER_hh_num!C19)</f>
        <v>51.611442901277279</v>
      </c>
      <c r="D27" s="145">
        <f>IF(SER_hh_tes!D27=0,0,11630*1000*SER_hh_tes!D27/SER_hh_num!D19)</f>
        <v>61.605402628325997</v>
      </c>
      <c r="E27" s="145">
        <f>IF(SER_hh_tes!E27=0,0,11630*1000*SER_hh_tes!E27/SER_hh_num!E19)</f>
        <v>75.924424546598857</v>
      </c>
      <c r="F27" s="145">
        <f>IF(SER_hh_tes!F27=0,0,11630*1000*SER_hh_tes!F27/SER_hh_num!F19)</f>
        <v>87.393341461732106</v>
      </c>
      <c r="G27" s="145">
        <f>IF(SER_hh_tes!G27=0,0,11630*1000*SER_hh_tes!G27/SER_hh_num!G19)</f>
        <v>102.61003915040196</v>
      </c>
      <c r="H27" s="145">
        <f>IF(SER_hh_tes!H27=0,0,11630*1000*SER_hh_tes!H27/SER_hh_num!H19)</f>
        <v>114.89127068883226</v>
      </c>
      <c r="I27" s="145">
        <f>IF(SER_hh_tes!I27=0,0,11630*1000*SER_hh_tes!I27/SER_hh_num!I19)</f>
        <v>120.06129370862378</v>
      </c>
      <c r="J27" s="145">
        <f>IF(SER_hh_tes!J27=0,0,11630*1000*SER_hh_tes!J27/SER_hh_num!J19)</f>
        <v>137.84650456701189</v>
      </c>
      <c r="K27" s="145">
        <f>IF(SER_hh_tes!K27=0,0,11630*1000*SER_hh_tes!K27/SER_hh_num!K19)</f>
        <v>164.87658702212303</v>
      </c>
      <c r="L27" s="145">
        <f>IF(SER_hh_tes!L27=0,0,11630*1000*SER_hh_tes!L27/SER_hh_num!L19)</f>
        <v>180.10137965419057</v>
      </c>
      <c r="M27" s="145">
        <f>IF(SER_hh_tes!M27=0,0,11630*1000*SER_hh_tes!M27/SER_hh_num!M19)</f>
        <v>193.77770161321035</v>
      </c>
      <c r="N27" s="145">
        <f>IF(SER_hh_tes!N27=0,0,11630*1000*SER_hh_tes!N27/SER_hh_num!N19)</f>
        <v>206.41684218095344</v>
      </c>
      <c r="O27" s="145">
        <f>IF(SER_hh_tes!O27=0,0,11630*1000*SER_hh_tes!O27/SER_hh_num!O19)</f>
        <v>210.63548366082944</v>
      </c>
      <c r="P27" s="145">
        <f>IF(SER_hh_tes!P27=0,0,11630*1000*SER_hh_tes!P27/SER_hh_num!P19)</f>
        <v>224.41088518471759</v>
      </c>
      <c r="Q27" s="145">
        <f>IF(SER_hh_tes!Q27=0,0,11630*1000*SER_hh_tes!Q27/SER_hh_num!Q19)</f>
        <v>236.17774100391176</v>
      </c>
      <c r="R27" s="145">
        <f>IF(SER_hh_tes!R27=0,0,11630*1000*SER_hh_tes!R27/SER_hh_num!R19)</f>
        <v>233.21213761545937</v>
      </c>
      <c r="S27" s="145">
        <f>IF(SER_hh_tes!S27=0,0,11630*1000*SER_hh_tes!S27/SER_hh_num!S19)</f>
        <v>235.1903211498159</v>
      </c>
      <c r="T27" s="145">
        <f>IF(SER_hh_tes!T27=0,0,11630*1000*SER_hh_tes!T27/SER_hh_num!T19)</f>
        <v>236.71964879718129</v>
      </c>
      <c r="U27" s="145">
        <f>IF(SER_hh_tes!U27=0,0,11630*1000*SER_hh_tes!U27/SER_hh_num!U19)</f>
        <v>236.66692777415204</v>
      </c>
      <c r="V27" s="145">
        <f>IF(SER_hh_tes!V27=0,0,11630*1000*SER_hh_tes!V27/SER_hh_num!V19)</f>
        <v>233.17621718325051</v>
      </c>
      <c r="W27" s="145">
        <f>IF(SER_hh_tes!W27=0,0,11630*1000*SER_hh_tes!W27/SER_hh_num!W19)</f>
        <v>226.80934133052739</v>
      </c>
      <c r="X27" s="145">
        <f>IF(SER_hh_tes!X27=0,0,11630*1000*SER_hh_tes!X27/SER_hh_num!X19)</f>
        <v>217.99061045932672</v>
      </c>
      <c r="Y27" s="145">
        <f>IF(SER_hh_tes!Y27=0,0,11630*1000*SER_hh_tes!Y27/SER_hh_num!Y19)</f>
        <v>208.6910344896144</v>
      </c>
      <c r="DA27" s="158" t="s">
        <v>439</v>
      </c>
    </row>
    <row r="28" spans="1:105" ht="12" customHeight="1" x14ac:dyDescent="0.25">
      <c r="A28" s="78" t="s">
        <v>85</v>
      </c>
      <c r="B28" s="146">
        <f>IF(SER_hh_tes!B27=0,0,11630*1000*SER_hh_tes!B27/SER_hh_num!B27)</f>
        <v>2851.6304802482041</v>
      </c>
      <c r="C28" s="146">
        <f>IF(SER_hh_tes!C27=0,0,11630*1000*SER_hh_tes!C27/SER_hh_num!C27)</f>
        <v>2596.2968246147448</v>
      </c>
      <c r="D28" s="146">
        <f>IF(SER_hh_tes!D27=0,0,11630*1000*SER_hh_tes!D27/SER_hh_num!D27)</f>
        <v>3179.8321188647146</v>
      </c>
      <c r="E28" s="146">
        <f>IF(SER_hh_tes!E27=0,0,11630*1000*SER_hh_tes!E27/SER_hh_num!E27)</f>
        <v>3305.4366778336175</v>
      </c>
      <c r="F28" s="146">
        <f>IF(SER_hh_tes!F27=0,0,11630*1000*SER_hh_tes!F27/SER_hh_num!F27)</f>
        <v>3423.7033253514373</v>
      </c>
      <c r="G28" s="146">
        <f>IF(SER_hh_tes!G27=0,0,11630*1000*SER_hh_tes!G27/SER_hh_num!G27)</f>
        <v>3426.2766140054096</v>
      </c>
      <c r="H28" s="146">
        <f>IF(SER_hh_tes!H27=0,0,11630*1000*SER_hh_tes!H27/SER_hh_num!H27)</f>
        <v>3406.9873584106076</v>
      </c>
      <c r="I28" s="146">
        <f>IF(SER_hh_tes!I27=0,0,11630*1000*SER_hh_tes!I27/SER_hh_num!I27)</f>
        <v>3439.2624385899403</v>
      </c>
      <c r="J28" s="146">
        <f>IF(SER_hh_tes!J27=0,0,11630*1000*SER_hh_tes!J27/SER_hh_num!J27)</f>
        <v>3498.767983403503</v>
      </c>
      <c r="K28" s="146">
        <f>IF(SER_hh_tes!K27=0,0,11630*1000*SER_hh_tes!K27/SER_hh_num!K27)</f>
        <v>3544.6749597908256</v>
      </c>
      <c r="L28" s="146">
        <f>IF(SER_hh_tes!L27=0,0,11630*1000*SER_hh_tes!L27/SER_hh_num!L27)</f>
        <v>3588.8197448376127</v>
      </c>
      <c r="M28" s="146">
        <f>IF(SER_hh_tes!M27=0,0,11630*1000*SER_hh_tes!M27/SER_hh_num!M27)</f>
        <v>3497.7571992588432</v>
      </c>
      <c r="N28" s="146">
        <f>IF(SER_hh_tes!N27=0,0,11630*1000*SER_hh_tes!N27/SER_hh_num!N27)</f>
        <v>3556.1882523839108</v>
      </c>
      <c r="O28" s="146">
        <f>IF(SER_hh_tes!O27=0,0,11630*1000*SER_hh_tes!O27/SER_hh_num!O27)</f>
        <v>3773.4936898700907</v>
      </c>
      <c r="P28" s="146">
        <f>IF(SER_hh_tes!P27=0,0,11630*1000*SER_hh_tes!P27/SER_hh_num!P27)</f>
        <v>3500.6373176394154</v>
      </c>
      <c r="Q28" s="146">
        <f>IF(SER_hh_tes!Q27=0,0,11630*1000*SER_hh_tes!Q27/SER_hh_num!Q27)</f>
        <v>3592.8690692170171</v>
      </c>
      <c r="R28" s="146">
        <f>IF(SER_hh_tes!R27=0,0,11630*1000*SER_hh_tes!R27/SER_hh_num!R27)</f>
        <v>3478.5908692572107</v>
      </c>
      <c r="S28" s="146">
        <f>IF(SER_hh_tes!S27=0,0,11630*1000*SER_hh_tes!S27/SER_hh_num!S27)</f>
        <v>3283.3620870727891</v>
      </c>
      <c r="T28" s="146">
        <f>IF(SER_hh_tes!T27=0,0,11630*1000*SER_hh_tes!T27/SER_hh_num!T27)</f>
        <v>3501.6903790802189</v>
      </c>
      <c r="U28" s="146">
        <f>IF(SER_hh_tes!U27=0,0,11630*1000*SER_hh_tes!U27/SER_hh_num!U27)</f>
        <v>3389.5054359298992</v>
      </c>
      <c r="V28" s="146">
        <f>IF(SER_hh_tes!V27=0,0,11630*1000*SER_hh_tes!V27/SER_hh_num!V27)</f>
        <v>3054.2833727148359</v>
      </c>
      <c r="W28" s="146">
        <f>IF(SER_hh_tes!W27=0,0,11630*1000*SER_hh_tes!W27/SER_hh_num!W27)</f>
        <v>3319.6207408901191</v>
      </c>
      <c r="X28" s="146">
        <f>IF(SER_hh_tes!X27=0,0,11630*1000*SER_hh_tes!X27/SER_hh_num!X27)</f>
        <v>3157.0474943630497</v>
      </c>
      <c r="Y28" s="146">
        <f>IF(SER_hh_tes!Y27=0,0,11630*1000*SER_hh_tes!Y27/SER_hh_num!Y27)</f>
        <v>3254.730615342125</v>
      </c>
      <c r="DA28" s="159"/>
    </row>
    <row r="29" spans="1:105" ht="12.95" customHeight="1" x14ac:dyDescent="0.25">
      <c r="A29" s="129" t="s">
        <v>34</v>
      </c>
      <c r="B29" s="130">
        <f>IF(SER_hh_tes!B29=0,0,11630*1000*SER_hh_tes!B29/SER_hh_num!B29)</f>
        <v>4058.1315923121097</v>
      </c>
      <c r="C29" s="130">
        <f>IF(SER_hh_tes!C29=0,0,11630*1000*SER_hh_tes!C29/SER_hh_num!C29)</f>
        <v>4152.3479169367656</v>
      </c>
      <c r="D29" s="130">
        <f>IF(SER_hh_tes!D29=0,0,11630*1000*SER_hh_tes!D29/SER_hh_num!D29)</f>
        <v>4006.5428342669402</v>
      </c>
      <c r="E29" s="130">
        <f>IF(SER_hh_tes!E29=0,0,11630*1000*SER_hh_tes!E29/SER_hh_num!E29)</f>
        <v>3872.7221552971482</v>
      </c>
      <c r="F29" s="130">
        <f>IF(SER_hh_tes!F29=0,0,11630*1000*SER_hh_tes!F29/SER_hh_num!F29)</f>
        <v>4106.2528376057899</v>
      </c>
      <c r="G29" s="130">
        <f>IF(SER_hh_tes!G29=0,0,11630*1000*SER_hh_tes!G29/SER_hh_num!G29)</f>
        <v>4125.9671771600024</v>
      </c>
      <c r="H29" s="130">
        <f>IF(SER_hh_tes!H29=0,0,11630*1000*SER_hh_tes!H29/SER_hh_num!H29)</f>
        <v>4380.8675613161149</v>
      </c>
      <c r="I29" s="130">
        <f>IF(SER_hh_tes!I29=0,0,11630*1000*SER_hh_tes!I29/SER_hh_num!I29)</f>
        <v>4447.2671821903587</v>
      </c>
      <c r="J29" s="130">
        <f>IF(SER_hh_tes!J29=0,0,11630*1000*SER_hh_tes!J29/SER_hh_num!J29)</f>
        <v>4556.1031200400912</v>
      </c>
      <c r="K29" s="130">
        <f>IF(SER_hh_tes!K29=0,0,11630*1000*SER_hh_tes!K29/SER_hh_num!K29)</f>
        <v>4570.5236018990072</v>
      </c>
      <c r="L29" s="130">
        <f>IF(SER_hh_tes!L29=0,0,11630*1000*SER_hh_tes!L29/SER_hh_num!L29)</f>
        <v>4676.3465542776485</v>
      </c>
      <c r="M29" s="130">
        <f>IF(SER_hh_tes!M29=0,0,11630*1000*SER_hh_tes!M29/SER_hh_num!M29)</f>
        <v>4724.5742802004606</v>
      </c>
      <c r="N29" s="130">
        <f>IF(SER_hh_tes!N29=0,0,11630*1000*SER_hh_tes!N29/SER_hh_num!N29)</f>
        <v>4625.3216892578221</v>
      </c>
      <c r="O29" s="130">
        <f>IF(SER_hh_tes!O29=0,0,11630*1000*SER_hh_tes!O29/SER_hh_num!O29)</f>
        <v>4633.8250083440826</v>
      </c>
      <c r="P29" s="130">
        <f>IF(SER_hh_tes!P29=0,0,11630*1000*SER_hh_tes!P29/SER_hh_num!P29)</f>
        <v>4579.2323631266381</v>
      </c>
      <c r="Q29" s="130">
        <f>IF(SER_hh_tes!Q29=0,0,11630*1000*SER_hh_tes!Q29/SER_hh_num!Q29)</f>
        <v>4544.0160083765195</v>
      </c>
      <c r="R29" s="130">
        <f>IF(SER_hh_tes!R29=0,0,11630*1000*SER_hh_tes!R29/SER_hh_num!R29)</f>
        <v>4440.6593995952089</v>
      </c>
      <c r="S29" s="130">
        <f>IF(SER_hh_tes!S29=0,0,11630*1000*SER_hh_tes!S29/SER_hh_num!S29)</f>
        <v>4622.4121937416385</v>
      </c>
      <c r="T29" s="130">
        <f>IF(SER_hh_tes!T29=0,0,11630*1000*SER_hh_tes!T29/SER_hh_num!T29)</f>
        <v>4836.6904186647453</v>
      </c>
      <c r="U29" s="130">
        <f>IF(SER_hh_tes!U29=0,0,11630*1000*SER_hh_tes!U29/SER_hh_num!U29)</f>
        <v>4999.7201071211248</v>
      </c>
      <c r="V29" s="130">
        <f>IF(SER_hh_tes!V29=0,0,11630*1000*SER_hh_tes!V29/SER_hh_num!V29)</f>
        <v>4026.5910613755786</v>
      </c>
      <c r="W29" s="130">
        <f>IF(SER_hh_tes!W29=0,0,11630*1000*SER_hh_tes!W29/SER_hh_num!W29)</f>
        <v>4815.0822432988616</v>
      </c>
      <c r="X29" s="130">
        <f>IF(SER_hh_tes!X29=0,0,11630*1000*SER_hh_tes!X29/SER_hh_num!X29)</f>
        <v>4352.6922452855515</v>
      </c>
      <c r="Y29" s="130">
        <f>IF(SER_hh_tes!Y29=0,0,11630*1000*SER_hh_tes!Y29/SER_hh_num!Y29)</f>
        <v>5116.1472584955927</v>
      </c>
      <c r="DA29" s="155" t="s">
        <v>440</v>
      </c>
    </row>
    <row r="30" spans="1:105" ht="12" customHeight="1" x14ac:dyDescent="0.25">
      <c r="A30" s="131" t="s">
        <v>52</v>
      </c>
      <c r="B30" s="132">
        <f>IF(SER_hh_tes!B30=0,0,11630*1000*SER_hh_tes!B30/SER_hh_num!B30)</f>
        <v>3954.8612218791718</v>
      </c>
      <c r="C30" s="132">
        <f>IF(SER_hh_tes!C30=0,0,11630*1000*SER_hh_tes!C30/SER_hh_num!C30)</f>
        <v>4190.7898684715919</v>
      </c>
      <c r="D30" s="132">
        <f>IF(SER_hh_tes!D30=0,0,11630*1000*SER_hh_tes!D30/SER_hh_num!D30)</f>
        <v>4058.9744772725817</v>
      </c>
      <c r="E30" s="132">
        <f>IF(SER_hh_tes!E30=0,0,11630*1000*SER_hh_tes!E30/SER_hh_num!E30)</f>
        <v>3948.4778466007438</v>
      </c>
      <c r="F30" s="132">
        <f>IF(SER_hh_tes!F30=0,0,11630*1000*SER_hh_tes!F30/SER_hh_num!F30)</f>
        <v>4284.158386107204</v>
      </c>
      <c r="G30" s="132">
        <f>IF(SER_hh_tes!G30=0,0,11630*1000*SER_hh_tes!G30/SER_hh_num!G30)</f>
        <v>4183.9272771626775</v>
      </c>
      <c r="H30" s="132">
        <f>IF(SER_hh_tes!H30=0,0,11630*1000*SER_hh_tes!H30/SER_hh_num!H30)</f>
        <v>4082.3352484588031</v>
      </c>
      <c r="I30" s="132">
        <f>IF(SER_hh_tes!I30=0,0,11630*1000*SER_hh_tes!I30/SER_hh_num!I30)</f>
        <v>4413.362586632642</v>
      </c>
      <c r="J30" s="132">
        <f>IF(SER_hh_tes!J30=0,0,11630*1000*SER_hh_tes!J30/SER_hh_num!J30)</f>
        <v>4769.7980565486932</v>
      </c>
      <c r="K30" s="132">
        <f>IF(SER_hh_tes!K30=0,0,11630*1000*SER_hh_tes!K30/SER_hh_num!K30)</f>
        <v>4496.5617918941243</v>
      </c>
      <c r="L30" s="132">
        <f>IF(SER_hh_tes!L30=0,0,11630*1000*SER_hh_tes!L30/SER_hh_num!L30)</f>
        <v>4704.4928683553644</v>
      </c>
      <c r="M30" s="132">
        <f>IF(SER_hh_tes!M30=0,0,11630*1000*SER_hh_tes!M30/SER_hh_num!M30)</f>
        <v>4654.7408275693151</v>
      </c>
      <c r="N30" s="132">
        <f>IF(SER_hh_tes!N30=0,0,11630*1000*SER_hh_tes!N30/SER_hh_num!N30)</f>
        <v>4734.0597153274721</v>
      </c>
      <c r="O30" s="132">
        <f>IF(SER_hh_tes!O30=0,0,11630*1000*SER_hh_tes!O30/SER_hh_num!O30)</f>
        <v>4741.3507861901744</v>
      </c>
      <c r="P30" s="132">
        <f>IF(SER_hh_tes!P30=0,0,11630*1000*SER_hh_tes!P30/SER_hh_num!P30)</f>
        <v>3274.0275843869144</v>
      </c>
      <c r="Q30" s="132">
        <f>IF(SER_hh_tes!Q30=0,0,11630*1000*SER_hh_tes!Q30/SER_hh_num!Q30)</f>
        <v>4510.8198190613748</v>
      </c>
      <c r="R30" s="132">
        <f>IF(SER_hh_tes!R30=0,0,11630*1000*SER_hh_tes!R30/SER_hh_num!R30)</f>
        <v>5638.6932617043767</v>
      </c>
      <c r="S30" s="132">
        <f>IF(SER_hh_tes!S30=0,0,11630*1000*SER_hh_tes!S30/SER_hh_num!S30)</f>
        <v>4407.7606591728354</v>
      </c>
      <c r="T30" s="132">
        <f>IF(SER_hh_tes!T30=0,0,11630*1000*SER_hh_tes!T30/SER_hh_num!T30)</f>
        <v>5216.6411653670348</v>
      </c>
      <c r="U30" s="132">
        <f>IF(SER_hh_tes!U30=0,0,11630*1000*SER_hh_tes!U30/SER_hh_num!U30)</f>
        <v>5031.122627859625</v>
      </c>
      <c r="V30" s="132">
        <f>IF(SER_hh_tes!V30=0,0,11630*1000*SER_hh_tes!V30/SER_hh_num!V30)</f>
        <v>3481.9751722184346</v>
      </c>
      <c r="W30" s="132">
        <f>IF(SER_hh_tes!W30=0,0,11630*1000*SER_hh_tes!W30/SER_hh_num!W30)</f>
        <v>4007.3868191306901</v>
      </c>
      <c r="X30" s="132">
        <f>IF(SER_hh_tes!X30=0,0,11630*1000*SER_hh_tes!X30/SER_hh_num!X30)</f>
        <v>4322.8620917996077</v>
      </c>
      <c r="Y30" s="132">
        <f>IF(SER_hh_tes!Y30=0,0,11630*1000*SER_hh_tes!Y30/SER_hh_num!Y30)</f>
        <v>5565.6227922927546</v>
      </c>
      <c r="DA30" s="156" t="s">
        <v>441</v>
      </c>
    </row>
    <row r="31" spans="1:105" ht="12" customHeight="1" x14ac:dyDescent="0.25">
      <c r="A31" s="131" t="s">
        <v>149</v>
      </c>
      <c r="B31" s="132">
        <f>IF(SER_hh_tes!B31=0,0,11630*1000*SER_hh_tes!B31/SER_hh_num!B31)</f>
        <v>3810.0055336483219</v>
      </c>
      <c r="C31" s="132">
        <f>IF(SER_hh_tes!C31=0,0,11630*1000*SER_hh_tes!C31/SER_hh_num!C31)</f>
        <v>4424.7287639332399</v>
      </c>
      <c r="D31" s="132">
        <f>IF(SER_hh_tes!D31=0,0,11630*1000*SER_hh_tes!D31/SER_hh_num!D31)</f>
        <v>3838.9296573827769</v>
      </c>
      <c r="E31" s="132">
        <f>IF(SER_hh_tes!E31=0,0,11630*1000*SER_hh_tes!E31/SER_hh_num!E31)</f>
        <v>3249.6272501442795</v>
      </c>
      <c r="F31" s="132">
        <f>IF(SER_hh_tes!F31=0,0,11630*1000*SER_hh_tes!F31/SER_hh_num!F31)</f>
        <v>4354.6426197758283</v>
      </c>
      <c r="G31" s="132">
        <f>IF(SER_hh_tes!G31=0,0,11630*1000*SER_hh_tes!G31/SER_hh_num!G31)</f>
        <v>4240.0699879417371</v>
      </c>
      <c r="H31" s="132">
        <f>IF(SER_hh_tes!H31=0,0,11630*1000*SER_hh_tes!H31/SER_hh_num!H31)</f>
        <v>4487.8491078492871</v>
      </c>
      <c r="I31" s="132">
        <f>IF(SER_hh_tes!I31=0,0,11630*1000*SER_hh_tes!I31/SER_hh_num!I31)</f>
        <v>4470.1190438946242</v>
      </c>
      <c r="J31" s="132">
        <f>IF(SER_hh_tes!J31=0,0,11630*1000*SER_hh_tes!J31/SER_hh_num!J31)</f>
        <v>4561.3149948336977</v>
      </c>
      <c r="K31" s="132">
        <f>IF(SER_hh_tes!K31=0,0,11630*1000*SER_hh_tes!K31/SER_hh_num!K31)</f>
        <v>4521.4332616878</v>
      </c>
      <c r="L31" s="132">
        <f>IF(SER_hh_tes!L31=0,0,11630*1000*SER_hh_tes!L31/SER_hh_num!L31)</f>
        <v>4628.8160330095907</v>
      </c>
      <c r="M31" s="132">
        <f>IF(SER_hh_tes!M31=0,0,11630*1000*SER_hh_tes!M31/SER_hh_num!M31)</f>
        <v>4539.9203796580096</v>
      </c>
      <c r="N31" s="132">
        <f>IF(SER_hh_tes!N31=0,0,11630*1000*SER_hh_tes!N31/SER_hh_num!N31)</f>
        <v>4152.3669310436571</v>
      </c>
      <c r="O31" s="132">
        <f>IF(SER_hh_tes!O31=0,0,11630*1000*SER_hh_tes!O31/SER_hh_num!O31)</f>
        <v>3888.5201156985745</v>
      </c>
      <c r="P31" s="132">
        <f>IF(SER_hh_tes!P31=0,0,11630*1000*SER_hh_tes!P31/SER_hh_num!P31)</f>
        <v>5185.1171013855537</v>
      </c>
      <c r="Q31" s="132">
        <f>IF(SER_hh_tes!Q31=0,0,11630*1000*SER_hh_tes!Q31/SER_hh_num!Q31)</f>
        <v>4853.5895250306576</v>
      </c>
      <c r="R31" s="132">
        <f>IF(SER_hh_tes!R31=0,0,11630*1000*SER_hh_tes!R31/SER_hh_num!R31)</f>
        <v>4823.2176361085176</v>
      </c>
      <c r="S31" s="132">
        <f>IF(SER_hh_tes!S31=0,0,11630*1000*SER_hh_tes!S31/SER_hh_num!S31)</f>
        <v>4852.9164154125683</v>
      </c>
      <c r="T31" s="132">
        <f>IF(SER_hh_tes!T31=0,0,11630*1000*SER_hh_tes!T31/SER_hh_num!T31)</f>
        <v>4397.2402991455992</v>
      </c>
      <c r="U31" s="132">
        <f>IF(SER_hh_tes!U31=0,0,11630*1000*SER_hh_tes!U31/SER_hh_num!U31)</f>
        <v>4565.2249637519526</v>
      </c>
      <c r="V31" s="132">
        <f>IF(SER_hh_tes!V31=0,0,11630*1000*SER_hh_tes!V31/SER_hh_num!V31)</f>
        <v>4830.9408043931471</v>
      </c>
      <c r="W31" s="132">
        <f>IF(SER_hh_tes!W31=0,0,11630*1000*SER_hh_tes!W31/SER_hh_num!W31)</f>
        <v>4888.0964669305731</v>
      </c>
      <c r="X31" s="132">
        <f>IF(SER_hh_tes!X31=0,0,11630*1000*SER_hh_tes!X31/SER_hh_num!X31)</f>
        <v>4525.22828803436</v>
      </c>
      <c r="Y31" s="132">
        <f>IF(SER_hh_tes!Y31=0,0,11630*1000*SER_hh_tes!Y31/SER_hh_num!Y31)</f>
        <v>4693.2133423814321</v>
      </c>
      <c r="DA31" s="156" t="s">
        <v>442</v>
      </c>
    </row>
    <row r="32" spans="1:105" ht="12" customHeight="1" x14ac:dyDescent="0.25">
      <c r="A32" s="131" t="s">
        <v>128</v>
      </c>
      <c r="B32" s="132">
        <f>IF(SER_hh_tes!B32=0,0,11630*1000*SER_hh_tes!B32/SER_hh_num!B32)</f>
        <v>0</v>
      </c>
      <c r="C32" s="132">
        <f>IF(SER_hh_tes!C32=0,0,11630*1000*SER_hh_tes!C32/SER_hh_num!C32)</f>
        <v>0</v>
      </c>
      <c r="D32" s="132">
        <f>IF(SER_hh_tes!D32=0,0,11630*1000*SER_hh_tes!D32/SER_hh_num!D32)</f>
        <v>0</v>
      </c>
      <c r="E32" s="132">
        <f>IF(SER_hh_tes!E32=0,0,11630*1000*SER_hh_tes!E32/SER_hh_num!E32)</f>
        <v>0</v>
      </c>
      <c r="F32" s="132">
        <f>IF(SER_hh_tes!F32=0,0,11630*1000*SER_hh_tes!F32/SER_hh_num!F32)</f>
        <v>0</v>
      </c>
      <c r="G32" s="132">
        <f>IF(SER_hh_tes!G32=0,0,11630*1000*SER_hh_tes!G32/SER_hh_num!G32)</f>
        <v>0</v>
      </c>
      <c r="H32" s="132">
        <f>IF(SER_hh_tes!H32=0,0,11630*1000*SER_hh_tes!H32/SER_hh_num!H32)</f>
        <v>0</v>
      </c>
      <c r="I32" s="132">
        <f>IF(SER_hh_tes!I32=0,0,11630*1000*SER_hh_tes!I32/SER_hh_num!I32)</f>
        <v>0</v>
      </c>
      <c r="J32" s="132">
        <f>IF(SER_hh_tes!J32=0,0,11630*1000*SER_hh_tes!J32/SER_hh_num!J32)</f>
        <v>0</v>
      </c>
      <c r="K32" s="132">
        <f>IF(SER_hh_tes!K32=0,0,11630*1000*SER_hh_tes!K32/SER_hh_num!K32)</f>
        <v>0</v>
      </c>
      <c r="L32" s="132">
        <f>IF(SER_hh_tes!L32=0,0,11630*1000*SER_hh_tes!L32/SER_hh_num!L32)</f>
        <v>0</v>
      </c>
      <c r="M32" s="132">
        <f>IF(SER_hh_tes!M32=0,0,11630*1000*SER_hh_tes!M32/SER_hh_num!M32)</f>
        <v>0</v>
      </c>
      <c r="N32" s="132">
        <f>IF(SER_hh_tes!N32=0,0,11630*1000*SER_hh_tes!N32/SER_hh_num!N32)</f>
        <v>0</v>
      </c>
      <c r="O32" s="132">
        <f>IF(SER_hh_tes!O32=0,0,11630*1000*SER_hh_tes!O32/SER_hh_num!O32)</f>
        <v>0</v>
      </c>
      <c r="P32" s="132">
        <f>IF(SER_hh_tes!P32=0,0,11630*1000*SER_hh_tes!P32/SER_hh_num!P32)</f>
        <v>0</v>
      </c>
      <c r="Q32" s="132">
        <f>IF(SER_hh_tes!Q32=0,0,11630*1000*SER_hh_tes!Q32/SER_hh_num!Q32)</f>
        <v>0</v>
      </c>
      <c r="R32" s="132">
        <f>IF(SER_hh_tes!R32=0,0,11630*1000*SER_hh_tes!R32/SER_hh_num!R32)</f>
        <v>0</v>
      </c>
      <c r="S32" s="132">
        <f>IF(SER_hh_tes!S32=0,0,11630*1000*SER_hh_tes!S32/SER_hh_num!S32)</f>
        <v>0</v>
      </c>
      <c r="T32" s="132">
        <f>IF(SER_hh_tes!T32=0,0,11630*1000*SER_hh_tes!T32/SER_hh_num!T32)</f>
        <v>0</v>
      </c>
      <c r="U32" s="132">
        <f>IF(SER_hh_tes!U32=0,0,11630*1000*SER_hh_tes!U32/SER_hh_num!U32)</f>
        <v>0</v>
      </c>
      <c r="V32" s="132">
        <f>IF(SER_hh_tes!V32=0,0,11630*1000*SER_hh_tes!V32/SER_hh_num!V32)</f>
        <v>0</v>
      </c>
      <c r="W32" s="132">
        <f>IF(SER_hh_tes!W32=0,0,11630*1000*SER_hh_tes!W32/SER_hh_num!W32)</f>
        <v>0</v>
      </c>
      <c r="X32" s="132">
        <f>IF(SER_hh_tes!X32=0,0,11630*1000*SER_hh_tes!X32/SER_hh_num!X32)</f>
        <v>0</v>
      </c>
      <c r="Y32" s="132">
        <f>IF(SER_hh_tes!Y32=0,0,11630*1000*SER_hh_tes!Y32/SER_hh_num!Y32)</f>
        <v>0</v>
      </c>
      <c r="DA32" s="156" t="s">
        <v>443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4135.5284522449883</v>
      </c>
      <c r="C33" s="68">
        <f>IF(SER_hh_tes!C33=0,0,11630*1000*SER_hh_tes!C33/SER_hh_num!C33)</f>
        <v>4082.6089365252915</v>
      </c>
      <c r="D33" s="68">
        <f>IF(SER_hh_tes!D33=0,0,11630*1000*SER_hh_tes!D33/SER_hh_num!D33)</f>
        <v>4031.3907706799864</v>
      </c>
      <c r="E33" s="68">
        <f>IF(SER_hh_tes!E33=0,0,11630*1000*SER_hh_tes!E33/SER_hh_num!E33)</f>
        <v>4000.905005239953</v>
      </c>
      <c r="F33" s="68">
        <f>IF(SER_hh_tes!F33=0,0,11630*1000*SER_hh_tes!F33/SER_hh_num!F33)</f>
        <v>3999.0657756661876</v>
      </c>
      <c r="G33" s="68">
        <f>IF(SER_hh_tes!G33=0,0,11630*1000*SER_hh_tes!G33/SER_hh_num!G33)</f>
        <v>4079.8612152979208</v>
      </c>
      <c r="H33" s="68">
        <f>IF(SER_hh_tes!H33=0,0,11630*1000*SER_hh_tes!H33/SER_hh_num!H33)</f>
        <v>4398.9471960348928</v>
      </c>
      <c r="I33" s="68">
        <f>IF(SER_hh_tes!I33=0,0,11630*1000*SER_hh_tes!I33/SER_hh_num!I33)</f>
        <v>4445.3699142035348</v>
      </c>
      <c r="J33" s="68">
        <f>IF(SER_hh_tes!J33=0,0,11630*1000*SER_hh_tes!J33/SER_hh_num!J33)</f>
        <v>4522.4182060310395</v>
      </c>
      <c r="K33" s="68">
        <f>IF(SER_hh_tes!K33=0,0,11630*1000*SER_hh_tes!K33/SER_hh_num!K33)</f>
        <v>4597.4159493066381</v>
      </c>
      <c r="L33" s="68">
        <f>IF(SER_hh_tes!L33=0,0,11630*1000*SER_hh_tes!L33/SER_hh_num!L33)</f>
        <v>4688.9379056072603</v>
      </c>
      <c r="M33" s="68">
        <f>IF(SER_hh_tes!M33=0,0,11630*1000*SER_hh_tes!M33/SER_hh_num!M33)</f>
        <v>4802.0477855261361</v>
      </c>
      <c r="N33" s="68">
        <f>IF(SER_hh_tes!N33=0,0,11630*1000*SER_hh_tes!N33/SER_hh_num!N33)</f>
        <v>4834.6081410523366</v>
      </c>
      <c r="O33" s="68">
        <f>IF(SER_hh_tes!O33=0,0,11630*1000*SER_hh_tes!O33/SER_hh_num!O33)</f>
        <v>5128.0873236044163</v>
      </c>
      <c r="P33" s="68">
        <f>IF(SER_hh_tes!P33=0,0,11630*1000*SER_hh_tes!P33/SER_hh_num!P33)</f>
        <v>4101.0740382545082</v>
      </c>
      <c r="Q33" s="68">
        <f>IF(SER_hh_tes!Q33=0,0,11630*1000*SER_hh_tes!Q33/SER_hh_num!Q33)</f>
        <v>4070.84058434403</v>
      </c>
      <c r="R33" s="68">
        <f>IF(SER_hh_tes!R33=0,0,11630*1000*SER_hh_tes!R33/SER_hh_num!R33)</f>
        <v>3470.2673840814996</v>
      </c>
      <c r="S33" s="68">
        <f>IF(SER_hh_tes!S33=0,0,11630*1000*SER_hh_tes!S33/SER_hh_num!S33)</f>
        <v>4287.5351707125928</v>
      </c>
      <c r="T33" s="68">
        <f>IF(SER_hh_tes!T33=0,0,11630*1000*SER_hh_tes!T33/SER_hh_num!T33)</f>
        <v>5397.8205121283627</v>
      </c>
      <c r="U33" s="68">
        <f>IF(SER_hh_tes!U33=0,0,11630*1000*SER_hh_tes!U33/SER_hh_num!U33)</f>
        <v>5606.395751659813</v>
      </c>
      <c r="V33" s="68">
        <f>IF(SER_hh_tes!V33=0,0,11630*1000*SER_hh_tes!V33/SER_hh_num!V33)</f>
        <v>2987.8466270692734</v>
      </c>
      <c r="W33" s="68">
        <f>IF(SER_hh_tes!W33=0,0,11630*1000*SER_hh_tes!W33/SER_hh_num!W33)</f>
        <v>4857.6530793106012</v>
      </c>
      <c r="X33" s="68">
        <f>IF(SER_hh_tes!X33=0,0,11630*1000*SER_hh_tes!X33/SER_hh_num!X33)</f>
        <v>4171.9605528714656</v>
      </c>
      <c r="Y33" s="68">
        <f>IF(SER_hh_tes!Y33=0,0,11630*1000*SER_hh_tes!Y33/SER_hh_num!Y33)</f>
        <v>5397.53029071521</v>
      </c>
      <c r="DA33" s="111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>
        <f>IF(SER_hh_emi!B3=0,0,1000000*SER_hh_emi!B3/SER_hh_num!B3)</f>
        <v>3790.0003642849124</v>
      </c>
      <c r="C3" s="125">
        <f>IF(SER_hh_emi!C3=0,0,1000000*SER_hh_emi!C3/SER_hh_num!C3)</f>
        <v>4027.2783986141958</v>
      </c>
      <c r="D3" s="125">
        <f>IF(SER_hh_emi!D3=0,0,1000000*SER_hh_emi!D3/SER_hh_num!D3)</f>
        <v>3882.9616453058775</v>
      </c>
      <c r="E3" s="125">
        <f>IF(SER_hh_emi!E3=0,0,1000000*SER_hh_emi!E3/SER_hh_num!E3)</f>
        <v>3443.248832136459</v>
      </c>
      <c r="F3" s="125">
        <f>IF(SER_hh_emi!F3=0,0,1000000*SER_hh_emi!F3/SER_hh_num!F3)</f>
        <v>3748.1262841668859</v>
      </c>
      <c r="G3" s="125">
        <f>IF(SER_hh_emi!G3=0,0,1000000*SER_hh_emi!G3/SER_hh_num!G3)</f>
        <v>4044.5904020095518</v>
      </c>
      <c r="H3" s="125">
        <f>IF(SER_hh_emi!H3=0,0,1000000*SER_hh_emi!H3/SER_hh_num!H3)</f>
        <v>4950.520563770855</v>
      </c>
      <c r="I3" s="125">
        <f>IF(SER_hh_emi!I3=0,0,1000000*SER_hh_emi!I3/SER_hh_num!I3)</f>
        <v>3697.987056986718</v>
      </c>
      <c r="J3" s="125">
        <f>IF(SER_hh_emi!J3=0,0,1000000*SER_hh_emi!J3/SER_hh_num!J3)</f>
        <v>3371.332932366397</v>
      </c>
      <c r="K3" s="125">
        <f>IF(SER_hh_emi!K3=0,0,1000000*SER_hh_emi!K3/SER_hh_num!K3)</f>
        <v>3672.1085887579347</v>
      </c>
      <c r="L3" s="125">
        <f>IF(SER_hh_emi!L3=0,0,1000000*SER_hh_emi!L3/SER_hh_num!L3)</f>
        <v>4075.4157438309867</v>
      </c>
      <c r="M3" s="125">
        <f>IF(SER_hh_emi!M3=0,0,1000000*SER_hh_emi!M3/SER_hh_num!M3)</f>
        <v>4186.8620604237904</v>
      </c>
      <c r="N3" s="125">
        <f>IF(SER_hh_emi!N3=0,0,1000000*SER_hh_emi!N3/SER_hh_num!N3)</f>
        <v>3836.5473225557967</v>
      </c>
      <c r="O3" s="125">
        <f>IF(SER_hh_emi!O3=0,0,1000000*SER_hh_emi!O3/SER_hh_num!O3)</f>
        <v>3819.0711769068907</v>
      </c>
      <c r="P3" s="125">
        <f>IF(SER_hh_emi!P3=0,0,1000000*SER_hh_emi!P3/SER_hh_num!P3)</f>
        <v>3328.9615950568764</v>
      </c>
      <c r="Q3" s="125">
        <f>IF(SER_hh_emi!Q3=0,0,1000000*SER_hh_emi!Q3/SER_hh_num!Q3)</f>
        <v>3228.9805217681437</v>
      </c>
      <c r="R3" s="125">
        <f>IF(SER_hh_emi!R3=0,0,1000000*SER_hh_emi!R3/SER_hh_num!R3)</f>
        <v>3427.9221279791782</v>
      </c>
      <c r="S3" s="125">
        <f>IF(SER_hh_emi!S3=0,0,1000000*SER_hh_emi!S3/SER_hh_num!S3)</f>
        <v>3464.7283836647048</v>
      </c>
      <c r="T3" s="125">
        <f>IF(SER_hh_emi!T3=0,0,1000000*SER_hh_emi!T3/SER_hh_num!T3)</f>
        <v>3572.4438907055451</v>
      </c>
      <c r="U3" s="125">
        <f>IF(SER_hh_emi!U3=0,0,1000000*SER_hh_emi!U3/SER_hh_num!U3)</f>
        <v>3484.2281167900551</v>
      </c>
      <c r="V3" s="125">
        <f>IF(SER_hh_emi!V3=0,0,1000000*SER_hh_emi!V3/SER_hh_num!V3)</f>
        <v>3256.4298499800857</v>
      </c>
      <c r="W3" s="125">
        <f>IF(SER_hh_emi!W3=0,0,1000000*SER_hh_emi!W3/SER_hh_num!W3)</f>
        <v>3531.0143781523052</v>
      </c>
      <c r="X3" s="125">
        <f>IF(SER_hh_emi!X3=0,0,1000000*SER_hh_emi!X3/SER_hh_num!X3)</f>
        <v>3286.6332659467789</v>
      </c>
      <c r="Y3" s="125">
        <f>IF(SER_hh_emi!Y3=0,0,1000000*SER_hh_emi!Y3/SER_hh_num!Y3)</f>
        <v>3090.9322393349339</v>
      </c>
      <c r="DA3" s="154" t="s">
        <v>446</v>
      </c>
    </row>
    <row r="4" spans="1:105" ht="12.95" customHeight="1" x14ac:dyDescent="0.25">
      <c r="A4" s="129" t="s">
        <v>32</v>
      </c>
      <c r="B4" s="130">
        <f>IF(SER_hh_emi!B4=0,0,1000000*SER_hh_emi!B4/SER_hh_num!B4)</f>
        <v>2538.346551117992</v>
      </c>
      <c r="C4" s="130">
        <f>IF(SER_hh_emi!C4=0,0,1000000*SER_hh_emi!C4/SER_hh_num!C4)</f>
        <v>2731.2474383416375</v>
      </c>
      <c r="D4" s="130">
        <f>IF(SER_hh_emi!D4=0,0,1000000*SER_hh_emi!D4/SER_hh_num!D4)</f>
        <v>2667.3566987145955</v>
      </c>
      <c r="E4" s="130">
        <f>IF(SER_hh_emi!E4=0,0,1000000*SER_hh_emi!E4/SER_hh_num!E4)</f>
        <v>2359.5140582381309</v>
      </c>
      <c r="F4" s="130">
        <f>IF(SER_hh_emi!F4=0,0,1000000*SER_hh_emi!F4/SER_hh_num!F4)</f>
        <v>2533.6497997155598</v>
      </c>
      <c r="G4" s="130">
        <f>IF(SER_hh_emi!G4=0,0,1000000*SER_hh_emi!G4/SER_hh_num!G4)</f>
        <v>2834.7610556764848</v>
      </c>
      <c r="H4" s="130">
        <f>IF(SER_hh_emi!H4=0,0,1000000*SER_hh_emi!H4/SER_hh_num!H4)</f>
        <v>3615.3829132811834</v>
      </c>
      <c r="I4" s="130">
        <f>IF(SER_hh_emi!I4=0,0,1000000*SER_hh_emi!I4/SER_hh_num!I4)</f>
        <v>2413.0116123151238</v>
      </c>
      <c r="J4" s="130">
        <f>IF(SER_hh_emi!J4=0,0,1000000*SER_hh_emi!J4/SER_hh_num!J4)</f>
        <v>2096.0421258810543</v>
      </c>
      <c r="K4" s="130">
        <f>IF(SER_hh_emi!K4=0,0,1000000*SER_hh_emi!K4/SER_hh_num!K4)</f>
        <v>2401.8359292413165</v>
      </c>
      <c r="L4" s="130">
        <f>IF(SER_hh_emi!L4=0,0,1000000*SER_hh_emi!L4/SER_hh_num!L4)</f>
        <v>2799.9342935293448</v>
      </c>
      <c r="M4" s="130">
        <f>IF(SER_hh_emi!M4=0,0,1000000*SER_hh_emi!M4/SER_hh_num!M4)</f>
        <v>2906.33677870764</v>
      </c>
      <c r="N4" s="130">
        <f>IF(SER_hh_emi!N4=0,0,1000000*SER_hh_emi!N4/SER_hh_num!N4)</f>
        <v>2499.7460001582085</v>
      </c>
      <c r="O4" s="130">
        <f>IF(SER_hh_emi!O4=0,0,1000000*SER_hh_emi!O4/SER_hh_num!O4)</f>
        <v>2374.2194476804007</v>
      </c>
      <c r="P4" s="130">
        <f>IF(SER_hh_emi!P4=0,0,1000000*SER_hh_emi!P4/SER_hh_num!P4)</f>
        <v>1455.9889658502495</v>
      </c>
      <c r="Q4" s="130">
        <f>IF(SER_hh_emi!Q4=0,0,1000000*SER_hh_emi!Q4/SER_hh_num!Q4)</f>
        <v>1274.561657160581</v>
      </c>
      <c r="R4" s="130">
        <f>IF(SER_hh_emi!R4=0,0,1000000*SER_hh_emi!R4/SER_hh_num!R4)</f>
        <v>1409.2732561894388</v>
      </c>
      <c r="S4" s="130">
        <f>IF(SER_hh_emi!S4=0,0,1000000*SER_hh_emi!S4/SER_hh_num!S4)</f>
        <v>1494.850847861954</v>
      </c>
      <c r="T4" s="130">
        <f>IF(SER_hh_emi!T4=0,0,1000000*SER_hh_emi!T4/SER_hh_num!T4)</f>
        <v>1718.3067083198798</v>
      </c>
      <c r="U4" s="130">
        <f>IF(SER_hh_emi!U4=0,0,1000000*SER_hh_emi!U4/SER_hh_num!U4)</f>
        <v>1644.7271813100565</v>
      </c>
      <c r="V4" s="130">
        <f>IF(SER_hh_emi!V4=0,0,1000000*SER_hh_emi!V4/SER_hh_num!V4)</f>
        <v>1468.7196688735214</v>
      </c>
      <c r="W4" s="130">
        <f>IF(SER_hh_emi!W4=0,0,1000000*SER_hh_emi!W4/SER_hh_num!W4)</f>
        <v>1703.9465957660152</v>
      </c>
      <c r="X4" s="130">
        <f>IF(SER_hh_emi!X4=0,0,1000000*SER_hh_emi!X4/SER_hh_num!X4)</f>
        <v>1589.0263512979252</v>
      </c>
      <c r="Y4" s="130">
        <f>IF(SER_hh_emi!Y4=0,0,1000000*SER_hh_emi!Y4/SER_hh_num!Y4)</f>
        <v>1394.187231357068</v>
      </c>
      <c r="DA4" s="155" t="s">
        <v>447</v>
      </c>
    </row>
    <row r="5" spans="1:105" ht="12" customHeight="1" x14ac:dyDescent="0.25">
      <c r="A5" s="131" t="s">
        <v>29</v>
      </c>
      <c r="B5" s="132">
        <f>IF(SER_hh_emi!B5=0,0,1000000*SER_hh_emi!B5/SER_hh_num!B5)</f>
        <v>0</v>
      </c>
      <c r="C5" s="132">
        <f>IF(SER_hh_emi!C5=0,0,1000000*SER_hh_emi!C5/SER_hh_num!C5)</f>
        <v>0</v>
      </c>
      <c r="D5" s="132">
        <f>IF(SER_hh_emi!D5=0,0,1000000*SER_hh_emi!D5/SER_hh_num!D5)</f>
        <v>0</v>
      </c>
      <c r="E5" s="132">
        <f>IF(SER_hh_emi!E5=0,0,1000000*SER_hh_emi!E5/SER_hh_num!E5)</f>
        <v>0</v>
      </c>
      <c r="F5" s="132">
        <f>IF(SER_hh_emi!F5=0,0,1000000*SER_hh_emi!F5/SER_hh_num!F5)</f>
        <v>0</v>
      </c>
      <c r="G5" s="132">
        <f>IF(SER_hh_emi!G5=0,0,1000000*SER_hh_emi!G5/SER_hh_num!G5)</f>
        <v>0</v>
      </c>
      <c r="H5" s="132">
        <f>IF(SER_hh_emi!H5=0,0,1000000*SER_hh_emi!H5/SER_hh_num!H5)</f>
        <v>0</v>
      </c>
      <c r="I5" s="132">
        <f>IF(SER_hh_emi!I5=0,0,1000000*SER_hh_emi!I5/SER_hh_num!I5)</f>
        <v>0</v>
      </c>
      <c r="J5" s="132">
        <f>IF(SER_hh_emi!J5=0,0,1000000*SER_hh_emi!J5/SER_hh_num!J5)</f>
        <v>0</v>
      </c>
      <c r="K5" s="132">
        <f>IF(SER_hh_emi!K5=0,0,1000000*SER_hh_emi!K5/SER_hh_num!K5)</f>
        <v>0</v>
      </c>
      <c r="L5" s="132">
        <f>IF(SER_hh_emi!L5=0,0,1000000*SER_hh_emi!L5/SER_hh_num!L5)</f>
        <v>0</v>
      </c>
      <c r="M5" s="132">
        <f>IF(SER_hh_emi!M5=0,0,1000000*SER_hh_emi!M5/SER_hh_num!M5)</f>
        <v>0</v>
      </c>
      <c r="N5" s="132">
        <f>IF(SER_hh_emi!N5=0,0,1000000*SER_hh_emi!N5/SER_hh_num!N5)</f>
        <v>0</v>
      </c>
      <c r="O5" s="132">
        <f>IF(SER_hh_emi!O5=0,0,1000000*SER_hh_emi!O5/SER_hh_num!O5)</f>
        <v>0</v>
      </c>
      <c r="P5" s="132">
        <f>IF(SER_hh_emi!P5=0,0,1000000*SER_hh_emi!P5/SER_hh_num!P5)</f>
        <v>0</v>
      </c>
      <c r="Q5" s="132">
        <f>IF(SER_hh_emi!Q5=0,0,1000000*SER_hh_emi!Q5/SER_hh_num!Q5)</f>
        <v>0</v>
      </c>
      <c r="R5" s="132">
        <f>IF(SER_hh_emi!R5=0,0,1000000*SER_hh_emi!R5/SER_hh_num!R5)</f>
        <v>0</v>
      </c>
      <c r="S5" s="132">
        <f>IF(SER_hh_emi!S5=0,0,1000000*SER_hh_emi!S5/SER_hh_num!S5)</f>
        <v>0</v>
      </c>
      <c r="T5" s="132">
        <f>IF(SER_hh_emi!T5=0,0,1000000*SER_hh_emi!T5/SER_hh_num!T5)</f>
        <v>0</v>
      </c>
      <c r="U5" s="132">
        <f>IF(SER_hh_emi!U5=0,0,1000000*SER_hh_emi!U5/SER_hh_num!U5)</f>
        <v>0</v>
      </c>
      <c r="V5" s="132">
        <f>IF(SER_hh_emi!V5=0,0,1000000*SER_hh_emi!V5/SER_hh_num!V5)</f>
        <v>0</v>
      </c>
      <c r="W5" s="132">
        <f>IF(SER_hh_emi!W5=0,0,1000000*SER_hh_emi!W5/SER_hh_num!W5)</f>
        <v>0</v>
      </c>
      <c r="X5" s="132">
        <f>IF(SER_hh_emi!X5=0,0,1000000*SER_hh_emi!X5/SER_hh_num!X5)</f>
        <v>0</v>
      </c>
      <c r="Y5" s="132">
        <f>IF(SER_hh_emi!Y5=0,0,1000000*SER_hh_emi!Y5/SER_hh_num!Y5)</f>
        <v>0</v>
      </c>
      <c r="DA5" s="156" t="s">
        <v>448</v>
      </c>
    </row>
    <row r="6" spans="1:105" ht="12" customHeight="1" x14ac:dyDescent="0.25">
      <c r="A6" s="131" t="s">
        <v>52</v>
      </c>
      <c r="B6" s="132">
        <f>IF(SER_hh_emi!B6=0,0,1000000*SER_hh_emi!B6/SER_hh_num!B6)</f>
        <v>0</v>
      </c>
      <c r="C6" s="132">
        <f>IF(SER_hh_emi!C6=0,0,1000000*SER_hh_emi!C6/SER_hh_num!C6)</f>
        <v>0</v>
      </c>
      <c r="D6" s="132">
        <f>IF(SER_hh_emi!D6=0,0,1000000*SER_hh_emi!D6/SER_hh_num!D6)</f>
        <v>0</v>
      </c>
      <c r="E6" s="132">
        <f>IF(SER_hh_emi!E6=0,0,1000000*SER_hh_emi!E6/SER_hh_num!E6)</f>
        <v>0</v>
      </c>
      <c r="F6" s="132">
        <f>IF(SER_hh_emi!F6=0,0,1000000*SER_hh_emi!F6/SER_hh_num!F6)</f>
        <v>0</v>
      </c>
      <c r="G6" s="132">
        <f>IF(SER_hh_emi!G6=0,0,1000000*SER_hh_emi!G6/SER_hh_num!G6)</f>
        <v>0</v>
      </c>
      <c r="H6" s="132">
        <f>IF(SER_hh_emi!H6=0,0,1000000*SER_hh_emi!H6/SER_hh_num!H6)</f>
        <v>0</v>
      </c>
      <c r="I6" s="132">
        <f>IF(SER_hh_emi!I6=0,0,1000000*SER_hh_emi!I6/SER_hh_num!I6)</f>
        <v>0</v>
      </c>
      <c r="J6" s="132">
        <f>IF(SER_hh_emi!J6=0,0,1000000*SER_hh_emi!J6/SER_hh_num!J6)</f>
        <v>0</v>
      </c>
      <c r="K6" s="132">
        <f>IF(SER_hh_emi!K6=0,0,1000000*SER_hh_emi!K6/SER_hh_num!K6)</f>
        <v>0</v>
      </c>
      <c r="L6" s="132">
        <f>IF(SER_hh_emi!L6=0,0,1000000*SER_hh_emi!L6/SER_hh_num!L6)</f>
        <v>0</v>
      </c>
      <c r="M6" s="132">
        <f>IF(SER_hh_emi!M6=0,0,1000000*SER_hh_emi!M6/SER_hh_num!M6)</f>
        <v>0</v>
      </c>
      <c r="N6" s="132">
        <f>IF(SER_hh_emi!N6=0,0,1000000*SER_hh_emi!N6/SER_hh_num!N6)</f>
        <v>0</v>
      </c>
      <c r="O6" s="132">
        <f>IF(SER_hh_emi!O6=0,0,1000000*SER_hh_emi!O6/SER_hh_num!O6)</f>
        <v>0</v>
      </c>
      <c r="P6" s="132">
        <f>IF(SER_hh_emi!P6=0,0,1000000*SER_hh_emi!P6/SER_hh_num!P6)</f>
        <v>0</v>
      </c>
      <c r="Q6" s="132">
        <f>IF(SER_hh_emi!Q6=0,0,1000000*SER_hh_emi!Q6/SER_hh_num!Q6)</f>
        <v>0</v>
      </c>
      <c r="R6" s="132">
        <f>IF(SER_hh_emi!R6=0,0,1000000*SER_hh_emi!R6/SER_hh_num!R6)</f>
        <v>0</v>
      </c>
      <c r="S6" s="132">
        <f>IF(SER_hh_emi!S6=0,0,1000000*SER_hh_emi!S6/SER_hh_num!S6)</f>
        <v>0</v>
      </c>
      <c r="T6" s="132">
        <f>IF(SER_hh_emi!T6=0,0,1000000*SER_hh_emi!T6/SER_hh_num!T6)</f>
        <v>0</v>
      </c>
      <c r="U6" s="132">
        <f>IF(SER_hh_emi!U6=0,0,1000000*SER_hh_emi!U6/SER_hh_num!U6)</f>
        <v>0</v>
      </c>
      <c r="V6" s="132">
        <f>IF(SER_hh_emi!V6=0,0,1000000*SER_hh_emi!V6/SER_hh_num!V6)</f>
        <v>0</v>
      </c>
      <c r="W6" s="132">
        <f>IF(SER_hh_emi!W6=0,0,1000000*SER_hh_emi!W6/SER_hh_num!W6)</f>
        <v>0</v>
      </c>
      <c r="X6" s="132">
        <f>IF(SER_hh_emi!X6=0,0,1000000*SER_hh_emi!X6/SER_hh_num!X6)</f>
        <v>0</v>
      </c>
      <c r="Y6" s="132">
        <f>IF(SER_hh_emi!Y6=0,0,1000000*SER_hh_emi!Y6/SER_hh_num!Y6)</f>
        <v>0</v>
      </c>
      <c r="DA6" s="156" t="s">
        <v>449</v>
      </c>
    </row>
    <row r="7" spans="1:105" ht="12" customHeight="1" x14ac:dyDescent="0.25">
      <c r="A7" s="131" t="s">
        <v>161</v>
      </c>
      <c r="B7" s="132">
        <f>IF(SER_hh_emi!B7=0,0,1000000*SER_hh_emi!B7/SER_hh_num!B7)</f>
        <v>3656.6279157908521</v>
      </c>
      <c r="C7" s="132">
        <f>IF(SER_hh_emi!C7=0,0,1000000*SER_hh_emi!C7/SER_hh_num!C7)</f>
        <v>3565.8964776745615</v>
      </c>
      <c r="D7" s="132">
        <f>IF(SER_hh_emi!D7=0,0,1000000*SER_hh_emi!D7/SER_hh_num!D7)</f>
        <v>2967.567332483361</v>
      </c>
      <c r="E7" s="132">
        <f>IF(SER_hh_emi!E7=0,0,1000000*SER_hh_emi!E7/SER_hh_num!E7)</f>
        <v>2997.4035253246843</v>
      </c>
      <c r="F7" s="132">
        <f>IF(SER_hh_emi!F7=0,0,1000000*SER_hh_emi!F7/SER_hh_num!F7)</f>
        <v>3341.3746404325498</v>
      </c>
      <c r="G7" s="132">
        <f>IF(SER_hh_emi!G7=0,0,1000000*SER_hh_emi!G7/SER_hh_num!G7)</f>
        <v>3834.0914669822105</v>
      </c>
      <c r="H7" s="132">
        <f>IF(SER_hh_emi!H7=0,0,1000000*SER_hh_emi!H7/SER_hh_num!H7)</f>
        <v>3714.8126230676289</v>
      </c>
      <c r="I7" s="132">
        <f>IF(SER_hh_emi!I7=0,0,1000000*SER_hh_emi!I7/SER_hh_num!I7)</f>
        <v>3909.7282383499996</v>
      </c>
      <c r="J7" s="132">
        <f>IF(SER_hh_emi!J7=0,0,1000000*SER_hh_emi!J7/SER_hh_num!J7)</f>
        <v>4233.5517703997948</v>
      </c>
      <c r="K7" s="132">
        <f>IF(SER_hh_emi!K7=0,0,1000000*SER_hh_emi!K7/SER_hh_num!K7)</f>
        <v>4759.4426297843956</v>
      </c>
      <c r="L7" s="132">
        <f>IF(SER_hh_emi!L7=0,0,1000000*SER_hh_emi!L7/SER_hh_num!L7)</f>
        <v>4691.4981444524074</v>
      </c>
      <c r="M7" s="132">
        <f>IF(SER_hh_emi!M7=0,0,1000000*SER_hh_emi!M7/SER_hh_num!M7)</f>
        <v>3929.8737596274841</v>
      </c>
      <c r="N7" s="132">
        <f>IF(SER_hh_emi!N7=0,0,1000000*SER_hh_emi!N7/SER_hh_num!N7)</f>
        <v>3810.2663414418244</v>
      </c>
      <c r="O7" s="132">
        <f>IF(SER_hh_emi!O7=0,0,1000000*SER_hh_emi!O7/SER_hh_num!O7)</f>
        <v>3705.8725389099668</v>
      </c>
      <c r="P7" s="132">
        <f>IF(SER_hh_emi!P7=0,0,1000000*SER_hh_emi!P7/SER_hh_num!P7)</f>
        <v>2790.2067820343032</v>
      </c>
      <c r="Q7" s="132">
        <f>IF(SER_hh_emi!Q7=0,0,1000000*SER_hh_emi!Q7/SER_hh_num!Q7)</f>
        <v>1992.648641920124</v>
      </c>
      <c r="R7" s="132">
        <f>IF(SER_hh_emi!R7=0,0,1000000*SER_hh_emi!R7/SER_hh_num!R7)</f>
        <v>2624.0878076910108</v>
      </c>
      <c r="S7" s="132">
        <f>IF(SER_hh_emi!S7=0,0,1000000*SER_hh_emi!S7/SER_hh_num!S7)</f>
        <v>3063.5853102109763</v>
      </c>
      <c r="T7" s="132">
        <f>IF(SER_hh_emi!T7=0,0,1000000*SER_hh_emi!T7/SER_hh_num!T7)</f>
        <v>3404.6884172177788</v>
      </c>
      <c r="U7" s="132">
        <f>IF(SER_hh_emi!U7=0,0,1000000*SER_hh_emi!U7/SER_hh_num!U7)</f>
        <v>3446.637834723474</v>
      </c>
      <c r="V7" s="132">
        <f>IF(SER_hh_emi!V7=0,0,1000000*SER_hh_emi!V7/SER_hh_num!V7)</f>
        <v>3497.096920790877</v>
      </c>
      <c r="W7" s="132">
        <f>IF(SER_hh_emi!W7=0,0,1000000*SER_hh_emi!W7/SER_hh_num!W7)</f>
        <v>4226.2978560111187</v>
      </c>
      <c r="X7" s="132">
        <f>IF(SER_hh_emi!X7=0,0,1000000*SER_hh_emi!X7/SER_hh_num!X7)</f>
        <v>4467.0393845389781</v>
      </c>
      <c r="Y7" s="132">
        <f>IF(SER_hh_emi!Y7=0,0,1000000*SER_hh_emi!Y7/SER_hh_num!Y7)</f>
        <v>3885.8847064842084</v>
      </c>
      <c r="DA7" s="156" t="s">
        <v>450</v>
      </c>
    </row>
    <row r="8" spans="1:105" ht="12" customHeight="1" x14ac:dyDescent="0.25">
      <c r="A8" s="131" t="s">
        <v>73</v>
      </c>
      <c r="B8" s="132">
        <f>IF(SER_hh_emi!B8=0,0,1000000*SER_hh_emi!B8/SER_hh_num!B8)</f>
        <v>910.41267156460162</v>
      </c>
      <c r="C8" s="132">
        <f>IF(SER_hh_emi!C8=0,0,1000000*SER_hh_emi!C8/SER_hh_num!C8)</f>
        <v>919.69442309526733</v>
      </c>
      <c r="D8" s="132">
        <f>IF(SER_hh_emi!D8=0,0,1000000*SER_hh_emi!D8/SER_hh_num!D8)</f>
        <v>767.5835450246866</v>
      </c>
      <c r="E8" s="132">
        <f>IF(SER_hh_emi!E8=0,0,1000000*SER_hh_emi!E8/SER_hh_num!E8)</f>
        <v>470.69776128932568</v>
      </c>
      <c r="F8" s="132">
        <f>IF(SER_hh_emi!F8=0,0,1000000*SER_hh_emi!F8/SER_hh_num!F8)</f>
        <v>484.10198416681078</v>
      </c>
      <c r="G8" s="132">
        <f>IF(SER_hh_emi!G8=0,0,1000000*SER_hh_emi!G8/SER_hh_num!G8)</f>
        <v>694.79617232522617</v>
      </c>
      <c r="H8" s="132">
        <f>IF(SER_hh_emi!H8=0,0,1000000*SER_hh_emi!H8/SER_hh_num!H8)</f>
        <v>1028.8392663530635</v>
      </c>
      <c r="I8" s="132">
        <f>IF(SER_hh_emi!I8=0,0,1000000*SER_hh_emi!I8/SER_hh_num!I8)</f>
        <v>844.75411554153868</v>
      </c>
      <c r="J8" s="132">
        <f>IF(SER_hh_emi!J8=0,0,1000000*SER_hh_emi!J8/SER_hh_num!J8)</f>
        <v>807.07907005251786</v>
      </c>
      <c r="K8" s="132">
        <f>IF(SER_hh_emi!K8=0,0,1000000*SER_hh_emi!K8/SER_hh_num!K8)</f>
        <v>732.89176864758326</v>
      </c>
      <c r="L8" s="132">
        <f>IF(SER_hh_emi!L8=0,0,1000000*SER_hh_emi!L8/SER_hh_num!L8)</f>
        <v>611.49218352470086</v>
      </c>
      <c r="M8" s="132">
        <f>IF(SER_hh_emi!M8=0,0,1000000*SER_hh_emi!M8/SER_hh_num!M8)</f>
        <v>572.26326089672455</v>
      </c>
      <c r="N8" s="132">
        <f>IF(SER_hh_emi!N8=0,0,1000000*SER_hh_emi!N8/SER_hh_num!N8)</f>
        <v>408.50144501636981</v>
      </c>
      <c r="O8" s="132">
        <f>IF(SER_hh_emi!O8=0,0,1000000*SER_hh_emi!O8/SER_hh_num!O8)</f>
        <v>373.02265268260948</v>
      </c>
      <c r="P8" s="132">
        <f>IF(SER_hh_emi!P8=0,0,1000000*SER_hh_emi!P8/SER_hh_num!P8)</f>
        <v>369.32467392844023</v>
      </c>
      <c r="Q8" s="132">
        <f>IF(SER_hh_emi!Q8=0,0,1000000*SER_hh_emi!Q8/SER_hh_num!Q8)</f>
        <v>355.79170668475984</v>
      </c>
      <c r="R8" s="132">
        <f>IF(SER_hh_emi!R8=0,0,1000000*SER_hh_emi!R8/SER_hh_num!R8)</f>
        <v>400.25107069399053</v>
      </c>
      <c r="S8" s="132">
        <f>IF(SER_hh_emi!S8=0,0,1000000*SER_hh_emi!S8/SER_hh_num!S8)</f>
        <v>440.23880492185577</v>
      </c>
      <c r="T8" s="132">
        <f>IF(SER_hh_emi!T8=0,0,1000000*SER_hh_emi!T8/SER_hh_num!T8)</f>
        <v>437.89499443567109</v>
      </c>
      <c r="U8" s="132">
        <f>IF(SER_hh_emi!U8=0,0,1000000*SER_hh_emi!U8/SER_hh_num!U8)</f>
        <v>626.04259618227138</v>
      </c>
      <c r="V8" s="132">
        <f>IF(SER_hh_emi!V8=0,0,1000000*SER_hh_emi!V8/SER_hh_num!V8)</f>
        <v>488.57425461181094</v>
      </c>
      <c r="W8" s="132">
        <f>IF(SER_hh_emi!W8=0,0,1000000*SER_hh_emi!W8/SER_hh_num!W8)</f>
        <v>585.23887987156365</v>
      </c>
      <c r="X8" s="132">
        <f>IF(SER_hh_emi!X8=0,0,1000000*SER_hh_emi!X8/SER_hh_num!X8)</f>
        <v>595.88015322645902</v>
      </c>
      <c r="Y8" s="132">
        <f>IF(SER_hh_emi!Y8=0,0,1000000*SER_hh_emi!Y8/SER_hh_num!Y8)</f>
        <v>654.11946894956873</v>
      </c>
      <c r="DA8" s="156" t="s">
        <v>451</v>
      </c>
    </row>
    <row r="9" spans="1:105" ht="12" customHeight="1" x14ac:dyDescent="0.25">
      <c r="A9" s="131" t="s">
        <v>78</v>
      </c>
      <c r="B9" s="132">
        <f>IF(SER_hh_emi!B9=0,0,1000000*SER_hh_emi!B9/SER_hh_num!B9)</f>
        <v>1859.7831646504635</v>
      </c>
      <c r="C9" s="132">
        <f>IF(SER_hh_emi!C9=0,0,1000000*SER_hh_emi!C9/SER_hh_num!C9)</f>
        <v>2339.2970430466066</v>
      </c>
      <c r="D9" s="132">
        <f>IF(SER_hh_emi!D9=0,0,1000000*SER_hh_emi!D9/SER_hh_num!D9)</f>
        <v>3478.3654684817702</v>
      </c>
      <c r="E9" s="132">
        <f>IF(SER_hh_emi!E9=0,0,1000000*SER_hh_emi!E9/SER_hh_num!E9)</f>
        <v>288.98282898430057</v>
      </c>
      <c r="F9" s="132">
        <f>IF(SER_hh_emi!F9=0,0,1000000*SER_hh_emi!F9/SER_hh_num!F9)</f>
        <v>355.41127940612756</v>
      </c>
      <c r="G9" s="132">
        <f>IF(SER_hh_emi!G9=0,0,1000000*SER_hh_emi!G9/SER_hh_num!G9)</f>
        <v>1829.0431777583001</v>
      </c>
      <c r="H9" s="132">
        <f>IF(SER_hh_emi!H9=0,0,1000000*SER_hh_emi!H9/SER_hh_num!H9)</f>
        <v>5777.6528090649872</v>
      </c>
      <c r="I9" s="132">
        <f>IF(SER_hh_emi!I9=0,0,1000000*SER_hh_emi!I9/SER_hh_num!I9)</f>
        <v>2671.4725827860066</v>
      </c>
      <c r="J9" s="132">
        <f>IF(SER_hh_emi!J9=0,0,1000000*SER_hh_emi!J9/SER_hh_num!J9)</f>
        <v>2009.7586117622584</v>
      </c>
      <c r="K9" s="132">
        <f>IF(SER_hh_emi!K9=0,0,1000000*SER_hh_emi!K9/SER_hh_num!K9)</f>
        <v>2650.2102047418539</v>
      </c>
      <c r="L9" s="132">
        <f>IF(SER_hh_emi!L9=0,0,1000000*SER_hh_emi!L9/SER_hh_num!L9)</f>
        <v>3510.8407387781099</v>
      </c>
      <c r="M9" s="132">
        <f>IF(SER_hh_emi!M9=0,0,1000000*SER_hh_emi!M9/SER_hh_num!M9)</f>
        <v>3900.4817704989846</v>
      </c>
      <c r="N9" s="132">
        <f>IF(SER_hh_emi!N9=0,0,1000000*SER_hh_emi!N9/SER_hh_num!N9)</f>
        <v>2869.980736402093</v>
      </c>
      <c r="O9" s="132">
        <f>IF(SER_hh_emi!O9=0,0,1000000*SER_hh_emi!O9/SER_hh_num!O9)</f>
        <v>2565.019257930745</v>
      </c>
      <c r="P9" s="132">
        <f>IF(SER_hh_emi!P9=0,0,1000000*SER_hh_emi!P9/SER_hh_num!P9)</f>
        <v>1188.2604711772174</v>
      </c>
      <c r="Q9" s="132">
        <f>IF(SER_hh_emi!Q9=0,0,1000000*SER_hh_emi!Q9/SER_hh_num!Q9)</f>
        <v>1877.4738472990211</v>
      </c>
      <c r="R9" s="132">
        <f>IF(SER_hh_emi!R9=0,0,1000000*SER_hh_emi!R9/SER_hh_num!R9)</f>
        <v>1870.4258351404565</v>
      </c>
      <c r="S9" s="132">
        <f>IF(SER_hh_emi!S9=0,0,1000000*SER_hh_emi!S9/SER_hh_num!S9)</f>
        <v>1999.1336619469764</v>
      </c>
      <c r="T9" s="132">
        <f>IF(SER_hh_emi!T9=0,0,1000000*SER_hh_emi!T9/SER_hh_num!T9)</f>
        <v>2838.7047508681917</v>
      </c>
      <c r="U9" s="132">
        <f>IF(SER_hh_emi!U9=0,0,1000000*SER_hh_emi!U9/SER_hh_num!U9)</f>
        <v>2871.029468245225</v>
      </c>
      <c r="V9" s="132">
        <f>IF(SER_hh_emi!V9=0,0,1000000*SER_hh_emi!V9/SER_hh_num!V9)</f>
        <v>2473.1482259434674</v>
      </c>
      <c r="W9" s="132">
        <f>IF(SER_hh_emi!W9=0,0,1000000*SER_hh_emi!W9/SER_hh_num!W9)</f>
        <v>3031.1825350300091</v>
      </c>
      <c r="X9" s="132">
        <f>IF(SER_hh_emi!X9=0,0,1000000*SER_hh_emi!X9/SER_hh_num!X9)</f>
        <v>2719.4469669922014</v>
      </c>
      <c r="Y9" s="132">
        <f>IF(SER_hh_emi!Y9=0,0,1000000*SER_hh_emi!Y9/SER_hh_num!Y9)</f>
        <v>2860.890988028008</v>
      </c>
      <c r="DA9" s="156" t="s">
        <v>452</v>
      </c>
    </row>
    <row r="10" spans="1:105" ht="12" customHeight="1" x14ac:dyDescent="0.25">
      <c r="A10" s="131" t="s">
        <v>128</v>
      </c>
      <c r="B10" s="132">
        <f>IF(SER_hh_emi!B10=0,0,1000000*SER_hh_emi!B10/SER_hh_num!B10)</f>
        <v>0</v>
      </c>
      <c r="C10" s="132">
        <f>IF(SER_hh_emi!C10=0,0,1000000*SER_hh_emi!C10/SER_hh_num!C10)</f>
        <v>0</v>
      </c>
      <c r="D10" s="132">
        <f>IF(SER_hh_emi!D10=0,0,1000000*SER_hh_emi!D10/SER_hh_num!D10)</f>
        <v>0</v>
      </c>
      <c r="E10" s="132">
        <f>IF(SER_hh_emi!E10=0,0,1000000*SER_hh_emi!E10/SER_hh_num!E10)</f>
        <v>0</v>
      </c>
      <c r="F10" s="132">
        <f>IF(SER_hh_emi!F10=0,0,1000000*SER_hh_emi!F10/SER_hh_num!F10)</f>
        <v>0</v>
      </c>
      <c r="G10" s="132">
        <f>IF(SER_hh_emi!G10=0,0,1000000*SER_hh_emi!G10/SER_hh_num!G10)</f>
        <v>0</v>
      </c>
      <c r="H10" s="132">
        <f>IF(SER_hh_emi!H10=0,0,1000000*SER_hh_emi!H10/SER_hh_num!H10)</f>
        <v>0</v>
      </c>
      <c r="I10" s="132">
        <f>IF(SER_hh_emi!I10=0,0,1000000*SER_hh_emi!I10/SER_hh_num!I10)</f>
        <v>0</v>
      </c>
      <c r="J10" s="132">
        <f>IF(SER_hh_emi!J10=0,0,1000000*SER_hh_emi!J10/SER_hh_num!J10)</f>
        <v>0</v>
      </c>
      <c r="K10" s="132">
        <f>IF(SER_hh_emi!K10=0,0,1000000*SER_hh_emi!K10/SER_hh_num!K10)</f>
        <v>0</v>
      </c>
      <c r="L10" s="132">
        <f>IF(SER_hh_emi!L10=0,0,1000000*SER_hh_emi!L10/SER_hh_num!L10)</f>
        <v>0</v>
      </c>
      <c r="M10" s="132">
        <f>IF(SER_hh_emi!M10=0,0,1000000*SER_hh_emi!M10/SER_hh_num!M10)</f>
        <v>0</v>
      </c>
      <c r="N10" s="132">
        <f>IF(SER_hh_emi!N10=0,0,1000000*SER_hh_emi!N10/SER_hh_num!N10)</f>
        <v>0</v>
      </c>
      <c r="O10" s="132">
        <f>IF(SER_hh_emi!O10=0,0,1000000*SER_hh_emi!O10/SER_hh_num!O10)</f>
        <v>0</v>
      </c>
      <c r="P10" s="132">
        <f>IF(SER_hh_emi!P10=0,0,1000000*SER_hh_emi!P10/SER_hh_num!P10)</f>
        <v>0</v>
      </c>
      <c r="Q10" s="132">
        <f>IF(SER_hh_emi!Q10=0,0,1000000*SER_hh_emi!Q10/SER_hh_num!Q10)</f>
        <v>87.321562805663774</v>
      </c>
      <c r="R10" s="132">
        <f>IF(SER_hh_emi!R10=0,0,1000000*SER_hh_emi!R10/SER_hh_num!R10)</f>
        <v>196.48541910778314</v>
      </c>
      <c r="S10" s="132">
        <f>IF(SER_hh_emi!S10=0,0,1000000*SER_hh_emi!S10/SER_hh_num!S10)</f>
        <v>248.56927830541832</v>
      </c>
      <c r="T10" s="132">
        <f>IF(SER_hh_emi!T10=0,0,1000000*SER_hh_emi!T10/SER_hh_num!T10)</f>
        <v>164.79938702526658</v>
      </c>
      <c r="U10" s="132">
        <f>IF(SER_hh_emi!U10=0,0,1000000*SER_hh_emi!U10/SER_hh_num!U10)</f>
        <v>199.39428759908299</v>
      </c>
      <c r="V10" s="132">
        <f>IF(SER_hh_emi!V10=0,0,1000000*SER_hh_emi!V10/SER_hh_num!V10)</f>
        <v>200.7627656477564</v>
      </c>
      <c r="W10" s="132">
        <f>IF(SER_hh_emi!W10=0,0,1000000*SER_hh_emi!W10/SER_hh_num!W10)</f>
        <v>256.84608715126006</v>
      </c>
      <c r="X10" s="132">
        <f>IF(SER_hh_emi!X10=0,0,1000000*SER_hh_emi!X10/SER_hh_num!X10)</f>
        <v>329.98086670187661</v>
      </c>
      <c r="Y10" s="132">
        <f>IF(SER_hh_emi!Y10=0,0,1000000*SER_hh_emi!Y10/SER_hh_num!Y10)</f>
        <v>284.07658379897373</v>
      </c>
      <c r="DA10" s="156" t="s">
        <v>453</v>
      </c>
    </row>
    <row r="11" spans="1:105" ht="12" customHeight="1" x14ac:dyDescent="0.25">
      <c r="A11" s="131" t="s">
        <v>25</v>
      </c>
      <c r="B11" s="132">
        <f>IF(SER_hh_emi!B11=0,0,1000000*SER_hh_emi!B11/SER_hh_num!B11)</f>
        <v>0</v>
      </c>
      <c r="C11" s="132">
        <f>IF(SER_hh_emi!C11=0,0,1000000*SER_hh_emi!C11/SER_hh_num!C11)</f>
        <v>0</v>
      </c>
      <c r="D11" s="132">
        <f>IF(SER_hh_emi!D11=0,0,1000000*SER_hh_emi!D11/SER_hh_num!D11)</f>
        <v>0</v>
      </c>
      <c r="E11" s="132">
        <f>IF(SER_hh_emi!E11=0,0,1000000*SER_hh_emi!E11/SER_hh_num!E11)</f>
        <v>0</v>
      </c>
      <c r="F11" s="132">
        <f>IF(SER_hh_emi!F11=0,0,1000000*SER_hh_emi!F11/SER_hh_num!F11)</f>
        <v>0</v>
      </c>
      <c r="G11" s="132">
        <f>IF(SER_hh_emi!G11=0,0,1000000*SER_hh_emi!G11/SER_hh_num!G11)</f>
        <v>0</v>
      </c>
      <c r="H11" s="132">
        <f>IF(SER_hh_emi!H11=0,0,1000000*SER_hh_emi!H11/SER_hh_num!H11)</f>
        <v>0</v>
      </c>
      <c r="I11" s="132">
        <f>IF(SER_hh_emi!I11=0,0,1000000*SER_hh_emi!I11/SER_hh_num!I11)</f>
        <v>0</v>
      </c>
      <c r="J11" s="132">
        <f>IF(SER_hh_emi!J11=0,0,1000000*SER_hh_emi!J11/SER_hh_num!J11)</f>
        <v>0</v>
      </c>
      <c r="K11" s="132">
        <f>IF(SER_hh_emi!K11=0,0,1000000*SER_hh_emi!K11/SER_hh_num!K11)</f>
        <v>0</v>
      </c>
      <c r="L11" s="132">
        <f>IF(SER_hh_emi!L11=0,0,1000000*SER_hh_emi!L11/SER_hh_num!L11)</f>
        <v>0</v>
      </c>
      <c r="M11" s="132">
        <f>IF(SER_hh_emi!M11=0,0,1000000*SER_hh_emi!M11/SER_hh_num!M11)</f>
        <v>0</v>
      </c>
      <c r="N11" s="132">
        <f>IF(SER_hh_emi!N11=0,0,1000000*SER_hh_emi!N11/SER_hh_num!N11)</f>
        <v>0</v>
      </c>
      <c r="O11" s="132">
        <f>IF(SER_hh_emi!O11=0,0,1000000*SER_hh_emi!O11/SER_hh_num!O11)</f>
        <v>0</v>
      </c>
      <c r="P11" s="132">
        <f>IF(SER_hh_emi!P11=0,0,1000000*SER_hh_emi!P11/SER_hh_num!P11)</f>
        <v>0</v>
      </c>
      <c r="Q11" s="132">
        <f>IF(SER_hh_emi!Q11=0,0,1000000*SER_hh_emi!Q11/SER_hh_num!Q11)</f>
        <v>0</v>
      </c>
      <c r="R11" s="132">
        <f>IF(SER_hh_emi!R11=0,0,1000000*SER_hh_emi!R11/SER_hh_num!R11)</f>
        <v>0</v>
      </c>
      <c r="S11" s="132">
        <f>IF(SER_hh_emi!S11=0,0,1000000*SER_hh_emi!S11/SER_hh_num!S11)</f>
        <v>0</v>
      </c>
      <c r="T11" s="132">
        <f>IF(SER_hh_emi!T11=0,0,1000000*SER_hh_emi!T11/SER_hh_num!T11)</f>
        <v>0</v>
      </c>
      <c r="U11" s="132">
        <f>IF(SER_hh_emi!U11=0,0,1000000*SER_hh_emi!U11/SER_hh_num!U11)</f>
        <v>0</v>
      </c>
      <c r="V11" s="132">
        <f>IF(SER_hh_emi!V11=0,0,1000000*SER_hh_emi!V11/SER_hh_num!V11)</f>
        <v>0</v>
      </c>
      <c r="W11" s="132">
        <f>IF(SER_hh_emi!W11=0,0,1000000*SER_hh_emi!W11/SER_hh_num!W11)</f>
        <v>0</v>
      </c>
      <c r="X11" s="132">
        <f>IF(SER_hh_emi!X11=0,0,1000000*SER_hh_emi!X11/SER_hh_num!X11)</f>
        <v>0</v>
      </c>
      <c r="Y11" s="132">
        <f>IF(SER_hh_emi!Y11=0,0,1000000*SER_hh_emi!Y11/SER_hh_num!Y11)</f>
        <v>0</v>
      </c>
      <c r="DA11" s="156" t="s">
        <v>454</v>
      </c>
    </row>
    <row r="12" spans="1:105" ht="12" customHeight="1" x14ac:dyDescent="0.25">
      <c r="A12" s="131" t="s">
        <v>162</v>
      </c>
      <c r="B12" s="132">
        <f>IF(SER_hh_emi!B12=0,0,1000000*SER_hh_emi!B12/SER_hh_num!B12)</f>
        <v>0</v>
      </c>
      <c r="C12" s="132">
        <f>IF(SER_hh_emi!C12=0,0,1000000*SER_hh_emi!C12/SER_hh_num!C12)</f>
        <v>0</v>
      </c>
      <c r="D12" s="132">
        <f>IF(SER_hh_emi!D12=0,0,1000000*SER_hh_emi!D12/SER_hh_num!D12)</f>
        <v>0</v>
      </c>
      <c r="E12" s="132">
        <f>IF(SER_hh_emi!E12=0,0,1000000*SER_hh_emi!E12/SER_hh_num!E12)</f>
        <v>0</v>
      </c>
      <c r="F12" s="132">
        <f>IF(SER_hh_emi!F12=0,0,1000000*SER_hh_emi!F12/SER_hh_num!F12)</f>
        <v>0</v>
      </c>
      <c r="G12" s="132">
        <f>IF(SER_hh_emi!G12=0,0,1000000*SER_hh_emi!G12/SER_hh_num!G12)</f>
        <v>0</v>
      </c>
      <c r="H12" s="132">
        <f>IF(SER_hh_emi!H12=0,0,1000000*SER_hh_emi!H12/SER_hh_num!H12)</f>
        <v>0</v>
      </c>
      <c r="I12" s="132">
        <f>IF(SER_hh_emi!I12=0,0,1000000*SER_hh_emi!I12/SER_hh_num!I12)</f>
        <v>0</v>
      </c>
      <c r="J12" s="132">
        <f>IF(SER_hh_emi!J12=0,0,1000000*SER_hh_emi!J12/SER_hh_num!J12)</f>
        <v>0</v>
      </c>
      <c r="K12" s="132">
        <f>IF(SER_hh_emi!K12=0,0,1000000*SER_hh_emi!K12/SER_hh_num!K12)</f>
        <v>0</v>
      </c>
      <c r="L12" s="132">
        <f>IF(SER_hh_emi!L12=0,0,1000000*SER_hh_emi!L12/SER_hh_num!L12)</f>
        <v>0</v>
      </c>
      <c r="M12" s="132">
        <f>IF(SER_hh_emi!M12=0,0,1000000*SER_hh_emi!M12/SER_hh_num!M12)</f>
        <v>0</v>
      </c>
      <c r="N12" s="132">
        <f>IF(SER_hh_emi!N12=0,0,1000000*SER_hh_emi!N12/SER_hh_num!N12)</f>
        <v>0</v>
      </c>
      <c r="O12" s="132">
        <f>IF(SER_hh_emi!O12=0,0,1000000*SER_hh_emi!O12/SER_hh_num!O12)</f>
        <v>0</v>
      </c>
      <c r="P12" s="132">
        <f>IF(SER_hh_emi!P12=0,0,1000000*SER_hh_emi!P12/SER_hh_num!P12)</f>
        <v>0</v>
      </c>
      <c r="Q12" s="132">
        <f>IF(SER_hh_emi!Q12=0,0,1000000*SER_hh_emi!Q12/SER_hh_num!Q12)</f>
        <v>0</v>
      </c>
      <c r="R12" s="132">
        <f>IF(SER_hh_emi!R12=0,0,1000000*SER_hh_emi!R12/SER_hh_num!R12)</f>
        <v>0</v>
      </c>
      <c r="S12" s="132">
        <f>IF(SER_hh_emi!S12=0,0,1000000*SER_hh_emi!S12/SER_hh_num!S12)</f>
        <v>0</v>
      </c>
      <c r="T12" s="132">
        <f>IF(SER_hh_emi!T12=0,0,1000000*SER_hh_emi!T12/SER_hh_num!T12)</f>
        <v>0</v>
      </c>
      <c r="U12" s="132">
        <f>IF(SER_hh_emi!U12=0,0,1000000*SER_hh_emi!U12/SER_hh_num!U12)</f>
        <v>0</v>
      </c>
      <c r="V12" s="132">
        <f>IF(SER_hh_emi!V12=0,0,1000000*SER_hh_emi!V12/SER_hh_num!V12)</f>
        <v>0</v>
      </c>
      <c r="W12" s="132">
        <f>IF(SER_hh_emi!W12=0,0,1000000*SER_hh_emi!W12/SER_hh_num!W12)</f>
        <v>0</v>
      </c>
      <c r="X12" s="132">
        <f>IF(SER_hh_emi!X12=0,0,1000000*SER_hh_emi!X12/SER_hh_num!X12)</f>
        <v>0</v>
      </c>
      <c r="Y12" s="132">
        <f>IF(SER_hh_emi!Y12=0,0,1000000*SER_hh_emi!Y12/SER_hh_num!Y12)</f>
        <v>0</v>
      </c>
      <c r="DA12" s="156" t="s">
        <v>455</v>
      </c>
    </row>
    <row r="13" spans="1:105" ht="12" customHeight="1" x14ac:dyDescent="0.25">
      <c r="A13" s="131" t="s">
        <v>77</v>
      </c>
      <c r="B13" s="132">
        <f>IF(SER_hh_emi!B13=0,0,1000000*SER_hh_emi!B13/SER_hh_num!B13)</f>
        <v>0</v>
      </c>
      <c r="C13" s="132">
        <f>IF(SER_hh_emi!C13=0,0,1000000*SER_hh_emi!C13/SER_hh_num!C13)</f>
        <v>0</v>
      </c>
      <c r="D13" s="132">
        <f>IF(SER_hh_emi!D13=0,0,1000000*SER_hh_emi!D13/SER_hh_num!D13)</f>
        <v>0</v>
      </c>
      <c r="E13" s="132">
        <f>IF(SER_hh_emi!E13=0,0,1000000*SER_hh_emi!E13/SER_hh_num!E13)</f>
        <v>0</v>
      </c>
      <c r="F13" s="132">
        <f>IF(SER_hh_emi!F13=0,0,1000000*SER_hh_emi!F13/SER_hh_num!F13)</f>
        <v>0</v>
      </c>
      <c r="G13" s="132">
        <f>IF(SER_hh_emi!G13=0,0,1000000*SER_hh_emi!G13/SER_hh_num!G13)</f>
        <v>0</v>
      </c>
      <c r="H13" s="132">
        <f>IF(SER_hh_emi!H13=0,0,1000000*SER_hh_emi!H13/SER_hh_num!H13)</f>
        <v>0</v>
      </c>
      <c r="I13" s="132">
        <f>IF(SER_hh_emi!I13=0,0,1000000*SER_hh_emi!I13/SER_hh_num!I13)</f>
        <v>0</v>
      </c>
      <c r="J13" s="132">
        <f>IF(SER_hh_emi!J13=0,0,1000000*SER_hh_emi!J13/SER_hh_num!J13)</f>
        <v>0</v>
      </c>
      <c r="K13" s="132">
        <f>IF(SER_hh_emi!K13=0,0,1000000*SER_hh_emi!K13/SER_hh_num!K13)</f>
        <v>0</v>
      </c>
      <c r="L13" s="132">
        <f>IF(SER_hh_emi!L13=0,0,1000000*SER_hh_emi!L13/SER_hh_num!L13)</f>
        <v>0</v>
      </c>
      <c r="M13" s="132">
        <f>IF(SER_hh_emi!M13=0,0,1000000*SER_hh_emi!M13/SER_hh_num!M13)</f>
        <v>0</v>
      </c>
      <c r="N13" s="132">
        <f>IF(SER_hh_emi!N13=0,0,1000000*SER_hh_emi!N13/SER_hh_num!N13)</f>
        <v>0</v>
      </c>
      <c r="O13" s="132">
        <f>IF(SER_hh_emi!O13=0,0,1000000*SER_hh_emi!O13/SER_hh_num!O13)</f>
        <v>0</v>
      </c>
      <c r="P13" s="132">
        <f>IF(SER_hh_emi!P13=0,0,1000000*SER_hh_emi!P13/SER_hh_num!P13)</f>
        <v>0</v>
      </c>
      <c r="Q13" s="132">
        <f>IF(SER_hh_emi!Q13=0,0,1000000*SER_hh_emi!Q13/SER_hh_num!Q13)</f>
        <v>0</v>
      </c>
      <c r="R13" s="132">
        <f>IF(SER_hh_emi!R13=0,0,1000000*SER_hh_emi!R13/SER_hh_num!R13)</f>
        <v>0</v>
      </c>
      <c r="S13" s="132">
        <f>IF(SER_hh_emi!S13=0,0,1000000*SER_hh_emi!S13/SER_hh_num!S13)</f>
        <v>0</v>
      </c>
      <c r="T13" s="132">
        <f>IF(SER_hh_emi!T13=0,0,1000000*SER_hh_emi!T13/SER_hh_num!T13)</f>
        <v>0</v>
      </c>
      <c r="U13" s="132">
        <f>IF(SER_hh_emi!U13=0,0,1000000*SER_hh_emi!U13/SER_hh_num!U13)</f>
        <v>0</v>
      </c>
      <c r="V13" s="132">
        <f>IF(SER_hh_emi!V13=0,0,1000000*SER_hh_emi!V13/SER_hh_num!V13)</f>
        <v>0</v>
      </c>
      <c r="W13" s="132">
        <f>IF(SER_hh_emi!W13=0,0,1000000*SER_hh_emi!W13/SER_hh_num!W13)</f>
        <v>0</v>
      </c>
      <c r="X13" s="132">
        <f>IF(SER_hh_emi!X13=0,0,1000000*SER_hh_emi!X13/SER_hh_num!X13)</f>
        <v>0</v>
      </c>
      <c r="Y13" s="132">
        <f>IF(SER_hh_emi!Y13=0,0,1000000*SER_hh_emi!Y13/SER_hh_num!Y13)</f>
        <v>0</v>
      </c>
      <c r="DA13" s="156" t="s">
        <v>456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X14" s="65">
        <f>IF(SER_hh_emi!X14=0,0,1000000*SER_hh_emi!X14/SER_hh_num!X14)</f>
        <v>0</v>
      </c>
      <c r="Y14" s="65">
        <f>IF(SER_hh_emi!Y14=0,0,1000000*SER_hh_emi!Y14/SER_hh_num!Y14)</f>
        <v>0</v>
      </c>
      <c r="DA14" s="109" t="s">
        <v>457</v>
      </c>
    </row>
    <row r="15" spans="1:105" ht="12" customHeight="1" x14ac:dyDescent="0.25">
      <c r="A15" s="133" t="s">
        <v>80</v>
      </c>
      <c r="B15" s="134">
        <f>IF(SER_hh_emi!B15=0,0,1000000*SER_hh_emi!B15/SER_hh_num!B15)</f>
        <v>0</v>
      </c>
      <c r="C15" s="134">
        <f>IF(SER_hh_emi!C15=0,0,1000000*SER_hh_emi!C15/SER_hh_num!C15)</f>
        <v>0</v>
      </c>
      <c r="D15" s="134">
        <f>IF(SER_hh_emi!D15=0,0,1000000*SER_hh_emi!D15/SER_hh_num!D15)</f>
        <v>0</v>
      </c>
      <c r="E15" s="134">
        <f>IF(SER_hh_emi!E15=0,0,1000000*SER_hh_emi!E15/SER_hh_num!E15)</f>
        <v>0</v>
      </c>
      <c r="F15" s="134">
        <f>IF(SER_hh_emi!F15=0,0,1000000*SER_hh_emi!F15/SER_hh_num!F15)</f>
        <v>0</v>
      </c>
      <c r="G15" s="134">
        <f>IF(SER_hh_emi!G15=0,0,1000000*SER_hh_emi!G15/SER_hh_num!G15)</f>
        <v>0</v>
      </c>
      <c r="H15" s="134">
        <f>IF(SER_hh_emi!H15=0,0,1000000*SER_hh_emi!H15/SER_hh_num!H15)</f>
        <v>0</v>
      </c>
      <c r="I15" s="134">
        <f>IF(SER_hh_emi!I15=0,0,1000000*SER_hh_emi!I15/SER_hh_num!I15)</f>
        <v>0</v>
      </c>
      <c r="J15" s="134">
        <f>IF(SER_hh_emi!J15=0,0,1000000*SER_hh_emi!J15/SER_hh_num!J15)</f>
        <v>0</v>
      </c>
      <c r="K15" s="134">
        <f>IF(SER_hh_emi!K15=0,0,1000000*SER_hh_emi!K15/SER_hh_num!K15)</f>
        <v>0</v>
      </c>
      <c r="L15" s="134">
        <f>IF(SER_hh_emi!L15=0,0,1000000*SER_hh_emi!L15/SER_hh_num!L15)</f>
        <v>0</v>
      </c>
      <c r="M15" s="134">
        <f>IF(SER_hh_emi!M15=0,0,1000000*SER_hh_emi!M15/SER_hh_num!M15)</f>
        <v>0</v>
      </c>
      <c r="N15" s="134">
        <f>IF(SER_hh_emi!N15=0,0,1000000*SER_hh_emi!N15/SER_hh_num!N15)</f>
        <v>0</v>
      </c>
      <c r="O15" s="134">
        <f>IF(SER_hh_emi!O15=0,0,1000000*SER_hh_emi!O15/SER_hh_num!O15)</f>
        <v>0</v>
      </c>
      <c r="P15" s="134">
        <f>IF(SER_hh_emi!P15=0,0,1000000*SER_hh_emi!P15/SER_hh_num!P15)</f>
        <v>0</v>
      </c>
      <c r="Q15" s="134">
        <f>IF(SER_hh_emi!Q15=0,0,1000000*SER_hh_emi!Q15/SER_hh_num!Q15)</f>
        <v>0</v>
      </c>
      <c r="R15" s="134">
        <f>IF(SER_hh_emi!R15=0,0,1000000*SER_hh_emi!R15/SER_hh_num!R15)</f>
        <v>0</v>
      </c>
      <c r="S15" s="134">
        <f>IF(SER_hh_emi!S15=0,0,1000000*SER_hh_emi!S15/SER_hh_num!S15)</f>
        <v>0</v>
      </c>
      <c r="T15" s="134">
        <f>IF(SER_hh_emi!T15=0,0,1000000*SER_hh_emi!T15/SER_hh_num!T15)</f>
        <v>0</v>
      </c>
      <c r="U15" s="134">
        <f>IF(SER_hh_emi!U15=0,0,1000000*SER_hh_emi!U15/SER_hh_num!U15)</f>
        <v>0</v>
      </c>
      <c r="V15" s="134">
        <f>IF(SER_hh_emi!V15=0,0,1000000*SER_hh_emi!V15/SER_hh_num!V15)</f>
        <v>0</v>
      </c>
      <c r="W15" s="134">
        <f>IF(SER_hh_emi!W15=0,0,1000000*SER_hh_emi!W15/SER_hh_num!W15)</f>
        <v>0</v>
      </c>
      <c r="X15" s="134">
        <f>IF(SER_hh_emi!X15=0,0,1000000*SER_hh_emi!X15/SER_hh_num!X15)</f>
        <v>0</v>
      </c>
      <c r="Y15" s="134">
        <f>IF(SER_hh_emi!Y15=0,0,1000000*SER_hh_emi!Y15/SER_hh_num!Y15)</f>
        <v>0</v>
      </c>
      <c r="DA15" s="157" t="s">
        <v>458</v>
      </c>
    </row>
    <row r="16" spans="1:105" ht="12.95" customHeight="1" x14ac:dyDescent="0.25">
      <c r="A16" s="129" t="s">
        <v>74</v>
      </c>
      <c r="B16" s="130">
        <f>IF(SER_hh_emi!B16=0,0,1000000*SER_hh_emi!B16/SER_hh_num!B16)</f>
        <v>2.1432777024858685</v>
      </c>
      <c r="C16" s="130">
        <f>IF(SER_hh_emi!C16=0,0,1000000*SER_hh_emi!C16/SER_hh_num!C16)</f>
        <v>2.2385937670165377</v>
      </c>
      <c r="D16" s="130">
        <f>IF(SER_hh_emi!D16=0,0,1000000*SER_hh_emi!D16/SER_hh_num!D16)</f>
        <v>1.7584138600597277</v>
      </c>
      <c r="E16" s="130">
        <f>IF(SER_hh_emi!E16=0,0,1000000*SER_hh_emi!E16/SER_hh_num!E16)</f>
        <v>2.939386222080326</v>
      </c>
      <c r="F16" s="130">
        <f>IF(SER_hh_emi!F16=0,0,1000000*SER_hh_emi!F16/SER_hh_num!F16)</f>
        <v>2.7542567307567212</v>
      </c>
      <c r="G16" s="130">
        <f>IF(SER_hh_emi!G16=0,0,1000000*SER_hh_emi!G16/SER_hh_num!G16)</f>
        <v>3.0617090044727906</v>
      </c>
      <c r="H16" s="130">
        <f>IF(SER_hh_emi!H16=0,0,1000000*SER_hh_emi!H16/SER_hh_num!H16)</f>
        <v>3.4011081506103236</v>
      </c>
      <c r="I16" s="130">
        <f>IF(SER_hh_emi!I16=0,0,1000000*SER_hh_emi!I16/SER_hh_num!I16)</f>
        <v>2.8725740711483168</v>
      </c>
      <c r="J16" s="130">
        <f>IF(SER_hh_emi!J16=0,0,1000000*SER_hh_emi!J16/SER_hh_num!J16)</f>
        <v>3.4828977819096871</v>
      </c>
      <c r="K16" s="130">
        <f>IF(SER_hh_emi!K16=0,0,1000000*SER_hh_emi!K16/SER_hh_num!K16)</f>
        <v>4.7892029585102183</v>
      </c>
      <c r="L16" s="130">
        <f>IF(SER_hh_emi!L16=0,0,1000000*SER_hh_emi!L16/SER_hh_num!L16)</f>
        <v>5.0428323893532587</v>
      </c>
      <c r="M16" s="130">
        <f>IF(SER_hh_emi!M16=0,0,1000000*SER_hh_emi!M16/SER_hh_num!M16)</f>
        <v>5.1330133297687537</v>
      </c>
      <c r="N16" s="130">
        <f>IF(SER_hh_emi!N16=0,0,1000000*SER_hh_emi!N16/SER_hh_num!N16)</f>
        <v>6.7576956936731145</v>
      </c>
      <c r="O16" s="130">
        <f>IF(SER_hh_emi!O16=0,0,1000000*SER_hh_emi!O16/SER_hh_num!O16)</f>
        <v>6.6278147342423468</v>
      </c>
      <c r="P16" s="130">
        <f>IF(SER_hh_emi!P16=0,0,1000000*SER_hh_emi!P16/SER_hh_num!P16)</f>
        <v>6.9226212742186055</v>
      </c>
      <c r="Q16" s="130">
        <f>IF(SER_hh_emi!Q16=0,0,1000000*SER_hh_emi!Q16/SER_hh_num!Q16)</f>
        <v>12.007863271672125</v>
      </c>
      <c r="R16" s="130">
        <f>IF(SER_hh_emi!R16=0,0,1000000*SER_hh_emi!R16/SER_hh_num!R16)</f>
        <v>13.345085606147896</v>
      </c>
      <c r="S16" s="130">
        <f>IF(SER_hh_emi!S16=0,0,1000000*SER_hh_emi!S16/SER_hh_num!S16)</f>
        <v>16.755730266659981</v>
      </c>
      <c r="T16" s="130">
        <f>IF(SER_hh_emi!T16=0,0,1000000*SER_hh_emi!T16/SER_hh_num!T16)</f>
        <v>14.038417428373034</v>
      </c>
      <c r="U16" s="130">
        <f>IF(SER_hh_emi!U16=0,0,1000000*SER_hh_emi!U16/SER_hh_num!U16)</f>
        <v>15.328178979483168</v>
      </c>
      <c r="V16" s="130">
        <f>IF(SER_hh_emi!V16=0,0,1000000*SER_hh_emi!V16/SER_hh_num!V16)</f>
        <v>16.332668794188091</v>
      </c>
      <c r="W16" s="130">
        <f>IF(SER_hh_emi!W16=0,0,1000000*SER_hh_emi!W16/SER_hh_num!W16)</f>
        <v>14.751404927017784</v>
      </c>
      <c r="X16" s="130">
        <f>IF(SER_hh_emi!X16=0,0,1000000*SER_hh_emi!X16/SER_hh_num!X16)</f>
        <v>22.843942866195963</v>
      </c>
      <c r="Y16" s="130">
        <f>IF(SER_hh_emi!Y16=0,0,1000000*SER_hh_emi!Y16/SER_hh_num!Y16)</f>
        <v>20.800464123687263</v>
      </c>
      <c r="DA16" s="155" t="s">
        <v>459</v>
      </c>
    </row>
    <row r="17" spans="1:105" ht="12.95" customHeight="1" x14ac:dyDescent="0.25">
      <c r="A17" s="131" t="s">
        <v>73</v>
      </c>
      <c r="B17" s="132">
        <f>IF(SER_hh_emi!B17=0,0,1000000*SER_hh_emi!B17/SER_hh_num!B17)</f>
        <v>2852.0938635676612</v>
      </c>
      <c r="C17" s="132">
        <f>IF(SER_hh_emi!C17=0,0,1000000*SER_hh_emi!C17/SER_hh_num!C17)</f>
        <v>3001.9156742555388</v>
      </c>
      <c r="D17" s="132">
        <f>IF(SER_hh_emi!D17=0,0,1000000*SER_hh_emi!D17/SER_hh_num!D17)</f>
        <v>2622.6467587475299</v>
      </c>
      <c r="E17" s="132">
        <f>IF(SER_hh_emi!E17=0,0,1000000*SER_hh_emi!E17/SER_hh_num!E17)</f>
        <v>3708.646129601138</v>
      </c>
      <c r="F17" s="132">
        <f>IF(SER_hh_emi!F17=0,0,1000000*SER_hh_emi!F17/SER_hh_num!F17)</f>
        <v>2833.8507520608614</v>
      </c>
      <c r="G17" s="132">
        <f>IF(SER_hh_emi!G17=0,0,1000000*SER_hh_emi!G17/SER_hh_num!G17)</f>
        <v>2980.9738778152646</v>
      </c>
      <c r="H17" s="132">
        <f>IF(SER_hh_emi!H17=0,0,1000000*SER_hh_emi!H17/SER_hh_num!H17)</f>
        <v>2931.5354857715383</v>
      </c>
      <c r="I17" s="132">
        <f>IF(SER_hh_emi!I17=0,0,1000000*SER_hh_emi!I17/SER_hh_num!I17)</f>
        <v>2410.3580744035271</v>
      </c>
      <c r="J17" s="132">
        <f>IF(SER_hh_emi!J17=0,0,1000000*SER_hh_emi!J17/SER_hh_num!J17)</f>
        <v>2560.0289610682926</v>
      </c>
      <c r="K17" s="132">
        <f>IF(SER_hh_emi!K17=0,0,1000000*SER_hh_emi!K17/SER_hh_num!K17)</f>
        <v>3288.9470638167713</v>
      </c>
      <c r="L17" s="132">
        <f>IF(SER_hh_emi!L17=0,0,1000000*SER_hh_emi!L17/SER_hh_num!L17)</f>
        <v>3075.9712845754784</v>
      </c>
      <c r="M17" s="132">
        <f>IF(SER_hh_emi!M17=0,0,1000000*SER_hh_emi!M17/SER_hh_num!M17)</f>
        <v>2726.6576206836867</v>
      </c>
      <c r="N17" s="132">
        <f>IF(SER_hh_emi!N17=0,0,1000000*SER_hh_emi!N17/SER_hh_num!N17)</f>
        <v>3252.7650879548801</v>
      </c>
      <c r="O17" s="132">
        <f>IF(SER_hh_emi!O17=0,0,1000000*SER_hh_emi!O17/SER_hh_num!O17)</f>
        <v>2557.3925187117416</v>
      </c>
      <c r="P17" s="132">
        <f>IF(SER_hh_emi!P17=0,0,1000000*SER_hh_emi!P17/SER_hh_num!P17)</f>
        <v>2364.6487674206619</v>
      </c>
      <c r="Q17" s="132">
        <f>IF(SER_hh_emi!Q17=0,0,1000000*SER_hh_emi!Q17/SER_hh_num!Q17)</f>
        <v>3506.0062626659851</v>
      </c>
      <c r="R17" s="132">
        <f>IF(SER_hh_emi!R17=0,0,1000000*SER_hh_emi!R17/SER_hh_num!R17)</f>
        <v>3330.9027290323493</v>
      </c>
      <c r="S17" s="132">
        <f>IF(SER_hh_emi!S17=0,0,1000000*SER_hh_emi!S17/SER_hh_num!S17)</f>
        <v>3854.3953831920639</v>
      </c>
      <c r="T17" s="132">
        <f>IF(SER_hh_emi!T17=0,0,1000000*SER_hh_emi!T17/SER_hh_num!T17)</f>
        <v>2724.6069490443024</v>
      </c>
      <c r="U17" s="132">
        <f>IF(SER_hh_emi!U17=0,0,1000000*SER_hh_emi!U17/SER_hh_num!U17)</f>
        <v>2815.2284010719795</v>
      </c>
      <c r="V17" s="132">
        <f>IF(SER_hh_emi!V17=0,0,1000000*SER_hh_emi!V17/SER_hh_num!V17)</f>
        <v>2859.6097761582769</v>
      </c>
      <c r="W17" s="132">
        <f>IF(SER_hh_emi!W17=0,0,1000000*SER_hh_emi!W17/SER_hh_num!W17)</f>
        <v>2518.8764414231109</v>
      </c>
      <c r="X17" s="132">
        <f>IF(SER_hh_emi!X17=0,0,1000000*SER_hh_emi!X17/SER_hh_num!X17)</f>
        <v>3901.1808124247095</v>
      </c>
      <c r="Y17" s="132">
        <f>IF(SER_hh_emi!Y17=0,0,1000000*SER_hh_emi!Y17/SER_hh_num!Y17)</f>
        <v>3547.3803433724438</v>
      </c>
      <c r="DA17" s="156" t="s">
        <v>460</v>
      </c>
    </row>
    <row r="18" spans="1:105" ht="12" customHeight="1" x14ac:dyDescent="0.25">
      <c r="A18" s="131" t="s">
        <v>72</v>
      </c>
      <c r="B18" s="132">
        <f>IF(SER_hh_emi!B18=0,0,1000000*SER_hh_emi!B18/SER_hh_num!B18)</f>
        <v>0</v>
      </c>
      <c r="C18" s="132">
        <f>IF(SER_hh_emi!C18=0,0,1000000*SER_hh_emi!C18/SER_hh_num!C18)</f>
        <v>0</v>
      </c>
      <c r="D18" s="132">
        <f>IF(SER_hh_emi!D18=0,0,1000000*SER_hh_emi!D18/SER_hh_num!D18)</f>
        <v>0</v>
      </c>
      <c r="E18" s="132">
        <f>IF(SER_hh_emi!E18=0,0,1000000*SER_hh_emi!E18/SER_hh_num!E18)</f>
        <v>0</v>
      </c>
      <c r="F18" s="132">
        <f>IF(SER_hh_emi!F18=0,0,1000000*SER_hh_emi!F18/SER_hh_num!F18)</f>
        <v>0</v>
      </c>
      <c r="G18" s="132">
        <f>IF(SER_hh_emi!G18=0,0,1000000*SER_hh_emi!G18/SER_hh_num!G18)</f>
        <v>0</v>
      </c>
      <c r="H18" s="132">
        <f>IF(SER_hh_emi!H18=0,0,1000000*SER_hh_emi!H18/SER_hh_num!H18)</f>
        <v>0</v>
      </c>
      <c r="I18" s="132">
        <f>IF(SER_hh_emi!I18=0,0,1000000*SER_hh_emi!I18/SER_hh_num!I18)</f>
        <v>0</v>
      </c>
      <c r="J18" s="132">
        <f>IF(SER_hh_emi!J18=0,0,1000000*SER_hh_emi!J18/SER_hh_num!J18)</f>
        <v>0</v>
      </c>
      <c r="K18" s="132">
        <f>IF(SER_hh_emi!K18=0,0,1000000*SER_hh_emi!K18/SER_hh_num!K18)</f>
        <v>0</v>
      </c>
      <c r="L18" s="132">
        <f>IF(SER_hh_emi!L18=0,0,1000000*SER_hh_emi!L18/SER_hh_num!L18)</f>
        <v>0</v>
      </c>
      <c r="M18" s="132">
        <f>IF(SER_hh_emi!M18=0,0,1000000*SER_hh_emi!M18/SER_hh_num!M18)</f>
        <v>0</v>
      </c>
      <c r="N18" s="132">
        <f>IF(SER_hh_emi!N18=0,0,1000000*SER_hh_emi!N18/SER_hh_num!N18)</f>
        <v>0</v>
      </c>
      <c r="O18" s="132">
        <f>IF(SER_hh_emi!O18=0,0,1000000*SER_hh_emi!O18/SER_hh_num!O18)</f>
        <v>0</v>
      </c>
      <c r="P18" s="132">
        <f>IF(SER_hh_emi!P18=0,0,1000000*SER_hh_emi!P18/SER_hh_num!P18)</f>
        <v>0</v>
      </c>
      <c r="Q18" s="132">
        <f>IF(SER_hh_emi!Q18=0,0,1000000*SER_hh_emi!Q18/SER_hh_num!Q18)</f>
        <v>0</v>
      </c>
      <c r="R18" s="132">
        <f>IF(SER_hh_emi!R18=0,0,1000000*SER_hh_emi!R18/SER_hh_num!R18)</f>
        <v>0</v>
      </c>
      <c r="S18" s="132">
        <f>IF(SER_hh_emi!S18=0,0,1000000*SER_hh_emi!S18/SER_hh_num!S18)</f>
        <v>0</v>
      </c>
      <c r="T18" s="132">
        <f>IF(SER_hh_emi!T18=0,0,1000000*SER_hh_emi!T18/SER_hh_num!T18)</f>
        <v>0</v>
      </c>
      <c r="U18" s="132">
        <f>IF(SER_hh_emi!U18=0,0,1000000*SER_hh_emi!U18/SER_hh_num!U18)</f>
        <v>0</v>
      </c>
      <c r="V18" s="132">
        <f>IF(SER_hh_emi!V18=0,0,1000000*SER_hh_emi!V18/SER_hh_num!V18)</f>
        <v>0</v>
      </c>
      <c r="W18" s="132">
        <f>IF(SER_hh_emi!W18=0,0,1000000*SER_hh_emi!W18/SER_hh_num!W18)</f>
        <v>0</v>
      </c>
      <c r="X18" s="132">
        <f>IF(SER_hh_emi!X18=0,0,1000000*SER_hh_emi!X18/SER_hh_num!X18)</f>
        <v>0</v>
      </c>
      <c r="Y18" s="132">
        <f>IF(SER_hh_emi!Y18=0,0,1000000*SER_hh_emi!Y18/SER_hh_num!Y18)</f>
        <v>0</v>
      </c>
      <c r="DA18" s="156" t="s">
        <v>461</v>
      </c>
    </row>
    <row r="19" spans="1:105" ht="12.95" customHeight="1" x14ac:dyDescent="0.25">
      <c r="A19" s="129" t="s">
        <v>35</v>
      </c>
      <c r="B19" s="130">
        <f>IF(SER_hh_emi!B19=0,0,1000000*SER_hh_emi!B19/SER_hh_num!B19)</f>
        <v>770.36914910480516</v>
      </c>
      <c r="C19" s="130">
        <f>IF(SER_hh_emi!C19=0,0,1000000*SER_hh_emi!C19/SER_hh_num!C19)</f>
        <v>754.37110148739168</v>
      </c>
      <c r="D19" s="130">
        <f>IF(SER_hh_emi!D19=0,0,1000000*SER_hh_emi!D19/SER_hh_num!D19)</f>
        <v>719.97784371479509</v>
      </c>
      <c r="E19" s="130">
        <f>IF(SER_hh_emi!E19=0,0,1000000*SER_hh_emi!E19/SER_hh_num!E19)</f>
        <v>635.71647803459325</v>
      </c>
      <c r="F19" s="130">
        <f>IF(SER_hh_emi!F19=0,0,1000000*SER_hh_emi!F19/SER_hh_num!F19)</f>
        <v>654.95441669315676</v>
      </c>
      <c r="G19" s="130">
        <f>IF(SER_hh_emi!G19=0,0,1000000*SER_hh_emi!G19/SER_hh_num!G19)</f>
        <v>656.97842045678567</v>
      </c>
      <c r="H19" s="130">
        <f>IF(SER_hh_emi!H19=0,0,1000000*SER_hh_emi!H19/SER_hh_num!H19)</f>
        <v>774.33826646383159</v>
      </c>
      <c r="I19" s="130">
        <f>IF(SER_hh_emi!I19=0,0,1000000*SER_hh_emi!I19/SER_hh_num!I19)</f>
        <v>727.4407501172268</v>
      </c>
      <c r="J19" s="130">
        <f>IF(SER_hh_emi!J19=0,0,1000000*SER_hh_emi!J19/SER_hh_num!J19)</f>
        <v>697.78544481225254</v>
      </c>
      <c r="K19" s="130">
        <f>IF(SER_hh_emi!K19=0,0,1000000*SER_hh_emi!K19/SER_hh_num!K19)</f>
        <v>702.58020569198402</v>
      </c>
      <c r="L19" s="130">
        <f>IF(SER_hh_emi!L19=0,0,1000000*SER_hh_emi!L19/SER_hh_num!L19)</f>
        <v>693.37710072831317</v>
      </c>
      <c r="M19" s="130">
        <f>IF(SER_hh_emi!M19=0,0,1000000*SER_hh_emi!M19/SER_hh_num!M19)</f>
        <v>695.54504448095997</v>
      </c>
      <c r="N19" s="130">
        <f>IF(SER_hh_emi!N19=0,0,1000000*SER_hh_emi!N19/SER_hh_num!N19)</f>
        <v>728.45953603231499</v>
      </c>
      <c r="O19" s="130">
        <f>IF(SER_hh_emi!O19=0,0,1000000*SER_hh_emi!O19/SER_hh_num!O19)</f>
        <v>770.15355530176328</v>
      </c>
      <c r="P19" s="130">
        <f>IF(SER_hh_emi!P19=0,0,1000000*SER_hh_emi!P19/SER_hh_num!P19)</f>
        <v>844.12917345631161</v>
      </c>
      <c r="Q19" s="130">
        <f>IF(SER_hh_emi!Q19=0,0,1000000*SER_hh_emi!Q19/SER_hh_num!Q19)</f>
        <v>794.60925441538052</v>
      </c>
      <c r="R19" s="130">
        <f>IF(SER_hh_emi!R19=0,0,1000000*SER_hh_emi!R19/SER_hh_num!R19)</f>
        <v>804.9550290717898</v>
      </c>
      <c r="S19" s="130">
        <f>IF(SER_hh_emi!S19=0,0,1000000*SER_hh_emi!S19/SER_hh_num!S19)</f>
        <v>792.47557033383259</v>
      </c>
      <c r="T19" s="130">
        <f>IF(SER_hh_emi!T19=0,0,1000000*SER_hh_emi!T19/SER_hh_num!T19)</f>
        <v>795.53877027935403</v>
      </c>
      <c r="U19" s="130">
        <f>IF(SER_hh_emi!U19=0,0,1000000*SER_hh_emi!U19/SER_hh_num!U19)</f>
        <v>789.84833311502973</v>
      </c>
      <c r="V19" s="130">
        <f>IF(SER_hh_emi!V19=0,0,1000000*SER_hh_emi!V19/SER_hh_num!V19)</f>
        <v>745.53920686252263</v>
      </c>
      <c r="W19" s="130">
        <f>IF(SER_hh_emi!W19=0,0,1000000*SER_hh_emi!W19/SER_hh_num!W19)</f>
        <v>804.36414273643072</v>
      </c>
      <c r="X19" s="130">
        <f>IF(SER_hh_emi!X19=0,0,1000000*SER_hh_emi!X19/SER_hh_num!X19)</f>
        <v>785.60137635448314</v>
      </c>
      <c r="Y19" s="130">
        <f>IF(SER_hh_emi!Y19=0,0,1000000*SER_hh_emi!Y19/SER_hh_num!Y19)</f>
        <v>778.79676814005222</v>
      </c>
      <c r="DA19" s="155" t="s">
        <v>462</v>
      </c>
    </row>
    <row r="20" spans="1:105" ht="12" customHeight="1" x14ac:dyDescent="0.25">
      <c r="A20" s="131" t="s">
        <v>29</v>
      </c>
      <c r="B20" s="132">
        <f>IF(SER_hh_emi!B20=0,0,1000000*SER_hh_emi!B20/SER_hh_num!B20)</f>
        <v>0</v>
      </c>
      <c r="C20" s="132">
        <f>IF(SER_hh_emi!C20=0,0,1000000*SER_hh_emi!C20/SER_hh_num!C20)</f>
        <v>0</v>
      </c>
      <c r="D20" s="132">
        <f>IF(SER_hh_emi!D20=0,0,1000000*SER_hh_emi!D20/SER_hh_num!D20)</f>
        <v>0</v>
      </c>
      <c r="E20" s="132">
        <f>IF(SER_hh_emi!E20=0,0,1000000*SER_hh_emi!E20/SER_hh_num!E20)</f>
        <v>0</v>
      </c>
      <c r="F20" s="132">
        <f>IF(SER_hh_emi!F20=0,0,1000000*SER_hh_emi!F20/SER_hh_num!F20)</f>
        <v>0</v>
      </c>
      <c r="G20" s="132">
        <f>IF(SER_hh_emi!G20=0,0,1000000*SER_hh_emi!G20/SER_hh_num!G20)</f>
        <v>0</v>
      </c>
      <c r="H20" s="132">
        <f>IF(SER_hh_emi!H20=0,0,1000000*SER_hh_emi!H20/SER_hh_num!H20)</f>
        <v>0</v>
      </c>
      <c r="I20" s="132">
        <f>IF(SER_hh_emi!I20=0,0,1000000*SER_hh_emi!I20/SER_hh_num!I20)</f>
        <v>0</v>
      </c>
      <c r="J20" s="132">
        <f>IF(SER_hh_emi!J20=0,0,1000000*SER_hh_emi!J20/SER_hh_num!J20)</f>
        <v>0</v>
      </c>
      <c r="K20" s="132">
        <f>IF(SER_hh_emi!K20=0,0,1000000*SER_hh_emi!K20/SER_hh_num!K20)</f>
        <v>0</v>
      </c>
      <c r="L20" s="132">
        <f>IF(SER_hh_emi!L20=0,0,1000000*SER_hh_emi!L20/SER_hh_num!L20)</f>
        <v>0</v>
      </c>
      <c r="M20" s="132">
        <f>IF(SER_hh_emi!M20=0,0,1000000*SER_hh_emi!M20/SER_hh_num!M20)</f>
        <v>0</v>
      </c>
      <c r="N20" s="132">
        <f>IF(SER_hh_emi!N20=0,0,1000000*SER_hh_emi!N20/SER_hh_num!N20)</f>
        <v>0</v>
      </c>
      <c r="O20" s="132">
        <f>IF(SER_hh_emi!O20=0,0,1000000*SER_hh_emi!O20/SER_hh_num!O20)</f>
        <v>0</v>
      </c>
      <c r="P20" s="132">
        <f>IF(SER_hh_emi!P20=0,0,1000000*SER_hh_emi!P20/SER_hh_num!P20)</f>
        <v>0</v>
      </c>
      <c r="Q20" s="132">
        <f>IF(SER_hh_emi!Q20=0,0,1000000*SER_hh_emi!Q20/SER_hh_num!Q20)</f>
        <v>0</v>
      </c>
      <c r="R20" s="132">
        <f>IF(SER_hh_emi!R20=0,0,1000000*SER_hh_emi!R20/SER_hh_num!R20)</f>
        <v>0</v>
      </c>
      <c r="S20" s="132">
        <f>IF(SER_hh_emi!S20=0,0,1000000*SER_hh_emi!S20/SER_hh_num!S20)</f>
        <v>0</v>
      </c>
      <c r="T20" s="132">
        <f>IF(SER_hh_emi!T20=0,0,1000000*SER_hh_emi!T20/SER_hh_num!T20)</f>
        <v>0</v>
      </c>
      <c r="U20" s="132">
        <f>IF(SER_hh_emi!U20=0,0,1000000*SER_hh_emi!U20/SER_hh_num!U20)</f>
        <v>0</v>
      </c>
      <c r="V20" s="132">
        <f>IF(SER_hh_emi!V20=0,0,1000000*SER_hh_emi!V20/SER_hh_num!V20)</f>
        <v>0</v>
      </c>
      <c r="W20" s="132">
        <f>IF(SER_hh_emi!W20=0,0,1000000*SER_hh_emi!W20/SER_hh_num!W20)</f>
        <v>0</v>
      </c>
      <c r="X20" s="132">
        <f>IF(SER_hh_emi!X20=0,0,1000000*SER_hh_emi!X20/SER_hh_num!X20)</f>
        <v>0</v>
      </c>
      <c r="Y20" s="132">
        <f>IF(SER_hh_emi!Y20=0,0,1000000*SER_hh_emi!Y20/SER_hh_num!Y20)</f>
        <v>0</v>
      </c>
      <c r="DA20" s="156" t="s">
        <v>463</v>
      </c>
    </row>
    <row r="21" spans="1:105" s="2" customFormat="1" ht="12" customHeight="1" x14ac:dyDescent="0.25">
      <c r="A21" s="131" t="s">
        <v>52</v>
      </c>
      <c r="B21" s="132">
        <f>IF(SER_hh_emi!B21=0,0,1000000*SER_hh_emi!B21/SER_hh_num!B21)</f>
        <v>1501.9181945543162</v>
      </c>
      <c r="C21" s="132">
        <f>IF(SER_hh_emi!C21=0,0,1000000*SER_hh_emi!C21/SER_hh_num!C21)</f>
        <v>1518.8558061595993</v>
      </c>
      <c r="D21" s="132">
        <f>IF(SER_hh_emi!D21=0,0,1000000*SER_hh_emi!D21/SER_hh_num!D21)</f>
        <v>1585.9733524071778</v>
      </c>
      <c r="E21" s="132">
        <f>IF(SER_hh_emi!E21=0,0,1000000*SER_hh_emi!E21/SER_hh_num!E21)</f>
        <v>1651.0466193070617</v>
      </c>
      <c r="F21" s="132">
        <f>IF(SER_hh_emi!F21=0,0,1000000*SER_hh_emi!F21/SER_hh_num!F21)</f>
        <v>1599.8862702973793</v>
      </c>
      <c r="G21" s="132">
        <f>IF(SER_hh_emi!G21=0,0,1000000*SER_hh_emi!G21/SER_hh_num!G21)</f>
        <v>1635.5444703247204</v>
      </c>
      <c r="H21" s="132">
        <f>IF(SER_hh_emi!H21=0,0,1000000*SER_hh_emi!H21/SER_hh_num!H21)</f>
        <v>1685.4401508205738</v>
      </c>
      <c r="I21" s="132">
        <f>IF(SER_hh_emi!I21=0,0,1000000*SER_hh_emi!I21/SER_hh_num!I21)</f>
        <v>1673.2087079374339</v>
      </c>
      <c r="J21" s="132">
        <f>IF(SER_hh_emi!J21=0,0,1000000*SER_hh_emi!J21/SER_hh_num!J21)</f>
        <v>1663.2731650188362</v>
      </c>
      <c r="K21" s="132">
        <f>IF(SER_hh_emi!K21=0,0,1000000*SER_hh_emi!K21/SER_hh_num!K21)</f>
        <v>1655.9636937045475</v>
      </c>
      <c r="L21" s="132">
        <f>IF(SER_hh_emi!L21=0,0,1000000*SER_hh_emi!L21/SER_hh_num!L21)</f>
        <v>1660.5774803152358</v>
      </c>
      <c r="M21" s="132">
        <f>IF(SER_hh_emi!M21=0,0,1000000*SER_hh_emi!M21/SER_hh_num!M21)</f>
        <v>1645.4791928577654</v>
      </c>
      <c r="N21" s="132">
        <f>IF(SER_hh_emi!N21=0,0,1000000*SER_hh_emi!N21/SER_hh_num!N21)</f>
        <v>1617.1152219205246</v>
      </c>
      <c r="O21" s="132">
        <f>IF(SER_hh_emi!O21=0,0,1000000*SER_hh_emi!O21/SER_hh_num!O21)</f>
        <v>1593.1193105833415</v>
      </c>
      <c r="P21" s="132">
        <f>IF(SER_hh_emi!P21=0,0,1000000*SER_hh_emi!P21/SER_hh_num!P21)</f>
        <v>1519.6270515324363</v>
      </c>
      <c r="Q21" s="132">
        <f>IF(SER_hh_emi!Q21=0,0,1000000*SER_hh_emi!Q21/SER_hh_num!Q21)</f>
        <v>1465.1579508714376</v>
      </c>
      <c r="R21" s="132">
        <f>IF(SER_hh_emi!R21=0,0,1000000*SER_hh_emi!R21/SER_hh_num!R21)</f>
        <v>1432.1251220531744</v>
      </c>
      <c r="S21" s="132">
        <f>IF(SER_hh_emi!S21=0,0,1000000*SER_hh_emi!S21/SER_hh_num!S21)</f>
        <v>1403.3144520196606</v>
      </c>
      <c r="T21" s="132">
        <f>IF(SER_hh_emi!T21=0,0,1000000*SER_hh_emi!T21/SER_hh_num!T21)</f>
        <v>1524.9823262201528</v>
      </c>
      <c r="U21" s="132">
        <f>IF(SER_hh_emi!U21=0,0,1000000*SER_hh_emi!U21/SER_hh_num!U21)</f>
        <v>1413.8693926227272</v>
      </c>
      <c r="V21" s="132">
        <f>IF(SER_hh_emi!V21=0,0,1000000*SER_hh_emi!V21/SER_hh_num!V21)</f>
        <v>1034.0242921593172</v>
      </c>
      <c r="W21" s="132">
        <f>IF(SER_hh_emi!W21=0,0,1000000*SER_hh_emi!W21/SER_hh_num!W21)</f>
        <v>1107.3577373775715</v>
      </c>
      <c r="X21" s="132">
        <f>IF(SER_hh_emi!X21=0,0,1000000*SER_hh_emi!X21/SER_hh_num!X21)</f>
        <v>1126.2672044924188</v>
      </c>
      <c r="Y21" s="132">
        <f>IF(SER_hh_emi!Y21=0,0,1000000*SER_hh_emi!Y21/SER_hh_num!Y21)</f>
        <v>1284.8781846565091</v>
      </c>
      <c r="DA21" s="156" t="s">
        <v>464</v>
      </c>
    </row>
    <row r="22" spans="1:105" ht="12" customHeight="1" x14ac:dyDescent="0.25">
      <c r="A22" s="131" t="s">
        <v>161</v>
      </c>
      <c r="B22" s="132">
        <f>IF(SER_hh_emi!B22=0,0,1000000*SER_hh_emi!B22/SER_hh_num!B22)</f>
        <v>1849.1740024002395</v>
      </c>
      <c r="C22" s="132">
        <f>IF(SER_hh_emi!C22=0,0,1000000*SER_hh_emi!C22/SER_hh_num!C22)</f>
        <v>1930.5613186636331</v>
      </c>
      <c r="D22" s="132">
        <f>IF(SER_hh_emi!D22=0,0,1000000*SER_hh_emi!D22/SER_hh_num!D22)</f>
        <v>1983.3974905336568</v>
      </c>
      <c r="E22" s="132">
        <f>IF(SER_hh_emi!E22=0,0,1000000*SER_hh_emi!E22/SER_hh_num!E22)</f>
        <v>2007.7784029027753</v>
      </c>
      <c r="F22" s="132">
        <f>IF(SER_hh_emi!F22=0,0,1000000*SER_hh_emi!F22/SER_hh_num!F22)</f>
        <v>2072.4954292524385</v>
      </c>
      <c r="G22" s="132">
        <f>IF(SER_hh_emi!G22=0,0,1000000*SER_hh_emi!G22/SER_hh_num!G22)</f>
        <v>2105.6070210254093</v>
      </c>
      <c r="H22" s="132">
        <f>IF(SER_hh_emi!H22=0,0,1000000*SER_hh_emi!H22/SER_hh_num!H22)</f>
        <v>2121.7012970504211</v>
      </c>
      <c r="I22" s="132">
        <f>IF(SER_hh_emi!I22=0,0,1000000*SER_hh_emi!I22/SER_hh_num!I22)</f>
        <v>2059.2173919732772</v>
      </c>
      <c r="J22" s="132">
        <f>IF(SER_hh_emi!J22=0,0,1000000*SER_hh_emi!J22/SER_hh_num!J22)</f>
        <v>2059.7960986712833</v>
      </c>
      <c r="K22" s="132">
        <f>IF(SER_hh_emi!K22=0,0,1000000*SER_hh_emi!K22/SER_hh_num!K22)</f>
        <v>2058.2517324624532</v>
      </c>
      <c r="L22" s="132">
        <f>IF(SER_hh_emi!L22=0,0,1000000*SER_hh_emi!L22/SER_hh_num!L22)</f>
        <v>2046.9181722992062</v>
      </c>
      <c r="M22" s="132">
        <f>IF(SER_hh_emi!M22=0,0,1000000*SER_hh_emi!M22/SER_hh_num!M22)</f>
        <v>2026.5536935570822</v>
      </c>
      <c r="N22" s="132">
        <f>IF(SER_hh_emi!N22=0,0,1000000*SER_hh_emi!N22/SER_hh_num!N22)</f>
        <v>1995.7157424939692</v>
      </c>
      <c r="O22" s="132">
        <f>IF(SER_hh_emi!O22=0,0,1000000*SER_hh_emi!O22/SER_hh_num!O22)</f>
        <v>1935.6791606752122</v>
      </c>
      <c r="P22" s="132">
        <f>IF(SER_hh_emi!P22=0,0,1000000*SER_hh_emi!P22/SER_hh_num!P22)</f>
        <v>1822.0115433254412</v>
      </c>
      <c r="Q22" s="132">
        <f>IF(SER_hh_emi!Q22=0,0,1000000*SER_hh_emi!Q22/SER_hh_num!Q22)</f>
        <v>1776.2174360033537</v>
      </c>
      <c r="R22" s="132">
        <f>IF(SER_hh_emi!R22=0,0,1000000*SER_hh_emi!R22/SER_hh_num!R22)</f>
        <v>1723.1563547461133</v>
      </c>
      <c r="S22" s="132">
        <f>IF(SER_hh_emi!S22=0,0,1000000*SER_hh_emi!S22/SER_hh_num!S22)</f>
        <v>1633.1556366023008</v>
      </c>
      <c r="T22" s="132">
        <f>IF(SER_hh_emi!T22=0,0,1000000*SER_hh_emi!T22/SER_hh_num!T22)</f>
        <v>1619.7319468427418</v>
      </c>
      <c r="U22" s="132">
        <f>IF(SER_hh_emi!U22=0,0,1000000*SER_hh_emi!U22/SER_hh_num!U22)</f>
        <v>1554.1675562925761</v>
      </c>
      <c r="V22" s="132">
        <f>IF(SER_hh_emi!V22=0,0,1000000*SER_hh_emi!V22/SER_hh_num!V22)</f>
        <v>1446.5591315194708</v>
      </c>
      <c r="W22" s="132">
        <f>IF(SER_hh_emi!W22=0,0,1000000*SER_hh_emi!W22/SER_hh_num!W22)</f>
        <v>1501.5179311538529</v>
      </c>
      <c r="X22" s="132">
        <f>IF(SER_hh_emi!X22=0,0,1000000*SER_hh_emi!X22/SER_hh_num!X22)</f>
        <v>1435.1286788878333</v>
      </c>
      <c r="Y22" s="132">
        <f>IF(SER_hh_emi!Y22=0,0,1000000*SER_hh_emi!Y22/SER_hh_num!Y22)</f>
        <v>1381.9406230751929</v>
      </c>
      <c r="DA22" s="156" t="s">
        <v>465</v>
      </c>
    </row>
    <row r="23" spans="1:105" ht="12" customHeight="1" x14ac:dyDescent="0.25">
      <c r="A23" s="131" t="s">
        <v>149</v>
      </c>
      <c r="B23" s="132">
        <f>IF(SER_hh_emi!B23=0,0,1000000*SER_hh_emi!B23/SER_hh_num!B23)</f>
        <v>1379.3769850377103</v>
      </c>
      <c r="C23" s="132">
        <f>IF(SER_hh_emi!C23=0,0,1000000*SER_hh_emi!C23/SER_hh_num!C23)</f>
        <v>1410.9983243199686</v>
      </c>
      <c r="D23" s="132">
        <f>IF(SER_hh_emi!D23=0,0,1000000*SER_hh_emi!D23/SER_hh_num!D23)</f>
        <v>1515.1599760383128</v>
      </c>
      <c r="E23" s="132">
        <f>IF(SER_hh_emi!E23=0,0,1000000*SER_hh_emi!E23/SER_hh_num!E23)</f>
        <v>745.25242319115216</v>
      </c>
      <c r="F23" s="132">
        <f>IF(SER_hh_emi!F23=0,0,1000000*SER_hh_emi!F23/SER_hh_num!F23)</f>
        <v>1158.9777951664635</v>
      </c>
      <c r="G23" s="132">
        <f>IF(SER_hh_emi!G23=0,0,1000000*SER_hh_emi!G23/SER_hh_num!G23)</f>
        <v>1030.5907947636949</v>
      </c>
      <c r="H23" s="132">
        <f>IF(SER_hh_emi!H23=0,0,1000000*SER_hh_emi!H23/SER_hh_num!H23)</f>
        <v>1699.3058393563165</v>
      </c>
      <c r="I23" s="132">
        <f>IF(SER_hh_emi!I23=0,0,1000000*SER_hh_emi!I23/SER_hh_num!I23)</f>
        <v>1465.8939567642853</v>
      </c>
      <c r="J23" s="132">
        <f>IF(SER_hh_emi!J23=0,0,1000000*SER_hh_emi!J23/SER_hh_num!J23)</f>
        <v>1377.3008079990868</v>
      </c>
      <c r="K23" s="132">
        <f>IF(SER_hh_emi!K23=0,0,1000000*SER_hh_emi!K23/SER_hh_num!K23)</f>
        <v>1398.5711106224232</v>
      </c>
      <c r="L23" s="132">
        <f>IF(SER_hh_emi!L23=0,0,1000000*SER_hh_emi!L23/SER_hh_num!L23)</f>
        <v>1371.6770539976346</v>
      </c>
      <c r="M23" s="132">
        <f>IF(SER_hh_emi!M23=0,0,1000000*SER_hh_emi!M23/SER_hh_num!M23)</f>
        <v>1299.2320134848903</v>
      </c>
      <c r="N23" s="132">
        <f>IF(SER_hh_emi!N23=0,0,1000000*SER_hh_emi!N23/SER_hh_num!N23)</f>
        <v>1282.5462500331014</v>
      </c>
      <c r="O23" s="132">
        <f>IF(SER_hh_emi!O23=0,0,1000000*SER_hh_emi!O23/SER_hh_num!O23)</f>
        <v>1276.8323660186443</v>
      </c>
      <c r="P23" s="132">
        <f>IF(SER_hh_emi!P23=0,0,1000000*SER_hh_emi!P23/SER_hh_num!P23)</f>
        <v>1414.7811635333874</v>
      </c>
      <c r="Q23" s="132">
        <f>IF(SER_hh_emi!Q23=0,0,1000000*SER_hh_emi!Q23/SER_hh_num!Q23)</f>
        <v>1138.4887079223865</v>
      </c>
      <c r="R23" s="132">
        <f>IF(SER_hh_emi!R23=0,0,1000000*SER_hh_emi!R23/SER_hh_num!R23)</f>
        <v>1113.8813438051914</v>
      </c>
      <c r="S23" s="132">
        <f>IF(SER_hh_emi!S23=0,0,1000000*SER_hh_emi!S23/SER_hh_num!S23)</f>
        <v>1105.1185494569709</v>
      </c>
      <c r="T23" s="132">
        <f>IF(SER_hh_emi!T23=0,0,1000000*SER_hh_emi!T23/SER_hh_num!T23)</f>
        <v>1093.4373327461326</v>
      </c>
      <c r="U23" s="132">
        <f>IF(SER_hh_emi!U23=0,0,1000000*SER_hh_emi!U23/SER_hh_num!U23)</f>
        <v>1079.7780391057324</v>
      </c>
      <c r="V23" s="132">
        <f>IF(SER_hh_emi!V23=0,0,1000000*SER_hh_emi!V23/SER_hh_num!V23)</f>
        <v>953.70193039856656</v>
      </c>
      <c r="W23" s="132">
        <f>IF(SER_hh_emi!W23=0,0,1000000*SER_hh_emi!W23/SER_hh_num!W23)</f>
        <v>996.82630959086714</v>
      </c>
      <c r="X23" s="132">
        <f>IF(SER_hh_emi!X23=0,0,1000000*SER_hh_emi!X23/SER_hh_num!X23)</f>
        <v>932.29266038667606</v>
      </c>
      <c r="Y23" s="132">
        <f>IF(SER_hh_emi!Y23=0,0,1000000*SER_hh_emi!Y23/SER_hh_num!Y23)</f>
        <v>909.69649655680132</v>
      </c>
      <c r="DA23" s="156" t="s">
        <v>466</v>
      </c>
    </row>
    <row r="24" spans="1:105" ht="12" customHeight="1" x14ac:dyDescent="0.25">
      <c r="A24" s="131" t="s">
        <v>128</v>
      </c>
      <c r="B24" s="132">
        <f>IF(SER_hh_emi!B24=0,0,1000000*SER_hh_emi!B24/SER_hh_num!B24)</f>
        <v>0</v>
      </c>
      <c r="C24" s="132">
        <f>IF(SER_hh_emi!C24=0,0,1000000*SER_hh_emi!C24/SER_hh_num!C24)</f>
        <v>0</v>
      </c>
      <c r="D24" s="132">
        <f>IF(SER_hh_emi!D24=0,0,1000000*SER_hh_emi!D24/SER_hh_num!D24)</f>
        <v>0</v>
      </c>
      <c r="E24" s="132">
        <f>IF(SER_hh_emi!E24=0,0,1000000*SER_hh_emi!E24/SER_hh_num!E24)</f>
        <v>0</v>
      </c>
      <c r="F24" s="132">
        <f>IF(SER_hh_emi!F24=0,0,1000000*SER_hh_emi!F24/SER_hh_num!F24)</f>
        <v>0</v>
      </c>
      <c r="G24" s="132">
        <f>IF(SER_hh_emi!G24=0,0,1000000*SER_hh_emi!G24/SER_hh_num!G24)</f>
        <v>0</v>
      </c>
      <c r="H24" s="132">
        <f>IF(SER_hh_emi!H24=0,0,1000000*SER_hh_emi!H24/SER_hh_num!H24)</f>
        <v>0</v>
      </c>
      <c r="I24" s="132">
        <f>IF(SER_hh_emi!I24=0,0,1000000*SER_hh_emi!I24/SER_hh_num!I24)</f>
        <v>0</v>
      </c>
      <c r="J24" s="132">
        <f>IF(SER_hh_emi!J24=0,0,1000000*SER_hh_emi!J24/SER_hh_num!J24)</f>
        <v>0</v>
      </c>
      <c r="K24" s="132">
        <f>IF(SER_hh_emi!K24=0,0,1000000*SER_hh_emi!K24/SER_hh_num!K24)</f>
        <v>0</v>
      </c>
      <c r="L24" s="132">
        <f>IF(SER_hh_emi!L24=0,0,1000000*SER_hh_emi!L24/SER_hh_num!L24)</f>
        <v>0</v>
      </c>
      <c r="M24" s="132">
        <f>IF(SER_hh_emi!M24=0,0,1000000*SER_hh_emi!M24/SER_hh_num!M24)</f>
        <v>0</v>
      </c>
      <c r="N24" s="132">
        <f>IF(SER_hh_emi!N24=0,0,1000000*SER_hh_emi!N24/SER_hh_num!N24)</f>
        <v>0</v>
      </c>
      <c r="O24" s="132">
        <f>IF(SER_hh_emi!O24=0,0,1000000*SER_hh_emi!O24/SER_hh_num!O24)</f>
        <v>0</v>
      </c>
      <c r="P24" s="132">
        <f>IF(SER_hh_emi!P24=0,0,1000000*SER_hh_emi!P24/SER_hh_num!P24)</f>
        <v>0</v>
      </c>
      <c r="Q24" s="132">
        <f>IF(SER_hh_emi!Q24=0,0,1000000*SER_hh_emi!Q24/SER_hh_num!Q24)</f>
        <v>0</v>
      </c>
      <c r="R24" s="132">
        <f>IF(SER_hh_emi!R24=0,0,1000000*SER_hh_emi!R24/SER_hh_num!R24)</f>
        <v>0</v>
      </c>
      <c r="S24" s="132">
        <f>IF(SER_hh_emi!S24=0,0,1000000*SER_hh_emi!S24/SER_hh_num!S24)</f>
        <v>0</v>
      </c>
      <c r="T24" s="132">
        <f>IF(SER_hh_emi!T24=0,0,1000000*SER_hh_emi!T24/SER_hh_num!T24)</f>
        <v>0</v>
      </c>
      <c r="U24" s="132">
        <f>IF(SER_hh_emi!U24=0,0,1000000*SER_hh_emi!U24/SER_hh_num!U24)</f>
        <v>0</v>
      </c>
      <c r="V24" s="132">
        <f>IF(SER_hh_emi!V24=0,0,1000000*SER_hh_emi!V24/SER_hh_num!V24)</f>
        <v>0</v>
      </c>
      <c r="W24" s="132">
        <f>IF(SER_hh_emi!W24=0,0,1000000*SER_hh_emi!W24/SER_hh_num!W24)</f>
        <v>0</v>
      </c>
      <c r="X24" s="132">
        <f>IF(SER_hh_emi!X24=0,0,1000000*SER_hh_emi!X24/SER_hh_num!X24)</f>
        <v>0</v>
      </c>
      <c r="Y24" s="132">
        <f>IF(SER_hh_emi!Y24=0,0,1000000*SER_hh_emi!Y24/SER_hh_num!Y24)</f>
        <v>0</v>
      </c>
      <c r="DA24" s="156" t="s">
        <v>467</v>
      </c>
    </row>
    <row r="25" spans="1:105" ht="12" customHeight="1" x14ac:dyDescent="0.25">
      <c r="A25" s="131" t="s">
        <v>162</v>
      </c>
      <c r="B25" s="132">
        <f>IF(SER_hh_emi!B25=0,0,1000000*SER_hh_emi!B25/SER_hh_num!B25)</f>
        <v>0</v>
      </c>
      <c r="C25" s="132">
        <f>IF(SER_hh_emi!C25=0,0,1000000*SER_hh_emi!C25/SER_hh_num!C25)</f>
        <v>0</v>
      </c>
      <c r="D25" s="132">
        <f>IF(SER_hh_emi!D25=0,0,1000000*SER_hh_emi!D25/SER_hh_num!D25)</f>
        <v>0</v>
      </c>
      <c r="E25" s="132">
        <f>IF(SER_hh_emi!E25=0,0,1000000*SER_hh_emi!E25/SER_hh_num!E25)</f>
        <v>0</v>
      </c>
      <c r="F25" s="132">
        <f>IF(SER_hh_emi!F25=0,0,1000000*SER_hh_emi!F25/SER_hh_num!F25)</f>
        <v>0</v>
      </c>
      <c r="G25" s="132">
        <f>IF(SER_hh_emi!G25=0,0,1000000*SER_hh_emi!G25/SER_hh_num!G25)</f>
        <v>0</v>
      </c>
      <c r="H25" s="132">
        <f>IF(SER_hh_emi!H25=0,0,1000000*SER_hh_emi!H25/SER_hh_num!H25)</f>
        <v>0</v>
      </c>
      <c r="I25" s="132">
        <f>IF(SER_hh_emi!I25=0,0,1000000*SER_hh_emi!I25/SER_hh_num!I25)</f>
        <v>0</v>
      </c>
      <c r="J25" s="132">
        <f>IF(SER_hh_emi!J25=0,0,1000000*SER_hh_emi!J25/SER_hh_num!J25)</f>
        <v>0</v>
      </c>
      <c r="K25" s="132">
        <f>IF(SER_hh_emi!K25=0,0,1000000*SER_hh_emi!K25/SER_hh_num!K25)</f>
        <v>0</v>
      </c>
      <c r="L25" s="132">
        <f>IF(SER_hh_emi!L25=0,0,1000000*SER_hh_emi!L25/SER_hh_num!L25)</f>
        <v>0</v>
      </c>
      <c r="M25" s="132">
        <f>IF(SER_hh_emi!M25=0,0,1000000*SER_hh_emi!M25/SER_hh_num!M25)</f>
        <v>0</v>
      </c>
      <c r="N25" s="132">
        <f>IF(SER_hh_emi!N25=0,0,1000000*SER_hh_emi!N25/SER_hh_num!N25)</f>
        <v>0</v>
      </c>
      <c r="O25" s="132">
        <f>IF(SER_hh_emi!O25=0,0,1000000*SER_hh_emi!O25/SER_hh_num!O25)</f>
        <v>0</v>
      </c>
      <c r="P25" s="132">
        <f>IF(SER_hh_emi!P25=0,0,1000000*SER_hh_emi!P25/SER_hh_num!P25)</f>
        <v>0</v>
      </c>
      <c r="Q25" s="132">
        <f>IF(SER_hh_emi!Q25=0,0,1000000*SER_hh_emi!Q25/SER_hh_num!Q25)</f>
        <v>0</v>
      </c>
      <c r="R25" s="132">
        <f>IF(SER_hh_emi!R25=0,0,1000000*SER_hh_emi!R25/SER_hh_num!R25)</f>
        <v>0</v>
      </c>
      <c r="S25" s="132">
        <f>IF(SER_hh_emi!S25=0,0,1000000*SER_hh_emi!S25/SER_hh_num!S25)</f>
        <v>0</v>
      </c>
      <c r="T25" s="132">
        <f>IF(SER_hh_emi!T25=0,0,1000000*SER_hh_emi!T25/SER_hh_num!T25)</f>
        <v>0</v>
      </c>
      <c r="U25" s="132">
        <f>IF(SER_hh_emi!U25=0,0,1000000*SER_hh_emi!U25/SER_hh_num!U25)</f>
        <v>0</v>
      </c>
      <c r="V25" s="132">
        <f>IF(SER_hh_emi!V25=0,0,1000000*SER_hh_emi!V25/SER_hh_num!V25)</f>
        <v>0</v>
      </c>
      <c r="W25" s="132">
        <f>IF(SER_hh_emi!W25=0,0,1000000*SER_hh_emi!W25/SER_hh_num!W25)</f>
        <v>0</v>
      </c>
      <c r="X25" s="132">
        <f>IF(SER_hh_emi!X25=0,0,1000000*SER_hh_emi!X25/SER_hh_num!X25)</f>
        <v>0</v>
      </c>
      <c r="Y25" s="132">
        <f>IF(SER_hh_emi!Y25=0,0,1000000*SER_hh_emi!Y25/SER_hh_num!Y25)</f>
        <v>0</v>
      </c>
      <c r="DA25" s="156" t="s">
        <v>468</v>
      </c>
    </row>
    <row r="26" spans="1:105" ht="12" customHeight="1" x14ac:dyDescent="0.25">
      <c r="A26" s="131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X26" s="65">
        <f>IF(SER_hh_emi!X26=0,0,1000000*SER_hh_emi!X26/SER_hh_num!X26)</f>
        <v>0</v>
      </c>
      <c r="Y26" s="65">
        <f>IF(SER_hh_emi!Y26=0,0,1000000*SER_hh_emi!Y26/SER_hh_num!Y26)</f>
        <v>0</v>
      </c>
      <c r="DA26" s="109" t="s">
        <v>469</v>
      </c>
    </row>
    <row r="27" spans="1:105" ht="12" customHeight="1" x14ac:dyDescent="0.25">
      <c r="A27" s="144" t="s">
        <v>86</v>
      </c>
      <c r="B27" s="145">
        <f>IF(SER_hh_emi!B27=0,0,1000000*SER_hh_emi!B27/SER_hh_num!B19)</f>
        <v>0</v>
      </c>
      <c r="C27" s="145">
        <f>IF(SER_hh_emi!C27=0,0,1000000*SER_hh_emi!C27/SER_hh_num!C19)</f>
        <v>0</v>
      </c>
      <c r="D27" s="145">
        <f>IF(SER_hh_emi!D27=0,0,1000000*SER_hh_emi!D27/SER_hh_num!D19)</f>
        <v>0</v>
      </c>
      <c r="E27" s="145">
        <f>IF(SER_hh_emi!E27=0,0,1000000*SER_hh_emi!E27/SER_hh_num!E19)</f>
        <v>0</v>
      </c>
      <c r="F27" s="145">
        <f>IF(SER_hh_emi!F27=0,0,1000000*SER_hh_emi!F27/SER_hh_num!F19)</f>
        <v>0</v>
      </c>
      <c r="G27" s="145">
        <f>IF(SER_hh_emi!G27=0,0,1000000*SER_hh_emi!G27/SER_hh_num!G19)</f>
        <v>0</v>
      </c>
      <c r="H27" s="145">
        <f>IF(SER_hh_emi!H27=0,0,1000000*SER_hh_emi!H27/SER_hh_num!H19)</f>
        <v>0</v>
      </c>
      <c r="I27" s="145">
        <f>IF(SER_hh_emi!I27=0,0,1000000*SER_hh_emi!I27/SER_hh_num!I19)</f>
        <v>0</v>
      </c>
      <c r="J27" s="145">
        <f>IF(SER_hh_emi!J27=0,0,1000000*SER_hh_emi!J27/SER_hh_num!J19)</f>
        <v>0</v>
      </c>
      <c r="K27" s="145">
        <f>IF(SER_hh_emi!K27=0,0,1000000*SER_hh_emi!K27/SER_hh_num!K19)</f>
        <v>0</v>
      </c>
      <c r="L27" s="145">
        <f>IF(SER_hh_emi!L27=0,0,1000000*SER_hh_emi!L27/SER_hh_num!L19)</f>
        <v>0</v>
      </c>
      <c r="M27" s="145">
        <f>IF(SER_hh_emi!M27=0,0,1000000*SER_hh_emi!M27/SER_hh_num!M19)</f>
        <v>0</v>
      </c>
      <c r="N27" s="145">
        <f>IF(SER_hh_emi!N27=0,0,1000000*SER_hh_emi!N27/SER_hh_num!N19)</f>
        <v>0</v>
      </c>
      <c r="O27" s="145">
        <f>IF(SER_hh_emi!O27=0,0,1000000*SER_hh_emi!O27/SER_hh_num!O19)</f>
        <v>0</v>
      </c>
      <c r="P27" s="145">
        <f>IF(SER_hh_emi!P27=0,0,1000000*SER_hh_emi!P27/SER_hh_num!P19)</f>
        <v>0</v>
      </c>
      <c r="Q27" s="145">
        <f>IF(SER_hh_emi!Q27=0,0,1000000*SER_hh_emi!Q27/SER_hh_num!Q19)</f>
        <v>0</v>
      </c>
      <c r="R27" s="145">
        <f>IF(SER_hh_emi!R27=0,0,1000000*SER_hh_emi!R27/SER_hh_num!R19)</f>
        <v>0</v>
      </c>
      <c r="S27" s="145">
        <f>IF(SER_hh_emi!S27=0,0,1000000*SER_hh_emi!S27/SER_hh_num!S19)</f>
        <v>0</v>
      </c>
      <c r="T27" s="145">
        <f>IF(SER_hh_emi!T27=0,0,1000000*SER_hh_emi!T27/SER_hh_num!T19)</f>
        <v>0</v>
      </c>
      <c r="U27" s="145">
        <f>IF(SER_hh_emi!U27=0,0,1000000*SER_hh_emi!U27/SER_hh_num!U19)</f>
        <v>0</v>
      </c>
      <c r="V27" s="145">
        <f>IF(SER_hh_emi!V27=0,0,1000000*SER_hh_emi!V27/SER_hh_num!V19)</f>
        <v>0</v>
      </c>
      <c r="W27" s="145">
        <f>IF(SER_hh_emi!W27=0,0,1000000*SER_hh_emi!W27/SER_hh_num!W19)</f>
        <v>0</v>
      </c>
      <c r="X27" s="145">
        <f>IF(SER_hh_emi!X27=0,0,1000000*SER_hh_emi!X27/SER_hh_num!X19)</f>
        <v>0</v>
      </c>
      <c r="Y27" s="145">
        <f>IF(SER_hh_emi!Y27=0,0,1000000*SER_hh_emi!Y27/SER_hh_num!Y19)</f>
        <v>0</v>
      </c>
      <c r="DA27" s="158" t="s">
        <v>470</v>
      </c>
    </row>
    <row r="28" spans="1:105" ht="12" customHeight="1" x14ac:dyDescent="0.25">
      <c r="A28" s="78" t="s">
        <v>85</v>
      </c>
      <c r="B28" s="146">
        <f>IF(SER_hh_emi!B27=0,0,1000000*SER_hh_emi!B27/SER_hh_num!B27)</f>
        <v>0</v>
      </c>
      <c r="C28" s="146">
        <f>IF(SER_hh_emi!C27=0,0,1000000*SER_hh_emi!C27/SER_hh_num!C27)</f>
        <v>0</v>
      </c>
      <c r="D28" s="146">
        <f>IF(SER_hh_emi!D27=0,0,1000000*SER_hh_emi!D27/SER_hh_num!D27)</f>
        <v>0</v>
      </c>
      <c r="E28" s="146">
        <f>IF(SER_hh_emi!E27=0,0,1000000*SER_hh_emi!E27/SER_hh_num!E27)</f>
        <v>0</v>
      </c>
      <c r="F28" s="146">
        <f>IF(SER_hh_emi!F27=0,0,1000000*SER_hh_emi!F27/SER_hh_num!F27)</f>
        <v>0</v>
      </c>
      <c r="G28" s="146">
        <f>IF(SER_hh_emi!G27=0,0,1000000*SER_hh_emi!G27/SER_hh_num!G27)</f>
        <v>0</v>
      </c>
      <c r="H28" s="146">
        <f>IF(SER_hh_emi!H27=0,0,1000000*SER_hh_emi!H27/SER_hh_num!H27)</f>
        <v>0</v>
      </c>
      <c r="I28" s="146">
        <f>IF(SER_hh_emi!I27=0,0,1000000*SER_hh_emi!I27/SER_hh_num!I27)</f>
        <v>0</v>
      </c>
      <c r="J28" s="146">
        <f>IF(SER_hh_emi!J27=0,0,1000000*SER_hh_emi!J27/SER_hh_num!J27)</f>
        <v>0</v>
      </c>
      <c r="K28" s="146">
        <f>IF(SER_hh_emi!K27=0,0,1000000*SER_hh_emi!K27/SER_hh_num!K27)</f>
        <v>0</v>
      </c>
      <c r="L28" s="146">
        <f>IF(SER_hh_emi!L27=0,0,1000000*SER_hh_emi!L27/SER_hh_num!L27)</f>
        <v>0</v>
      </c>
      <c r="M28" s="146">
        <f>IF(SER_hh_emi!M27=0,0,1000000*SER_hh_emi!M27/SER_hh_num!M27)</f>
        <v>0</v>
      </c>
      <c r="N28" s="146">
        <f>IF(SER_hh_emi!N27=0,0,1000000*SER_hh_emi!N27/SER_hh_num!N27)</f>
        <v>0</v>
      </c>
      <c r="O28" s="146">
        <f>IF(SER_hh_emi!O27=0,0,1000000*SER_hh_emi!O27/SER_hh_num!O27)</f>
        <v>0</v>
      </c>
      <c r="P28" s="146">
        <f>IF(SER_hh_emi!P27=0,0,1000000*SER_hh_emi!P27/SER_hh_num!P27)</f>
        <v>0</v>
      </c>
      <c r="Q28" s="146">
        <f>IF(SER_hh_emi!Q27=0,0,1000000*SER_hh_emi!Q27/SER_hh_num!Q27)</f>
        <v>0</v>
      </c>
      <c r="R28" s="146">
        <f>IF(SER_hh_emi!R27=0,0,1000000*SER_hh_emi!R27/SER_hh_num!R27)</f>
        <v>0</v>
      </c>
      <c r="S28" s="146">
        <f>IF(SER_hh_emi!S27=0,0,1000000*SER_hh_emi!S27/SER_hh_num!S27)</f>
        <v>0</v>
      </c>
      <c r="T28" s="146">
        <f>IF(SER_hh_emi!T27=0,0,1000000*SER_hh_emi!T27/SER_hh_num!T27)</f>
        <v>0</v>
      </c>
      <c r="U28" s="146">
        <f>IF(SER_hh_emi!U27=0,0,1000000*SER_hh_emi!U27/SER_hh_num!U27)</f>
        <v>0</v>
      </c>
      <c r="V28" s="146">
        <f>IF(SER_hh_emi!V27=0,0,1000000*SER_hh_emi!V27/SER_hh_num!V27)</f>
        <v>0</v>
      </c>
      <c r="W28" s="146">
        <f>IF(SER_hh_emi!W27=0,0,1000000*SER_hh_emi!W27/SER_hh_num!W27)</f>
        <v>0</v>
      </c>
      <c r="X28" s="146">
        <f>IF(SER_hh_emi!X27=0,0,1000000*SER_hh_emi!X27/SER_hh_num!X27)</f>
        <v>0</v>
      </c>
      <c r="Y28" s="146">
        <f>IF(SER_hh_emi!Y27=0,0,1000000*SER_hh_emi!Y27/SER_hh_num!Y27)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IF(SER_hh_emi!B29=0,0,1000000*SER_hh_emi!B29/SER_hh_num!B29)</f>
        <v>480.89545641493157</v>
      </c>
      <c r="C29" s="130">
        <f>IF(SER_hh_emi!C29=0,0,1000000*SER_hh_emi!C29/SER_hh_num!C29)</f>
        <v>541.2052606049898</v>
      </c>
      <c r="D29" s="130">
        <f>IF(SER_hh_emi!D29=0,0,1000000*SER_hh_emi!D29/SER_hh_num!D29)</f>
        <v>495.21984434309149</v>
      </c>
      <c r="E29" s="130">
        <f>IF(SER_hh_emi!E29=0,0,1000000*SER_hh_emi!E29/SER_hh_num!E29)</f>
        <v>447.2275236798331</v>
      </c>
      <c r="F29" s="130">
        <f>IF(SER_hh_emi!F29=0,0,1000000*SER_hh_emi!F29/SER_hh_num!F29)</f>
        <v>558.73985194348086</v>
      </c>
      <c r="G29" s="130">
        <f>IF(SER_hh_emi!G29=0,0,1000000*SER_hh_emi!G29/SER_hh_num!G29)</f>
        <v>551.87339617491216</v>
      </c>
      <c r="H29" s="130">
        <f>IF(SER_hh_emi!H29=0,0,1000000*SER_hh_emi!H29/SER_hh_num!H29)</f>
        <v>559.57162946376457</v>
      </c>
      <c r="I29" s="130">
        <f>IF(SER_hh_emi!I29=0,0,1000000*SER_hh_emi!I29/SER_hh_num!I29)</f>
        <v>556.32419029859432</v>
      </c>
      <c r="J29" s="130">
        <f>IF(SER_hh_emi!J29=0,0,1000000*SER_hh_emi!J29/SER_hh_num!J29)</f>
        <v>575.88810555510918</v>
      </c>
      <c r="K29" s="130">
        <f>IF(SER_hh_emi!K29=0,0,1000000*SER_hh_emi!K29/SER_hh_num!K29)</f>
        <v>565.20360933587017</v>
      </c>
      <c r="L29" s="130">
        <f>IF(SER_hh_emi!L29=0,0,1000000*SER_hh_emi!L29/SER_hh_num!L29)</f>
        <v>579.30012489954493</v>
      </c>
      <c r="M29" s="130">
        <f>IF(SER_hh_emi!M29=0,0,1000000*SER_hh_emi!M29/SER_hh_num!M29)</f>
        <v>581.9577926482973</v>
      </c>
      <c r="N29" s="130">
        <f>IF(SER_hh_emi!N29=0,0,1000000*SER_hh_emi!N29/SER_hh_num!N29)</f>
        <v>604.25140186278134</v>
      </c>
      <c r="O29" s="130">
        <f>IF(SER_hh_emi!O29=0,0,1000000*SER_hh_emi!O29/SER_hh_num!O29)</f>
        <v>670.60374899156045</v>
      </c>
      <c r="P29" s="130">
        <f>IF(SER_hh_emi!P29=0,0,1000000*SER_hh_emi!P29/SER_hh_num!P29)</f>
        <v>1024.5319474181051</v>
      </c>
      <c r="Q29" s="130">
        <f>IF(SER_hh_emi!Q29=0,0,1000000*SER_hh_emi!Q29/SER_hh_num!Q29)</f>
        <v>1152.2905807269833</v>
      </c>
      <c r="R29" s="130">
        <f>IF(SER_hh_emi!R29=0,0,1000000*SER_hh_emi!R29/SER_hh_num!R29)</f>
        <v>1205.3424815209582</v>
      </c>
      <c r="S29" s="130">
        <f>IF(SER_hh_emi!S29=0,0,1000000*SER_hh_emi!S29/SER_hh_num!S29)</f>
        <v>1166.933672294246</v>
      </c>
      <c r="T29" s="130">
        <f>IF(SER_hh_emi!T29=0,0,1000000*SER_hh_emi!T29/SER_hh_num!T29)</f>
        <v>1049.8359576502539</v>
      </c>
      <c r="U29" s="130">
        <f>IF(SER_hh_emi!U29=0,0,1000000*SER_hh_emi!U29/SER_hh_num!U29)</f>
        <v>1040.0233685366418</v>
      </c>
      <c r="V29" s="130">
        <f>IF(SER_hh_emi!V29=0,0,1000000*SER_hh_emi!V29/SER_hh_num!V29)</f>
        <v>1031.8651795890373</v>
      </c>
      <c r="W29" s="130">
        <f>IF(SER_hh_emi!W29=0,0,1000000*SER_hh_emi!W29/SER_hh_num!W29)</f>
        <v>1013.4196054897693</v>
      </c>
      <c r="X29" s="130">
        <f>IF(SER_hh_emi!X29=0,0,1000000*SER_hh_emi!X29/SER_hh_num!X29)</f>
        <v>897.62779722933988</v>
      </c>
      <c r="Y29" s="130">
        <f>IF(SER_hh_emi!Y29=0,0,1000000*SER_hh_emi!Y29/SER_hh_num!Y29)</f>
        <v>904.8760061547531</v>
      </c>
      <c r="DA29" s="155" t="s">
        <v>471</v>
      </c>
    </row>
    <row r="30" spans="1:105" ht="12" customHeight="1" x14ac:dyDescent="0.25">
      <c r="A30" s="131" t="s">
        <v>52</v>
      </c>
      <c r="B30" s="132">
        <f>IF(SER_hh_emi!B30=0,0,1000000*SER_hh_emi!B30/SER_hh_num!B30)</f>
        <v>1710.9925861307945</v>
      </c>
      <c r="C30" s="132">
        <f>IF(SER_hh_emi!C30=0,0,1000000*SER_hh_emi!C30/SER_hh_num!C30)</f>
        <v>1810.1624141808536</v>
      </c>
      <c r="D30" s="132">
        <f>IF(SER_hh_emi!D30=0,0,1000000*SER_hh_emi!D30/SER_hh_num!D30)</f>
        <v>1750.4138626885624</v>
      </c>
      <c r="E30" s="132">
        <f>IF(SER_hh_emi!E30=0,0,1000000*SER_hh_emi!E30/SER_hh_num!E30)</f>
        <v>1700.2122480872272</v>
      </c>
      <c r="F30" s="132">
        <f>IF(SER_hh_emi!F30=0,0,1000000*SER_hh_emi!F30/SER_hh_num!F30)</f>
        <v>1842.4484580289438</v>
      </c>
      <c r="G30" s="132">
        <f>IF(SER_hh_emi!G30=0,0,1000000*SER_hh_emi!G30/SER_hh_num!G30)</f>
        <v>1797.4366720281689</v>
      </c>
      <c r="H30" s="132">
        <f>IF(SER_hh_emi!H30=0,0,1000000*SER_hh_emi!H30/SER_hh_num!H30)</f>
        <v>1751.6641758020494</v>
      </c>
      <c r="I30" s="132">
        <f>IF(SER_hh_emi!I30=0,0,1000000*SER_hh_emi!I30/SER_hh_num!I30)</f>
        <v>1889.9311724681024</v>
      </c>
      <c r="J30" s="132">
        <f>IF(SER_hh_emi!J30=0,0,1000000*SER_hh_emi!J30/SER_hh_num!J30)</f>
        <v>2037.3278581592817</v>
      </c>
      <c r="K30" s="132">
        <f>IF(SER_hh_emi!K30=0,0,1000000*SER_hh_emi!K30/SER_hh_num!K30)</f>
        <v>1915.0880068726258</v>
      </c>
      <c r="L30" s="132">
        <f>IF(SER_hh_emi!L30=0,0,1000000*SER_hh_emi!L30/SER_hh_num!L30)</f>
        <v>1999.1455861775485</v>
      </c>
      <c r="M30" s="132">
        <f>IF(SER_hh_emi!M30=0,0,1000000*SER_hh_emi!M30/SER_hh_num!M30)</f>
        <v>1976.9784015766372</v>
      </c>
      <c r="N30" s="132">
        <f>IF(SER_hh_emi!N30=0,0,1000000*SER_hh_emi!N30/SER_hh_num!N30)</f>
        <v>2008.7980772167671</v>
      </c>
      <c r="O30" s="132">
        <f>IF(SER_hh_emi!O30=0,0,1000000*SER_hh_emi!O30/SER_hh_num!O30)</f>
        <v>2008.4521098663031</v>
      </c>
      <c r="P30" s="132">
        <f>IF(SER_hh_emi!P30=0,0,1000000*SER_hh_emi!P30/SER_hh_num!P30)</f>
        <v>1384.4018406519472</v>
      </c>
      <c r="Q30" s="132">
        <f>IF(SER_hh_emi!Q30=0,0,1000000*SER_hh_emi!Q30/SER_hh_num!Q30)</f>
        <v>1901.8997961680964</v>
      </c>
      <c r="R30" s="132">
        <f>IF(SER_hh_emi!R30=0,0,1000000*SER_hh_emi!R30/SER_hh_num!R30)</f>
        <v>2368.9374549776926</v>
      </c>
      <c r="S30" s="132">
        <f>IF(SER_hh_emi!S30=0,0,1000000*SER_hh_emi!S30/SER_hh_num!S30)</f>
        <v>1844.8235423838512</v>
      </c>
      <c r="T30" s="132">
        <f>IF(SER_hh_emi!T30=0,0,1000000*SER_hh_emi!T30/SER_hh_num!T30)</f>
        <v>2178.065232543664</v>
      </c>
      <c r="U30" s="132">
        <f>IF(SER_hh_emi!U30=0,0,1000000*SER_hh_emi!U30/SER_hh_num!U30)</f>
        <v>2097.9523672268665</v>
      </c>
      <c r="V30" s="132">
        <f>IF(SER_hh_emi!V30=0,0,1000000*SER_hh_emi!V30/SER_hh_num!V30)</f>
        <v>1450.2766740104003</v>
      </c>
      <c r="W30" s="132">
        <f>IF(SER_hh_emi!W30=0,0,1000000*SER_hh_emi!W30/SER_hh_num!W30)</f>
        <v>1655.6078352554264</v>
      </c>
      <c r="X30" s="132">
        <f>IF(SER_hh_emi!X30=0,0,1000000*SER_hh_emi!X30/SER_hh_num!X30)</f>
        <v>1759.8242908961638</v>
      </c>
      <c r="Y30" s="132">
        <f>IF(SER_hh_emi!Y30=0,0,1000000*SER_hh_emi!Y30/SER_hh_num!Y30)</f>
        <v>2238.0327497554604</v>
      </c>
      <c r="DA30" s="156" t="s">
        <v>472</v>
      </c>
    </row>
    <row r="31" spans="1:105" ht="12" customHeight="1" x14ac:dyDescent="0.25">
      <c r="A31" s="131" t="s">
        <v>149</v>
      </c>
      <c r="B31" s="132">
        <f>IF(SER_hh_emi!B31=0,0,1000000*SER_hh_emi!B31/SER_hh_num!B31)</f>
        <v>1405.0241832112561</v>
      </c>
      <c r="C31" s="132">
        <f>IF(SER_hh_emi!C31=0,0,1000000*SER_hh_emi!C31/SER_hh_num!C31)</f>
        <v>1647.8712245058573</v>
      </c>
      <c r="D31" s="132">
        <f>IF(SER_hh_emi!D31=0,0,1000000*SER_hh_emi!D31/SER_hh_num!D31)</f>
        <v>1421.0426991190752</v>
      </c>
      <c r="E31" s="132">
        <f>IF(SER_hh_emi!E31=0,0,1000000*SER_hh_emi!E31/SER_hh_num!E31)</f>
        <v>1142.6541769126873</v>
      </c>
      <c r="F31" s="132">
        <f>IF(SER_hh_emi!F31=0,0,1000000*SER_hh_emi!F31/SER_hh_num!F31)</f>
        <v>1570.6913229344989</v>
      </c>
      <c r="G31" s="132">
        <f>IF(SER_hh_emi!G31=0,0,1000000*SER_hh_emi!G31/SER_hh_num!G31)</f>
        <v>1557.4506261374149</v>
      </c>
      <c r="H31" s="132">
        <f>IF(SER_hh_emi!H31=0,0,1000000*SER_hh_emi!H31/SER_hh_num!H31)</f>
        <v>1652.9933413606136</v>
      </c>
      <c r="I31" s="132">
        <f>IF(SER_hh_emi!I31=0,0,1000000*SER_hh_emi!I31/SER_hh_num!I31)</f>
        <v>1623.945957093694</v>
      </c>
      <c r="J31" s="132">
        <f>IF(SER_hh_emi!J31=0,0,1000000*SER_hh_emi!J31/SER_hh_num!J31)</f>
        <v>1689.1000960504875</v>
      </c>
      <c r="K31" s="132">
        <f>IF(SER_hh_emi!K31=0,0,1000000*SER_hh_emi!K31/SER_hh_num!K31)</f>
        <v>1684.5410504689585</v>
      </c>
      <c r="L31" s="132">
        <f>IF(SER_hh_emi!L31=0,0,1000000*SER_hh_emi!L31/SER_hh_num!L31)</f>
        <v>1720.6874114028092</v>
      </c>
      <c r="M31" s="132">
        <f>IF(SER_hh_emi!M31=0,0,1000000*SER_hh_emi!M31/SER_hh_num!M31)</f>
        <v>1679.0770072961188</v>
      </c>
      <c r="N31" s="132">
        <f>IF(SER_hh_emi!N31=0,0,1000000*SER_hh_emi!N31/SER_hh_num!N31)</f>
        <v>1530.3063320543392</v>
      </c>
      <c r="O31" s="132">
        <f>IF(SER_hh_emi!O31=0,0,1000000*SER_hh_emi!O31/SER_hh_num!O31)</f>
        <v>1401.7963525972868</v>
      </c>
      <c r="P31" s="132">
        <f>IF(SER_hh_emi!P31=0,0,1000000*SER_hh_emi!P31/SER_hh_num!P31)</f>
        <v>1873.4723833137293</v>
      </c>
      <c r="Q31" s="132">
        <f>IF(SER_hh_emi!Q31=0,0,1000000*SER_hh_emi!Q31/SER_hh_num!Q31)</f>
        <v>1784.43840148609</v>
      </c>
      <c r="R31" s="132">
        <f>IF(SER_hh_emi!R31=0,0,1000000*SER_hh_emi!R31/SER_hh_num!R31)</f>
        <v>1731.6677584702541</v>
      </c>
      <c r="S31" s="132">
        <f>IF(SER_hh_emi!S31=0,0,1000000*SER_hh_emi!S31/SER_hh_num!S31)</f>
        <v>1738.4338767626618</v>
      </c>
      <c r="T31" s="132">
        <f>IF(SER_hh_emi!T31=0,0,1000000*SER_hh_emi!T31/SER_hh_num!T31)</f>
        <v>1575.023203054292</v>
      </c>
      <c r="U31" s="132">
        <f>IF(SER_hh_emi!U31=0,0,1000000*SER_hh_emi!U31/SER_hh_num!U31)</f>
        <v>1629.8751035149378</v>
      </c>
      <c r="V31" s="132">
        <f>IF(SER_hh_emi!V31=0,0,1000000*SER_hh_emi!V31/SER_hh_num!V31)</f>
        <v>1712.4192644474349</v>
      </c>
      <c r="W31" s="132">
        <f>IF(SER_hh_emi!W31=0,0,1000000*SER_hh_emi!W31/SER_hh_num!W31)</f>
        <v>1724.2131120788104</v>
      </c>
      <c r="X31" s="132">
        <f>IF(SER_hh_emi!X31=0,0,1000000*SER_hh_emi!X31/SER_hh_num!X31)</f>
        <v>1583.4743908247522</v>
      </c>
      <c r="Y31" s="132">
        <f>IF(SER_hh_emi!Y31=0,0,1000000*SER_hh_emi!Y31/SER_hh_num!Y31)</f>
        <v>1629.5621658736038</v>
      </c>
      <c r="DA31" s="156" t="s">
        <v>473</v>
      </c>
    </row>
    <row r="32" spans="1:105" ht="12" customHeight="1" x14ac:dyDescent="0.25">
      <c r="A32" s="131" t="s">
        <v>128</v>
      </c>
      <c r="B32" s="132">
        <f>IF(SER_hh_emi!B32=0,0,1000000*SER_hh_emi!B32/SER_hh_num!B32)</f>
        <v>0</v>
      </c>
      <c r="C32" s="132">
        <f>IF(SER_hh_emi!C32=0,0,1000000*SER_hh_emi!C32/SER_hh_num!C32)</f>
        <v>0</v>
      </c>
      <c r="D32" s="132">
        <f>IF(SER_hh_emi!D32=0,0,1000000*SER_hh_emi!D32/SER_hh_num!D32)</f>
        <v>0</v>
      </c>
      <c r="E32" s="132">
        <f>IF(SER_hh_emi!E32=0,0,1000000*SER_hh_emi!E32/SER_hh_num!E32)</f>
        <v>0</v>
      </c>
      <c r="F32" s="132">
        <f>IF(SER_hh_emi!F32=0,0,1000000*SER_hh_emi!F32/SER_hh_num!F32)</f>
        <v>0</v>
      </c>
      <c r="G32" s="132">
        <f>IF(SER_hh_emi!G32=0,0,1000000*SER_hh_emi!G32/SER_hh_num!G32)</f>
        <v>0</v>
      </c>
      <c r="H32" s="132">
        <f>IF(SER_hh_emi!H32=0,0,1000000*SER_hh_emi!H32/SER_hh_num!H32)</f>
        <v>0</v>
      </c>
      <c r="I32" s="132">
        <f>IF(SER_hh_emi!I32=0,0,1000000*SER_hh_emi!I32/SER_hh_num!I32)</f>
        <v>0</v>
      </c>
      <c r="J32" s="132">
        <f>IF(SER_hh_emi!J32=0,0,1000000*SER_hh_emi!J32/SER_hh_num!J32)</f>
        <v>0</v>
      </c>
      <c r="K32" s="132">
        <f>IF(SER_hh_emi!K32=0,0,1000000*SER_hh_emi!K32/SER_hh_num!K32)</f>
        <v>0</v>
      </c>
      <c r="L32" s="132">
        <f>IF(SER_hh_emi!L32=0,0,1000000*SER_hh_emi!L32/SER_hh_num!L32)</f>
        <v>0</v>
      </c>
      <c r="M32" s="132">
        <f>IF(SER_hh_emi!M32=0,0,1000000*SER_hh_emi!M32/SER_hh_num!M32)</f>
        <v>0</v>
      </c>
      <c r="N32" s="132">
        <f>IF(SER_hh_emi!N32=0,0,1000000*SER_hh_emi!N32/SER_hh_num!N32)</f>
        <v>0</v>
      </c>
      <c r="O32" s="132">
        <f>IF(SER_hh_emi!O32=0,0,1000000*SER_hh_emi!O32/SER_hh_num!O32)</f>
        <v>0</v>
      </c>
      <c r="P32" s="132">
        <f>IF(SER_hh_emi!P32=0,0,1000000*SER_hh_emi!P32/SER_hh_num!P32)</f>
        <v>0</v>
      </c>
      <c r="Q32" s="132">
        <f>IF(SER_hh_emi!Q32=0,0,1000000*SER_hh_emi!Q32/SER_hh_num!Q32)</f>
        <v>0</v>
      </c>
      <c r="R32" s="132">
        <f>IF(SER_hh_emi!R32=0,0,1000000*SER_hh_emi!R32/SER_hh_num!R32)</f>
        <v>0</v>
      </c>
      <c r="S32" s="132">
        <f>IF(SER_hh_emi!S32=0,0,1000000*SER_hh_emi!S32/SER_hh_num!S32)</f>
        <v>0</v>
      </c>
      <c r="T32" s="132">
        <f>IF(SER_hh_emi!T32=0,0,1000000*SER_hh_emi!T32/SER_hh_num!T32)</f>
        <v>0</v>
      </c>
      <c r="U32" s="132">
        <f>IF(SER_hh_emi!U32=0,0,1000000*SER_hh_emi!U32/SER_hh_num!U32)</f>
        <v>0</v>
      </c>
      <c r="V32" s="132">
        <f>IF(SER_hh_emi!V32=0,0,1000000*SER_hh_emi!V32/SER_hh_num!V32)</f>
        <v>0</v>
      </c>
      <c r="W32" s="132">
        <f>IF(SER_hh_emi!W32=0,0,1000000*SER_hh_emi!W32/SER_hh_num!W32)</f>
        <v>0</v>
      </c>
      <c r="X32" s="132">
        <f>IF(SER_hh_emi!X32=0,0,1000000*SER_hh_emi!X32/SER_hh_num!X32)</f>
        <v>0</v>
      </c>
      <c r="Y32" s="132">
        <f>IF(SER_hh_emi!Y32=0,0,1000000*SER_hh_emi!Y32/SER_hh_num!Y32)</f>
        <v>0</v>
      </c>
      <c r="DA32" s="156" t="s">
        <v>474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X33" s="68">
        <f>IF(SER_hh_emi!X33=0,0,1000000*SER_hh_emi!X33/SER_hh_num!X33)</f>
        <v>0</v>
      </c>
      <c r="Y33" s="68">
        <f>IF(SER_hh_emi!Y33=0,0,1000000*SER_hh_emi!Y33/SER_hh_num!Y33)</f>
        <v>0</v>
      </c>
      <c r="DA33" s="111" t="s">
        <v>475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>
        <f>IF(SER_hh_fech!B3=0,0,SER_hh_fech!B3/SER_summary!B$26)</f>
        <v>29.748835967746363</v>
      </c>
      <c r="C3" s="125">
        <f>IF(SER_hh_fech!C3=0,0,SER_hh_fech!C3/SER_summary!C$26)</f>
        <v>29.880867973601159</v>
      </c>
      <c r="D3" s="125">
        <f>IF(SER_hh_fech!D3=0,0,SER_hh_fech!D3/SER_summary!D$26)</f>
        <v>28.951402864439409</v>
      </c>
      <c r="E3" s="125">
        <f>IF(SER_hh_fech!E3=0,0,SER_hh_fech!E3/SER_summary!E$26)</f>
        <v>27.087514509658678</v>
      </c>
      <c r="F3" s="125">
        <f>IF(SER_hh_fech!F3=0,0,SER_hh_fech!F3/SER_summary!F$26)</f>
        <v>28.87180012402284</v>
      </c>
      <c r="G3" s="125">
        <f>IF(SER_hh_fech!G3=0,0,SER_hh_fech!G3/SER_summary!G$26)</f>
        <v>30.674032662123992</v>
      </c>
      <c r="H3" s="125">
        <f>IF(SER_hh_fech!H3=0,0,SER_hh_fech!H3/SER_summary!H$26)</f>
        <v>40.386403219097303</v>
      </c>
      <c r="I3" s="125">
        <f>IF(SER_hh_fech!I3=0,0,SER_hh_fech!I3/SER_summary!I$26)</f>
        <v>32.287411601417602</v>
      </c>
      <c r="J3" s="125">
        <f>IF(SER_hh_fech!J3=0,0,SER_hh_fech!J3/SER_summary!J$26)</f>
        <v>32.406956930279499</v>
      </c>
      <c r="K3" s="125">
        <f>IF(SER_hh_fech!K3=0,0,SER_hh_fech!K3/SER_summary!K$26)</f>
        <v>34.586728746617553</v>
      </c>
      <c r="L3" s="125">
        <f>IF(SER_hh_fech!L3=0,0,SER_hh_fech!L3/SER_summary!L$26)</f>
        <v>37.632981437744796</v>
      </c>
      <c r="M3" s="125">
        <f>IF(SER_hh_fech!M3=0,0,SER_hh_fech!M3/SER_summary!M$26)</f>
        <v>37.201984202630143</v>
      </c>
      <c r="N3" s="125">
        <f>IF(SER_hh_fech!N3=0,0,SER_hh_fech!N3/SER_summary!N$26)</f>
        <v>34.306436642901673</v>
      </c>
      <c r="O3" s="125">
        <f>IF(SER_hh_fech!O3=0,0,SER_hh_fech!O3/SER_summary!O$26)</f>
        <v>32.071647418853878</v>
      </c>
      <c r="P3" s="125">
        <f>IF(SER_hh_fech!P3=0,0,SER_hh_fech!P3/SER_summary!P$26)</f>
        <v>26.762402289590678</v>
      </c>
      <c r="Q3" s="125">
        <f>IF(SER_hh_fech!Q3=0,0,SER_hh_fech!Q3/SER_summary!Q$26)</f>
        <v>27.481249001240961</v>
      </c>
      <c r="R3" s="125">
        <f>IF(SER_hh_fech!R3=0,0,SER_hh_fech!R3/SER_summary!R$26)</f>
        <v>27.681752681477906</v>
      </c>
      <c r="S3" s="125">
        <f>IF(SER_hh_fech!S3=0,0,SER_hh_fech!S3/SER_summary!S$26)</f>
        <v>28.942493975878033</v>
      </c>
      <c r="T3" s="125">
        <f>IF(SER_hh_fech!T3=0,0,SER_hh_fech!T3/SER_summary!T$26)</f>
        <v>29.117144120921722</v>
      </c>
      <c r="U3" s="125">
        <f>IF(SER_hh_fech!U3=0,0,SER_hh_fech!U3/SER_summary!U$26)</f>
        <v>29.004601416107779</v>
      </c>
      <c r="V3" s="125">
        <f>IF(SER_hh_fech!V3=0,0,SER_hh_fech!V3/SER_summary!V$26)</f>
        <v>26.191509651697832</v>
      </c>
      <c r="W3" s="125">
        <f>IF(SER_hh_fech!W3=0,0,SER_hh_fech!W3/SER_summary!W$26)</f>
        <v>28.378242468215777</v>
      </c>
      <c r="X3" s="125">
        <f>IF(SER_hh_fech!X3=0,0,SER_hh_fech!X3/SER_summary!X$26)</f>
        <v>27.642470479946816</v>
      </c>
      <c r="Y3" s="125">
        <f>IF(SER_hh_fech!Y3=0,0,SER_hh_fech!Y3/SER_summary!Y$26)</f>
        <v>27.898402554354803</v>
      </c>
      <c r="DA3" s="154" t="s">
        <v>477</v>
      </c>
    </row>
    <row r="4" spans="1:105" ht="12.95" customHeight="1" x14ac:dyDescent="0.25">
      <c r="A4" s="129" t="s">
        <v>32</v>
      </c>
      <c r="B4" s="130">
        <f>IF(SER_hh_fech!B4=0,0,SER_hh_fech!B4/SER_summary!B$26)</f>
        <v>14.104980793805108</v>
      </c>
      <c r="C4" s="130">
        <f>IF(SER_hh_fech!C4=0,0,SER_hh_fech!C4/SER_summary!C$26)</f>
        <v>13.622951331324623</v>
      </c>
      <c r="D4" s="130">
        <f>IF(SER_hh_fech!D4=0,0,SER_hh_fech!D4/SER_summary!D$26)</f>
        <v>12.856326732627672</v>
      </c>
      <c r="E4" s="130">
        <f>IF(SER_hh_fech!E4=0,0,SER_hh_fech!E4/SER_summary!E$26)</f>
        <v>10.590272599017942</v>
      </c>
      <c r="F4" s="130">
        <f>IF(SER_hh_fech!F4=0,0,SER_hh_fech!F4/SER_summary!F$26)</f>
        <v>11.782941759623766</v>
      </c>
      <c r="G4" s="130">
        <f>IF(SER_hh_fech!G4=0,0,SER_hh_fech!G4/SER_summary!G$26)</f>
        <v>13.34031289123952</v>
      </c>
      <c r="H4" s="130">
        <f>IF(SER_hh_fech!H4=0,0,SER_hh_fech!H4/SER_summary!H$26)</f>
        <v>21.876428420209489</v>
      </c>
      <c r="I4" s="130">
        <f>IF(SER_hh_fech!I4=0,0,SER_hh_fech!I4/SER_summary!I$26)</f>
        <v>14.42963871358228</v>
      </c>
      <c r="J4" s="130">
        <f>IF(SER_hh_fech!J4=0,0,SER_hh_fech!J4/SER_summary!J$26)</f>
        <v>14.067804330681442</v>
      </c>
      <c r="K4" s="130">
        <f>IF(SER_hh_fech!K4=0,0,SER_hh_fech!K4/SER_summary!K$26)</f>
        <v>14.979496337969509</v>
      </c>
      <c r="L4" s="130">
        <f>IF(SER_hh_fech!L4=0,0,SER_hh_fech!L4/SER_summary!L$26)</f>
        <v>17.907536691177899</v>
      </c>
      <c r="M4" s="130">
        <f>IF(SER_hh_fech!M4=0,0,SER_hh_fech!M4/SER_summary!M$26)</f>
        <v>17.726975316304934</v>
      </c>
      <c r="N4" s="130">
        <f>IF(SER_hh_fech!N4=0,0,SER_hh_fech!N4/SER_summary!N$26)</f>
        <v>14.337989895911418</v>
      </c>
      <c r="O4" s="130">
        <f>IF(SER_hh_fech!O4=0,0,SER_hh_fech!O4/SER_summary!O$26)</f>
        <v>12.794321910524769</v>
      </c>
      <c r="P4" s="130">
        <f>IF(SER_hh_fech!P4=0,0,SER_hh_fech!P4/SER_summary!P$26)</f>
        <v>7.6537206501212918</v>
      </c>
      <c r="Q4" s="130">
        <f>IF(SER_hh_fech!Q4=0,0,SER_hh_fech!Q4/SER_summary!Q$26)</f>
        <v>7.1553303471927707</v>
      </c>
      <c r="R4" s="130">
        <f>IF(SER_hh_fech!R4=0,0,SER_hh_fech!R4/SER_summary!R$26)</f>
        <v>7.9232178156394024</v>
      </c>
      <c r="S4" s="130">
        <f>IF(SER_hh_fech!S4=0,0,SER_hh_fech!S4/SER_summary!S$26)</f>
        <v>8.6751235586713413</v>
      </c>
      <c r="T4" s="130">
        <f>IF(SER_hh_fech!T4=0,0,SER_hh_fech!T4/SER_summary!T$26)</f>
        <v>10.167907204685475</v>
      </c>
      <c r="U4" s="130">
        <f>IF(SER_hh_fech!U4=0,0,SER_hh_fech!U4/SER_summary!U$26)</f>
        <v>10.041272366539781</v>
      </c>
      <c r="V4" s="130">
        <f>IF(SER_hh_fech!V4=0,0,SER_hh_fech!V4/SER_summary!V$26)</f>
        <v>9.1150684297676552</v>
      </c>
      <c r="W4" s="130">
        <f>IF(SER_hh_fech!W4=0,0,SER_hh_fech!W4/SER_summary!W$26)</f>
        <v>10.577894702618178</v>
      </c>
      <c r="X4" s="130">
        <f>IF(SER_hh_fech!X4=0,0,SER_hh_fech!X4/SER_summary!X$26)</f>
        <v>10.108865994457032</v>
      </c>
      <c r="Y4" s="130">
        <f>IF(SER_hh_fech!Y4=0,0,SER_hh_fech!Y4/SER_summary!Y$26)</f>
        <v>9.4239753611826114</v>
      </c>
      <c r="DA4" s="155" t="s">
        <v>478</v>
      </c>
    </row>
    <row r="5" spans="1:105" ht="12" customHeight="1" x14ac:dyDescent="0.25">
      <c r="A5" s="131" t="s">
        <v>29</v>
      </c>
      <c r="B5" s="132">
        <f>IF(SER_hh_fech!B5=0,0,SER_hh_fech!B5/SER_summary!B$26)</f>
        <v>0</v>
      </c>
      <c r="C5" s="132">
        <f>IF(SER_hh_fech!C5=0,0,SER_hh_fech!C5/SER_summary!C$26)</f>
        <v>0</v>
      </c>
      <c r="D5" s="132">
        <f>IF(SER_hh_fech!D5=0,0,SER_hh_fech!D5/SER_summary!D$26)</f>
        <v>0</v>
      </c>
      <c r="E5" s="132">
        <f>IF(SER_hh_fech!E5=0,0,SER_hh_fech!E5/SER_summary!E$26)</f>
        <v>0</v>
      </c>
      <c r="F5" s="132">
        <f>IF(SER_hh_fech!F5=0,0,SER_hh_fech!F5/SER_summary!F$26)</f>
        <v>0</v>
      </c>
      <c r="G5" s="132">
        <f>IF(SER_hh_fech!G5=0,0,SER_hh_fech!G5/SER_summary!G$26)</f>
        <v>0</v>
      </c>
      <c r="H5" s="132">
        <f>IF(SER_hh_fech!H5=0,0,SER_hh_fech!H5/SER_summary!H$26)</f>
        <v>0</v>
      </c>
      <c r="I5" s="132">
        <f>IF(SER_hh_fech!I5=0,0,SER_hh_fech!I5/SER_summary!I$26)</f>
        <v>0</v>
      </c>
      <c r="J5" s="132">
        <f>IF(SER_hh_fech!J5=0,0,SER_hh_fech!J5/SER_summary!J$26)</f>
        <v>0</v>
      </c>
      <c r="K5" s="132">
        <f>IF(SER_hh_fech!K5=0,0,SER_hh_fech!K5/SER_summary!K$26)</f>
        <v>0</v>
      </c>
      <c r="L5" s="132">
        <f>IF(SER_hh_fech!L5=0,0,SER_hh_fech!L5/SER_summary!L$26)</f>
        <v>0</v>
      </c>
      <c r="M5" s="132">
        <f>IF(SER_hh_fech!M5=0,0,SER_hh_fech!M5/SER_summary!M$26)</f>
        <v>0</v>
      </c>
      <c r="N5" s="132">
        <f>IF(SER_hh_fech!N5=0,0,SER_hh_fech!N5/SER_summary!N$26)</f>
        <v>0</v>
      </c>
      <c r="O5" s="132">
        <f>IF(SER_hh_fech!O5=0,0,SER_hh_fech!O5/SER_summary!O$26)</f>
        <v>0</v>
      </c>
      <c r="P5" s="132">
        <f>IF(SER_hh_fech!P5=0,0,SER_hh_fech!P5/SER_summary!P$26)</f>
        <v>0</v>
      </c>
      <c r="Q5" s="132">
        <f>IF(SER_hh_fech!Q5=0,0,SER_hh_fech!Q5/SER_summary!Q$26)</f>
        <v>0</v>
      </c>
      <c r="R5" s="132">
        <f>IF(SER_hh_fech!R5=0,0,SER_hh_fech!R5/SER_summary!R$26)</f>
        <v>0</v>
      </c>
      <c r="S5" s="132">
        <f>IF(SER_hh_fech!S5=0,0,SER_hh_fech!S5/SER_summary!S$26)</f>
        <v>0</v>
      </c>
      <c r="T5" s="132">
        <f>IF(SER_hh_fech!T5=0,0,SER_hh_fech!T5/SER_summary!T$26)</f>
        <v>0</v>
      </c>
      <c r="U5" s="132">
        <f>IF(SER_hh_fech!U5=0,0,SER_hh_fech!U5/SER_summary!U$26)</f>
        <v>0</v>
      </c>
      <c r="V5" s="132">
        <f>IF(SER_hh_fech!V5=0,0,SER_hh_fech!V5/SER_summary!V$26)</f>
        <v>0</v>
      </c>
      <c r="W5" s="132">
        <f>IF(SER_hh_fech!W5=0,0,SER_hh_fech!W5/SER_summary!W$26)</f>
        <v>0</v>
      </c>
      <c r="X5" s="132">
        <f>IF(SER_hh_fech!X5=0,0,SER_hh_fech!X5/SER_summary!X$26)</f>
        <v>0</v>
      </c>
      <c r="Y5" s="132">
        <f>IF(SER_hh_fech!Y5=0,0,SER_hh_fech!Y5/SER_summary!Y$26)</f>
        <v>0</v>
      </c>
      <c r="DA5" s="156" t="s">
        <v>479</v>
      </c>
    </row>
    <row r="6" spans="1:105" ht="12" customHeight="1" x14ac:dyDescent="0.25">
      <c r="A6" s="131" t="s">
        <v>52</v>
      </c>
      <c r="B6" s="132">
        <f>IF(SER_hh_fech!B6=0,0,SER_hh_fech!B6/SER_summary!B$26)</f>
        <v>0</v>
      </c>
      <c r="C6" s="132">
        <f>IF(SER_hh_fech!C6=0,0,SER_hh_fech!C6/SER_summary!C$26)</f>
        <v>0</v>
      </c>
      <c r="D6" s="132">
        <f>IF(SER_hh_fech!D6=0,0,SER_hh_fech!D6/SER_summary!D$26)</f>
        <v>0</v>
      </c>
      <c r="E6" s="132">
        <f>IF(SER_hh_fech!E6=0,0,SER_hh_fech!E6/SER_summary!E$26)</f>
        <v>0</v>
      </c>
      <c r="F6" s="132">
        <f>IF(SER_hh_fech!F6=0,0,SER_hh_fech!F6/SER_summary!F$26)</f>
        <v>0</v>
      </c>
      <c r="G6" s="132">
        <f>IF(SER_hh_fech!G6=0,0,SER_hh_fech!G6/SER_summary!G$26)</f>
        <v>0</v>
      </c>
      <c r="H6" s="132">
        <f>IF(SER_hh_fech!H6=0,0,SER_hh_fech!H6/SER_summary!H$26)</f>
        <v>0</v>
      </c>
      <c r="I6" s="132">
        <f>IF(SER_hh_fech!I6=0,0,SER_hh_fech!I6/SER_summary!I$26)</f>
        <v>0</v>
      </c>
      <c r="J6" s="132">
        <f>IF(SER_hh_fech!J6=0,0,SER_hh_fech!J6/SER_summary!J$26)</f>
        <v>0</v>
      </c>
      <c r="K6" s="132">
        <f>IF(SER_hh_fech!K6=0,0,SER_hh_fech!K6/SER_summary!K$26)</f>
        <v>0</v>
      </c>
      <c r="L6" s="132">
        <f>IF(SER_hh_fech!L6=0,0,SER_hh_fech!L6/SER_summary!L$26)</f>
        <v>0</v>
      </c>
      <c r="M6" s="132">
        <f>IF(SER_hh_fech!M6=0,0,SER_hh_fech!M6/SER_summary!M$26)</f>
        <v>0</v>
      </c>
      <c r="N6" s="132">
        <f>IF(SER_hh_fech!N6=0,0,SER_hh_fech!N6/SER_summary!N$26)</f>
        <v>0</v>
      </c>
      <c r="O6" s="132">
        <f>IF(SER_hh_fech!O6=0,0,SER_hh_fech!O6/SER_summary!O$26)</f>
        <v>0</v>
      </c>
      <c r="P6" s="132">
        <f>IF(SER_hh_fech!P6=0,0,SER_hh_fech!P6/SER_summary!P$26)</f>
        <v>0</v>
      </c>
      <c r="Q6" s="132">
        <f>IF(SER_hh_fech!Q6=0,0,SER_hh_fech!Q6/SER_summary!Q$26)</f>
        <v>0</v>
      </c>
      <c r="R6" s="132">
        <f>IF(SER_hh_fech!R6=0,0,SER_hh_fech!R6/SER_summary!R$26)</f>
        <v>0</v>
      </c>
      <c r="S6" s="132">
        <f>IF(SER_hh_fech!S6=0,0,SER_hh_fech!S6/SER_summary!S$26)</f>
        <v>0</v>
      </c>
      <c r="T6" s="132">
        <f>IF(SER_hh_fech!T6=0,0,SER_hh_fech!T6/SER_summary!T$26)</f>
        <v>0</v>
      </c>
      <c r="U6" s="132">
        <f>IF(SER_hh_fech!U6=0,0,SER_hh_fech!U6/SER_summary!U$26)</f>
        <v>0</v>
      </c>
      <c r="V6" s="132">
        <f>IF(SER_hh_fech!V6=0,0,SER_hh_fech!V6/SER_summary!V$26)</f>
        <v>0</v>
      </c>
      <c r="W6" s="132">
        <f>IF(SER_hh_fech!W6=0,0,SER_hh_fech!W6/SER_summary!W$26)</f>
        <v>0</v>
      </c>
      <c r="X6" s="132">
        <f>IF(SER_hh_fech!X6=0,0,SER_hh_fech!X6/SER_summary!X$26)</f>
        <v>0</v>
      </c>
      <c r="Y6" s="132">
        <f>IF(SER_hh_fech!Y6=0,0,SER_hh_fech!Y6/SER_summary!Y$26)</f>
        <v>0</v>
      </c>
      <c r="DA6" s="156" t="s">
        <v>480</v>
      </c>
    </row>
    <row r="7" spans="1:105" ht="12" customHeight="1" x14ac:dyDescent="0.25">
      <c r="A7" s="131" t="s">
        <v>161</v>
      </c>
      <c r="B7" s="132">
        <f>IF(SER_hh_fech!B7=0,0,SER_hh_fech!B7/SER_summary!B$26)</f>
        <v>15.080067726887886</v>
      </c>
      <c r="C7" s="132">
        <f>IF(SER_hh_fech!C7=0,0,SER_hh_fech!C7/SER_summary!C$26)</f>
        <v>14.723344136584242</v>
      </c>
      <c r="D7" s="132">
        <f>IF(SER_hh_fech!D7=0,0,SER_hh_fech!D7/SER_summary!D$26)</f>
        <v>12.25510206949599</v>
      </c>
      <c r="E7" s="132">
        <f>IF(SER_hh_fech!E7=0,0,SER_hh_fech!E7/SER_summary!E$26)</f>
        <v>12.381445561954443</v>
      </c>
      <c r="F7" s="132">
        <f>IF(SER_hh_fech!F7=0,0,SER_hh_fech!F7/SER_summary!F$26)</f>
        <v>13.826452414772664</v>
      </c>
      <c r="G7" s="132">
        <f>IF(SER_hh_fech!G7=0,0,SER_hh_fech!G7/SER_summary!G$26)</f>
        <v>15.88484196879477</v>
      </c>
      <c r="H7" s="132">
        <f>IF(SER_hh_fech!H7=0,0,SER_hh_fech!H7/SER_summary!H$26)</f>
        <v>15.410939488680276</v>
      </c>
      <c r="I7" s="132">
        <f>IF(SER_hh_fech!I7=0,0,SER_hh_fech!I7/SER_summary!I$26)</f>
        <v>16.223285211794533</v>
      </c>
      <c r="J7" s="132">
        <f>IF(SER_hh_fech!J7=0,0,SER_hh_fech!J7/SER_summary!J$26)</f>
        <v>17.564431132986762</v>
      </c>
      <c r="K7" s="132">
        <f>IF(SER_hh_fech!K7=0,0,SER_hh_fech!K7/SER_summary!K$26)</f>
        <v>19.751229995524984</v>
      </c>
      <c r="L7" s="132">
        <f>IF(SER_hh_fech!L7=0,0,SER_hh_fech!L7/SER_summary!L$26)</f>
        <v>19.473658852863828</v>
      </c>
      <c r="M7" s="132">
        <f>IF(SER_hh_fech!M7=0,0,SER_hh_fech!M7/SER_summary!M$26)</f>
        <v>16.333568957333949</v>
      </c>
      <c r="N7" s="132">
        <f>IF(SER_hh_fech!N7=0,0,SER_hh_fech!N7/SER_summary!N$26)</f>
        <v>15.952968409930575</v>
      </c>
      <c r="O7" s="132">
        <f>IF(SER_hh_fech!O7=0,0,SER_hh_fech!O7/SER_summary!O$26)</f>
        <v>15.44365668218818</v>
      </c>
      <c r="P7" s="132">
        <f>IF(SER_hh_fech!P7=0,0,SER_hh_fech!P7/SER_summary!P$26)</f>
        <v>11.628542426532888</v>
      </c>
      <c r="Q7" s="132">
        <f>IF(SER_hh_fech!Q7=0,0,SER_hh_fech!Q7/SER_summary!Q$26)</f>
        <v>8.3273045783318143</v>
      </c>
      <c r="R7" s="132">
        <f>IF(SER_hh_fech!R7=0,0,SER_hh_fech!R7/SER_summary!R$26)</f>
        <v>10.969890146312503</v>
      </c>
      <c r="S7" s="132">
        <f>IF(SER_hh_fech!S7=0,0,SER_hh_fech!S7/SER_summary!S$26)</f>
        <v>12.808839168643956</v>
      </c>
      <c r="T7" s="132">
        <f>IF(SER_hh_fech!T7=0,0,SER_hh_fech!T7/SER_summary!T$26)</f>
        <v>14.25702378470824</v>
      </c>
      <c r="U7" s="132">
        <f>IF(SER_hh_fech!U7=0,0,SER_hh_fech!U7/SER_summary!U$26)</f>
        <v>14.446131444376432</v>
      </c>
      <c r="V7" s="132">
        <f>IF(SER_hh_fech!V7=0,0,SER_hh_fech!V7/SER_summary!V$26)</f>
        <v>14.57906915443135</v>
      </c>
      <c r="W7" s="132">
        <f>IF(SER_hh_fech!W7=0,0,SER_hh_fech!W7/SER_summary!W$26)</f>
        <v>17.640585563590552</v>
      </c>
      <c r="X7" s="132">
        <f>IF(SER_hh_fech!X7=0,0,SER_hh_fech!X7/SER_summary!X$26)</f>
        <v>18.641521853880352</v>
      </c>
      <c r="Y7" s="132">
        <f>IF(SER_hh_fech!Y7=0,0,SER_hh_fech!Y7/SER_summary!Y$26)</f>
        <v>16.171741789231298</v>
      </c>
      <c r="DA7" s="156" t="s">
        <v>481</v>
      </c>
    </row>
    <row r="8" spans="1:105" ht="12" customHeight="1" x14ac:dyDescent="0.25">
      <c r="A8" s="131" t="s">
        <v>73</v>
      </c>
      <c r="B8" s="132">
        <f>IF(SER_hh_fech!B8=0,0,SER_hh_fech!B8/SER_summary!B$26)</f>
        <v>5.1604151508964096</v>
      </c>
      <c r="C8" s="132">
        <f>IF(SER_hh_fech!C8=0,0,SER_hh_fech!C8/SER_summary!C$26)</f>
        <v>5.1531020876018472</v>
      </c>
      <c r="D8" s="132">
        <f>IF(SER_hh_fech!D8=0,0,SER_hh_fech!D8/SER_summary!D$26)</f>
        <v>4.3206767114150253</v>
      </c>
      <c r="E8" s="132">
        <f>IF(SER_hh_fech!E8=0,0,SER_hh_fech!E8/SER_summary!E$26)</f>
        <v>2.7831286263178123</v>
      </c>
      <c r="F8" s="132">
        <f>IF(SER_hh_fech!F8=0,0,SER_hh_fech!F8/SER_summary!F$26)</f>
        <v>2.782413160385155</v>
      </c>
      <c r="G8" s="132">
        <f>IF(SER_hh_fech!G8=0,0,SER_hh_fech!G8/SER_summary!G$26)</f>
        <v>3.912630290188635</v>
      </c>
      <c r="H8" s="132">
        <f>IF(SER_hh_fech!H8=0,0,SER_hh_fech!H8/SER_summary!H$26)</f>
        <v>5.7669042032190472</v>
      </c>
      <c r="I8" s="132">
        <f>IF(SER_hh_fech!I8=0,0,SER_hh_fech!I8/SER_summary!I$26)</f>
        <v>4.7931758082498979</v>
      </c>
      <c r="J8" s="132">
        <f>IF(SER_hh_fech!J8=0,0,SER_hh_fech!J8/SER_summary!J$26)</f>
        <v>4.485394638462747</v>
      </c>
      <c r="K8" s="132">
        <f>IF(SER_hh_fech!K8=0,0,SER_hh_fech!K8/SER_summary!K$26)</f>
        <v>4.0414714708482338</v>
      </c>
      <c r="L8" s="132">
        <f>IF(SER_hh_fech!L8=0,0,SER_hh_fech!L8/SER_summary!L$26)</f>
        <v>3.3745777742903971</v>
      </c>
      <c r="M8" s="132">
        <f>IF(SER_hh_fech!M8=0,0,SER_hh_fech!M8/SER_summary!M$26)</f>
        <v>3.1709137877459899</v>
      </c>
      <c r="N8" s="132">
        <f>IF(SER_hh_fech!N8=0,0,SER_hh_fech!N8/SER_summary!N$26)</f>
        <v>2.2676590134272865</v>
      </c>
      <c r="O8" s="132">
        <f>IF(SER_hh_fech!O8=0,0,SER_hh_fech!O8/SER_summary!O$26)</f>
        <v>2.1131956775021994</v>
      </c>
      <c r="P8" s="132">
        <f>IF(SER_hh_fech!P8=0,0,SER_hh_fech!P8/SER_summary!P$26)</f>
        <v>2.0841777500211571</v>
      </c>
      <c r="Q8" s="132">
        <f>IF(SER_hh_fech!Q8=0,0,SER_hh_fech!Q8/SER_summary!Q$26)</f>
        <v>1.9701599062302284</v>
      </c>
      <c r="R8" s="132">
        <f>IF(SER_hh_fech!R8=0,0,SER_hh_fech!R8/SER_summary!R$26)</f>
        <v>2.2654577689579014</v>
      </c>
      <c r="S8" s="132">
        <f>IF(SER_hh_fech!S8=0,0,SER_hh_fech!S8/SER_summary!S$26)</f>
        <v>2.4917459775989865</v>
      </c>
      <c r="T8" s="132">
        <f>IF(SER_hh_fech!T8=0,0,SER_hh_fech!T8/SER_summary!T$26)</f>
        <v>2.4755005248013022</v>
      </c>
      <c r="U8" s="132">
        <f>IF(SER_hh_fech!U8=0,0,SER_hh_fech!U8/SER_summary!U$26)</f>
        <v>3.5357182504359943</v>
      </c>
      <c r="V8" s="132">
        <f>IF(SER_hh_fech!V8=0,0,SER_hh_fech!V8/SER_summary!V$26)</f>
        <v>2.761452653114211</v>
      </c>
      <c r="W8" s="132">
        <f>IF(SER_hh_fech!W8=0,0,SER_hh_fech!W8/SER_summary!W$26)</f>
        <v>3.308231226230316</v>
      </c>
      <c r="X8" s="132">
        <f>IF(SER_hh_fech!X8=0,0,SER_hh_fech!X8/SER_summary!X$26)</f>
        <v>3.3815150985415161</v>
      </c>
      <c r="Y8" s="132">
        <f>IF(SER_hh_fech!Y8=0,0,SER_hh_fech!Y8/SER_summary!Y$26)</f>
        <v>3.7218621568008827</v>
      </c>
      <c r="DA8" s="156" t="s">
        <v>482</v>
      </c>
    </row>
    <row r="9" spans="1:105" ht="12" customHeight="1" x14ac:dyDescent="0.25">
      <c r="A9" s="131" t="s">
        <v>78</v>
      </c>
      <c r="B9" s="132">
        <f>IF(SER_hh_fech!B9=0,0,SER_hh_fech!B9/SER_summary!B$26)</f>
        <v>10.541651626784628</v>
      </c>
      <c r="C9" s="132">
        <f>IF(SER_hh_fech!C9=0,0,SER_hh_fech!C9/SER_summary!C$26)</f>
        <v>13.107219282111059</v>
      </c>
      <c r="D9" s="132">
        <f>IF(SER_hh_fech!D9=0,0,SER_hh_fech!D9/SER_summary!D$26)</f>
        <v>19.579487823668821</v>
      </c>
      <c r="E9" s="132">
        <f>IF(SER_hh_fech!E9=0,0,SER_hh_fech!E9/SER_summary!E$26)</f>
        <v>1.708689630597465</v>
      </c>
      <c r="F9" s="132">
        <f>IF(SER_hh_fech!F9=0,0,SER_hh_fech!F9/SER_summary!F$26)</f>
        <v>2.0427534972221504</v>
      </c>
      <c r="G9" s="132">
        <f>IF(SER_hh_fech!G9=0,0,SER_hh_fech!G9/SER_summary!G$26)</f>
        <v>10.29995561922898</v>
      </c>
      <c r="H9" s="132">
        <f>IF(SER_hh_fech!H9=0,0,SER_hh_fech!H9/SER_summary!H$26)</f>
        <v>32.385204724391976</v>
      </c>
      <c r="I9" s="132">
        <f>IF(SER_hh_fech!I9=0,0,SER_hh_fech!I9/SER_summary!I$26)</f>
        <v>15.158064957166953</v>
      </c>
      <c r="J9" s="132">
        <f>IF(SER_hh_fech!J9=0,0,SER_hh_fech!J9/SER_summary!J$26)</f>
        <v>11.169364733019499</v>
      </c>
      <c r="K9" s="132">
        <f>IF(SER_hh_fech!K9=0,0,SER_hh_fech!K9/SER_summary!K$26)</f>
        <v>14.614366530517556</v>
      </c>
      <c r="L9" s="132">
        <f>IF(SER_hh_fech!L9=0,0,SER_hh_fech!L9/SER_summary!L$26)</f>
        <v>19.374908535810107</v>
      </c>
      <c r="M9" s="132">
        <f>IF(SER_hh_fech!M9=0,0,SER_hh_fech!M9/SER_summary!M$26)</f>
        <v>21.612590340932563</v>
      </c>
      <c r="N9" s="132">
        <f>IF(SER_hh_fech!N9=0,0,SER_hh_fech!N9/SER_summary!N$26)</f>
        <v>15.931737242702013</v>
      </c>
      <c r="O9" s="132">
        <f>IF(SER_hh_fech!O9=0,0,SER_hh_fech!O9/SER_summary!O$26)</f>
        <v>14.530987782077531</v>
      </c>
      <c r="P9" s="132">
        <f>IF(SER_hh_fech!P9=0,0,SER_hh_fech!P9/SER_summary!P$26)</f>
        <v>6.7056067738844449</v>
      </c>
      <c r="Q9" s="132">
        <f>IF(SER_hh_fech!Q9=0,0,SER_hh_fech!Q9/SER_summary!Q$26)</f>
        <v>10.396317928291911</v>
      </c>
      <c r="R9" s="132">
        <f>IF(SER_hh_fech!R9=0,0,SER_hh_fech!R9/SER_summary!R$26)</f>
        <v>10.586781772079693</v>
      </c>
      <c r="S9" s="132">
        <f>IF(SER_hh_fech!S9=0,0,SER_hh_fech!S9/SER_summary!S$26)</f>
        <v>11.315070832348182</v>
      </c>
      <c r="T9" s="132">
        <f>IF(SER_hh_fech!T9=0,0,SER_hh_fech!T9/SER_summary!T$26)</f>
        <v>16.047717351933539</v>
      </c>
      <c r="U9" s="132">
        <f>IF(SER_hh_fech!U9=0,0,SER_hh_fech!U9/SER_summary!U$26)</f>
        <v>16.214793290932395</v>
      </c>
      <c r="V9" s="132">
        <f>IF(SER_hh_fech!V9=0,0,SER_hh_fech!V9/SER_summary!V$26)</f>
        <v>13.978390522240167</v>
      </c>
      <c r="W9" s="132">
        <f>IF(SER_hh_fech!W9=0,0,SER_hh_fech!W9/SER_summary!W$26)</f>
        <v>17.134631788289514</v>
      </c>
      <c r="X9" s="132">
        <f>IF(SER_hh_fech!X9=0,0,SER_hh_fech!X9/SER_summary!X$26)</f>
        <v>15.432383389134721</v>
      </c>
      <c r="Y9" s="132">
        <f>IF(SER_hh_fech!Y9=0,0,SER_hh_fech!Y9/SER_summary!Y$26)</f>
        <v>16.278130232346065</v>
      </c>
      <c r="DA9" s="156" t="s">
        <v>483</v>
      </c>
    </row>
    <row r="10" spans="1:105" ht="12" customHeight="1" x14ac:dyDescent="0.25">
      <c r="A10" s="131" t="s">
        <v>128</v>
      </c>
      <c r="B10" s="132">
        <f>IF(SER_hh_fech!B10=0,0,SER_hh_fech!B10/SER_summary!B$26)</f>
        <v>15.316812644865578</v>
      </c>
      <c r="C10" s="132">
        <f>IF(SER_hh_fech!C10=0,0,SER_hh_fech!C10/SER_summary!C$26)</f>
        <v>14.577235400811276</v>
      </c>
      <c r="D10" s="132">
        <f>IF(SER_hh_fech!D10=0,0,SER_hh_fech!D10/SER_summary!D$26)</f>
        <v>13.036039816398937</v>
      </c>
      <c r="E10" s="132">
        <f>IF(SER_hh_fech!E10=0,0,SER_hh_fech!E10/SER_summary!E$26)</f>
        <v>12.621889780856804</v>
      </c>
      <c r="F10" s="132">
        <f>IF(SER_hh_fech!F10=0,0,SER_hh_fech!F10/SER_summary!F$26)</f>
        <v>12.498583990314222</v>
      </c>
      <c r="G10" s="132">
        <f>IF(SER_hh_fech!G10=0,0,SER_hh_fech!G10/SER_summary!G$26)</f>
        <v>12.956651745678318</v>
      </c>
      <c r="H10" s="132">
        <f>IF(SER_hh_fech!H10=0,0,SER_hh_fech!H10/SER_summary!H$26)</f>
        <v>19.424869109897259</v>
      </c>
      <c r="I10" s="132">
        <f>IF(SER_hh_fech!I10=0,0,SER_hh_fech!I10/SER_summary!I$26)</f>
        <v>17.449808730666831</v>
      </c>
      <c r="J10" s="132">
        <f>IF(SER_hh_fech!J10=0,0,SER_hh_fech!J10/SER_summary!J$26)</f>
        <v>19.98126818030261</v>
      </c>
      <c r="K10" s="132">
        <f>IF(SER_hh_fech!K10=0,0,SER_hh_fech!K10/SER_summary!K$26)</f>
        <v>15.525040197809101</v>
      </c>
      <c r="L10" s="132">
        <f>IF(SER_hh_fech!L10=0,0,SER_hh_fech!L10/SER_summary!L$26)</f>
        <v>17.408862846997007</v>
      </c>
      <c r="M10" s="132">
        <f>IF(SER_hh_fech!M10=0,0,SER_hh_fech!M10/SER_summary!M$26)</f>
        <v>17.977517816668126</v>
      </c>
      <c r="N10" s="132">
        <f>IF(SER_hh_fech!N10=0,0,SER_hh_fech!N10/SER_summary!N$26)</f>
        <v>15.651244012464176</v>
      </c>
      <c r="O10" s="132">
        <f>IF(SER_hh_fech!O10=0,0,SER_hh_fech!O10/SER_summary!O$26)</f>
        <v>13.102612941574629</v>
      </c>
      <c r="P10" s="132">
        <f>IF(SER_hh_fech!P10=0,0,SER_hh_fech!P10/SER_summary!P$26)</f>
        <v>10.378476447238278</v>
      </c>
      <c r="Q10" s="132">
        <f>IF(SER_hh_fech!Q10=0,0,SER_hh_fech!Q10/SER_summary!Q$26)</f>
        <v>10.354302705257215</v>
      </c>
      <c r="R10" s="132">
        <f>IF(SER_hh_fech!R10=0,0,SER_hh_fech!R10/SER_summary!R$26)</f>
        <v>12.653797219508231</v>
      </c>
      <c r="S10" s="132">
        <f>IF(SER_hh_fech!S10=0,0,SER_hh_fech!S10/SER_summary!S$26)</f>
        <v>13.993903494526601</v>
      </c>
      <c r="T10" s="132">
        <f>IF(SER_hh_fech!T10=0,0,SER_hh_fech!T10/SER_summary!T$26)</f>
        <v>15.097654491223565</v>
      </c>
      <c r="U10" s="132">
        <f>IF(SER_hh_fech!U10=0,0,SER_hh_fech!U10/SER_summary!U$26)</f>
        <v>16.6805845807115</v>
      </c>
      <c r="V10" s="132">
        <f>IF(SER_hh_fech!V10=0,0,SER_hh_fech!V10/SER_summary!V$26)</f>
        <v>17.569340893091191</v>
      </c>
      <c r="W10" s="132">
        <f>IF(SER_hh_fech!W10=0,0,SER_hh_fech!W10/SER_summary!W$26)</f>
        <v>19.668393194707882</v>
      </c>
      <c r="X10" s="132">
        <f>IF(SER_hh_fech!X10=0,0,SER_hh_fech!X10/SER_summary!X$26)</f>
        <v>20.541878525532674</v>
      </c>
      <c r="Y10" s="132">
        <f>IF(SER_hh_fech!Y10=0,0,SER_hh_fech!Y10/SER_summary!Y$26)</f>
        <v>21.038257509571423</v>
      </c>
      <c r="DA10" s="156" t="s">
        <v>484</v>
      </c>
    </row>
    <row r="11" spans="1:105" ht="12" customHeight="1" x14ac:dyDescent="0.25">
      <c r="A11" s="131" t="s">
        <v>25</v>
      </c>
      <c r="B11" s="132">
        <f>IF(SER_hh_fech!B11=0,0,SER_hh_fech!B11/SER_summary!B$26)</f>
        <v>9.3429135799588003</v>
      </c>
      <c r="C11" s="132">
        <f>IF(SER_hh_fech!C11=0,0,SER_hh_fech!C11/SER_summary!C$26)</f>
        <v>11.667507666308277</v>
      </c>
      <c r="D11" s="132">
        <f>IF(SER_hh_fech!D11=0,0,SER_hh_fech!D11/SER_summary!D$26)</f>
        <v>3.0076173347335957</v>
      </c>
      <c r="E11" s="132">
        <f>IF(SER_hh_fech!E11=0,0,SER_hh_fech!E11/SER_summary!E$26)</f>
        <v>4.0304704499109212</v>
      </c>
      <c r="F11" s="132">
        <f>IF(SER_hh_fech!F11=0,0,SER_hh_fech!F11/SER_summary!F$26)</f>
        <v>8.0841496687155132</v>
      </c>
      <c r="G11" s="132">
        <f>IF(SER_hh_fech!G11=0,0,SER_hh_fech!G11/SER_summary!G$26)</f>
        <v>9.5151495184957877</v>
      </c>
      <c r="H11" s="132">
        <f>IF(SER_hh_fech!H11=0,0,SER_hh_fech!H11/SER_summary!H$26)</f>
        <v>11.538021851920231</v>
      </c>
      <c r="I11" s="132">
        <f>IF(SER_hh_fech!I11=0,0,SER_hh_fech!I11/SER_summary!I$26)</f>
        <v>11.528442906863923</v>
      </c>
      <c r="J11" s="132">
        <f>IF(SER_hh_fech!J11=0,0,SER_hh_fech!J11/SER_summary!J$26)</f>
        <v>11.812765158552953</v>
      </c>
      <c r="K11" s="132">
        <f>IF(SER_hh_fech!K11=0,0,SER_hh_fech!K11/SER_summary!K$26)</f>
        <v>12.148893915294584</v>
      </c>
      <c r="L11" s="132">
        <f>IF(SER_hh_fech!L11=0,0,SER_hh_fech!L11/SER_summary!L$26)</f>
        <v>13.028113487804243</v>
      </c>
      <c r="M11" s="132">
        <f>IF(SER_hh_fech!M11=0,0,SER_hh_fech!M11/SER_summary!M$26)</f>
        <v>12.743074945392014</v>
      </c>
      <c r="N11" s="132">
        <f>IF(SER_hh_fech!N11=0,0,SER_hh_fech!N11/SER_summary!N$26)</f>
        <v>10.766915762401986</v>
      </c>
      <c r="O11" s="132">
        <f>IF(SER_hh_fech!O11=0,0,SER_hh_fech!O11/SER_summary!O$26)</f>
        <v>8.7465850502128859</v>
      </c>
      <c r="P11" s="132">
        <f>IF(SER_hh_fech!P11=0,0,SER_hh_fech!P11/SER_summary!P$26)</f>
        <v>7.1932633987832668</v>
      </c>
      <c r="Q11" s="132">
        <f>IF(SER_hh_fech!Q11=0,0,SER_hh_fech!Q11/SER_summary!Q$26)</f>
        <v>6.9461287812952071</v>
      </c>
      <c r="R11" s="132">
        <f>IF(SER_hh_fech!R11=0,0,SER_hh_fech!R11/SER_summary!R$26)</f>
        <v>7.461438566588888</v>
      </c>
      <c r="S11" s="132">
        <f>IF(SER_hh_fech!S11=0,0,SER_hh_fech!S11/SER_summary!S$26)</f>
        <v>8.5423431865852528</v>
      </c>
      <c r="T11" s="132">
        <f>IF(SER_hh_fech!T11=0,0,SER_hh_fech!T11/SER_summary!T$26)</f>
        <v>9.7929557413654713</v>
      </c>
      <c r="U11" s="132">
        <f>IF(SER_hh_fech!U11=0,0,SER_hh_fech!U11/SER_summary!U$26)</f>
        <v>10.777888507536085</v>
      </c>
      <c r="V11" s="132">
        <f>IF(SER_hh_fech!V11=0,0,SER_hh_fech!V11/SER_summary!V$26)</f>
        <v>11.504982496840325</v>
      </c>
      <c r="W11" s="132">
        <f>IF(SER_hh_fech!W11=0,0,SER_hh_fech!W11/SER_summary!W$26)</f>
        <v>12.41077018683459</v>
      </c>
      <c r="X11" s="132">
        <f>IF(SER_hh_fech!X11=0,0,SER_hh_fech!X11/SER_summary!X$26)</f>
        <v>13.277893019354936</v>
      </c>
      <c r="Y11" s="132">
        <f>IF(SER_hh_fech!Y11=0,0,SER_hh_fech!Y11/SER_summary!Y$26)</f>
        <v>13.500035046838777</v>
      </c>
      <c r="DA11" s="156" t="s">
        <v>485</v>
      </c>
    </row>
    <row r="12" spans="1:105" ht="12" customHeight="1" x14ac:dyDescent="0.25">
      <c r="A12" s="131" t="s">
        <v>162</v>
      </c>
      <c r="B12" s="132">
        <f>IF(SER_hh_fech!B12=0,0,SER_hh_fech!B12/SER_summary!B$26)</f>
        <v>0</v>
      </c>
      <c r="C12" s="132">
        <f>IF(SER_hh_fech!C12=0,0,SER_hh_fech!C12/SER_summary!C$26)</f>
        <v>0</v>
      </c>
      <c r="D12" s="132">
        <f>IF(SER_hh_fech!D12=0,0,SER_hh_fech!D12/SER_summary!D$26)</f>
        <v>0</v>
      </c>
      <c r="E12" s="132">
        <f>IF(SER_hh_fech!E12=0,0,SER_hh_fech!E12/SER_summary!E$26)</f>
        <v>0</v>
      </c>
      <c r="F12" s="132">
        <f>IF(SER_hh_fech!F12=0,0,SER_hh_fech!F12/SER_summary!F$26)</f>
        <v>0</v>
      </c>
      <c r="G12" s="132">
        <f>IF(SER_hh_fech!G12=0,0,SER_hh_fech!G12/SER_summary!G$26)</f>
        <v>0</v>
      </c>
      <c r="H12" s="132">
        <f>IF(SER_hh_fech!H12=0,0,SER_hh_fech!H12/SER_summary!H$26)</f>
        <v>0</v>
      </c>
      <c r="I12" s="132">
        <f>IF(SER_hh_fech!I12=0,0,SER_hh_fech!I12/SER_summary!I$26)</f>
        <v>0</v>
      </c>
      <c r="J12" s="132">
        <f>IF(SER_hh_fech!J12=0,0,SER_hh_fech!J12/SER_summary!J$26)</f>
        <v>0</v>
      </c>
      <c r="K12" s="132">
        <f>IF(SER_hh_fech!K12=0,0,SER_hh_fech!K12/SER_summary!K$26)</f>
        <v>0</v>
      </c>
      <c r="L12" s="132">
        <f>IF(SER_hh_fech!L12=0,0,SER_hh_fech!L12/SER_summary!L$26)</f>
        <v>0</v>
      </c>
      <c r="M12" s="132">
        <f>IF(SER_hh_fech!M12=0,0,SER_hh_fech!M12/SER_summary!M$26)</f>
        <v>0</v>
      </c>
      <c r="N12" s="132">
        <f>IF(SER_hh_fech!N12=0,0,SER_hh_fech!N12/SER_summary!N$26)</f>
        <v>0</v>
      </c>
      <c r="O12" s="132">
        <f>IF(SER_hh_fech!O12=0,0,SER_hh_fech!O12/SER_summary!O$26)</f>
        <v>0</v>
      </c>
      <c r="P12" s="132">
        <f>IF(SER_hh_fech!P12=0,0,SER_hh_fech!P12/SER_summary!P$26)</f>
        <v>0</v>
      </c>
      <c r="Q12" s="132">
        <f>IF(SER_hh_fech!Q12=0,0,SER_hh_fech!Q12/SER_summary!Q$26)</f>
        <v>0</v>
      </c>
      <c r="R12" s="132">
        <f>IF(SER_hh_fech!R12=0,0,SER_hh_fech!R12/SER_summary!R$26)</f>
        <v>0</v>
      </c>
      <c r="S12" s="132">
        <f>IF(SER_hh_fech!S12=0,0,SER_hh_fech!S12/SER_summary!S$26)</f>
        <v>0</v>
      </c>
      <c r="T12" s="132">
        <f>IF(SER_hh_fech!T12=0,0,SER_hh_fech!T12/SER_summary!T$26)</f>
        <v>0</v>
      </c>
      <c r="U12" s="132">
        <f>IF(SER_hh_fech!U12=0,0,SER_hh_fech!U12/SER_summary!U$26)</f>
        <v>0</v>
      </c>
      <c r="V12" s="132">
        <f>IF(SER_hh_fech!V12=0,0,SER_hh_fech!V12/SER_summary!V$26)</f>
        <v>0</v>
      </c>
      <c r="W12" s="132">
        <f>IF(SER_hh_fech!W12=0,0,SER_hh_fech!W12/SER_summary!W$26)</f>
        <v>0</v>
      </c>
      <c r="X12" s="132">
        <f>IF(SER_hh_fech!X12=0,0,SER_hh_fech!X12/SER_summary!X$26)</f>
        <v>0</v>
      </c>
      <c r="Y12" s="132">
        <f>IF(SER_hh_fech!Y12=0,0,SER_hh_fech!Y12/SER_summary!Y$26)</f>
        <v>0</v>
      </c>
      <c r="DA12" s="156" t="s">
        <v>486</v>
      </c>
    </row>
    <row r="13" spans="1:105" ht="12" customHeight="1" x14ac:dyDescent="0.25">
      <c r="A13" s="131" t="s">
        <v>77</v>
      </c>
      <c r="B13" s="132">
        <f>IF(SER_hh_fech!B13=0,0,SER_hh_fech!B13/SER_summary!B$26)</f>
        <v>4.0999663476303674</v>
      </c>
      <c r="C13" s="132">
        <f>IF(SER_hh_fech!C13=0,0,SER_hh_fech!C13/SER_summary!C$26)</f>
        <v>4.4395080580566715</v>
      </c>
      <c r="D13" s="132">
        <f>IF(SER_hh_fech!D13=0,0,SER_hh_fech!D13/SER_summary!D$26)</f>
        <v>3.3580503841984153</v>
      </c>
      <c r="E13" s="132">
        <f>IF(SER_hh_fech!E13=0,0,SER_hh_fech!E13/SER_summary!E$26)</f>
        <v>3.3179025362871788</v>
      </c>
      <c r="F13" s="132">
        <f>IF(SER_hh_fech!F13=0,0,SER_hh_fech!F13/SER_summary!F$26)</f>
        <v>3.0873529934693775</v>
      </c>
      <c r="G13" s="132">
        <f>IF(SER_hh_fech!G13=0,0,SER_hh_fech!G13/SER_summary!G$26)</f>
        <v>3.753388965683806</v>
      </c>
      <c r="H13" s="132">
        <f>IF(SER_hh_fech!H13=0,0,SER_hh_fech!H13/SER_summary!H$26)</f>
        <v>3.6982429738115368</v>
      </c>
      <c r="I13" s="132">
        <f>IF(SER_hh_fech!I13=0,0,SER_hh_fech!I13/SER_summary!I$26)</f>
        <v>3.7533188647970368</v>
      </c>
      <c r="J13" s="132">
        <f>IF(SER_hh_fech!J13=0,0,SER_hh_fech!J13/SER_summary!J$26)</f>
        <v>4.1873848256241022</v>
      </c>
      <c r="K13" s="132">
        <f>IF(SER_hh_fech!K13=0,0,SER_hh_fech!K13/SER_summary!K$26)</f>
        <v>4.1095286996357219</v>
      </c>
      <c r="L13" s="132">
        <f>IF(SER_hh_fech!L13=0,0,SER_hh_fech!L13/SER_summary!L$26)</f>
        <v>3.9861219986721763</v>
      </c>
      <c r="M13" s="132">
        <f>IF(SER_hh_fech!M13=0,0,SER_hh_fech!M13/SER_summary!M$26)</f>
        <v>3.5133125870610469</v>
      </c>
      <c r="N13" s="132">
        <f>IF(SER_hh_fech!N13=0,0,SER_hh_fech!N13/SER_summary!N$26)</f>
        <v>3.0348973185553456</v>
      </c>
      <c r="O13" s="132">
        <f>IF(SER_hh_fech!O13=0,0,SER_hh_fech!O13/SER_summary!O$26)</f>
        <v>2.3043329060885718</v>
      </c>
      <c r="P13" s="132">
        <f>IF(SER_hh_fech!P13=0,0,SER_hh_fech!P13/SER_summary!P$26)</f>
        <v>1.7408207348756721</v>
      </c>
      <c r="Q13" s="132">
        <f>IF(SER_hh_fech!Q13=0,0,SER_hh_fech!Q13/SER_summary!Q$26)</f>
        <v>1.8232871100238168</v>
      </c>
      <c r="R13" s="132">
        <f>IF(SER_hh_fech!R13=0,0,SER_hh_fech!R13/SER_summary!R$26)</f>
        <v>1.9710496276691138</v>
      </c>
      <c r="S13" s="132">
        <f>IF(SER_hh_fech!S13=0,0,SER_hh_fech!S13/SER_summary!S$26)</f>
        <v>2.2140529291848408</v>
      </c>
      <c r="T13" s="132">
        <f>IF(SER_hh_fech!T13=0,0,SER_hh_fech!T13/SER_summary!T$26)</f>
        <v>2.4767297834915785</v>
      </c>
      <c r="U13" s="132">
        <f>IF(SER_hh_fech!U13=0,0,SER_hh_fech!U13/SER_summary!U$26)</f>
        <v>2.629144031934167</v>
      </c>
      <c r="V13" s="132">
        <f>IF(SER_hh_fech!V13=0,0,SER_hh_fech!V13/SER_summary!V$26)</f>
        <v>2.7587638479295773</v>
      </c>
      <c r="W13" s="132">
        <f>IF(SER_hh_fech!W13=0,0,SER_hh_fech!W13/SER_summary!W$26)</f>
        <v>2.8814004537072559</v>
      </c>
      <c r="X13" s="132">
        <f>IF(SER_hh_fech!X13=0,0,SER_hh_fech!X13/SER_summary!X$26)</f>
        <v>3.0411761169938902</v>
      </c>
      <c r="Y13" s="132">
        <f>IF(SER_hh_fech!Y13=0,0,SER_hh_fech!Y13/SER_summary!Y$26)</f>
        <v>3.1075841876756041</v>
      </c>
      <c r="DA13" s="156" t="s">
        <v>487</v>
      </c>
    </row>
    <row r="14" spans="1:105" ht="12" customHeight="1" x14ac:dyDescent="0.25">
      <c r="A14" s="60" t="s">
        <v>76</v>
      </c>
      <c r="B14" s="65">
        <f>IF(SER_hh_fech!B14=0,0,SER_hh_fech!B14/SER_summary!B$26)</f>
        <v>14.832105401046128</v>
      </c>
      <c r="C14" s="65">
        <f>IF(SER_hh_fech!C14=0,0,SER_hh_fech!C14/SER_summary!C$26)</f>
        <v>8.8284918813602697</v>
      </c>
      <c r="D14" s="65">
        <f>IF(SER_hh_fech!D14=0,0,SER_hh_fech!D14/SER_summary!D$26)</f>
        <v>6.6276300185174808</v>
      </c>
      <c r="E14" s="65">
        <f>IF(SER_hh_fech!E14=0,0,SER_hh_fech!E14/SER_summary!E$26)</f>
        <v>5.2833963971272349</v>
      </c>
      <c r="F14" s="65">
        <f>IF(SER_hh_fech!F14=0,0,SER_hh_fech!F14/SER_summary!F$26)</f>
        <v>9.3227197033831999</v>
      </c>
      <c r="G14" s="65">
        <f>IF(SER_hh_fech!G14=0,0,SER_hh_fech!G14/SER_summary!G$26)</f>
        <v>5.1289564623064194</v>
      </c>
      <c r="H14" s="65">
        <f>IF(SER_hh_fech!H14=0,0,SER_hh_fech!H14/SER_summary!H$26)</f>
        <v>19.017186791646594</v>
      </c>
      <c r="I14" s="65">
        <f>IF(SER_hh_fech!I14=0,0,SER_hh_fech!I14/SER_summary!I$26)</f>
        <v>10.755268641668595</v>
      </c>
      <c r="J14" s="65">
        <f>IF(SER_hh_fech!J14=0,0,SER_hh_fech!J14/SER_summary!J$26)</f>
        <v>14.588215505507435</v>
      </c>
      <c r="K14" s="65">
        <f>IF(SER_hh_fech!K14=0,0,SER_hh_fech!K14/SER_summary!K$26)</f>
        <v>11.701220216703973</v>
      </c>
      <c r="L14" s="65">
        <f>IF(SER_hh_fech!L14=0,0,SER_hh_fech!L14/SER_summary!L$26)</f>
        <v>15.762245898683759</v>
      </c>
      <c r="M14" s="65">
        <f>IF(SER_hh_fech!M14=0,0,SER_hh_fech!M14/SER_summary!M$26)</f>
        <v>14.801284884652585</v>
      </c>
      <c r="N14" s="65">
        <f>IF(SER_hh_fech!N14=0,0,SER_hh_fech!N14/SER_summary!N$26)</f>
        <v>11.741146205323208</v>
      </c>
      <c r="O14" s="65">
        <f>IF(SER_hh_fech!O14=0,0,SER_hh_fech!O14/SER_summary!O$26)</f>
        <v>8.8276249941143412</v>
      </c>
      <c r="P14" s="65">
        <f>IF(SER_hh_fech!P14=0,0,SER_hh_fech!P14/SER_summary!P$26)</f>
        <v>4.7400157099153732</v>
      </c>
      <c r="Q14" s="65">
        <f>IF(SER_hh_fech!Q14=0,0,SER_hh_fech!Q14/SER_summary!Q$26)</f>
        <v>4.7640837639115263</v>
      </c>
      <c r="R14" s="65">
        <f>IF(SER_hh_fech!R14=0,0,SER_hh_fech!R14/SER_summary!R$26)</f>
        <v>4.6273373684241905</v>
      </c>
      <c r="S14" s="65">
        <f>IF(SER_hh_fech!S14=0,0,SER_hh_fech!S14/SER_summary!S$26)</f>
        <v>11.42290005940637</v>
      </c>
      <c r="T14" s="65">
        <f>IF(SER_hh_fech!T14=0,0,SER_hh_fech!T14/SER_summary!T$26)</f>
        <v>13.203683901790143</v>
      </c>
      <c r="U14" s="65">
        <f>IF(SER_hh_fech!U14=0,0,SER_hh_fech!U14/SER_summary!U$26)</f>
        <v>13.745781446268635</v>
      </c>
      <c r="V14" s="65">
        <f>IF(SER_hh_fech!V14=0,0,SER_hh_fech!V14/SER_summary!V$26)</f>
        <v>9.8650277509096576</v>
      </c>
      <c r="W14" s="65">
        <f>IF(SER_hh_fech!W14=0,0,SER_hh_fech!W14/SER_summary!W$26)</f>
        <v>14.830820661289685</v>
      </c>
      <c r="X14" s="65">
        <f>IF(SER_hh_fech!X14=0,0,SER_hh_fech!X14/SER_summary!X$26)</f>
        <v>14.494541035769423</v>
      </c>
      <c r="Y14" s="65">
        <f>IF(SER_hh_fech!Y14=0,0,SER_hh_fech!Y14/SER_summary!Y$26)</f>
        <v>13.129156248461534</v>
      </c>
      <c r="DA14" s="109" t="s">
        <v>488</v>
      </c>
    </row>
    <row r="15" spans="1:105" ht="12" customHeight="1" x14ac:dyDescent="0.25">
      <c r="A15" s="133" t="s">
        <v>80</v>
      </c>
      <c r="B15" s="134">
        <f>IF(SER_hh_fech!B15=0,0,SER_hh_fech!B15/SER_summary!B$26)</f>
        <v>0.11503508774236244</v>
      </c>
      <c r="C15" s="134">
        <f>IF(SER_hh_fech!C15=0,0,SER_hh_fech!C15/SER_summary!C$26)</f>
        <v>0.11836350493663576</v>
      </c>
      <c r="D15" s="134">
        <f>IF(SER_hh_fech!D15=0,0,SER_hh_fech!D15/SER_summary!D$26)</f>
        <v>0.11100302565364695</v>
      </c>
      <c r="E15" s="134">
        <f>IF(SER_hh_fech!E15=0,0,SER_hh_fech!E15/SER_summary!E$26)</f>
        <v>8.9105301862073147E-2</v>
      </c>
      <c r="F15" s="134">
        <f>IF(SER_hh_fech!F15=0,0,SER_hh_fech!F15/SER_summary!F$26)</f>
        <v>9.666886284031953E-2</v>
      </c>
      <c r="G15" s="134">
        <f>IF(SER_hh_fech!G15=0,0,SER_hh_fech!G15/SER_summary!G$26)</f>
        <v>0.11597708040007523</v>
      </c>
      <c r="H15" s="134">
        <f>IF(SER_hh_fech!H15=0,0,SER_hh_fech!H15/SER_summary!H$26)</f>
        <v>0.19011775453184213</v>
      </c>
      <c r="I15" s="134">
        <f>IF(SER_hh_fech!I15=0,0,SER_hh_fech!I15/SER_summary!I$26)</f>
        <v>0.12772519211734676</v>
      </c>
      <c r="J15" s="134">
        <f>IF(SER_hh_fech!J15=0,0,SER_hh_fech!J15/SER_summary!J$26)</f>
        <v>0.11348873720820216</v>
      </c>
      <c r="K15" s="134">
        <f>IF(SER_hh_fech!K15=0,0,SER_hh_fech!K15/SER_summary!K$26)</f>
        <v>0.1341120340802246</v>
      </c>
      <c r="L15" s="134">
        <f>IF(SER_hh_fech!L15=0,0,SER_hh_fech!L15/SER_summary!L$26)</f>
        <v>0.15780533189968776</v>
      </c>
      <c r="M15" s="134">
        <f>IF(SER_hh_fech!M15=0,0,SER_hh_fech!M15/SER_summary!M$26)</f>
        <v>0.16017748425498202</v>
      </c>
      <c r="N15" s="134">
        <f>IF(SER_hh_fech!N15=0,0,SER_hh_fech!N15/SER_summary!N$26)</f>
        <v>0.13159350563100827</v>
      </c>
      <c r="O15" s="134">
        <f>IF(SER_hh_fech!O15=0,0,SER_hh_fech!O15/SER_summary!O$26)</f>
        <v>0.12392483820663036</v>
      </c>
      <c r="P15" s="134">
        <f>IF(SER_hh_fech!P15=0,0,SER_hh_fech!P15/SER_summary!P$26)</f>
        <v>7.5911600353752093E-2</v>
      </c>
      <c r="Q15" s="134">
        <f>IF(SER_hh_fech!Q15=0,0,SER_hh_fech!Q15/SER_summary!Q$26)</f>
        <v>7.4176819716183756E-2</v>
      </c>
      <c r="R15" s="134">
        <f>IF(SER_hh_fech!R15=0,0,SER_hh_fech!R15/SER_summary!R$26)</f>
        <v>8.6710007984112047E-2</v>
      </c>
      <c r="S15" s="134">
        <f>IF(SER_hh_fech!S15=0,0,SER_hh_fech!S15/SER_summary!S$26)</f>
        <v>9.8615529007293423E-2</v>
      </c>
      <c r="T15" s="134">
        <f>IF(SER_hh_fech!T15=0,0,SER_hh_fech!T15/SER_summary!T$26)</f>
        <v>0.12306765412115529</v>
      </c>
      <c r="U15" s="134">
        <f>IF(SER_hh_fech!U15=0,0,SER_hh_fech!U15/SER_summary!U$26)</f>
        <v>0.12728431740103585</v>
      </c>
      <c r="V15" s="134">
        <f>IF(SER_hh_fech!V15=0,0,SER_hh_fech!V15/SER_summary!V$26)</f>
        <v>0.12146857765892358</v>
      </c>
      <c r="W15" s="134">
        <f>IF(SER_hh_fech!W15=0,0,SER_hh_fech!W15/SER_summary!W$26)</f>
        <v>0.15175553641959538</v>
      </c>
      <c r="X15" s="134">
        <f>IF(SER_hh_fech!X15=0,0,SER_hh_fech!X15/SER_summary!X$26)</f>
        <v>0.15153143411649941</v>
      </c>
      <c r="Y15" s="134">
        <f>IF(SER_hh_fech!Y15=0,0,SER_hh_fech!Y15/SER_summary!Y$26)</f>
        <v>0.14892840513381042</v>
      </c>
      <c r="DA15" s="157" t="s">
        <v>489</v>
      </c>
    </row>
    <row r="16" spans="1:105" ht="12.95" customHeight="1" x14ac:dyDescent="0.25">
      <c r="A16" s="129" t="s">
        <v>74</v>
      </c>
      <c r="B16" s="130">
        <f>IF(SER_hh_fech!B16=0,0,SER_hh_fech!B16/SER_summary!B$26)</f>
        <v>10.089806589702285</v>
      </c>
      <c r="C16" s="130">
        <f>IF(SER_hh_fech!C16=0,0,SER_hh_fech!C16/SER_summary!C$26)</f>
        <v>10.119033820507928</v>
      </c>
      <c r="D16" s="130">
        <f>IF(SER_hh_fech!D16=0,0,SER_hh_fech!D16/SER_summary!D$26)</f>
        <v>8.5010299444511812</v>
      </c>
      <c r="E16" s="130">
        <f>IF(SER_hh_fech!E16=0,0,SER_hh_fech!E16/SER_summary!E$26)</f>
        <v>10.36994173707142</v>
      </c>
      <c r="F16" s="130">
        <f>IF(SER_hh_fech!F16=0,0,SER_hh_fech!F16/SER_summary!F$26)</f>
        <v>8.9431052642367383</v>
      </c>
      <c r="G16" s="130">
        <f>IF(SER_hh_fech!G16=0,0,SER_hh_fech!G16/SER_summary!G$26)</f>
        <v>8.8987325416289664</v>
      </c>
      <c r="H16" s="130">
        <f>IF(SER_hh_fech!H16=0,0,SER_hh_fech!H16/SER_summary!H$26)</f>
        <v>9.4941155709151044</v>
      </c>
      <c r="I16" s="130">
        <f>IF(SER_hh_fech!I16=0,0,SER_hh_fech!I16/SER_summary!I$26)</f>
        <v>6.7514148597560828</v>
      </c>
      <c r="J16" s="130">
        <f>IF(SER_hh_fech!J16=0,0,SER_hh_fech!J16/SER_summary!J$26)</f>
        <v>6.8196421270235001</v>
      </c>
      <c r="K16" s="130">
        <f>IF(SER_hh_fech!K16=0,0,SER_hh_fech!K16/SER_summary!K$26)</f>
        <v>8.5708810496444521</v>
      </c>
      <c r="L16" s="130">
        <f>IF(SER_hh_fech!L16=0,0,SER_hh_fech!L16/SER_summary!L$26)</f>
        <v>7.9053773496667308</v>
      </c>
      <c r="M16" s="130">
        <f>IF(SER_hh_fech!M16=0,0,SER_hh_fech!M16/SER_summary!M$26)</f>
        <v>6.9078079494504472</v>
      </c>
      <c r="N16" s="130">
        <f>IF(SER_hh_fech!N16=0,0,SER_hh_fech!N16/SER_summary!N$26)</f>
        <v>8.1009687819653298</v>
      </c>
      <c r="O16" s="130">
        <f>IF(SER_hh_fech!O16=0,0,SER_hh_fech!O16/SER_summary!O$26)</f>
        <v>6.4201606344708635</v>
      </c>
      <c r="P16" s="130">
        <f>IF(SER_hh_fech!P16=0,0,SER_hh_fech!P16/SER_summary!P$26)</f>
        <v>5.8080513803273721</v>
      </c>
      <c r="Q16" s="130">
        <f>IF(SER_hh_fech!Q16=0,0,SER_hh_fech!Q16/SER_summary!Q$26)</f>
        <v>8.270228277464355</v>
      </c>
      <c r="R16" s="130">
        <f>IF(SER_hh_fech!R16=0,0,SER_hh_fech!R16/SER_summary!R$26)</f>
        <v>7.8530644051424998</v>
      </c>
      <c r="S16" s="130">
        <f>IF(SER_hh_fech!S16=0,0,SER_hh_fech!S16/SER_summary!S$26)</f>
        <v>8.8666453836416128</v>
      </c>
      <c r="T16" s="130">
        <f>IF(SER_hh_fech!T16=0,0,SER_hh_fech!T16/SER_summary!T$26)</f>
        <v>6.1844501402988081</v>
      </c>
      <c r="U16" s="130">
        <f>IF(SER_hh_fech!U16=0,0,SER_hh_fech!U16/SER_summary!U$26)</f>
        <v>6.2959143921519543</v>
      </c>
      <c r="V16" s="130">
        <f>IF(SER_hh_fech!V16=0,0,SER_hh_fech!V16/SER_summary!V$26)</f>
        <v>6.8645499518526956</v>
      </c>
      <c r="W16" s="130">
        <f>IF(SER_hh_fech!W16=0,0,SER_hh_fech!W16/SER_summary!W$26)</f>
        <v>5.8715646197033182</v>
      </c>
      <c r="X16" s="130">
        <f>IF(SER_hh_fech!X16=0,0,SER_hh_fech!X16/SER_summary!X$26)</f>
        <v>7.4305443167603134</v>
      </c>
      <c r="Y16" s="130">
        <f>IF(SER_hh_fech!Y16=0,0,SER_hh_fech!Y16/SER_summary!Y$26)</f>
        <v>7.4575603280574949</v>
      </c>
      <c r="DA16" s="155" t="s">
        <v>490</v>
      </c>
    </row>
    <row r="17" spans="1:105" ht="12.95" customHeight="1" x14ac:dyDescent="0.25">
      <c r="A17" s="131" t="s">
        <v>73</v>
      </c>
      <c r="B17" s="132">
        <f>IF(SER_hh_fech!B17=0,0,SER_hh_fech!B17/SER_summary!B$26)</f>
        <v>16.166282439851635</v>
      </c>
      <c r="C17" s="132">
        <f>IF(SER_hh_fech!C17=0,0,SER_hh_fech!C17/SER_summary!C$26)</f>
        <v>16.819910547841317</v>
      </c>
      <c r="D17" s="132">
        <f>IF(SER_hh_fech!D17=0,0,SER_hh_fech!D17/SER_summary!D$26)</f>
        <v>14.762704133299408</v>
      </c>
      <c r="E17" s="132">
        <f>IF(SER_hh_fech!E17=0,0,SER_hh_fech!E17/SER_summary!E$26)</f>
        <v>21.928379646214729</v>
      </c>
      <c r="F17" s="132">
        <f>IF(SER_hh_fech!F17=0,0,SER_hh_fech!F17/SER_summary!F$26)</f>
        <v>16.287773826567363</v>
      </c>
      <c r="G17" s="132">
        <f>IF(SER_hh_fech!G17=0,0,SER_hh_fech!G17/SER_summary!G$26)</f>
        <v>16.786863764041509</v>
      </c>
      <c r="H17" s="132">
        <f>IF(SER_hh_fech!H17=0,0,SER_hh_fech!H17/SER_summary!H$26)</f>
        <v>16.431997560423724</v>
      </c>
      <c r="I17" s="132">
        <f>IF(SER_hh_fech!I17=0,0,SER_hh_fech!I17/SER_summary!I$26)</f>
        <v>13.676488576849898</v>
      </c>
      <c r="J17" s="132">
        <f>IF(SER_hh_fech!J17=0,0,SER_hh_fech!J17/SER_summary!J$26)</f>
        <v>14.227528134929674</v>
      </c>
      <c r="K17" s="132">
        <f>IF(SER_hh_fech!K17=0,0,SER_hh_fech!K17/SER_summary!K$26)</f>
        <v>18.136628484822285</v>
      </c>
      <c r="L17" s="132">
        <f>IF(SER_hh_fech!L17=0,0,SER_hh_fech!L17/SER_summary!L$26)</f>
        <v>16.975040092012218</v>
      </c>
      <c r="M17" s="132">
        <f>IF(SER_hh_fech!M17=0,0,SER_hh_fech!M17/SER_summary!M$26)</f>
        <v>15.108424451956743</v>
      </c>
      <c r="N17" s="132">
        <f>IF(SER_hh_fech!N17=0,0,SER_hh_fech!N17/SER_summary!N$26)</f>
        <v>18.056636421364189</v>
      </c>
      <c r="O17" s="132">
        <f>IF(SER_hh_fech!O17=0,0,SER_hh_fech!O17/SER_summary!O$26)</f>
        <v>14.487781847437557</v>
      </c>
      <c r="P17" s="132">
        <f>IF(SER_hh_fech!P17=0,0,SER_hh_fech!P17/SER_summary!P$26)</f>
        <v>13.344216337487394</v>
      </c>
      <c r="Q17" s="132">
        <f>IF(SER_hh_fech!Q17=0,0,SER_hh_fech!Q17/SER_summary!Q$26)</f>
        <v>19.414148334313843</v>
      </c>
      <c r="R17" s="132">
        <f>IF(SER_hh_fech!R17=0,0,SER_hh_fech!R17/SER_summary!R$26)</f>
        <v>18.853214938427175</v>
      </c>
      <c r="S17" s="132">
        <f>IF(SER_hh_fech!S17=0,0,SER_hh_fech!S17/SER_summary!S$26)</f>
        <v>21.815828329467024</v>
      </c>
      <c r="T17" s="132">
        <f>IF(SER_hh_fech!T17=0,0,SER_hh_fech!T17/SER_summary!T$26)</f>
        <v>15.402701601850088</v>
      </c>
      <c r="U17" s="132">
        <f>IF(SER_hh_fech!U17=0,0,SER_hh_fech!U17/SER_summary!U$26)</f>
        <v>15.899644045814881</v>
      </c>
      <c r="V17" s="132">
        <f>IF(SER_hh_fech!V17=0,0,SER_hh_fech!V17/SER_summary!V$26)</f>
        <v>16.162695698155012</v>
      </c>
      <c r="W17" s="132">
        <f>IF(SER_hh_fech!W17=0,0,SER_hh_fech!W17/SER_summary!W$26)</f>
        <v>14.238674129717076</v>
      </c>
      <c r="X17" s="132">
        <f>IF(SER_hh_fech!X17=0,0,SER_hh_fech!X17/SER_summary!X$26)</f>
        <v>22.138515182836013</v>
      </c>
      <c r="Y17" s="132">
        <f>IF(SER_hh_fech!Y17=0,0,SER_hh_fech!Y17/SER_summary!Y$26)</f>
        <v>20.184173201539632</v>
      </c>
      <c r="DA17" s="156" t="s">
        <v>491</v>
      </c>
    </row>
    <row r="18" spans="1:105" ht="12" customHeight="1" x14ac:dyDescent="0.25">
      <c r="A18" s="131" t="s">
        <v>72</v>
      </c>
      <c r="B18" s="132">
        <f>IF(SER_hh_fech!B18=0,0,SER_hh_fech!B18/SER_summary!B$26)</f>
        <v>10.085236834962004</v>
      </c>
      <c r="C18" s="132">
        <f>IF(SER_hh_fech!C18=0,0,SER_hh_fech!C18/SER_summary!C$26)</f>
        <v>10.11403310193961</v>
      </c>
      <c r="D18" s="132">
        <f>IF(SER_hh_fech!D18=0,0,SER_hh_fech!D18/SER_summary!D$26)</f>
        <v>8.4968288442012128</v>
      </c>
      <c r="E18" s="132">
        <f>IF(SER_hh_fech!E18=0,0,SER_hh_fech!E18/SER_summary!E$26)</f>
        <v>10.36077352288404</v>
      </c>
      <c r="F18" s="132">
        <f>IF(SER_hh_fech!F18=0,0,SER_hh_fech!F18/SER_summary!F$26)</f>
        <v>8.9359599398522285</v>
      </c>
      <c r="G18" s="132">
        <f>IF(SER_hh_fech!G18=0,0,SER_hh_fech!G18/SER_summary!G$26)</f>
        <v>8.8906224426659843</v>
      </c>
      <c r="H18" s="132">
        <f>IF(SER_hh_fech!H18=0,0,SER_hh_fech!H18/SER_summary!H$26)</f>
        <v>9.4860570312651369</v>
      </c>
      <c r="I18" s="132">
        <f>IF(SER_hh_fech!I18=0,0,SER_hh_fech!I18/SER_summary!I$26)</f>
        <v>6.7431519700324412</v>
      </c>
      <c r="J18" s="132">
        <f>IF(SER_hh_fech!J18=0,0,SER_hh_fech!J18/SER_summary!J$26)</f>
        <v>6.8095500304577126</v>
      </c>
      <c r="K18" s="132">
        <f>IF(SER_hh_fech!K18=0,0,SER_hh_fech!K18/SER_summary!K$26)</f>
        <v>8.5569315661366936</v>
      </c>
      <c r="L18" s="132">
        <f>IF(SER_hh_fech!L18=0,0,SER_hh_fech!L18/SER_summary!L$26)</f>
        <v>7.8904838769760692</v>
      </c>
      <c r="M18" s="132">
        <f>IF(SER_hh_fech!M18=0,0,SER_hh_fech!M18/SER_summary!M$26)</f>
        <v>6.892340930079782</v>
      </c>
      <c r="N18" s="132">
        <f>IF(SER_hh_fech!N18=0,0,SER_hh_fech!N18/SER_summary!N$26)</f>
        <v>8.080242589999532</v>
      </c>
      <c r="O18" s="132">
        <f>IF(SER_hh_fech!O18=0,0,SER_hh_fech!O18/SER_summary!O$26)</f>
        <v>6.39919801935305</v>
      </c>
      <c r="P18" s="132">
        <f>IF(SER_hh_fech!P18=0,0,SER_hh_fech!P18/SER_summary!P$26)</f>
        <v>5.7859241218483835</v>
      </c>
      <c r="Q18" s="132">
        <f>IF(SER_hh_fech!Q18=0,0,SER_hh_fech!Q18/SER_summary!Q$26)</f>
        <v>8.2319298431043713</v>
      </c>
      <c r="R18" s="132">
        <f>IF(SER_hh_fech!R18=0,0,SER_hh_fech!R18/SER_summary!R$26)</f>
        <v>7.8088156033656624</v>
      </c>
      <c r="S18" s="132">
        <f>IF(SER_hh_fech!S18=0,0,SER_hh_fech!S18/SER_summary!S$26)</f>
        <v>8.8101072413883443</v>
      </c>
      <c r="T18" s="132">
        <f>IF(SER_hh_fech!T18=0,0,SER_hh_fech!T18/SER_summary!T$26)</f>
        <v>6.1367075134411797</v>
      </c>
      <c r="U18" s="132">
        <f>IF(SER_hh_fech!U18=0,0,SER_hh_fech!U18/SER_summary!U$26)</f>
        <v>6.2433383446769835</v>
      </c>
      <c r="V18" s="132">
        <f>IF(SER_hh_fech!V18=0,0,SER_hh_fech!V18/SER_summary!V$26)</f>
        <v>6.8111385082473159</v>
      </c>
      <c r="W18" s="132">
        <f>IF(SER_hh_fech!W18=0,0,SER_hh_fech!W18/SER_summary!W$26)</f>
        <v>5.8222752996206362</v>
      </c>
      <c r="X18" s="132">
        <f>IF(SER_hh_fech!X18=0,0,SER_hh_fech!X18/SER_summary!X$26)</f>
        <v>7.3439123254086827</v>
      </c>
      <c r="Y18" s="132">
        <f>IF(SER_hh_fech!Y18=0,0,SER_hh_fech!Y18/SER_summary!Y$26)</f>
        <v>7.3824962536412047</v>
      </c>
      <c r="DA18" s="156" t="s">
        <v>492</v>
      </c>
    </row>
    <row r="19" spans="1:105" ht="12.95" customHeight="1" x14ac:dyDescent="0.25">
      <c r="A19" s="129" t="s">
        <v>35</v>
      </c>
      <c r="B19" s="130">
        <f>IF(SER_hh_fech!B19=0,0,SER_hh_fech!B19/SER_summary!B$26)</f>
        <v>6.7181896995030428</v>
      </c>
      <c r="C19" s="130">
        <f>IF(SER_hh_fech!C19=0,0,SER_hh_fech!C19/SER_summary!C$26)</f>
        <v>6.8983333720196445</v>
      </c>
      <c r="D19" s="130">
        <f>IF(SER_hh_fech!D19=0,0,SER_hh_fech!D19/SER_summary!D$26)</f>
        <v>7.1263544080117871</v>
      </c>
      <c r="E19" s="130">
        <f>IF(SER_hh_fech!E19=0,0,SER_hh_fech!E19/SER_summary!E$26)</f>
        <v>6.9848659737175707</v>
      </c>
      <c r="F19" s="130">
        <f>IF(SER_hh_fech!F19=0,0,SER_hh_fech!F19/SER_summary!F$26)</f>
        <v>7.3275300903418872</v>
      </c>
      <c r="G19" s="130">
        <f>IF(SER_hh_fech!G19=0,0,SER_hh_fech!G19/SER_summary!G$26)</f>
        <v>7.2697695174239039</v>
      </c>
      <c r="H19" s="130">
        <f>IF(SER_hh_fech!H19=0,0,SER_hh_fech!H19/SER_summary!H$26)</f>
        <v>7.4646371056946057</v>
      </c>
      <c r="I19" s="130">
        <f>IF(SER_hh_fech!I19=0,0,SER_hh_fech!I19/SER_summary!I$26)</f>
        <v>7.3089784626555963</v>
      </c>
      <c r="J19" s="130">
        <f>IF(SER_hh_fech!J19=0,0,SER_hh_fech!J19/SER_summary!J$26)</f>
        <v>7.3039942742468336</v>
      </c>
      <c r="K19" s="130">
        <f>IF(SER_hh_fech!K19=0,0,SER_hh_fech!K19/SER_summary!K$26)</f>
        <v>7.2995873172603121</v>
      </c>
      <c r="L19" s="130">
        <f>IF(SER_hh_fech!L19=0,0,SER_hh_fech!L19/SER_summary!L$26)</f>
        <v>7.3102805254935888</v>
      </c>
      <c r="M19" s="130">
        <f>IF(SER_hh_fech!M19=0,0,SER_hh_fech!M19/SER_summary!M$26)</f>
        <v>7.3144001710370441</v>
      </c>
      <c r="N19" s="130">
        <f>IF(SER_hh_fech!N19=0,0,SER_hh_fech!N19/SER_summary!N$26)</f>
        <v>7.1037036922687706</v>
      </c>
      <c r="O19" s="130">
        <f>IF(SER_hh_fech!O19=0,0,SER_hh_fech!O19/SER_summary!O$26)</f>
        <v>7.2413235710570598</v>
      </c>
      <c r="P19" s="130">
        <f>IF(SER_hh_fech!P19=0,0,SER_hh_fech!P19/SER_summary!P$26)</f>
        <v>7.0283411105602633</v>
      </c>
      <c r="Q19" s="130">
        <f>IF(SER_hh_fech!Q19=0,0,SER_hh_fech!Q19/SER_summary!Q$26)</f>
        <v>6.6073433072754364</v>
      </c>
      <c r="R19" s="130">
        <f>IF(SER_hh_fech!R19=0,0,SER_hh_fech!R19/SER_summary!R$26)</f>
        <v>6.3896224189282096</v>
      </c>
      <c r="S19" s="130">
        <f>IF(SER_hh_fech!S19=0,0,SER_hh_fech!S19/SER_summary!S$26)</f>
        <v>6.0914602605621582</v>
      </c>
      <c r="T19" s="130">
        <f>IF(SER_hh_fech!T19=0,0,SER_hh_fech!T19/SER_summary!T$26)</f>
        <v>6.3969775701781941</v>
      </c>
      <c r="U19" s="130">
        <f>IF(SER_hh_fech!U19=0,0,SER_hh_fech!U19/SER_summary!U$26)</f>
        <v>6.1845500360261658</v>
      </c>
      <c r="V19" s="130">
        <f>IF(SER_hh_fech!V19=0,0,SER_hh_fech!V19/SER_summary!V$26)</f>
        <v>5.3714409563273593</v>
      </c>
      <c r="W19" s="130">
        <f>IF(SER_hh_fech!W19=0,0,SER_hh_fech!W19/SER_summary!W$26)</f>
        <v>5.7393627970860779</v>
      </c>
      <c r="X19" s="130">
        <f>IF(SER_hh_fech!X19=0,0,SER_hh_fech!X19/SER_summary!X$26)</f>
        <v>5.3895531814151818</v>
      </c>
      <c r="Y19" s="130">
        <f>IF(SER_hh_fech!Y19=0,0,SER_hh_fech!Y19/SER_summary!Y$26)</f>
        <v>5.352942142764296</v>
      </c>
      <c r="DA19" s="155" t="s">
        <v>493</v>
      </c>
    </row>
    <row r="20" spans="1:105" ht="12" customHeight="1" x14ac:dyDescent="0.25">
      <c r="A20" s="131" t="s">
        <v>29</v>
      </c>
      <c r="B20" s="132">
        <f>IF(SER_hh_fech!B20=0,0,SER_hh_fech!B20/SER_summary!B$26)</f>
        <v>0</v>
      </c>
      <c r="C20" s="132">
        <f>IF(SER_hh_fech!C20=0,0,SER_hh_fech!C20/SER_summary!C$26)</f>
        <v>0</v>
      </c>
      <c r="D20" s="132">
        <f>IF(SER_hh_fech!D20=0,0,SER_hh_fech!D20/SER_summary!D$26)</f>
        <v>0</v>
      </c>
      <c r="E20" s="132">
        <f>IF(SER_hh_fech!E20=0,0,SER_hh_fech!E20/SER_summary!E$26)</f>
        <v>0</v>
      </c>
      <c r="F20" s="132">
        <f>IF(SER_hh_fech!F20=0,0,SER_hh_fech!F20/SER_summary!F$26)</f>
        <v>0</v>
      </c>
      <c r="G20" s="132">
        <f>IF(SER_hh_fech!G20=0,0,SER_hh_fech!G20/SER_summary!G$26)</f>
        <v>0</v>
      </c>
      <c r="H20" s="132">
        <f>IF(SER_hh_fech!H20=0,0,SER_hh_fech!H20/SER_summary!H$26)</f>
        <v>0</v>
      </c>
      <c r="I20" s="132">
        <f>IF(SER_hh_fech!I20=0,0,SER_hh_fech!I20/SER_summary!I$26)</f>
        <v>0</v>
      </c>
      <c r="J20" s="132">
        <f>IF(SER_hh_fech!J20=0,0,SER_hh_fech!J20/SER_summary!J$26)</f>
        <v>0</v>
      </c>
      <c r="K20" s="132">
        <f>IF(SER_hh_fech!K20=0,0,SER_hh_fech!K20/SER_summary!K$26)</f>
        <v>0</v>
      </c>
      <c r="L20" s="132">
        <f>IF(SER_hh_fech!L20=0,0,SER_hh_fech!L20/SER_summary!L$26)</f>
        <v>0</v>
      </c>
      <c r="M20" s="132">
        <f>IF(SER_hh_fech!M20=0,0,SER_hh_fech!M20/SER_summary!M$26)</f>
        <v>0</v>
      </c>
      <c r="N20" s="132">
        <f>IF(SER_hh_fech!N20=0,0,SER_hh_fech!N20/SER_summary!N$26)</f>
        <v>0</v>
      </c>
      <c r="O20" s="132">
        <f>IF(SER_hh_fech!O20=0,0,SER_hh_fech!O20/SER_summary!O$26)</f>
        <v>0</v>
      </c>
      <c r="P20" s="132">
        <f>IF(SER_hh_fech!P20=0,0,SER_hh_fech!P20/SER_summary!P$26)</f>
        <v>0</v>
      </c>
      <c r="Q20" s="132">
        <f>IF(SER_hh_fech!Q20=0,0,SER_hh_fech!Q20/SER_summary!Q$26)</f>
        <v>0</v>
      </c>
      <c r="R20" s="132">
        <f>IF(SER_hh_fech!R20=0,0,SER_hh_fech!R20/SER_summary!R$26)</f>
        <v>0</v>
      </c>
      <c r="S20" s="132">
        <f>IF(SER_hh_fech!S20=0,0,SER_hh_fech!S20/SER_summary!S$26)</f>
        <v>0</v>
      </c>
      <c r="T20" s="132">
        <f>IF(SER_hh_fech!T20=0,0,SER_hh_fech!T20/SER_summary!T$26)</f>
        <v>0</v>
      </c>
      <c r="U20" s="132">
        <f>IF(SER_hh_fech!U20=0,0,SER_hh_fech!U20/SER_summary!U$26)</f>
        <v>0</v>
      </c>
      <c r="V20" s="132">
        <f>IF(SER_hh_fech!V20=0,0,SER_hh_fech!V20/SER_summary!V$26)</f>
        <v>0</v>
      </c>
      <c r="W20" s="132">
        <f>IF(SER_hh_fech!W20=0,0,SER_hh_fech!W20/SER_summary!W$26)</f>
        <v>0</v>
      </c>
      <c r="X20" s="132">
        <f>IF(SER_hh_fech!X20=0,0,SER_hh_fech!X20/SER_summary!X$26)</f>
        <v>0</v>
      </c>
      <c r="Y20" s="132">
        <f>IF(SER_hh_fech!Y20=0,0,SER_hh_fech!Y20/SER_summary!Y$26)</f>
        <v>0</v>
      </c>
      <c r="DA20" s="156" t="s">
        <v>494</v>
      </c>
    </row>
    <row r="21" spans="1:105" s="2" customFormat="1" ht="12" customHeight="1" x14ac:dyDescent="0.25">
      <c r="A21" s="131" t="s">
        <v>52</v>
      </c>
      <c r="B21" s="132">
        <f>IF(SER_hh_fech!B21=0,0,SER_hh_fech!B21/SER_summary!B$26)</f>
        <v>7.3463549654395104</v>
      </c>
      <c r="C21" s="132">
        <f>IF(SER_hh_fech!C21=0,0,SER_hh_fech!C21/SER_summary!C$26)</f>
        <v>7.4292021588288195</v>
      </c>
      <c r="D21" s="132">
        <f>IF(SER_hh_fech!D21=0,0,SER_hh_fech!D21/SER_summary!D$26)</f>
        <v>7.757495218285583</v>
      </c>
      <c r="E21" s="132">
        <f>IF(SER_hh_fech!E21=0,0,SER_hh_fech!E21/SER_summary!E$26)</f>
        <v>8.07578906354337</v>
      </c>
      <c r="F21" s="132">
        <f>IF(SER_hh_fech!F21=0,0,SER_hh_fech!F21/SER_summary!F$26)</f>
        <v>7.825547681993009</v>
      </c>
      <c r="G21" s="132">
        <f>IF(SER_hh_fech!G21=0,0,SER_hh_fech!G21/SER_summary!G$26)</f>
        <v>7.9999631699864997</v>
      </c>
      <c r="H21" s="132">
        <f>IF(SER_hh_fech!H21=0,0,SER_hh_fech!H21/SER_summary!H$26)</f>
        <v>8.2440186594890204</v>
      </c>
      <c r="I21" s="132">
        <f>IF(SER_hh_fech!I21=0,0,SER_hh_fech!I21/SER_summary!I$26)</f>
        <v>8.1841908196740114</v>
      </c>
      <c r="J21" s="132">
        <f>IF(SER_hh_fech!J21=0,0,SER_hh_fech!J21/SER_summary!J$26)</f>
        <v>8.135592949750718</v>
      </c>
      <c r="K21" s="132">
        <f>IF(SER_hh_fech!K21=0,0,SER_hh_fech!K21/SER_summary!K$26)</f>
        <v>8.099840023207074</v>
      </c>
      <c r="L21" s="132">
        <f>IF(SER_hh_fech!L21=0,0,SER_hh_fech!L21/SER_summary!L$26)</f>
        <v>8.122407506775625</v>
      </c>
      <c r="M21" s="132">
        <f>IF(SER_hh_fech!M21=0,0,SER_hh_fech!M21/SER_summary!M$26)</f>
        <v>8.0485570271456499</v>
      </c>
      <c r="N21" s="132">
        <f>IF(SER_hh_fech!N21=0,0,SER_hh_fech!N21/SER_summary!N$26)</f>
        <v>7.9098199111762835</v>
      </c>
      <c r="O21" s="132">
        <f>IF(SER_hh_fech!O21=0,0,SER_hh_fech!O21/SER_summary!O$26)</f>
        <v>7.7924483505671063</v>
      </c>
      <c r="P21" s="132">
        <f>IF(SER_hh_fech!P21=0,0,SER_hh_fech!P21/SER_summary!P$26)</f>
        <v>7.4329745628750938</v>
      </c>
      <c r="Q21" s="132">
        <f>IF(SER_hh_fech!Q21=0,0,SER_hh_fech!Q21/SER_summary!Q$26)</f>
        <v>7.1665490348038432</v>
      </c>
      <c r="R21" s="132">
        <f>IF(SER_hh_fech!R21=0,0,SER_hh_fech!R21/SER_summary!R$26)</f>
        <v>7.0049750643363184</v>
      </c>
      <c r="S21" s="132">
        <f>IF(SER_hh_fech!S21=0,0,SER_hh_fech!S21/SER_summary!S$26)</f>
        <v>6.8640530023853001</v>
      </c>
      <c r="T21" s="132">
        <f>IF(SER_hh_fech!T21=0,0,SER_hh_fech!T21/SER_summary!T$26)</f>
        <v>7.4591688981831359</v>
      </c>
      <c r="U21" s="132">
        <f>IF(SER_hh_fech!U21=0,0,SER_hh_fech!U21/SER_summary!U$26)</f>
        <v>6.9156805414819074</v>
      </c>
      <c r="V21" s="132">
        <f>IF(SER_hh_fech!V21=0,0,SER_hh_fech!V21/SER_summary!V$26)</f>
        <v>5.0577385110803785</v>
      </c>
      <c r="W21" s="132">
        <f>IF(SER_hh_fech!W21=0,0,SER_hh_fech!W21/SER_summary!W$26)</f>
        <v>5.4164354902935337</v>
      </c>
      <c r="X21" s="132">
        <f>IF(SER_hh_fech!X21=0,0,SER_hh_fech!X21/SER_summary!X$26)</f>
        <v>5.5089276500773741</v>
      </c>
      <c r="Y21" s="132">
        <f>IF(SER_hh_fech!Y21=0,0,SER_hh_fech!Y21/SER_summary!Y$26)</f>
        <v>6.2847439135240402</v>
      </c>
      <c r="DA21" s="156" t="s">
        <v>495</v>
      </c>
    </row>
    <row r="22" spans="1:105" ht="12" customHeight="1" x14ac:dyDescent="0.25">
      <c r="A22" s="131" t="s">
        <v>161</v>
      </c>
      <c r="B22" s="132">
        <f>IF(SER_hh_fech!B22=0,0,SER_hh_fech!B22/SER_summary!B$26)</f>
        <v>7.6260614525678001</v>
      </c>
      <c r="C22" s="132">
        <f>IF(SER_hh_fech!C22=0,0,SER_hh_fech!C22/SER_summary!C$26)</f>
        <v>7.9711564397402181</v>
      </c>
      <c r="D22" s="132">
        <f>IF(SER_hh_fech!D22=0,0,SER_hh_fech!D22/SER_summary!D$26)</f>
        <v>8.1907960182765134</v>
      </c>
      <c r="E22" s="132">
        <f>IF(SER_hh_fech!E22=0,0,SER_hh_fech!E22/SER_summary!E$26)</f>
        <v>8.2935776868133715</v>
      </c>
      <c r="F22" s="132">
        <f>IF(SER_hh_fech!F22=0,0,SER_hh_fech!F22/SER_summary!F$26)</f>
        <v>8.5758894215714729</v>
      </c>
      <c r="G22" s="132">
        <f>IF(SER_hh_fech!G22=0,0,SER_hh_fech!G22/SER_summary!G$26)</f>
        <v>8.723640284904171</v>
      </c>
      <c r="H22" s="132">
        <f>IF(SER_hh_fech!H22=0,0,SER_hh_fech!H22/SER_summary!H$26)</f>
        <v>8.8019002893603613</v>
      </c>
      <c r="I22" s="132">
        <f>IF(SER_hh_fech!I22=0,0,SER_hh_fech!I22/SER_summary!I$26)</f>
        <v>8.5446529851826369</v>
      </c>
      <c r="J22" s="132">
        <f>IF(SER_hh_fech!J22=0,0,SER_hh_fech!J22/SER_summary!J$26)</f>
        <v>8.5458141733530741</v>
      </c>
      <c r="K22" s="132">
        <f>IF(SER_hh_fech!K22=0,0,SER_hh_fech!K22/SER_summary!K$26)</f>
        <v>8.5415470925416468</v>
      </c>
      <c r="L22" s="132">
        <f>IF(SER_hh_fech!L22=0,0,SER_hh_fech!L22/SER_summary!L$26)</f>
        <v>8.496430129513536</v>
      </c>
      <c r="M22" s="132">
        <f>IF(SER_hh_fech!M22=0,0,SER_hh_fech!M22/SER_summary!M$26)</f>
        <v>8.4228798490952226</v>
      </c>
      <c r="N22" s="132">
        <f>IF(SER_hh_fech!N22=0,0,SER_hh_fech!N22/SER_summary!N$26)</f>
        <v>8.3557387705238302</v>
      </c>
      <c r="O22" s="132">
        <f>IF(SER_hh_fech!O22=0,0,SER_hh_fech!O22/SER_summary!O$26)</f>
        <v>8.0666466777961734</v>
      </c>
      <c r="P22" s="132">
        <f>IF(SER_hh_fech!P22=0,0,SER_hh_fech!P22/SER_summary!P$26)</f>
        <v>7.5934653551896059</v>
      </c>
      <c r="Q22" s="132">
        <f>IF(SER_hh_fech!Q22=0,0,SER_hh_fech!Q22/SER_summary!Q$26)</f>
        <v>7.422835755274324</v>
      </c>
      <c r="R22" s="132">
        <f>IF(SER_hh_fech!R22=0,0,SER_hh_fech!R22/SER_summary!R$26)</f>
        <v>7.2035836076377935</v>
      </c>
      <c r="S22" s="132">
        <f>IF(SER_hh_fech!S22=0,0,SER_hh_fech!S22/SER_summary!S$26)</f>
        <v>6.8282178455682088</v>
      </c>
      <c r="T22" s="132">
        <f>IF(SER_hh_fech!T22=0,0,SER_hh_fech!T22/SER_summary!T$26)</f>
        <v>6.7825756901007042</v>
      </c>
      <c r="U22" s="132">
        <f>IF(SER_hh_fech!U22=0,0,SER_hh_fech!U22/SER_summary!U$26)</f>
        <v>6.5140899280440872</v>
      </c>
      <c r="V22" s="132">
        <f>IF(SER_hh_fech!V22=0,0,SER_hh_fech!V22/SER_summary!V$26)</f>
        <v>6.0305693814248302</v>
      </c>
      <c r="W22" s="132">
        <f>IF(SER_hh_fech!W22=0,0,SER_hh_fech!W22/SER_summary!W$26)</f>
        <v>6.2673423507316874</v>
      </c>
      <c r="X22" s="132">
        <f>IF(SER_hh_fech!X22=0,0,SER_hh_fech!X22/SER_summary!X$26)</f>
        <v>5.9889739775327788</v>
      </c>
      <c r="Y22" s="132">
        <f>IF(SER_hh_fech!Y22=0,0,SER_hh_fech!Y22/SER_summary!Y$26)</f>
        <v>5.7511708690506556</v>
      </c>
      <c r="DA22" s="156" t="s">
        <v>496</v>
      </c>
    </row>
    <row r="23" spans="1:105" ht="12" customHeight="1" x14ac:dyDescent="0.25">
      <c r="A23" s="131" t="s">
        <v>149</v>
      </c>
      <c r="B23" s="132">
        <f>IF(SER_hh_fech!B23=0,0,SER_hh_fech!B23/SER_summary!B$26)</f>
        <v>7.8186059077510484</v>
      </c>
      <c r="C23" s="132">
        <f>IF(SER_hh_fech!C23=0,0,SER_hh_fech!C23/SER_summary!C$26)</f>
        <v>7.9059068186855397</v>
      </c>
      <c r="D23" s="132">
        <f>IF(SER_hh_fech!D23=0,0,SER_hh_fech!D23/SER_summary!D$26)</f>
        <v>8.5287347090359305</v>
      </c>
      <c r="E23" s="132">
        <f>IF(SER_hh_fech!E23=0,0,SER_hh_fech!E23/SER_summary!E$26)</f>
        <v>4.4065077920374831</v>
      </c>
      <c r="F23" s="132">
        <f>IF(SER_hh_fech!F23=0,0,SER_hh_fech!F23/SER_summary!F$26)</f>
        <v>6.6613134738860289</v>
      </c>
      <c r="G23" s="132">
        <f>IF(SER_hh_fech!G23=0,0,SER_hh_fech!G23/SER_summary!G$26)</f>
        <v>5.8036024390971006</v>
      </c>
      <c r="H23" s="132">
        <f>IF(SER_hh_fech!H23=0,0,SER_hh_fech!H23/SER_summary!H$26)</f>
        <v>9.525038854976664</v>
      </c>
      <c r="I23" s="132">
        <f>IF(SER_hh_fech!I23=0,0,SER_hh_fech!I23/SER_summary!I$26)</f>
        <v>8.3175533824040837</v>
      </c>
      <c r="J23" s="132">
        <f>IF(SER_hh_fech!J23=0,0,SER_hh_fech!J23/SER_summary!J$26)</f>
        <v>7.6544391856767104</v>
      </c>
      <c r="K23" s="132">
        <f>IF(SER_hh_fech!K23=0,0,SER_hh_fech!K23/SER_summary!K$26)</f>
        <v>7.7123055345038223</v>
      </c>
      <c r="L23" s="132">
        <f>IF(SER_hh_fech!L23=0,0,SER_hh_fech!L23/SER_summary!L$26)</f>
        <v>7.5697302837846765</v>
      </c>
      <c r="M23" s="132">
        <f>IF(SER_hh_fech!M23=0,0,SER_hh_fech!M23/SER_summary!M$26)</f>
        <v>7.1990515319551616</v>
      </c>
      <c r="N23" s="132">
        <f>IF(SER_hh_fech!N23=0,0,SER_hh_fech!N23/SER_summary!N$26)</f>
        <v>7.1196261347579375</v>
      </c>
      <c r="O23" s="132">
        <f>IF(SER_hh_fech!O23=0,0,SER_hh_fech!O23/SER_summary!O$26)</f>
        <v>7.2333318562862088</v>
      </c>
      <c r="P23" s="132">
        <f>IF(SER_hh_fech!P23=0,0,SER_hh_fech!P23/SER_summary!P$26)</f>
        <v>7.983911258408523</v>
      </c>
      <c r="Q23" s="132">
        <f>IF(SER_hh_fech!Q23=0,0,SER_hh_fech!Q23/SER_summary!Q$26)</f>
        <v>6.3042638822155013</v>
      </c>
      <c r="R23" s="132">
        <f>IF(SER_hh_fech!R23=0,0,SER_hh_fech!R23/SER_summary!R$26)</f>
        <v>6.3046705650164956</v>
      </c>
      <c r="S23" s="132">
        <f>IF(SER_hh_fech!S23=0,0,SER_hh_fech!S23/SER_summary!S$26)</f>
        <v>6.2549567861656872</v>
      </c>
      <c r="T23" s="132">
        <f>IF(SER_hh_fech!T23=0,0,SER_hh_fech!T23/SER_summary!T$26)</f>
        <v>6.1814013072671257</v>
      </c>
      <c r="U23" s="132">
        <f>IF(SER_hh_fech!U23=0,0,SER_hh_fech!U23/SER_summary!U$26)</f>
        <v>6.0982925803575583</v>
      </c>
      <c r="V23" s="132">
        <f>IF(SER_hh_fech!V23=0,0,SER_hh_fech!V23/SER_summary!V$26)</f>
        <v>5.3903837566548694</v>
      </c>
      <c r="W23" s="132">
        <f>IF(SER_hh_fech!W23=0,0,SER_hh_fech!W23/SER_summary!W$26)</f>
        <v>5.6348476458709538</v>
      </c>
      <c r="X23" s="132">
        <f>IF(SER_hh_fech!X23=0,0,SER_hh_fech!X23/SER_summary!X$26)</f>
        <v>5.2905969267261002</v>
      </c>
      <c r="Y23" s="132">
        <f>IF(SER_hh_fech!Y23=0,0,SER_hh_fech!Y23/SER_summary!Y$26)</f>
        <v>5.1760651156679423</v>
      </c>
      <c r="DA23" s="156" t="s">
        <v>497</v>
      </c>
    </row>
    <row r="24" spans="1:105" ht="12" customHeight="1" x14ac:dyDescent="0.25">
      <c r="A24" s="131" t="s">
        <v>128</v>
      </c>
      <c r="B24" s="132">
        <f>IF(SER_hh_fech!B24=0,0,SER_hh_fech!B24/SER_summary!B$26)</f>
        <v>0</v>
      </c>
      <c r="C24" s="132">
        <f>IF(SER_hh_fech!C24=0,0,SER_hh_fech!C24/SER_summary!C$26)</f>
        <v>0</v>
      </c>
      <c r="D24" s="132">
        <f>IF(SER_hh_fech!D24=0,0,SER_hh_fech!D24/SER_summary!D$26)</f>
        <v>0</v>
      </c>
      <c r="E24" s="132">
        <f>IF(SER_hh_fech!E24=0,0,SER_hh_fech!E24/SER_summary!E$26)</f>
        <v>0</v>
      </c>
      <c r="F24" s="132">
        <f>IF(SER_hh_fech!F24=0,0,SER_hh_fech!F24/SER_summary!F$26)</f>
        <v>0</v>
      </c>
      <c r="G24" s="132">
        <f>IF(SER_hh_fech!G24=0,0,SER_hh_fech!G24/SER_summary!G$26)</f>
        <v>0</v>
      </c>
      <c r="H24" s="132">
        <f>IF(SER_hh_fech!H24=0,0,SER_hh_fech!H24/SER_summary!H$26)</f>
        <v>0</v>
      </c>
      <c r="I24" s="132">
        <f>IF(SER_hh_fech!I24=0,0,SER_hh_fech!I24/SER_summary!I$26)</f>
        <v>0</v>
      </c>
      <c r="J24" s="132">
        <f>IF(SER_hh_fech!J24=0,0,SER_hh_fech!J24/SER_summary!J$26)</f>
        <v>0</v>
      </c>
      <c r="K24" s="132">
        <f>IF(SER_hh_fech!K24=0,0,SER_hh_fech!K24/SER_summary!K$26)</f>
        <v>0</v>
      </c>
      <c r="L24" s="132">
        <f>IF(SER_hh_fech!L24=0,0,SER_hh_fech!L24/SER_summary!L$26)</f>
        <v>0</v>
      </c>
      <c r="M24" s="132">
        <f>IF(SER_hh_fech!M24=0,0,SER_hh_fech!M24/SER_summary!M$26)</f>
        <v>0</v>
      </c>
      <c r="N24" s="132">
        <f>IF(SER_hh_fech!N24=0,0,SER_hh_fech!N24/SER_summary!N$26)</f>
        <v>0</v>
      </c>
      <c r="O24" s="132">
        <f>IF(SER_hh_fech!O24=0,0,SER_hh_fech!O24/SER_summary!O$26)</f>
        <v>0</v>
      </c>
      <c r="P24" s="132">
        <f>IF(SER_hh_fech!P24=0,0,SER_hh_fech!P24/SER_summary!P$26)</f>
        <v>0</v>
      </c>
      <c r="Q24" s="132">
        <f>IF(SER_hh_fech!Q24=0,0,SER_hh_fech!Q24/SER_summary!Q$26)</f>
        <v>0</v>
      </c>
      <c r="R24" s="132">
        <f>IF(SER_hh_fech!R24=0,0,SER_hh_fech!R24/SER_summary!R$26)</f>
        <v>0</v>
      </c>
      <c r="S24" s="132">
        <f>IF(SER_hh_fech!S24=0,0,SER_hh_fech!S24/SER_summary!S$26)</f>
        <v>0</v>
      </c>
      <c r="T24" s="132">
        <f>IF(SER_hh_fech!T24=0,0,SER_hh_fech!T24/SER_summary!T$26)</f>
        <v>0</v>
      </c>
      <c r="U24" s="132">
        <f>IF(SER_hh_fech!U24=0,0,SER_hh_fech!U24/SER_summary!U$26)</f>
        <v>0</v>
      </c>
      <c r="V24" s="132">
        <f>IF(SER_hh_fech!V24=0,0,SER_hh_fech!V24/SER_summary!V$26)</f>
        <v>0</v>
      </c>
      <c r="W24" s="132">
        <f>IF(SER_hh_fech!W24=0,0,SER_hh_fech!W24/SER_summary!W$26)</f>
        <v>0</v>
      </c>
      <c r="X24" s="132">
        <f>IF(SER_hh_fech!X24=0,0,SER_hh_fech!X24/SER_summary!X$26)</f>
        <v>0</v>
      </c>
      <c r="Y24" s="132">
        <f>IF(SER_hh_fech!Y24=0,0,SER_hh_fech!Y24/SER_summary!Y$26)</f>
        <v>0</v>
      </c>
      <c r="DA24" s="156" t="s">
        <v>498</v>
      </c>
    </row>
    <row r="25" spans="1:105" ht="12" customHeight="1" x14ac:dyDescent="0.25">
      <c r="A25" s="131" t="s">
        <v>162</v>
      </c>
      <c r="B25" s="132">
        <f>IF(SER_hh_fech!B25=0,0,SER_hh_fech!B25/SER_summary!B$26)</f>
        <v>0</v>
      </c>
      <c r="C25" s="132">
        <f>IF(SER_hh_fech!C25=0,0,SER_hh_fech!C25/SER_summary!C$26)</f>
        <v>0</v>
      </c>
      <c r="D25" s="132">
        <f>IF(SER_hh_fech!D25=0,0,SER_hh_fech!D25/SER_summary!D$26)</f>
        <v>0</v>
      </c>
      <c r="E25" s="132">
        <f>IF(SER_hh_fech!E25=0,0,SER_hh_fech!E25/SER_summary!E$26)</f>
        <v>0</v>
      </c>
      <c r="F25" s="132">
        <f>IF(SER_hh_fech!F25=0,0,SER_hh_fech!F25/SER_summary!F$26)</f>
        <v>0</v>
      </c>
      <c r="G25" s="132">
        <f>IF(SER_hh_fech!G25=0,0,SER_hh_fech!G25/SER_summary!G$26)</f>
        <v>0</v>
      </c>
      <c r="H25" s="132">
        <f>IF(SER_hh_fech!H25=0,0,SER_hh_fech!H25/SER_summary!H$26)</f>
        <v>0</v>
      </c>
      <c r="I25" s="132">
        <f>IF(SER_hh_fech!I25=0,0,SER_hh_fech!I25/SER_summary!I$26)</f>
        <v>0</v>
      </c>
      <c r="J25" s="132">
        <f>IF(SER_hh_fech!J25=0,0,SER_hh_fech!J25/SER_summary!J$26)</f>
        <v>0</v>
      </c>
      <c r="K25" s="132">
        <f>IF(SER_hh_fech!K25=0,0,SER_hh_fech!K25/SER_summary!K$26)</f>
        <v>0</v>
      </c>
      <c r="L25" s="132">
        <f>IF(SER_hh_fech!L25=0,0,SER_hh_fech!L25/SER_summary!L$26)</f>
        <v>0</v>
      </c>
      <c r="M25" s="132">
        <f>IF(SER_hh_fech!M25=0,0,SER_hh_fech!M25/SER_summary!M$26)</f>
        <v>0</v>
      </c>
      <c r="N25" s="132">
        <f>IF(SER_hh_fech!N25=0,0,SER_hh_fech!N25/SER_summary!N$26)</f>
        <v>0</v>
      </c>
      <c r="O25" s="132">
        <f>IF(SER_hh_fech!O25=0,0,SER_hh_fech!O25/SER_summary!O$26)</f>
        <v>0</v>
      </c>
      <c r="P25" s="132">
        <f>IF(SER_hh_fech!P25=0,0,SER_hh_fech!P25/SER_summary!P$26)</f>
        <v>0</v>
      </c>
      <c r="Q25" s="132">
        <f>IF(SER_hh_fech!Q25=0,0,SER_hh_fech!Q25/SER_summary!Q$26)</f>
        <v>0</v>
      </c>
      <c r="R25" s="132">
        <f>IF(SER_hh_fech!R25=0,0,SER_hh_fech!R25/SER_summary!R$26)</f>
        <v>0</v>
      </c>
      <c r="S25" s="132">
        <f>IF(SER_hh_fech!S25=0,0,SER_hh_fech!S25/SER_summary!S$26)</f>
        <v>0</v>
      </c>
      <c r="T25" s="132">
        <f>IF(SER_hh_fech!T25=0,0,SER_hh_fech!T25/SER_summary!T$26)</f>
        <v>0</v>
      </c>
      <c r="U25" s="132">
        <f>IF(SER_hh_fech!U25=0,0,SER_hh_fech!U25/SER_summary!U$26)</f>
        <v>0</v>
      </c>
      <c r="V25" s="132">
        <f>IF(SER_hh_fech!V25=0,0,SER_hh_fech!V25/SER_summary!V$26)</f>
        <v>0</v>
      </c>
      <c r="W25" s="132">
        <f>IF(SER_hh_fech!W25=0,0,SER_hh_fech!W25/SER_summary!W$26)</f>
        <v>0</v>
      </c>
      <c r="X25" s="132">
        <f>IF(SER_hh_fech!X25=0,0,SER_hh_fech!X25/SER_summary!X$26)</f>
        <v>0</v>
      </c>
      <c r="Y25" s="132">
        <f>IF(SER_hh_fech!Y25=0,0,SER_hh_fech!Y25/SER_summary!Y$26)</f>
        <v>0</v>
      </c>
      <c r="DA25" s="156" t="s">
        <v>499</v>
      </c>
    </row>
    <row r="26" spans="1:105" ht="12" customHeight="1" x14ac:dyDescent="0.25">
      <c r="A26" s="131" t="s">
        <v>24</v>
      </c>
      <c r="B26" s="65">
        <f>IF(SER_hh_fech!B26=0,0,SER_hh_fech!B26/SER_summary!B$26)</f>
        <v>5.8520945521518852</v>
      </c>
      <c r="C26" s="65">
        <f>IF(SER_hh_fech!C26=0,0,SER_hh_fech!C26/SER_summary!C$26)</f>
        <v>6.049217675728241</v>
      </c>
      <c r="D26" s="65">
        <f>IF(SER_hh_fech!D26=0,0,SER_hh_fech!D26/SER_summary!D$26)</f>
        <v>6.3220625821699086</v>
      </c>
      <c r="E26" s="65">
        <f>IF(SER_hh_fech!E26=0,0,SER_hh_fech!E26/SER_summary!E$26)</f>
        <v>6.475762057807934</v>
      </c>
      <c r="F26" s="65">
        <f>IF(SER_hh_fech!F26=0,0,SER_hh_fech!F26/SER_summary!F$26)</f>
        <v>6.7401814647616574</v>
      </c>
      <c r="G26" s="65">
        <f>IF(SER_hh_fech!G26=0,0,SER_hh_fech!G26/SER_summary!G$26)</f>
        <v>6.7319151240636881</v>
      </c>
      <c r="H26" s="65">
        <f>IF(SER_hh_fech!H26=0,0,SER_hh_fech!H26/SER_summary!H$26)</f>
        <v>6.2103446928035817</v>
      </c>
      <c r="I26" s="65">
        <f>IF(SER_hh_fech!I26=0,0,SER_hh_fech!I26/SER_summary!I$26)</f>
        <v>6.315074857251056</v>
      </c>
      <c r="J26" s="65">
        <f>IF(SER_hh_fech!J26=0,0,SER_hh_fech!J26/SER_summary!J$26)</f>
        <v>6.4948307289557565</v>
      </c>
      <c r="K26" s="65">
        <f>IF(SER_hh_fech!K26=0,0,SER_hh_fech!K26/SER_summary!K$26)</f>
        <v>6.4215962864814999</v>
      </c>
      <c r="L26" s="65">
        <f>IF(SER_hh_fech!L26=0,0,SER_hh_fech!L26/SER_summary!L$26)</f>
        <v>6.4737869626247555</v>
      </c>
      <c r="M26" s="65">
        <f>IF(SER_hh_fech!M26=0,0,SER_hh_fech!M26/SER_summary!M$26)</f>
        <v>6.5785255588847473</v>
      </c>
      <c r="N26" s="65">
        <f>IF(SER_hh_fech!N26=0,0,SER_hh_fech!N26/SER_summary!N$26)</f>
        <v>6.1845294064293954</v>
      </c>
      <c r="O26" s="65">
        <f>IF(SER_hh_fech!O26=0,0,SER_hh_fech!O26/SER_summary!O$26)</f>
        <v>6.4171354153601072</v>
      </c>
      <c r="P26" s="65">
        <f>IF(SER_hh_fech!P26=0,0,SER_hh_fech!P26/SER_summary!P$26)</f>
        <v>5.6504777100046741</v>
      </c>
      <c r="Q26" s="65">
        <f>IF(SER_hh_fech!Q26=0,0,SER_hh_fech!Q26/SER_summary!Q$26)</f>
        <v>5.7131653167668857</v>
      </c>
      <c r="R26" s="65">
        <f>IF(SER_hh_fech!R26=0,0,SER_hh_fech!R26/SER_summary!R$26)</f>
        <v>5.2931509917262165</v>
      </c>
      <c r="S26" s="65">
        <f>IF(SER_hh_fech!S26=0,0,SER_hh_fech!S26/SER_summary!S$26)</f>
        <v>4.8273287892114931</v>
      </c>
      <c r="T26" s="65">
        <f>IF(SER_hh_fech!T26=0,0,SER_hh_fech!T26/SER_summary!T$26)</f>
        <v>5.5704537056458125</v>
      </c>
      <c r="U26" s="65">
        <f>IF(SER_hh_fech!U26=0,0,SER_hh_fech!U26/SER_summary!U$26)</f>
        <v>5.3066842543885029</v>
      </c>
      <c r="V26" s="65">
        <f>IF(SER_hh_fech!V26=0,0,SER_hh_fech!V26/SER_summary!V$26)</f>
        <v>4.1622022603820801</v>
      </c>
      <c r="W26" s="65">
        <f>IF(SER_hh_fech!W26=0,0,SER_hh_fech!W26/SER_summary!W$26)</f>
        <v>4.688749842656498</v>
      </c>
      <c r="X26" s="65">
        <f>IF(SER_hh_fech!X26=0,0,SER_hh_fech!X26/SER_summary!X$26)</f>
        <v>4.1905370374914046</v>
      </c>
      <c r="Y26" s="65">
        <f>IF(SER_hh_fech!Y26=0,0,SER_hh_fech!Y26/SER_summary!Y$26)</f>
        <v>4.3171277299255575</v>
      </c>
      <c r="DA26" s="109" t="s">
        <v>500</v>
      </c>
    </row>
    <row r="27" spans="1:105" ht="12" customHeight="1" x14ac:dyDescent="0.25">
      <c r="A27" s="144" t="s">
        <v>86</v>
      </c>
      <c r="B27" s="145">
        <f>IF(SER_hh_fech!B27=0,0,SER_hh_fech!B27/SER_summary!B$26)</f>
        <v>4.6508918826353197E-2</v>
      </c>
      <c r="C27" s="145">
        <f>IF(SER_hh_fech!C27=0,0,SER_hh_fech!C27/SER_summary!C$26)</f>
        <v>5.7346047668085855E-2</v>
      </c>
      <c r="D27" s="145">
        <f>IF(SER_hh_fech!D27=0,0,SER_hh_fech!D27/SER_summary!D$26)</f>
        <v>6.8450447364806669E-2</v>
      </c>
      <c r="E27" s="145">
        <f>IF(SER_hh_fech!E27=0,0,SER_hh_fech!E27/SER_summary!E$26)</f>
        <v>8.4360471718443172E-2</v>
      </c>
      <c r="F27" s="145">
        <f>IF(SER_hh_fech!F27=0,0,SER_hh_fech!F27/SER_summary!F$26)</f>
        <v>9.7103712735257877E-2</v>
      </c>
      <c r="G27" s="145">
        <f>IF(SER_hh_fech!G27=0,0,SER_hh_fech!G27/SER_summary!G$26)</f>
        <v>0.11401115461155772</v>
      </c>
      <c r="H27" s="145">
        <f>IF(SER_hh_fech!H27=0,0,SER_hh_fech!H27/SER_summary!H$26)</f>
        <v>0.12765696743203586</v>
      </c>
      <c r="I27" s="145">
        <f>IF(SER_hh_fech!I27=0,0,SER_hh_fech!I27/SER_summary!I$26)</f>
        <v>0.13340143745402644</v>
      </c>
      <c r="J27" s="145">
        <f>IF(SER_hh_fech!J27=0,0,SER_hh_fech!J27/SER_summary!J$26)</f>
        <v>0.15316278285223545</v>
      </c>
      <c r="K27" s="145">
        <f>IF(SER_hh_fech!K27=0,0,SER_hh_fech!K27/SER_summary!K$26)</f>
        <v>0.18319620780235893</v>
      </c>
      <c r="L27" s="145">
        <f>IF(SER_hh_fech!L27=0,0,SER_hh_fech!L27/SER_summary!L$26)</f>
        <v>0.20011264406021176</v>
      </c>
      <c r="M27" s="145">
        <f>IF(SER_hh_fech!M27=0,0,SER_hh_fech!M27/SER_summary!M$26)</f>
        <v>0.21530855734801152</v>
      </c>
      <c r="N27" s="145">
        <f>IF(SER_hh_fech!N27=0,0,SER_hh_fech!N27/SER_summary!N$26)</f>
        <v>0.22935204686772603</v>
      </c>
      <c r="O27" s="145">
        <f>IF(SER_hh_fech!O27=0,0,SER_hh_fech!O27/SER_summary!O$26)</f>
        <v>0.23403942628981053</v>
      </c>
      <c r="P27" s="145">
        <f>IF(SER_hh_fech!P27=0,0,SER_hh_fech!P27/SER_summary!P$26)</f>
        <v>0.24934542798301951</v>
      </c>
      <c r="Q27" s="145">
        <f>IF(SER_hh_fech!Q27=0,0,SER_hh_fech!Q27/SER_summary!Q$26)</f>
        <v>0.26241971222656857</v>
      </c>
      <c r="R27" s="145">
        <f>IF(SER_hh_fech!R27=0,0,SER_hh_fech!R27/SER_summary!R$26)</f>
        <v>0.25912459735051036</v>
      </c>
      <c r="S27" s="145">
        <f>IF(SER_hh_fech!S27=0,0,SER_hh_fech!S27/SER_summary!S$26)</f>
        <v>0.261322579055351</v>
      </c>
      <c r="T27" s="145">
        <f>IF(SER_hh_fech!T27=0,0,SER_hh_fech!T27/SER_summary!T$26)</f>
        <v>0.26302183199686813</v>
      </c>
      <c r="U27" s="145">
        <f>IF(SER_hh_fech!U27=0,0,SER_hh_fech!U27/SER_summary!U$26)</f>
        <v>0.26296325308239121</v>
      </c>
      <c r="V27" s="145">
        <f>IF(SER_hh_fech!V27=0,0,SER_hh_fech!V27/SER_summary!V$26)</f>
        <v>0.25908468575916721</v>
      </c>
      <c r="W27" s="145">
        <f>IF(SER_hh_fech!W27=0,0,SER_hh_fech!W27/SER_summary!W$26)</f>
        <v>0.25201037925614156</v>
      </c>
      <c r="X27" s="145">
        <f>IF(SER_hh_fech!X27=0,0,SER_hh_fech!X27/SER_summary!X$26)</f>
        <v>0.24221178939925192</v>
      </c>
      <c r="Y27" s="145">
        <f>IF(SER_hh_fech!Y27=0,0,SER_hh_fech!Y27/SER_summary!Y$26)</f>
        <v>0.23187892721068262</v>
      </c>
      <c r="DA27" s="158" t="s">
        <v>501</v>
      </c>
    </row>
    <row r="28" spans="1:105" ht="12" customHeight="1" x14ac:dyDescent="0.25">
      <c r="A28" s="78" t="s">
        <v>85</v>
      </c>
      <c r="B28" s="146">
        <f>IF(SER_hh_fech!B28=0,0,SER_hh_fech!B28/SER_summary!B$26)</f>
        <v>3.1684783113868931</v>
      </c>
      <c r="C28" s="146">
        <f>IF(SER_hh_fech!C28=0,0,SER_hh_fech!C28/SER_summary!C$26)</f>
        <v>2.8847742495719384</v>
      </c>
      <c r="D28" s="146">
        <f>IF(SER_hh_fech!D28=0,0,SER_hh_fech!D28/SER_summary!D$26)</f>
        <v>3.5331467987385716</v>
      </c>
      <c r="E28" s="146">
        <f>IF(SER_hh_fech!E28=0,0,SER_hh_fech!E28/SER_summary!E$26)</f>
        <v>3.6727074198151306</v>
      </c>
      <c r="F28" s="146">
        <f>IF(SER_hh_fech!F28=0,0,SER_hh_fech!F28/SER_summary!F$26)</f>
        <v>3.8041148059460412</v>
      </c>
      <c r="G28" s="146">
        <f>IF(SER_hh_fech!G28=0,0,SER_hh_fech!G28/SER_summary!G$26)</f>
        <v>3.8069740155615657</v>
      </c>
      <c r="H28" s="146">
        <f>IF(SER_hh_fech!H28=0,0,SER_hh_fech!H28/SER_summary!H$26)</f>
        <v>3.7855415093451197</v>
      </c>
      <c r="I28" s="146">
        <f>IF(SER_hh_fech!I28=0,0,SER_hh_fech!I28/SER_summary!I$26)</f>
        <v>3.8214027095443788</v>
      </c>
      <c r="J28" s="146">
        <f>IF(SER_hh_fech!J28=0,0,SER_hh_fech!J28/SER_summary!J$26)</f>
        <v>3.8875199815594481</v>
      </c>
      <c r="K28" s="146">
        <f>IF(SER_hh_fech!K28=0,0,SER_hh_fech!K28/SER_summary!K$26)</f>
        <v>3.9385277331009174</v>
      </c>
      <c r="L28" s="146">
        <f>IF(SER_hh_fech!L28=0,0,SER_hh_fech!L28/SER_summary!L$26)</f>
        <v>3.9875774942640145</v>
      </c>
      <c r="M28" s="146">
        <f>IF(SER_hh_fech!M28=0,0,SER_hh_fech!M28/SER_summary!M$26)</f>
        <v>3.8863968880653816</v>
      </c>
      <c r="N28" s="146">
        <f>IF(SER_hh_fech!N28=0,0,SER_hh_fech!N28/SER_summary!N$26)</f>
        <v>3.9513202804265677</v>
      </c>
      <c r="O28" s="146">
        <f>IF(SER_hh_fech!O28=0,0,SER_hh_fech!O28/SER_summary!O$26)</f>
        <v>4.1927707665223242</v>
      </c>
      <c r="P28" s="146">
        <f>IF(SER_hh_fech!P28=0,0,SER_hh_fech!P28/SER_summary!P$26)</f>
        <v>3.8895970195993499</v>
      </c>
      <c r="Q28" s="146">
        <f>IF(SER_hh_fech!Q28=0,0,SER_hh_fech!Q28/SER_summary!Q$26)</f>
        <v>3.9920767435744624</v>
      </c>
      <c r="R28" s="146">
        <f>IF(SER_hh_fech!R28=0,0,SER_hh_fech!R28/SER_summary!R$26)</f>
        <v>3.8651009658413447</v>
      </c>
      <c r="S28" s="146">
        <f>IF(SER_hh_fech!S28=0,0,SER_hh_fech!S28/SER_summary!S$26)</f>
        <v>3.6481800967475433</v>
      </c>
      <c r="T28" s="146">
        <f>IF(SER_hh_fech!T28=0,0,SER_hh_fech!T28/SER_summary!T$26)</f>
        <v>3.8907670878669105</v>
      </c>
      <c r="U28" s="146">
        <f>IF(SER_hh_fech!U28=0,0,SER_hh_fech!U28/SER_summary!U$26)</f>
        <v>3.7661171510332219</v>
      </c>
      <c r="V28" s="146">
        <f>IF(SER_hh_fech!V28=0,0,SER_hh_fech!V28/SER_summary!V$26)</f>
        <v>3.3936481919053727</v>
      </c>
      <c r="W28" s="146">
        <f>IF(SER_hh_fech!W28=0,0,SER_hh_fech!W28/SER_summary!W$26)</f>
        <v>3.68846748987791</v>
      </c>
      <c r="X28" s="146">
        <f>IF(SER_hh_fech!X28=0,0,SER_hh_fech!X28/SER_summary!X$26)</f>
        <v>3.5078305492922777</v>
      </c>
      <c r="Y28" s="146">
        <f>IF(SER_hh_fech!Y28=0,0,SER_hh_fech!Y28/SER_summary!Y$26)</f>
        <v>3.6163673503801386</v>
      </c>
      <c r="DA28" s="159"/>
    </row>
    <row r="29" spans="1:105" ht="12.95" customHeight="1" x14ac:dyDescent="0.25">
      <c r="A29" s="129" t="s">
        <v>34</v>
      </c>
      <c r="B29" s="130">
        <f>IF(SER_hh_fech!B29=0,0,SER_hh_fech!B29/SER_summary!B$26)</f>
        <v>7.0934111292541528</v>
      </c>
      <c r="C29" s="130">
        <f>IF(SER_hh_fech!C29=0,0,SER_hh_fech!C29/SER_summary!C$26)</f>
        <v>7.3046796840306563</v>
      </c>
      <c r="D29" s="130">
        <f>IF(SER_hh_fech!D29=0,0,SER_hh_fech!D29/SER_summary!D$26)</f>
        <v>6.9998354074630731</v>
      </c>
      <c r="E29" s="130">
        <f>IF(SER_hh_fech!E29=0,0,SER_hh_fech!E29/SER_summary!E$26)</f>
        <v>6.7225889355559714</v>
      </c>
      <c r="F29" s="130">
        <f>IF(SER_hh_fech!F29=0,0,SER_hh_fech!F29/SER_summary!F$26)</f>
        <v>7.2214639643890139</v>
      </c>
      <c r="G29" s="130">
        <f>IF(SER_hh_fech!G29=0,0,SER_hh_fech!G29/SER_summary!G$26)</f>
        <v>7.2227999836984305</v>
      </c>
      <c r="H29" s="130">
        <f>IF(SER_hh_fech!H29=0,0,SER_hh_fech!H29/SER_summary!H$26)</f>
        <v>7.6180889292964764</v>
      </c>
      <c r="I29" s="130">
        <f>IF(SER_hh_fech!I29=0,0,SER_hh_fech!I29/SER_summary!I$26)</f>
        <v>7.703744578663958</v>
      </c>
      <c r="J29" s="130">
        <f>IF(SER_hh_fech!J29=0,0,SER_hh_fech!J29/SER_summary!J$26)</f>
        <v>7.8685112851609098</v>
      </c>
      <c r="K29" s="130">
        <f>IF(SER_hh_fech!K29=0,0,SER_hh_fech!K29/SER_summary!K$26)</f>
        <v>7.8535448477649386</v>
      </c>
      <c r="L29" s="130">
        <f>IF(SER_hh_fech!L29=0,0,SER_hh_fech!L29/SER_summary!L$26)</f>
        <v>8.0191318908478273</v>
      </c>
      <c r="M29" s="130">
        <f>IF(SER_hh_fech!M29=0,0,SER_hh_fech!M29/SER_summary!M$26)</f>
        <v>8.0931213734897707</v>
      </c>
      <c r="N29" s="130">
        <f>IF(SER_hh_fech!N29=0,0,SER_hh_fech!N29/SER_summary!N$26)</f>
        <v>7.9612850324930999</v>
      </c>
      <c r="O29" s="130">
        <f>IF(SER_hh_fech!O29=0,0,SER_hh_fech!O29/SER_summary!O$26)</f>
        <v>8.0698582186033221</v>
      </c>
      <c r="P29" s="130">
        <f>IF(SER_hh_fech!P29=0,0,SER_hh_fech!P29/SER_summary!P$26)</f>
        <v>8.4630023952389219</v>
      </c>
      <c r="Q29" s="130">
        <f>IF(SER_hh_fech!Q29=0,0,SER_hh_fech!Q29/SER_summary!Q$26)</f>
        <v>8.5399612423909268</v>
      </c>
      <c r="R29" s="130">
        <f>IF(SER_hh_fech!R29=0,0,SER_hh_fech!R29/SER_summary!R$26)</f>
        <v>8.4544608438142674</v>
      </c>
      <c r="S29" s="130">
        <f>IF(SER_hh_fech!S29=0,0,SER_hh_fech!S29/SER_summary!S$26)</f>
        <v>8.6363937121423664</v>
      </c>
      <c r="T29" s="130">
        <f>IF(SER_hh_fech!T29=0,0,SER_hh_fech!T29/SER_summary!T$26)</f>
        <v>8.6920690527703286</v>
      </c>
      <c r="U29" s="130">
        <f>IF(SER_hh_fech!U29=0,0,SER_hh_fech!U29/SER_summary!U$26)</f>
        <v>8.8236561038798662</v>
      </c>
      <c r="V29" s="130">
        <f>IF(SER_hh_fech!V29=0,0,SER_hh_fech!V29/SER_summary!V$26)</f>
        <v>7.3735194100065593</v>
      </c>
      <c r="W29" s="130">
        <f>IF(SER_hh_fech!W29=0,0,SER_hh_fech!W29/SER_summary!W$26)</f>
        <v>8.3656212541947141</v>
      </c>
      <c r="X29" s="130">
        <f>IF(SER_hh_fech!X29=0,0,SER_hh_fech!X29/SER_summary!X$26)</f>
        <v>7.4673436628244936</v>
      </c>
      <c r="Y29" s="130">
        <f>IF(SER_hh_fech!Y29=0,0,SER_hh_fech!Y29/SER_summary!Y$26)</f>
        <v>8.4347160084194979</v>
      </c>
      <c r="DA29" s="155" t="s">
        <v>502</v>
      </c>
    </row>
    <row r="30" spans="1:105" ht="12" customHeight="1" x14ac:dyDescent="0.25">
      <c r="A30" s="131" t="s">
        <v>52</v>
      </c>
      <c r="B30" s="132">
        <f>IF(SER_hh_fech!B30=0,0,SER_hh_fech!B30/SER_summary!B$26)</f>
        <v>8.3690036691259913</v>
      </c>
      <c r="C30" s="132">
        <f>IF(SER_hh_fech!C30=0,0,SER_hh_fech!C30/SER_summary!C$26)</f>
        <v>8.854074534742292</v>
      </c>
      <c r="D30" s="132">
        <f>IF(SER_hh_fech!D30=0,0,SER_hh_fech!D30/SER_summary!D$26)</f>
        <v>8.5618255497278568</v>
      </c>
      <c r="E30" s="132">
        <f>IF(SER_hh_fech!E30=0,0,SER_hh_fech!E30/SER_summary!E$26)</f>
        <v>8.3162736401519606</v>
      </c>
      <c r="F30" s="132">
        <f>IF(SER_hh_fech!F30=0,0,SER_hh_fech!F30/SER_summary!F$26)</f>
        <v>9.0119957446975363</v>
      </c>
      <c r="G30" s="132">
        <f>IF(SER_hh_fech!G30=0,0,SER_hh_fech!G30/SER_summary!G$26)</f>
        <v>8.7918289215050009</v>
      </c>
      <c r="H30" s="132">
        <f>IF(SER_hh_fech!H30=0,0,SER_hh_fech!H30/SER_summary!H$26)</f>
        <v>8.5679412249909479</v>
      </c>
      <c r="I30" s="132">
        <f>IF(SER_hh_fech!I30=0,0,SER_hh_fech!I30/SER_summary!I$26)</f>
        <v>9.244248657178014</v>
      </c>
      <c r="J30" s="132">
        <f>IF(SER_hh_fech!J30=0,0,SER_hh_fech!J30/SER_summary!J$26)</f>
        <v>9.965212274066646</v>
      </c>
      <c r="K30" s="132">
        <f>IF(SER_hh_fech!K30=0,0,SER_hh_fech!K30/SER_summary!K$26)</f>
        <v>9.3672986581784041</v>
      </c>
      <c r="L30" s="132">
        <f>IF(SER_hh_fech!L30=0,0,SER_hh_fech!L30/SER_summary!L$26)</f>
        <v>9.7784507551092155</v>
      </c>
      <c r="M30" s="132">
        <f>IF(SER_hh_fech!M30=0,0,SER_hh_fech!M30/SER_summary!M$26)</f>
        <v>9.6700240729815352</v>
      </c>
      <c r="N30" s="132">
        <f>IF(SER_hh_fech!N30=0,0,SER_hh_fech!N30/SER_summary!N$26)</f>
        <v>9.8256641291344664</v>
      </c>
      <c r="O30" s="132">
        <f>IF(SER_hh_fech!O30=0,0,SER_hh_fech!O30/SER_summary!O$26)</f>
        <v>9.8239718938501657</v>
      </c>
      <c r="P30" s="132">
        <f>IF(SER_hh_fech!P30=0,0,SER_hh_fech!P30/SER_summary!P$26)</f>
        <v>6.7715454630703116</v>
      </c>
      <c r="Q30" s="132">
        <f>IF(SER_hh_fech!Q30=0,0,SER_hh_fech!Q30/SER_summary!Q$26)</f>
        <v>9.3027909655851762</v>
      </c>
      <c r="R30" s="132">
        <f>IF(SER_hh_fech!R30=0,0,SER_hh_fech!R30/SER_summary!R$26)</f>
        <v>11.587219262867542</v>
      </c>
      <c r="S30" s="132">
        <f>IF(SER_hh_fech!S30=0,0,SER_hh_fech!S30/SER_summary!S$26)</f>
        <v>9.0236130303841193</v>
      </c>
      <c r="T30" s="132">
        <f>IF(SER_hh_fech!T30=0,0,SER_hh_fech!T30/SER_summary!T$26)</f>
        <v>10.653603101796403</v>
      </c>
      <c r="U30" s="132">
        <f>IF(SER_hh_fech!U30=0,0,SER_hh_fech!U30/SER_summary!U$26)</f>
        <v>10.261745843491942</v>
      </c>
      <c r="V30" s="132">
        <f>IF(SER_hh_fech!V30=0,0,SER_hh_fech!V30/SER_summary!V$26)</f>
        <v>7.0937600223552648</v>
      </c>
      <c r="W30" s="132">
        <f>IF(SER_hh_fech!W30=0,0,SER_hh_fech!W30/SER_summary!W$26)</f>
        <v>8.0980994074437298</v>
      </c>
      <c r="X30" s="132">
        <f>IF(SER_hh_fech!X30=0,0,SER_hh_fech!X30/SER_summary!X$26)</f>
        <v>8.6078549181984467</v>
      </c>
      <c r="Y30" s="132">
        <f>IF(SER_hh_fech!Y30=0,0,SER_hh_fech!Y30/SER_summary!Y$26)</f>
        <v>10.946923117115002</v>
      </c>
      <c r="DA30" s="156" t="s">
        <v>503</v>
      </c>
    </row>
    <row r="31" spans="1:105" ht="12" customHeight="1" x14ac:dyDescent="0.25">
      <c r="A31" s="131" t="s">
        <v>149</v>
      </c>
      <c r="B31" s="132">
        <f>IF(SER_hh_fech!B31=0,0,SER_hh_fech!B31/SER_summary!B$26)</f>
        <v>7.9639797521257725</v>
      </c>
      <c r="C31" s="132">
        <f>IF(SER_hh_fech!C31=0,0,SER_hh_fech!C31/SER_summary!C$26)</f>
        <v>9.2331196469814092</v>
      </c>
      <c r="D31" s="132">
        <f>IF(SER_hh_fech!D31=0,0,SER_hh_fech!D31/SER_summary!D$26)</f>
        <v>7.9989548184135062</v>
      </c>
      <c r="E31" s="132">
        <f>IF(SER_hh_fech!E31=0,0,SER_hh_fech!E31/SER_summary!E$26)</f>
        <v>6.7562538241871115</v>
      </c>
      <c r="F31" s="132">
        <f>IF(SER_hh_fech!F31=0,0,SER_hh_fech!F31/SER_summary!F$26)</f>
        <v>9.0276684475017692</v>
      </c>
      <c r="G31" s="132">
        <f>IF(SER_hh_fech!G31=0,0,SER_hh_fech!G31/SER_summary!G$26)</f>
        <v>8.7705268653179917</v>
      </c>
      <c r="H31" s="132">
        <f>IF(SER_hh_fech!H31=0,0,SER_hh_fech!H31/SER_summary!H$26)</f>
        <v>9.2654455947974377</v>
      </c>
      <c r="I31" s="132">
        <f>IF(SER_hh_fech!I31=0,0,SER_hh_fech!I31/SER_summary!I$26)</f>
        <v>9.2143480951931132</v>
      </c>
      <c r="J31" s="132">
        <f>IF(SER_hh_fech!J31=0,0,SER_hh_fech!J31/SER_summary!J$26)</f>
        <v>9.3872840912090147</v>
      </c>
      <c r="K31" s="132">
        <f>IF(SER_hh_fech!K31=0,0,SER_hh_fech!K31/SER_summary!K$26)</f>
        <v>9.2892632830437769</v>
      </c>
      <c r="L31" s="132">
        <f>IF(SER_hh_fech!L31=0,0,SER_hh_fech!L31/SER_summary!L$26)</f>
        <v>9.4957771357786154</v>
      </c>
      <c r="M31" s="132">
        <f>IF(SER_hh_fech!M31=0,0,SER_hh_fech!M31/SER_summary!M$26)</f>
        <v>9.3037746731803352</v>
      </c>
      <c r="N31" s="132">
        <f>IF(SER_hh_fech!N31=0,0,SER_hh_fech!N31/SER_summary!N$26)</f>
        <v>8.4949832846951399</v>
      </c>
      <c r="O31" s="132">
        <f>IF(SER_hh_fech!O31=0,0,SER_hh_fech!O31/SER_summary!O$26)</f>
        <v>7.941260327606475</v>
      </c>
      <c r="P31" s="132">
        <f>IF(SER_hh_fech!P31=0,0,SER_hh_fech!P31/SER_summary!P$26)</f>
        <v>10.572403449378369</v>
      </c>
      <c r="Q31" s="132">
        <f>IF(SER_hh_fech!Q31=0,0,SER_hh_fech!Q31/SER_summary!Q$26)</f>
        <v>9.8811437357655603</v>
      </c>
      <c r="R31" s="132">
        <f>IF(SER_hh_fech!R31=0,0,SER_hh_fech!R31/SER_summary!R$26)</f>
        <v>9.8013983319976514</v>
      </c>
      <c r="S31" s="132">
        <f>IF(SER_hh_fech!S31=0,0,SER_hh_fech!S31/SER_summary!S$26)</f>
        <v>9.8395133989019374</v>
      </c>
      <c r="T31" s="132">
        <f>IF(SER_hh_fech!T31=0,0,SER_hh_fech!T31/SER_summary!T$26)</f>
        <v>8.9038943474561805</v>
      </c>
      <c r="U31" s="132">
        <f>IF(SER_hh_fech!U31=0,0,SER_hh_fech!U31/SER_summary!U$26)</f>
        <v>9.2050911304942513</v>
      </c>
      <c r="V31" s="132">
        <f>IF(SER_hh_fech!V31=0,0,SER_hh_fech!V31/SER_summary!V$26)</f>
        <v>9.6787022165329244</v>
      </c>
      <c r="W31" s="132">
        <f>IF(SER_hh_fech!W31=0,0,SER_hh_fech!W31/SER_summary!W$26)</f>
        <v>9.7466109211792116</v>
      </c>
      <c r="X31" s="132">
        <f>IF(SER_hh_fech!X31=0,0,SER_hh_fech!X31/SER_summary!X$26)</f>
        <v>8.9859387525074705</v>
      </c>
      <c r="Y31" s="132">
        <f>IF(SER_hh_fech!Y31=0,0,SER_hh_fech!Y31/SER_summary!Y$26)</f>
        <v>9.2720153507417571</v>
      </c>
      <c r="DA31" s="156" t="s">
        <v>504</v>
      </c>
    </row>
    <row r="32" spans="1:105" ht="12" customHeight="1" x14ac:dyDescent="0.25">
      <c r="A32" s="131" t="s">
        <v>128</v>
      </c>
      <c r="B32" s="132">
        <f>IF(SER_hh_fech!B32=0,0,SER_hh_fech!B32/SER_summary!B$26)</f>
        <v>0</v>
      </c>
      <c r="C32" s="132">
        <f>IF(SER_hh_fech!C32=0,0,SER_hh_fech!C32/SER_summary!C$26)</f>
        <v>0</v>
      </c>
      <c r="D32" s="132">
        <f>IF(SER_hh_fech!D32=0,0,SER_hh_fech!D32/SER_summary!D$26)</f>
        <v>0</v>
      </c>
      <c r="E32" s="132">
        <f>IF(SER_hh_fech!E32=0,0,SER_hh_fech!E32/SER_summary!E$26)</f>
        <v>0</v>
      </c>
      <c r="F32" s="132">
        <f>IF(SER_hh_fech!F32=0,0,SER_hh_fech!F32/SER_summary!F$26)</f>
        <v>0</v>
      </c>
      <c r="G32" s="132">
        <f>IF(SER_hh_fech!G32=0,0,SER_hh_fech!G32/SER_summary!G$26)</f>
        <v>0</v>
      </c>
      <c r="H32" s="132">
        <f>IF(SER_hh_fech!H32=0,0,SER_hh_fech!H32/SER_summary!H$26)</f>
        <v>0</v>
      </c>
      <c r="I32" s="132">
        <f>IF(SER_hh_fech!I32=0,0,SER_hh_fech!I32/SER_summary!I$26)</f>
        <v>0</v>
      </c>
      <c r="J32" s="132">
        <f>IF(SER_hh_fech!J32=0,0,SER_hh_fech!J32/SER_summary!J$26)</f>
        <v>0</v>
      </c>
      <c r="K32" s="132">
        <f>IF(SER_hh_fech!K32=0,0,SER_hh_fech!K32/SER_summary!K$26)</f>
        <v>0</v>
      </c>
      <c r="L32" s="132">
        <f>IF(SER_hh_fech!L32=0,0,SER_hh_fech!L32/SER_summary!L$26)</f>
        <v>0</v>
      </c>
      <c r="M32" s="132">
        <f>IF(SER_hh_fech!M32=0,0,SER_hh_fech!M32/SER_summary!M$26)</f>
        <v>0</v>
      </c>
      <c r="N32" s="132">
        <f>IF(SER_hh_fech!N32=0,0,SER_hh_fech!N32/SER_summary!N$26)</f>
        <v>0</v>
      </c>
      <c r="O32" s="132">
        <f>IF(SER_hh_fech!O32=0,0,SER_hh_fech!O32/SER_summary!O$26)</f>
        <v>0</v>
      </c>
      <c r="P32" s="132">
        <f>IF(SER_hh_fech!P32=0,0,SER_hh_fech!P32/SER_summary!P$26)</f>
        <v>0</v>
      </c>
      <c r="Q32" s="132">
        <f>IF(SER_hh_fech!Q32=0,0,SER_hh_fech!Q32/SER_summary!Q$26)</f>
        <v>0</v>
      </c>
      <c r="R32" s="132">
        <f>IF(SER_hh_fech!R32=0,0,SER_hh_fech!R32/SER_summary!R$26)</f>
        <v>0</v>
      </c>
      <c r="S32" s="132">
        <f>IF(SER_hh_fech!S32=0,0,SER_hh_fech!S32/SER_summary!S$26)</f>
        <v>0</v>
      </c>
      <c r="T32" s="132">
        <f>IF(SER_hh_fech!T32=0,0,SER_hh_fech!T32/SER_summary!T$26)</f>
        <v>0</v>
      </c>
      <c r="U32" s="132">
        <f>IF(SER_hh_fech!U32=0,0,SER_hh_fech!U32/SER_summary!U$26)</f>
        <v>0</v>
      </c>
      <c r="V32" s="132">
        <f>IF(SER_hh_fech!V32=0,0,SER_hh_fech!V32/SER_summary!V$26)</f>
        <v>0</v>
      </c>
      <c r="W32" s="132">
        <f>IF(SER_hh_fech!W32=0,0,SER_hh_fech!W32/SER_summary!W$26)</f>
        <v>0</v>
      </c>
      <c r="X32" s="132">
        <f>IF(SER_hh_fech!X32=0,0,SER_hh_fech!X32/SER_summary!X$26)</f>
        <v>0</v>
      </c>
      <c r="Y32" s="132">
        <f>IF(SER_hh_fech!Y32=0,0,SER_hh_fech!Y32/SER_summary!Y$26)</f>
        <v>0</v>
      </c>
      <c r="DA32" s="156" t="s">
        <v>505</v>
      </c>
    </row>
    <row r="33" spans="1:105" ht="12" customHeight="1" x14ac:dyDescent="0.25">
      <c r="A33" s="62" t="s">
        <v>24</v>
      </c>
      <c r="B33" s="68">
        <f>IF(SER_hh_fech!B33=0,0,SER_hh_fech!B33/SER_summary!B$26)</f>
        <v>6.6137775339501808</v>
      </c>
      <c r="C33" s="68">
        <f>IF(SER_hh_fech!C33=0,0,SER_hh_fech!C33/SER_summary!C$26)</f>
        <v>6.5149620580133032</v>
      </c>
      <c r="D33" s="68">
        <f>IF(SER_hh_fech!D33=0,0,SER_hh_fech!D33/SER_summary!D$26)</f>
        <v>6.417344112436326</v>
      </c>
      <c r="E33" s="68">
        <f>IF(SER_hh_fech!E33=0,0,SER_hh_fech!E33/SER_summary!E$26)</f>
        <v>6.3523176897683449</v>
      </c>
      <c r="F33" s="68">
        <f>IF(SER_hh_fech!F33=0,0,SER_hh_fech!F33/SER_summary!F$26)</f>
        <v>6.3335321392656301</v>
      </c>
      <c r="G33" s="68">
        <f>IF(SER_hh_fech!G33=0,0,SER_hh_fech!G33/SER_summary!G$26)</f>
        <v>6.4423355190044349</v>
      </c>
      <c r="H33" s="68">
        <f>IF(SER_hh_fech!H33=0,0,SER_hh_fech!H33/SER_summary!H$26)</f>
        <v>6.9234682227279407</v>
      </c>
      <c r="I33" s="68">
        <f>IF(SER_hh_fech!I33=0,0,SER_hh_fech!I33/SER_summary!I$26)</f>
        <v>6.9721230684321798</v>
      </c>
      <c r="J33" s="68">
        <f>IF(SER_hh_fech!J33=0,0,SER_hh_fech!J33/SER_summary!J$26)</f>
        <v>7.0674121568514163</v>
      </c>
      <c r="K33" s="68">
        <f>IF(SER_hh_fech!K33=0,0,SER_hh_fech!K33/SER_summary!K$26)</f>
        <v>7.1596208737767029</v>
      </c>
      <c r="L33" s="68">
        <f>IF(SER_hh_fech!L33=0,0,SER_hh_fech!L33/SER_summary!L$26)</f>
        <v>7.2799257582312746</v>
      </c>
      <c r="M33" s="68">
        <f>IF(SER_hh_fech!M33=0,0,SER_hh_fech!M33/SER_summary!M$26)</f>
        <v>7.4462834173408856</v>
      </c>
      <c r="N33" s="68">
        <f>IF(SER_hh_fech!N33=0,0,SER_hh_fech!N33/SER_summary!N$26)</f>
        <v>7.4862153617413707</v>
      </c>
      <c r="O33" s="68">
        <f>IF(SER_hh_fech!O33=0,0,SER_hh_fech!O33/SER_summary!O$26)</f>
        <v>7.93184253268248</v>
      </c>
      <c r="P33" s="68">
        <f>IF(SER_hh_fech!P33=0,0,SER_hh_fech!P33/SER_summary!P$26)</f>
        <v>6.3361658450747589</v>
      </c>
      <c r="Q33" s="68">
        <f>IF(SER_hh_fech!Q33=0,0,SER_hh_fech!Q33/SER_summary!Q$26)</f>
        <v>6.2836119239083787</v>
      </c>
      <c r="R33" s="68">
        <f>IF(SER_hh_fech!R33=0,0,SER_hh_fech!R33/SER_summary!R$26)</f>
        <v>5.3283490515889422</v>
      </c>
      <c r="S33" s="68">
        <f>IF(SER_hh_fech!S33=0,0,SER_hh_fech!S33/SER_summary!S$26)</f>
        <v>6.4690719122785865</v>
      </c>
      <c r="T33" s="68">
        <f>IF(SER_hh_fech!T33=0,0,SER_hh_fech!T33/SER_summary!T$26)</f>
        <v>7.9075800468418462</v>
      </c>
      <c r="U33" s="68">
        <f>IF(SER_hh_fech!U33=0,0,SER_hh_fech!U33/SER_summary!U$26)</f>
        <v>8.00284316162492</v>
      </c>
      <c r="V33" s="68">
        <f>IF(SER_hh_fech!V33=0,0,SER_hh_fech!V33/SER_summary!V$26)</f>
        <v>4.1736685515990031</v>
      </c>
      <c r="W33" s="68">
        <f>IF(SER_hh_fech!W33=0,0,SER_hh_fech!W33/SER_summary!W$26)</f>
        <v>6.6510408368646541</v>
      </c>
      <c r="X33" s="68">
        <f>IF(SER_hh_fech!X33=0,0,SER_hh_fech!X33/SER_summary!X$26)</f>
        <v>5.6202518283608898</v>
      </c>
      <c r="Y33" s="68">
        <f>IF(SER_hh_fech!Y33=0,0,SER_hh_fech!Y33/SER_summary!Y$26)</f>
        <v>7.1938932223817416</v>
      </c>
      <c r="DA33" s="111" t="s">
        <v>506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>
        <f>IF(SER_hh_tesh!B3=0,0,SER_hh_tesh!B3/SER_summary!B$26)</f>
        <v>17.695131124529599</v>
      </c>
      <c r="C3" s="125">
        <f>IF(SER_hh_tesh!C3=0,0,SER_hh_tesh!C3/SER_summary!C$26)</f>
        <v>18.119068636829564</v>
      </c>
      <c r="D3" s="125">
        <f>IF(SER_hh_tesh!D3=0,0,SER_hh_tesh!D3/SER_summary!D$26)</f>
        <v>17.830901563589251</v>
      </c>
      <c r="E3" s="125">
        <f>IF(SER_hh_tesh!E3=0,0,SER_hh_tesh!E3/SER_summary!E$26)</f>
        <v>18.534565434070945</v>
      </c>
      <c r="F3" s="125">
        <f>IF(SER_hh_tesh!F3=0,0,SER_hh_tesh!F3/SER_summary!F$26)</f>
        <v>19.375426722361034</v>
      </c>
      <c r="G3" s="125">
        <f>IF(SER_hh_tesh!G3=0,0,SER_hh_tesh!G3/SER_summary!G$26)</f>
        <v>21.098551843015436</v>
      </c>
      <c r="H3" s="125">
        <f>IF(SER_hh_tesh!H3=0,0,SER_hh_tesh!H3/SER_summary!H$26)</f>
        <v>28.083430167158962</v>
      </c>
      <c r="I3" s="125">
        <f>IF(SER_hh_tesh!I3=0,0,SER_hh_tesh!I3/SER_summary!I$26)</f>
        <v>23.407013551533762</v>
      </c>
      <c r="J3" s="125">
        <f>IF(SER_hh_tesh!J3=0,0,SER_hh_tesh!J3/SER_summary!J$26)</f>
        <v>24.886761741309133</v>
      </c>
      <c r="K3" s="125">
        <f>IF(SER_hh_tesh!K3=0,0,SER_hh_tesh!K3/SER_summary!K$26)</f>
        <v>28.923223539287086</v>
      </c>
      <c r="L3" s="125">
        <f>IF(SER_hh_tesh!L3=0,0,SER_hh_tesh!L3/SER_summary!L$26)</f>
        <v>30.973925385315052</v>
      </c>
      <c r="M3" s="125">
        <f>IF(SER_hh_tesh!M3=0,0,SER_hh_tesh!M3/SER_summary!M$26)</f>
        <v>30.521069979650832</v>
      </c>
      <c r="N3" s="125">
        <f>IF(SER_hh_tesh!N3=0,0,SER_hh_tesh!N3/SER_summary!N$26)</f>
        <v>31.386574373755895</v>
      </c>
      <c r="O3" s="125">
        <f>IF(SER_hh_tesh!O3=0,0,SER_hh_tesh!O3/SER_summary!O$26)</f>
        <v>28.562050311333593</v>
      </c>
      <c r="P3" s="125">
        <f>IF(SER_hh_tesh!P3=0,0,SER_hh_tesh!P3/SER_summary!P$26)</f>
        <v>25.119304012071126</v>
      </c>
      <c r="Q3" s="125">
        <f>IF(SER_hh_tesh!Q3=0,0,SER_hh_tesh!Q3/SER_summary!Q$26)</f>
        <v>30.302552955601051</v>
      </c>
      <c r="R3" s="125">
        <f>IF(SER_hh_tesh!R3=0,0,SER_hh_tesh!R3/SER_summary!R$26)</f>
        <v>30.695888170658641</v>
      </c>
      <c r="S3" s="125">
        <f>IF(SER_hh_tesh!S3=0,0,SER_hh_tesh!S3/SER_summary!S$26)</f>
        <v>34.449731359020461</v>
      </c>
      <c r="T3" s="125">
        <f>IF(SER_hh_tesh!T3=0,0,SER_hh_tesh!T3/SER_summary!T$26)</f>
        <v>31.096084491152535</v>
      </c>
      <c r="U3" s="125">
        <f>IF(SER_hh_tesh!U3=0,0,SER_hh_tesh!U3/SER_summary!U$26)</f>
        <v>32.447920592839317</v>
      </c>
      <c r="V3" s="125">
        <f>IF(SER_hh_tesh!V3=0,0,SER_hh_tesh!V3/SER_summary!V$26)</f>
        <v>32.580270598388864</v>
      </c>
      <c r="W3" s="125">
        <f>IF(SER_hh_tesh!W3=0,0,SER_hh_tesh!W3/SER_summary!W$26)</f>
        <v>33.145004156427071</v>
      </c>
      <c r="X3" s="125">
        <f>IF(SER_hh_tesh!X3=0,0,SER_hh_tesh!X3/SER_summary!X$26)</f>
        <v>36.692770484125845</v>
      </c>
      <c r="Y3" s="125">
        <f>IF(SER_hh_tesh!Y3=0,0,SER_hh_tesh!Y3/SER_summary!Y$26)</f>
        <v>38.034316381986955</v>
      </c>
      <c r="DA3" s="154" t="s">
        <v>508</v>
      </c>
    </row>
    <row r="4" spans="1:105" ht="12.95" customHeight="1" x14ac:dyDescent="0.25">
      <c r="A4" s="129" t="s">
        <v>32</v>
      </c>
      <c r="B4" s="130">
        <f>IF(SER_hh_tesh!B4=0,0,SER_hh_tesh!B4/SER_summary!B$26)</f>
        <v>6.5286926828665521</v>
      </c>
      <c r="C4" s="130">
        <f>IF(SER_hh_tesh!C4=0,0,SER_hh_tesh!C4/SER_summary!C$26)</f>
        <v>6.1425991877083517</v>
      </c>
      <c r="D4" s="130">
        <f>IF(SER_hh_tesh!D4=0,0,SER_hh_tesh!D4/SER_summary!D$26)</f>
        <v>5.7861784930337024</v>
      </c>
      <c r="E4" s="130">
        <f>IF(SER_hh_tesh!E4=0,0,SER_hh_tesh!E4/SER_summary!E$26)</f>
        <v>4.782162188636689</v>
      </c>
      <c r="F4" s="130">
        <f>IF(SER_hh_tesh!F4=0,0,SER_hh_tesh!F4/SER_summary!F$26)</f>
        <v>5.4359253509977705</v>
      </c>
      <c r="G4" s="130">
        <f>IF(SER_hh_tesh!G4=0,0,SER_hh_tesh!G4/SER_summary!G$26)</f>
        <v>6.2051639980345552</v>
      </c>
      <c r="H4" s="130">
        <f>IF(SER_hh_tesh!H4=0,0,SER_hh_tesh!H4/SER_summary!H$26)</f>
        <v>11.137036969651723</v>
      </c>
      <c r="I4" s="130">
        <f>IF(SER_hh_tesh!I4=0,0,SER_hh_tesh!I4/SER_summary!I$26)</f>
        <v>7.4159991981336084</v>
      </c>
      <c r="J4" s="130">
        <f>IF(SER_hh_tesh!J4=0,0,SER_hh_tesh!J4/SER_summary!J$26)</f>
        <v>7.59140218780938</v>
      </c>
      <c r="K4" s="130">
        <f>IF(SER_hh_tesh!K4=0,0,SER_hh_tesh!K4/SER_summary!K$26)</f>
        <v>8.0391107965875026</v>
      </c>
      <c r="L4" s="130">
        <f>IF(SER_hh_tesh!L4=0,0,SER_hh_tesh!L4/SER_summary!L$26)</f>
        <v>9.7728208901927722</v>
      </c>
      <c r="M4" s="130">
        <f>IF(SER_hh_tesh!M4=0,0,SER_hh_tesh!M4/SER_summary!M$26)</f>
        <v>9.7521894766223731</v>
      </c>
      <c r="N4" s="130">
        <f>IF(SER_hh_tesh!N4=0,0,SER_hh_tesh!N4/SER_summary!N$26)</f>
        <v>8.0918879644443997</v>
      </c>
      <c r="O4" s="130">
        <f>IF(SER_hh_tesh!O4=0,0,SER_hh_tesh!O4/SER_summary!O$26)</f>
        <v>7.4397198205585795</v>
      </c>
      <c r="P4" s="130">
        <f>IF(SER_hh_tesh!P4=0,0,SER_hh_tesh!P4/SER_summary!P$26)</f>
        <v>4.8500440096536623</v>
      </c>
      <c r="Q4" s="130">
        <f>IF(SER_hh_tesh!Q4=0,0,SER_hh_tesh!Q4/SER_summary!Q$26)</f>
        <v>4.9890356783352203</v>
      </c>
      <c r="R4" s="130">
        <f>IF(SER_hh_tesh!R4=0,0,SER_hh_tesh!R4/SER_summary!R$26)</f>
        <v>5.8189290201742878</v>
      </c>
      <c r="S4" s="130">
        <f>IF(SER_hh_tesh!S4=0,0,SER_hh_tesh!S4/SER_summary!S$26)</f>
        <v>6.7712917356373854</v>
      </c>
      <c r="T4" s="130">
        <f>IF(SER_hh_tesh!T4=0,0,SER_hh_tesh!T4/SER_summary!T$26)</f>
        <v>8.1452309026202592</v>
      </c>
      <c r="U4" s="130">
        <f>IF(SER_hh_tesh!U4=0,0,SER_hh_tesh!U4/SER_summary!U$26)</f>
        <v>8.6626830643753028</v>
      </c>
      <c r="V4" s="130">
        <f>IF(SER_hh_tesh!V4=0,0,SER_hh_tesh!V4/SER_summary!V$26)</f>
        <v>8.6458431633617128</v>
      </c>
      <c r="W4" s="130">
        <f>IF(SER_hh_tesh!W4=0,0,SER_hh_tesh!W4/SER_summary!W$26)</f>
        <v>10.069489157293757</v>
      </c>
      <c r="X4" s="130">
        <f>IF(SER_hh_tesh!X4=0,0,SER_hh_tesh!X4/SER_summary!X$26)</f>
        <v>10.439763573050284</v>
      </c>
      <c r="Y4" s="130">
        <f>IF(SER_hh_tesh!Y4=0,0,SER_hh_tesh!Y4/SER_summary!Y$26)</f>
        <v>10.627111972520201</v>
      </c>
      <c r="DA4" s="155" t="s">
        <v>509</v>
      </c>
    </row>
    <row r="5" spans="1:105" ht="12" customHeight="1" x14ac:dyDescent="0.25">
      <c r="A5" s="131" t="s">
        <v>29</v>
      </c>
      <c r="B5" s="132">
        <f>IF(SER_hh_tesh!B5=0,0,SER_hh_tesh!B5/SER_summary!B$26)</f>
        <v>0</v>
      </c>
      <c r="C5" s="132">
        <f>IF(SER_hh_tesh!C5=0,0,SER_hh_tesh!C5/SER_summary!C$26)</f>
        <v>0</v>
      </c>
      <c r="D5" s="132">
        <f>IF(SER_hh_tesh!D5=0,0,SER_hh_tesh!D5/SER_summary!D$26)</f>
        <v>0</v>
      </c>
      <c r="E5" s="132">
        <f>IF(SER_hh_tesh!E5=0,0,SER_hh_tesh!E5/SER_summary!E$26)</f>
        <v>0</v>
      </c>
      <c r="F5" s="132">
        <f>IF(SER_hh_tesh!F5=0,0,SER_hh_tesh!F5/SER_summary!F$26)</f>
        <v>0</v>
      </c>
      <c r="G5" s="132">
        <f>IF(SER_hh_tesh!G5=0,0,SER_hh_tesh!G5/SER_summary!G$26)</f>
        <v>0</v>
      </c>
      <c r="H5" s="132">
        <f>IF(SER_hh_tesh!H5=0,0,SER_hh_tesh!H5/SER_summary!H$26)</f>
        <v>0</v>
      </c>
      <c r="I5" s="132">
        <f>IF(SER_hh_tesh!I5=0,0,SER_hh_tesh!I5/SER_summary!I$26)</f>
        <v>0</v>
      </c>
      <c r="J5" s="132">
        <f>IF(SER_hh_tesh!J5=0,0,SER_hh_tesh!J5/SER_summary!J$26)</f>
        <v>0</v>
      </c>
      <c r="K5" s="132">
        <f>IF(SER_hh_tesh!K5=0,0,SER_hh_tesh!K5/SER_summary!K$26)</f>
        <v>0</v>
      </c>
      <c r="L5" s="132">
        <f>IF(SER_hh_tesh!L5=0,0,SER_hh_tesh!L5/SER_summary!L$26)</f>
        <v>0</v>
      </c>
      <c r="M5" s="132">
        <f>IF(SER_hh_tesh!M5=0,0,SER_hh_tesh!M5/SER_summary!M$26)</f>
        <v>0</v>
      </c>
      <c r="N5" s="132">
        <f>IF(SER_hh_tesh!N5=0,0,SER_hh_tesh!N5/SER_summary!N$26)</f>
        <v>0</v>
      </c>
      <c r="O5" s="132">
        <f>IF(SER_hh_tesh!O5=0,0,SER_hh_tesh!O5/SER_summary!O$26)</f>
        <v>0</v>
      </c>
      <c r="P5" s="132">
        <f>IF(SER_hh_tesh!P5=0,0,SER_hh_tesh!P5/SER_summary!P$26)</f>
        <v>0</v>
      </c>
      <c r="Q5" s="132">
        <f>IF(SER_hh_tesh!Q5=0,0,SER_hh_tesh!Q5/SER_summary!Q$26)</f>
        <v>0</v>
      </c>
      <c r="R5" s="132">
        <f>IF(SER_hh_tesh!R5=0,0,SER_hh_tesh!R5/SER_summary!R$26)</f>
        <v>0</v>
      </c>
      <c r="S5" s="132">
        <f>IF(SER_hh_tesh!S5=0,0,SER_hh_tesh!S5/SER_summary!S$26)</f>
        <v>0</v>
      </c>
      <c r="T5" s="132">
        <f>IF(SER_hh_tesh!T5=0,0,SER_hh_tesh!T5/SER_summary!T$26)</f>
        <v>0</v>
      </c>
      <c r="U5" s="132">
        <f>IF(SER_hh_tesh!U5=0,0,SER_hh_tesh!U5/SER_summary!U$26)</f>
        <v>0</v>
      </c>
      <c r="V5" s="132">
        <f>IF(SER_hh_tesh!V5=0,0,SER_hh_tesh!V5/SER_summary!V$26)</f>
        <v>0</v>
      </c>
      <c r="W5" s="132">
        <f>IF(SER_hh_tesh!W5=0,0,SER_hh_tesh!W5/SER_summary!W$26)</f>
        <v>0</v>
      </c>
      <c r="X5" s="132">
        <f>IF(SER_hh_tesh!X5=0,0,SER_hh_tesh!X5/SER_summary!X$26)</f>
        <v>0</v>
      </c>
      <c r="Y5" s="132">
        <f>IF(SER_hh_tesh!Y5=0,0,SER_hh_tesh!Y5/SER_summary!Y$26)</f>
        <v>0</v>
      </c>
      <c r="DA5" s="156" t="s">
        <v>510</v>
      </c>
    </row>
    <row r="6" spans="1:105" ht="12" customHeight="1" x14ac:dyDescent="0.25">
      <c r="A6" s="131" t="s">
        <v>52</v>
      </c>
      <c r="B6" s="132">
        <f>IF(SER_hh_tesh!B6=0,0,SER_hh_tesh!B6/SER_summary!B$26)</f>
        <v>0</v>
      </c>
      <c r="C6" s="132">
        <f>IF(SER_hh_tesh!C6=0,0,SER_hh_tesh!C6/SER_summary!C$26)</f>
        <v>0</v>
      </c>
      <c r="D6" s="132">
        <f>IF(SER_hh_tesh!D6=0,0,SER_hh_tesh!D6/SER_summary!D$26)</f>
        <v>0</v>
      </c>
      <c r="E6" s="132">
        <f>IF(SER_hh_tesh!E6=0,0,SER_hh_tesh!E6/SER_summary!E$26)</f>
        <v>0</v>
      </c>
      <c r="F6" s="132">
        <f>IF(SER_hh_tesh!F6=0,0,SER_hh_tesh!F6/SER_summary!F$26)</f>
        <v>0</v>
      </c>
      <c r="G6" s="132">
        <f>IF(SER_hh_tesh!G6=0,0,SER_hh_tesh!G6/SER_summary!G$26)</f>
        <v>0</v>
      </c>
      <c r="H6" s="132">
        <f>IF(SER_hh_tesh!H6=0,0,SER_hh_tesh!H6/SER_summary!H$26)</f>
        <v>0</v>
      </c>
      <c r="I6" s="132">
        <f>IF(SER_hh_tesh!I6=0,0,SER_hh_tesh!I6/SER_summary!I$26)</f>
        <v>0</v>
      </c>
      <c r="J6" s="132">
        <f>IF(SER_hh_tesh!J6=0,0,SER_hh_tesh!J6/SER_summary!J$26)</f>
        <v>0</v>
      </c>
      <c r="K6" s="132">
        <f>IF(SER_hh_tesh!K6=0,0,SER_hh_tesh!K6/SER_summary!K$26)</f>
        <v>0</v>
      </c>
      <c r="L6" s="132">
        <f>IF(SER_hh_tesh!L6=0,0,SER_hh_tesh!L6/SER_summary!L$26)</f>
        <v>0</v>
      </c>
      <c r="M6" s="132">
        <f>IF(SER_hh_tesh!M6=0,0,SER_hh_tesh!M6/SER_summary!M$26)</f>
        <v>0</v>
      </c>
      <c r="N6" s="132">
        <f>IF(SER_hh_tesh!N6=0,0,SER_hh_tesh!N6/SER_summary!N$26)</f>
        <v>0</v>
      </c>
      <c r="O6" s="132">
        <f>IF(SER_hh_tesh!O6=0,0,SER_hh_tesh!O6/SER_summary!O$26)</f>
        <v>0</v>
      </c>
      <c r="P6" s="132">
        <f>IF(SER_hh_tesh!P6=0,0,SER_hh_tesh!P6/SER_summary!P$26)</f>
        <v>0</v>
      </c>
      <c r="Q6" s="132">
        <f>IF(SER_hh_tesh!Q6=0,0,SER_hh_tesh!Q6/SER_summary!Q$26)</f>
        <v>0</v>
      </c>
      <c r="R6" s="132">
        <f>IF(SER_hh_tesh!R6=0,0,SER_hh_tesh!R6/SER_summary!R$26)</f>
        <v>0</v>
      </c>
      <c r="S6" s="132">
        <f>IF(SER_hh_tesh!S6=0,0,SER_hh_tesh!S6/SER_summary!S$26)</f>
        <v>0</v>
      </c>
      <c r="T6" s="132">
        <f>IF(SER_hh_tesh!T6=0,0,SER_hh_tesh!T6/SER_summary!T$26)</f>
        <v>0</v>
      </c>
      <c r="U6" s="132">
        <f>IF(SER_hh_tesh!U6=0,0,SER_hh_tesh!U6/SER_summary!U$26)</f>
        <v>0</v>
      </c>
      <c r="V6" s="132">
        <f>IF(SER_hh_tesh!V6=0,0,SER_hh_tesh!V6/SER_summary!V$26)</f>
        <v>0</v>
      </c>
      <c r="W6" s="132">
        <f>IF(SER_hh_tesh!W6=0,0,SER_hh_tesh!W6/SER_summary!W$26)</f>
        <v>0</v>
      </c>
      <c r="X6" s="132">
        <f>IF(SER_hh_tesh!X6=0,0,SER_hh_tesh!X6/SER_summary!X$26)</f>
        <v>0</v>
      </c>
      <c r="Y6" s="132">
        <f>IF(SER_hh_tesh!Y6=0,0,SER_hh_tesh!Y6/SER_summary!Y$26)</f>
        <v>0</v>
      </c>
      <c r="DA6" s="156" t="s">
        <v>511</v>
      </c>
    </row>
    <row r="7" spans="1:105" ht="12" customHeight="1" x14ac:dyDescent="0.25">
      <c r="A7" s="131" t="s">
        <v>161</v>
      </c>
      <c r="B7" s="132">
        <f>IF(SER_hh_tesh!B7=0,0,SER_hh_tesh!B7/SER_summary!B$26)</f>
        <v>6.2333339330195034</v>
      </c>
      <c r="C7" s="132">
        <f>IF(SER_hh_tesh!C7=0,0,SER_hh_tesh!C7/SER_summary!C$26)</f>
        <v>6.203963236658308</v>
      </c>
      <c r="D7" s="132">
        <f>IF(SER_hh_tesh!D7=0,0,SER_hh_tesh!D7/SER_summary!D$26)</f>
        <v>5.2699716860194261</v>
      </c>
      <c r="E7" s="132">
        <f>IF(SER_hh_tesh!E7=0,0,SER_hh_tesh!E7/SER_summary!E$26)</f>
        <v>5.4069544394163689</v>
      </c>
      <c r="F7" s="132">
        <f>IF(SER_hh_tesh!F7=0,0,SER_hh_tesh!F7/SER_summary!F$26)</f>
        <v>6.0796214583061925</v>
      </c>
      <c r="G7" s="132">
        <f>IF(SER_hh_tesh!G7=0,0,SER_hh_tesh!G7/SER_summary!G$26)</f>
        <v>7.0094595449860826</v>
      </c>
      <c r="H7" s="132">
        <f>IF(SER_hh_tesh!H7=0,0,SER_hh_tesh!H7/SER_summary!H$26)</f>
        <v>6.8149871548647214</v>
      </c>
      <c r="I7" s="132">
        <f>IF(SER_hh_tesh!I7=0,0,SER_hh_tesh!I7/SER_summary!I$26)</f>
        <v>7.1742206508108586</v>
      </c>
      <c r="J7" s="132">
        <f>IF(SER_hh_tesh!J7=0,0,SER_hh_tesh!J7/SER_summary!J$26)</f>
        <v>7.7672988490892783</v>
      </c>
      <c r="K7" s="132">
        <f>IF(SER_hh_tesh!K7=0,0,SER_hh_tesh!K7/SER_summary!K$26)</f>
        <v>8.7370489945936409</v>
      </c>
      <c r="L7" s="132">
        <f>IF(SER_hh_tesh!L7=0,0,SER_hh_tesh!L7/SER_summary!L$26)</f>
        <v>8.7469420017069446</v>
      </c>
      <c r="M7" s="132">
        <f>IF(SER_hh_tesh!M7=0,0,SER_hh_tesh!M7/SER_summary!M$26)</f>
        <v>7.6575696210251492</v>
      </c>
      <c r="N7" s="132">
        <f>IF(SER_hh_tesh!N7=0,0,SER_hh_tesh!N7/SER_summary!N$26)</f>
        <v>7.8014830021295785</v>
      </c>
      <c r="O7" s="132">
        <f>IF(SER_hh_tesh!O7=0,0,SER_hh_tesh!O7/SER_summary!O$26)</f>
        <v>7.8955308787603231</v>
      </c>
      <c r="P7" s="132">
        <f>IF(SER_hh_tesh!P7=0,0,SER_hh_tesh!P7/SER_summary!P$26)</f>
        <v>5.9535098782790135</v>
      </c>
      <c r="Q7" s="132">
        <f>IF(SER_hh_tesh!Q7=0,0,SER_hh_tesh!Q7/SER_summary!Q$26)</f>
        <v>4.2874419691347256</v>
      </c>
      <c r="R7" s="132">
        <f>IF(SER_hh_tesh!R7=0,0,SER_hh_tesh!R7/SER_summary!R$26)</f>
        <v>5.7586260010796684</v>
      </c>
      <c r="S7" s="132">
        <f>IF(SER_hh_tesh!S7=0,0,SER_hh_tesh!S7/SER_summary!S$26)</f>
        <v>6.9628332888077704</v>
      </c>
      <c r="T7" s="132">
        <f>IF(SER_hh_tesh!T7=0,0,SER_hh_tesh!T7/SER_summary!T$26)</f>
        <v>8.0160920923604611</v>
      </c>
      <c r="U7" s="132">
        <f>IF(SER_hh_tesh!U7=0,0,SER_hh_tesh!U7/SER_summary!U$26)</f>
        <v>8.2664923929536567</v>
      </c>
      <c r="V7" s="132">
        <f>IF(SER_hh_tesh!V7=0,0,SER_hh_tesh!V7/SER_summary!V$26)</f>
        <v>8.3916792483950751</v>
      </c>
      <c r="W7" s="132">
        <f>IF(SER_hh_tesh!W7=0,0,SER_hh_tesh!W7/SER_summary!W$26)</f>
        <v>10.177154306182491</v>
      </c>
      <c r="X7" s="132">
        <f>IF(SER_hh_tesh!X7=0,0,SER_hh_tesh!X7/SER_summary!X$26)</f>
        <v>10.781531488343582</v>
      </c>
      <c r="Y7" s="132">
        <f>IF(SER_hh_tesh!Y7=0,0,SER_hh_tesh!Y7/SER_summary!Y$26)</f>
        <v>9.386023125029908</v>
      </c>
      <c r="DA7" s="156" t="s">
        <v>512</v>
      </c>
    </row>
    <row r="8" spans="1:105" ht="12" customHeight="1" x14ac:dyDescent="0.25">
      <c r="A8" s="131" t="s">
        <v>73</v>
      </c>
      <c r="B8" s="132">
        <f>IF(SER_hh_tesh!B8=0,0,SER_hh_tesh!B8/SER_summary!B$26)</f>
        <v>5.3063782897237983</v>
      </c>
      <c r="C8" s="132">
        <f>IF(SER_hh_tesh!C8=0,0,SER_hh_tesh!C8/SER_summary!C$26)</f>
        <v>5.8901941558078805</v>
      </c>
      <c r="D8" s="132">
        <f>IF(SER_hh_tesh!D8=0,0,SER_hh_tesh!D8/SER_summary!D$26)</f>
        <v>5.5005824009946522</v>
      </c>
      <c r="E8" s="132">
        <f>IF(SER_hh_tesh!E8=0,0,SER_hh_tesh!E8/SER_summary!E$26)</f>
        <v>3.8764015724657388</v>
      </c>
      <c r="F8" s="132">
        <f>IF(SER_hh_tesh!F8=0,0,SER_hh_tesh!F8/SER_summary!F$26)</f>
        <v>4.1644712281645724</v>
      </c>
      <c r="G8" s="132">
        <f>IF(SER_hh_tesh!G8=0,0,SER_hh_tesh!G8/SER_summary!G$26)</f>
        <v>6.2610388006938127</v>
      </c>
      <c r="H8" s="132">
        <f>IF(SER_hh_tesh!H8=0,0,SER_hh_tesh!H8/SER_summary!H$26)</f>
        <v>9.6432578112581968</v>
      </c>
      <c r="I8" s="132">
        <f>IF(SER_hh_tesh!I8=0,0,SER_hh_tesh!I8/SER_summary!I$26)</f>
        <v>8.3319680924872372</v>
      </c>
      <c r="J8" s="132">
        <f>IF(SER_hh_tesh!J8=0,0,SER_hh_tesh!J8/SER_summary!J$26)</f>
        <v>7.9699055214146766</v>
      </c>
      <c r="K8" s="132">
        <f>IF(SER_hh_tesh!K8=0,0,SER_hh_tesh!K8/SER_summary!K$26)</f>
        <v>7.3811510702189649</v>
      </c>
      <c r="L8" s="132">
        <f>IF(SER_hh_tesh!L8=0,0,SER_hh_tesh!L8/SER_summary!L$26)</f>
        <v>6.486894766009967</v>
      </c>
      <c r="M8" s="132">
        <f>IF(SER_hh_tesh!M8=0,0,SER_hh_tesh!M8/SER_summary!M$26)</f>
        <v>6.6072104401544394</v>
      </c>
      <c r="N8" s="132">
        <f>IF(SER_hh_tesh!N8=0,0,SER_hh_tesh!N8/SER_summary!N$26)</f>
        <v>5.1406752482114584</v>
      </c>
      <c r="O8" s="132">
        <f>IF(SER_hh_tesh!O8=0,0,SER_hh_tesh!O8/SER_summary!O$26)</f>
        <v>5.1154788016143211</v>
      </c>
      <c r="P8" s="132">
        <f>IF(SER_hh_tesh!P8=0,0,SER_hh_tesh!P8/SER_summary!P$26)</f>
        <v>5.3365580453616159</v>
      </c>
      <c r="Q8" s="132">
        <f>IF(SER_hh_tesh!Q8=0,0,SER_hh_tesh!Q8/SER_summary!Q$26)</f>
        <v>5.2171003757385845</v>
      </c>
      <c r="R8" s="132">
        <f>IF(SER_hh_tesh!R8=0,0,SER_hh_tesh!R8/SER_summary!R$26)</f>
        <v>6.1348400229567188</v>
      </c>
      <c r="S8" s="132">
        <f>IF(SER_hh_tesh!S8=0,0,SER_hh_tesh!S8/SER_summary!S$26)</f>
        <v>6.8668127889457198</v>
      </c>
      <c r="T8" s="132">
        <f>IF(SER_hh_tesh!T8=0,0,SER_hh_tesh!T8/SER_summary!T$26)</f>
        <v>6.9030845849675346</v>
      </c>
      <c r="U8" s="132">
        <f>IF(SER_hh_tesh!U8=0,0,SER_hh_tesh!U8/SER_summary!U$26)</f>
        <v>10.074480227074329</v>
      </c>
      <c r="V8" s="132">
        <f>IF(SER_hh_tesh!V8=0,0,SER_hh_tesh!V8/SER_summary!V$26)</f>
        <v>7.942470252234771</v>
      </c>
      <c r="W8" s="132">
        <f>IF(SER_hh_tesh!W8=0,0,SER_hh_tesh!W8/SER_summary!W$26)</f>
        <v>9.6890510933099812</v>
      </c>
      <c r="X8" s="132">
        <f>IF(SER_hh_tesh!X8=0,0,SER_hh_tesh!X8/SER_summary!X$26)</f>
        <v>10.078109422253197</v>
      </c>
      <c r="Y8" s="132">
        <f>IF(SER_hh_tesh!Y8=0,0,SER_hh_tesh!Y8/SER_summary!Y$26)</f>
        <v>11.290314007181495</v>
      </c>
      <c r="DA8" s="156" t="s">
        <v>513</v>
      </c>
    </row>
    <row r="9" spans="1:105" ht="12" customHeight="1" x14ac:dyDescent="0.25">
      <c r="A9" s="131" t="s">
        <v>78</v>
      </c>
      <c r="B9" s="132">
        <f>IF(SER_hh_tesh!B9=0,0,SER_hh_tesh!B9/SER_summary!B$26)</f>
        <v>4.709871191305151</v>
      </c>
      <c r="C9" s="132">
        <f>IF(SER_hh_tesh!C9=0,0,SER_hh_tesh!C9/SER_summary!C$26)</f>
        <v>5.8561330501645408</v>
      </c>
      <c r="D9" s="132">
        <f>IF(SER_hh_tesh!D9=0,0,SER_hh_tesh!D9/SER_summary!D$26)</f>
        <v>8.7478574426515507</v>
      </c>
      <c r="E9" s="132">
        <f>IF(SER_hh_tesh!E9=0,0,SER_hh_tesh!E9/SER_summary!E$26)</f>
        <v>0.76342003615305565</v>
      </c>
      <c r="F9" s="132">
        <f>IF(SER_hh_tesh!F9=0,0,SER_hh_tesh!F9/SER_summary!F$26)</f>
        <v>0.9268801257596182</v>
      </c>
      <c r="G9" s="132">
        <f>IF(SER_hh_tesh!G9=0,0,SER_hh_tesh!G9/SER_summary!G$26)</f>
        <v>4.8939068335292601</v>
      </c>
      <c r="H9" s="132">
        <f>IF(SER_hh_tesh!H9=0,0,SER_hh_tesh!H9/SER_summary!H$26)</f>
        <v>15.937151084369377</v>
      </c>
      <c r="I9" s="132">
        <f>IF(SER_hh_tesh!I9=0,0,SER_hh_tesh!I9/SER_summary!I$26)</f>
        <v>7.5318081532427383</v>
      </c>
      <c r="J9" s="132">
        <f>IF(SER_hh_tesh!J9=0,0,SER_hh_tesh!J9/SER_summary!J$26)</f>
        <v>5.6050753769740513</v>
      </c>
      <c r="K9" s="132">
        <f>IF(SER_hh_tesh!K9=0,0,SER_hh_tesh!K9/SER_summary!K$26)</f>
        <v>7.4028765137245429</v>
      </c>
      <c r="L9" s="132">
        <f>IF(SER_hh_tesh!L9=0,0,SER_hh_tesh!L9/SER_summary!L$26)</f>
        <v>9.9152891857167464</v>
      </c>
      <c r="M9" s="132">
        <f>IF(SER_hh_tesh!M9=0,0,SER_hh_tesh!M9/SER_summary!M$26)</f>
        <v>11.156858006339148</v>
      </c>
      <c r="N9" s="132">
        <f>IF(SER_hh_tesh!N9=0,0,SER_hh_tesh!N9/SER_summary!N$26)</f>
        <v>8.2961178643349314</v>
      </c>
      <c r="O9" s="132">
        <f>IF(SER_hh_tesh!O9=0,0,SER_hh_tesh!O9/SER_summary!O$26)</f>
        <v>7.6011569516711601</v>
      </c>
      <c r="P9" s="132">
        <f>IF(SER_hh_tesh!P9=0,0,SER_hh_tesh!P9/SER_summary!P$26)</f>
        <v>3.507720859019428</v>
      </c>
      <c r="Q9" s="132">
        <f>IF(SER_hh_tesh!Q9=0,0,SER_hh_tesh!Q9/SER_summary!Q$26)</f>
        <v>5.4383417465056967</v>
      </c>
      <c r="R9" s="132">
        <f>IF(SER_hh_tesh!R9=0,0,SER_hh_tesh!R9/SER_summary!R$26)</f>
        <v>5.538003899691283</v>
      </c>
      <c r="S9" s="132">
        <f>IF(SER_hh_tesh!S9=0,0,SER_hh_tesh!S9/SER_summary!S$26)</f>
        <v>5.9197592233448955</v>
      </c>
      <c r="T9" s="132">
        <f>IF(SER_hh_tesh!T9=0,0,SER_hh_tesh!T9/SER_summary!T$26)</f>
        <v>8.4793590800393197</v>
      </c>
      <c r="U9" s="132">
        <f>IF(SER_hh_tesh!U9=0,0,SER_hh_tesh!U9/SER_summary!U$26)</f>
        <v>8.8400785856610096</v>
      </c>
      <c r="V9" s="132">
        <f>IF(SER_hh_tesh!V9=0,0,SER_hh_tesh!V9/SER_summary!V$26)</f>
        <v>7.9392520983477031</v>
      </c>
      <c r="W9" s="132">
        <f>IF(SER_hh_tesh!W9=0,0,SER_hh_tesh!W9/SER_summary!W$26)</f>
        <v>10.341361232550387</v>
      </c>
      <c r="X9" s="132">
        <f>IF(SER_hh_tesh!X9=0,0,SER_hh_tesh!X9/SER_summary!X$26)</f>
        <v>9.8380199684493945</v>
      </c>
      <c r="Y9" s="132">
        <f>IF(SER_hh_tesh!Y9=0,0,SER_hh_tesh!Y9/SER_summary!Y$26)</f>
        <v>10.736532730303882</v>
      </c>
      <c r="DA9" s="156" t="s">
        <v>514</v>
      </c>
    </row>
    <row r="10" spans="1:105" ht="12" customHeight="1" x14ac:dyDescent="0.25">
      <c r="A10" s="131" t="s">
        <v>128</v>
      </c>
      <c r="B10" s="132">
        <f>IF(SER_hh_tesh!B10=0,0,SER_hh_tesh!B10/SER_summary!B$26)</f>
        <v>6.2393465672809079</v>
      </c>
      <c r="C10" s="132">
        <f>IF(SER_hh_tesh!C10=0,0,SER_hh_tesh!C10/SER_summary!C$26)</f>
        <v>6.0894603421076807</v>
      </c>
      <c r="D10" s="132">
        <f>IF(SER_hh_tesh!D10=0,0,SER_hh_tesh!D10/SER_summary!D$26)</f>
        <v>5.6092694443342204</v>
      </c>
      <c r="E10" s="132">
        <f>IF(SER_hh_tesh!E10=0,0,SER_hh_tesh!E10/SER_summary!E$26)</f>
        <v>5.5219009901175147</v>
      </c>
      <c r="F10" s="132">
        <f>IF(SER_hh_tesh!F10=0,0,SER_hh_tesh!F10/SER_summary!F$26)</f>
        <v>5.5450413040991187</v>
      </c>
      <c r="G10" s="132">
        <f>IF(SER_hh_tesh!G10=0,0,SER_hh_tesh!G10/SER_summary!G$26)</f>
        <v>5.8071715270671982</v>
      </c>
      <c r="H10" s="132">
        <f>IF(SER_hh_tesh!H10=0,0,SER_hh_tesh!H10/SER_summary!H$26)</f>
        <v>8.8419272376148381</v>
      </c>
      <c r="I10" s="132">
        <f>IF(SER_hh_tesh!I10=0,0,SER_hh_tesh!I10/SER_summary!I$26)</f>
        <v>8.1189403632438317</v>
      </c>
      <c r="J10" s="132">
        <f>IF(SER_hh_tesh!J10=0,0,SER_hh_tesh!J10/SER_summary!J$26)</f>
        <v>9.4055194653995127</v>
      </c>
      <c r="K10" s="132">
        <f>IF(SER_hh_tesh!K10=0,0,SER_hh_tesh!K10/SER_summary!K$26)</f>
        <v>7.371867777095809</v>
      </c>
      <c r="L10" s="132">
        <f>IF(SER_hh_tesh!L10=0,0,SER_hh_tesh!L10/SER_summary!L$26)</f>
        <v>8.3468264636961216</v>
      </c>
      <c r="M10" s="132">
        <f>IF(SER_hh_tesh!M10=0,0,SER_hh_tesh!M10/SER_summary!M$26)</f>
        <v>8.7508363804559739</v>
      </c>
      <c r="N10" s="132">
        <f>IF(SER_hh_tesh!N10=0,0,SER_hh_tesh!N10/SER_summary!N$26)</f>
        <v>7.7457385223998934</v>
      </c>
      <c r="O10" s="132">
        <f>IF(SER_hh_tesh!O10=0,0,SER_hh_tesh!O10/SER_summary!O$26)</f>
        <v>6.5487007877554735</v>
      </c>
      <c r="P10" s="132">
        <f>IF(SER_hh_tesh!P10=0,0,SER_hh_tesh!P10/SER_summary!P$26)</f>
        <v>5.1903717182216225</v>
      </c>
      <c r="Q10" s="132">
        <f>IF(SER_hh_tesh!Q10=0,0,SER_hh_tesh!Q10/SER_summary!Q$26)</f>
        <v>5.1803351756790699</v>
      </c>
      <c r="R10" s="132">
        <f>IF(SER_hh_tesh!R10=0,0,SER_hh_tesh!R10/SER_summary!R$26)</f>
        <v>6.3325097018887258</v>
      </c>
      <c r="S10" s="132">
        <f>IF(SER_hh_tesh!S10=0,0,SER_hh_tesh!S10/SER_summary!S$26)</f>
        <v>7.004660804420662</v>
      </c>
      <c r="T10" s="132">
        <f>IF(SER_hh_tesh!T10=0,0,SER_hh_tesh!T10/SER_summary!T$26)</f>
        <v>7.5582929432358341</v>
      </c>
      <c r="U10" s="132">
        <f>IF(SER_hh_tesh!U10=0,0,SER_hh_tesh!U10/SER_summary!U$26)</f>
        <v>8.3515905042185512</v>
      </c>
      <c r="V10" s="132">
        <f>IF(SER_hh_tesh!V10=0,0,SER_hh_tesh!V10/SER_summary!V$26)</f>
        <v>8.7973737865530648</v>
      </c>
      <c r="W10" s="132">
        <f>IF(SER_hh_tesh!W10=0,0,SER_hh_tesh!W10/SER_summary!W$26)</f>
        <v>9.8499245490100495</v>
      </c>
      <c r="X10" s="132">
        <f>IF(SER_hh_tesh!X10=0,0,SER_hh_tesh!X10/SER_summary!X$26)</f>
        <v>10.293932483417922</v>
      </c>
      <c r="Y10" s="132">
        <f>IF(SER_hh_tesh!Y10=0,0,SER_hh_tesh!Y10/SER_summary!Y$26)</f>
        <v>10.561879976835115</v>
      </c>
      <c r="DA10" s="156" t="s">
        <v>515</v>
      </c>
    </row>
    <row r="11" spans="1:105" ht="12" customHeight="1" x14ac:dyDescent="0.25">
      <c r="A11" s="131" t="s">
        <v>25</v>
      </c>
      <c r="B11" s="132">
        <f>IF(SER_hh_tesh!B11=0,0,SER_hh_tesh!B11/SER_summary!B$26)</f>
        <v>6.363126561697813</v>
      </c>
      <c r="C11" s="132">
        <f>IF(SER_hh_tesh!C11=0,0,SER_hh_tesh!C11/SER_summary!C$26)</f>
        <v>7.9463250200186959</v>
      </c>
      <c r="D11" s="132">
        <f>IF(SER_hh_tesh!D11=0,0,SER_hh_tesh!D11/SER_summary!D$26)</f>
        <v>2.0483813305431986</v>
      </c>
      <c r="E11" s="132">
        <f>IF(SER_hh_tesh!E11=0,0,SER_hh_tesh!E11/SER_summary!E$26)</f>
        <v>2.7450102536514542</v>
      </c>
      <c r="F11" s="132">
        <f>IF(SER_hh_tesh!F11=0,0,SER_hh_tesh!F11/SER_summary!F$26)</f>
        <v>5.5058271753778874</v>
      </c>
      <c r="G11" s="132">
        <f>IF(SER_hh_tesh!G11=0,0,SER_hh_tesh!G11/SER_summary!G$26)</f>
        <v>6.4804303412954933</v>
      </c>
      <c r="H11" s="132">
        <f>IF(SER_hh_tesh!H11=0,0,SER_hh_tesh!H11/SER_summary!H$26)</f>
        <v>7.8581368314151918</v>
      </c>
      <c r="I11" s="132">
        <f>IF(SER_hh_tesh!I11=0,0,SER_hh_tesh!I11/SER_summary!I$26)</f>
        <v>7.8522192592878932</v>
      </c>
      <c r="J11" s="132">
        <f>IF(SER_hh_tesh!J11=0,0,SER_hh_tesh!J11/SER_summary!J$26)</f>
        <v>8.0458758468503948</v>
      </c>
      <c r="K11" s="132">
        <f>IF(SER_hh_tesh!K11=0,0,SER_hh_tesh!K11/SER_summary!K$26)</f>
        <v>8.2748188766152104</v>
      </c>
      <c r="L11" s="132">
        <f>IF(SER_hh_tesh!L11=0,0,SER_hh_tesh!L11/SER_summary!L$26)</f>
        <v>8.8736703248226299</v>
      </c>
      <c r="M11" s="132">
        <f>IF(SER_hh_tesh!M11=0,0,SER_hh_tesh!M11/SER_summary!M$26)</f>
        <v>8.701165740087454</v>
      </c>
      <c r="N11" s="132">
        <f>IF(SER_hh_tesh!N11=0,0,SER_hh_tesh!N11/SER_summary!N$26)</f>
        <v>7.5223628716310076</v>
      </c>
      <c r="O11" s="132">
        <f>IF(SER_hh_tesh!O11=0,0,SER_hh_tesh!O11/SER_summary!O$26)</f>
        <v>6.8066681320173368</v>
      </c>
      <c r="P11" s="132">
        <f>IF(SER_hh_tesh!P11=0,0,SER_hh_tesh!P11/SER_summary!P$26)</f>
        <v>5.6043179122515179</v>
      </c>
      <c r="Q11" s="132">
        <f>IF(SER_hh_tesh!Q11=0,0,SER_hh_tesh!Q11/SER_summary!Q$26)</f>
        <v>5.4138018884164767</v>
      </c>
      <c r="R11" s="132">
        <f>IF(SER_hh_tesh!R11=0,0,SER_hh_tesh!R11/SER_summary!R$26)</f>
        <v>5.8154905428289609</v>
      </c>
      <c r="S11" s="132">
        <f>IF(SER_hh_tesh!S11=0,0,SER_hh_tesh!S11/SER_summary!S$26)</f>
        <v>6.6579557643743064</v>
      </c>
      <c r="T11" s="132">
        <f>IF(SER_hh_tesh!T11=0,0,SER_hh_tesh!T11/SER_summary!T$26)</f>
        <v>7.6326910198219782</v>
      </c>
      <c r="U11" s="132">
        <f>IF(SER_hh_tesh!U11=0,0,SER_hh_tesh!U11/SER_summary!U$26)</f>
        <v>8.4003537845707381</v>
      </c>
      <c r="V11" s="132">
        <f>IF(SER_hh_tesh!V11=0,0,SER_hh_tesh!V11/SER_summary!V$26)</f>
        <v>8.967069637995877</v>
      </c>
      <c r="W11" s="132">
        <f>IF(SER_hh_tesh!W11=0,0,SER_hh_tesh!W11/SER_summary!W$26)</f>
        <v>9.6730760296347675</v>
      </c>
      <c r="X11" s="132">
        <f>IF(SER_hh_tesh!X11=0,0,SER_hh_tesh!X11/SER_summary!X$26)</f>
        <v>10.348961332593941</v>
      </c>
      <c r="Y11" s="132">
        <f>IF(SER_hh_tesh!Y11=0,0,SER_hh_tesh!Y11/SER_summary!Y$26)</f>
        <v>10.522158523086073</v>
      </c>
      <c r="DA11" s="156" t="s">
        <v>516</v>
      </c>
    </row>
    <row r="12" spans="1:105" ht="12" customHeight="1" x14ac:dyDescent="0.25">
      <c r="A12" s="131" t="s">
        <v>162</v>
      </c>
      <c r="B12" s="132">
        <f>IF(SER_hh_tesh!B12=0,0,SER_hh_tesh!B12/SER_summary!B$26)</f>
        <v>0</v>
      </c>
      <c r="C12" s="132">
        <f>IF(SER_hh_tesh!C12=0,0,SER_hh_tesh!C12/SER_summary!C$26)</f>
        <v>0</v>
      </c>
      <c r="D12" s="132">
        <f>IF(SER_hh_tesh!D12=0,0,SER_hh_tesh!D12/SER_summary!D$26)</f>
        <v>0</v>
      </c>
      <c r="E12" s="132">
        <f>IF(SER_hh_tesh!E12=0,0,SER_hh_tesh!E12/SER_summary!E$26)</f>
        <v>0</v>
      </c>
      <c r="F12" s="132">
        <f>IF(SER_hh_tesh!F12=0,0,SER_hh_tesh!F12/SER_summary!F$26)</f>
        <v>0</v>
      </c>
      <c r="G12" s="132">
        <f>IF(SER_hh_tesh!G12=0,0,SER_hh_tesh!G12/SER_summary!G$26)</f>
        <v>0</v>
      </c>
      <c r="H12" s="132">
        <f>IF(SER_hh_tesh!H12=0,0,SER_hh_tesh!H12/SER_summary!H$26)</f>
        <v>0</v>
      </c>
      <c r="I12" s="132">
        <f>IF(SER_hh_tesh!I12=0,0,SER_hh_tesh!I12/SER_summary!I$26)</f>
        <v>0</v>
      </c>
      <c r="J12" s="132">
        <f>IF(SER_hh_tesh!J12=0,0,SER_hh_tesh!J12/SER_summary!J$26)</f>
        <v>0</v>
      </c>
      <c r="K12" s="132">
        <f>IF(SER_hh_tesh!K12=0,0,SER_hh_tesh!K12/SER_summary!K$26)</f>
        <v>0</v>
      </c>
      <c r="L12" s="132">
        <f>IF(SER_hh_tesh!L12=0,0,SER_hh_tesh!L12/SER_summary!L$26)</f>
        <v>0</v>
      </c>
      <c r="M12" s="132">
        <f>IF(SER_hh_tesh!M12=0,0,SER_hh_tesh!M12/SER_summary!M$26)</f>
        <v>0</v>
      </c>
      <c r="N12" s="132">
        <f>IF(SER_hh_tesh!N12=0,0,SER_hh_tesh!N12/SER_summary!N$26)</f>
        <v>0</v>
      </c>
      <c r="O12" s="132">
        <f>IF(SER_hh_tesh!O12=0,0,SER_hh_tesh!O12/SER_summary!O$26)</f>
        <v>0</v>
      </c>
      <c r="P12" s="132">
        <f>IF(SER_hh_tesh!P12=0,0,SER_hh_tesh!P12/SER_summary!P$26)</f>
        <v>0</v>
      </c>
      <c r="Q12" s="132">
        <f>IF(SER_hh_tesh!Q12=0,0,SER_hh_tesh!Q12/SER_summary!Q$26)</f>
        <v>0</v>
      </c>
      <c r="R12" s="132">
        <f>IF(SER_hh_tesh!R12=0,0,SER_hh_tesh!R12/SER_summary!R$26)</f>
        <v>0</v>
      </c>
      <c r="S12" s="132">
        <f>IF(SER_hh_tesh!S12=0,0,SER_hh_tesh!S12/SER_summary!S$26)</f>
        <v>0</v>
      </c>
      <c r="T12" s="132">
        <f>IF(SER_hh_tesh!T12=0,0,SER_hh_tesh!T12/SER_summary!T$26)</f>
        <v>0</v>
      </c>
      <c r="U12" s="132">
        <f>IF(SER_hh_tesh!U12=0,0,SER_hh_tesh!U12/SER_summary!U$26)</f>
        <v>0</v>
      </c>
      <c r="V12" s="132">
        <f>IF(SER_hh_tesh!V12=0,0,SER_hh_tesh!V12/SER_summary!V$26)</f>
        <v>0</v>
      </c>
      <c r="W12" s="132">
        <f>IF(SER_hh_tesh!W12=0,0,SER_hh_tesh!W12/SER_summary!W$26)</f>
        <v>0</v>
      </c>
      <c r="X12" s="132">
        <f>IF(SER_hh_tesh!X12=0,0,SER_hh_tesh!X12/SER_summary!X$26)</f>
        <v>0</v>
      </c>
      <c r="Y12" s="132">
        <f>IF(SER_hh_tesh!Y12=0,0,SER_hh_tesh!Y12/SER_summary!Y$26)</f>
        <v>0</v>
      </c>
      <c r="DA12" s="156" t="s">
        <v>517</v>
      </c>
    </row>
    <row r="13" spans="1:105" ht="12" customHeight="1" x14ac:dyDescent="0.25">
      <c r="A13" s="131" t="s">
        <v>77</v>
      </c>
      <c r="B13" s="132">
        <f>IF(SER_hh_tesh!B13=0,0,SER_hh_tesh!B13/SER_summary!B$26)</f>
        <v>5.6725852109146828</v>
      </c>
      <c r="C13" s="132">
        <f>IF(SER_hh_tesh!C13=0,0,SER_hh_tesh!C13/SER_summary!C$26)</f>
        <v>6.3607037507529984</v>
      </c>
      <c r="D13" s="132">
        <f>IF(SER_hh_tesh!D13=0,0,SER_hh_tesh!D13/SER_summary!D$26)</f>
        <v>5.0816324629725367</v>
      </c>
      <c r="E13" s="132">
        <f>IF(SER_hh_tesh!E13=0,0,SER_hh_tesh!E13/SER_summary!E$26)</f>
        <v>5.2884770594968087</v>
      </c>
      <c r="F13" s="132">
        <f>IF(SER_hh_tesh!F13=0,0,SER_hh_tesh!F13/SER_summary!F$26)</f>
        <v>5.0744395012362196</v>
      </c>
      <c r="G13" s="132">
        <f>IF(SER_hh_tesh!G13=0,0,SER_hh_tesh!G13/SER_summary!G$26)</f>
        <v>6.4905681625004652</v>
      </c>
      <c r="H13" s="132">
        <f>IF(SER_hh_tesh!H13=0,0,SER_hh_tesh!H13/SER_summary!H$26)</f>
        <v>6.7353423623279518</v>
      </c>
      <c r="I13" s="132">
        <f>IF(SER_hh_tesh!I13=0,0,SER_hh_tesh!I13/SER_summary!I$26)</f>
        <v>7.3210663234678988</v>
      </c>
      <c r="J13" s="132">
        <f>IF(SER_hh_tesh!J13=0,0,SER_hh_tesh!J13/SER_summary!J$26)</f>
        <v>8.5476009455504087</v>
      </c>
      <c r="K13" s="132">
        <f>IF(SER_hh_tesh!K13=0,0,SER_hh_tesh!K13/SER_summary!K$26)</f>
        <v>8.6468971633505465</v>
      </c>
      <c r="L13" s="132">
        <f>IF(SER_hh_tesh!L13=0,0,SER_hh_tesh!L13/SER_summary!L$26)</f>
        <v>8.6162012784278659</v>
      </c>
      <c r="M13" s="132">
        <f>IF(SER_hh_tesh!M13=0,0,SER_hh_tesh!M13/SER_summary!M$26)</f>
        <v>7.9449509570411463</v>
      </c>
      <c r="N13" s="132">
        <f>IF(SER_hh_tesh!N13=0,0,SER_hh_tesh!N13/SER_summary!N$26)</f>
        <v>7.3858761428597681</v>
      </c>
      <c r="O13" s="132">
        <f>IF(SER_hh_tesh!O13=0,0,SER_hh_tesh!O13/SER_summary!O$26)</f>
        <v>6.0398528395890283</v>
      </c>
      <c r="P13" s="132">
        <f>IF(SER_hh_tesh!P13=0,0,SER_hh_tesh!P13/SER_summary!P$26)</f>
        <v>4.8856269542397506</v>
      </c>
      <c r="Q13" s="132">
        <f>IF(SER_hh_tesh!Q13=0,0,SER_hh_tesh!Q13/SER_summary!Q$26)</f>
        <v>5.3684144498017714</v>
      </c>
      <c r="R13" s="132">
        <f>IF(SER_hh_tesh!R13=0,0,SER_hh_tesh!R13/SER_summary!R$26)</f>
        <v>5.9931246189415157</v>
      </c>
      <c r="S13" s="132">
        <f>IF(SER_hh_tesh!S13=0,0,SER_hh_tesh!S13/SER_summary!S$26)</f>
        <v>6.8936981015225038</v>
      </c>
      <c r="T13" s="132">
        <f>IF(SER_hh_tesh!T13=0,0,SER_hh_tesh!T13/SER_summary!T$26)</f>
        <v>7.8701847153763165</v>
      </c>
      <c r="U13" s="132">
        <f>IF(SER_hh_tesh!U13=0,0,SER_hh_tesh!U13/SER_summary!U$26)</f>
        <v>8.5285348570404853</v>
      </c>
      <c r="V13" s="132">
        <f>IF(SER_hh_tesh!V13=0,0,SER_hh_tesh!V13/SER_summary!V$26)</f>
        <v>9.1374589393140653</v>
      </c>
      <c r="W13" s="132">
        <f>IF(SER_hh_tesh!W13=0,0,SER_hh_tesh!W13/SER_summary!W$26)</f>
        <v>9.7088707840464998</v>
      </c>
      <c r="X13" s="132">
        <f>IF(SER_hh_tesh!X13=0,0,SER_hh_tesh!X13/SER_summary!X$26)</f>
        <v>10.439634930388692</v>
      </c>
      <c r="Y13" s="132">
        <f>IF(SER_hh_tesh!Y13=0,0,SER_hh_tesh!Y13/SER_summary!Y$26)</f>
        <v>10.875408338838486</v>
      </c>
      <c r="DA13" s="156" t="s">
        <v>518</v>
      </c>
    </row>
    <row r="14" spans="1:105" ht="12" customHeight="1" x14ac:dyDescent="0.25">
      <c r="A14" s="60" t="s">
        <v>76</v>
      </c>
      <c r="B14" s="65">
        <f>IF(SER_hh_tesh!B14=0,0,SER_hh_tesh!B14/SER_summary!B$26)</f>
        <v>9.279927261295148</v>
      </c>
      <c r="C14" s="65">
        <f>IF(SER_hh_tesh!C14=0,0,SER_hh_tesh!C14/SER_summary!C$26)</f>
        <v>5.5236772036544179</v>
      </c>
      <c r="D14" s="65">
        <f>IF(SER_hh_tesh!D14=0,0,SER_hh_tesh!D14/SER_summary!D$26)</f>
        <v>4.1466752577338415</v>
      </c>
      <c r="E14" s="65">
        <f>IF(SER_hh_tesh!E14=0,0,SER_hh_tesh!E14/SER_summary!E$26)</f>
        <v>3.3056355070448387</v>
      </c>
      <c r="F14" s="65">
        <f>IF(SER_hh_tesh!F14=0,0,SER_hh_tesh!F14/SER_summary!F$26)</f>
        <v>5.92281031740941</v>
      </c>
      <c r="G14" s="65">
        <f>IF(SER_hh_tesh!G14=0,0,SER_hh_tesh!G14/SER_summary!G$26)</f>
        <v>3.3049533582281092</v>
      </c>
      <c r="H14" s="65">
        <f>IF(SER_hh_tesh!H14=0,0,SER_hh_tesh!H14/SER_summary!H$26)</f>
        <v>12.514122389200111</v>
      </c>
      <c r="I14" s="65">
        <f>IF(SER_hh_tesh!I14=0,0,SER_hh_tesh!I14/SER_summary!I$26)</f>
        <v>7.1334897547277745</v>
      </c>
      <c r="J14" s="65">
        <f>IF(SER_hh_tesh!J14=0,0,SER_hh_tesh!J14/SER_summary!J$26)</f>
        <v>9.757817903295809</v>
      </c>
      <c r="K14" s="65">
        <f>IF(SER_hh_tesh!K14=0,0,SER_hh_tesh!K14/SER_summary!K$26)</f>
        <v>7.8631283430570447</v>
      </c>
      <c r="L14" s="65">
        <f>IF(SER_hh_tesh!L14=0,0,SER_hh_tesh!L14/SER_summary!L$26)</f>
        <v>10.626794274923375</v>
      </c>
      <c r="M14" s="65">
        <f>IF(SER_hh_tesh!M14=0,0,SER_hh_tesh!M14/SER_summary!M$26)</f>
        <v>10.012900097775876</v>
      </c>
      <c r="N14" s="65">
        <f>IF(SER_hh_tesh!N14=0,0,SER_hh_tesh!N14/SER_summary!N$26)</f>
        <v>7.9693744004334972</v>
      </c>
      <c r="O14" s="65">
        <f>IF(SER_hh_tesh!O14=0,0,SER_hh_tesh!O14/SER_summary!O$26)</f>
        <v>6.0187294546996384</v>
      </c>
      <c r="P14" s="65">
        <f>IF(SER_hh_tesh!P14=0,0,SER_hh_tesh!P14/SER_summary!P$26)</f>
        <v>3.2317721004265332</v>
      </c>
      <c r="Q14" s="65">
        <f>IF(SER_hh_tesh!Q14=0,0,SER_hh_tesh!Q14/SER_summary!Q$26)</f>
        <v>3.2481818488696916</v>
      </c>
      <c r="R14" s="65">
        <f>IF(SER_hh_tesh!R14=0,0,SER_hh_tesh!R14/SER_summary!R$26)</f>
        <v>3.154947308561014</v>
      </c>
      <c r="S14" s="65">
        <f>IF(SER_hh_tesh!S14=0,0,SER_hh_tesh!S14/SER_summary!S$26)</f>
        <v>7.9521135498658415</v>
      </c>
      <c r="T14" s="65">
        <f>IF(SER_hh_tesh!T14=0,0,SER_hh_tesh!T14/SER_summary!T$26)</f>
        <v>9.2941710527698813</v>
      </c>
      <c r="U14" s="65">
        <f>IF(SER_hh_tesh!U14=0,0,SER_hh_tesh!U14/SER_summary!U$26)</f>
        <v>9.7061334916778943</v>
      </c>
      <c r="V14" s="65">
        <f>IF(SER_hh_tesh!V14=0,0,SER_hh_tesh!V14/SER_summary!V$26)</f>
        <v>6.982611531569308</v>
      </c>
      <c r="W14" s="65">
        <f>IF(SER_hh_tesh!W14=0,0,SER_hh_tesh!W14/SER_summary!W$26)</f>
        <v>10.582099787209115</v>
      </c>
      <c r="X14" s="65">
        <f>IF(SER_hh_tesh!X14=0,0,SER_hh_tesh!X14/SER_summary!X$26)</f>
        <v>10.731344663456857</v>
      </c>
      <c r="Y14" s="65">
        <f>IF(SER_hh_tesh!Y14=0,0,SER_hh_tesh!Y14/SER_summary!Y$26)</f>
        <v>9.9491209426178617</v>
      </c>
      <c r="DA14" s="109" t="s">
        <v>519</v>
      </c>
    </row>
    <row r="15" spans="1:105" ht="12" customHeight="1" x14ac:dyDescent="0.25">
      <c r="A15" s="133" t="s">
        <v>80</v>
      </c>
      <c r="B15" s="134">
        <f>IF(SER_hh_tesh!B15=0,0,SER_hh_tesh!B15/SER_summary!B$26)</f>
        <v>0.11503508774236244</v>
      </c>
      <c r="C15" s="134">
        <f>IF(SER_hh_tesh!C15=0,0,SER_hh_tesh!C15/SER_summary!C$26)</f>
        <v>0.11836350493663576</v>
      </c>
      <c r="D15" s="134">
        <f>IF(SER_hh_tesh!D15=0,0,SER_hh_tesh!D15/SER_summary!D$26)</f>
        <v>0.11100302565364695</v>
      </c>
      <c r="E15" s="134">
        <f>IF(SER_hh_tesh!E15=0,0,SER_hh_tesh!E15/SER_summary!E$26)</f>
        <v>8.9105301862073147E-2</v>
      </c>
      <c r="F15" s="134">
        <f>IF(SER_hh_tesh!F15=0,0,SER_hh_tesh!F15/SER_summary!F$26)</f>
        <v>9.666886284031953E-2</v>
      </c>
      <c r="G15" s="134">
        <f>IF(SER_hh_tesh!G15=0,0,SER_hh_tesh!G15/SER_summary!G$26)</f>
        <v>0.11597708040007523</v>
      </c>
      <c r="H15" s="134">
        <f>IF(SER_hh_tesh!H15=0,0,SER_hh_tesh!H15/SER_summary!H$26)</f>
        <v>0.19011775453184213</v>
      </c>
      <c r="I15" s="134">
        <f>IF(SER_hh_tesh!I15=0,0,SER_hh_tesh!I15/SER_summary!I$26)</f>
        <v>0.12772519211734676</v>
      </c>
      <c r="J15" s="134">
        <f>IF(SER_hh_tesh!J15=0,0,SER_hh_tesh!J15/SER_summary!J$26)</f>
        <v>0.11348873720820216</v>
      </c>
      <c r="K15" s="134">
        <f>IF(SER_hh_tesh!K15=0,0,SER_hh_tesh!K15/SER_summary!K$26)</f>
        <v>0.1341120340802246</v>
      </c>
      <c r="L15" s="134">
        <f>IF(SER_hh_tesh!L15=0,0,SER_hh_tesh!L15/SER_summary!L$26)</f>
        <v>0.15780533189968776</v>
      </c>
      <c r="M15" s="134">
        <f>IF(SER_hh_tesh!M15=0,0,SER_hh_tesh!M15/SER_summary!M$26)</f>
        <v>0.16017748425498202</v>
      </c>
      <c r="N15" s="134">
        <f>IF(SER_hh_tesh!N15=0,0,SER_hh_tesh!N15/SER_summary!N$26)</f>
        <v>0.13159350563100827</v>
      </c>
      <c r="O15" s="134">
        <f>IF(SER_hh_tesh!O15=0,0,SER_hh_tesh!O15/SER_summary!O$26)</f>
        <v>0.12392483820663036</v>
      </c>
      <c r="P15" s="134">
        <f>IF(SER_hh_tesh!P15=0,0,SER_hh_tesh!P15/SER_summary!P$26)</f>
        <v>7.5911600353752093E-2</v>
      </c>
      <c r="Q15" s="134">
        <f>IF(SER_hh_tesh!Q15=0,0,SER_hh_tesh!Q15/SER_summary!Q$26)</f>
        <v>7.4176819716183756E-2</v>
      </c>
      <c r="R15" s="134">
        <f>IF(SER_hh_tesh!R15=0,0,SER_hh_tesh!R15/SER_summary!R$26)</f>
        <v>8.6710007984112047E-2</v>
      </c>
      <c r="S15" s="134">
        <f>IF(SER_hh_tesh!S15=0,0,SER_hh_tesh!S15/SER_summary!S$26)</f>
        <v>9.8615529007293423E-2</v>
      </c>
      <c r="T15" s="134">
        <f>IF(SER_hh_tesh!T15=0,0,SER_hh_tesh!T15/SER_summary!T$26)</f>
        <v>0.12306765412115529</v>
      </c>
      <c r="U15" s="134">
        <f>IF(SER_hh_tesh!U15=0,0,SER_hh_tesh!U15/SER_summary!U$26)</f>
        <v>0.12728431740103585</v>
      </c>
      <c r="V15" s="134">
        <f>IF(SER_hh_tesh!V15=0,0,SER_hh_tesh!V15/SER_summary!V$26)</f>
        <v>0.12146857765892358</v>
      </c>
      <c r="W15" s="134">
        <f>IF(SER_hh_tesh!W15=0,0,SER_hh_tesh!W15/SER_summary!W$26)</f>
        <v>0.15175553641959538</v>
      </c>
      <c r="X15" s="134">
        <f>IF(SER_hh_tesh!X15=0,0,SER_hh_tesh!X15/SER_summary!X$26)</f>
        <v>0.15153143411649941</v>
      </c>
      <c r="Y15" s="134">
        <f>IF(SER_hh_tesh!Y15=0,0,SER_hh_tesh!Y15/SER_summary!Y$26)</f>
        <v>0.14892840513381042</v>
      </c>
      <c r="DA15" s="157" t="s">
        <v>520</v>
      </c>
    </row>
    <row r="16" spans="1:105" ht="12.95" customHeight="1" x14ac:dyDescent="0.25">
      <c r="A16" s="129" t="s">
        <v>74</v>
      </c>
      <c r="B16" s="130">
        <f>IF(SER_hh_tesh!B16=0,0,SER_hh_tesh!B16/SER_summary!B$26)</f>
        <v>17.021790686573944</v>
      </c>
      <c r="C16" s="130">
        <f>IF(SER_hh_tesh!C16=0,0,SER_hh_tesh!C16/SER_summary!C$26)</f>
        <v>18.030326225312436</v>
      </c>
      <c r="D16" s="130">
        <f>IF(SER_hh_tesh!D16=0,0,SER_hh_tesh!D16/SER_summary!D$26)</f>
        <v>16.037787645848201</v>
      </c>
      <c r="E16" s="130">
        <f>IF(SER_hh_tesh!E16=0,0,SER_hh_tesh!E16/SER_summary!E$26)</f>
        <v>20.733762650176182</v>
      </c>
      <c r="F16" s="130">
        <f>IF(SER_hh_tesh!F16=0,0,SER_hh_tesh!F16/SER_summary!F$26)</f>
        <v>18.635545810749829</v>
      </c>
      <c r="G16" s="130">
        <f>IF(SER_hh_tesh!G16=0,0,SER_hh_tesh!G16/SER_summary!G$26)</f>
        <v>19.519111971841614</v>
      </c>
      <c r="H16" s="130">
        <f>IF(SER_hh_tesh!H16=0,0,SER_hh_tesh!H16/SER_summary!H$26)</f>
        <v>21.908112655510859</v>
      </c>
      <c r="I16" s="130">
        <f>IF(SER_hh_tesh!I16=0,0,SER_hh_tesh!I16/SER_summary!I$26)</f>
        <v>16.41926535192804</v>
      </c>
      <c r="J16" s="130">
        <f>IF(SER_hh_tesh!J16=0,0,SER_hh_tesh!J16/SER_summary!J$26)</f>
        <v>17.342250462194389</v>
      </c>
      <c r="K16" s="130">
        <f>IF(SER_hh_tesh!K16=0,0,SER_hh_tesh!K16/SER_summary!K$26)</f>
        <v>22.3069747851826</v>
      </c>
      <c r="L16" s="130">
        <f>IF(SER_hh_tesh!L16=0,0,SER_hh_tesh!L16/SER_summary!L$26)</f>
        <v>21.115185554192806</v>
      </c>
      <c r="M16" s="130">
        <f>IF(SER_hh_tesh!M16=0,0,SER_hh_tesh!M16/SER_summary!M$26)</f>
        <v>19.039796541926581</v>
      </c>
      <c r="N16" s="130">
        <f>IF(SER_hh_tesh!N16=0,0,SER_hh_tesh!N16/SER_summary!N$26)</f>
        <v>23.016877726632838</v>
      </c>
      <c r="O16" s="130">
        <f>IF(SER_hh_tesh!O16=0,0,SER_hh_tesh!O16/SER_summary!O$26)</f>
        <v>18.801129766391586</v>
      </c>
      <c r="P16" s="130">
        <f>IF(SER_hh_tesh!P16=0,0,SER_hh_tesh!P16/SER_summary!P$26)</f>
        <v>17.545175547416296</v>
      </c>
      <c r="Q16" s="130">
        <f>IF(SER_hh_tesh!Q16=0,0,SER_hh_tesh!Q16/SER_summary!Q$26)</f>
        <v>25.902306310292502</v>
      </c>
      <c r="R16" s="130">
        <f>IF(SER_hh_tesh!R16=0,0,SER_hh_tesh!R16/SER_summary!R$26)</f>
        <v>25.529174828022487</v>
      </c>
      <c r="S16" s="130">
        <f>IF(SER_hh_tesh!S16=0,0,SER_hh_tesh!S16/SER_summary!S$26)</f>
        <v>29.902739759305458</v>
      </c>
      <c r="T16" s="130">
        <f>IF(SER_hh_tesh!T16=0,0,SER_hh_tesh!T16/SER_summary!T$26)</f>
        <v>21.49197289189458</v>
      </c>
      <c r="U16" s="130">
        <f>IF(SER_hh_tesh!U16=0,0,SER_hh_tesh!U16/SER_summary!U$26)</f>
        <v>22.463263788333958</v>
      </c>
      <c r="V16" s="130">
        <f>IF(SER_hh_tesh!V16=0,0,SER_hh_tesh!V16/SER_summary!V$26)</f>
        <v>25.05562543859714</v>
      </c>
      <c r="W16" s="130">
        <f>IF(SER_hh_tesh!W16=0,0,SER_hh_tesh!W16/SER_summary!W$26)</f>
        <v>21.830846637870067</v>
      </c>
      <c r="X16" s="130">
        <f>IF(SER_hh_tesh!X16=0,0,SER_hh_tesh!X16/SER_summary!X$26)</f>
        <v>27.962069092471644</v>
      </c>
      <c r="Y16" s="130">
        <f>IF(SER_hh_tesh!Y16=0,0,SER_hh_tesh!Y16/SER_summary!Y$26)</f>
        <v>28.399213688153573</v>
      </c>
      <c r="DA16" s="155" t="s">
        <v>521</v>
      </c>
    </row>
    <row r="17" spans="1:105" ht="12.95" customHeight="1" x14ac:dyDescent="0.25">
      <c r="A17" s="131" t="s">
        <v>73</v>
      </c>
      <c r="B17" s="132">
        <f>IF(SER_hh_tesh!B17=0,0,SER_hh_tesh!B17/SER_summary!B$26)</f>
        <v>17.02179068657394</v>
      </c>
      <c r="C17" s="132">
        <f>IF(SER_hh_tesh!C17=0,0,SER_hh_tesh!C17/SER_summary!C$26)</f>
        <v>18.030326225312489</v>
      </c>
      <c r="D17" s="132">
        <f>IF(SER_hh_tesh!D17=0,0,SER_hh_tesh!D17/SER_summary!D$26)</f>
        <v>16.03778764584823</v>
      </c>
      <c r="E17" s="132">
        <f>IF(SER_hh_tesh!E17=0,0,SER_hh_tesh!E17/SER_summary!E$26)</f>
        <v>24.548327641173998</v>
      </c>
      <c r="F17" s="132">
        <f>IF(SER_hh_tesh!F17=0,0,SER_hh_tesh!F17/SER_summary!F$26)</f>
        <v>18.635545811106606</v>
      </c>
      <c r="G17" s="132">
        <f>IF(SER_hh_tesh!G17=0,0,SER_hh_tesh!G17/SER_summary!G$26)</f>
        <v>19.519111971646581</v>
      </c>
      <c r="H17" s="132">
        <f>IF(SER_hh_tesh!H17=0,0,SER_hh_tesh!H17/SER_summary!H$26)</f>
        <v>19.448344896143375</v>
      </c>
      <c r="I17" s="132">
        <f>IF(SER_hh_tesh!I17=0,0,SER_hh_tesh!I17/SER_summary!I$26)</f>
        <v>16.419265351908209</v>
      </c>
      <c r="J17" s="132">
        <f>IF(SER_hh_tesh!J17=0,0,SER_hh_tesh!J17/SER_summary!J$26)</f>
        <v>17.342250462210796</v>
      </c>
      <c r="K17" s="132">
        <f>IF(SER_hh_tesh!K17=0,0,SER_hh_tesh!K17/SER_summary!K$26)</f>
        <v>22.306974785217584</v>
      </c>
      <c r="L17" s="132">
        <f>IF(SER_hh_tesh!L17=0,0,SER_hh_tesh!L17/SER_summary!L$26)</f>
        <v>21.115185554235506</v>
      </c>
      <c r="M17" s="132">
        <f>IF(SER_hh_tesh!M17=0,0,SER_hh_tesh!M17/SER_summary!M$26)</f>
        <v>19.039796541968688</v>
      </c>
      <c r="N17" s="132">
        <f>IF(SER_hh_tesh!N17=0,0,SER_hh_tesh!N17/SER_summary!N$26)</f>
        <v>23.016877726682836</v>
      </c>
      <c r="O17" s="132">
        <f>IF(SER_hh_tesh!O17=0,0,SER_hh_tesh!O17/SER_summary!O$26)</f>
        <v>18.801129766428176</v>
      </c>
      <c r="P17" s="132">
        <f>IF(SER_hh_tesh!P17=0,0,SER_hh_tesh!P17/SER_summary!P$26)</f>
        <v>17.54517554818969</v>
      </c>
      <c r="Q17" s="132">
        <f>IF(SER_hh_tesh!Q17=0,0,SER_hh_tesh!Q17/SER_summary!Q$26)</f>
        <v>25.902306308746919</v>
      </c>
      <c r="R17" s="132">
        <f>IF(SER_hh_tesh!R17=0,0,SER_hh_tesh!R17/SER_summary!R$26)</f>
        <v>25.529177579384797</v>
      </c>
      <c r="S17" s="132">
        <f>IF(SER_hh_tesh!S17=0,0,SER_hh_tesh!S17/SER_summary!S$26)</f>
        <v>29.902743606139556</v>
      </c>
      <c r="T17" s="132">
        <f>IF(SER_hh_tesh!T17=0,0,SER_hh_tesh!T17/SER_summary!T$26)</f>
        <v>21.491975018494319</v>
      </c>
      <c r="U17" s="132">
        <f>IF(SER_hh_tesh!U17=0,0,SER_hh_tesh!U17/SER_summary!U$26)</f>
        <v>22.463264539882609</v>
      </c>
      <c r="V17" s="132">
        <f>IF(SER_hh_tesh!V17=0,0,SER_hh_tesh!V17/SER_summary!V$26)</f>
        <v>23.138244133459434</v>
      </c>
      <c r="W17" s="132">
        <f>IF(SER_hh_tesh!W17=0,0,SER_hh_tesh!W17/SER_summary!W$26)</f>
        <v>20.642668203281914</v>
      </c>
      <c r="X17" s="132">
        <f>IF(SER_hh_tesh!X17=0,0,SER_hh_tesh!X17/SER_summary!X$26)</f>
        <v>32.458188151263407</v>
      </c>
      <c r="Y17" s="132">
        <f>IF(SER_hh_tesh!Y17=0,0,SER_hh_tesh!Y17/SER_summary!Y$26)</f>
        <v>29.948688161008842</v>
      </c>
      <c r="DA17" s="156" t="s">
        <v>522</v>
      </c>
    </row>
    <row r="18" spans="1:105" ht="12" customHeight="1" x14ac:dyDescent="0.25">
      <c r="A18" s="131" t="s">
        <v>72</v>
      </c>
      <c r="B18" s="132">
        <f>IF(SER_hh_tesh!B18=0,0,SER_hh_tesh!B18/SER_summary!B$26)</f>
        <v>17.02179068657394</v>
      </c>
      <c r="C18" s="132">
        <f>IF(SER_hh_tesh!C18=0,0,SER_hh_tesh!C18/SER_summary!C$26)</f>
        <v>18.030326225312436</v>
      </c>
      <c r="D18" s="132">
        <f>IF(SER_hh_tesh!D18=0,0,SER_hh_tesh!D18/SER_summary!D$26)</f>
        <v>16.037787645848201</v>
      </c>
      <c r="E18" s="132">
        <f>IF(SER_hh_tesh!E18=0,0,SER_hh_tesh!E18/SER_summary!E$26)</f>
        <v>20.730736917015349</v>
      </c>
      <c r="F18" s="132">
        <f>IF(SER_hh_tesh!F18=0,0,SER_hh_tesh!F18/SER_summary!F$26)</f>
        <v>18.63554581074948</v>
      </c>
      <c r="G18" s="132">
        <f>IF(SER_hh_tesh!G18=0,0,SER_hh_tesh!G18/SER_summary!G$26)</f>
        <v>19.519111971841813</v>
      </c>
      <c r="H18" s="132">
        <f>IF(SER_hh_tesh!H18=0,0,SER_hh_tesh!H18/SER_summary!H$26)</f>
        <v>21.910969743026691</v>
      </c>
      <c r="I18" s="132">
        <f>IF(SER_hh_tesh!I18=0,0,SER_hh_tesh!I18/SER_summary!I$26)</f>
        <v>16.419265351928065</v>
      </c>
      <c r="J18" s="132">
        <f>IF(SER_hh_tesh!J18=0,0,SER_hh_tesh!J18/SER_summary!J$26)</f>
        <v>17.342250462194365</v>
      </c>
      <c r="K18" s="132">
        <f>IF(SER_hh_tesh!K18=0,0,SER_hh_tesh!K18/SER_summary!K$26)</f>
        <v>22.30697478518255</v>
      </c>
      <c r="L18" s="132">
        <f>IF(SER_hh_tesh!L18=0,0,SER_hh_tesh!L18/SER_summary!L$26)</f>
        <v>21.115185554192735</v>
      </c>
      <c r="M18" s="132">
        <f>IF(SER_hh_tesh!M18=0,0,SER_hh_tesh!M18/SER_summary!M$26)</f>
        <v>19.039796541926503</v>
      </c>
      <c r="N18" s="132">
        <f>IF(SER_hh_tesh!N18=0,0,SER_hh_tesh!N18/SER_summary!N$26)</f>
        <v>23.016877726632728</v>
      </c>
      <c r="O18" s="132">
        <f>IF(SER_hh_tesh!O18=0,0,SER_hh_tesh!O18/SER_summary!O$26)</f>
        <v>18.801129766391494</v>
      </c>
      <c r="P18" s="132">
        <f>IF(SER_hh_tesh!P18=0,0,SER_hh_tesh!P18/SER_summary!P$26)</f>
        <v>17.545175547414026</v>
      </c>
      <c r="Q18" s="132">
        <f>IF(SER_hh_tesh!Q18=0,0,SER_hh_tesh!Q18/SER_summary!Q$26)</f>
        <v>25.902306310297813</v>
      </c>
      <c r="R18" s="132">
        <f>IF(SER_hh_tesh!R18=0,0,SER_hh_tesh!R18/SER_summary!R$26)</f>
        <v>25.52917481695496</v>
      </c>
      <c r="S18" s="132">
        <f>IF(SER_hh_tesh!S18=0,0,SER_hh_tesh!S18/SER_summary!S$26)</f>
        <v>29.902739742509585</v>
      </c>
      <c r="T18" s="132">
        <f>IF(SER_hh_tesh!T18=0,0,SER_hh_tesh!T18/SER_summary!T$26)</f>
        <v>21.491972880880613</v>
      </c>
      <c r="U18" s="132">
        <f>IF(SER_hh_tesh!U18=0,0,SER_hh_tesh!U18/SER_summary!U$26)</f>
        <v>22.463263784219567</v>
      </c>
      <c r="V18" s="132">
        <f>IF(SER_hh_tesh!V18=0,0,SER_hh_tesh!V18/SER_summary!V$26)</f>
        <v>25.066639473679359</v>
      </c>
      <c r="W18" s="132">
        <f>IF(SER_hh_tesh!W18=0,0,SER_hh_tesh!W18/SER_summary!W$26)</f>
        <v>21.837846009290704</v>
      </c>
      <c r="X18" s="132">
        <f>IF(SER_hh_tesh!X18=0,0,SER_hh_tesh!X18/SER_summary!X$26)</f>
        <v>27.93558632670036</v>
      </c>
      <c r="Y18" s="132">
        <f>IF(SER_hh_tesh!Y18=0,0,SER_hh_tesh!Y18/SER_summary!Y$26)</f>
        <v>28.390074581912753</v>
      </c>
      <c r="DA18" s="156" t="s">
        <v>523</v>
      </c>
    </row>
    <row r="19" spans="1:105" ht="12.95" customHeight="1" x14ac:dyDescent="0.25">
      <c r="A19" s="129" t="s">
        <v>35</v>
      </c>
      <c r="B19" s="130">
        <f>IF(SER_hh_tesh!B19=0,0,SER_hh_tesh!B19/SER_summary!B$26)</f>
        <v>3.5663381466135884</v>
      </c>
      <c r="C19" s="130">
        <f>IF(SER_hh_tesh!C19=0,0,SER_hh_tesh!C19/SER_summary!C$26)</f>
        <v>3.7012752664553203</v>
      </c>
      <c r="D19" s="130">
        <f>IF(SER_hh_tesh!D19=0,0,SER_hh_tesh!D19/SER_summary!D$26)</f>
        <v>3.8785670489006021</v>
      </c>
      <c r="E19" s="130">
        <f>IF(SER_hh_tesh!E19=0,0,SER_hh_tesh!E19/SER_summary!E$26)</f>
        <v>3.8714512882950465</v>
      </c>
      <c r="F19" s="130">
        <f>IF(SER_hh_tesh!F19=0,0,SER_hh_tesh!F19/SER_summary!F$26)</f>
        <v>4.0844565008625056</v>
      </c>
      <c r="G19" s="130">
        <f>IF(SER_hh_tesh!G19=0,0,SER_hh_tesh!G19/SER_summary!G$26)</f>
        <v>4.0769990815346091</v>
      </c>
      <c r="H19" s="130">
        <f>IF(SER_hh_tesh!H19=0,0,SER_hh_tesh!H19/SER_summary!H$26)</f>
        <v>4.170226864827403</v>
      </c>
      <c r="I19" s="130">
        <f>IF(SER_hh_tesh!I19=0,0,SER_hh_tesh!I19/SER_summary!I$26)</f>
        <v>4.1305191389178146</v>
      </c>
      <c r="J19" s="130">
        <f>IF(SER_hh_tesh!J19=0,0,SER_hh_tesh!J19/SER_summary!J$26)</f>
        <v>4.1802855168876327</v>
      </c>
      <c r="K19" s="130">
        <f>IF(SER_hh_tesh!K19=0,0,SER_hh_tesh!K19/SER_summary!K$26)</f>
        <v>4.2133041416196315</v>
      </c>
      <c r="L19" s="130">
        <f>IF(SER_hh_tesh!L19=0,0,SER_hh_tesh!L19/SER_summary!L$26)</f>
        <v>4.2634045363149582</v>
      </c>
      <c r="M19" s="130">
        <f>IF(SER_hh_tesh!M19=0,0,SER_hh_tesh!M19/SER_summary!M$26)</f>
        <v>4.3082526966002792</v>
      </c>
      <c r="N19" s="130">
        <f>IF(SER_hh_tesh!N19=0,0,SER_hh_tesh!N19/SER_summary!N$26)</f>
        <v>4.2234898764076352</v>
      </c>
      <c r="O19" s="130">
        <f>IF(SER_hh_tesh!O19=0,0,SER_hh_tesh!O19/SER_summary!O$26)</f>
        <v>4.3589760663286814</v>
      </c>
      <c r="P19" s="130">
        <f>IF(SER_hh_tesh!P19=0,0,SER_hh_tesh!P19/SER_summary!P$26)</f>
        <v>4.2538357656984811</v>
      </c>
      <c r="Q19" s="130">
        <f>IF(SER_hh_tesh!Q19=0,0,SER_hh_tesh!Q19/SER_summary!Q$26)</f>
        <v>4.0452216927640157</v>
      </c>
      <c r="R19" s="130">
        <f>IF(SER_hh_tesh!R19=0,0,SER_hh_tesh!R19/SER_summary!R$26)</f>
        <v>3.9667228705609334</v>
      </c>
      <c r="S19" s="130">
        <f>IF(SER_hh_tesh!S19=0,0,SER_hh_tesh!S19/SER_summary!S$26)</f>
        <v>3.8604204835856621</v>
      </c>
      <c r="T19" s="130">
        <f>IF(SER_hh_tesh!T19=0,0,SER_hh_tesh!T19/SER_summary!T$26)</f>
        <v>4.1619622755268546</v>
      </c>
      <c r="U19" s="130">
        <f>IF(SER_hh_tesh!U19=0,0,SER_hh_tesh!U19/SER_summary!U$26)</f>
        <v>4.1184654407706196</v>
      </c>
      <c r="V19" s="130">
        <f>IF(SER_hh_tesh!V19=0,0,SER_hh_tesh!V19/SER_summary!V$26)</f>
        <v>3.65052081389282</v>
      </c>
      <c r="W19" s="130">
        <f>IF(SER_hh_tesh!W19=0,0,SER_hh_tesh!W19/SER_summary!W$26)</f>
        <v>3.9858288514698175</v>
      </c>
      <c r="X19" s="130">
        <f>IF(SER_hh_tesh!X19=0,0,SER_hh_tesh!X19/SER_summary!X$26)</f>
        <v>3.8176454862477152</v>
      </c>
      <c r="Y19" s="130">
        <f>IF(SER_hh_tesh!Y19=0,0,SER_hh_tesh!Y19/SER_summary!Y$26)</f>
        <v>3.8748620083927992</v>
      </c>
      <c r="DA19" s="155" t="s">
        <v>524</v>
      </c>
    </row>
    <row r="20" spans="1:105" ht="12" customHeight="1" x14ac:dyDescent="0.25">
      <c r="A20" s="131" t="s">
        <v>29</v>
      </c>
      <c r="B20" s="132">
        <f>IF(SER_hh_tesh!B20=0,0,SER_hh_tesh!B20/SER_summary!B$26)</f>
        <v>0</v>
      </c>
      <c r="C20" s="132">
        <f>IF(SER_hh_tesh!C20=0,0,SER_hh_tesh!C20/SER_summary!C$26)</f>
        <v>0</v>
      </c>
      <c r="D20" s="132">
        <f>IF(SER_hh_tesh!D20=0,0,SER_hh_tesh!D20/SER_summary!D$26)</f>
        <v>0</v>
      </c>
      <c r="E20" s="132">
        <f>IF(SER_hh_tesh!E20=0,0,SER_hh_tesh!E20/SER_summary!E$26)</f>
        <v>0</v>
      </c>
      <c r="F20" s="132">
        <f>IF(SER_hh_tesh!F20=0,0,SER_hh_tesh!F20/SER_summary!F$26)</f>
        <v>0</v>
      </c>
      <c r="G20" s="132">
        <f>IF(SER_hh_tesh!G20=0,0,SER_hh_tesh!G20/SER_summary!G$26)</f>
        <v>0</v>
      </c>
      <c r="H20" s="132">
        <f>IF(SER_hh_tesh!H20=0,0,SER_hh_tesh!H20/SER_summary!H$26)</f>
        <v>0</v>
      </c>
      <c r="I20" s="132">
        <f>IF(SER_hh_tesh!I20=0,0,SER_hh_tesh!I20/SER_summary!I$26)</f>
        <v>0</v>
      </c>
      <c r="J20" s="132">
        <f>IF(SER_hh_tesh!J20=0,0,SER_hh_tesh!J20/SER_summary!J$26)</f>
        <v>0</v>
      </c>
      <c r="K20" s="132">
        <f>IF(SER_hh_tesh!K20=0,0,SER_hh_tesh!K20/SER_summary!K$26)</f>
        <v>0</v>
      </c>
      <c r="L20" s="132">
        <f>IF(SER_hh_tesh!L20=0,0,SER_hh_tesh!L20/SER_summary!L$26)</f>
        <v>0</v>
      </c>
      <c r="M20" s="132">
        <f>IF(SER_hh_tesh!M20=0,0,SER_hh_tesh!M20/SER_summary!M$26)</f>
        <v>0</v>
      </c>
      <c r="N20" s="132">
        <f>IF(SER_hh_tesh!N20=0,0,SER_hh_tesh!N20/SER_summary!N$26)</f>
        <v>0</v>
      </c>
      <c r="O20" s="132">
        <f>IF(SER_hh_tesh!O20=0,0,SER_hh_tesh!O20/SER_summary!O$26)</f>
        <v>0</v>
      </c>
      <c r="P20" s="132">
        <f>IF(SER_hh_tesh!P20=0,0,SER_hh_tesh!P20/SER_summary!P$26)</f>
        <v>0</v>
      </c>
      <c r="Q20" s="132">
        <f>IF(SER_hh_tesh!Q20=0,0,SER_hh_tesh!Q20/SER_summary!Q$26)</f>
        <v>0</v>
      </c>
      <c r="R20" s="132">
        <f>IF(SER_hh_tesh!R20=0,0,SER_hh_tesh!R20/SER_summary!R$26)</f>
        <v>0</v>
      </c>
      <c r="S20" s="132">
        <f>IF(SER_hh_tesh!S20=0,0,SER_hh_tesh!S20/SER_summary!S$26)</f>
        <v>0</v>
      </c>
      <c r="T20" s="132">
        <f>IF(SER_hh_tesh!T20=0,0,SER_hh_tesh!T20/SER_summary!T$26)</f>
        <v>0</v>
      </c>
      <c r="U20" s="132">
        <f>IF(SER_hh_tesh!U20=0,0,SER_hh_tesh!U20/SER_summary!U$26)</f>
        <v>0</v>
      </c>
      <c r="V20" s="132">
        <f>IF(SER_hh_tesh!V20=0,0,SER_hh_tesh!V20/SER_summary!V$26)</f>
        <v>0</v>
      </c>
      <c r="W20" s="132">
        <f>IF(SER_hh_tesh!W20=0,0,SER_hh_tesh!W20/SER_summary!W$26)</f>
        <v>0</v>
      </c>
      <c r="X20" s="132">
        <f>IF(SER_hh_tesh!X20=0,0,SER_hh_tesh!X20/SER_summary!X$26)</f>
        <v>0</v>
      </c>
      <c r="Y20" s="132">
        <f>IF(SER_hh_tesh!Y20=0,0,SER_hh_tesh!Y20/SER_summary!Y$26)</f>
        <v>0</v>
      </c>
      <c r="DA20" s="156" t="s">
        <v>525</v>
      </c>
    </row>
    <row r="21" spans="1:105" s="2" customFormat="1" ht="12" customHeight="1" x14ac:dyDescent="0.25">
      <c r="A21" s="131" t="s">
        <v>52</v>
      </c>
      <c r="B21" s="132">
        <f>IF(SER_hh_tesh!B21=0,0,SER_hh_tesh!B21/SER_summary!B$26)</f>
        <v>3.6242914335959524</v>
      </c>
      <c r="C21" s="132">
        <f>IF(SER_hh_tesh!C21=0,0,SER_hh_tesh!C21/SER_summary!C$26)</f>
        <v>3.6717885819410401</v>
      </c>
      <c r="D21" s="132">
        <f>IF(SER_hh_tesh!D21=0,0,SER_hh_tesh!D21/SER_summary!D$26)</f>
        <v>3.8420322329155638</v>
      </c>
      <c r="E21" s="132">
        <f>IF(SER_hh_tesh!E21=0,0,SER_hh_tesh!E21/SER_summary!E$26)</f>
        <v>4.0097280561120554</v>
      </c>
      <c r="F21" s="132">
        <f>IF(SER_hh_tesh!F21=0,0,SER_hh_tesh!F21/SER_summary!F$26)</f>
        <v>3.8932730867620351</v>
      </c>
      <c r="G21" s="132">
        <f>IF(SER_hh_tesh!G21=0,0,SER_hh_tesh!G21/SER_summary!G$26)</f>
        <v>3.9963643928078705</v>
      </c>
      <c r="H21" s="132">
        <f>IF(SER_hh_tesh!H21=0,0,SER_hh_tesh!H21/SER_summary!H$26)</f>
        <v>4.1404223258687818</v>
      </c>
      <c r="I21" s="132">
        <f>IF(SER_hh_tesh!I21=0,0,SER_hh_tesh!I21/SER_summary!I$26)</f>
        <v>4.138744373872961</v>
      </c>
      <c r="J21" s="132">
        <f>IF(SER_hh_tesh!J21=0,0,SER_hh_tesh!J21/SER_summary!J$26)</f>
        <v>4.1449704508015612</v>
      </c>
      <c r="K21" s="132">
        <f>IF(SER_hh_tesh!K21=0,0,SER_hh_tesh!K21/SER_summary!K$26)</f>
        <v>4.1612454494513669</v>
      </c>
      <c r="L21" s="132">
        <f>IF(SER_hh_tesh!L21=0,0,SER_hh_tesh!L21/SER_summary!L$26)</f>
        <v>4.2157582103053128</v>
      </c>
      <c r="M21" s="132">
        <f>IF(SER_hh_tesh!M21=0,0,SER_hh_tesh!M21/SER_summary!M$26)</f>
        <v>4.2310156006644455</v>
      </c>
      <c r="N21" s="132">
        <f>IF(SER_hh_tesh!N21=0,0,SER_hh_tesh!N21/SER_summary!N$26)</f>
        <v>4.2317678003539543</v>
      </c>
      <c r="O21" s="132">
        <f>IF(SER_hh_tesh!O21=0,0,SER_hh_tesh!O21/SER_summary!O$26)</f>
        <v>4.253972284377066</v>
      </c>
      <c r="P21" s="132">
        <f>IF(SER_hh_tesh!P21=0,0,SER_hh_tesh!P21/SER_summary!P$26)</f>
        <v>4.09777567464453</v>
      </c>
      <c r="Q21" s="132">
        <f>IF(SER_hh_tesh!Q21=0,0,SER_hh_tesh!Q21/SER_summary!Q$26)</f>
        <v>4.0182032696321972</v>
      </c>
      <c r="R21" s="132">
        <f>IF(SER_hh_tesh!R21=0,0,SER_hh_tesh!R21/SER_summary!R$26)</f>
        <v>4.0001788027377216</v>
      </c>
      <c r="S21" s="132">
        <f>IF(SER_hh_tesh!S21=0,0,SER_hh_tesh!S21/SER_summary!S$26)</f>
        <v>3.9791066366255059</v>
      </c>
      <c r="T21" s="132">
        <f>IF(SER_hh_tesh!T21=0,0,SER_hh_tesh!T21/SER_summary!T$26)</f>
        <v>4.3494034651668008</v>
      </c>
      <c r="U21" s="132">
        <f>IF(SER_hh_tesh!U21=0,0,SER_hh_tesh!U21/SER_summary!U$26)</f>
        <v>4.0575723176598455</v>
      </c>
      <c r="V21" s="132">
        <f>IF(SER_hh_tesh!V21=0,0,SER_hh_tesh!V21/SER_summary!V$26)</f>
        <v>2.9816537345550702</v>
      </c>
      <c r="W21" s="132">
        <f>IF(SER_hh_tesh!W21=0,0,SER_hh_tesh!W21/SER_summary!W$26)</f>
        <v>3.296995350805159</v>
      </c>
      <c r="X21" s="132">
        <f>IF(SER_hh_tesh!X21=0,0,SER_hh_tesh!X21/SER_summary!X$26)</f>
        <v>3.554148495229283</v>
      </c>
      <c r="Y21" s="132">
        <f>IF(SER_hh_tesh!Y21=0,0,SER_hh_tesh!Y21/SER_summary!Y$26)</f>
        <v>4.2715329949245779</v>
      </c>
      <c r="DA21" s="156" t="s">
        <v>526</v>
      </c>
    </row>
    <row r="22" spans="1:105" ht="12" customHeight="1" x14ac:dyDescent="0.25">
      <c r="A22" s="131" t="s">
        <v>161</v>
      </c>
      <c r="B22" s="132">
        <f>IF(SER_hh_tesh!B22=0,0,SER_hh_tesh!B22/SER_summary!B$26)</f>
        <v>3.5455337425536464</v>
      </c>
      <c r="C22" s="132">
        <f>IF(SER_hh_tesh!C22=0,0,SER_hh_tesh!C22/SER_summary!C$26)</f>
        <v>3.7171984941082408</v>
      </c>
      <c r="D22" s="132">
        <f>IF(SER_hh_tesh!D22=0,0,SER_hh_tesh!D22/SER_summary!D$26)</f>
        <v>3.832589576945951</v>
      </c>
      <c r="E22" s="132">
        <f>IF(SER_hh_tesh!E22=0,0,SER_hh_tesh!E22/SER_summary!E$26)</f>
        <v>3.8970474151541921</v>
      </c>
      <c r="F22" s="132">
        <f>IF(SER_hh_tesh!F22=0,0,SER_hh_tesh!F22/SER_summary!F$26)</f>
        <v>4.0439511923414679</v>
      </c>
      <c r="G22" s="132">
        <f>IF(SER_hh_tesh!G22=0,0,SER_hh_tesh!G22/SER_summary!G$26)</f>
        <v>4.1310927243623272</v>
      </c>
      <c r="H22" s="132">
        <f>IF(SER_hh_tesh!H22=0,0,SER_hh_tesh!H22/SER_summary!H$26)</f>
        <v>4.1846270366087852</v>
      </c>
      <c r="I22" s="132">
        <f>IF(SER_hh_tesh!I22=0,0,SER_hh_tesh!I22/SER_summary!I$26)</f>
        <v>4.0803814776898397</v>
      </c>
      <c r="J22" s="132">
        <f>IF(SER_hh_tesh!J22=0,0,SER_hh_tesh!J22/SER_summary!J$26)</f>
        <v>4.1035773026871967</v>
      </c>
      <c r="K22" s="132">
        <f>IF(SER_hh_tesh!K22=0,0,SER_hh_tesh!K22/SER_summary!K$26)</f>
        <v>4.1322042054878407</v>
      </c>
      <c r="L22" s="132">
        <f>IF(SER_hh_tesh!L22=0,0,SER_hh_tesh!L22/SER_summary!L$26)</f>
        <v>4.1547857543467765</v>
      </c>
      <c r="M22" s="132">
        <f>IF(SER_hh_tesh!M22=0,0,SER_hh_tesh!M22/SER_summary!M$26)</f>
        <v>4.1803035605787624</v>
      </c>
      <c r="N22" s="132">
        <f>IF(SER_hh_tesh!N22=0,0,SER_hh_tesh!N22/SER_summary!N$26)</f>
        <v>4.2379426666822013</v>
      </c>
      <c r="O22" s="132">
        <f>IF(SER_hh_tesh!O22=0,0,SER_hh_tesh!O22/SER_summary!O$26)</f>
        <v>4.2005781970223328</v>
      </c>
      <c r="P22" s="132">
        <f>IF(SER_hh_tesh!P22=0,0,SER_hh_tesh!P22/SER_summary!P$26)</f>
        <v>4.0281694077851347</v>
      </c>
      <c r="Q22" s="132">
        <f>IF(SER_hh_tesh!Q22=0,0,SER_hh_tesh!Q22/SER_summary!Q$26)</f>
        <v>4.0517591394358341</v>
      </c>
      <c r="R22" s="132">
        <f>IF(SER_hh_tesh!R22=0,0,SER_hh_tesh!R22/SER_summary!R$26)</f>
        <v>4.0424751229035198</v>
      </c>
      <c r="S22" s="132">
        <f>IF(SER_hh_tesh!S22=0,0,SER_hh_tesh!S22/SER_summary!S$26)</f>
        <v>3.9292839796640773</v>
      </c>
      <c r="T22" s="132">
        <f>IF(SER_hh_tesh!T22=0,0,SER_hh_tesh!T22/SER_summary!T$26)</f>
        <v>3.9846749940188717</v>
      </c>
      <c r="U22" s="132">
        <f>IF(SER_hh_tesh!U22=0,0,SER_hh_tesh!U22/SER_summary!U$26)</f>
        <v>3.9145103903694038</v>
      </c>
      <c r="V22" s="132">
        <f>IF(SER_hh_tesh!V22=0,0,SER_hh_tesh!V22/SER_summary!V$26)</f>
        <v>3.7125395774928727</v>
      </c>
      <c r="W22" s="132">
        <f>IF(SER_hh_tesh!W22=0,0,SER_hh_tesh!W22/SER_summary!W$26)</f>
        <v>3.9406536490893203</v>
      </c>
      <c r="X22" s="132">
        <f>IF(SER_hh_tesh!X22=0,0,SER_hh_tesh!X22/SER_summary!X$26)</f>
        <v>3.8338000177843279</v>
      </c>
      <c r="Y22" s="132">
        <f>IF(SER_hh_tesh!Y22=0,0,SER_hh_tesh!Y22/SER_summary!Y$26)</f>
        <v>3.7475863300742223</v>
      </c>
      <c r="DA22" s="156" t="s">
        <v>527</v>
      </c>
    </row>
    <row r="23" spans="1:105" ht="12" customHeight="1" x14ac:dyDescent="0.25">
      <c r="A23" s="131" t="s">
        <v>149</v>
      </c>
      <c r="B23" s="132">
        <f>IF(SER_hh_tesh!B23=0,0,SER_hh_tesh!B23/SER_summary!B$26)</f>
        <v>3.7167221866205971</v>
      </c>
      <c r="C23" s="132">
        <f>IF(SER_hh_tesh!C23=0,0,SER_hh_tesh!C23/SER_summary!C$26)</f>
        <v>3.7582223257004728</v>
      </c>
      <c r="D23" s="132">
        <f>IF(SER_hh_tesh!D23=0,0,SER_hh_tesh!D23/SER_summary!D$26)</f>
        <v>4.0542953425303043</v>
      </c>
      <c r="E23" s="132">
        <f>IF(SER_hh_tesh!E23=0,0,SER_hh_tesh!E23/SER_summary!E$26)</f>
        <v>2.0947168164526628</v>
      </c>
      <c r="F23" s="132">
        <f>IF(SER_hh_tesh!F23=0,0,SER_hh_tesh!F23/SER_summary!F$26)</f>
        <v>3.2534320317352838</v>
      </c>
      <c r="G23" s="132">
        <f>IF(SER_hh_tesh!G23=0,0,SER_hh_tesh!G23/SER_summary!G$26)</f>
        <v>2.9408831820850341</v>
      </c>
      <c r="H23" s="132">
        <f>IF(SER_hh_tesh!H23=0,0,SER_hh_tesh!H23/SER_summary!H$26)</f>
        <v>4.987251656196011</v>
      </c>
      <c r="I23" s="132">
        <f>IF(SER_hh_tesh!I23=0,0,SER_hh_tesh!I23/SER_summary!I$26)</f>
        <v>4.4376385406852252</v>
      </c>
      <c r="J23" s="132">
        <f>IF(SER_hh_tesh!J23=0,0,SER_hh_tesh!J23/SER_summary!J$26)</f>
        <v>4.1392854934260956</v>
      </c>
      <c r="K23" s="132">
        <f>IF(SER_hh_tesh!K23=0,0,SER_hh_tesh!K23/SER_summary!K$26)</f>
        <v>4.2122561434046428</v>
      </c>
      <c r="L23" s="132">
        <f>IF(SER_hh_tesh!L23=0,0,SER_hh_tesh!L23/SER_summary!L$26)</f>
        <v>4.1815916825258954</v>
      </c>
      <c r="M23" s="132">
        <f>IF(SER_hh_tesh!M23=0,0,SER_hh_tesh!M23/SER_summary!M$26)</f>
        <v>4.0345923066923248</v>
      </c>
      <c r="N23" s="132">
        <f>IF(SER_hh_tesh!N23=0,0,SER_hh_tesh!N23/SER_summary!N$26)</f>
        <v>4.0807239834939031</v>
      </c>
      <c r="O23" s="132">
        <f>IF(SER_hh_tesh!O23=0,0,SER_hh_tesh!O23/SER_summary!O$26)</f>
        <v>4.2432975537989712</v>
      </c>
      <c r="P23" s="132">
        <f>IF(SER_hh_tesh!P23=0,0,SER_hh_tesh!P23/SER_summary!P$26)</f>
        <v>4.7609174614198375</v>
      </c>
      <c r="Q23" s="132">
        <f>IF(SER_hh_tesh!Q23=0,0,SER_hh_tesh!Q23/SER_summary!Q$26)</f>
        <v>3.7847342797566204</v>
      </c>
      <c r="R23" s="132">
        <f>IF(SER_hh_tesh!R23=0,0,SER_hh_tesh!R23/SER_summary!R$26)</f>
        <v>3.8318539083799852</v>
      </c>
      <c r="S23" s="132">
        <f>IF(SER_hh_tesh!S23=0,0,SER_hh_tesh!S23/SER_summary!S$26)</f>
        <v>3.8645839116763865</v>
      </c>
      <c r="T23" s="132">
        <f>IF(SER_hh_tesh!T23=0,0,SER_hh_tesh!T23/SER_summary!T$26)</f>
        <v>3.911348729190371</v>
      </c>
      <c r="U23" s="132">
        <f>IF(SER_hh_tesh!U23=0,0,SER_hh_tesh!U23/SER_summary!U$26)</f>
        <v>3.9840380671516131</v>
      </c>
      <c r="V23" s="132">
        <f>IF(SER_hh_tesh!V23=0,0,SER_hh_tesh!V23/SER_summary!V$26)</f>
        <v>3.645583792057363</v>
      </c>
      <c r="W23" s="132">
        <f>IF(SER_hh_tesh!W23=0,0,SER_hh_tesh!W23/SER_summary!W$26)</f>
        <v>3.9394093789087559</v>
      </c>
      <c r="X23" s="132">
        <f>IF(SER_hh_tesh!X23=0,0,SER_hh_tesh!X23/SER_summary!X$26)</f>
        <v>3.8018043576656435</v>
      </c>
      <c r="Y23" s="132">
        <f>IF(SER_hh_tesh!Y23=0,0,SER_hh_tesh!Y23/SER_summary!Y$26)</f>
        <v>3.7871847430867174</v>
      </c>
      <c r="DA23" s="156" t="s">
        <v>528</v>
      </c>
    </row>
    <row r="24" spans="1:105" ht="12" customHeight="1" x14ac:dyDescent="0.25">
      <c r="A24" s="131" t="s">
        <v>128</v>
      </c>
      <c r="B24" s="132">
        <f>IF(SER_hh_tesh!B24=0,0,SER_hh_tesh!B24/SER_summary!B$26)</f>
        <v>0</v>
      </c>
      <c r="C24" s="132">
        <f>IF(SER_hh_tesh!C24=0,0,SER_hh_tesh!C24/SER_summary!C$26)</f>
        <v>0</v>
      </c>
      <c r="D24" s="132">
        <f>IF(SER_hh_tesh!D24=0,0,SER_hh_tesh!D24/SER_summary!D$26)</f>
        <v>0</v>
      </c>
      <c r="E24" s="132">
        <f>IF(SER_hh_tesh!E24=0,0,SER_hh_tesh!E24/SER_summary!E$26)</f>
        <v>0</v>
      </c>
      <c r="F24" s="132">
        <f>IF(SER_hh_tesh!F24=0,0,SER_hh_tesh!F24/SER_summary!F$26)</f>
        <v>0</v>
      </c>
      <c r="G24" s="132">
        <f>IF(SER_hh_tesh!G24=0,0,SER_hh_tesh!G24/SER_summary!G$26)</f>
        <v>0</v>
      </c>
      <c r="H24" s="132">
        <f>IF(SER_hh_tesh!H24=0,0,SER_hh_tesh!H24/SER_summary!H$26)</f>
        <v>0</v>
      </c>
      <c r="I24" s="132">
        <f>IF(SER_hh_tesh!I24=0,0,SER_hh_tesh!I24/SER_summary!I$26)</f>
        <v>0</v>
      </c>
      <c r="J24" s="132">
        <f>IF(SER_hh_tesh!J24=0,0,SER_hh_tesh!J24/SER_summary!J$26)</f>
        <v>0</v>
      </c>
      <c r="K24" s="132">
        <f>IF(SER_hh_tesh!K24=0,0,SER_hh_tesh!K24/SER_summary!K$26)</f>
        <v>0</v>
      </c>
      <c r="L24" s="132">
        <f>IF(SER_hh_tesh!L24=0,0,SER_hh_tesh!L24/SER_summary!L$26)</f>
        <v>0</v>
      </c>
      <c r="M24" s="132">
        <f>IF(SER_hh_tesh!M24=0,0,SER_hh_tesh!M24/SER_summary!M$26)</f>
        <v>0</v>
      </c>
      <c r="N24" s="132">
        <f>IF(SER_hh_tesh!N24=0,0,SER_hh_tesh!N24/SER_summary!N$26)</f>
        <v>0</v>
      </c>
      <c r="O24" s="132">
        <f>IF(SER_hh_tesh!O24=0,0,SER_hh_tesh!O24/SER_summary!O$26)</f>
        <v>0</v>
      </c>
      <c r="P24" s="132">
        <f>IF(SER_hh_tesh!P24=0,0,SER_hh_tesh!P24/SER_summary!P$26)</f>
        <v>0</v>
      </c>
      <c r="Q24" s="132">
        <f>IF(SER_hh_tesh!Q24=0,0,SER_hh_tesh!Q24/SER_summary!Q$26)</f>
        <v>0</v>
      </c>
      <c r="R24" s="132">
        <f>IF(SER_hh_tesh!R24=0,0,SER_hh_tesh!R24/SER_summary!R$26)</f>
        <v>0</v>
      </c>
      <c r="S24" s="132">
        <f>IF(SER_hh_tesh!S24=0,0,SER_hh_tesh!S24/SER_summary!S$26)</f>
        <v>0</v>
      </c>
      <c r="T24" s="132">
        <f>IF(SER_hh_tesh!T24=0,0,SER_hh_tesh!T24/SER_summary!T$26)</f>
        <v>0</v>
      </c>
      <c r="U24" s="132">
        <f>IF(SER_hh_tesh!U24=0,0,SER_hh_tesh!U24/SER_summary!U$26)</f>
        <v>0</v>
      </c>
      <c r="V24" s="132">
        <f>IF(SER_hh_tesh!V24=0,0,SER_hh_tesh!V24/SER_summary!V$26)</f>
        <v>0</v>
      </c>
      <c r="W24" s="132">
        <f>IF(SER_hh_tesh!W24=0,0,SER_hh_tesh!W24/SER_summary!W$26)</f>
        <v>0</v>
      </c>
      <c r="X24" s="132">
        <f>IF(SER_hh_tesh!X24=0,0,SER_hh_tesh!X24/SER_summary!X$26)</f>
        <v>0</v>
      </c>
      <c r="Y24" s="132">
        <f>IF(SER_hh_tesh!Y24=0,0,SER_hh_tesh!Y24/SER_summary!Y$26)</f>
        <v>0</v>
      </c>
      <c r="DA24" s="156" t="s">
        <v>529</v>
      </c>
    </row>
    <row r="25" spans="1:105" ht="12" customHeight="1" x14ac:dyDescent="0.25">
      <c r="A25" s="131" t="s">
        <v>162</v>
      </c>
      <c r="B25" s="132">
        <f>IF(SER_hh_tesh!B25=0,0,SER_hh_tesh!B25/SER_summary!B$26)</f>
        <v>0</v>
      </c>
      <c r="C25" s="132">
        <f>IF(SER_hh_tesh!C25=0,0,SER_hh_tesh!C25/SER_summary!C$26)</f>
        <v>0</v>
      </c>
      <c r="D25" s="132">
        <f>IF(SER_hh_tesh!D25=0,0,SER_hh_tesh!D25/SER_summary!D$26)</f>
        <v>0</v>
      </c>
      <c r="E25" s="132">
        <f>IF(SER_hh_tesh!E25=0,0,SER_hh_tesh!E25/SER_summary!E$26)</f>
        <v>0</v>
      </c>
      <c r="F25" s="132">
        <f>IF(SER_hh_tesh!F25=0,0,SER_hh_tesh!F25/SER_summary!F$26)</f>
        <v>0</v>
      </c>
      <c r="G25" s="132">
        <f>IF(SER_hh_tesh!G25=0,0,SER_hh_tesh!G25/SER_summary!G$26)</f>
        <v>0</v>
      </c>
      <c r="H25" s="132">
        <f>IF(SER_hh_tesh!H25=0,0,SER_hh_tesh!H25/SER_summary!H$26)</f>
        <v>0</v>
      </c>
      <c r="I25" s="132">
        <f>IF(SER_hh_tesh!I25=0,0,SER_hh_tesh!I25/SER_summary!I$26)</f>
        <v>0</v>
      </c>
      <c r="J25" s="132">
        <f>IF(SER_hh_tesh!J25=0,0,SER_hh_tesh!J25/SER_summary!J$26)</f>
        <v>0</v>
      </c>
      <c r="K25" s="132">
        <f>IF(SER_hh_tesh!K25=0,0,SER_hh_tesh!K25/SER_summary!K$26)</f>
        <v>0</v>
      </c>
      <c r="L25" s="132">
        <f>IF(SER_hh_tesh!L25=0,0,SER_hh_tesh!L25/SER_summary!L$26)</f>
        <v>0</v>
      </c>
      <c r="M25" s="132">
        <f>IF(SER_hh_tesh!M25=0,0,SER_hh_tesh!M25/SER_summary!M$26)</f>
        <v>0</v>
      </c>
      <c r="N25" s="132">
        <f>IF(SER_hh_tesh!N25=0,0,SER_hh_tesh!N25/SER_summary!N$26)</f>
        <v>0</v>
      </c>
      <c r="O25" s="132">
        <f>IF(SER_hh_tesh!O25=0,0,SER_hh_tesh!O25/SER_summary!O$26)</f>
        <v>0</v>
      </c>
      <c r="P25" s="132">
        <f>IF(SER_hh_tesh!P25=0,0,SER_hh_tesh!P25/SER_summary!P$26)</f>
        <v>0</v>
      </c>
      <c r="Q25" s="132">
        <f>IF(SER_hh_tesh!Q25=0,0,SER_hh_tesh!Q25/SER_summary!Q$26)</f>
        <v>0</v>
      </c>
      <c r="R25" s="132">
        <f>IF(SER_hh_tesh!R25=0,0,SER_hh_tesh!R25/SER_summary!R$26)</f>
        <v>0</v>
      </c>
      <c r="S25" s="132">
        <f>IF(SER_hh_tesh!S25=0,0,SER_hh_tesh!S25/SER_summary!S$26)</f>
        <v>0</v>
      </c>
      <c r="T25" s="132">
        <f>IF(SER_hh_tesh!T25=0,0,SER_hh_tesh!T25/SER_summary!T$26)</f>
        <v>0</v>
      </c>
      <c r="U25" s="132">
        <f>IF(SER_hh_tesh!U25=0,0,SER_hh_tesh!U25/SER_summary!U$26)</f>
        <v>0</v>
      </c>
      <c r="V25" s="132">
        <f>IF(SER_hh_tesh!V25=0,0,SER_hh_tesh!V25/SER_summary!V$26)</f>
        <v>0</v>
      </c>
      <c r="W25" s="132">
        <f>IF(SER_hh_tesh!W25=0,0,SER_hh_tesh!W25/SER_summary!W$26)</f>
        <v>0</v>
      </c>
      <c r="X25" s="132">
        <f>IF(SER_hh_tesh!X25=0,0,SER_hh_tesh!X25/SER_summary!X$26)</f>
        <v>0</v>
      </c>
      <c r="Y25" s="132">
        <f>IF(SER_hh_tesh!Y25=0,0,SER_hh_tesh!Y25/SER_summary!Y$26)</f>
        <v>0</v>
      </c>
      <c r="DA25" s="156" t="s">
        <v>530</v>
      </c>
    </row>
    <row r="26" spans="1:105" ht="12" customHeight="1" x14ac:dyDescent="0.25">
      <c r="A26" s="131" t="s">
        <v>24</v>
      </c>
      <c r="B26" s="65">
        <f>IF(SER_hh_tesh!B26=0,0,SER_hh_tesh!B26/SER_summary!B$26)</f>
        <v>3.4523227877834781</v>
      </c>
      <c r="C26" s="65">
        <f>IF(SER_hh_tesh!C26=0,0,SER_hh_tesh!C26/SER_summary!C$26)</f>
        <v>3.5851828828822616</v>
      </c>
      <c r="D26" s="65">
        <f>IF(SER_hh_tesh!D26=0,0,SER_hh_tesh!D26/SER_summary!D$26)</f>
        <v>3.7668449708258653</v>
      </c>
      <c r="E26" s="65">
        <f>IF(SER_hh_tesh!E26=0,0,SER_hh_tesh!E26/SER_summary!E$26)</f>
        <v>3.8770529637408786</v>
      </c>
      <c r="F26" s="65">
        <f>IF(SER_hh_tesh!F26=0,0,SER_hh_tesh!F26/SER_summary!F$26)</f>
        <v>4.0505152985429218</v>
      </c>
      <c r="G26" s="65">
        <f>IF(SER_hh_tesh!G26=0,0,SER_hh_tesh!G26/SER_summary!G$26)</f>
        <v>4.0579825422577827</v>
      </c>
      <c r="H26" s="65">
        <f>IF(SER_hh_tesh!H26=0,0,SER_hh_tesh!H26/SER_summary!H$26)</f>
        <v>3.7532458205147607</v>
      </c>
      <c r="I26" s="65">
        <f>IF(SER_hh_tesh!I26=0,0,SER_hh_tesh!I26/SER_summary!I$26)</f>
        <v>3.8329247699421698</v>
      </c>
      <c r="J26" s="65">
        <f>IF(SER_hh_tesh!J26=0,0,SER_hh_tesh!J26/SER_summary!J$26)</f>
        <v>3.9618675015846989</v>
      </c>
      <c r="K26" s="65">
        <f>IF(SER_hh_tesh!K26=0,0,SER_hh_tesh!K26/SER_summary!K$26)</f>
        <v>3.9329813616427858</v>
      </c>
      <c r="L26" s="65">
        <f>IF(SER_hh_tesh!L26=0,0,SER_hh_tesh!L26/SER_summary!L$26)</f>
        <v>3.9883967649364429</v>
      </c>
      <c r="M26" s="65">
        <f>IF(SER_hh_tesh!M26=0,0,SER_hh_tesh!M26/SER_summary!M$26)</f>
        <v>4.0764527147116709</v>
      </c>
      <c r="N26" s="65">
        <f>IF(SER_hh_tesh!N26=0,0,SER_hh_tesh!N26/SER_summary!N$26)</f>
        <v>3.8578929068511898</v>
      </c>
      <c r="O26" s="65">
        <f>IF(SER_hh_tesh!O26=0,0,SER_hh_tesh!O26/SER_summary!O$26)</f>
        <v>4.0288531165006853</v>
      </c>
      <c r="P26" s="65">
        <f>IF(SER_hh_tesh!P26=0,0,SER_hh_tesh!P26/SER_summary!P$26)</f>
        <v>3.5522521056994973</v>
      </c>
      <c r="Q26" s="65">
        <f>IF(SER_hh_tesh!Q26=0,0,SER_hh_tesh!Q26/SER_summary!Q$26)</f>
        <v>3.6154926084221533</v>
      </c>
      <c r="R26" s="65">
        <f>IF(SER_hh_tesh!R26=0,0,SER_hh_tesh!R26/SER_summary!R$26)</f>
        <v>3.4011702139538937</v>
      </c>
      <c r="S26" s="65">
        <f>IF(SER_hh_tesh!S26=0,0,SER_hh_tesh!S26/SER_summary!S$26)</f>
        <v>3.1839528423263963</v>
      </c>
      <c r="T26" s="65">
        <f>IF(SER_hh_tesh!T26=0,0,SER_hh_tesh!T26/SER_summary!T$26)</f>
        <v>3.7974215832484677</v>
      </c>
      <c r="U26" s="65">
        <f>IF(SER_hh_tesh!U26=0,0,SER_hh_tesh!U26/SER_summary!U$26)</f>
        <v>3.7037482640702066</v>
      </c>
      <c r="V26" s="65">
        <f>IF(SER_hh_tesh!V26=0,0,SER_hh_tesh!V26/SER_summary!V$26)</f>
        <v>2.9502455630824049</v>
      </c>
      <c r="W26" s="65">
        <f>IF(SER_hh_tesh!W26=0,0,SER_hh_tesh!W26/SER_summary!W$26)</f>
        <v>3.3903164818709683</v>
      </c>
      <c r="X26" s="65">
        <f>IF(SER_hh_tesh!X26=0,0,SER_hh_tesh!X26/SER_summary!X$26)</f>
        <v>3.0906495310982796</v>
      </c>
      <c r="Y26" s="65">
        <f>IF(SER_hh_tesh!Y26=0,0,SER_hh_tesh!Y26/SER_summary!Y$26)</f>
        <v>3.2896153005801807</v>
      </c>
      <c r="DA26" s="109" t="s">
        <v>531</v>
      </c>
    </row>
    <row r="27" spans="1:105" ht="12" customHeight="1" x14ac:dyDescent="0.25">
      <c r="A27" s="144" t="s">
        <v>86</v>
      </c>
      <c r="B27" s="145">
        <f>IF(SER_hh_tesh!B27=0,0,SER_hh_tesh!B27/SER_summary!B$26)</f>
        <v>4.6508918826353197E-2</v>
      </c>
      <c r="C27" s="145">
        <f>IF(SER_hh_tesh!C27=0,0,SER_hh_tesh!C27/SER_summary!C$26)</f>
        <v>5.7346047668085855E-2</v>
      </c>
      <c r="D27" s="145">
        <f>IF(SER_hh_tesh!D27=0,0,SER_hh_tesh!D27/SER_summary!D$26)</f>
        <v>6.8450447364806669E-2</v>
      </c>
      <c r="E27" s="145">
        <f>IF(SER_hh_tesh!E27=0,0,SER_hh_tesh!E27/SER_summary!E$26)</f>
        <v>8.4360471718443172E-2</v>
      </c>
      <c r="F27" s="145">
        <f>IF(SER_hh_tesh!F27=0,0,SER_hh_tesh!F27/SER_summary!F$26)</f>
        <v>9.7103712735257877E-2</v>
      </c>
      <c r="G27" s="145">
        <f>IF(SER_hh_tesh!G27=0,0,SER_hh_tesh!G27/SER_summary!G$26)</f>
        <v>0.11401115461155772</v>
      </c>
      <c r="H27" s="145">
        <f>IF(SER_hh_tesh!H27=0,0,SER_hh_tesh!H27/SER_summary!H$26)</f>
        <v>0.12765696743203586</v>
      </c>
      <c r="I27" s="145">
        <f>IF(SER_hh_tesh!I27=0,0,SER_hh_tesh!I27/SER_summary!I$26)</f>
        <v>0.13340143745402644</v>
      </c>
      <c r="J27" s="145">
        <f>IF(SER_hh_tesh!J27=0,0,SER_hh_tesh!J27/SER_summary!J$26)</f>
        <v>0.15316278285223545</v>
      </c>
      <c r="K27" s="145">
        <f>IF(SER_hh_tesh!K27=0,0,SER_hh_tesh!K27/SER_summary!K$26)</f>
        <v>0.18319620780235893</v>
      </c>
      <c r="L27" s="145">
        <f>IF(SER_hh_tesh!L27=0,0,SER_hh_tesh!L27/SER_summary!L$26)</f>
        <v>0.20011264406021176</v>
      </c>
      <c r="M27" s="145">
        <f>IF(SER_hh_tesh!M27=0,0,SER_hh_tesh!M27/SER_summary!M$26)</f>
        <v>0.21530855734801152</v>
      </c>
      <c r="N27" s="145">
        <f>IF(SER_hh_tesh!N27=0,0,SER_hh_tesh!N27/SER_summary!N$26)</f>
        <v>0.22935204686772603</v>
      </c>
      <c r="O27" s="145">
        <f>IF(SER_hh_tesh!O27=0,0,SER_hh_tesh!O27/SER_summary!O$26)</f>
        <v>0.23403942628981053</v>
      </c>
      <c r="P27" s="145">
        <f>IF(SER_hh_tesh!P27=0,0,SER_hh_tesh!P27/SER_summary!P$26)</f>
        <v>0.24934542798301951</v>
      </c>
      <c r="Q27" s="145">
        <f>IF(SER_hh_tesh!Q27=0,0,SER_hh_tesh!Q27/SER_summary!Q$26)</f>
        <v>0.26241971222656857</v>
      </c>
      <c r="R27" s="145">
        <f>IF(SER_hh_tesh!R27=0,0,SER_hh_tesh!R27/SER_summary!R$26)</f>
        <v>0.25912459735051036</v>
      </c>
      <c r="S27" s="145">
        <f>IF(SER_hh_tesh!S27=0,0,SER_hh_tesh!S27/SER_summary!S$26)</f>
        <v>0.261322579055351</v>
      </c>
      <c r="T27" s="145">
        <f>IF(SER_hh_tesh!T27=0,0,SER_hh_tesh!T27/SER_summary!T$26)</f>
        <v>0.26302183199686813</v>
      </c>
      <c r="U27" s="145">
        <f>IF(SER_hh_tesh!U27=0,0,SER_hh_tesh!U27/SER_summary!U$26)</f>
        <v>0.26296325308239121</v>
      </c>
      <c r="V27" s="145">
        <f>IF(SER_hh_tesh!V27=0,0,SER_hh_tesh!V27/SER_summary!V$26)</f>
        <v>0.25908468575916721</v>
      </c>
      <c r="W27" s="145">
        <f>IF(SER_hh_tesh!W27=0,0,SER_hh_tesh!W27/SER_summary!W$26)</f>
        <v>0.25201037925614156</v>
      </c>
      <c r="X27" s="145">
        <f>IF(SER_hh_tesh!X27=0,0,SER_hh_tesh!X27/SER_summary!X$26)</f>
        <v>0.24221178939925192</v>
      </c>
      <c r="Y27" s="145">
        <f>IF(SER_hh_tesh!Y27=0,0,SER_hh_tesh!Y27/SER_summary!Y$26)</f>
        <v>0.23187892721068262</v>
      </c>
      <c r="DA27" s="158" t="s">
        <v>532</v>
      </c>
    </row>
    <row r="28" spans="1:105" ht="12" customHeight="1" x14ac:dyDescent="0.25">
      <c r="A28" s="78" t="s">
        <v>85</v>
      </c>
      <c r="B28" s="146">
        <f>IF(SER_hh_tesh!B28=0,0,SER_hh_tesh!B28/SER_summary!B$26)</f>
        <v>3.1684783113868931</v>
      </c>
      <c r="C28" s="146">
        <f>IF(SER_hh_tesh!C28=0,0,SER_hh_tesh!C28/SER_summary!C$26)</f>
        <v>2.8847742495719384</v>
      </c>
      <c r="D28" s="146">
        <f>IF(SER_hh_tesh!D28=0,0,SER_hh_tesh!D28/SER_summary!D$26)</f>
        <v>3.5331467987385716</v>
      </c>
      <c r="E28" s="146">
        <f>IF(SER_hh_tesh!E28=0,0,SER_hh_tesh!E28/SER_summary!E$26)</f>
        <v>3.6727074198151306</v>
      </c>
      <c r="F28" s="146">
        <f>IF(SER_hh_tesh!F28=0,0,SER_hh_tesh!F28/SER_summary!F$26)</f>
        <v>3.8041148059460412</v>
      </c>
      <c r="G28" s="146">
        <f>IF(SER_hh_tesh!G28=0,0,SER_hh_tesh!G28/SER_summary!G$26)</f>
        <v>3.8069740155615657</v>
      </c>
      <c r="H28" s="146">
        <f>IF(SER_hh_tesh!H28=0,0,SER_hh_tesh!H28/SER_summary!H$26)</f>
        <v>3.7855415093451197</v>
      </c>
      <c r="I28" s="146">
        <f>IF(SER_hh_tesh!I28=0,0,SER_hh_tesh!I28/SER_summary!I$26)</f>
        <v>3.8214027095443788</v>
      </c>
      <c r="J28" s="146">
        <f>IF(SER_hh_tesh!J28=0,0,SER_hh_tesh!J28/SER_summary!J$26)</f>
        <v>3.8875199815594481</v>
      </c>
      <c r="K28" s="146">
        <f>IF(SER_hh_tesh!K28=0,0,SER_hh_tesh!K28/SER_summary!K$26)</f>
        <v>3.9385277331009174</v>
      </c>
      <c r="L28" s="146">
        <f>IF(SER_hh_tesh!L28=0,0,SER_hh_tesh!L28/SER_summary!L$26)</f>
        <v>3.9875774942640145</v>
      </c>
      <c r="M28" s="146">
        <f>IF(SER_hh_tesh!M28=0,0,SER_hh_tesh!M28/SER_summary!M$26)</f>
        <v>3.8863968880653816</v>
      </c>
      <c r="N28" s="146">
        <f>IF(SER_hh_tesh!N28=0,0,SER_hh_tesh!N28/SER_summary!N$26)</f>
        <v>3.9513202804265677</v>
      </c>
      <c r="O28" s="146">
        <f>IF(SER_hh_tesh!O28=0,0,SER_hh_tesh!O28/SER_summary!O$26)</f>
        <v>4.1927707665223242</v>
      </c>
      <c r="P28" s="146">
        <f>IF(SER_hh_tesh!P28=0,0,SER_hh_tesh!P28/SER_summary!P$26)</f>
        <v>3.8895970195993499</v>
      </c>
      <c r="Q28" s="146">
        <f>IF(SER_hh_tesh!Q28=0,0,SER_hh_tesh!Q28/SER_summary!Q$26)</f>
        <v>3.9920767435744624</v>
      </c>
      <c r="R28" s="146">
        <f>IF(SER_hh_tesh!R28=0,0,SER_hh_tesh!R28/SER_summary!R$26)</f>
        <v>3.8651009658413447</v>
      </c>
      <c r="S28" s="146">
        <f>IF(SER_hh_tesh!S28=0,0,SER_hh_tesh!S28/SER_summary!S$26)</f>
        <v>3.6481800967475433</v>
      </c>
      <c r="T28" s="146">
        <f>IF(SER_hh_tesh!T28=0,0,SER_hh_tesh!T28/SER_summary!T$26)</f>
        <v>3.8907670878669105</v>
      </c>
      <c r="U28" s="146">
        <f>IF(SER_hh_tesh!U28=0,0,SER_hh_tesh!U28/SER_summary!U$26)</f>
        <v>3.7661171510332219</v>
      </c>
      <c r="V28" s="146">
        <f>IF(SER_hh_tesh!V28=0,0,SER_hh_tesh!V28/SER_summary!V$26)</f>
        <v>3.3936481919053727</v>
      </c>
      <c r="W28" s="146">
        <f>IF(SER_hh_tesh!W28=0,0,SER_hh_tesh!W28/SER_summary!W$26)</f>
        <v>3.68846748987791</v>
      </c>
      <c r="X28" s="146">
        <f>IF(SER_hh_tesh!X28=0,0,SER_hh_tesh!X28/SER_summary!X$26)</f>
        <v>3.5078305492922777</v>
      </c>
      <c r="Y28" s="146">
        <f>IF(SER_hh_tesh!Y28=0,0,SER_hh_tesh!Y28/SER_summary!Y$26)</f>
        <v>3.6163673503801386</v>
      </c>
      <c r="DA28" s="159"/>
    </row>
    <row r="29" spans="1:105" ht="12.95" customHeight="1" x14ac:dyDescent="0.25">
      <c r="A29" s="129" t="s">
        <v>34</v>
      </c>
      <c r="B29" s="130">
        <f>IF(SER_hh_tesh!B29=0,0,SER_hh_tesh!B29/SER_summary!B$26)</f>
        <v>4.5090351025690101</v>
      </c>
      <c r="C29" s="130">
        <f>IF(SER_hh_tesh!C29=0,0,SER_hh_tesh!C29/SER_summary!C$26)</f>
        <v>4.6137199077075168</v>
      </c>
      <c r="D29" s="130">
        <f>IF(SER_hh_tesh!D29=0,0,SER_hh_tesh!D29/SER_summary!D$26)</f>
        <v>4.4517142602966002</v>
      </c>
      <c r="E29" s="130">
        <f>IF(SER_hh_tesh!E29=0,0,SER_hh_tesh!E29/SER_summary!E$26)</f>
        <v>4.3030246169968311</v>
      </c>
      <c r="F29" s="130">
        <f>IF(SER_hh_tesh!F29=0,0,SER_hh_tesh!F29/SER_summary!F$26)</f>
        <v>4.5625031528953217</v>
      </c>
      <c r="G29" s="130">
        <f>IF(SER_hh_tesh!G29=0,0,SER_hh_tesh!G29/SER_summary!G$26)</f>
        <v>4.5844079746222244</v>
      </c>
      <c r="H29" s="130">
        <f>IF(SER_hh_tesh!H29=0,0,SER_hh_tesh!H29/SER_summary!H$26)</f>
        <v>4.8676306236845726</v>
      </c>
      <c r="I29" s="130">
        <f>IF(SER_hh_tesh!I29=0,0,SER_hh_tesh!I29/SER_summary!I$26)</f>
        <v>4.9414079802115101</v>
      </c>
      <c r="J29" s="130">
        <f>IF(SER_hh_tesh!J29=0,0,SER_hh_tesh!J29/SER_summary!J$26)</f>
        <v>5.0623368000445463</v>
      </c>
      <c r="K29" s="130">
        <f>IF(SER_hh_tesh!K29=0,0,SER_hh_tesh!K29/SER_summary!K$26)</f>
        <v>5.0783595576655634</v>
      </c>
      <c r="L29" s="130">
        <f>IF(SER_hh_tesh!L29=0,0,SER_hh_tesh!L29/SER_summary!L$26)</f>
        <v>5.1959406158640542</v>
      </c>
      <c r="M29" s="130">
        <f>IF(SER_hh_tesh!M29=0,0,SER_hh_tesh!M29/SER_summary!M$26)</f>
        <v>5.249526978000512</v>
      </c>
      <c r="N29" s="130">
        <f>IF(SER_hh_tesh!N29=0,0,SER_hh_tesh!N29/SER_summary!N$26)</f>
        <v>5.1392463213975796</v>
      </c>
      <c r="O29" s="130">
        <f>IF(SER_hh_tesh!O29=0,0,SER_hh_tesh!O29/SER_summary!O$26)</f>
        <v>5.1486944537156489</v>
      </c>
      <c r="P29" s="130">
        <f>IF(SER_hh_tesh!P29=0,0,SER_hh_tesh!P29/SER_summary!P$26)</f>
        <v>5.0880359590295976</v>
      </c>
      <c r="Q29" s="130">
        <f>IF(SER_hh_tesh!Q29=0,0,SER_hh_tesh!Q29/SER_summary!Q$26)</f>
        <v>5.0489066759739094</v>
      </c>
      <c r="R29" s="130">
        <f>IF(SER_hh_tesh!R29=0,0,SER_hh_tesh!R29/SER_summary!R$26)</f>
        <v>4.9340659995502314</v>
      </c>
      <c r="S29" s="130">
        <f>IF(SER_hh_tesh!S29=0,0,SER_hh_tesh!S29/SER_summary!S$26)</f>
        <v>5.1360135486018201</v>
      </c>
      <c r="T29" s="130">
        <f>IF(SER_hh_tesh!T29=0,0,SER_hh_tesh!T29/SER_summary!T$26)</f>
        <v>5.3741004651830506</v>
      </c>
      <c r="U29" s="130">
        <f>IF(SER_hh_tesh!U29=0,0,SER_hh_tesh!U29/SER_summary!U$26)</f>
        <v>5.5552445634679168</v>
      </c>
      <c r="V29" s="130">
        <f>IF(SER_hh_tesh!V29=0,0,SER_hh_tesh!V29/SER_summary!V$26)</f>
        <v>4.4739900681950866</v>
      </c>
      <c r="W29" s="130">
        <f>IF(SER_hh_tesh!W29=0,0,SER_hh_tesh!W29/SER_summary!W$26)</f>
        <v>5.3500913814431792</v>
      </c>
      <c r="X29" s="130">
        <f>IF(SER_hh_tesh!X29=0,0,SER_hh_tesh!X29/SER_summary!X$26)</f>
        <v>4.8363247169839463</v>
      </c>
      <c r="Y29" s="130">
        <f>IF(SER_hh_tesh!Y29=0,0,SER_hh_tesh!Y29/SER_summary!Y$26)</f>
        <v>5.6846080649951025</v>
      </c>
      <c r="DA29" s="155" t="s">
        <v>533</v>
      </c>
    </row>
    <row r="30" spans="1:105" ht="12" customHeight="1" x14ac:dyDescent="0.25">
      <c r="A30" s="131" t="s">
        <v>52</v>
      </c>
      <c r="B30" s="132">
        <f>IF(SER_hh_tesh!B30=0,0,SER_hh_tesh!B30/SER_summary!B$26)</f>
        <v>4.394290246532413</v>
      </c>
      <c r="C30" s="132">
        <f>IF(SER_hh_tesh!C30=0,0,SER_hh_tesh!C30/SER_summary!C$26)</f>
        <v>4.6564331871906575</v>
      </c>
      <c r="D30" s="132">
        <f>IF(SER_hh_tesh!D30=0,0,SER_hh_tesh!D30/SER_summary!D$26)</f>
        <v>4.5099716414139799</v>
      </c>
      <c r="E30" s="132">
        <f>IF(SER_hh_tesh!E30=0,0,SER_hh_tesh!E30/SER_summary!E$26)</f>
        <v>4.3871976073341594</v>
      </c>
      <c r="F30" s="132">
        <f>IF(SER_hh_tesh!F30=0,0,SER_hh_tesh!F30/SER_summary!F$26)</f>
        <v>4.7601759845635598</v>
      </c>
      <c r="G30" s="132">
        <f>IF(SER_hh_tesh!G30=0,0,SER_hh_tesh!G30/SER_summary!G$26)</f>
        <v>4.6488080857363077</v>
      </c>
      <c r="H30" s="132">
        <f>IF(SER_hh_tesh!H30=0,0,SER_hh_tesh!H30/SER_summary!H$26)</f>
        <v>4.5359280538431141</v>
      </c>
      <c r="I30" s="132">
        <f>IF(SER_hh_tesh!I30=0,0,SER_hh_tesh!I30/SER_summary!I$26)</f>
        <v>4.9037362073696027</v>
      </c>
      <c r="J30" s="132">
        <f>IF(SER_hh_tesh!J30=0,0,SER_hh_tesh!J30/SER_summary!J$26)</f>
        <v>5.2997756183874376</v>
      </c>
      <c r="K30" s="132">
        <f>IF(SER_hh_tesh!K30=0,0,SER_hh_tesh!K30/SER_summary!K$26)</f>
        <v>4.996179768771249</v>
      </c>
      <c r="L30" s="132">
        <f>IF(SER_hh_tesh!L30=0,0,SER_hh_tesh!L30/SER_summary!L$26)</f>
        <v>5.2272142981726279</v>
      </c>
      <c r="M30" s="132">
        <f>IF(SER_hh_tesh!M30=0,0,SER_hh_tesh!M30/SER_summary!M$26)</f>
        <v>5.1719342528547951</v>
      </c>
      <c r="N30" s="132">
        <f>IF(SER_hh_tesh!N30=0,0,SER_hh_tesh!N30/SER_summary!N$26)</f>
        <v>5.2600663503638581</v>
      </c>
      <c r="O30" s="132">
        <f>IF(SER_hh_tesh!O30=0,0,SER_hh_tesh!O30/SER_summary!O$26)</f>
        <v>5.268167540211306</v>
      </c>
      <c r="P30" s="132">
        <f>IF(SER_hh_tesh!P30=0,0,SER_hh_tesh!P30/SER_summary!P$26)</f>
        <v>3.6378084270965712</v>
      </c>
      <c r="Q30" s="132">
        <f>IF(SER_hh_tesh!Q30=0,0,SER_hh_tesh!Q30/SER_summary!Q$26)</f>
        <v>5.0120220211793045</v>
      </c>
      <c r="R30" s="132">
        <f>IF(SER_hh_tesh!R30=0,0,SER_hh_tesh!R30/SER_summary!R$26)</f>
        <v>6.2652147352270848</v>
      </c>
      <c r="S30" s="132">
        <f>IF(SER_hh_tesh!S30=0,0,SER_hh_tesh!S30/SER_summary!S$26)</f>
        <v>4.8975118435253728</v>
      </c>
      <c r="T30" s="132">
        <f>IF(SER_hh_tesh!T30=0,0,SER_hh_tesh!T30/SER_summary!T$26)</f>
        <v>5.7962679615189279</v>
      </c>
      <c r="U30" s="132">
        <f>IF(SER_hh_tesh!U30=0,0,SER_hh_tesh!U30/SER_summary!U$26)</f>
        <v>5.590136253177362</v>
      </c>
      <c r="V30" s="132">
        <f>IF(SER_hh_tesh!V30=0,0,SER_hh_tesh!V30/SER_summary!V$26)</f>
        <v>3.8688613024649268</v>
      </c>
      <c r="W30" s="132">
        <f>IF(SER_hh_tesh!W30=0,0,SER_hh_tesh!W30/SER_summary!W$26)</f>
        <v>4.4526520212563225</v>
      </c>
      <c r="X30" s="132">
        <f>IF(SER_hh_tesh!X30=0,0,SER_hh_tesh!X30/SER_summary!X$26)</f>
        <v>4.8031801019995637</v>
      </c>
      <c r="Y30" s="132">
        <f>IF(SER_hh_tesh!Y30=0,0,SER_hh_tesh!Y30/SER_summary!Y$26)</f>
        <v>6.1840253247697268</v>
      </c>
      <c r="DA30" s="156" t="s">
        <v>534</v>
      </c>
    </row>
    <row r="31" spans="1:105" ht="12" customHeight="1" x14ac:dyDescent="0.25">
      <c r="A31" s="131" t="s">
        <v>149</v>
      </c>
      <c r="B31" s="132">
        <f>IF(SER_hh_tesh!B31=0,0,SER_hh_tesh!B31/SER_summary!B$26)</f>
        <v>4.233339481831468</v>
      </c>
      <c r="C31" s="132">
        <f>IF(SER_hh_tesh!C31=0,0,SER_hh_tesh!C31/SER_summary!C$26)</f>
        <v>4.9163652932591546</v>
      </c>
      <c r="D31" s="132">
        <f>IF(SER_hh_tesh!D31=0,0,SER_hh_tesh!D31/SER_summary!D$26)</f>
        <v>4.2654773970919742</v>
      </c>
      <c r="E31" s="132">
        <f>IF(SER_hh_tesh!E31=0,0,SER_hh_tesh!E31/SER_summary!E$26)</f>
        <v>3.6106969446047552</v>
      </c>
      <c r="F31" s="132">
        <f>IF(SER_hh_tesh!F31=0,0,SER_hh_tesh!F31/SER_summary!F$26)</f>
        <v>4.83849179975092</v>
      </c>
      <c r="G31" s="132">
        <f>IF(SER_hh_tesh!G31=0,0,SER_hh_tesh!G31/SER_summary!G$26)</f>
        <v>4.7111888754908184</v>
      </c>
      <c r="H31" s="132">
        <f>IF(SER_hh_tesh!H31=0,0,SER_hh_tesh!H31/SER_summary!H$26)</f>
        <v>4.98649900872143</v>
      </c>
      <c r="I31" s="132">
        <f>IF(SER_hh_tesh!I31=0,0,SER_hh_tesh!I31/SER_summary!I$26)</f>
        <v>4.9667989376606938</v>
      </c>
      <c r="J31" s="132">
        <f>IF(SER_hh_tesh!J31=0,0,SER_hh_tesh!J31/SER_summary!J$26)</f>
        <v>5.0681277720374425</v>
      </c>
      <c r="K31" s="132">
        <f>IF(SER_hh_tesh!K31=0,0,SER_hh_tesh!K31/SER_summary!K$26)</f>
        <v>5.0238147352086671</v>
      </c>
      <c r="L31" s="132">
        <f>IF(SER_hh_tesh!L31=0,0,SER_hh_tesh!L31/SER_summary!L$26)</f>
        <v>5.1431289255662129</v>
      </c>
      <c r="M31" s="132">
        <f>IF(SER_hh_tesh!M31=0,0,SER_hh_tesh!M31/SER_summary!M$26)</f>
        <v>5.0443559773977888</v>
      </c>
      <c r="N31" s="132">
        <f>IF(SER_hh_tesh!N31=0,0,SER_hh_tesh!N31/SER_summary!N$26)</f>
        <v>4.6137410344929526</v>
      </c>
      <c r="O31" s="132">
        <f>IF(SER_hh_tesh!O31=0,0,SER_hh_tesh!O31/SER_summary!O$26)</f>
        <v>4.3205779063317502</v>
      </c>
      <c r="P31" s="132">
        <f>IF(SER_hh_tesh!P31=0,0,SER_hh_tesh!P31/SER_summary!P$26)</f>
        <v>5.7612412237617256</v>
      </c>
      <c r="Q31" s="132">
        <f>IF(SER_hh_tesh!Q31=0,0,SER_hh_tesh!Q31/SER_summary!Q$26)</f>
        <v>5.3928772500340623</v>
      </c>
      <c r="R31" s="132">
        <f>IF(SER_hh_tesh!R31=0,0,SER_hh_tesh!R31/SER_summary!R$26)</f>
        <v>5.3591307067872407</v>
      </c>
      <c r="S31" s="132">
        <f>IF(SER_hh_tesh!S31=0,0,SER_hh_tesh!S31/SER_summary!S$26)</f>
        <v>5.3921293504584096</v>
      </c>
      <c r="T31" s="132">
        <f>IF(SER_hh_tesh!T31=0,0,SER_hh_tesh!T31/SER_summary!T$26)</f>
        <v>4.8858225546062224</v>
      </c>
      <c r="U31" s="132">
        <f>IF(SER_hh_tesh!U31=0,0,SER_hh_tesh!U31/SER_summary!U$26)</f>
        <v>5.0724721819466145</v>
      </c>
      <c r="V31" s="132">
        <f>IF(SER_hh_tesh!V31=0,0,SER_hh_tesh!V31/SER_summary!V$26)</f>
        <v>5.3677120048812741</v>
      </c>
      <c r="W31" s="132">
        <f>IF(SER_hh_tesh!W31=0,0,SER_hh_tesh!W31/SER_summary!W$26)</f>
        <v>5.4312182965895257</v>
      </c>
      <c r="X31" s="132">
        <f>IF(SER_hh_tesh!X31=0,0,SER_hh_tesh!X31/SER_summary!X$26)</f>
        <v>5.0280314311492891</v>
      </c>
      <c r="Y31" s="132">
        <f>IF(SER_hh_tesh!Y31=0,0,SER_hh_tesh!Y31/SER_summary!Y$26)</f>
        <v>5.2146814915349236</v>
      </c>
      <c r="DA31" s="156" t="s">
        <v>535</v>
      </c>
    </row>
    <row r="32" spans="1:105" ht="12" customHeight="1" x14ac:dyDescent="0.25">
      <c r="A32" s="131" t="s">
        <v>128</v>
      </c>
      <c r="B32" s="132">
        <f>IF(SER_hh_tesh!B32=0,0,SER_hh_tesh!B32/SER_summary!B$26)</f>
        <v>0</v>
      </c>
      <c r="C32" s="132">
        <f>IF(SER_hh_tesh!C32=0,0,SER_hh_tesh!C32/SER_summary!C$26)</f>
        <v>0</v>
      </c>
      <c r="D32" s="132">
        <f>IF(SER_hh_tesh!D32=0,0,SER_hh_tesh!D32/SER_summary!D$26)</f>
        <v>0</v>
      </c>
      <c r="E32" s="132">
        <f>IF(SER_hh_tesh!E32=0,0,SER_hh_tesh!E32/SER_summary!E$26)</f>
        <v>0</v>
      </c>
      <c r="F32" s="132">
        <f>IF(SER_hh_tesh!F32=0,0,SER_hh_tesh!F32/SER_summary!F$26)</f>
        <v>0</v>
      </c>
      <c r="G32" s="132">
        <f>IF(SER_hh_tesh!G32=0,0,SER_hh_tesh!G32/SER_summary!G$26)</f>
        <v>0</v>
      </c>
      <c r="H32" s="132">
        <f>IF(SER_hh_tesh!H32=0,0,SER_hh_tesh!H32/SER_summary!H$26)</f>
        <v>0</v>
      </c>
      <c r="I32" s="132">
        <f>IF(SER_hh_tesh!I32=0,0,SER_hh_tesh!I32/SER_summary!I$26)</f>
        <v>0</v>
      </c>
      <c r="J32" s="132">
        <f>IF(SER_hh_tesh!J32=0,0,SER_hh_tesh!J32/SER_summary!J$26)</f>
        <v>0</v>
      </c>
      <c r="K32" s="132">
        <f>IF(SER_hh_tesh!K32=0,0,SER_hh_tesh!K32/SER_summary!K$26)</f>
        <v>0</v>
      </c>
      <c r="L32" s="132">
        <f>IF(SER_hh_tesh!L32=0,0,SER_hh_tesh!L32/SER_summary!L$26)</f>
        <v>0</v>
      </c>
      <c r="M32" s="132">
        <f>IF(SER_hh_tesh!M32=0,0,SER_hh_tesh!M32/SER_summary!M$26)</f>
        <v>0</v>
      </c>
      <c r="N32" s="132">
        <f>IF(SER_hh_tesh!N32=0,0,SER_hh_tesh!N32/SER_summary!N$26)</f>
        <v>0</v>
      </c>
      <c r="O32" s="132">
        <f>IF(SER_hh_tesh!O32=0,0,SER_hh_tesh!O32/SER_summary!O$26)</f>
        <v>0</v>
      </c>
      <c r="P32" s="132">
        <f>IF(SER_hh_tesh!P32=0,0,SER_hh_tesh!P32/SER_summary!P$26)</f>
        <v>0</v>
      </c>
      <c r="Q32" s="132">
        <f>IF(SER_hh_tesh!Q32=0,0,SER_hh_tesh!Q32/SER_summary!Q$26)</f>
        <v>0</v>
      </c>
      <c r="R32" s="132">
        <f>IF(SER_hh_tesh!R32=0,0,SER_hh_tesh!R32/SER_summary!R$26)</f>
        <v>0</v>
      </c>
      <c r="S32" s="132">
        <f>IF(SER_hh_tesh!S32=0,0,SER_hh_tesh!S32/SER_summary!S$26)</f>
        <v>0</v>
      </c>
      <c r="T32" s="132">
        <f>IF(SER_hh_tesh!T32=0,0,SER_hh_tesh!T32/SER_summary!T$26)</f>
        <v>0</v>
      </c>
      <c r="U32" s="132">
        <f>IF(SER_hh_tesh!U32=0,0,SER_hh_tesh!U32/SER_summary!U$26)</f>
        <v>0</v>
      </c>
      <c r="V32" s="132">
        <f>IF(SER_hh_tesh!V32=0,0,SER_hh_tesh!V32/SER_summary!V$26)</f>
        <v>0</v>
      </c>
      <c r="W32" s="132">
        <f>IF(SER_hh_tesh!W32=0,0,SER_hh_tesh!W32/SER_summary!W$26)</f>
        <v>0</v>
      </c>
      <c r="X32" s="132">
        <f>IF(SER_hh_tesh!X32=0,0,SER_hh_tesh!X32/SER_summary!X$26)</f>
        <v>0</v>
      </c>
      <c r="Y32" s="132">
        <f>IF(SER_hh_tesh!Y32=0,0,SER_hh_tesh!Y32/SER_summary!Y$26)</f>
        <v>0</v>
      </c>
      <c r="DA32" s="156" t="s">
        <v>536</v>
      </c>
    </row>
    <row r="33" spans="1:105" ht="12" customHeight="1" x14ac:dyDescent="0.25">
      <c r="A33" s="62" t="s">
        <v>24</v>
      </c>
      <c r="B33" s="68">
        <f>IF(SER_hh_tesh!B33=0,0,SER_hh_tesh!B33/SER_summary!B$26)</f>
        <v>4.595031613605542</v>
      </c>
      <c r="C33" s="68">
        <f>IF(SER_hh_tesh!C33=0,0,SER_hh_tesh!C33/SER_summary!C$26)</f>
        <v>4.5362321516947679</v>
      </c>
      <c r="D33" s="68">
        <f>IF(SER_hh_tesh!D33=0,0,SER_hh_tesh!D33/SER_summary!D$26)</f>
        <v>4.4793230785333185</v>
      </c>
      <c r="E33" s="68">
        <f>IF(SER_hh_tesh!E33=0,0,SER_hh_tesh!E33/SER_summary!E$26)</f>
        <v>4.4454500058221695</v>
      </c>
      <c r="F33" s="68">
        <f>IF(SER_hh_tesh!F33=0,0,SER_hh_tesh!F33/SER_summary!F$26)</f>
        <v>4.4434064174068748</v>
      </c>
      <c r="G33" s="68">
        <f>IF(SER_hh_tesh!G33=0,0,SER_hh_tesh!G33/SER_summary!G$26)</f>
        <v>4.5331791281088005</v>
      </c>
      <c r="H33" s="68">
        <f>IF(SER_hh_tesh!H33=0,0,SER_hh_tesh!H33/SER_summary!H$26)</f>
        <v>4.8877191067054362</v>
      </c>
      <c r="I33" s="68">
        <f>IF(SER_hh_tesh!I33=0,0,SER_hh_tesh!I33/SER_summary!I$26)</f>
        <v>4.9392999046705945</v>
      </c>
      <c r="J33" s="68">
        <f>IF(SER_hh_tesh!J33=0,0,SER_hh_tesh!J33/SER_summary!J$26)</f>
        <v>5.0249091178122667</v>
      </c>
      <c r="K33" s="68">
        <f>IF(SER_hh_tesh!K33=0,0,SER_hh_tesh!K33/SER_summary!K$26)</f>
        <v>5.1082399436740422</v>
      </c>
      <c r="L33" s="68">
        <f>IF(SER_hh_tesh!L33=0,0,SER_hh_tesh!L33/SER_summary!L$26)</f>
        <v>5.2099310062302902</v>
      </c>
      <c r="M33" s="68">
        <f>IF(SER_hh_tesh!M33=0,0,SER_hh_tesh!M33/SER_summary!M$26)</f>
        <v>5.3356086505845965</v>
      </c>
      <c r="N33" s="68">
        <f>IF(SER_hh_tesh!N33=0,0,SER_hh_tesh!N33/SER_summary!N$26)</f>
        <v>5.3717868233914849</v>
      </c>
      <c r="O33" s="68">
        <f>IF(SER_hh_tesh!O33=0,0,SER_hh_tesh!O33/SER_summary!O$26)</f>
        <v>5.6978748040049085</v>
      </c>
      <c r="P33" s="68">
        <f>IF(SER_hh_tesh!P33=0,0,SER_hh_tesh!P33/SER_summary!P$26)</f>
        <v>4.5567489313938978</v>
      </c>
      <c r="Q33" s="68">
        <f>IF(SER_hh_tesh!Q33=0,0,SER_hh_tesh!Q33/SER_summary!Q$26)</f>
        <v>4.5231562048266989</v>
      </c>
      <c r="R33" s="68">
        <f>IF(SER_hh_tesh!R33=0,0,SER_hh_tesh!R33/SER_summary!R$26)</f>
        <v>3.8558526489794436</v>
      </c>
      <c r="S33" s="68">
        <f>IF(SER_hh_tesh!S33=0,0,SER_hh_tesh!S33/SER_summary!S$26)</f>
        <v>4.7639279674584367</v>
      </c>
      <c r="T33" s="68">
        <f>IF(SER_hh_tesh!T33=0,0,SER_hh_tesh!T33/SER_summary!T$26)</f>
        <v>5.9975783468092922</v>
      </c>
      <c r="U33" s="68">
        <f>IF(SER_hh_tesh!U33=0,0,SER_hh_tesh!U33/SER_summary!U$26)</f>
        <v>6.2293286129553485</v>
      </c>
      <c r="V33" s="68">
        <f>IF(SER_hh_tesh!V33=0,0,SER_hh_tesh!V33/SER_summary!V$26)</f>
        <v>3.3198295856325255</v>
      </c>
      <c r="W33" s="68">
        <f>IF(SER_hh_tesh!W33=0,0,SER_hh_tesh!W33/SER_summary!W$26)</f>
        <v>5.3973923103451122</v>
      </c>
      <c r="X33" s="68">
        <f>IF(SER_hh_tesh!X33=0,0,SER_hh_tesh!X33/SER_summary!X$26)</f>
        <v>4.6355117254127398</v>
      </c>
      <c r="Y33" s="68">
        <f>IF(SER_hh_tesh!Y33=0,0,SER_hh_tesh!Y33/SER_summary!Y$26)</f>
        <v>5.9972558785724548</v>
      </c>
      <c r="DA33" s="111" t="s">
        <v>537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>
        <f>IF(SER_hh_emih!B3=0,0,SER_hh_emih!B3/SER_summary!B$26)</f>
        <v>4.2111115158721244</v>
      </c>
      <c r="C3" s="125">
        <f>IF(SER_hh_emih!C3=0,0,SER_hh_emih!C3/SER_summary!C$26)</f>
        <v>4.4747537762379945</v>
      </c>
      <c r="D3" s="125">
        <f>IF(SER_hh_emih!D3=0,0,SER_hh_emih!D3/SER_summary!D$26)</f>
        <v>4.3144018281176413</v>
      </c>
      <c r="E3" s="125">
        <f>IF(SER_hh_emih!E3=0,0,SER_hh_emih!E3/SER_summary!E$26)</f>
        <v>3.8258320357071764</v>
      </c>
      <c r="F3" s="125">
        <f>IF(SER_hh_emih!F3=0,0,SER_hh_emih!F3/SER_summary!F$26)</f>
        <v>4.164584760185428</v>
      </c>
      <c r="G3" s="125">
        <f>IF(SER_hh_emih!G3=0,0,SER_hh_emih!G3/SER_summary!G$26)</f>
        <v>4.4939893355661678</v>
      </c>
      <c r="H3" s="125">
        <f>IF(SER_hh_emih!H3=0,0,SER_hh_emih!H3/SER_summary!H$26)</f>
        <v>5.5005784041898389</v>
      </c>
      <c r="I3" s="125">
        <f>IF(SER_hh_emih!I3=0,0,SER_hh_emih!I3/SER_summary!I$26)</f>
        <v>4.1088745077630202</v>
      </c>
      <c r="J3" s="125">
        <f>IF(SER_hh_emih!J3=0,0,SER_hh_emih!J3/SER_summary!J$26)</f>
        <v>3.7459254804071085</v>
      </c>
      <c r="K3" s="125">
        <f>IF(SER_hh_emih!K3=0,0,SER_hh_emih!K3/SER_summary!K$26)</f>
        <v>4.0801206541754826</v>
      </c>
      <c r="L3" s="125">
        <f>IF(SER_hh_emih!L3=0,0,SER_hh_emih!L3/SER_summary!L$26)</f>
        <v>4.5282397153677634</v>
      </c>
      <c r="M3" s="125">
        <f>IF(SER_hh_emih!M3=0,0,SER_hh_emih!M3/SER_summary!M$26)</f>
        <v>4.6520689560264339</v>
      </c>
      <c r="N3" s="125">
        <f>IF(SER_hh_emih!N3=0,0,SER_hh_emih!N3/SER_summary!N$26)</f>
        <v>4.2628303583953295</v>
      </c>
      <c r="O3" s="125">
        <f>IF(SER_hh_emih!O3=0,0,SER_hh_emih!O3/SER_summary!O$26)</f>
        <v>4.243412418785435</v>
      </c>
      <c r="P3" s="125">
        <f>IF(SER_hh_emih!P3=0,0,SER_hh_emih!P3/SER_summary!P$26)</f>
        <v>3.6988462167298621</v>
      </c>
      <c r="Q3" s="125">
        <f>IF(SER_hh_emih!Q3=0,0,SER_hh_emih!Q3/SER_summary!Q$26)</f>
        <v>3.5877561352979366</v>
      </c>
      <c r="R3" s="125">
        <f>IF(SER_hh_emih!R3=0,0,SER_hh_emih!R3/SER_summary!R$26)</f>
        <v>3.8088023644213087</v>
      </c>
      <c r="S3" s="125">
        <f>IF(SER_hh_emih!S3=0,0,SER_hh_emih!S3/SER_summary!S$26)</f>
        <v>3.8496982040718941</v>
      </c>
      <c r="T3" s="125">
        <f>IF(SER_hh_emih!T3=0,0,SER_hh_emih!T3/SER_summary!T$26)</f>
        <v>3.9693821007839394</v>
      </c>
      <c r="U3" s="125">
        <f>IF(SER_hh_emih!U3=0,0,SER_hh_emih!U3/SER_summary!U$26)</f>
        <v>3.8713645742111726</v>
      </c>
      <c r="V3" s="125">
        <f>IF(SER_hh_emih!V3=0,0,SER_hh_emih!V3/SER_summary!V$26)</f>
        <v>3.6182553888667615</v>
      </c>
      <c r="W3" s="125">
        <f>IF(SER_hh_emih!W3=0,0,SER_hh_emih!W3/SER_summary!W$26)</f>
        <v>3.9233493090581169</v>
      </c>
      <c r="X3" s="125">
        <f>IF(SER_hh_emih!X3=0,0,SER_hh_emih!X3/SER_summary!X$26)</f>
        <v>3.6518147399408654</v>
      </c>
      <c r="Y3" s="125">
        <f>IF(SER_hh_emih!Y3=0,0,SER_hh_emih!Y3/SER_summary!Y$26)</f>
        <v>3.4343691548165927</v>
      </c>
      <c r="DA3" s="154" t="s">
        <v>539</v>
      </c>
    </row>
    <row r="4" spans="1:105" ht="12.95" customHeight="1" x14ac:dyDescent="0.25">
      <c r="A4" s="129" t="s">
        <v>32</v>
      </c>
      <c r="B4" s="130">
        <f>IF(SER_hh_emih!B4=0,0,SER_hh_emih!B4/SER_summary!B$26)</f>
        <v>2.8203850567977686</v>
      </c>
      <c r="C4" s="130">
        <f>IF(SER_hh_emih!C4=0,0,SER_hh_emih!C4/SER_summary!C$26)</f>
        <v>3.0347193759351523</v>
      </c>
      <c r="D4" s="130">
        <f>IF(SER_hh_emih!D4=0,0,SER_hh_emih!D4/SER_summary!D$26)</f>
        <v>2.9637296652384393</v>
      </c>
      <c r="E4" s="130">
        <f>IF(SER_hh_emih!E4=0,0,SER_hh_emih!E4/SER_summary!E$26)</f>
        <v>2.6216822869312564</v>
      </c>
      <c r="F4" s="130">
        <f>IF(SER_hh_emih!F4=0,0,SER_hh_emih!F4/SER_summary!F$26)</f>
        <v>2.8151664441283994</v>
      </c>
      <c r="G4" s="130">
        <f>IF(SER_hh_emih!G4=0,0,SER_hh_emih!G4/SER_summary!G$26)</f>
        <v>3.1497345063072051</v>
      </c>
      <c r="H4" s="130">
        <f>IF(SER_hh_emih!H4=0,0,SER_hh_emih!H4/SER_summary!H$26)</f>
        <v>4.0170921258679817</v>
      </c>
      <c r="I4" s="130">
        <f>IF(SER_hh_emih!I4=0,0,SER_hh_emih!I4/SER_summary!I$26)</f>
        <v>2.6811240136834713</v>
      </c>
      <c r="J4" s="130">
        <f>IF(SER_hh_emih!J4=0,0,SER_hh_emih!J4/SER_summary!J$26)</f>
        <v>2.328935695423394</v>
      </c>
      <c r="K4" s="130">
        <f>IF(SER_hh_emih!K4=0,0,SER_hh_emih!K4/SER_summary!K$26)</f>
        <v>2.6687065880459073</v>
      </c>
      <c r="L4" s="130">
        <f>IF(SER_hh_emih!L4=0,0,SER_hh_emih!L4/SER_summary!L$26)</f>
        <v>3.1110381039214947</v>
      </c>
      <c r="M4" s="130">
        <f>IF(SER_hh_emih!M4=0,0,SER_hh_emih!M4/SER_summary!M$26)</f>
        <v>3.2292630874529338</v>
      </c>
      <c r="N4" s="130">
        <f>IF(SER_hh_emih!N4=0,0,SER_hh_emih!N4/SER_summary!N$26)</f>
        <v>2.7774955557313428</v>
      </c>
      <c r="O4" s="130">
        <f>IF(SER_hh_emih!O4=0,0,SER_hh_emih!O4/SER_summary!O$26)</f>
        <v>2.6380216085337791</v>
      </c>
      <c r="P4" s="130">
        <f>IF(SER_hh_emih!P4=0,0,SER_hh_emih!P4/SER_summary!P$26)</f>
        <v>1.6177655176113881</v>
      </c>
      <c r="Q4" s="130">
        <f>IF(SER_hh_emih!Q4=0,0,SER_hh_emih!Q4/SER_summary!Q$26)</f>
        <v>1.4161796190673119</v>
      </c>
      <c r="R4" s="130">
        <f>IF(SER_hh_emih!R4=0,0,SER_hh_emih!R4/SER_summary!R$26)</f>
        <v>1.5658591735438208</v>
      </c>
      <c r="S4" s="130">
        <f>IF(SER_hh_emih!S4=0,0,SER_hh_emih!S4/SER_summary!S$26)</f>
        <v>1.6609453865132822</v>
      </c>
      <c r="T4" s="130">
        <f>IF(SER_hh_emih!T4=0,0,SER_hh_emih!T4/SER_summary!T$26)</f>
        <v>1.9092296759109779</v>
      </c>
      <c r="U4" s="130">
        <f>IF(SER_hh_emih!U4=0,0,SER_hh_emih!U4/SER_summary!U$26)</f>
        <v>1.827474645900063</v>
      </c>
      <c r="V4" s="130">
        <f>IF(SER_hh_emih!V4=0,0,SER_hh_emih!V4/SER_summary!V$26)</f>
        <v>1.6319107431928013</v>
      </c>
      <c r="W4" s="130">
        <f>IF(SER_hh_emih!W4=0,0,SER_hh_emih!W4/SER_summary!W$26)</f>
        <v>1.8932739952955724</v>
      </c>
      <c r="X4" s="130">
        <f>IF(SER_hh_emih!X4=0,0,SER_hh_emih!X4/SER_summary!X$26)</f>
        <v>1.7655848347754723</v>
      </c>
      <c r="Y4" s="130">
        <f>IF(SER_hh_emih!Y4=0,0,SER_hh_emih!Y4/SER_summary!Y$26)</f>
        <v>1.5490969237300753</v>
      </c>
      <c r="DA4" s="155" t="s">
        <v>540</v>
      </c>
    </row>
    <row r="5" spans="1:105" ht="12" customHeight="1" x14ac:dyDescent="0.25">
      <c r="A5" s="131" t="s">
        <v>29</v>
      </c>
      <c r="B5" s="132">
        <f>IF(SER_hh_emih!B5=0,0,SER_hh_emih!B5/SER_summary!B$26)</f>
        <v>0</v>
      </c>
      <c r="C5" s="132">
        <f>IF(SER_hh_emih!C5=0,0,SER_hh_emih!C5/SER_summary!C$26)</f>
        <v>0</v>
      </c>
      <c r="D5" s="132">
        <f>IF(SER_hh_emih!D5=0,0,SER_hh_emih!D5/SER_summary!D$26)</f>
        <v>0</v>
      </c>
      <c r="E5" s="132">
        <f>IF(SER_hh_emih!E5=0,0,SER_hh_emih!E5/SER_summary!E$26)</f>
        <v>0</v>
      </c>
      <c r="F5" s="132">
        <f>IF(SER_hh_emih!F5=0,0,SER_hh_emih!F5/SER_summary!F$26)</f>
        <v>0</v>
      </c>
      <c r="G5" s="132">
        <f>IF(SER_hh_emih!G5=0,0,SER_hh_emih!G5/SER_summary!G$26)</f>
        <v>0</v>
      </c>
      <c r="H5" s="132">
        <f>IF(SER_hh_emih!H5=0,0,SER_hh_emih!H5/SER_summary!H$26)</f>
        <v>0</v>
      </c>
      <c r="I5" s="132">
        <f>IF(SER_hh_emih!I5=0,0,SER_hh_emih!I5/SER_summary!I$26)</f>
        <v>0</v>
      </c>
      <c r="J5" s="132">
        <f>IF(SER_hh_emih!J5=0,0,SER_hh_emih!J5/SER_summary!J$26)</f>
        <v>0</v>
      </c>
      <c r="K5" s="132">
        <f>IF(SER_hh_emih!K5=0,0,SER_hh_emih!K5/SER_summary!K$26)</f>
        <v>0</v>
      </c>
      <c r="L5" s="132">
        <f>IF(SER_hh_emih!L5=0,0,SER_hh_emih!L5/SER_summary!L$26)</f>
        <v>0</v>
      </c>
      <c r="M5" s="132">
        <f>IF(SER_hh_emih!M5=0,0,SER_hh_emih!M5/SER_summary!M$26)</f>
        <v>0</v>
      </c>
      <c r="N5" s="132">
        <f>IF(SER_hh_emih!N5=0,0,SER_hh_emih!N5/SER_summary!N$26)</f>
        <v>0</v>
      </c>
      <c r="O5" s="132">
        <f>IF(SER_hh_emih!O5=0,0,SER_hh_emih!O5/SER_summary!O$26)</f>
        <v>0</v>
      </c>
      <c r="P5" s="132">
        <f>IF(SER_hh_emih!P5=0,0,SER_hh_emih!P5/SER_summary!P$26)</f>
        <v>0</v>
      </c>
      <c r="Q5" s="132">
        <f>IF(SER_hh_emih!Q5=0,0,SER_hh_emih!Q5/SER_summary!Q$26)</f>
        <v>0</v>
      </c>
      <c r="R5" s="132">
        <f>IF(SER_hh_emih!R5=0,0,SER_hh_emih!R5/SER_summary!R$26)</f>
        <v>0</v>
      </c>
      <c r="S5" s="132">
        <f>IF(SER_hh_emih!S5=0,0,SER_hh_emih!S5/SER_summary!S$26)</f>
        <v>0</v>
      </c>
      <c r="T5" s="132">
        <f>IF(SER_hh_emih!T5=0,0,SER_hh_emih!T5/SER_summary!T$26)</f>
        <v>0</v>
      </c>
      <c r="U5" s="132">
        <f>IF(SER_hh_emih!U5=0,0,SER_hh_emih!U5/SER_summary!U$26)</f>
        <v>0</v>
      </c>
      <c r="V5" s="132">
        <f>IF(SER_hh_emih!V5=0,0,SER_hh_emih!V5/SER_summary!V$26)</f>
        <v>0</v>
      </c>
      <c r="W5" s="132">
        <f>IF(SER_hh_emih!W5=0,0,SER_hh_emih!W5/SER_summary!W$26)</f>
        <v>0</v>
      </c>
      <c r="X5" s="132">
        <f>IF(SER_hh_emih!X5=0,0,SER_hh_emih!X5/SER_summary!X$26)</f>
        <v>0</v>
      </c>
      <c r="Y5" s="132">
        <f>IF(SER_hh_emih!Y5=0,0,SER_hh_emih!Y5/SER_summary!Y$26)</f>
        <v>0</v>
      </c>
      <c r="DA5" s="156" t="s">
        <v>541</v>
      </c>
    </row>
    <row r="6" spans="1:105" ht="12" customHeight="1" x14ac:dyDescent="0.25">
      <c r="A6" s="131" t="s">
        <v>52</v>
      </c>
      <c r="B6" s="132">
        <f>IF(SER_hh_emih!B6=0,0,SER_hh_emih!B6/SER_summary!B$26)</f>
        <v>0</v>
      </c>
      <c r="C6" s="132">
        <f>IF(SER_hh_emih!C6=0,0,SER_hh_emih!C6/SER_summary!C$26)</f>
        <v>0</v>
      </c>
      <c r="D6" s="132">
        <f>IF(SER_hh_emih!D6=0,0,SER_hh_emih!D6/SER_summary!D$26)</f>
        <v>0</v>
      </c>
      <c r="E6" s="132">
        <f>IF(SER_hh_emih!E6=0,0,SER_hh_emih!E6/SER_summary!E$26)</f>
        <v>0</v>
      </c>
      <c r="F6" s="132">
        <f>IF(SER_hh_emih!F6=0,0,SER_hh_emih!F6/SER_summary!F$26)</f>
        <v>0</v>
      </c>
      <c r="G6" s="132">
        <f>IF(SER_hh_emih!G6=0,0,SER_hh_emih!G6/SER_summary!G$26)</f>
        <v>0</v>
      </c>
      <c r="H6" s="132">
        <f>IF(SER_hh_emih!H6=0,0,SER_hh_emih!H6/SER_summary!H$26)</f>
        <v>0</v>
      </c>
      <c r="I6" s="132">
        <f>IF(SER_hh_emih!I6=0,0,SER_hh_emih!I6/SER_summary!I$26)</f>
        <v>0</v>
      </c>
      <c r="J6" s="132">
        <f>IF(SER_hh_emih!J6=0,0,SER_hh_emih!J6/SER_summary!J$26)</f>
        <v>0</v>
      </c>
      <c r="K6" s="132">
        <f>IF(SER_hh_emih!K6=0,0,SER_hh_emih!K6/SER_summary!K$26)</f>
        <v>0</v>
      </c>
      <c r="L6" s="132">
        <f>IF(SER_hh_emih!L6=0,0,SER_hh_emih!L6/SER_summary!L$26)</f>
        <v>0</v>
      </c>
      <c r="M6" s="132">
        <f>IF(SER_hh_emih!M6=0,0,SER_hh_emih!M6/SER_summary!M$26)</f>
        <v>0</v>
      </c>
      <c r="N6" s="132">
        <f>IF(SER_hh_emih!N6=0,0,SER_hh_emih!N6/SER_summary!N$26)</f>
        <v>0</v>
      </c>
      <c r="O6" s="132">
        <f>IF(SER_hh_emih!O6=0,0,SER_hh_emih!O6/SER_summary!O$26)</f>
        <v>0</v>
      </c>
      <c r="P6" s="132">
        <f>IF(SER_hh_emih!P6=0,0,SER_hh_emih!P6/SER_summary!P$26)</f>
        <v>0</v>
      </c>
      <c r="Q6" s="132">
        <f>IF(SER_hh_emih!Q6=0,0,SER_hh_emih!Q6/SER_summary!Q$26)</f>
        <v>0</v>
      </c>
      <c r="R6" s="132">
        <f>IF(SER_hh_emih!R6=0,0,SER_hh_emih!R6/SER_summary!R$26)</f>
        <v>0</v>
      </c>
      <c r="S6" s="132">
        <f>IF(SER_hh_emih!S6=0,0,SER_hh_emih!S6/SER_summary!S$26)</f>
        <v>0</v>
      </c>
      <c r="T6" s="132">
        <f>IF(SER_hh_emih!T6=0,0,SER_hh_emih!T6/SER_summary!T$26)</f>
        <v>0</v>
      </c>
      <c r="U6" s="132">
        <f>IF(SER_hh_emih!U6=0,0,SER_hh_emih!U6/SER_summary!U$26)</f>
        <v>0</v>
      </c>
      <c r="V6" s="132">
        <f>IF(SER_hh_emih!V6=0,0,SER_hh_emih!V6/SER_summary!V$26)</f>
        <v>0</v>
      </c>
      <c r="W6" s="132">
        <f>IF(SER_hh_emih!W6=0,0,SER_hh_emih!W6/SER_summary!W$26)</f>
        <v>0</v>
      </c>
      <c r="X6" s="132">
        <f>IF(SER_hh_emih!X6=0,0,SER_hh_emih!X6/SER_summary!X$26)</f>
        <v>0</v>
      </c>
      <c r="Y6" s="132">
        <f>IF(SER_hh_emih!Y6=0,0,SER_hh_emih!Y6/SER_summary!Y$26)</f>
        <v>0</v>
      </c>
      <c r="DA6" s="156" t="s">
        <v>542</v>
      </c>
    </row>
    <row r="7" spans="1:105" ht="12" customHeight="1" x14ac:dyDescent="0.25">
      <c r="A7" s="131" t="s">
        <v>161</v>
      </c>
      <c r="B7" s="132">
        <f>IF(SER_hh_emih!B7=0,0,SER_hh_emih!B7/SER_summary!B$26)</f>
        <v>4.0629199064342796</v>
      </c>
      <c r="C7" s="132">
        <f>IF(SER_hh_emih!C7=0,0,SER_hh_emih!C7/SER_summary!C$26)</f>
        <v>3.962107197416179</v>
      </c>
      <c r="D7" s="132">
        <f>IF(SER_hh_emih!D7=0,0,SER_hh_emih!D7/SER_summary!D$26)</f>
        <v>3.2972970360926235</v>
      </c>
      <c r="E7" s="132">
        <f>IF(SER_hh_emih!E7=0,0,SER_hh_emih!E7/SER_summary!E$26)</f>
        <v>3.3304483614718716</v>
      </c>
      <c r="F7" s="132">
        <f>IF(SER_hh_emih!F7=0,0,SER_hh_emih!F7/SER_summary!F$26)</f>
        <v>3.7126384893694993</v>
      </c>
      <c r="G7" s="132">
        <f>IF(SER_hh_emih!G7=0,0,SER_hh_emih!G7/SER_summary!G$26)</f>
        <v>4.260101629980233</v>
      </c>
      <c r="H7" s="132">
        <f>IF(SER_hh_emih!H7=0,0,SER_hh_emih!H7/SER_summary!H$26)</f>
        <v>4.1275695811862541</v>
      </c>
      <c r="I7" s="132">
        <f>IF(SER_hh_emih!I7=0,0,SER_hh_emih!I7/SER_summary!I$26)</f>
        <v>4.3441424870555556</v>
      </c>
      <c r="J7" s="132">
        <f>IF(SER_hh_emih!J7=0,0,SER_hh_emih!J7/SER_summary!J$26)</f>
        <v>4.7039464115553278</v>
      </c>
      <c r="K7" s="132">
        <f>IF(SER_hh_emih!K7=0,0,SER_hh_emih!K7/SER_summary!K$26)</f>
        <v>5.2882695886493281</v>
      </c>
      <c r="L7" s="132">
        <f>IF(SER_hh_emih!L7=0,0,SER_hh_emih!L7/SER_summary!L$26)</f>
        <v>5.2127757160582311</v>
      </c>
      <c r="M7" s="132">
        <f>IF(SER_hh_emih!M7=0,0,SER_hh_emih!M7/SER_summary!M$26)</f>
        <v>4.3665263995860943</v>
      </c>
      <c r="N7" s="132">
        <f>IF(SER_hh_emih!N7=0,0,SER_hh_emih!N7/SER_summary!N$26)</f>
        <v>4.233629268268694</v>
      </c>
      <c r="O7" s="132">
        <f>IF(SER_hh_emih!O7=0,0,SER_hh_emih!O7/SER_summary!O$26)</f>
        <v>4.1176361543444084</v>
      </c>
      <c r="P7" s="132">
        <f>IF(SER_hh_emih!P7=0,0,SER_hh_emih!P7/SER_summary!P$26)</f>
        <v>3.1002297578158919</v>
      </c>
      <c r="Q7" s="132">
        <f>IF(SER_hh_emih!Q7=0,0,SER_hh_emih!Q7/SER_summary!Q$26)</f>
        <v>2.2140540465779148</v>
      </c>
      <c r="R7" s="132">
        <f>IF(SER_hh_emih!R7=0,0,SER_hh_emih!R7/SER_summary!R$26)</f>
        <v>2.9156531196566782</v>
      </c>
      <c r="S7" s="132">
        <f>IF(SER_hh_emih!S7=0,0,SER_hh_emih!S7/SER_summary!S$26)</f>
        <v>3.4039836780121959</v>
      </c>
      <c r="T7" s="132">
        <f>IF(SER_hh_emih!T7=0,0,SER_hh_emih!T7/SER_summary!T$26)</f>
        <v>3.7829871302419771</v>
      </c>
      <c r="U7" s="132">
        <f>IF(SER_hh_emih!U7=0,0,SER_hh_emih!U7/SER_summary!U$26)</f>
        <v>3.8295975941371938</v>
      </c>
      <c r="V7" s="132">
        <f>IF(SER_hh_emih!V7=0,0,SER_hh_emih!V7/SER_summary!V$26)</f>
        <v>3.8856632453231961</v>
      </c>
      <c r="W7" s="132">
        <f>IF(SER_hh_emih!W7=0,0,SER_hh_emih!W7/SER_summary!W$26)</f>
        <v>4.6958865066790212</v>
      </c>
      <c r="X7" s="132">
        <f>IF(SER_hh_emih!X7=0,0,SER_hh_emih!X7/SER_summary!X$26)</f>
        <v>4.9633770939321975</v>
      </c>
      <c r="Y7" s="132">
        <f>IF(SER_hh_emih!Y7=0,0,SER_hh_emih!Y7/SER_summary!Y$26)</f>
        <v>4.3176496738713421</v>
      </c>
      <c r="DA7" s="156" t="s">
        <v>543</v>
      </c>
    </row>
    <row r="8" spans="1:105" ht="12" customHeight="1" x14ac:dyDescent="0.25">
      <c r="A8" s="131" t="s">
        <v>73</v>
      </c>
      <c r="B8" s="132">
        <f>IF(SER_hh_emih!B8=0,0,SER_hh_emih!B8/SER_summary!B$26)</f>
        <v>1.0115696350717795</v>
      </c>
      <c r="C8" s="132">
        <f>IF(SER_hh_emih!C8=0,0,SER_hh_emih!C8/SER_summary!C$26)</f>
        <v>1.0218826923280746</v>
      </c>
      <c r="D8" s="132">
        <f>IF(SER_hh_emih!D8=0,0,SER_hh_emih!D8/SER_summary!D$26)</f>
        <v>0.85287060558298511</v>
      </c>
      <c r="E8" s="132">
        <f>IF(SER_hh_emih!E8=0,0,SER_hh_emih!E8/SER_summary!E$26)</f>
        <v>0.5229975125436952</v>
      </c>
      <c r="F8" s="132">
        <f>IF(SER_hh_emih!F8=0,0,SER_hh_emih!F8/SER_summary!F$26)</f>
        <v>0.53789109351867859</v>
      </c>
      <c r="G8" s="132">
        <f>IF(SER_hh_emih!G8=0,0,SER_hh_emih!G8/SER_summary!G$26)</f>
        <v>0.77199574702802898</v>
      </c>
      <c r="H8" s="132">
        <f>IF(SER_hh_emih!H8=0,0,SER_hh_emih!H8/SER_summary!H$26)</f>
        <v>1.1431547403922928</v>
      </c>
      <c r="I8" s="132">
        <f>IF(SER_hh_emih!I8=0,0,SER_hh_emih!I8/SER_summary!I$26)</f>
        <v>0.93861568393504313</v>
      </c>
      <c r="J8" s="132">
        <f>IF(SER_hh_emih!J8=0,0,SER_hh_emih!J8/SER_summary!J$26)</f>
        <v>0.89675452228057551</v>
      </c>
      <c r="K8" s="132">
        <f>IF(SER_hh_emih!K8=0,0,SER_hh_emih!K8/SER_summary!K$26)</f>
        <v>0.8143241873862036</v>
      </c>
      <c r="L8" s="132">
        <f>IF(SER_hh_emih!L8=0,0,SER_hh_emih!L8/SER_summary!L$26)</f>
        <v>0.67943575947188994</v>
      </c>
      <c r="M8" s="132">
        <f>IF(SER_hh_emih!M8=0,0,SER_hh_emih!M8/SER_summary!M$26)</f>
        <v>0.63584806766302737</v>
      </c>
      <c r="N8" s="132">
        <f>IF(SER_hh_emih!N8=0,0,SER_hh_emih!N8/SER_summary!N$26)</f>
        <v>0.45389049446263313</v>
      </c>
      <c r="O8" s="132">
        <f>IF(SER_hh_emih!O8=0,0,SER_hh_emih!O8/SER_summary!O$26)</f>
        <v>0.4144696140917884</v>
      </c>
      <c r="P8" s="132">
        <f>IF(SER_hh_emih!P8=0,0,SER_hh_emih!P8/SER_summary!P$26)</f>
        <v>0.41036074880937801</v>
      </c>
      <c r="Q8" s="132">
        <f>IF(SER_hh_emih!Q8=0,0,SER_hh_emih!Q8/SER_summary!Q$26)</f>
        <v>0.39532411853862193</v>
      </c>
      <c r="R8" s="132">
        <f>IF(SER_hh_emih!R8=0,0,SER_hh_emih!R8/SER_summary!R$26)</f>
        <v>0.44472341188221165</v>
      </c>
      <c r="S8" s="132">
        <f>IF(SER_hh_emih!S8=0,0,SER_hh_emih!S8/SER_summary!S$26)</f>
        <v>0.48915422769095085</v>
      </c>
      <c r="T8" s="132">
        <f>IF(SER_hh_emih!T8=0,0,SER_hh_emih!T8/SER_summary!T$26)</f>
        <v>0.48654999381741237</v>
      </c>
      <c r="U8" s="132">
        <f>IF(SER_hh_emih!U8=0,0,SER_hh_emih!U8/SER_summary!U$26)</f>
        <v>0.69560288464696829</v>
      </c>
      <c r="V8" s="132">
        <f>IF(SER_hh_emih!V8=0,0,SER_hh_emih!V8/SER_summary!V$26)</f>
        <v>0.54286028290201205</v>
      </c>
      <c r="W8" s="132">
        <f>IF(SER_hh_emih!W8=0,0,SER_hh_emih!W8/SER_summary!W$26)</f>
        <v>0.65026542207951521</v>
      </c>
      <c r="X8" s="132">
        <f>IF(SER_hh_emih!X8=0,0,SER_hh_emih!X8/SER_summary!X$26)</f>
        <v>0.66208905914050997</v>
      </c>
      <c r="Y8" s="132">
        <f>IF(SER_hh_emih!Y8=0,0,SER_hh_emih!Y8/SER_summary!Y$26)</f>
        <v>0.72679940994396519</v>
      </c>
      <c r="DA8" s="156" t="s">
        <v>544</v>
      </c>
    </row>
    <row r="9" spans="1:105" ht="12" customHeight="1" x14ac:dyDescent="0.25">
      <c r="A9" s="131" t="s">
        <v>78</v>
      </c>
      <c r="B9" s="132">
        <f>IF(SER_hh_emih!B9=0,0,SER_hh_emih!B9/SER_summary!B$26)</f>
        <v>2.0664257385005147</v>
      </c>
      <c r="C9" s="132">
        <f>IF(SER_hh_emih!C9=0,0,SER_hh_emih!C9/SER_summary!C$26)</f>
        <v>2.5992189367184513</v>
      </c>
      <c r="D9" s="132">
        <f>IF(SER_hh_emih!D9=0,0,SER_hh_emih!D9/SER_summary!D$26)</f>
        <v>3.8648505205353003</v>
      </c>
      <c r="E9" s="132">
        <f>IF(SER_hh_emih!E9=0,0,SER_hh_emih!E9/SER_summary!E$26)</f>
        <v>0.32109203220477839</v>
      </c>
      <c r="F9" s="132">
        <f>IF(SER_hh_emih!F9=0,0,SER_hh_emih!F9/SER_summary!F$26)</f>
        <v>0.39490142156236391</v>
      </c>
      <c r="G9" s="132">
        <f>IF(SER_hh_emih!G9=0,0,SER_hh_emih!G9/SER_summary!G$26)</f>
        <v>2.0322701975092219</v>
      </c>
      <c r="H9" s="132">
        <f>IF(SER_hh_emih!H9=0,0,SER_hh_emih!H9/SER_summary!H$26)</f>
        <v>6.4196142322944301</v>
      </c>
      <c r="I9" s="132">
        <f>IF(SER_hh_emih!I9=0,0,SER_hh_emih!I9/SER_summary!I$26)</f>
        <v>2.9683028697622298</v>
      </c>
      <c r="J9" s="132">
        <f>IF(SER_hh_emih!J9=0,0,SER_hh_emih!J9/SER_summary!J$26)</f>
        <v>2.2330651241802872</v>
      </c>
      <c r="K9" s="132">
        <f>IF(SER_hh_emih!K9=0,0,SER_hh_emih!K9/SER_summary!K$26)</f>
        <v>2.9446780052687265</v>
      </c>
      <c r="L9" s="132">
        <f>IF(SER_hh_emih!L9=0,0,SER_hh_emih!L9/SER_summary!L$26)</f>
        <v>3.9009341541979006</v>
      </c>
      <c r="M9" s="132">
        <f>IF(SER_hh_emih!M9=0,0,SER_hh_emih!M9/SER_summary!M$26)</f>
        <v>4.3338686338877608</v>
      </c>
      <c r="N9" s="132">
        <f>IF(SER_hh_emih!N9=0,0,SER_hh_emih!N9/SER_summary!N$26)</f>
        <v>3.1888674848912144</v>
      </c>
      <c r="O9" s="132">
        <f>IF(SER_hh_emih!O9=0,0,SER_hh_emih!O9/SER_summary!O$26)</f>
        <v>2.8500213977008286</v>
      </c>
      <c r="P9" s="132">
        <f>IF(SER_hh_emih!P9=0,0,SER_hh_emih!P9/SER_summary!P$26)</f>
        <v>1.3202894124191302</v>
      </c>
      <c r="Q9" s="132">
        <f>IF(SER_hh_emih!Q9=0,0,SER_hh_emih!Q9/SER_summary!Q$26)</f>
        <v>2.0860820525544672</v>
      </c>
      <c r="R9" s="132">
        <f>IF(SER_hh_emih!R9=0,0,SER_hh_emih!R9/SER_summary!R$26)</f>
        <v>2.0782509279338401</v>
      </c>
      <c r="S9" s="132">
        <f>IF(SER_hh_emih!S9=0,0,SER_hh_emih!S9/SER_summary!S$26)</f>
        <v>2.2212596243855294</v>
      </c>
      <c r="T9" s="132">
        <f>IF(SER_hh_emih!T9=0,0,SER_hh_emih!T9/SER_summary!T$26)</f>
        <v>3.1541163898535469</v>
      </c>
      <c r="U9" s="132">
        <f>IF(SER_hh_emih!U9=0,0,SER_hh_emih!U9/SER_summary!U$26)</f>
        <v>3.1900327424946946</v>
      </c>
      <c r="V9" s="132">
        <f>IF(SER_hh_emih!V9=0,0,SER_hh_emih!V9/SER_summary!V$26)</f>
        <v>2.7479424732705189</v>
      </c>
      <c r="W9" s="132">
        <f>IF(SER_hh_emih!W9=0,0,SER_hh_emih!W9/SER_summary!W$26)</f>
        <v>3.3679805944777881</v>
      </c>
      <c r="X9" s="132">
        <f>IF(SER_hh_emih!X9=0,0,SER_hh_emih!X9/SER_summary!X$26)</f>
        <v>3.021607741102446</v>
      </c>
      <c r="Y9" s="132">
        <f>IF(SER_hh_emih!Y9=0,0,SER_hh_emih!Y9/SER_summary!Y$26)</f>
        <v>3.1787677644755639</v>
      </c>
      <c r="DA9" s="156" t="s">
        <v>545</v>
      </c>
    </row>
    <row r="10" spans="1:105" ht="12" customHeight="1" x14ac:dyDescent="0.25">
      <c r="A10" s="131" t="s">
        <v>128</v>
      </c>
      <c r="B10" s="132">
        <f>IF(SER_hh_emih!B10=0,0,SER_hh_emih!B10/SER_summary!B$26)</f>
        <v>0</v>
      </c>
      <c r="C10" s="132">
        <f>IF(SER_hh_emih!C10=0,0,SER_hh_emih!C10/SER_summary!C$26)</f>
        <v>0</v>
      </c>
      <c r="D10" s="132">
        <f>IF(SER_hh_emih!D10=0,0,SER_hh_emih!D10/SER_summary!D$26)</f>
        <v>0</v>
      </c>
      <c r="E10" s="132">
        <f>IF(SER_hh_emih!E10=0,0,SER_hh_emih!E10/SER_summary!E$26)</f>
        <v>0</v>
      </c>
      <c r="F10" s="132">
        <f>IF(SER_hh_emih!F10=0,0,SER_hh_emih!F10/SER_summary!F$26)</f>
        <v>0</v>
      </c>
      <c r="G10" s="132">
        <f>IF(SER_hh_emih!G10=0,0,SER_hh_emih!G10/SER_summary!G$26)</f>
        <v>0</v>
      </c>
      <c r="H10" s="132">
        <f>IF(SER_hh_emih!H10=0,0,SER_hh_emih!H10/SER_summary!H$26)</f>
        <v>0</v>
      </c>
      <c r="I10" s="132">
        <f>IF(SER_hh_emih!I10=0,0,SER_hh_emih!I10/SER_summary!I$26)</f>
        <v>0</v>
      </c>
      <c r="J10" s="132">
        <f>IF(SER_hh_emih!J10=0,0,SER_hh_emih!J10/SER_summary!J$26)</f>
        <v>0</v>
      </c>
      <c r="K10" s="132">
        <f>IF(SER_hh_emih!K10=0,0,SER_hh_emih!K10/SER_summary!K$26)</f>
        <v>0</v>
      </c>
      <c r="L10" s="132">
        <f>IF(SER_hh_emih!L10=0,0,SER_hh_emih!L10/SER_summary!L$26)</f>
        <v>0</v>
      </c>
      <c r="M10" s="132">
        <f>IF(SER_hh_emih!M10=0,0,SER_hh_emih!M10/SER_summary!M$26)</f>
        <v>0</v>
      </c>
      <c r="N10" s="132">
        <f>IF(SER_hh_emih!N10=0,0,SER_hh_emih!N10/SER_summary!N$26)</f>
        <v>0</v>
      </c>
      <c r="O10" s="132">
        <f>IF(SER_hh_emih!O10=0,0,SER_hh_emih!O10/SER_summary!O$26)</f>
        <v>0</v>
      </c>
      <c r="P10" s="132">
        <f>IF(SER_hh_emih!P10=0,0,SER_hh_emih!P10/SER_summary!P$26)</f>
        <v>0</v>
      </c>
      <c r="Q10" s="132">
        <f>IF(SER_hh_emih!Q10=0,0,SER_hh_emih!Q10/SER_summary!Q$26)</f>
        <v>9.7023958672959723E-2</v>
      </c>
      <c r="R10" s="132">
        <f>IF(SER_hh_emih!R10=0,0,SER_hh_emih!R10/SER_summary!R$26)</f>
        <v>0.21831713234198125</v>
      </c>
      <c r="S10" s="132">
        <f>IF(SER_hh_emih!S10=0,0,SER_hh_emih!S10/SER_summary!S$26)</f>
        <v>0.27618808700602038</v>
      </c>
      <c r="T10" s="132">
        <f>IF(SER_hh_emih!T10=0,0,SER_hh_emih!T10/SER_summary!T$26)</f>
        <v>0.18311043002807401</v>
      </c>
      <c r="U10" s="132">
        <f>IF(SER_hh_emih!U10=0,0,SER_hh_emih!U10/SER_summary!U$26)</f>
        <v>0.22154920844342557</v>
      </c>
      <c r="V10" s="132">
        <f>IF(SER_hh_emih!V10=0,0,SER_hh_emih!V10/SER_summary!V$26)</f>
        <v>0.2230697396086182</v>
      </c>
      <c r="W10" s="132">
        <f>IF(SER_hh_emih!W10=0,0,SER_hh_emih!W10/SER_summary!W$26)</f>
        <v>0.28538454127917784</v>
      </c>
      <c r="X10" s="132">
        <f>IF(SER_hh_emih!X10=0,0,SER_hh_emih!X10/SER_summary!X$26)</f>
        <v>0.36664540744652957</v>
      </c>
      <c r="Y10" s="132">
        <f>IF(SER_hh_emih!Y10=0,0,SER_hh_emih!Y10/SER_summary!Y$26)</f>
        <v>0.31564064866552632</v>
      </c>
      <c r="DA10" s="156" t="s">
        <v>546</v>
      </c>
    </row>
    <row r="11" spans="1:105" ht="12" customHeight="1" x14ac:dyDescent="0.25">
      <c r="A11" s="131" t="s">
        <v>25</v>
      </c>
      <c r="B11" s="132">
        <f>IF(SER_hh_emih!B11=0,0,SER_hh_emih!B11/SER_summary!B$26)</f>
        <v>0</v>
      </c>
      <c r="C11" s="132">
        <f>IF(SER_hh_emih!C11=0,0,SER_hh_emih!C11/SER_summary!C$26)</f>
        <v>0</v>
      </c>
      <c r="D11" s="132">
        <f>IF(SER_hh_emih!D11=0,0,SER_hh_emih!D11/SER_summary!D$26)</f>
        <v>0</v>
      </c>
      <c r="E11" s="132">
        <f>IF(SER_hh_emih!E11=0,0,SER_hh_emih!E11/SER_summary!E$26)</f>
        <v>0</v>
      </c>
      <c r="F11" s="132">
        <f>IF(SER_hh_emih!F11=0,0,SER_hh_emih!F11/SER_summary!F$26)</f>
        <v>0</v>
      </c>
      <c r="G11" s="132">
        <f>IF(SER_hh_emih!G11=0,0,SER_hh_emih!G11/SER_summary!G$26)</f>
        <v>0</v>
      </c>
      <c r="H11" s="132">
        <f>IF(SER_hh_emih!H11=0,0,SER_hh_emih!H11/SER_summary!H$26)</f>
        <v>0</v>
      </c>
      <c r="I11" s="132">
        <f>IF(SER_hh_emih!I11=0,0,SER_hh_emih!I11/SER_summary!I$26)</f>
        <v>0</v>
      </c>
      <c r="J11" s="132">
        <f>IF(SER_hh_emih!J11=0,0,SER_hh_emih!J11/SER_summary!J$26)</f>
        <v>0</v>
      </c>
      <c r="K11" s="132">
        <f>IF(SER_hh_emih!K11=0,0,SER_hh_emih!K11/SER_summary!K$26)</f>
        <v>0</v>
      </c>
      <c r="L11" s="132">
        <f>IF(SER_hh_emih!L11=0,0,SER_hh_emih!L11/SER_summary!L$26)</f>
        <v>0</v>
      </c>
      <c r="M11" s="132">
        <f>IF(SER_hh_emih!M11=0,0,SER_hh_emih!M11/SER_summary!M$26)</f>
        <v>0</v>
      </c>
      <c r="N11" s="132">
        <f>IF(SER_hh_emih!N11=0,0,SER_hh_emih!N11/SER_summary!N$26)</f>
        <v>0</v>
      </c>
      <c r="O11" s="132">
        <f>IF(SER_hh_emih!O11=0,0,SER_hh_emih!O11/SER_summary!O$26)</f>
        <v>0</v>
      </c>
      <c r="P11" s="132">
        <f>IF(SER_hh_emih!P11=0,0,SER_hh_emih!P11/SER_summary!P$26)</f>
        <v>0</v>
      </c>
      <c r="Q11" s="132">
        <f>IF(SER_hh_emih!Q11=0,0,SER_hh_emih!Q11/SER_summary!Q$26)</f>
        <v>0</v>
      </c>
      <c r="R11" s="132">
        <f>IF(SER_hh_emih!R11=0,0,SER_hh_emih!R11/SER_summary!R$26)</f>
        <v>0</v>
      </c>
      <c r="S11" s="132">
        <f>IF(SER_hh_emih!S11=0,0,SER_hh_emih!S11/SER_summary!S$26)</f>
        <v>0</v>
      </c>
      <c r="T11" s="132">
        <f>IF(SER_hh_emih!T11=0,0,SER_hh_emih!T11/SER_summary!T$26)</f>
        <v>0</v>
      </c>
      <c r="U11" s="132">
        <f>IF(SER_hh_emih!U11=0,0,SER_hh_emih!U11/SER_summary!U$26)</f>
        <v>0</v>
      </c>
      <c r="V11" s="132">
        <f>IF(SER_hh_emih!V11=0,0,SER_hh_emih!V11/SER_summary!V$26)</f>
        <v>0</v>
      </c>
      <c r="W11" s="132">
        <f>IF(SER_hh_emih!W11=0,0,SER_hh_emih!W11/SER_summary!W$26)</f>
        <v>0</v>
      </c>
      <c r="X11" s="132">
        <f>IF(SER_hh_emih!X11=0,0,SER_hh_emih!X11/SER_summary!X$26)</f>
        <v>0</v>
      </c>
      <c r="Y11" s="132">
        <f>IF(SER_hh_emih!Y11=0,0,SER_hh_emih!Y11/SER_summary!Y$26)</f>
        <v>0</v>
      </c>
      <c r="DA11" s="156" t="s">
        <v>547</v>
      </c>
    </row>
    <row r="12" spans="1:105" ht="12" customHeight="1" x14ac:dyDescent="0.25">
      <c r="A12" s="131" t="s">
        <v>162</v>
      </c>
      <c r="B12" s="132">
        <f>IF(SER_hh_emih!B12=0,0,SER_hh_emih!B12/SER_summary!B$26)</f>
        <v>0</v>
      </c>
      <c r="C12" s="132">
        <f>IF(SER_hh_emih!C12=0,0,SER_hh_emih!C12/SER_summary!C$26)</f>
        <v>0</v>
      </c>
      <c r="D12" s="132">
        <f>IF(SER_hh_emih!D12=0,0,SER_hh_emih!D12/SER_summary!D$26)</f>
        <v>0</v>
      </c>
      <c r="E12" s="132">
        <f>IF(SER_hh_emih!E12=0,0,SER_hh_emih!E12/SER_summary!E$26)</f>
        <v>0</v>
      </c>
      <c r="F12" s="132">
        <f>IF(SER_hh_emih!F12=0,0,SER_hh_emih!F12/SER_summary!F$26)</f>
        <v>0</v>
      </c>
      <c r="G12" s="132">
        <f>IF(SER_hh_emih!G12=0,0,SER_hh_emih!G12/SER_summary!G$26)</f>
        <v>0</v>
      </c>
      <c r="H12" s="132">
        <f>IF(SER_hh_emih!H12=0,0,SER_hh_emih!H12/SER_summary!H$26)</f>
        <v>0</v>
      </c>
      <c r="I12" s="132">
        <f>IF(SER_hh_emih!I12=0,0,SER_hh_emih!I12/SER_summary!I$26)</f>
        <v>0</v>
      </c>
      <c r="J12" s="132">
        <f>IF(SER_hh_emih!J12=0,0,SER_hh_emih!J12/SER_summary!J$26)</f>
        <v>0</v>
      </c>
      <c r="K12" s="132">
        <f>IF(SER_hh_emih!K12=0,0,SER_hh_emih!K12/SER_summary!K$26)</f>
        <v>0</v>
      </c>
      <c r="L12" s="132">
        <f>IF(SER_hh_emih!L12=0,0,SER_hh_emih!L12/SER_summary!L$26)</f>
        <v>0</v>
      </c>
      <c r="M12" s="132">
        <f>IF(SER_hh_emih!M12=0,0,SER_hh_emih!M12/SER_summary!M$26)</f>
        <v>0</v>
      </c>
      <c r="N12" s="132">
        <f>IF(SER_hh_emih!N12=0,0,SER_hh_emih!N12/SER_summary!N$26)</f>
        <v>0</v>
      </c>
      <c r="O12" s="132">
        <f>IF(SER_hh_emih!O12=0,0,SER_hh_emih!O12/SER_summary!O$26)</f>
        <v>0</v>
      </c>
      <c r="P12" s="132">
        <f>IF(SER_hh_emih!P12=0,0,SER_hh_emih!P12/SER_summary!P$26)</f>
        <v>0</v>
      </c>
      <c r="Q12" s="132">
        <f>IF(SER_hh_emih!Q12=0,0,SER_hh_emih!Q12/SER_summary!Q$26)</f>
        <v>0</v>
      </c>
      <c r="R12" s="132">
        <f>IF(SER_hh_emih!R12=0,0,SER_hh_emih!R12/SER_summary!R$26)</f>
        <v>0</v>
      </c>
      <c r="S12" s="132">
        <f>IF(SER_hh_emih!S12=0,0,SER_hh_emih!S12/SER_summary!S$26)</f>
        <v>0</v>
      </c>
      <c r="T12" s="132">
        <f>IF(SER_hh_emih!T12=0,0,SER_hh_emih!T12/SER_summary!T$26)</f>
        <v>0</v>
      </c>
      <c r="U12" s="132">
        <f>IF(SER_hh_emih!U12=0,0,SER_hh_emih!U12/SER_summary!U$26)</f>
        <v>0</v>
      </c>
      <c r="V12" s="132">
        <f>IF(SER_hh_emih!V12=0,0,SER_hh_emih!V12/SER_summary!V$26)</f>
        <v>0</v>
      </c>
      <c r="W12" s="132">
        <f>IF(SER_hh_emih!W12=0,0,SER_hh_emih!W12/SER_summary!W$26)</f>
        <v>0</v>
      </c>
      <c r="X12" s="132">
        <f>IF(SER_hh_emih!X12=0,0,SER_hh_emih!X12/SER_summary!X$26)</f>
        <v>0</v>
      </c>
      <c r="Y12" s="132">
        <f>IF(SER_hh_emih!Y12=0,0,SER_hh_emih!Y12/SER_summary!Y$26)</f>
        <v>0</v>
      </c>
      <c r="DA12" s="156" t="s">
        <v>548</v>
      </c>
    </row>
    <row r="13" spans="1:105" ht="12" customHeight="1" x14ac:dyDescent="0.25">
      <c r="A13" s="131" t="s">
        <v>77</v>
      </c>
      <c r="B13" s="132">
        <f>IF(SER_hh_emih!B13=0,0,SER_hh_emih!B13/SER_summary!B$26)</f>
        <v>0</v>
      </c>
      <c r="C13" s="132">
        <f>IF(SER_hh_emih!C13=0,0,SER_hh_emih!C13/SER_summary!C$26)</f>
        <v>0</v>
      </c>
      <c r="D13" s="132">
        <f>IF(SER_hh_emih!D13=0,0,SER_hh_emih!D13/SER_summary!D$26)</f>
        <v>0</v>
      </c>
      <c r="E13" s="132">
        <f>IF(SER_hh_emih!E13=0,0,SER_hh_emih!E13/SER_summary!E$26)</f>
        <v>0</v>
      </c>
      <c r="F13" s="132">
        <f>IF(SER_hh_emih!F13=0,0,SER_hh_emih!F13/SER_summary!F$26)</f>
        <v>0</v>
      </c>
      <c r="G13" s="132">
        <f>IF(SER_hh_emih!G13=0,0,SER_hh_emih!G13/SER_summary!G$26)</f>
        <v>0</v>
      </c>
      <c r="H13" s="132">
        <f>IF(SER_hh_emih!H13=0,0,SER_hh_emih!H13/SER_summary!H$26)</f>
        <v>0</v>
      </c>
      <c r="I13" s="132">
        <f>IF(SER_hh_emih!I13=0,0,SER_hh_emih!I13/SER_summary!I$26)</f>
        <v>0</v>
      </c>
      <c r="J13" s="132">
        <f>IF(SER_hh_emih!J13=0,0,SER_hh_emih!J13/SER_summary!J$26)</f>
        <v>0</v>
      </c>
      <c r="K13" s="132">
        <f>IF(SER_hh_emih!K13=0,0,SER_hh_emih!K13/SER_summary!K$26)</f>
        <v>0</v>
      </c>
      <c r="L13" s="132">
        <f>IF(SER_hh_emih!L13=0,0,SER_hh_emih!L13/SER_summary!L$26)</f>
        <v>0</v>
      </c>
      <c r="M13" s="132">
        <f>IF(SER_hh_emih!M13=0,0,SER_hh_emih!M13/SER_summary!M$26)</f>
        <v>0</v>
      </c>
      <c r="N13" s="132">
        <f>IF(SER_hh_emih!N13=0,0,SER_hh_emih!N13/SER_summary!N$26)</f>
        <v>0</v>
      </c>
      <c r="O13" s="132">
        <f>IF(SER_hh_emih!O13=0,0,SER_hh_emih!O13/SER_summary!O$26)</f>
        <v>0</v>
      </c>
      <c r="P13" s="132">
        <f>IF(SER_hh_emih!P13=0,0,SER_hh_emih!P13/SER_summary!P$26)</f>
        <v>0</v>
      </c>
      <c r="Q13" s="132">
        <f>IF(SER_hh_emih!Q13=0,0,SER_hh_emih!Q13/SER_summary!Q$26)</f>
        <v>0</v>
      </c>
      <c r="R13" s="132">
        <f>IF(SER_hh_emih!R13=0,0,SER_hh_emih!R13/SER_summary!R$26)</f>
        <v>0</v>
      </c>
      <c r="S13" s="132">
        <f>IF(SER_hh_emih!S13=0,0,SER_hh_emih!S13/SER_summary!S$26)</f>
        <v>0</v>
      </c>
      <c r="T13" s="132">
        <f>IF(SER_hh_emih!T13=0,0,SER_hh_emih!T13/SER_summary!T$26)</f>
        <v>0</v>
      </c>
      <c r="U13" s="132">
        <f>IF(SER_hh_emih!U13=0,0,SER_hh_emih!U13/SER_summary!U$26)</f>
        <v>0</v>
      </c>
      <c r="V13" s="132">
        <f>IF(SER_hh_emih!V13=0,0,SER_hh_emih!V13/SER_summary!V$26)</f>
        <v>0</v>
      </c>
      <c r="W13" s="132">
        <f>IF(SER_hh_emih!W13=0,0,SER_hh_emih!W13/SER_summary!W$26)</f>
        <v>0</v>
      </c>
      <c r="X13" s="132">
        <f>IF(SER_hh_emih!X13=0,0,SER_hh_emih!X13/SER_summary!X$26)</f>
        <v>0</v>
      </c>
      <c r="Y13" s="132">
        <f>IF(SER_hh_emih!Y13=0,0,SER_hh_emih!Y13/SER_summary!Y$26)</f>
        <v>0</v>
      </c>
      <c r="DA13" s="156" t="s">
        <v>549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X14" s="65">
        <f>IF(SER_hh_emih!X14=0,0,SER_hh_emih!X14/SER_summary!X$26)</f>
        <v>0</v>
      </c>
      <c r="Y14" s="65">
        <f>IF(SER_hh_emih!Y14=0,0,SER_hh_emih!Y14/SER_summary!Y$26)</f>
        <v>0</v>
      </c>
      <c r="DA14" s="109" t="s">
        <v>550</v>
      </c>
    </row>
    <row r="15" spans="1:105" ht="12" customHeight="1" x14ac:dyDescent="0.25">
      <c r="A15" s="133" t="s">
        <v>80</v>
      </c>
      <c r="B15" s="134">
        <f>IF(SER_hh_emih!B15=0,0,SER_hh_emih!B15/SER_summary!B$26)</f>
        <v>0</v>
      </c>
      <c r="C15" s="134">
        <f>IF(SER_hh_emih!C15=0,0,SER_hh_emih!C15/SER_summary!C$26)</f>
        <v>0</v>
      </c>
      <c r="D15" s="134">
        <f>IF(SER_hh_emih!D15=0,0,SER_hh_emih!D15/SER_summary!D$26)</f>
        <v>0</v>
      </c>
      <c r="E15" s="134">
        <f>IF(SER_hh_emih!E15=0,0,SER_hh_emih!E15/SER_summary!E$26)</f>
        <v>0</v>
      </c>
      <c r="F15" s="134">
        <f>IF(SER_hh_emih!F15=0,0,SER_hh_emih!F15/SER_summary!F$26)</f>
        <v>0</v>
      </c>
      <c r="G15" s="134">
        <f>IF(SER_hh_emih!G15=0,0,SER_hh_emih!G15/SER_summary!G$26)</f>
        <v>0</v>
      </c>
      <c r="H15" s="134">
        <f>IF(SER_hh_emih!H15=0,0,SER_hh_emih!H15/SER_summary!H$26)</f>
        <v>0</v>
      </c>
      <c r="I15" s="134">
        <f>IF(SER_hh_emih!I15=0,0,SER_hh_emih!I15/SER_summary!I$26)</f>
        <v>0</v>
      </c>
      <c r="J15" s="134">
        <f>IF(SER_hh_emih!J15=0,0,SER_hh_emih!J15/SER_summary!J$26)</f>
        <v>0</v>
      </c>
      <c r="K15" s="134">
        <f>IF(SER_hh_emih!K15=0,0,SER_hh_emih!K15/SER_summary!K$26)</f>
        <v>0</v>
      </c>
      <c r="L15" s="134">
        <f>IF(SER_hh_emih!L15=0,0,SER_hh_emih!L15/SER_summary!L$26)</f>
        <v>0</v>
      </c>
      <c r="M15" s="134">
        <f>IF(SER_hh_emih!M15=0,0,SER_hh_emih!M15/SER_summary!M$26)</f>
        <v>0</v>
      </c>
      <c r="N15" s="134">
        <f>IF(SER_hh_emih!N15=0,0,SER_hh_emih!N15/SER_summary!N$26)</f>
        <v>0</v>
      </c>
      <c r="O15" s="134">
        <f>IF(SER_hh_emih!O15=0,0,SER_hh_emih!O15/SER_summary!O$26)</f>
        <v>0</v>
      </c>
      <c r="P15" s="134">
        <f>IF(SER_hh_emih!P15=0,0,SER_hh_emih!P15/SER_summary!P$26)</f>
        <v>0</v>
      </c>
      <c r="Q15" s="134">
        <f>IF(SER_hh_emih!Q15=0,0,SER_hh_emih!Q15/SER_summary!Q$26)</f>
        <v>0</v>
      </c>
      <c r="R15" s="134">
        <f>IF(SER_hh_emih!R15=0,0,SER_hh_emih!R15/SER_summary!R$26)</f>
        <v>0</v>
      </c>
      <c r="S15" s="134">
        <f>IF(SER_hh_emih!S15=0,0,SER_hh_emih!S15/SER_summary!S$26)</f>
        <v>0</v>
      </c>
      <c r="T15" s="134">
        <f>IF(SER_hh_emih!T15=0,0,SER_hh_emih!T15/SER_summary!T$26)</f>
        <v>0</v>
      </c>
      <c r="U15" s="134">
        <f>IF(SER_hh_emih!U15=0,0,SER_hh_emih!U15/SER_summary!U$26)</f>
        <v>0</v>
      </c>
      <c r="V15" s="134">
        <f>IF(SER_hh_emih!V15=0,0,SER_hh_emih!V15/SER_summary!V$26)</f>
        <v>0</v>
      </c>
      <c r="W15" s="134">
        <f>IF(SER_hh_emih!W15=0,0,SER_hh_emih!W15/SER_summary!W$26)</f>
        <v>0</v>
      </c>
      <c r="X15" s="134">
        <f>IF(SER_hh_emih!X15=0,0,SER_hh_emih!X15/SER_summary!X$26)</f>
        <v>0</v>
      </c>
      <c r="Y15" s="134">
        <f>IF(SER_hh_emih!Y15=0,0,SER_hh_emih!Y15/SER_summary!Y$26)</f>
        <v>0</v>
      </c>
      <c r="DA15" s="157" t="s">
        <v>551</v>
      </c>
    </row>
    <row r="16" spans="1:105" ht="12.95" customHeight="1" x14ac:dyDescent="0.25">
      <c r="A16" s="129" t="s">
        <v>74</v>
      </c>
      <c r="B16" s="130">
        <f>IF(SER_hh_emih!B16=0,0,SER_hh_emih!B16/SER_summary!B$26)</f>
        <v>2.3814196694287425E-3</v>
      </c>
      <c r="C16" s="130">
        <f>IF(SER_hh_emih!C16=0,0,SER_hh_emih!C16/SER_summary!C$26)</f>
        <v>2.4873264077961525E-3</v>
      </c>
      <c r="D16" s="130">
        <f>IF(SER_hh_emih!D16=0,0,SER_hh_emih!D16/SER_summary!D$26)</f>
        <v>1.9537931778441419E-3</v>
      </c>
      <c r="E16" s="130">
        <f>IF(SER_hh_emih!E16=0,0,SER_hh_emih!E16/SER_summary!E$26)</f>
        <v>3.2659846912003621E-3</v>
      </c>
      <c r="F16" s="130">
        <f>IF(SER_hh_emih!F16=0,0,SER_hh_emih!F16/SER_summary!F$26)</f>
        <v>3.0602852563963567E-3</v>
      </c>
      <c r="G16" s="130">
        <f>IF(SER_hh_emih!G16=0,0,SER_hh_emih!G16/SER_summary!G$26)</f>
        <v>3.4018988938586559E-3</v>
      </c>
      <c r="H16" s="130">
        <f>IF(SER_hh_emih!H16=0,0,SER_hh_emih!H16/SER_summary!H$26)</f>
        <v>3.7790090562336929E-3</v>
      </c>
      <c r="I16" s="130">
        <f>IF(SER_hh_emih!I16=0,0,SER_hh_emih!I16/SER_summary!I$26)</f>
        <v>3.1917489679425745E-3</v>
      </c>
      <c r="J16" s="130">
        <f>IF(SER_hh_emih!J16=0,0,SER_hh_emih!J16/SER_summary!J$26)</f>
        <v>3.8698864243440971E-3</v>
      </c>
      <c r="K16" s="130">
        <f>IF(SER_hh_emih!K16=0,0,SER_hh_emih!K16/SER_summary!K$26)</f>
        <v>5.3213366205669089E-3</v>
      </c>
      <c r="L16" s="130">
        <f>IF(SER_hh_emih!L16=0,0,SER_hh_emih!L16/SER_summary!L$26)</f>
        <v>5.6031470992813992E-3</v>
      </c>
      <c r="M16" s="130">
        <f>IF(SER_hh_emih!M16=0,0,SER_hh_emih!M16/SER_summary!M$26)</f>
        <v>5.7033481441875044E-3</v>
      </c>
      <c r="N16" s="130">
        <f>IF(SER_hh_emih!N16=0,0,SER_hh_emih!N16/SER_summary!N$26)</f>
        <v>7.5085507707479049E-3</v>
      </c>
      <c r="O16" s="130">
        <f>IF(SER_hh_emih!O16=0,0,SER_hh_emih!O16/SER_summary!O$26)</f>
        <v>7.3642385936026093E-3</v>
      </c>
      <c r="P16" s="130">
        <f>IF(SER_hh_emih!P16=0,0,SER_hh_emih!P16/SER_summary!P$26)</f>
        <v>7.6918014157984493E-3</v>
      </c>
      <c r="Q16" s="130">
        <f>IF(SER_hh_emih!Q16=0,0,SER_hh_emih!Q16/SER_summary!Q$26)</f>
        <v>1.3342070301857913E-2</v>
      </c>
      <c r="R16" s="130">
        <f>IF(SER_hh_emih!R16=0,0,SER_hh_emih!R16/SER_summary!R$26)</f>
        <v>1.4827872895719883E-2</v>
      </c>
      <c r="S16" s="130">
        <f>IF(SER_hh_emih!S16=0,0,SER_hh_emih!S16/SER_summary!S$26)</f>
        <v>1.8617478074066645E-2</v>
      </c>
      <c r="T16" s="130">
        <f>IF(SER_hh_emih!T16=0,0,SER_hh_emih!T16/SER_summary!T$26)</f>
        <v>1.559824158708115E-2</v>
      </c>
      <c r="U16" s="130">
        <f>IF(SER_hh_emih!U16=0,0,SER_hh_emih!U16/SER_summary!U$26)</f>
        <v>1.7031309977203521E-2</v>
      </c>
      <c r="V16" s="130">
        <f>IF(SER_hh_emih!V16=0,0,SER_hh_emih!V16/SER_summary!V$26)</f>
        <v>1.8147409771320098E-2</v>
      </c>
      <c r="W16" s="130">
        <f>IF(SER_hh_emih!W16=0,0,SER_hh_emih!W16/SER_summary!W$26)</f>
        <v>1.6390449918908648E-2</v>
      </c>
      <c r="X16" s="130">
        <f>IF(SER_hh_emih!X16=0,0,SER_hh_emih!X16/SER_summary!X$26)</f>
        <v>2.5382158740217736E-2</v>
      </c>
      <c r="Y16" s="130">
        <f>IF(SER_hh_emih!Y16=0,0,SER_hh_emih!Y16/SER_summary!Y$26)</f>
        <v>2.3111626804096955E-2</v>
      </c>
      <c r="DA16" s="155" t="s">
        <v>552</v>
      </c>
    </row>
    <row r="17" spans="1:105" ht="12.95" customHeight="1" x14ac:dyDescent="0.25">
      <c r="A17" s="131" t="s">
        <v>73</v>
      </c>
      <c r="B17" s="132">
        <f>IF(SER_hh_emih!B17=0,0,SER_hh_emih!B17/SER_summary!B$26)</f>
        <v>3.1689931817418455</v>
      </c>
      <c r="C17" s="132">
        <f>IF(SER_hh_emih!C17=0,0,SER_hh_emih!C17/SER_summary!C$26)</f>
        <v>3.3354618602839317</v>
      </c>
      <c r="D17" s="132">
        <f>IF(SER_hh_emih!D17=0,0,SER_hh_emih!D17/SER_summary!D$26)</f>
        <v>2.9140519541639223</v>
      </c>
      <c r="E17" s="132">
        <f>IF(SER_hh_emih!E17=0,0,SER_hh_emih!E17/SER_summary!E$26)</f>
        <v>4.1207179217790424</v>
      </c>
      <c r="F17" s="132">
        <f>IF(SER_hh_emih!F17=0,0,SER_hh_emih!F17/SER_summary!F$26)</f>
        <v>3.1487230578454013</v>
      </c>
      <c r="G17" s="132">
        <f>IF(SER_hh_emih!G17=0,0,SER_hh_emih!G17/SER_summary!G$26)</f>
        <v>3.3121931975725158</v>
      </c>
      <c r="H17" s="132">
        <f>IF(SER_hh_emih!H17=0,0,SER_hh_emih!H17/SER_summary!H$26)</f>
        <v>3.2572616508572647</v>
      </c>
      <c r="I17" s="132">
        <f>IF(SER_hh_emih!I17=0,0,SER_hh_emih!I17/SER_summary!I$26)</f>
        <v>2.6781756382261417</v>
      </c>
      <c r="J17" s="132">
        <f>IF(SER_hh_emih!J17=0,0,SER_hh_emih!J17/SER_summary!J$26)</f>
        <v>2.8444766234092143</v>
      </c>
      <c r="K17" s="132">
        <f>IF(SER_hh_emih!K17=0,0,SER_hh_emih!K17/SER_summary!K$26)</f>
        <v>3.6543856264630792</v>
      </c>
      <c r="L17" s="132">
        <f>IF(SER_hh_emih!L17=0,0,SER_hh_emih!L17/SER_summary!L$26)</f>
        <v>3.4177458717505318</v>
      </c>
      <c r="M17" s="132">
        <f>IF(SER_hh_emih!M17=0,0,SER_hh_emih!M17/SER_summary!M$26)</f>
        <v>3.0296195785374298</v>
      </c>
      <c r="N17" s="132">
        <f>IF(SER_hh_emih!N17=0,0,SER_hh_emih!N17/SER_summary!N$26)</f>
        <v>3.6141834310609777</v>
      </c>
      <c r="O17" s="132">
        <f>IF(SER_hh_emih!O17=0,0,SER_hh_emih!O17/SER_summary!O$26)</f>
        <v>2.8415472430130468</v>
      </c>
      <c r="P17" s="132">
        <f>IF(SER_hh_emih!P17=0,0,SER_hh_emih!P17/SER_summary!P$26)</f>
        <v>2.6273875193562906</v>
      </c>
      <c r="Q17" s="132">
        <f>IF(SER_hh_emih!Q17=0,0,SER_hh_emih!Q17/SER_summary!Q$26)</f>
        <v>3.8955625140733159</v>
      </c>
      <c r="R17" s="132">
        <f>IF(SER_hh_emih!R17=0,0,SER_hh_emih!R17/SER_summary!R$26)</f>
        <v>3.7010030322581655</v>
      </c>
      <c r="S17" s="132">
        <f>IF(SER_hh_emih!S17=0,0,SER_hh_emih!S17/SER_summary!S$26)</f>
        <v>4.2826615368800711</v>
      </c>
      <c r="T17" s="132">
        <f>IF(SER_hh_emih!T17=0,0,SER_hh_emih!T17/SER_summary!T$26)</f>
        <v>3.0273410544936699</v>
      </c>
      <c r="U17" s="132">
        <f>IF(SER_hh_emih!U17=0,0,SER_hh_emih!U17/SER_summary!U$26)</f>
        <v>3.1280315567466443</v>
      </c>
      <c r="V17" s="132">
        <f>IF(SER_hh_emih!V17=0,0,SER_hh_emih!V17/SER_summary!V$26)</f>
        <v>3.1773441957314184</v>
      </c>
      <c r="W17" s="132">
        <f>IF(SER_hh_emih!W17=0,0,SER_hh_emih!W17/SER_summary!W$26)</f>
        <v>2.7987516015812344</v>
      </c>
      <c r="X17" s="132">
        <f>IF(SER_hh_emih!X17=0,0,SER_hh_emih!X17/SER_summary!X$26)</f>
        <v>4.334645347138566</v>
      </c>
      <c r="Y17" s="132">
        <f>IF(SER_hh_emih!Y17=0,0,SER_hh_emih!Y17/SER_summary!Y$26)</f>
        <v>3.9415337148582705</v>
      </c>
      <c r="DA17" s="156" t="s">
        <v>553</v>
      </c>
    </row>
    <row r="18" spans="1:105" ht="12" customHeight="1" x14ac:dyDescent="0.25">
      <c r="A18" s="131" t="s">
        <v>72</v>
      </c>
      <c r="B18" s="132">
        <f>IF(SER_hh_emih!B18=0,0,SER_hh_emih!B18/SER_summary!B$26)</f>
        <v>0</v>
      </c>
      <c r="C18" s="132">
        <f>IF(SER_hh_emih!C18=0,0,SER_hh_emih!C18/SER_summary!C$26)</f>
        <v>0</v>
      </c>
      <c r="D18" s="132">
        <f>IF(SER_hh_emih!D18=0,0,SER_hh_emih!D18/SER_summary!D$26)</f>
        <v>0</v>
      </c>
      <c r="E18" s="132">
        <f>IF(SER_hh_emih!E18=0,0,SER_hh_emih!E18/SER_summary!E$26)</f>
        <v>0</v>
      </c>
      <c r="F18" s="132">
        <f>IF(SER_hh_emih!F18=0,0,SER_hh_emih!F18/SER_summary!F$26)</f>
        <v>0</v>
      </c>
      <c r="G18" s="132">
        <f>IF(SER_hh_emih!G18=0,0,SER_hh_emih!G18/SER_summary!G$26)</f>
        <v>0</v>
      </c>
      <c r="H18" s="132">
        <f>IF(SER_hh_emih!H18=0,0,SER_hh_emih!H18/SER_summary!H$26)</f>
        <v>0</v>
      </c>
      <c r="I18" s="132">
        <f>IF(SER_hh_emih!I18=0,0,SER_hh_emih!I18/SER_summary!I$26)</f>
        <v>0</v>
      </c>
      <c r="J18" s="132">
        <f>IF(SER_hh_emih!J18=0,0,SER_hh_emih!J18/SER_summary!J$26)</f>
        <v>0</v>
      </c>
      <c r="K18" s="132">
        <f>IF(SER_hh_emih!K18=0,0,SER_hh_emih!K18/SER_summary!K$26)</f>
        <v>0</v>
      </c>
      <c r="L18" s="132">
        <f>IF(SER_hh_emih!L18=0,0,SER_hh_emih!L18/SER_summary!L$26)</f>
        <v>0</v>
      </c>
      <c r="M18" s="132">
        <f>IF(SER_hh_emih!M18=0,0,SER_hh_emih!M18/SER_summary!M$26)</f>
        <v>0</v>
      </c>
      <c r="N18" s="132">
        <f>IF(SER_hh_emih!N18=0,0,SER_hh_emih!N18/SER_summary!N$26)</f>
        <v>0</v>
      </c>
      <c r="O18" s="132">
        <f>IF(SER_hh_emih!O18=0,0,SER_hh_emih!O18/SER_summary!O$26)</f>
        <v>0</v>
      </c>
      <c r="P18" s="132">
        <f>IF(SER_hh_emih!P18=0,0,SER_hh_emih!P18/SER_summary!P$26)</f>
        <v>0</v>
      </c>
      <c r="Q18" s="132">
        <f>IF(SER_hh_emih!Q18=0,0,SER_hh_emih!Q18/SER_summary!Q$26)</f>
        <v>0</v>
      </c>
      <c r="R18" s="132">
        <f>IF(SER_hh_emih!R18=0,0,SER_hh_emih!R18/SER_summary!R$26)</f>
        <v>0</v>
      </c>
      <c r="S18" s="132">
        <f>IF(SER_hh_emih!S18=0,0,SER_hh_emih!S18/SER_summary!S$26)</f>
        <v>0</v>
      </c>
      <c r="T18" s="132">
        <f>IF(SER_hh_emih!T18=0,0,SER_hh_emih!T18/SER_summary!T$26)</f>
        <v>0</v>
      </c>
      <c r="U18" s="132">
        <f>IF(SER_hh_emih!U18=0,0,SER_hh_emih!U18/SER_summary!U$26)</f>
        <v>0</v>
      </c>
      <c r="V18" s="132">
        <f>IF(SER_hh_emih!V18=0,0,SER_hh_emih!V18/SER_summary!V$26)</f>
        <v>0</v>
      </c>
      <c r="W18" s="132">
        <f>IF(SER_hh_emih!W18=0,0,SER_hh_emih!W18/SER_summary!W$26)</f>
        <v>0</v>
      </c>
      <c r="X18" s="132">
        <f>IF(SER_hh_emih!X18=0,0,SER_hh_emih!X18/SER_summary!X$26)</f>
        <v>0</v>
      </c>
      <c r="Y18" s="132">
        <f>IF(SER_hh_emih!Y18=0,0,SER_hh_emih!Y18/SER_summary!Y$26)</f>
        <v>0</v>
      </c>
      <c r="DA18" s="156" t="s">
        <v>554</v>
      </c>
    </row>
    <row r="19" spans="1:105" ht="12.95" customHeight="1" x14ac:dyDescent="0.25">
      <c r="A19" s="129" t="s">
        <v>35</v>
      </c>
      <c r="B19" s="130">
        <f>IF(SER_hh_emih!B19=0,0,SER_hh_emih!B19/SER_summary!B$26)</f>
        <v>0.8559657212275612</v>
      </c>
      <c r="C19" s="130">
        <f>IF(SER_hh_emih!C19=0,0,SER_hh_emih!C19/SER_summary!C$26)</f>
        <v>0.83819011276376842</v>
      </c>
      <c r="D19" s="130">
        <f>IF(SER_hh_emih!D19=0,0,SER_hh_emih!D19/SER_summary!D$26)</f>
        <v>0.79997538190532791</v>
      </c>
      <c r="E19" s="130">
        <f>IF(SER_hh_emih!E19=0,0,SER_hh_emih!E19/SER_summary!E$26)</f>
        <v>0.70635164226065916</v>
      </c>
      <c r="F19" s="130">
        <f>IF(SER_hh_emih!F19=0,0,SER_hh_emih!F19/SER_summary!F$26)</f>
        <v>0.72772712965906294</v>
      </c>
      <c r="G19" s="130">
        <f>IF(SER_hh_emih!G19=0,0,SER_hh_emih!G19/SER_summary!G$26)</f>
        <v>0.72997602272976181</v>
      </c>
      <c r="H19" s="130">
        <f>IF(SER_hh_emih!H19=0,0,SER_hh_emih!H19/SER_summary!H$26)</f>
        <v>0.86037585162647956</v>
      </c>
      <c r="I19" s="130">
        <f>IF(SER_hh_emih!I19=0,0,SER_hh_emih!I19/SER_summary!I$26)</f>
        <v>0.80826750013025206</v>
      </c>
      <c r="J19" s="130">
        <f>IF(SER_hh_emih!J19=0,0,SER_hh_emih!J19/SER_summary!J$26)</f>
        <v>0.77531716090250291</v>
      </c>
      <c r="K19" s="130">
        <f>IF(SER_hh_emih!K19=0,0,SER_hh_emih!K19/SER_summary!K$26)</f>
        <v>0.7806446729910933</v>
      </c>
      <c r="L19" s="130">
        <f>IF(SER_hh_emih!L19=0,0,SER_hh_emih!L19/SER_summary!L$26)</f>
        <v>0.77041900080923698</v>
      </c>
      <c r="M19" s="130">
        <f>IF(SER_hh_emih!M19=0,0,SER_hh_emih!M19/SER_summary!M$26)</f>
        <v>0.77282782720106669</v>
      </c>
      <c r="N19" s="130">
        <f>IF(SER_hh_emih!N19=0,0,SER_hh_emih!N19/SER_summary!N$26)</f>
        <v>0.80939948448035004</v>
      </c>
      <c r="O19" s="130">
        <f>IF(SER_hh_emih!O19=0,0,SER_hh_emih!O19/SER_summary!O$26)</f>
        <v>0.85572617255751493</v>
      </c>
      <c r="P19" s="130">
        <f>IF(SER_hh_emih!P19=0,0,SER_hh_emih!P19/SER_summary!P$26)</f>
        <v>0.93792130384034611</v>
      </c>
      <c r="Q19" s="130">
        <f>IF(SER_hh_emih!Q19=0,0,SER_hh_emih!Q19/SER_summary!Q$26)</f>
        <v>0.88289917157264475</v>
      </c>
      <c r="R19" s="130">
        <f>IF(SER_hh_emih!R19=0,0,SER_hh_emih!R19/SER_summary!R$26)</f>
        <v>0.89439447674643302</v>
      </c>
      <c r="S19" s="130">
        <f>IF(SER_hh_emih!S19=0,0,SER_hh_emih!S19/SER_summary!S$26)</f>
        <v>0.8805284114820362</v>
      </c>
      <c r="T19" s="130">
        <f>IF(SER_hh_emih!T19=0,0,SER_hh_emih!T19/SER_summary!T$26)</f>
        <v>0.88393196697706011</v>
      </c>
      <c r="U19" s="130">
        <f>IF(SER_hh_emih!U19=0,0,SER_hh_emih!U19/SER_summary!U$26)</f>
        <v>0.87760925901669984</v>
      </c>
      <c r="V19" s="130">
        <f>IF(SER_hh_emih!V19=0,0,SER_hh_emih!V19/SER_summary!V$26)</f>
        <v>0.82837689651391389</v>
      </c>
      <c r="W19" s="130">
        <f>IF(SER_hh_emih!W19=0,0,SER_hh_emih!W19/SER_summary!W$26)</f>
        <v>0.89373793637381194</v>
      </c>
      <c r="X19" s="130">
        <f>IF(SER_hh_emih!X19=0,0,SER_hh_emih!X19/SER_summary!X$26)</f>
        <v>0.87289041817164792</v>
      </c>
      <c r="Y19" s="130">
        <f>IF(SER_hh_emih!Y19=0,0,SER_hh_emih!Y19/SER_summary!Y$26)</f>
        <v>0.86532974237783566</v>
      </c>
      <c r="DA19" s="155" t="s">
        <v>555</v>
      </c>
    </row>
    <row r="20" spans="1:105" ht="12" customHeight="1" x14ac:dyDescent="0.25">
      <c r="A20" s="131" t="s">
        <v>29</v>
      </c>
      <c r="B20" s="132">
        <f>IF(SER_hh_emih!B20=0,0,SER_hh_emih!B20/SER_summary!B$26)</f>
        <v>0</v>
      </c>
      <c r="C20" s="132">
        <f>IF(SER_hh_emih!C20=0,0,SER_hh_emih!C20/SER_summary!C$26)</f>
        <v>0</v>
      </c>
      <c r="D20" s="132">
        <f>IF(SER_hh_emih!D20=0,0,SER_hh_emih!D20/SER_summary!D$26)</f>
        <v>0</v>
      </c>
      <c r="E20" s="132">
        <f>IF(SER_hh_emih!E20=0,0,SER_hh_emih!E20/SER_summary!E$26)</f>
        <v>0</v>
      </c>
      <c r="F20" s="132">
        <f>IF(SER_hh_emih!F20=0,0,SER_hh_emih!F20/SER_summary!F$26)</f>
        <v>0</v>
      </c>
      <c r="G20" s="132">
        <f>IF(SER_hh_emih!G20=0,0,SER_hh_emih!G20/SER_summary!G$26)</f>
        <v>0</v>
      </c>
      <c r="H20" s="132">
        <f>IF(SER_hh_emih!H20=0,0,SER_hh_emih!H20/SER_summary!H$26)</f>
        <v>0</v>
      </c>
      <c r="I20" s="132">
        <f>IF(SER_hh_emih!I20=0,0,SER_hh_emih!I20/SER_summary!I$26)</f>
        <v>0</v>
      </c>
      <c r="J20" s="132">
        <f>IF(SER_hh_emih!J20=0,0,SER_hh_emih!J20/SER_summary!J$26)</f>
        <v>0</v>
      </c>
      <c r="K20" s="132">
        <f>IF(SER_hh_emih!K20=0,0,SER_hh_emih!K20/SER_summary!K$26)</f>
        <v>0</v>
      </c>
      <c r="L20" s="132">
        <f>IF(SER_hh_emih!L20=0,0,SER_hh_emih!L20/SER_summary!L$26)</f>
        <v>0</v>
      </c>
      <c r="M20" s="132">
        <f>IF(SER_hh_emih!M20=0,0,SER_hh_emih!M20/SER_summary!M$26)</f>
        <v>0</v>
      </c>
      <c r="N20" s="132">
        <f>IF(SER_hh_emih!N20=0,0,SER_hh_emih!N20/SER_summary!N$26)</f>
        <v>0</v>
      </c>
      <c r="O20" s="132">
        <f>IF(SER_hh_emih!O20=0,0,SER_hh_emih!O20/SER_summary!O$26)</f>
        <v>0</v>
      </c>
      <c r="P20" s="132">
        <f>IF(SER_hh_emih!P20=0,0,SER_hh_emih!P20/SER_summary!P$26)</f>
        <v>0</v>
      </c>
      <c r="Q20" s="132">
        <f>IF(SER_hh_emih!Q20=0,0,SER_hh_emih!Q20/SER_summary!Q$26)</f>
        <v>0</v>
      </c>
      <c r="R20" s="132">
        <f>IF(SER_hh_emih!R20=0,0,SER_hh_emih!R20/SER_summary!R$26)</f>
        <v>0</v>
      </c>
      <c r="S20" s="132">
        <f>IF(SER_hh_emih!S20=0,0,SER_hh_emih!S20/SER_summary!S$26)</f>
        <v>0</v>
      </c>
      <c r="T20" s="132">
        <f>IF(SER_hh_emih!T20=0,0,SER_hh_emih!T20/SER_summary!T$26)</f>
        <v>0</v>
      </c>
      <c r="U20" s="132">
        <f>IF(SER_hh_emih!U20=0,0,SER_hh_emih!U20/SER_summary!U$26)</f>
        <v>0</v>
      </c>
      <c r="V20" s="132">
        <f>IF(SER_hh_emih!V20=0,0,SER_hh_emih!V20/SER_summary!V$26)</f>
        <v>0</v>
      </c>
      <c r="W20" s="132">
        <f>IF(SER_hh_emih!W20=0,0,SER_hh_emih!W20/SER_summary!W$26)</f>
        <v>0</v>
      </c>
      <c r="X20" s="132">
        <f>IF(SER_hh_emih!X20=0,0,SER_hh_emih!X20/SER_summary!X$26)</f>
        <v>0</v>
      </c>
      <c r="Y20" s="132">
        <f>IF(SER_hh_emih!Y20=0,0,SER_hh_emih!Y20/SER_summary!Y$26)</f>
        <v>0</v>
      </c>
      <c r="DA20" s="156" t="s">
        <v>556</v>
      </c>
    </row>
    <row r="21" spans="1:105" s="2" customFormat="1" ht="12" customHeight="1" x14ac:dyDescent="0.25">
      <c r="A21" s="131" t="s">
        <v>52</v>
      </c>
      <c r="B21" s="132">
        <f>IF(SER_hh_emih!B21=0,0,SER_hh_emih!B21/SER_summary!B$26)</f>
        <v>1.6687979939492399</v>
      </c>
      <c r="C21" s="132">
        <f>IF(SER_hh_emih!C21=0,0,SER_hh_emih!C21/SER_summary!C$26)</f>
        <v>1.6876175623995546</v>
      </c>
      <c r="D21" s="132">
        <f>IF(SER_hh_emih!D21=0,0,SER_hh_emih!D21/SER_summary!D$26)</f>
        <v>1.7621926137857531</v>
      </c>
      <c r="E21" s="132">
        <f>IF(SER_hh_emih!E21=0,0,SER_hh_emih!E21/SER_summary!E$26)</f>
        <v>1.8344962436745131</v>
      </c>
      <c r="F21" s="132">
        <f>IF(SER_hh_emih!F21=0,0,SER_hh_emih!F21/SER_summary!F$26)</f>
        <v>1.7776514114415323</v>
      </c>
      <c r="G21" s="132">
        <f>IF(SER_hh_emih!G21=0,0,SER_hh_emih!G21/SER_summary!G$26)</f>
        <v>1.8172716336941335</v>
      </c>
      <c r="H21" s="132">
        <f>IF(SER_hh_emih!H21=0,0,SER_hh_emih!H21/SER_summary!H$26)</f>
        <v>1.8727112786895264</v>
      </c>
      <c r="I21" s="132">
        <f>IF(SER_hh_emih!I21=0,0,SER_hh_emih!I21/SER_summary!I$26)</f>
        <v>1.8591207865971491</v>
      </c>
      <c r="J21" s="132">
        <f>IF(SER_hh_emih!J21=0,0,SER_hh_emih!J21/SER_summary!J$26)</f>
        <v>1.8480812944653737</v>
      </c>
      <c r="K21" s="132">
        <f>IF(SER_hh_emih!K21=0,0,SER_hh_emih!K21/SER_summary!K$26)</f>
        <v>1.8399596596717194</v>
      </c>
      <c r="L21" s="132">
        <f>IF(SER_hh_emih!L21=0,0,SER_hh_emih!L21/SER_summary!L$26)</f>
        <v>1.8450860892391512</v>
      </c>
      <c r="M21" s="132">
        <f>IF(SER_hh_emih!M21=0,0,SER_hh_emih!M21/SER_summary!M$26)</f>
        <v>1.8283102142864063</v>
      </c>
      <c r="N21" s="132">
        <f>IF(SER_hh_emih!N21=0,0,SER_hh_emih!N21/SER_summary!N$26)</f>
        <v>1.7967946910228052</v>
      </c>
      <c r="O21" s="132">
        <f>IF(SER_hh_emih!O21=0,0,SER_hh_emih!O21/SER_summary!O$26)</f>
        <v>1.7701325673148243</v>
      </c>
      <c r="P21" s="132">
        <f>IF(SER_hh_emih!P21=0,0,SER_hh_emih!P21/SER_summary!P$26)</f>
        <v>1.6884745017027067</v>
      </c>
      <c r="Q21" s="132">
        <f>IF(SER_hh_emih!Q21=0,0,SER_hh_emih!Q21/SER_summary!Q$26)</f>
        <v>1.6279532787460413</v>
      </c>
      <c r="R21" s="132">
        <f>IF(SER_hh_emih!R21=0,0,SER_hh_emih!R21/SER_summary!R$26)</f>
        <v>1.591250135614638</v>
      </c>
      <c r="S21" s="132">
        <f>IF(SER_hh_emih!S21=0,0,SER_hh_emih!S21/SER_summary!S$26)</f>
        <v>1.5592382800218452</v>
      </c>
      <c r="T21" s="132">
        <f>IF(SER_hh_emih!T21=0,0,SER_hh_emih!T21/SER_summary!T$26)</f>
        <v>1.6944248069112811</v>
      </c>
      <c r="U21" s="132">
        <f>IF(SER_hh_emih!U21=0,0,SER_hh_emih!U21/SER_summary!U$26)</f>
        <v>1.5709659918030305</v>
      </c>
      <c r="V21" s="132">
        <f>IF(SER_hh_emih!V21=0,0,SER_hh_emih!V21/SER_summary!V$26)</f>
        <v>1.148915880177019</v>
      </c>
      <c r="W21" s="132">
        <f>IF(SER_hh_emih!W21=0,0,SER_hh_emih!W21/SER_summary!W$26)</f>
        <v>1.2303974859750795</v>
      </c>
      <c r="X21" s="132">
        <f>IF(SER_hh_emih!X21=0,0,SER_hh_emih!X21/SER_summary!X$26)</f>
        <v>1.2514080049915766</v>
      </c>
      <c r="Y21" s="132">
        <f>IF(SER_hh_emih!Y21=0,0,SER_hh_emih!Y21/SER_summary!Y$26)</f>
        <v>1.427642427396121</v>
      </c>
      <c r="DA21" s="156" t="s">
        <v>557</v>
      </c>
    </row>
    <row r="22" spans="1:105" ht="12" customHeight="1" x14ac:dyDescent="0.25">
      <c r="A22" s="131" t="s">
        <v>161</v>
      </c>
      <c r="B22" s="132">
        <f>IF(SER_hh_emih!B22=0,0,SER_hh_emih!B22/SER_summary!B$26)</f>
        <v>2.0546377804447102</v>
      </c>
      <c r="C22" s="132">
        <f>IF(SER_hh_emih!C22=0,0,SER_hh_emih!C22/SER_summary!C$26)</f>
        <v>2.1450681318484808</v>
      </c>
      <c r="D22" s="132">
        <f>IF(SER_hh_emih!D22=0,0,SER_hh_emih!D22/SER_summary!D$26)</f>
        <v>2.203774989481841</v>
      </c>
      <c r="E22" s="132">
        <f>IF(SER_hh_emih!E22=0,0,SER_hh_emih!E22/SER_summary!E$26)</f>
        <v>2.2308648921141949</v>
      </c>
      <c r="F22" s="132">
        <f>IF(SER_hh_emih!F22=0,0,SER_hh_emih!F22/SER_summary!F$26)</f>
        <v>2.3027726991693758</v>
      </c>
      <c r="G22" s="132">
        <f>IF(SER_hh_emih!G22=0,0,SER_hh_emih!G22/SER_summary!G$26)</f>
        <v>2.339563356694899</v>
      </c>
      <c r="H22" s="132">
        <f>IF(SER_hh_emih!H22=0,0,SER_hh_emih!H22/SER_summary!H$26)</f>
        <v>2.357445885611579</v>
      </c>
      <c r="I22" s="132">
        <f>IF(SER_hh_emih!I22=0,0,SER_hh_emih!I22/SER_summary!I$26)</f>
        <v>2.2880193244147526</v>
      </c>
      <c r="J22" s="132">
        <f>IF(SER_hh_emih!J22=0,0,SER_hh_emih!J22/SER_summary!J$26)</f>
        <v>2.2886623318569819</v>
      </c>
      <c r="K22" s="132">
        <f>IF(SER_hh_emih!K22=0,0,SER_hh_emih!K22/SER_summary!K$26)</f>
        <v>2.2869463694027257</v>
      </c>
      <c r="L22" s="132">
        <f>IF(SER_hh_emih!L22=0,0,SER_hh_emih!L22/SER_summary!L$26)</f>
        <v>2.2743535247768962</v>
      </c>
      <c r="M22" s="132">
        <f>IF(SER_hh_emih!M22=0,0,SER_hh_emih!M22/SER_summary!M$26)</f>
        <v>2.2517263261745359</v>
      </c>
      <c r="N22" s="132">
        <f>IF(SER_hh_emih!N22=0,0,SER_hh_emih!N22/SER_summary!N$26)</f>
        <v>2.2174619361044101</v>
      </c>
      <c r="O22" s="132">
        <f>IF(SER_hh_emih!O22=0,0,SER_hh_emih!O22/SER_summary!O$26)</f>
        <v>2.1507546229724586</v>
      </c>
      <c r="P22" s="132">
        <f>IF(SER_hh_emih!P22=0,0,SER_hh_emih!P22/SER_summary!P$26)</f>
        <v>2.0244572703616011</v>
      </c>
      <c r="Q22" s="132">
        <f>IF(SER_hh_emih!Q22=0,0,SER_hh_emih!Q22/SER_summary!Q$26)</f>
        <v>1.9735749288926148</v>
      </c>
      <c r="R22" s="132">
        <f>IF(SER_hh_emih!R22=0,0,SER_hh_emih!R22/SER_summary!R$26)</f>
        <v>1.9146181719401256</v>
      </c>
      <c r="S22" s="132">
        <f>IF(SER_hh_emih!S22=0,0,SER_hh_emih!S22/SER_summary!S$26)</f>
        <v>1.8146173740025564</v>
      </c>
      <c r="T22" s="132">
        <f>IF(SER_hh_emih!T22=0,0,SER_hh_emih!T22/SER_summary!T$26)</f>
        <v>1.7997021631586021</v>
      </c>
      <c r="U22" s="132">
        <f>IF(SER_hh_emih!U22=0,0,SER_hh_emih!U22/SER_summary!U$26)</f>
        <v>1.7268528403250849</v>
      </c>
      <c r="V22" s="132">
        <f>IF(SER_hh_emih!V22=0,0,SER_hh_emih!V22/SER_summary!V$26)</f>
        <v>1.6072879239105229</v>
      </c>
      <c r="W22" s="132">
        <f>IF(SER_hh_emih!W22=0,0,SER_hh_emih!W22/SER_summary!W$26)</f>
        <v>1.6683532568376145</v>
      </c>
      <c r="X22" s="132">
        <f>IF(SER_hh_emih!X22=0,0,SER_hh_emih!X22/SER_summary!X$26)</f>
        <v>1.5945874209864814</v>
      </c>
      <c r="Y22" s="132">
        <f>IF(SER_hh_emih!Y22=0,0,SER_hh_emih!Y22/SER_summary!Y$26)</f>
        <v>1.5354895811946585</v>
      </c>
      <c r="DA22" s="156" t="s">
        <v>558</v>
      </c>
    </row>
    <row r="23" spans="1:105" ht="12" customHeight="1" x14ac:dyDescent="0.25">
      <c r="A23" s="131" t="s">
        <v>149</v>
      </c>
      <c r="B23" s="132">
        <f>IF(SER_hh_emih!B23=0,0,SER_hh_emih!B23/SER_summary!B$26)</f>
        <v>1.5326410944863444</v>
      </c>
      <c r="C23" s="132">
        <f>IF(SER_hh_emih!C23=0,0,SER_hh_emih!C23/SER_summary!C$26)</f>
        <v>1.567775915911076</v>
      </c>
      <c r="D23" s="132">
        <f>IF(SER_hh_emih!D23=0,0,SER_hh_emih!D23/SER_summary!D$26)</f>
        <v>1.6835110844870143</v>
      </c>
      <c r="E23" s="132">
        <f>IF(SER_hh_emih!E23=0,0,SER_hh_emih!E23/SER_summary!E$26)</f>
        <v>0.82805824799016903</v>
      </c>
      <c r="F23" s="132">
        <f>IF(SER_hh_emih!F23=0,0,SER_hh_emih!F23/SER_summary!F$26)</f>
        <v>1.2877531057405147</v>
      </c>
      <c r="G23" s="132">
        <f>IF(SER_hh_emih!G23=0,0,SER_hh_emih!G23/SER_summary!G$26)</f>
        <v>1.1451008830707721</v>
      </c>
      <c r="H23" s="132">
        <f>IF(SER_hh_emih!H23=0,0,SER_hh_emih!H23/SER_summary!H$26)</f>
        <v>1.8881175992847961</v>
      </c>
      <c r="I23" s="132">
        <f>IF(SER_hh_emih!I23=0,0,SER_hh_emih!I23/SER_summary!I$26)</f>
        <v>1.6287710630714283</v>
      </c>
      <c r="J23" s="132">
        <f>IF(SER_hh_emih!J23=0,0,SER_hh_emih!J23/SER_summary!J$26)</f>
        <v>1.5303342311100967</v>
      </c>
      <c r="K23" s="132">
        <f>IF(SER_hh_emih!K23=0,0,SER_hh_emih!K23/SER_summary!K$26)</f>
        <v>1.5539679006915814</v>
      </c>
      <c r="L23" s="132">
        <f>IF(SER_hh_emih!L23=0,0,SER_hh_emih!L23/SER_summary!L$26)</f>
        <v>1.5240856155529277</v>
      </c>
      <c r="M23" s="132">
        <f>IF(SER_hh_emih!M23=0,0,SER_hh_emih!M23/SER_summary!M$26)</f>
        <v>1.4435911260943228</v>
      </c>
      <c r="N23" s="132">
        <f>IF(SER_hh_emih!N23=0,0,SER_hh_emih!N23/SER_summary!N$26)</f>
        <v>1.4250513889256682</v>
      </c>
      <c r="O23" s="132">
        <f>IF(SER_hh_emih!O23=0,0,SER_hh_emih!O23/SER_summary!O$26)</f>
        <v>1.4187026289096052</v>
      </c>
      <c r="P23" s="132">
        <f>IF(SER_hh_emih!P23=0,0,SER_hh_emih!P23/SER_summary!P$26)</f>
        <v>1.5719790705926524</v>
      </c>
      <c r="Q23" s="132">
        <f>IF(SER_hh_emih!Q23=0,0,SER_hh_emih!Q23/SER_summary!Q$26)</f>
        <v>1.2649874532470959</v>
      </c>
      <c r="R23" s="132">
        <f>IF(SER_hh_emih!R23=0,0,SER_hh_emih!R23/SER_summary!R$26)</f>
        <v>1.2376459375613236</v>
      </c>
      <c r="S23" s="132">
        <f>IF(SER_hh_emih!S23=0,0,SER_hh_emih!S23/SER_summary!S$26)</f>
        <v>1.2279094993966344</v>
      </c>
      <c r="T23" s="132">
        <f>IF(SER_hh_emih!T23=0,0,SER_hh_emih!T23/SER_summary!T$26)</f>
        <v>1.2149303697179252</v>
      </c>
      <c r="U23" s="132">
        <f>IF(SER_hh_emih!U23=0,0,SER_hh_emih!U23/SER_summary!U$26)</f>
        <v>1.1997533767841473</v>
      </c>
      <c r="V23" s="132">
        <f>IF(SER_hh_emih!V23=0,0,SER_hh_emih!V23/SER_summary!V$26)</f>
        <v>1.0596688115539628</v>
      </c>
      <c r="W23" s="132">
        <f>IF(SER_hh_emih!W23=0,0,SER_hh_emih!W23/SER_summary!W$26)</f>
        <v>1.1075847884342969</v>
      </c>
      <c r="X23" s="132">
        <f>IF(SER_hh_emih!X23=0,0,SER_hh_emih!X23/SER_summary!X$26)</f>
        <v>1.0358807337629734</v>
      </c>
      <c r="Y23" s="132">
        <f>IF(SER_hh_emih!Y23=0,0,SER_hh_emih!Y23/SER_summary!Y$26)</f>
        <v>1.0107738850631125</v>
      </c>
      <c r="DA23" s="156" t="s">
        <v>559</v>
      </c>
    </row>
    <row r="24" spans="1:105" ht="12" customHeight="1" x14ac:dyDescent="0.25">
      <c r="A24" s="131" t="s">
        <v>128</v>
      </c>
      <c r="B24" s="132">
        <f>IF(SER_hh_emih!B24=0,0,SER_hh_emih!B24/SER_summary!B$26)</f>
        <v>0</v>
      </c>
      <c r="C24" s="132">
        <f>IF(SER_hh_emih!C24=0,0,SER_hh_emih!C24/SER_summary!C$26)</f>
        <v>0</v>
      </c>
      <c r="D24" s="132">
        <f>IF(SER_hh_emih!D24=0,0,SER_hh_emih!D24/SER_summary!D$26)</f>
        <v>0</v>
      </c>
      <c r="E24" s="132">
        <f>IF(SER_hh_emih!E24=0,0,SER_hh_emih!E24/SER_summary!E$26)</f>
        <v>0</v>
      </c>
      <c r="F24" s="132">
        <f>IF(SER_hh_emih!F24=0,0,SER_hh_emih!F24/SER_summary!F$26)</f>
        <v>0</v>
      </c>
      <c r="G24" s="132">
        <f>IF(SER_hh_emih!G24=0,0,SER_hh_emih!G24/SER_summary!G$26)</f>
        <v>0</v>
      </c>
      <c r="H24" s="132">
        <f>IF(SER_hh_emih!H24=0,0,SER_hh_emih!H24/SER_summary!H$26)</f>
        <v>0</v>
      </c>
      <c r="I24" s="132">
        <f>IF(SER_hh_emih!I24=0,0,SER_hh_emih!I24/SER_summary!I$26)</f>
        <v>0</v>
      </c>
      <c r="J24" s="132">
        <f>IF(SER_hh_emih!J24=0,0,SER_hh_emih!J24/SER_summary!J$26)</f>
        <v>0</v>
      </c>
      <c r="K24" s="132">
        <f>IF(SER_hh_emih!K24=0,0,SER_hh_emih!K24/SER_summary!K$26)</f>
        <v>0</v>
      </c>
      <c r="L24" s="132">
        <f>IF(SER_hh_emih!L24=0,0,SER_hh_emih!L24/SER_summary!L$26)</f>
        <v>0</v>
      </c>
      <c r="M24" s="132">
        <f>IF(SER_hh_emih!M24=0,0,SER_hh_emih!M24/SER_summary!M$26)</f>
        <v>0</v>
      </c>
      <c r="N24" s="132">
        <f>IF(SER_hh_emih!N24=0,0,SER_hh_emih!N24/SER_summary!N$26)</f>
        <v>0</v>
      </c>
      <c r="O24" s="132">
        <f>IF(SER_hh_emih!O24=0,0,SER_hh_emih!O24/SER_summary!O$26)</f>
        <v>0</v>
      </c>
      <c r="P24" s="132">
        <f>IF(SER_hh_emih!P24=0,0,SER_hh_emih!P24/SER_summary!P$26)</f>
        <v>0</v>
      </c>
      <c r="Q24" s="132">
        <f>IF(SER_hh_emih!Q24=0,0,SER_hh_emih!Q24/SER_summary!Q$26)</f>
        <v>0</v>
      </c>
      <c r="R24" s="132">
        <f>IF(SER_hh_emih!R24=0,0,SER_hh_emih!R24/SER_summary!R$26)</f>
        <v>0</v>
      </c>
      <c r="S24" s="132">
        <f>IF(SER_hh_emih!S24=0,0,SER_hh_emih!S24/SER_summary!S$26)</f>
        <v>0</v>
      </c>
      <c r="T24" s="132">
        <f>IF(SER_hh_emih!T24=0,0,SER_hh_emih!T24/SER_summary!T$26)</f>
        <v>0</v>
      </c>
      <c r="U24" s="132">
        <f>IF(SER_hh_emih!U24=0,0,SER_hh_emih!U24/SER_summary!U$26)</f>
        <v>0</v>
      </c>
      <c r="V24" s="132">
        <f>IF(SER_hh_emih!V24=0,0,SER_hh_emih!V24/SER_summary!V$26)</f>
        <v>0</v>
      </c>
      <c r="W24" s="132">
        <f>IF(SER_hh_emih!W24=0,0,SER_hh_emih!W24/SER_summary!W$26)</f>
        <v>0</v>
      </c>
      <c r="X24" s="132">
        <f>IF(SER_hh_emih!X24=0,0,SER_hh_emih!X24/SER_summary!X$26)</f>
        <v>0</v>
      </c>
      <c r="Y24" s="132">
        <f>IF(SER_hh_emih!Y24=0,0,SER_hh_emih!Y24/SER_summary!Y$26)</f>
        <v>0</v>
      </c>
      <c r="DA24" s="156" t="s">
        <v>560</v>
      </c>
    </row>
    <row r="25" spans="1:105" ht="12" customHeight="1" x14ac:dyDescent="0.25">
      <c r="A25" s="131" t="s">
        <v>162</v>
      </c>
      <c r="B25" s="132">
        <f>IF(SER_hh_emih!B25=0,0,SER_hh_emih!B25/SER_summary!B$26)</f>
        <v>0</v>
      </c>
      <c r="C25" s="132">
        <f>IF(SER_hh_emih!C25=0,0,SER_hh_emih!C25/SER_summary!C$26)</f>
        <v>0</v>
      </c>
      <c r="D25" s="132">
        <f>IF(SER_hh_emih!D25=0,0,SER_hh_emih!D25/SER_summary!D$26)</f>
        <v>0</v>
      </c>
      <c r="E25" s="132">
        <f>IF(SER_hh_emih!E25=0,0,SER_hh_emih!E25/SER_summary!E$26)</f>
        <v>0</v>
      </c>
      <c r="F25" s="132">
        <f>IF(SER_hh_emih!F25=0,0,SER_hh_emih!F25/SER_summary!F$26)</f>
        <v>0</v>
      </c>
      <c r="G25" s="132">
        <f>IF(SER_hh_emih!G25=0,0,SER_hh_emih!G25/SER_summary!G$26)</f>
        <v>0</v>
      </c>
      <c r="H25" s="132">
        <f>IF(SER_hh_emih!H25=0,0,SER_hh_emih!H25/SER_summary!H$26)</f>
        <v>0</v>
      </c>
      <c r="I25" s="132">
        <f>IF(SER_hh_emih!I25=0,0,SER_hh_emih!I25/SER_summary!I$26)</f>
        <v>0</v>
      </c>
      <c r="J25" s="132">
        <f>IF(SER_hh_emih!J25=0,0,SER_hh_emih!J25/SER_summary!J$26)</f>
        <v>0</v>
      </c>
      <c r="K25" s="132">
        <f>IF(SER_hh_emih!K25=0,0,SER_hh_emih!K25/SER_summary!K$26)</f>
        <v>0</v>
      </c>
      <c r="L25" s="132">
        <f>IF(SER_hh_emih!L25=0,0,SER_hh_emih!L25/SER_summary!L$26)</f>
        <v>0</v>
      </c>
      <c r="M25" s="132">
        <f>IF(SER_hh_emih!M25=0,0,SER_hh_emih!M25/SER_summary!M$26)</f>
        <v>0</v>
      </c>
      <c r="N25" s="132">
        <f>IF(SER_hh_emih!N25=0,0,SER_hh_emih!N25/SER_summary!N$26)</f>
        <v>0</v>
      </c>
      <c r="O25" s="132">
        <f>IF(SER_hh_emih!O25=0,0,SER_hh_emih!O25/SER_summary!O$26)</f>
        <v>0</v>
      </c>
      <c r="P25" s="132">
        <f>IF(SER_hh_emih!P25=0,0,SER_hh_emih!P25/SER_summary!P$26)</f>
        <v>0</v>
      </c>
      <c r="Q25" s="132">
        <f>IF(SER_hh_emih!Q25=0,0,SER_hh_emih!Q25/SER_summary!Q$26)</f>
        <v>0</v>
      </c>
      <c r="R25" s="132">
        <f>IF(SER_hh_emih!R25=0,0,SER_hh_emih!R25/SER_summary!R$26)</f>
        <v>0</v>
      </c>
      <c r="S25" s="132">
        <f>IF(SER_hh_emih!S25=0,0,SER_hh_emih!S25/SER_summary!S$26)</f>
        <v>0</v>
      </c>
      <c r="T25" s="132">
        <f>IF(SER_hh_emih!T25=0,0,SER_hh_emih!T25/SER_summary!T$26)</f>
        <v>0</v>
      </c>
      <c r="U25" s="132">
        <f>IF(SER_hh_emih!U25=0,0,SER_hh_emih!U25/SER_summary!U$26)</f>
        <v>0</v>
      </c>
      <c r="V25" s="132">
        <f>IF(SER_hh_emih!V25=0,0,SER_hh_emih!V25/SER_summary!V$26)</f>
        <v>0</v>
      </c>
      <c r="W25" s="132">
        <f>IF(SER_hh_emih!W25=0,0,SER_hh_emih!W25/SER_summary!W$26)</f>
        <v>0</v>
      </c>
      <c r="X25" s="132">
        <f>IF(SER_hh_emih!X25=0,0,SER_hh_emih!X25/SER_summary!X$26)</f>
        <v>0</v>
      </c>
      <c r="Y25" s="132">
        <f>IF(SER_hh_emih!Y25=0,0,SER_hh_emih!Y25/SER_summary!Y$26)</f>
        <v>0</v>
      </c>
      <c r="DA25" s="156" t="s">
        <v>561</v>
      </c>
    </row>
    <row r="26" spans="1:105" ht="12" customHeight="1" x14ac:dyDescent="0.25">
      <c r="A26" s="131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X26" s="65">
        <f>IF(SER_hh_emih!X26=0,0,SER_hh_emih!X26/SER_summary!X$26)</f>
        <v>0</v>
      </c>
      <c r="Y26" s="65">
        <f>IF(SER_hh_emih!Y26=0,0,SER_hh_emih!Y26/SER_summary!Y$26)</f>
        <v>0</v>
      </c>
      <c r="DA26" s="109" t="s">
        <v>562</v>
      </c>
    </row>
    <row r="27" spans="1:105" ht="12" customHeight="1" x14ac:dyDescent="0.25">
      <c r="A27" s="144" t="s">
        <v>86</v>
      </c>
      <c r="B27" s="145">
        <f>IF(SER_hh_emih!B27=0,0,SER_hh_emih!B27/SER_summary!B$26)</f>
        <v>0</v>
      </c>
      <c r="C27" s="145">
        <f>IF(SER_hh_emih!C27=0,0,SER_hh_emih!C27/SER_summary!C$26)</f>
        <v>0</v>
      </c>
      <c r="D27" s="145">
        <f>IF(SER_hh_emih!D27=0,0,SER_hh_emih!D27/SER_summary!D$26)</f>
        <v>0</v>
      </c>
      <c r="E27" s="145">
        <f>IF(SER_hh_emih!E27=0,0,SER_hh_emih!E27/SER_summary!E$26)</f>
        <v>0</v>
      </c>
      <c r="F27" s="145">
        <f>IF(SER_hh_emih!F27=0,0,SER_hh_emih!F27/SER_summary!F$26)</f>
        <v>0</v>
      </c>
      <c r="G27" s="145">
        <f>IF(SER_hh_emih!G27=0,0,SER_hh_emih!G27/SER_summary!G$26)</f>
        <v>0</v>
      </c>
      <c r="H27" s="145">
        <f>IF(SER_hh_emih!H27=0,0,SER_hh_emih!H27/SER_summary!H$26)</f>
        <v>0</v>
      </c>
      <c r="I27" s="145">
        <f>IF(SER_hh_emih!I27=0,0,SER_hh_emih!I27/SER_summary!I$26)</f>
        <v>0</v>
      </c>
      <c r="J27" s="145">
        <f>IF(SER_hh_emih!J27=0,0,SER_hh_emih!J27/SER_summary!J$26)</f>
        <v>0</v>
      </c>
      <c r="K27" s="145">
        <f>IF(SER_hh_emih!K27=0,0,SER_hh_emih!K27/SER_summary!K$26)</f>
        <v>0</v>
      </c>
      <c r="L27" s="145">
        <f>IF(SER_hh_emih!L27=0,0,SER_hh_emih!L27/SER_summary!L$26)</f>
        <v>0</v>
      </c>
      <c r="M27" s="145">
        <f>IF(SER_hh_emih!M27=0,0,SER_hh_emih!M27/SER_summary!M$26)</f>
        <v>0</v>
      </c>
      <c r="N27" s="145">
        <f>IF(SER_hh_emih!N27=0,0,SER_hh_emih!N27/SER_summary!N$26)</f>
        <v>0</v>
      </c>
      <c r="O27" s="145">
        <f>IF(SER_hh_emih!O27=0,0,SER_hh_emih!O27/SER_summary!O$26)</f>
        <v>0</v>
      </c>
      <c r="P27" s="145">
        <f>IF(SER_hh_emih!P27=0,0,SER_hh_emih!P27/SER_summary!P$26)</f>
        <v>0</v>
      </c>
      <c r="Q27" s="145">
        <f>IF(SER_hh_emih!Q27=0,0,SER_hh_emih!Q27/SER_summary!Q$26)</f>
        <v>0</v>
      </c>
      <c r="R27" s="145">
        <f>IF(SER_hh_emih!R27=0,0,SER_hh_emih!R27/SER_summary!R$26)</f>
        <v>0</v>
      </c>
      <c r="S27" s="145">
        <f>IF(SER_hh_emih!S27=0,0,SER_hh_emih!S27/SER_summary!S$26)</f>
        <v>0</v>
      </c>
      <c r="T27" s="145">
        <f>IF(SER_hh_emih!T27=0,0,SER_hh_emih!T27/SER_summary!T$26)</f>
        <v>0</v>
      </c>
      <c r="U27" s="145">
        <f>IF(SER_hh_emih!U27=0,0,SER_hh_emih!U27/SER_summary!U$26)</f>
        <v>0</v>
      </c>
      <c r="V27" s="145">
        <f>IF(SER_hh_emih!V27=0,0,SER_hh_emih!V27/SER_summary!V$26)</f>
        <v>0</v>
      </c>
      <c r="W27" s="145">
        <f>IF(SER_hh_emih!W27=0,0,SER_hh_emih!W27/SER_summary!W$26)</f>
        <v>0</v>
      </c>
      <c r="X27" s="145">
        <f>IF(SER_hh_emih!X27=0,0,SER_hh_emih!X27/SER_summary!X$26)</f>
        <v>0</v>
      </c>
      <c r="Y27" s="145">
        <f>IF(SER_hh_emih!Y27=0,0,SER_hh_emih!Y27/SER_summary!Y$26)</f>
        <v>0</v>
      </c>
      <c r="DA27" s="158" t="s">
        <v>563</v>
      </c>
    </row>
    <row r="28" spans="1:105" ht="12" customHeight="1" x14ac:dyDescent="0.25">
      <c r="A28" s="78" t="s">
        <v>85</v>
      </c>
      <c r="B28" s="146">
        <f>IF(SER_hh_emih!B28=0,0,SER_hh_emih!B28/SER_summary!B$26)</f>
        <v>0</v>
      </c>
      <c r="C28" s="146">
        <f>IF(SER_hh_emih!C28=0,0,SER_hh_emih!C28/SER_summary!C$26)</f>
        <v>0</v>
      </c>
      <c r="D28" s="146">
        <f>IF(SER_hh_emih!D28=0,0,SER_hh_emih!D28/SER_summary!D$26)</f>
        <v>0</v>
      </c>
      <c r="E28" s="146">
        <f>IF(SER_hh_emih!E28=0,0,SER_hh_emih!E28/SER_summary!E$26)</f>
        <v>0</v>
      </c>
      <c r="F28" s="146">
        <f>IF(SER_hh_emih!F28=0,0,SER_hh_emih!F28/SER_summary!F$26)</f>
        <v>0</v>
      </c>
      <c r="G28" s="146">
        <f>IF(SER_hh_emih!G28=0,0,SER_hh_emih!G28/SER_summary!G$26)</f>
        <v>0</v>
      </c>
      <c r="H28" s="146">
        <f>IF(SER_hh_emih!H28=0,0,SER_hh_emih!H28/SER_summary!H$26)</f>
        <v>0</v>
      </c>
      <c r="I28" s="146">
        <f>IF(SER_hh_emih!I28=0,0,SER_hh_emih!I28/SER_summary!I$26)</f>
        <v>0</v>
      </c>
      <c r="J28" s="146">
        <f>IF(SER_hh_emih!J28=0,0,SER_hh_emih!J28/SER_summary!J$26)</f>
        <v>0</v>
      </c>
      <c r="K28" s="146">
        <f>IF(SER_hh_emih!K28=0,0,SER_hh_emih!K28/SER_summary!K$26)</f>
        <v>0</v>
      </c>
      <c r="L28" s="146">
        <f>IF(SER_hh_emih!L28=0,0,SER_hh_emih!L28/SER_summary!L$26)</f>
        <v>0</v>
      </c>
      <c r="M28" s="146">
        <f>IF(SER_hh_emih!M28=0,0,SER_hh_emih!M28/SER_summary!M$26)</f>
        <v>0</v>
      </c>
      <c r="N28" s="146">
        <f>IF(SER_hh_emih!N28=0,0,SER_hh_emih!N28/SER_summary!N$26)</f>
        <v>0</v>
      </c>
      <c r="O28" s="146">
        <f>IF(SER_hh_emih!O28=0,0,SER_hh_emih!O28/SER_summary!O$26)</f>
        <v>0</v>
      </c>
      <c r="P28" s="146">
        <f>IF(SER_hh_emih!P28=0,0,SER_hh_emih!P28/SER_summary!P$26)</f>
        <v>0</v>
      </c>
      <c r="Q28" s="146">
        <f>IF(SER_hh_emih!Q28=0,0,SER_hh_emih!Q28/SER_summary!Q$26)</f>
        <v>0</v>
      </c>
      <c r="R28" s="146">
        <f>IF(SER_hh_emih!R28=0,0,SER_hh_emih!R28/SER_summary!R$26)</f>
        <v>0</v>
      </c>
      <c r="S28" s="146">
        <f>IF(SER_hh_emih!S28=0,0,SER_hh_emih!S28/SER_summary!S$26)</f>
        <v>0</v>
      </c>
      <c r="T28" s="146">
        <f>IF(SER_hh_emih!T28=0,0,SER_hh_emih!T28/SER_summary!T$26)</f>
        <v>0</v>
      </c>
      <c r="U28" s="146">
        <f>IF(SER_hh_emih!U28=0,0,SER_hh_emih!U28/SER_summary!U$26)</f>
        <v>0</v>
      </c>
      <c r="V28" s="146">
        <f>IF(SER_hh_emih!V28=0,0,SER_hh_emih!V28/SER_summary!V$26)</f>
        <v>0</v>
      </c>
      <c r="W28" s="146">
        <f>IF(SER_hh_emih!W28=0,0,SER_hh_emih!W28/SER_summary!W$26)</f>
        <v>0</v>
      </c>
      <c r="X28" s="146">
        <f>IF(SER_hh_emih!X28=0,0,SER_hh_emih!X28/SER_summary!X$26)</f>
        <v>0</v>
      </c>
      <c r="Y28" s="146">
        <f>IF(SER_hh_emih!Y28=0,0,SER_hh_emih!Y28/SER_summary!Y$26)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IF(SER_hh_emih!B29=0,0,SER_hh_emih!B29/SER_summary!B$26)</f>
        <v>0.53432828490547946</v>
      </c>
      <c r="C29" s="130">
        <f>IF(SER_hh_emih!C29=0,0,SER_hh_emih!C29/SER_summary!C$26)</f>
        <v>0.60133917844998863</v>
      </c>
      <c r="D29" s="130">
        <f>IF(SER_hh_emih!D29=0,0,SER_hh_emih!D29/SER_summary!D$26)</f>
        <v>0.55024427149232391</v>
      </c>
      <c r="E29" s="130">
        <f>IF(SER_hh_emih!E29=0,0,SER_hh_emih!E29/SER_summary!E$26)</f>
        <v>0.49691947075537013</v>
      </c>
      <c r="F29" s="130">
        <f>IF(SER_hh_emih!F29=0,0,SER_hh_emih!F29/SER_summary!F$26)</f>
        <v>0.62082205771497867</v>
      </c>
      <c r="G29" s="130">
        <f>IF(SER_hh_emih!G29=0,0,SER_hh_emih!G29/SER_summary!G$26)</f>
        <v>0.613192662416569</v>
      </c>
      <c r="H29" s="130">
        <f>IF(SER_hh_emih!H29=0,0,SER_hh_emih!H29/SER_summary!H$26)</f>
        <v>0.62174625495973845</v>
      </c>
      <c r="I29" s="130">
        <f>IF(SER_hh_emih!I29=0,0,SER_hh_emih!I29/SER_summary!I$26)</f>
        <v>0.61813798922066043</v>
      </c>
      <c r="J29" s="130">
        <f>IF(SER_hh_emih!J29=0,0,SER_hh_emih!J29/SER_summary!J$26)</f>
        <v>0.63987567283901026</v>
      </c>
      <c r="K29" s="130">
        <f>IF(SER_hh_emih!K29=0,0,SER_hh_emih!K29/SER_summary!K$26)</f>
        <v>0.62800401037318909</v>
      </c>
      <c r="L29" s="130">
        <f>IF(SER_hh_emih!L29=0,0,SER_hh_emih!L29/SER_summary!L$26)</f>
        <v>0.64366680544393884</v>
      </c>
      <c r="M29" s="130">
        <f>IF(SER_hh_emih!M29=0,0,SER_hh_emih!M29/SER_summary!M$26)</f>
        <v>0.6466197696092193</v>
      </c>
      <c r="N29" s="130">
        <f>IF(SER_hh_emih!N29=0,0,SER_hh_emih!N29/SER_summary!N$26)</f>
        <v>0.67139044651420143</v>
      </c>
      <c r="O29" s="130">
        <f>IF(SER_hh_emih!O29=0,0,SER_hh_emih!O29/SER_summary!O$26)</f>
        <v>0.7451152766572896</v>
      </c>
      <c r="P29" s="130">
        <f>IF(SER_hh_emih!P29=0,0,SER_hh_emih!P29/SER_summary!P$26)</f>
        <v>1.1383688304645612</v>
      </c>
      <c r="Q29" s="130">
        <f>IF(SER_hh_emih!Q29=0,0,SER_hh_emih!Q29/SER_summary!Q$26)</f>
        <v>1.2803228674744256</v>
      </c>
      <c r="R29" s="130">
        <f>IF(SER_hh_emih!R29=0,0,SER_hh_emih!R29/SER_summary!R$26)</f>
        <v>1.3392694239121756</v>
      </c>
      <c r="S29" s="130">
        <f>IF(SER_hh_emih!S29=0,0,SER_hh_emih!S29/SER_summary!S$26)</f>
        <v>1.2965929692158289</v>
      </c>
      <c r="T29" s="130">
        <f>IF(SER_hh_emih!T29=0,0,SER_hh_emih!T29/SER_summary!T$26)</f>
        <v>1.1664843973891712</v>
      </c>
      <c r="U29" s="130">
        <f>IF(SER_hh_emih!U29=0,0,SER_hh_emih!U29/SER_summary!U$26)</f>
        <v>1.1555815205962687</v>
      </c>
      <c r="V29" s="130">
        <f>IF(SER_hh_emih!V29=0,0,SER_hh_emih!V29/SER_summary!V$26)</f>
        <v>1.1465168662100413</v>
      </c>
      <c r="W29" s="130">
        <f>IF(SER_hh_emih!W29=0,0,SER_hh_emih!W29/SER_summary!W$26)</f>
        <v>1.1260217838775215</v>
      </c>
      <c r="X29" s="130">
        <f>IF(SER_hh_emih!X29=0,0,SER_hh_emih!X29/SER_summary!X$26)</f>
        <v>0.99736421914371098</v>
      </c>
      <c r="Y29" s="130">
        <f>IF(SER_hh_emih!Y29=0,0,SER_hh_emih!Y29/SER_summary!Y$26)</f>
        <v>1.0054177846163923</v>
      </c>
      <c r="DA29" s="155" t="s">
        <v>564</v>
      </c>
    </row>
    <row r="30" spans="1:105" ht="12" customHeight="1" x14ac:dyDescent="0.25">
      <c r="A30" s="131" t="s">
        <v>52</v>
      </c>
      <c r="B30" s="132">
        <f>IF(SER_hh_emih!B30=0,0,SER_hh_emih!B30/SER_summary!B$26)</f>
        <v>1.9011028734786604</v>
      </c>
      <c r="C30" s="132">
        <f>IF(SER_hh_emih!C30=0,0,SER_hh_emih!C30/SER_summary!C$26)</f>
        <v>2.0112915713120594</v>
      </c>
      <c r="D30" s="132">
        <f>IF(SER_hh_emih!D30=0,0,SER_hh_emih!D30/SER_summary!D$26)</f>
        <v>1.9449042918761805</v>
      </c>
      <c r="E30" s="132">
        <f>IF(SER_hh_emih!E30=0,0,SER_hh_emih!E30/SER_summary!E$26)</f>
        <v>1.889124720096919</v>
      </c>
      <c r="F30" s="132">
        <f>IF(SER_hh_emih!F30=0,0,SER_hh_emih!F30/SER_summary!F$26)</f>
        <v>2.0471649533654928</v>
      </c>
      <c r="G30" s="132">
        <f>IF(SER_hh_emih!G30=0,0,SER_hh_emih!G30/SER_summary!G$26)</f>
        <v>1.9971518578090763</v>
      </c>
      <c r="H30" s="132">
        <f>IF(SER_hh_emih!H30=0,0,SER_hh_emih!H30/SER_summary!H$26)</f>
        <v>1.9462935286689438</v>
      </c>
      <c r="I30" s="132">
        <f>IF(SER_hh_emih!I30=0,0,SER_hh_emih!I30/SER_summary!I$26)</f>
        <v>2.0999235249645585</v>
      </c>
      <c r="J30" s="132">
        <f>IF(SER_hh_emih!J30=0,0,SER_hh_emih!J30/SER_summary!J$26)</f>
        <v>2.2636976201769801</v>
      </c>
      <c r="K30" s="132">
        <f>IF(SER_hh_emih!K30=0,0,SER_hh_emih!K30/SER_summary!K$26)</f>
        <v>2.1278755631918065</v>
      </c>
      <c r="L30" s="132">
        <f>IF(SER_hh_emih!L30=0,0,SER_hh_emih!L30/SER_summary!L$26)</f>
        <v>2.2212728735306095</v>
      </c>
      <c r="M30" s="132">
        <f>IF(SER_hh_emih!M30=0,0,SER_hh_emih!M30/SER_summary!M$26)</f>
        <v>2.1966426684184861</v>
      </c>
      <c r="N30" s="132">
        <f>IF(SER_hh_emih!N30=0,0,SER_hh_emih!N30/SER_summary!N$26)</f>
        <v>2.2319978635741857</v>
      </c>
      <c r="O30" s="132">
        <f>IF(SER_hh_emih!O30=0,0,SER_hh_emih!O30/SER_summary!O$26)</f>
        <v>2.231613455407004</v>
      </c>
      <c r="P30" s="132">
        <f>IF(SER_hh_emih!P30=0,0,SER_hh_emih!P30/SER_summary!P$26)</f>
        <v>1.5382242673910522</v>
      </c>
      <c r="Q30" s="132">
        <f>IF(SER_hh_emih!Q30=0,0,SER_hh_emih!Q30/SER_summary!Q$26)</f>
        <v>2.1132219957423288</v>
      </c>
      <c r="R30" s="132">
        <f>IF(SER_hh_emih!R30=0,0,SER_hh_emih!R30/SER_summary!R$26)</f>
        <v>2.6321527277529913</v>
      </c>
      <c r="S30" s="132">
        <f>IF(SER_hh_emih!S30=0,0,SER_hh_emih!S30/SER_summary!S$26)</f>
        <v>2.049803935982057</v>
      </c>
      <c r="T30" s="132">
        <f>IF(SER_hh_emih!T30=0,0,SER_hh_emih!T30/SER_summary!T$26)</f>
        <v>2.4200724806040714</v>
      </c>
      <c r="U30" s="132">
        <f>IF(SER_hh_emih!U30=0,0,SER_hh_emih!U30/SER_summary!U$26)</f>
        <v>2.3310581858076298</v>
      </c>
      <c r="V30" s="132">
        <f>IF(SER_hh_emih!V30=0,0,SER_hh_emih!V30/SER_summary!V$26)</f>
        <v>1.6114185266782224</v>
      </c>
      <c r="W30" s="132">
        <f>IF(SER_hh_emih!W30=0,0,SER_hh_emih!W30/SER_summary!W$26)</f>
        <v>1.8395642613949181</v>
      </c>
      <c r="X30" s="132">
        <f>IF(SER_hh_emih!X30=0,0,SER_hh_emih!X30/SER_summary!X$26)</f>
        <v>1.9553603232179597</v>
      </c>
      <c r="Y30" s="132">
        <f>IF(SER_hh_emih!Y30=0,0,SER_hh_emih!Y30/SER_summary!Y$26)</f>
        <v>2.4867030552838445</v>
      </c>
      <c r="DA30" s="156" t="s">
        <v>565</v>
      </c>
    </row>
    <row r="31" spans="1:105" ht="12" customHeight="1" x14ac:dyDescent="0.25">
      <c r="A31" s="131" t="s">
        <v>149</v>
      </c>
      <c r="B31" s="132">
        <f>IF(SER_hh_emih!B31=0,0,SER_hh_emih!B31/SER_summary!B$26)</f>
        <v>1.5611379813458399</v>
      </c>
      <c r="C31" s="132">
        <f>IF(SER_hh_emih!C31=0,0,SER_hh_emih!C31/SER_summary!C$26)</f>
        <v>1.8309680272287301</v>
      </c>
      <c r="D31" s="132">
        <f>IF(SER_hh_emih!D31=0,0,SER_hh_emih!D31/SER_summary!D$26)</f>
        <v>1.578936332354528</v>
      </c>
      <c r="E31" s="132">
        <f>IF(SER_hh_emih!E31=0,0,SER_hh_emih!E31/SER_summary!E$26)</f>
        <v>1.2696157521252081</v>
      </c>
      <c r="F31" s="132">
        <f>IF(SER_hh_emih!F31=0,0,SER_hh_emih!F31/SER_summary!F$26)</f>
        <v>1.7452125810383319</v>
      </c>
      <c r="G31" s="132">
        <f>IF(SER_hh_emih!G31=0,0,SER_hh_emih!G31/SER_summary!G$26)</f>
        <v>1.7305006957082385</v>
      </c>
      <c r="H31" s="132">
        <f>IF(SER_hh_emih!H31=0,0,SER_hh_emih!H31/SER_summary!H$26)</f>
        <v>1.8366592681784595</v>
      </c>
      <c r="I31" s="132">
        <f>IF(SER_hh_emih!I31=0,0,SER_hh_emih!I31/SER_summary!I$26)</f>
        <v>1.8043843967707713</v>
      </c>
      <c r="J31" s="132">
        <f>IF(SER_hh_emih!J31=0,0,SER_hh_emih!J31/SER_summary!J$26)</f>
        <v>1.8767778845005418</v>
      </c>
      <c r="K31" s="132">
        <f>IF(SER_hh_emih!K31=0,0,SER_hh_emih!K31/SER_summary!K$26)</f>
        <v>1.8717122782988427</v>
      </c>
      <c r="L31" s="132">
        <f>IF(SER_hh_emih!L31=0,0,SER_hh_emih!L31/SER_summary!L$26)</f>
        <v>1.9118749015586771</v>
      </c>
      <c r="M31" s="132">
        <f>IF(SER_hh_emih!M31=0,0,SER_hh_emih!M31/SER_summary!M$26)</f>
        <v>1.8656411192179101</v>
      </c>
      <c r="N31" s="132">
        <f>IF(SER_hh_emih!N31=0,0,SER_hh_emih!N31/SER_summary!N$26)</f>
        <v>1.7003403689492658</v>
      </c>
      <c r="O31" s="132">
        <f>IF(SER_hh_emih!O31=0,0,SER_hh_emih!O31/SER_summary!O$26)</f>
        <v>1.5575515028858746</v>
      </c>
      <c r="P31" s="132">
        <f>IF(SER_hh_emih!P31=0,0,SER_hh_emih!P31/SER_summary!P$26)</f>
        <v>2.0816359814596992</v>
      </c>
      <c r="Q31" s="132">
        <f>IF(SER_hh_emih!Q31=0,0,SER_hh_emih!Q31/SER_summary!Q$26)</f>
        <v>1.9827093349845439</v>
      </c>
      <c r="R31" s="132">
        <f>IF(SER_hh_emih!R31=0,0,SER_hh_emih!R31/SER_summary!R$26)</f>
        <v>1.9240752871891709</v>
      </c>
      <c r="S31" s="132">
        <f>IF(SER_hh_emih!S31=0,0,SER_hh_emih!S31/SER_summary!S$26)</f>
        <v>1.9315931964029576</v>
      </c>
      <c r="T31" s="132">
        <f>IF(SER_hh_emih!T31=0,0,SER_hh_emih!T31/SER_summary!T$26)</f>
        <v>1.7500257811714357</v>
      </c>
      <c r="U31" s="132">
        <f>IF(SER_hh_emih!U31=0,0,SER_hh_emih!U31/SER_summary!U$26)</f>
        <v>1.81097233723882</v>
      </c>
      <c r="V31" s="132">
        <f>IF(SER_hh_emih!V31=0,0,SER_hh_emih!V31/SER_summary!V$26)</f>
        <v>1.9026880716082608</v>
      </c>
      <c r="W31" s="132">
        <f>IF(SER_hh_emih!W31=0,0,SER_hh_emih!W31/SER_summary!W$26)</f>
        <v>1.9157923467542337</v>
      </c>
      <c r="X31" s="132">
        <f>IF(SER_hh_emih!X31=0,0,SER_hh_emih!X31/SER_summary!X$26)</f>
        <v>1.7594159898052801</v>
      </c>
      <c r="Y31" s="132">
        <f>IF(SER_hh_emih!Y31=0,0,SER_hh_emih!Y31/SER_summary!Y$26)</f>
        <v>1.8106246287484484</v>
      </c>
      <c r="DA31" s="156" t="s">
        <v>566</v>
      </c>
    </row>
    <row r="32" spans="1:105" ht="12" customHeight="1" x14ac:dyDescent="0.25">
      <c r="A32" s="131" t="s">
        <v>128</v>
      </c>
      <c r="B32" s="132">
        <f>IF(SER_hh_emih!B32=0,0,SER_hh_emih!B32/SER_summary!B$26)</f>
        <v>0</v>
      </c>
      <c r="C32" s="132">
        <f>IF(SER_hh_emih!C32=0,0,SER_hh_emih!C32/SER_summary!C$26)</f>
        <v>0</v>
      </c>
      <c r="D32" s="132">
        <f>IF(SER_hh_emih!D32=0,0,SER_hh_emih!D32/SER_summary!D$26)</f>
        <v>0</v>
      </c>
      <c r="E32" s="132">
        <f>IF(SER_hh_emih!E32=0,0,SER_hh_emih!E32/SER_summary!E$26)</f>
        <v>0</v>
      </c>
      <c r="F32" s="132">
        <f>IF(SER_hh_emih!F32=0,0,SER_hh_emih!F32/SER_summary!F$26)</f>
        <v>0</v>
      </c>
      <c r="G32" s="132">
        <f>IF(SER_hh_emih!G32=0,0,SER_hh_emih!G32/SER_summary!G$26)</f>
        <v>0</v>
      </c>
      <c r="H32" s="132">
        <f>IF(SER_hh_emih!H32=0,0,SER_hh_emih!H32/SER_summary!H$26)</f>
        <v>0</v>
      </c>
      <c r="I32" s="132">
        <f>IF(SER_hh_emih!I32=0,0,SER_hh_emih!I32/SER_summary!I$26)</f>
        <v>0</v>
      </c>
      <c r="J32" s="132">
        <f>IF(SER_hh_emih!J32=0,0,SER_hh_emih!J32/SER_summary!J$26)</f>
        <v>0</v>
      </c>
      <c r="K32" s="132">
        <f>IF(SER_hh_emih!K32=0,0,SER_hh_emih!K32/SER_summary!K$26)</f>
        <v>0</v>
      </c>
      <c r="L32" s="132">
        <f>IF(SER_hh_emih!L32=0,0,SER_hh_emih!L32/SER_summary!L$26)</f>
        <v>0</v>
      </c>
      <c r="M32" s="132">
        <f>IF(SER_hh_emih!M32=0,0,SER_hh_emih!M32/SER_summary!M$26)</f>
        <v>0</v>
      </c>
      <c r="N32" s="132">
        <f>IF(SER_hh_emih!N32=0,0,SER_hh_emih!N32/SER_summary!N$26)</f>
        <v>0</v>
      </c>
      <c r="O32" s="132">
        <f>IF(SER_hh_emih!O32=0,0,SER_hh_emih!O32/SER_summary!O$26)</f>
        <v>0</v>
      </c>
      <c r="P32" s="132">
        <f>IF(SER_hh_emih!P32=0,0,SER_hh_emih!P32/SER_summary!P$26)</f>
        <v>0</v>
      </c>
      <c r="Q32" s="132">
        <f>IF(SER_hh_emih!Q32=0,0,SER_hh_emih!Q32/SER_summary!Q$26)</f>
        <v>0</v>
      </c>
      <c r="R32" s="132">
        <f>IF(SER_hh_emih!R32=0,0,SER_hh_emih!R32/SER_summary!R$26)</f>
        <v>0</v>
      </c>
      <c r="S32" s="132">
        <f>IF(SER_hh_emih!S32=0,0,SER_hh_emih!S32/SER_summary!S$26)</f>
        <v>0</v>
      </c>
      <c r="T32" s="132">
        <f>IF(SER_hh_emih!T32=0,0,SER_hh_emih!T32/SER_summary!T$26)</f>
        <v>0</v>
      </c>
      <c r="U32" s="132">
        <f>IF(SER_hh_emih!U32=0,0,SER_hh_emih!U32/SER_summary!U$26)</f>
        <v>0</v>
      </c>
      <c r="V32" s="132">
        <f>IF(SER_hh_emih!V32=0,0,SER_hh_emih!V32/SER_summary!V$26)</f>
        <v>0</v>
      </c>
      <c r="W32" s="132">
        <f>IF(SER_hh_emih!W32=0,0,SER_hh_emih!W32/SER_summary!W$26)</f>
        <v>0</v>
      </c>
      <c r="X32" s="132">
        <f>IF(SER_hh_emih!X32=0,0,SER_hh_emih!X32/SER_summary!X$26)</f>
        <v>0</v>
      </c>
      <c r="Y32" s="132">
        <f>IF(SER_hh_emih!Y32=0,0,SER_hh_emih!Y32/SER_summary!Y$26)</f>
        <v>0</v>
      </c>
      <c r="DA32" s="156" t="s">
        <v>567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X33" s="68">
        <f>IF(SER_hh_emih!X33=0,0,SER_hh_emih!X33/SER_summary!X$26)</f>
        <v>0</v>
      </c>
      <c r="Y33" s="68">
        <f>IF(SER_hh_emih!Y33=0,0,SER_hh_emih!Y33/SER_summary!Y$26)</f>
        <v>0</v>
      </c>
      <c r="DA33" s="111" t="s">
        <v>568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/>
      <c r="C3" s="124">
        <f t="shared" ref="C3:Y3" si="0">C4</f>
        <v>60848.151193081037</v>
      </c>
      <c r="D3" s="124">
        <f t="shared" si="0"/>
        <v>61362.103507895758</v>
      </c>
      <c r="E3" s="124">
        <f t="shared" si="0"/>
        <v>73032.289826104839</v>
      </c>
      <c r="F3" s="124">
        <f t="shared" si="0"/>
        <v>74022.392825354735</v>
      </c>
      <c r="G3" s="124">
        <f t="shared" si="0"/>
        <v>78479.463159009349</v>
      </c>
      <c r="H3" s="124">
        <f t="shared" si="0"/>
        <v>82036.167771557841</v>
      </c>
      <c r="I3" s="124">
        <f t="shared" si="0"/>
        <v>79074.948088052537</v>
      </c>
      <c r="J3" s="124">
        <f t="shared" si="0"/>
        <v>68084.374728674811</v>
      </c>
      <c r="K3" s="124">
        <f t="shared" si="0"/>
        <v>9017.1534485589054</v>
      </c>
      <c r="L3" s="124">
        <f t="shared" si="0"/>
        <v>43815.979955540875</v>
      </c>
      <c r="M3" s="124">
        <f t="shared" si="0"/>
        <v>17419.827129729889</v>
      </c>
      <c r="N3" s="124">
        <f t="shared" si="0"/>
        <v>31986.038070070186</v>
      </c>
      <c r="O3" s="124">
        <f t="shared" si="0"/>
        <v>9230.2595466576277</v>
      </c>
      <c r="P3" s="124">
        <f t="shared" si="0"/>
        <v>22288.816589834936</v>
      </c>
      <c r="Q3" s="124">
        <f t="shared" si="0"/>
        <v>32790.427051820261</v>
      </c>
      <c r="R3" s="124">
        <f t="shared" si="0"/>
        <v>37524.092788492824</v>
      </c>
      <c r="S3" s="124">
        <f t="shared" si="0"/>
        <v>37073.053895668592</v>
      </c>
      <c r="T3" s="124">
        <f t="shared" si="0"/>
        <v>37343.410204876156</v>
      </c>
      <c r="U3" s="124">
        <f t="shared" si="0"/>
        <v>34688.435566741828</v>
      </c>
      <c r="V3" s="124">
        <f t="shared" si="0"/>
        <v>32670.487934773242</v>
      </c>
      <c r="W3" s="124">
        <f t="shared" si="0"/>
        <v>31873.546513725389</v>
      </c>
      <c r="X3" s="124">
        <f t="shared" si="0"/>
        <v>31209.724278879985</v>
      </c>
      <c r="Y3" s="124">
        <f t="shared" si="0"/>
        <v>30816.241282247458</v>
      </c>
      <c r="DA3" s="168" t="s">
        <v>570</v>
      </c>
    </row>
    <row r="4" spans="1:105" ht="12.95" customHeight="1" x14ac:dyDescent="0.25">
      <c r="A4" s="129" t="s">
        <v>32</v>
      </c>
      <c r="B4" s="139"/>
      <c r="C4" s="139">
        <f t="shared" ref="C4:Q4" si="1">SUM(C5:C14)</f>
        <v>60848.151193081037</v>
      </c>
      <c r="D4" s="139">
        <f t="shared" si="1"/>
        <v>61362.103507895758</v>
      </c>
      <c r="E4" s="139">
        <f t="shared" si="1"/>
        <v>73032.289826104839</v>
      </c>
      <c r="F4" s="139">
        <f t="shared" si="1"/>
        <v>74022.392825354735</v>
      </c>
      <c r="G4" s="139">
        <f t="shared" si="1"/>
        <v>78479.463159009349</v>
      </c>
      <c r="H4" s="139">
        <f t="shared" si="1"/>
        <v>82036.167771557841</v>
      </c>
      <c r="I4" s="139">
        <f t="shared" si="1"/>
        <v>79074.948088052537</v>
      </c>
      <c r="J4" s="139">
        <f t="shared" si="1"/>
        <v>68084.374728674811</v>
      </c>
      <c r="K4" s="139">
        <f t="shared" si="1"/>
        <v>9017.1534485589054</v>
      </c>
      <c r="L4" s="139">
        <f t="shared" si="1"/>
        <v>43815.979955540875</v>
      </c>
      <c r="M4" s="139">
        <f t="shared" si="1"/>
        <v>17419.827129729889</v>
      </c>
      <c r="N4" s="139">
        <f t="shared" si="1"/>
        <v>31986.038070070186</v>
      </c>
      <c r="O4" s="139">
        <f t="shared" si="1"/>
        <v>9230.2595466576277</v>
      </c>
      <c r="P4" s="139">
        <f t="shared" si="1"/>
        <v>22288.816589834936</v>
      </c>
      <c r="Q4" s="139">
        <f t="shared" si="1"/>
        <v>32790.427051820261</v>
      </c>
      <c r="R4" s="139">
        <f t="shared" ref="R4:W4" si="2">SUM(R5:R14)</f>
        <v>37524.092788492824</v>
      </c>
      <c r="S4" s="139">
        <f t="shared" si="2"/>
        <v>37073.053895668592</v>
      </c>
      <c r="T4" s="139">
        <f t="shared" si="2"/>
        <v>37343.410204876156</v>
      </c>
      <c r="U4" s="139">
        <f t="shared" si="2"/>
        <v>34688.435566741828</v>
      </c>
      <c r="V4" s="139">
        <f t="shared" si="2"/>
        <v>32670.487934773242</v>
      </c>
      <c r="W4" s="139">
        <f t="shared" si="2"/>
        <v>31873.546513725389</v>
      </c>
      <c r="X4" s="139">
        <f t="shared" ref="X4:Y4" si="3">SUM(X5:X14)</f>
        <v>31209.724278879985</v>
      </c>
      <c r="Y4" s="139">
        <f t="shared" si="3"/>
        <v>30816.241282247458</v>
      </c>
      <c r="DA4" s="169" t="s">
        <v>571</v>
      </c>
    </row>
    <row r="5" spans="1:105" ht="12" customHeight="1" x14ac:dyDescent="0.25">
      <c r="A5" s="131" t="s">
        <v>29</v>
      </c>
      <c r="B5" s="140"/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DA5" s="170" t="s">
        <v>572</v>
      </c>
    </row>
    <row r="6" spans="1:105" ht="12" customHeight="1" x14ac:dyDescent="0.25">
      <c r="A6" s="131" t="s">
        <v>52</v>
      </c>
      <c r="B6" s="140"/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573</v>
      </c>
    </row>
    <row r="7" spans="1:105" ht="12" customHeight="1" x14ac:dyDescent="0.25">
      <c r="A7" s="131" t="s">
        <v>161</v>
      </c>
      <c r="B7" s="140"/>
      <c r="C7" s="140">
        <v>58708.795589630048</v>
      </c>
      <c r="D7" s="140">
        <v>58741.7304971173</v>
      </c>
      <c r="E7" s="140">
        <v>69951.735900592757</v>
      </c>
      <c r="F7" s="140">
        <v>34228.97581609615</v>
      </c>
      <c r="G7" s="140">
        <v>0</v>
      </c>
      <c r="H7" s="140">
        <v>0</v>
      </c>
      <c r="I7" s="140">
        <v>0</v>
      </c>
      <c r="J7" s="140">
        <v>0</v>
      </c>
      <c r="K7" s="140">
        <v>0</v>
      </c>
      <c r="L7" s="140">
        <v>12494.633451732398</v>
      </c>
      <c r="M7" s="140">
        <v>10702.353835570932</v>
      </c>
      <c r="N7" s="140">
        <v>16970.334959866737</v>
      </c>
      <c r="O7" s="140">
        <v>5093.613136722116</v>
      </c>
      <c r="P7" s="140">
        <v>864.62903177549754</v>
      </c>
      <c r="Q7" s="140">
        <v>1538.9528964717219</v>
      </c>
      <c r="R7" s="140">
        <v>8533.4113249249785</v>
      </c>
      <c r="S7" s="140">
        <v>13049.797329182298</v>
      </c>
      <c r="T7" s="140">
        <v>11472.130592174435</v>
      </c>
      <c r="U7" s="140">
        <v>1361.6050216092428</v>
      </c>
      <c r="V7" s="140">
        <v>0</v>
      </c>
      <c r="W7" s="140">
        <v>0</v>
      </c>
      <c r="X7" s="140">
        <v>0</v>
      </c>
      <c r="Y7" s="140">
        <v>0</v>
      </c>
      <c r="DA7" s="170" t="s">
        <v>574</v>
      </c>
    </row>
    <row r="8" spans="1:105" ht="12" customHeight="1" x14ac:dyDescent="0.25">
      <c r="A8" s="131" t="s">
        <v>73</v>
      </c>
      <c r="B8" s="140"/>
      <c r="C8" s="140">
        <v>4.9867863016067506</v>
      </c>
      <c r="D8" s="140">
        <v>7.0626639804130917</v>
      </c>
      <c r="E8" s="140">
        <v>16.024002321191279</v>
      </c>
      <c r="F8" s="140">
        <v>39.058961590295333</v>
      </c>
      <c r="G8" s="140">
        <v>45.712231416513156</v>
      </c>
      <c r="H8" s="140">
        <v>27.160626417567766</v>
      </c>
      <c r="I8" s="140">
        <v>68.098669350221755</v>
      </c>
      <c r="J8" s="140">
        <v>35.569143063582302</v>
      </c>
      <c r="K8" s="140">
        <v>10.260365543805726</v>
      </c>
      <c r="L8" s="140">
        <v>105.32439311011885</v>
      </c>
      <c r="M8" s="140">
        <v>84.137487658834786</v>
      </c>
      <c r="N8" s="140">
        <v>395.44156168480032</v>
      </c>
      <c r="O8" s="140">
        <v>181.97853807954044</v>
      </c>
      <c r="P8" s="140">
        <v>1005.1566316175072</v>
      </c>
      <c r="Q8" s="140">
        <v>1315.2477833028863</v>
      </c>
      <c r="R8" s="140">
        <v>1208.3521629013244</v>
      </c>
      <c r="S8" s="140">
        <v>974.69294222123574</v>
      </c>
      <c r="T8" s="140">
        <v>702.00520233402256</v>
      </c>
      <c r="U8" s="140">
        <v>1404.4224607850197</v>
      </c>
      <c r="V8" s="140">
        <v>491.39782647630062</v>
      </c>
      <c r="W8" s="140">
        <v>1071.7559378714673</v>
      </c>
      <c r="X8" s="140">
        <v>1112.575709673072</v>
      </c>
      <c r="Y8" s="140">
        <v>1380.7371451837732</v>
      </c>
      <c r="DA8" s="170" t="s">
        <v>575</v>
      </c>
    </row>
    <row r="9" spans="1:105" ht="12" customHeight="1" x14ac:dyDescent="0.25">
      <c r="A9" s="131" t="s">
        <v>78</v>
      </c>
      <c r="B9" s="140"/>
      <c r="C9" s="140">
        <v>0</v>
      </c>
      <c r="D9" s="140">
        <v>0</v>
      </c>
      <c r="E9" s="140">
        <v>0</v>
      </c>
      <c r="F9" s="140">
        <v>17698.847578455629</v>
      </c>
      <c r="G9" s="140">
        <v>58841.200233739073</v>
      </c>
      <c r="H9" s="140">
        <v>53255.015833385529</v>
      </c>
      <c r="I9" s="140">
        <v>31115.115908414649</v>
      </c>
      <c r="J9" s="140">
        <v>29549.900071918284</v>
      </c>
      <c r="K9" s="140">
        <v>5810.179890665001</v>
      </c>
      <c r="L9" s="140">
        <v>27219.814989123395</v>
      </c>
      <c r="M9" s="140">
        <v>4152.9102674699434</v>
      </c>
      <c r="N9" s="140">
        <v>4608.661680906921</v>
      </c>
      <c r="O9" s="140">
        <v>0</v>
      </c>
      <c r="P9" s="140">
        <v>0</v>
      </c>
      <c r="Q9" s="140">
        <v>0</v>
      </c>
      <c r="R9" s="140">
        <v>0</v>
      </c>
      <c r="S9" s="140">
        <v>0</v>
      </c>
      <c r="T9" s="140">
        <v>4698.5021422649279</v>
      </c>
      <c r="U9" s="140">
        <v>12663.861803561673</v>
      </c>
      <c r="V9" s="140">
        <v>12931.136360448436</v>
      </c>
      <c r="W9" s="140">
        <v>16854.532863356286</v>
      </c>
      <c r="X9" s="140">
        <v>12905.160319926646</v>
      </c>
      <c r="Y9" s="140">
        <v>9280.9686079673356</v>
      </c>
      <c r="DA9" s="170" t="s">
        <v>576</v>
      </c>
    </row>
    <row r="10" spans="1:105" ht="12" customHeight="1" x14ac:dyDescent="0.25">
      <c r="A10" s="131" t="s">
        <v>128</v>
      </c>
      <c r="B10" s="140"/>
      <c r="C10" s="140">
        <v>1456.8342288660892</v>
      </c>
      <c r="D10" s="140">
        <v>1619.2576630472704</v>
      </c>
      <c r="E10" s="140">
        <v>1308.6589400849352</v>
      </c>
      <c r="F10" s="140">
        <v>1719.0314564726586</v>
      </c>
      <c r="G10" s="140">
        <v>592.77678682730755</v>
      </c>
      <c r="H10" s="140">
        <v>740.72510160965749</v>
      </c>
      <c r="I10" s="140">
        <v>3290.1011268123943</v>
      </c>
      <c r="J10" s="140">
        <v>997.08824652956605</v>
      </c>
      <c r="K10" s="140">
        <v>13.245089039414458</v>
      </c>
      <c r="L10" s="140">
        <v>0</v>
      </c>
      <c r="M10" s="140">
        <v>390.7081021338991</v>
      </c>
      <c r="N10" s="140">
        <v>1747.5710502863765</v>
      </c>
      <c r="O10" s="140">
        <v>577.68164589942671</v>
      </c>
      <c r="P10" s="140">
        <v>2552.474956896981</v>
      </c>
      <c r="Q10" s="140">
        <v>2816.5231107365198</v>
      </c>
      <c r="R10" s="140">
        <v>1692.6317377940484</v>
      </c>
      <c r="S10" s="140">
        <v>489.85534766543611</v>
      </c>
      <c r="T10" s="140">
        <v>0</v>
      </c>
      <c r="U10" s="140">
        <v>0</v>
      </c>
      <c r="V10" s="140">
        <v>0</v>
      </c>
      <c r="W10" s="140">
        <v>213.11730904794726</v>
      </c>
      <c r="X10" s="140">
        <v>499.09323477991137</v>
      </c>
      <c r="Y10" s="140">
        <v>1003.775640907234</v>
      </c>
      <c r="DA10" s="170" t="s">
        <v>577</v>
      </c>
    </row>
    <row r="11" spans="1:105" ht="12" customHeight="1" x14ac:dyDescent="0.25">
      <c r="A11" s="131" t="s">
        <v>25</v>
      </c>
      <c r="B11" s="140"/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3.2910273377569507E-2</v>
      </c>
      <c r="J11" s="140">
        <v>0</v>
      </c>
      <c r="K11" s="140">
        <v>0</v>
      </c>
      <c r="L11" s="140">
        <v>0</v>
      </c>
      <c r="M11" s="140">
        <v>0.15497533680729711</v>
      </c>
      <c r="N11" s="140">
        <v>2.7291600725677103</v>
      </c>
      <c r="O11" s="140">
        <v>3.7078818181670115</v>
      </c>
      <c r="P11" s="140">
        <v>3.511755334619246</v>
      </c>
      <c r="Q11" s="140">
        <v>1.1209338591345321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DA11" s="170" t="s">
        <v>578</v>
      </c>
    </row>
    <row r="12" spans="1:105" ht="12" customHeight="1" x14ac:dyDescent="0.25">
      <c r="A12" s="131" t="s">
        <v>162</v>
      </c>
      <c r="B12" s="140"/>
      <c r="C12" s="140">
        <v>0</v>
      </c>
      <c r="D12" s="140">
        <v>0</v>
      </c>
      <c r="E12" s="140">
        <v>0</v>
      </c>
      <c r="F12" s="140">
        <v>0</v>
      </c>
      <c r="G12" s="140">
        <v>0</v>
      </c>
      <c r="H12" s="140">
        <v>0</v>
      </c>
      <c r="I12" s="140">
        <v>0</v>
      </c>
      <c r="J12" s="140">
        <v>0</v>
      </c>
      <c r="K12" s="140">
        <v>0</v>
      </c>
      <c r="L12" s="140">
        <v>0</v>
      </c>
      <c r="M12" s="140">
        <v>0</v>
      </c>
      <c r="N12" s="140">
        <v>0</v>
      </c>
      <c r="O12" s="140">
        <v>0</v>
      </c>
      <c r="P12" s="140">
        <v>0</v>
      </c>
      <c r="Q12" s="140">
        <v>0</v>
      </c>
      <c r="R12" s="140">
        <v>0</v>
      </c>
      <c r="S12" s="140">
        <v>0</v>
      </c>
      <c r="T12" s="140">
        <v>0</v>
      </c>
      <c r="U12" s="140">
        <v>0</v>
      </c>
      <c r="V12" s="140">
        <v>0</v>
      </c>
      <c r="W12" s="140">
        <v>0</v>
      </c>
      <c r="X12" s="140">
        <v>0</v>
      </c>
      <c r="Y12" s="140">
        <v>0</v>
      </c>
      <c r="DA12" s="170" t="s">
        <v>579</v>
      </c>
    </row>
    <row r="13" spans="1:105" ht="12" customHeight="1" x14ac:dyDescent="0.25">
      <c r="A13" s="131" t="s">
        <v>77</v>
      </c>
      <c r="B13" s="140"/>
      <c r="C13" s="140">
        <v>677.53458828329792</v>
      </c>
      <c r="D13" s="140">
        <v>994.05268375077685</v>
      </c>
      <c r="E13" s="140">
        <v>1755.8709831059584</v>
      </c>
      <c r="F13" s="140">
        <v>1760.3427040904801</v>
      </c>
      <c r="G13" s="140">
        <v>2355.2602884854068</v>
      </c>
      <c r="H13" s="140">
        <v>1775.9224161618984</v>
      </c>
      <c r="I13" s="140">
        <v>7863.9170674694105</v>
      </c>
      <c r="J13" s="140">
        <v>6706.5635194972747</v>
      </c>
      <c r="K13" s="140">
        <v>1084.2215259901789</v>
      </c>
      <c r="L13" s="140">
        <v>3996.2071215749661</v>
      </c>
      <c r="M13" s="140">
        <v>2089.5624615594743</v>
      </c>
      <c r="N13" s="140">
        <v>8261.2996572527827</v>
      </c>
      <c r="O13" s="140">
        <v>3373.2783441383781</v>
      </c>
      <c r="P13" s="140">
        <v>17863.044214210331</v>
      </c>
      <c r="Q13" s="140">
        <v>27118.58232745</v>
      </c>
      <c r="R13" s="140">
        <v>26089.697562872476</v>
      </c>
      <c r="S13" s="140">
        <v>19364.625140149143</v>
      </c>
      <c r="T13" s="140">
        <v>18551.054117455376</v>
      </c>
      <c r="U13" s="140">
        <v>18829.76945600965</v>
      </c>
      <c r="V13" s="140">
        <v>19247.953747848507</v>
      </c>
      <c r="W13" s="140">
        <v>13422.434894958766</v>
      </c>
      <c r="X13" s="140">
        <v>15246.976547009765</v>
      </c>
      <c r="Y13" s="140">
        <v>18614.595800412175</v>
      </c>
      <c r="DA13" s="170" t="s">
        <v>580</v>
      </c>
    </row>
    <row r="14" spans="1:105" ht="12" customHeight="1" x14ac:dyDescent="0.25">
      <c r="A14" s="60" t="s">
        <v>76</v>
      </c>
      <c r="B14" s="141"/>
      <c r="C14" s="141">
        <v>0</v>
      </c>
      <c r="D14" s="141">
        <v>0</v>
      </c>
      <c r="E14" s="141">
        <v>0</v>
      </c>
      <c r="F14" s="141">
        <v>18576.136308649522</v>
      </c>
      <c r="G14" s="141">
        <v>16644.513618541052</v>
      </c>
      <c r="H14" s="141">
        <v>26237.3437939832</v>
      </c>
      <c r="I14" s="141">
        <v>36737.682405732485</v>
      </c>
      <c r="J14" s="141">
        <v>30795.253747666113</v>
      </c>
      <c r="K14" s="141">
        <v>2099.2465773205045</v>
      </c>
      <c r="L14" s="141">
        <v>0</v>
      </c>
      <c r="M14" s="141">
        <v>0</v>
      </c>
      <c r="N14" s="141">
        <v>0</v>
      </c>
      <c r="O14" s="141">
        <v>0</v>
      </c>
      <c r="P14" s="141">
        <v>0</v>
      </c>
      <c r="Q14" s="141">
        <v>0</v>
      </c>
      <c r="R14" s="141">
        <v>0</v>
      </c>
      <c r="S14" s="141">
        <v>3194.0831364504738</v>
      </c>
      <c r="T14" s="141">
        <v>1919.7181506473903</v>
      </c>
      <c r="U14" s="141">
        <v>428.77682477624438</v>
      </c>
      <c r="V14" s="141">
        <v>0</v>
      </c>
      <c r="W14" s="141">
        <v>311.70550849092103</v>
      </c>
      <c r="X14" s="141">
        <v>1445.9184674905912</v>
      </c>
      <c r="Y14" s="141">
        <v>536.16408777693914</v>
      </c>
      <c r="DA14" s="171" t="s">
        <v>581</v>
      </c>
    </row>
    <row r="15" spans="1:105" ht="12" customHeight="1" x14ac:dyDescent="0.25">
      <c r="A15" s="142" t="s">
        <v>75</v>
      </c>
      <c r="B15" s="143"/>
      <c r="C15" s="143">
        <f t="shared" ref="C15:Q15" si="4">SUM(C5:C12)</f>
        <v>60170.616604797739</v>
      </c>
      <c r="D15" s="143">
        <f t="shared" si="4"/>
        <v>60368.050824144979</v>
      </c>
      <c r="E15" s="143">
        <f t="shared" si="4"/>
        <v>71276.418842998886</v>
      </c>
      <c r="F15" s="143">
        <f t="shared" si="4"/>
        <v>53685.91381261473</v>
      </c>
      <c r="G15" s="143">
        <f t="shared" si="4"/>
        <v>59479.689251982891</v>
      </c>
      <c r="H15" s="143">
        <f t="shared" si="4"/>
        <v>54022.901561412749</v>
      </c>
      <c r="I15" s="143">
        <f t="shared" si="4"/>
        <v>34473.348614850634</v>
      </c>
      <c r="J15" s="143">
        <f t="shared" si="4"/>
        <v>30582.557461511431</v>
      </c>
      <c r="K15" s="143">
        <f t="shared" si="4"/>
        <v>5833.6853452482219</v>
      </c>
      <c r="L15" s="143">
        <f t="shared" si="4"/>
        <v>39819.772833965908</v>
      </c>
      <c r="M15" s="143">
        <f t="shared" si="4"/>
        <v>15330.264668170415</v>
      </c>
      <c r="N15" s="143">
        <f t="shared" si="4"/>
        <v>23724.738412817405</v>
      </c>
      <c r="O15" s="143">
        <f t="shared" si="4"/>
        <v>5856.9812025192496</v>
      </c>
      <c r="P15" s="143">
        <f t="shared" si="4"/>
        <v>4425.772375624605</v>
      </c>
      <c r="Q15" s="143">
        <f t="shared" si="4"/>
        <v>5671.8447243702622</v>
      </c>
      <c r="R15" s="143">
        <f t="shared" ref="R15:W15" si="5">SUM(R5:R12)</f>
        <v>11434.395225620352</v>
      </c>
      <c r="S15" s="143">
        <f t="shared" si="5"/>
        <v>14514.34561906897</v>
      </c>
      <c r="T15" s="143">
        <f t="shared" si="5"/>
        <v>16872.637936773386</v>
      </c>
      <c r="U15" s="143">
        <f t="shared" si="5"/>
        <v>15429.889285955935</v>
      </c>
      <c r="V15" s="143">
        <f t="shared" si="5"/>
        <v>13422.534186924737</v>
      </c>
      <c r="W15" s="143">
        <f t="shared" si="5"/>
        <v>18139.4061102757</v>
      </c>
      <c r="X15" s="143">
        <f t="shared" ref="X15:Y15" si="6">SUM(X5:X12)</f>
        <v>14516.82926437963</v>
      </c>
      <c r="Y15" s="143">
        <f t="shared" si="6"/>
        <v>11665.481394058343</v>
      </c>
      <c r="DA15" s="172"/>
    </row>
    <row r="16" spans="1:105" ht="12.95" customHeight="1" x14ac:dyDescent="0.25">
      <c r="A16" s="129" t="s">
        <v>74</v>
      </c>
      <c r="B16" s="139"/>
      <c r="C16" s="139">
        <f t="shared" ref="C16:Q16" si="7">SUM(C17:C18)</f>
        <v>60848.151193081045</v>
      </c>
      <c r="D16" s="139">
        <f t="shared" si="7"/>
        <v>61362.103507895772</v>
      </c>
      <c r="E16" s="139">
        <f t="shared" si="7"/>
        <v>73032.289826104839</v>
      </c>
      <c r="F16" s="139">
        <f t="shared" si="7"/>
        <v>74022.392825354706</v>
      </c>
      <c r="G16" s="139">
        <f t="shared" si="7"/>
        <v>78479.463159009363</v>
      </c>
      <c r="H16" s="139">
        <f t="shared" si="7"/>
        <v>82036.167771557855</v>
      </c>
      <c r="I16" s="139">
        <f t="shared" si="7"/>
        <v>79074.948088052523</v>
      </c>
      <c r="J16" s="139">
        <f t="shared" si="7"/>
        <v>68084.374728674797</v>
      </c>
      <c r="K16" s="139">
        <f t="shared" si="7"/>
        <v>9017.1534485589073</v>
      </c>
      <c r="L16" s="139">
        <f t="shared" si="7"/>
        <v>43815.979955540883</v>
      </c>
      <c r="M16" s="139">
        <f t="shared" si="7"/>
        <v>17419.827129729892</v>
      </c>
      <c r="N16" s="139">
        <f t="shared" si="7"/>
        <v>31986.03807007019</v>
      </c>
      <c r="O16" s="139">
        <f t="shared" si="7"/>
        <v>9230.2595466576277</v>
      </c>
      <c r="P16" s="139">
        <f t="shared" si="7"/>
        <v>22288.816589834936</v>
      </c>
      <c r="Q16" s="139">
        <f t="shared" si="7"/>
        <v>32790.427051820261</v>
      </c>
      <c r="R16" s="139">
        <f t="shared" ref="R16:W16" si="8">SUM(R17:R18)</f>
        <v>37524.092788492817</v>
      </c>
      <c r="S16" s="139">
        <f t="shared" si="8"/>
        <v>37073.053895668592</v>
      </c>
      <c r="T16" s="139">
        <f t="shared" si="8"/>
        <v>37343.410204876149</v>
      </c>
      <c r="U16" s="139">
        <f t="shared" si="8"/>
        <v>34688.435566741828</v>
      </c>
      <c r="V16" s="139">
        <f t="shared" si="8"/>
        <v>32670.487934773239</v>
      </c>
      <c r="W16" s="139">
        <f t="shared" si="8"/>
        <v>31873.546513725389</v>
      </c>
      <c r="X16" s="139">
        <f t="shared" ref="X16:Y16" si="9">SUM(X17:X18)</f>
        <v>31209.724278879989</v>
      </c>
      <c r="Y16" s="139">
        <f t="shared" si="9"/>
        <v>30816.241282247454</v>
      </c>
      <c r="DA16" s="169" t="s">
        <v>582</v>
      </c>
    </row>
    <row r="17" spans="1:105" ht="12.95" customHeight="1" x14ac:dyDescent="0.25">
      <c r="A17" s="131" t="s">
        <v>73</v>
      </c>
      <c r="B17" s="140"/>
      <c r="C17" s="140">
        <v>44.273550058306768</v>
      </c>
      <c r="D17" s="140">
        <v>26.764222852701756</v>
      </c>
      <c r="E17" s="140">
        <v>86.953524400564689</v>
      </c>
      <c r="F17" s="140">
        <v>140.45186478250949</v>
      </c>
      <c r="G17" s="140">
        <v>90.967520726477687</v>
      </c>
      <c r="H17" s="140">
        <v>128.40731090491516</v>
      </c>
      <c r="I17" s="140">
        <v>94.088820214951582</v>
      </c>
      <c r="J17" s="140">
        <v>132.87817022124932</v>
      </c>
      <c r="K17" s="140">
        <v>16.974426392061524</v>
      </c>
      <c r="L17" s="140">
        <v>111.33885322765879</v>
      </c>
      <c r="M17" s="140">
        <v>52.125515222590501</v>
      </c>
      <c r="N17" s="140">
        <v>93.596431810035313</v>
      </c>
      <c r="O17" s="140">
        <v>54.753282362857945</v>
      </c>
      <c r="P17" s="140">
        <v>102.46250518554885</v>
      </c>
      <c r="Q17" s="140">
        <v>180.99384042877489</v>
      </c>
      <c r="R17" s="140">
        <v>235.44613357002123</v>
      </c>
      <c r="S17" s="140">
        <v>174.35614997492786</v>
      </c>
      <c r="T17" s="140">
        <v>332.61215275790499</v>
      </c>
      <c r="U17" s="140">
        <v>192.77844365326268</v>
      </c>
      <c r="V17" s="140">
        <v>193.47916415946906</v>
      </c>
      <c r="W17" s="140">
        <v>176.07882268476678</v>
      </c>
      <c r="X17" s="140">
        <v>155.27973602897407</v>
      </c>
      <c r="Y17" s="140">
        <v>177.58138003339388</v>
      </c>
      <c r="DA17" s="170" t="s">
        <v>583</v>
      </c>
    </row>
    <row r="18" spans="1:105" ht="12" customHeight="1" x14ac:dyDescent="0.25">
      <c r="A18" s="131" t="s">
        <v>72</v>
      </c>
      <c r="B18" s="140"/>
      <c r="C18" s="140">
        <v>60803.877643022737</v>
      </c>
      <c r="D18" s="140">
        <v>61335.339285043068</v>
      </c>
      <c r="E18" s="140">
        <v>72945.336301704272</v>
      </c>
      <c r="F18" s="140">
        <v>73881.940960572203</v>
      </c>
      <c r="G18" s="140">
        <v>78388.495638282882</v>
      </c>
      <c r="H18" s="140">
        <v>81907.760460652935</v>
      </c>
      <c r="I18" s="140">
        <v>78980.859267837572</v>
      </c>
      <c r="J18" s="140">
        <v>67951.496558453553</v>
      </c>
      <c r="K18" s="140">
        <v>9000.1790221668452</v>
      </c>
      <c r="L18" s="140">
        <v>43704.641102313224</v>
      </c>
      <c r="M18" s="140">
        <v>17367.701614507303</v>
      </c>
      <c r="N18" s="140">
        <v>31892.441638260156</v>
      </c>
      <c r="O18" s="140">
        <v>9175.5062642947705</v>
      </c>
      <c r="P18" s="140">
        <v>22186.354084649389</v>
      </c>
      <c r="Q18" s="140">
        <v>32609.43321139149</v>
      </c>
      <c r="R18" s="140">
        <v>37288.646654922799</v>
      </c>
      <c r="S18" s="140">
        <v>36898.697745693666</v>
      </c>
      <c r="T18" s="140">
        <v>37010.798052118247</v>
      </c>
      <c r="U18" s="140">
        <v>34495.657123088567</v>
      </c>
      <c r="V18" s="140">
        <v>32477.008770613771</v>
      </c>
      <c r="W18" s="140">
        <v>31697.467691040623</v>
      </c>
      <c r="X18" s="140">
        <v>31054.444542851015</v>
      </c>
      <c r="Y18" s="140">
        <v>30638.659902214062</v>
      </c>
      <c r="DA18" s="170" t="s">
        <v>584</v>
      </c>
    </row>
    <row r="19" spans="1:105" ht="12.95" customHeight="1" x14ac:dyDescent="0.25">
      <c r="A19" s="129" t="s">
        <v>35</v>
      </c>
      <c r="B19" s="139"/>
      <c r="C19" s="139">
        <f t="shared" ref="C19:Q19" si="10">SUM(C20:C26)</f>
        <v>60848.151193081037</v>
      </c>
      <c r="D19" s="139">
        <f t="shared" si="10"/>
        <v>61362.103507895765</v>
      </c>
      <c r="E19" s="139">
        <f t="shared" si="10"/>
        <v>73032.289826104825</v>
      </c>
      <c r="F19" s="139">
        <f t="shared" si="10"/>
        <v>74022.392825354735</v>
      </c>
      <c r="G19" s="139">
        <f t="shared" si="10"/>
        <v>78479.463159009349</v>
      </c>
      <c r="H19" s="139">
        <f t="shared" si="10"/>
        <v>82036.16777155787</v>
      </c>
      <c r="I19" s="139">
        <f t="shared" si="10"/>
        <v>79074.948088052523</v>
      </c>
      <c r="J19" s="139">
        <f t="shared" si="10"/>
        <v>68084.374728674826</v>
      </c>
      <c r="K19" s="139">
        <f t="shared" si="10"/>
        <v>9017.1534485589054</v>
      </c>
      <c r="L19" s="139">
        <f t="shared" si="10"/>
        <v>43815.979955540883</v>
      </c>
      <c r="M19" s="139">
        <f t="shared" si="10"/>
        <v>17419.827129729892</v>
      </c>
      <c r="N19" s="139">
        <f t="shared" si="10"/>
        <v>31986.038070070186</v>
      </c>
      <c r="O19" s="139">
        <f t="shared" si="10"/>
        <v>9230.2595466576277</v>
      </c>
      <c r="P19" s="139">
        <f t="shared" si="10"/>
        <v>22288.81658983494</v>
      </c>
      <c r="Q19" s="139">
        <f t="shared" si="10"/>
        <v>32790.427051820268</v>
      </c>
      <c r="R19" s="139">
        <f t="shared" ref="R19:W19" si="11">SUM(R20:R26)</f>
        <v>37524.092788492824</v>
      </c>
      <c r="S19" s="139">
        <f t="shared" si="11"/>
        <v>37073.053895668592</v>
      </c>
      <c r="T19" s="139">
        <f t="shared" si="11"/>
        <v>37343.410204876142</v>
      </c>
      <c r="U19" s="139">
        <f t="shared" si="11"/>
        <v>34688.435566741835</v>
      </c>
      <c r="V19" s="139">
        <f t="shared" si="11"/>
        <v>32670.487934773242</v>
      </c>
      <c r="W19" s="139">
        <f t="shared" si="11"/>
        <v>31873.546513725389</v>
      </c>
      <c r="X19" s="139">
        <f t="shared" ref="X19:Y19" si="12">SUM(X20:X26)</f>
        <v>31209.724278879985</v>
      </c>
      <c r="Y19" s="139">
        <f t="shared" si="12"/>
        <v>30816.241282247451</v>
      </c>
      <c r="DA19" s="169" t="s">
        <v>585</v>
      </c>
    </row>
    <row r="20" spans="1:105" ht="12" customHeight="1" x14ac:dyDescent="0.25">
      <c r="A20" s="131" t="s">
        <v>29</v>
      </c>
      <c r="B20" s="140"/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586</v>
      </c>
    </row>
    <row r="21" spans="1:105" s="2" customFormat="1" ht="12" customHeight="1" x14ac:dyDescent="0.25">
      <c r="A21" s="131" t="s">
        <v>52</v>
      </c>
      <c r="B21" s="140"/>
      <c r="C21" s="140">
        <v>1334.7694676384558</v>
      </c>
      <c r="D21" s="140">
        <v>1152.3610260564071</v>
      </c>
      <c r="E21" s="140">
        <v>1399.2846975577227</v>
      </c>
      <c r="F21" s="140">
        <v>972.94175575310032</v>
      </c>
      <c r="G21" s="140">
        <v>2133.0790139063852</v>
      </c>
      <c r="H21" s="140">
        <v>2611.3270675381023</v>
      </c>
      <c r="I21" s="140">
        <v>2821.9526866445235</v>
      </c>
      <c r="J21" s="140">
        <v>2380.0915089346545</v>
      </c>
      <c r="K21" s="140">
        <v>469.58790132850794</v>
      </c>
      <c r="L21" s="140">
        <v>1802.6950457095372</v>
      </c>
      <c r="M21" s="140">
        <v>822.62199023392918</v>
      </c>
      <c r="N21" s="140">
        <v>1456.341170925908</v>
      </c>
      <c r="O21" s="140">
        <v>451.05317715286293</v>
      </c>
      <c r="P21" s="140">
        <v>876.81801835149508</v>
      </c>
      <c r="Q21" s="140">
        <v>1728.149428283828</v>
      </c>
      <c r="R21" s="140">
        <v>1472.0627456074881</v>
      </c>
      <c r="S21" s="140">
        <v>799.38902259619033</v>
      </c>
      <c r="T21" s="140">
        <v>0</v>
      </c>
      <c r="U21" s="140">
        <v>0</v>
      </c>
      <c r="V21" s="140">
        <v>0</v>
      </c>
      <c r="W21" s="140">
        <v>1228.3995155751841</v>
      </c>
      <c r="X21" s="140">
        <v>3155.2341546294142</v>
      </c>
      <c r="Y21" s="140">
        <v>4176.791621746831</v>
      </c>
      <c r="DA21" s="170" t="s">
        <v>587</v>
      </c>
    </row>
    <row r="22" spans="1:105" ht="12" customHeight="1" x14ac:dyDescent="0.25">
      <c r="A22" s="131" t="s">
        <v>161</v>
      </c>
      <c r="B22" s="140"/>
      <c r="C22" s="140">
        <v>12012.05868920043</v>
      </c>
      <c r="D22" s="140">
        <v>10658.815983923261</v>
      </c>
      <c r="E22" s="140">
        <v>14310.333572810154</v>
      </c>
      <c r="F22" s="140">
        <v>11833.401993963624</v>
      </c>
      <c r="G22" s="140">
        <v>13192.871185145123</v>
      </c>
      <c r="H22" s="140">
        <v>9787.2016810064233</v>
      </c>
      <c r="I22" s="140">
        <v>8084.2136743154442</v>
      </c>
      <c r="J22" s="140">
        <v>7918.6741247052414</v>
      </c>
      <c r="K22" s="140">
        <v>2021.0085421683507</v>
      </c>
      <c r="L22" s="140">
        <v>9653.8705413815987</v>
      </c>
      <c r="M22" s="140">
        <v>5123.161368772272</v>
      </c>
      <c r="N22" s="140">
        <v>10026.015522219623</v>
      </c>
      <c r="O22" s="140">
        <v>3460.1654793705616</v>
      </c>
      <c r="P22" s="140">
        <v>9601.1032017738617</v>
      </c>
      <c r="Q22" s="140">
        <v>18109.27871232606</v>
      </c>
      <c r="R22" s="140">
        <v>14697.066592381621</v>
      </c>
      <c r="S22" s="140">
        <v>9974.3448410280598</v>
      </c>
      <c r="T22" s="140">
        <v>7162.0441566886739</v>
      </c>
      <c r="U22" s="140">
        <v>7989.7923824218551</v>
      </c>
      <c r="V22" s="140">
        <v>10121.7403217221</v>
      </c>
      <c r="W22" s="140">
        <v>7797.9930061268042</v>
      </c>
      <c r="X22" s="140">
        <v>6406.5448132938363</v>
      </c>
      <c r="Y22" s="140">
        <v>5865.3318697843215</v>
      </c>
      <c r="DA22" s="170" t="s">
        <v>588</v>
      </c>
    </row>
    <row r="23" spans="1:105" ht="12" customHeight="1" x14ac:dyDescent="0.25">
      <c r="A23" s="131" t="s">
        <v>149</v>
      </c>
      <c r="B23" s="140"/>
      <c r="C23" s="140">
        <v>0</v>
      </c>
      <c r="D23" s="140">
        <v>0</v>
      </c>
      <c r="E23" s="140">
        <v>0</v>
      </c>
      <c r="F23" s="140">
        <v>11453.748088980297</v>
      </c>
      <c r="G23" s="140">
        <v>26133.615897107629</v>
      </c>
      <c r="H23" s="140">
        <v>45197.790673745803</v>
      </c>
      <c r="I23" s="140">
        <v>28245.316411263451</v>
      </c>
      <c r="J23" s="140">
        <v>16015.679846408933</v>
      </c>
      <c r="K23" s="140">
        <v>1725.8464355368797</v>
      </c>
      <c r="L23" s="140">
        <v>6722.090769172406</v>
      </c>
      <c r="M23" s="140">
        <v>4003.6078048970244</v>
      </c>
      <c r="N23" s="140">
        <v>11297.789139480084</v>
      </c>
      <c r="O23" s="140">
        <v>3879.8158923224155</v>
      </c>
      <c r="P23" s="140">
        <v>11810.895369709582</v>
      </c>
      <c r="Q23" s="140">
        <v>4216.1092021215163</v>
      </c>
      <c r="R23" s="140">
        <v>6688.1660836857809</v>
      </c>
      <c r="S23" s="140">
        <v>7195.4678444270139</v>
      </c>
      <c r="T23" s="140">
        <v>10818.252101874947</v>
      </c>
      <c r="U23" s="140">
        <v>15326.830907637279</v>
      </c>
      <c r="V23" s="140">
        <v>18581.848154196847</v>
      </c>
      <c r="W23" s="140">
        <v>17942.034640171034</v>
      </c>
      <c r="X23" s="140">
        <v>17016.231221836282</v>
      </c>
      <c r="Y23" s="140">
        <v>11193.294502688965</v>
      </c>
      <c r="DA23" s="170" t="s">
        <v>589</v>
      </c>
    </row>
    <row r="24" spans="1:105" ht="12" customHeight="1" x14ac:dyDescent="0.25">
      <c r="A24" s="131" t="s">
        <v>128</v>
      </c>
      <c r="B24" s="140"/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590</v>
      </c>
    </row>
    <row r="25" spans="1:105" ht="12" customHeight="1" x14ac:dyDescent="0.25">
      <c r="A25" s="131" t="s">
        <v>162</v>
      </c>
      <c r="B25" s="140"/>
      <c r="C25" s="140">
        <v>0</v>
      </c>
      <c r="D25" s="140">
        <v>0</v>
      </c>
      <c r="E25" s="140">
        <v>0</v>
      </c>
      <c r="F25" s="140">
        <v>0</v>
      </c>
      <c r="G25" s="140">
        <v>0</v>
      </c>
      <c r="H25" s="140">
        <v>0</v>
      </c>
      <c r="I25" s="140">
        <v>0</v>
      </c>
      <c r="J25" s="140">
        <v>0</v>
      </c>
      <c r="K25" s="140">
        <v>0</v>
      </c>
      <c r="L25" s="140">
        <v>0</v>
      </c>
      <c r="M25" s="140">
        <v>0</v>
      </c>
      <c r="N25" s="140">
        <v>0</v>
      </c>
      <c r="O25" s="140">
        <v>0</v>
      </c>
      <c r="P25" s="140">
        <v>0</v>
      </c>
      <c r="Q25" s="140">
        <v>0</v>
      </c>
      <c r="R25" s="140">
        <v>0</v>
      </c>
      <c r="S25" s="140">
        <v>0</v>
      </c>
      <c r="T25" s="140">
        <v>0</v>
      </c>
      <c r="U25" s="140">
        <v>0</v>
      </c>
      <c r="V25" s="140">
        <v>0</v>
      </c>
      <c r="W25" s="140">
        <v>0</v>
      </c>
      <c r="X25" s="140">
        <v>0</v>
      </c>
      <c r="Y25" s="140">
        <v>0</v>
      </c>
      <c r="DA25" s="170" t="s">
        <v>591</v>
      </c>
    </row>
    <row r="26" spans="1:105" ht="12" customHeight="1" x14ac:dyDescent="0.25">
      <c r="A26" s="131" t="s">
        <v>24</v>
      </c>
      <c r="B26" s="141"/>
      <c r="C26" s="141">
        <v>47501.323036242153</v>
      </c>
      <c r="D26" s="141">
        <v>49550.926497916094</v>
      </c>
      <c r="E26" s="141">
        <v>57322.671555736946</v>
      </c>
      <c r="F26" s="141">
        <v>49762.300986657705</v>
      </c>
      <c r="G26" s="141">
        <v>37019.897062850214</v>
      </c>
      <c r="H26" s="141">
        <v>24439.84834926754</v>
      </c>
      <c r="I26" s="141">
        <v>39923.465315829104</v>
      </c>
      <c r="J26" s="141">
        <v>41769.929248625987</v>
      </c>
      <c r="K26" s="141">
        <v>4800.7105695251666</v>
      </c>
      <c r="L26" s="141">
        <v>25637.323599277344</v>
      </c>
      <c r="M26" s="141">
        <v>7470.4359658266667</v>
      </c>
      <c r="N26" s="141">
        <v>9205.8922374445701</v>
      </c>
      <c r="O26" s="141">
        <v>1439.224997811787</v>
      </c>
      <c r="P26" s="141">
        <v>0</v>
      </c>
      <c r="Q26" s="141">
        <v>8736.889709088864</v>
      </c>
      <c r="R26" s="141">
        <v>14666.797366817935</v>
      </c>
      <c r="S26" s="141">
        <v>19103.852187617329</v>
      </c>
      <c r="T26" s="141">
        <v>19363.113946312526</v>
      </c>
      <c r="U26" s="141">
        <v>11371.812276682698</v>
      </c>
      <c r="V26" s="141">
        <v>3966.8994588542942</v>
      </c>
      <c r="W26" s="141">
        <v>4905.1193518523687</v>
      </c>
      <c r="X26" s="141">
        <v>4631.7140891204544</v>
      </c>
      <c r="Y26" s="141">
        <v>9580.8232880273372</v>
      </c>
      <c r="DA26" s="171" t="s">
        <v>592</v>
      </c>
    </row>
    <row r="27" spans="1:105" ht="12" customHeight="1" x14ac:dyDescent="0.25">
      <c r="A27" s="144" t="s">
        <v>26</v>
      </c>
      <c r="B27" s="150"/>
      <c r="C27" s="150">
        <v>11524.757276296219</v>
      </c>
      <c r="D27" s="150">
        <v>2037.697025457275</v>
      </c>
      <c r="E27" s="150">
        <v>9775.965926652043</v>
      </c>
      <c r="F27" s="150">
        <v>8386.9316285429522</v>
      </c>
      <c r="G27" s="150">
        <v>12633.397831684124</v>
      </c>
      <c r="H27" s="150">
        <v>12141.486458735864</v>
      </c>
      <c r="I27" s="150">
        <v>7193.2511350490577</v>
      </c>
      <c r="J27" s="150">
        <v>14315.82611983644</v>
      </c>
      <c r="K27" s="150">
        <v>6134.3192856777177</v>
      </c>
      <c r="L27" s="150">
        <v>12637.30161483399</v>
      </c>
      <c r="M27" s="150">
        <v>7806.8801355255937</v>
      </c>
      <c r="N27" s="150">
        <v>9403.6749878387982</v>
      </c>
      <c r="O27" s="150">
        <v>239.79153994428884</v>
      </c>
      <c r="P27" s="150">
        <v>6831.854391282307</v>
      </c>
      <c r="Q27" s="150">
        <v>9151.3240202392335</v>
      </c>
      <c r="R27" s="150">
        <v>12108.903834072999</v>
      </c>
      <c r="S27" s="150">
        <v>19248.280934520488</v>
      </c>
      <c r="T27" s="150">
        <v>1904.1870059975872</v>
      </c>
      <c r="U27" s="150">
        <v>11971.968238287962</v>
      </c>
      <c r="V27" s="150">
        <v>7041.1637146583598</v>
      </c>
      <c r="W27" s="150">
        <v>1.7830344788789903E-10</v>
      </c>
      <c r="X27" s="150">
        <v>5578.7370555703847</v>
      </c>
      <c r="Y27" s="150">
        <v>1279.2666920948564</v>
      </c>
      <c r="DA27" s="173" t="s">
        <v>593</v>
      </c>
    </row>
    <row r="28" spans="1:105" ht="12" hidden="1" customHeight="1" x14ac:dyDescent="0.25">
      <c r="A28" s="78" t="s">
        <v>26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DA28" s="174"/>
    </row>
    <row r="29" spans="1:105" ht="12.95" customHeight="1" x14ac:dyDescent="0.25">
      <c r="A29" s="129" t="s">
        <v>34</v>
      </c>
      <c r="B29" s="139"/>
      <c r="C29" s="139">
        <f t="shared" ref="C29:Q29" si="13">SUM(C30:C33)</f>
        <v>60848.151193081037</v>
      </c>
      <c r="D29" s="139">
        <f t="shared" si="13"/>
        <v>61362.103507895765</v>
      </c>
      <c r="E29" s="139">
        <f t="shared" si="13"/>
        <v>73032.289826104825</v>
      </c>
      <c r="F29" s="139">
        <f t="shared" si="13"/>
        <v>74022.392825354735</v>
      </c>
      <c r="G29" s="139">
        <f t="shared" si="13"/>
        <v>78479.463159009349</v>
      </c>
      <c r="H29" s="139">
        <f t="shared" si="13"/>
        <v>82036.167771557855</v>
      </c>
      <c r="I29" s="139">
        <f t="shared" si="13"/>
        <v>79074.948088052523</v>
      </c>
      <c r="J29" s="139">
        <f t="shared" si="13"/>
        <v>68084.374728674811</v>
      </c>
      <c r="K29" s="139">
        <f t="shared" si="13"/>
        <v>9017.1534485589054</v>
      </c>
      <c r="L29" s="139">
        <f t="shared" si="13"/>
        <v>43815.979955540883</v>
      </c>
      <c r="M29" s="139">
        <f t="shared" si="13"/>
        <v>17419.827129729892</v>
      </c>
      <c r="N29" s="139">
        <f t="shared" si="13"/>
        <v>31986.038070070186</v>
      </c>
      <c r="O29" s="139">
        <f t="shared" si="13"/>
        <v>9230.2595466576295</v>
      </c>
      <c r="P29" s="139">
        <f t="shared" si="13"/>
        <v>22288.816589834936</v>
      </c>
      <c r="Q29" s="139">
        <f t="shared" si="13"/>
        <v>32790.427051820268</v>
      </c>
      <c r="R29" s="139">
        <f t="shared" ref="R29:W29" si="14">SUM(R30:R33)</f>
        <v>37524.092788492824</v>
      </c>
      <c r="S29" s="139">
        <f t="shared" si="14"/>
        <v>37073.053895668592</v>
      </c>
      <c r="T29" s="139">
        <f t="shared" si="14"/>
        <v>37343.410204876149</v>
      </c>
      <c r="U29" s="139">
        <f t="shared" si="14"/>
        <v>34688.435566741835</v>
      </c>
      <c r="V29" s="139">
        <f t="shared" si="14"/>
        <v>32670.487934773242</v>
      </c>
      <c r="W29" s="139">
        <f t="shared" si="14"/>
        <v>31873.546513725385</v>
      </c>
      <c r="X29" s="139">
        <f t="shared" ref="X29:Y29" si="15">SUM(X30:X33)</f>
        <v>31209.724278879985</v>
      </c>
      <c r="Y29" s="139">
        <f t="shared" si="15"/>
        <v>30816.241282247458</v>
      </c>
      <c r="DA29" s="169" t="s">
        <v>594</v>
      </c>
    </row>
    <row r="30" spans="1:105" s="2" customFormat="1" ht="12" customHeight="1" x14ac:dyDescent="0.25">
      <c r="A30" s="131" t="s">
        <v>52</v>
      </c>
      <c r="B30" s="140"/>
      <c r="C30" s="140">
        <v>10324.991889860237</v>
      </c>
      <c r="D30" s="140">
        <v>9834.8189421623847</v>
      </c>
      <c r="E30" s="140">
        <v>9377.2040250912778</v>
      </c>
      <c r="F30" s="140">
        <v>6126.51675148904</v>
      </c>
      <c r="G30" s="140">
        <v>3308.6692338066409</v>
      </c>
      <c r="H30" s="140">
        <v>2964.500482153243</v>
      </c>
      <c r="I30" s="140">
        <v>6007.1973447409036</v>
      </c>
      <c r="J30" s="140">
        <v>6456.0873909006559</v>
      </c>
      <c r="K30" s="140">
        <v>937.85913008814157</v>
      </c>
      <c r="L30" s="140">
        <v>3113.8716018149939</v>
      </c>
      <c r="M30" s="140">
        <v>346.36144170836536</v>
      </c>
      <c r="N30" s="140">
        <v>1135.5285325339798</v>
      </c>
      <c r="O30" s="140">
        <v>641.98609380988921</v>
      </c>
      <c r="P30" s="140">
        <v>1485.5061592887228</v>
      </c>
      <c r="Q30" s="140">
        <v>5772.6803596560349</v>
      </c>
      <c r="R30" s="140">
        <v>6877.2508974208231</v>
      </c>
      <c r="S30" s="140">
        <v>3571.316435002564</v>
      </c>
      <c r="T30" s="140">
        <v>1099.2553291173538</v>
      </c>
      <c r="U30" s="140">
        <v>0</v>
      </c>
      <c r="V30" s="140">
        <v>0</v>
      </c>
      <c r="W30" s="140">
        <v>2379.9250861238183</v>
      </c>
      <c r="X30" s="140">
        <v>5768.8446340564515</v>
      </c>
      <c r="Y30" s="140">
        <v>7035.4832071352766</v>
      </c>
      <c r="DA30" s="170" t="s">
        <v>595</v>
      </c>
    </row>
    <row r="31" spans="1:105" ht="12" customHeight="1" x14ac:dyDescent="0.25">
      <c r="A31" s="131" t="s">
        <v>149</v>
      </c>
      <c r="B31" s="140"/>
      <c r="C31" s="140">
        <v>10645.960592198346</v>
      </c>
      <c r="D31" s="140">
        <v>8537.3363204765465</v>
      </c>
      <c r="E31" s="140">
        <v>15399.995293193759</v>
      </c>
      <c r="F31" s="140">
        <v>25588.467260257064</v>
      </c>
      <c r="G31" s="140">
        <v>23614.376534491159</v>
      </c>
      <c r="H31" s="140">
        <v>21422.817474119438</v>
      </c>
      <c r="I31" s="140">
        <v>14958.47283012389</v>
      </c>
      <c r="J31" s="140">
        <v>12495.965607311577</v>
      </c>
      <c r="K31" s="140">
        <v>2116.9216125063203</v>
      </c>
      <c r="L31" s="140">
        <v>10974.82099821979</v>
      </c>
      <c r="M31" s="140">
        <v>8065.6167871171574</v>
      </c>
      <c r="N31" s="140">
        <v>23162.6874467331</v>
      </c>
      <c r="O31" s="140">
        <v>8588.2734528477395</v>
      </c>
      <c r="P31" s="140">
        <v>20803.310430546215</v>
      </c>
      <c r="Q31" s="140">
        <v>27017.746692164234</v>
      </c>
      <c r="R31" s="140">
        <v>21663.581718623671</v>
      </c>
      <c r="S31" s="140">
        <v>12736.387843820399</v>
      </c>
      <c r="T31" s="140">
        <v>3745.5763209459433</v>
      </c>
      <c r="U31" s="140">
        <v>11196.495363317083</v>
      </c>
      <c r="V31" s="140">
        <v>15494.844079459188</v>
      </c>
      <c r="W31" s="140">
        <v>9401.8409921591283</v>
      </c>
      <c r="X31" s="140">
        <v>5129.9137806100844</v>
      </c>
      <c r="Y31" s="140">
        <v>4604.0391862078459</v>
      </c>
      <c r="DA31" s="170" t="s">
        <v>596</v>
      </c>
    </row>
    <row r="32" spans="1:105" ht="12" customHeight="1" x14ac:dyDescent="0.25">
      <c r="A32" s="131" t="s">
        <v>128</v>
      </c>
      <c r="B32" s="140"/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597</v>
      </c>
    </row>
    <row r="33" spans="1:105" ht="12" customHeight="1" x14ac:dyDescent="0.25">
      <c r="A33" s="62" t="s">
        <v>24</v>
      </c>
      <c r="B33" s="152"/>
      <c r="C33" s="152">
        <v>39877.198711022458</v>
      </c>
      <c r="D33" s="152">
        <v>42989.948245256834</v>
      </c>
      <c r="E33" s="152">
        <v>48255.09050781979</v>
      </c>
      <c r="F33" s="152">
        <v>42307.408813608621</v>
      </c>
      <c r="G33" s="152">
        <v>51556.417390711555</v>
      </c>
      <c r="H33" s="152">
        <v>57648.849815285175</v>
      </c>
      <c r="I33" s="152">
        <v>58109.277913187732</v>
      </c>
      <c r="J33" s="152">
        <v>49132.32173046258</v>
      </c>
      <c r="K33" s="152">
        <v>5962.3727059644434</v>
      </c>
      <c r="L33" s="152">
        <v>29727.287355506101</v>
      </c>
      <c r="M33" s="152">
        <v>9007.8489009043715</v>
      </c>
      <c r="N33" s="152">
        <v>7687.822090803108</v>
      </c>
      <c r="O33" s="152">
        <v>0</v>
      </c>
      <c r="P33" s="152">
        <v>0</v>
      </c>
      <c r="Q33" s="152">
        <v>0</v>
      </c>
      <c r="R33" s="152">
        <v>8983.2601724483284</v>
      </c>
      <c r="S33" s="152">
        <v>20765.349616845629</v>
      </c>
      <c r="T33" s="152">
        <v>32498.578554812852</v>
      </c>
      <c r="U33" s="152">
        <v>23491.940203424751</v>
      </c>
      <c r="V33" s="152">
        <v>17175.643855314054</v>
      </c>
      <c r="W33" s="152">
        <v>20091.780435442441</v>
      </c>
      <c r="X33" s="152">
        <v>20310.965864213449</v>
      </c>
      <c r="Y33" s="152">
        <v>19176.718888904335</v>
      </c>
      <c r="DA33" s="175" t="s">
        <v>598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Y15 C19:Y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/>
      <c r="C3" s="125">
        <f t="shared" ref="C3:Q3" si="0">SUM(C4,C16,C19,C29)</f>
        <v>164.27097672018778</v>
      </c>
      <c r="D3" s="125">
        <f t="shared" si="0"/>
        <v>149.52518070547382</v>
      </c>
      <c r="E3" s="125">
        <f t="shared" si="0"/>
        <v>185.37652830300061</v>
      </c>
      <c r="F3" s="125">
        <f t="shared" si="0"/>
        <v>172.14548679845871</v>
      </c>
      <c r="G3" s="125">
        <f t="shared" si="0"/>
        <v>175.69255704943942</v>
      </c>
      <c r="H3" s="125">
        <f t="shared" si="0"/>
        <v>305.41253196055476</v>
      </c>
      <c r="I3" s="125">
        <f t="shared" si="0"/>
        <v>189.58135701631994</v>
      </c>
      <c r="J3" s="125">
        <f t="shared" si="0"/>
        <v>162.13461237256558</v>
      </c>
      <c r="K3" s="125">
        <f t="shared" si="0"/>
        <v>21.900056372438232</v>
      </c>
      <c r="L3" s="125">
        <f t="shared" si="0"/>
        <v>120.79696221041094</v>
      </c>
      <c r="M3" s="125">
        <f t="shared" si="0"/>
        <v>43.928460140378597</v>
      </c>
      <c r="N3" s="125">
        <f t="shared" si="0"/>
        <v>75.196906145133255</v>
      </c>
      <c r="O3" s="125">
        <f t="shared" si="0"/>
        <v>19.430756254195721</v>
      </c>
      <c r="P3" s="125">
        <f t="shared" si="0"/>
        <v>39.984193654629564</v>
      </c>
      <c r="Q3" s="125">
        <f t="shared" si="0"/>
        <v>59.381899534134952</v>
      </c>
      <c r="R3" s="125">
        <f t="shared" ref="R3:W3" si="1">SUM(R4,R16,R19,R29)</f>
        <v>65.948407667623059</v>
      </c>
      <c r="S3" s="125">
        <f t="shared" si="1"/>
        <v>66.128115599607838</v>
      </c>
      <c r="T3" s="125">
        <f t="shared" si="1"/>
        <v>64.876167806049622</v>
      </c>
      <c r="U3" s="125">
        <f t="shared" si="1"/>
        <v>59.213591366208675</v>
      </c>
      <c r="V3" s="125">
        <f t="shared" si="1"/>
        <v>50.650869111566578</v>
      </c>
      <c r="W3" s="125">
        <f t="shared" si="1"/>
        <v>55.14237646019906</v>
      </c>
      <c r="X3" s="125">
        <f t="shared" ref="X3:Y3" si="2">SUM(X4,X16,X19,X29)</f>
        <v>52.721917077251497</v>
      </c>
      <c r="Y3" s="125">
        <f t="shared" si="2"/>
        <v>54.841480509806679</v>
      </c>
      <c r="DA3" s="154" t="s">
        <v>600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62.686737303277113</v>
      </c>
      <c r="D4" s="130">
        <f t="shared" si="3"/>
        <v>52.503648761895988</v>
      </c>
      <c r="E4" s="130">
        <f t="shared" si="3"/>
        <v>62.360631112833886</v>
      </c>
      <c r="F4" s="130">
        <f t="shared" si="3"/>
        <v>49.136752186114499</v>
      </c>
      <c r="G4" s="130">
        <f t="shared" si="3"/>
        <v>49.143614071318048</v>
      </c>
      <c r="H4" s="130">
        <f t="shared" si="3"/>
        <v>157.98758277605748</v>
      </c>
      <c r="I4" s="130">
        <f t="shared" si="3"/>
        <v>66.214912692748129</v>
      </c>
      <c r="J4" s="130">
        <f t="shared" si="3"/>
        <v>56.908957957481775</v>
      </c>
      <c r="K4" s="130">
        <f t="shared" si="3"/>
        <v>7.6733643308672903</v>
      </c>
      <c r="L4" s="130">
        <f t="shared" si="3"/>
        <v>50.3540398169079</v>
      </c>
      <c r="M4" s="130">
        <f t="shared" si="3"/>
        <v>17.102399550819904</v>
      </c>
      <c r="N4" s="130">
        <f t="shared" si="3"/>
        <v>23.751562893161168</v>
      </c>
      <c r="O4" s="130">
        <f t="shared" si="3"/>
        <v>5.4668146554296184</v>
      </c>
      <c r="P4" s="130">
        <f t="shared" si="3"/>
        <v>4.0720444984800199</v>
      </c>
      <c r="Q4" s="130">
        <f t="shared" si="3"/>
        <v>5.2913639874151377</v>
      </c>
      <c r="R4" s="130">
        <f t="shared" ref="R4:W4" si="4">SUM(R5:R15)</f>
        <v>8.6974537961904428</v>
      </c>
      <c r="S4" s="130">
        <f t="shared" si="4"/>
        <v>12.880822693088332</v>
      </c>
      <c r="T4" s="130">
        <f t="shared" si="4"/>
        <v>14.974538596005736</v>
      </c>
      <c r="U4" s="130">
        <f t="shared" si="4"/>
        <v>12.679383673323022</v>
      </c>
      <c r="V4" s="130">
        <f t="shared" si="4"/>
        <v>10.326613603943239</v>
      </c>
      <c r="W4" s="130">
        <f t="shared" si="4"/>
        <v>14.987200431442181</v>
      </c>
      <c r="X4" s="130">
        <f t="shared" ref="X4:Y4" si="5">SUM(X5:X15)</f>
        <v>13.05797478268107</v>
      </c>
      <c r="Y4" s="130">
        <f t="shared" si="5"/>
        <v>11.638190470758179</v>
      </c>
      <c r="DA4" s="155" t="s">
        <v>601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602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603</v>
      </c>
    </row>
    <row r="7" spans="1:105" ht="12" customHeight="1" x14ac:dyDescent="0.25">
      <c r="A7" s="131" t="s">
        <v>161</v>
      </c>
      <c r="B7" s="132"/>
      <c r="C7" s="132">
        <v>60.56084177187681</v>
      </c>
      <c r="D7" s="132">
        <v>50.435295764815642</v>
      </c>
      <c r="E7" s="132">
        <v>60.340370399964812</v>
      </c>
      <c r="F7" s="132">
        <v>32.478219915386376</v>
      </c>
      <c r="G7" s="132">
        <v>0</v>
      </c>
      <c r="H7" s="132">
        <v>0</v>
      </c>
      <c r="I7" s="132">
        <v>0</v>
      </c>
      <c r="J7" s="132">
        <v>0</v>
      </c>
      <c r="K7" s="132">
        <v>0</v>
      </c>
      <c r="L7" s="132">
        <v>14.450043480739774</v>
      </c>
      <c r="M7" s="132">
        <v>10.381630756776222</v>
      </c>
      <c r="N7" s="132">
        <v>15.845259063776144</v>
      </c>
      <c r="O7" s="132">
        <v>4.4688297501980339</v>
      </c>
      <c r="P7" s="132">
        <v>0.52664518521092274</v>
      </c>
      <c r="Q7" s="132">
        <v>0.62973852278534781</v>
      </c>
      <c r="R7" s="132">
        <v>4.5030566997684929</v>
      </c>
      <c r="S7" s="132">
        <v>8.0675151557864258</v>
      </c>
      <c r="T7" s="132">
        <v>7.9354699554655728</v>
      </c>
      <c r="U7" s="132">
        <v>0.93967749551370894</v>
      </c>
      <c r="V7" s="132">
        <v>0</v>
      </c>
      <c r="W7" s="132">
        <v>0</v>
      </c>
      <c r="X7" s="132">
        <v>0</v>
      </c>
      <c r="Y7" s="132">
        <v>0</v>
      </c>
      <c r="DA7" s="156" t="s">
        <v>604</v>
      </c>
    </row>
    <row r="8" spans="1:105" ht="12" customHeight="1" x14ac:dyDescent="0.25">
      <c r="A8" s="131" t="s">
        <v>73</v>
      </c>
      <c r="B8" s="132"/>
      <c r="C8" s="132">
        <v>1.5608057828349591E-3</v>
      </c>
      <c r="D8" s="132">
        <v>1.9419803993742891E-3</v>
      </c>
      <c r="E8" s="132">
        <v>2.9290074748072686E-3</v>
      </c>
      <c r="F8" s="132">
        <v>7.2694236178851837E-3</v>
      </c>
      <c r="G8" s="132">
        <v>1.20950965547767E-2</v>
      </c>
      <c r="H8" s="132">
        <v>1.0440144965909096E-2</v>
      </c>
      <c r="I8" s="132">
        <v>2.144097410263586E-2</v>
      </c>
      <c r="J8" s="132">
        <v>1.0124633471471751E-2</v>
      </c>
      <c r="K8" s="132">
        <v>2.5457351857016272E-3</v>
      </c>
      <c r="L8" s="132">
        <v>2.1754158580586248E-2</v>
      </c>
      <c r="M8" s="132">
        <v>1.6477186674252457E-2</v>
      </c>
      <c r="N8" s="132">
        <v>5.5875346627100045E-2</v>
      </c>
      <c r="O8" s="132">
        <v>2.3338326854287925E-2</v>
      </c>
      <c r="P8" s="132">
        <v>0.123853177916093</v>
      </c>
      <c r="Q8" s="132">
        <v>0.14785136045579589</v>
      </c>
      <c r="R8" s="132">
        <v>0.14940309121297193</v>
      </c>
      <c r="S8" s="132">
        <v>0.12775268067558407</v>
      </c>
      <c r="T8" s="132">
        <v>8.8293714193264164E-2</v>
      </c>
      <c r="U8" s="132">
        <v>0.24734152824068023</v>
      </c>
      <c r="V8" s="132">
        <v>6.5155341264396052E-2</v>
      </c>
      <c r="W8" s="132">
        <v>0.16466102351571638</v>
      </c>
      <c r="X8" s="132">
        <v>0.17686244879142649</v>
      </c>
      <c r="Y8" s="132">
        <v>0.24518119645232983</v>
      </c>
      <c r="DA8" s="156" t="s">
        <v>605</v>
      </c>
    </row>
    <row r="9" spans="1:105" ht="12" customHeight="1" x14ac:dyDescent="0.25">
      <c r="A9" s="131" t="s">
        <v>78</v>
      </c>
      <c r="B9" s="132"/>
      <c r="C9" s="132">
        <v>0</v>
      </c>
      <c r="D9" s="132">
        <v>0</v>
      </c>
      <c r="E9" s="132">
        <v>0</v>
      </c>
      <c r="F9" s="132">
        <v>2.4112812624509115</v>
      </c>
      <c r="G9" s="132">
        <v>41.682627154522052</v>
      </c>
      <c r="H9" s="132">
        <v>120.3344598637113</v>
      </c>
      <c r="I9" s="132">
        <v>32.502477725402706</v>
      </c>
      <c r="J9" s="132">
        <v>22.424292336130065</v>
      </c>
      <c r="K9" s="132">
        <v>5.6570326531578923</v>
      </c>
      <c r="L9" s="132">
        <v>34.494562974846424</v>
      </c>
      <c r="M9" s="132">
        <v>5.6740125434303259</v>
      </c>
      <c r="N9" s="132">
        <v>4.4251223712575349</v>
      </c>
      <c r="O9" s="132">
        <v>0</v>
      </c>
      <c r="P9" s="132">
        <v>0</v>
      </c>
      <c r="Q9" s="132">
        <v>0</v>
      </c>
      <c r="R9" s="132">
        <v>0</v>
      </c>
      <c r="S9" s="132">
        <v>0</v>
      </c>
      <c r="T9" s="132">
        <v>3.2172534688316521</v>
      </c>
      <c r="U9" s="132">
        <v>8.6938308114978327</v>
      </c>
      <c r="V9" s="132">
        <v>7.6664171272141122</v>
      </c>
      <c r="W9" s="132">
        <v>12.494295821990121</v>
      </c>
      <c r="X9" s="132">
        <v>9.1442862171031276</v>
      </c>
      <c r="Y9" s="132">
        <v>7.1973895729593016</v>
      </c>
      <c r="DA9" s="156" t="s">
        <v>606</v>
      </c>
    </row>
    <row r="10" spans="1:105" ht="12" customHeight="1" x14ac:dyDescent="0.25">
      <c r="A10" s="131" t="s">
        <v>128</v>
      </c>
      <c r="B10" s="132"/>
      <c r="C10" s="132">
        <v>1.365811251595088</v>
      </c>
      <c r="D10" s="132">
        <v>1.3837312158748627</v>
      </c>
      <c r="E10" s="132">
        <v>1.0887243060272798</v>
      </c>
      <c r="F10" s="132">
        <v>1.4201672094408258</v>
      </c>
      <c r="G10" s="132">
        <v>0.50636871264902794</v>
      </c>
      <c r="H10" s="132">
        <v>0.95069902464491962</v>
      </c>
      <c r="I10" s="132">
        <v>3.8370612115674283</v>
      </c>
      <c r="J10" s="132">
        <v>1.327698334761015</v>
      </c>
      <c r="K10" s="132">
        <v>1.3593353450782782E-2</v>
      </c>
      <c r="L10" s="132">
        <v>0</v>
      </c>
      <c r="M10" s="132">
        <v>0.45907762031605365</v>
      </c>
      <c r="N10" s="132">
        <v>1.7870461260354193</v>
      </c>
      <c r="O10" s="132">
        <v>0.48868529395052124</v>
      </c>
      <c r="P10" s="132">
        <v>1.6802282021819963</v>
      </c>
      <c r="Q10" s="132">
        <v>1.8116235569503771</v>
      </c>
      <c r="R10" s="132">
        <v>1.2978950457744449</v>
      </c>
      <c r="S10" s="132">
        <v>0.40373997352485663</v>
      </c>
      <c r="T10" s="132">
        <v>0</v>
      </c>
      <c r="U10" s="132">
        <v>0</v>
      </c>
      <c r="V10" s="132">
        <v>0</v>
      </c>
      <c r="W10" s="132">
        <v>0.21301635155906215</v>
      </c>
      <c r="X10" s="132">
        <v>0.51764547900031566</v>
      </c>
      <c r="Y10" s="132">
        <v>1.0634101294920826</v>
      </c>
      <c r="DA10" s="156" t="s">
        <v>607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2.433785489192832E-5</v>
      </c>
      <c r="J11" s="132">
        <v>0</v>
      </c>
      <c r="K11" s="132">
        <v>0</v>
      </c>
      <c r="L11" s="132">
        <v>0</v>
      </c>
      <c r="M11" s="132">
        <v>1.1576445299545289E-4</v>
      </c>
      <c r="N11" s="132">
        <v>1.7259356876764115E-3</v>
      </c>
      <c r="O11" s="132">
        <v>2.0962563188324716E-3</v>
      </c>
      <c r="P11" s="132">
        <v>1.5933623684266139E-3</v>
      </c>
      <c r="Q11" s="132">
        <v>4.7690264509926656E-4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608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609</v>
      </c>
    </row>
    <row r="13" spans="1:105" ht="12" customHeight="1" x14ac:dyDescent="0.25">
      <c r="A13" s="131" t="s">
        <v>77</v>
      </c>
      <c r="B13" s="132"/>
      <c r="C13" s="132">
        <v>0.20509406352882112</v>
      </c>
      <c r="D13" s="132">
        <v>0.22504847051291751</v>
      </c>
      <c r="E13" s="132">
        <v>0.38827608031469329</v>
      </c>
      <c r="F13" s="132">
        <v>0.35131768100889871</v>
      </c>
      <c r="G13" s="132">
        <v>0.56624785487116203</v>
      </c>
      <c r="H13" s="132">
        <v>0.41683484080338473</v>
      </c>
      <c r="I13" s="132">
        <v>1.9004035472436613</v>
      </c>
      <c r="J13" s="132">
        <v>1.7853877165534202</v>
      </c>
      <c r="K13" s="132">
        <v>0.27385449298238618</v>
      </c>
      <c r="L13" s="132">
        <v>0.9469481140434286</v>
      </c>
      <c r="M13" s="132">
        <v>0.42475638791914189</v>
      </c>
      <c r="N13" s="132">
        <v>1.4420814240218074</v>
      </c>
      <c r="O13" s="132">
        <v>0.43897662104439378</v>
      </c>
      <c r="P13" s="132">
        <v>1.7261948388337465</v>
      </c>
      <c r="Q13" s="132">
        <v>2.6860556065454677</v>
      </c>
      <c r="R13" s="132">
        <v>2.692800632004805</v>
      </c>
      <c r="S13" s="132">
        <v>2.1748719276553339</v>
      </c>
      <c r="T13" s="132">
        <v>2.271334219929058</v>
      </c>
      <c r="U13" s="132">
        <v>2.3937191026344511</v>
      </c>
      <c r="V13" s="132">
        <v>2.5076591531000352</v>
      </c>
      <c r="W13" s="132">
        <v>1.7625916267186392</v>
      </c>
      <c r="X13" s="132">
        <v>2.1398979115152796</v>
      </c>
      <c r="Y13" s="132">
        <v>2.7111872794346037</v>
      </c>
      <c r="DA13" s="156" t="s">
        <v>610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12.15339534037413</v>
      </c>
      <c r="G14" s="65">
        <v>5.9876159785347438</v>
      </c>
      <c r="H14" s="65">
        <v>35.163139981878956</v>
      </c>
      <c r="I14" s="65">
        <v>27.638824620211484</v>
      </c>
      <c r="J14" s="65">
        <v>31.15097293658625</v>
      </c>
      <c r="K14" s="65">
        <v>1.6746960730034735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2.0188723947427096</v>
      </c>
      <c r="T14" s="65">
        <v>1.3418983397103774</v>
      </c>
      <c r="U14" s="65">
        <v>0.29447817711080732</v>
      </c>
      <c r="V14" s="65">
        <v>0</v>
      </c>
      <c r="W14" s="65">
        <v>0.20696294484575528</v>
      </c>
      <c r="X14" s="65">
        <v>0.96996521261148194</v>
      </c>
      <c r="Y14" s="65">
        <v>0.33053418890575503</v>
      </c>
      <c r="DA14" s="109" t="s">
        <v>611</v>
      </c>
    </row>
    <row r="15" spans="1:105" ht="12" customHeight="1" x14ac:dyDescent="0.25">
      <c r="A15" s="133" t="s">
        <v>80</v>
      </c>
      <c r="B15" s="134"/>
      <c r="C15" s="134">
        <v>0.55342941049355865</v>
      </c>
      <c r="D15" s="134">
        <v>0.45763133029319841</v>
      </c>
      <c r="E15" s="134">
        <v>0.54033131905229237</v>
      </c>
      <c r="F15" s="134">
        <v>0.31510135383546362</v>
      </c>
      <c r="G15" s="134">
        <v>0.38865927418628954</v>
      </c>
      <c r="H15" s="134">
        <v>1.1120089200530059</v>
      </c>
      <c r="I15" s="134">
        <v>0.31468027636532342</v>
      </c>
      <c r="J15" s="134">
        <v>0.21048199997955985</v>
      </c>
      <c r="K15" s="134">
        <v>5.1642023087054005E-2</v>
      </c>
      <c r="L15" s="134">
        <v>0.44073108869767985</v>
      </c>
      <c r="M15" s="134">
        <v>0.14632929125090985</v>
      </c>
      <c r="N15" s="134">
        <v>0.19445262575548028</v>
      </c>
      <c r="O15" s="134">
        <v>4.4888407063549289E-2</v>
      </c>
      <c r="P15" s="134">
        <v>1.3529731968834722E-2</v>
      </c>
      <c r="Q15" s="134">
        <v>1.5618038033049914E-2</v>
      </c>
      <c r="R15" s="134">
        <v>5.4298327429728489E-2</v>
      </c>
      <c r="S15" s="134">
        <v>8.8070560703421577E-2</v>
      </c>
      <c r="T15" s="134">
        <v>0.12028889787581054</v>
      </c>
      <c r="U15" s="134">
        <v>0.11033655832554079</v>
      </c>
      <c r="V15" s="134">
        <v>8.7381982364695826E-2</v>
      </c>
      <c r="W15" s="134">
        <v>0.14567266281288624</v>
      </c>
      <c r="X15" s="134">
        <v>0.10931751365943772</v>
      </c>
      <c r="Y15" s="134">
        <v>9.0488103514106119E-2</v>
      </c>
      <c r="DA15" s="157" t="s">
        <v>612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38.910444658545529</v>
      </c>
      <c r="D16" s="130">
        <f t="shared" si="6"/>
        <v>33.328293902674687</v>
      </c>
      <c r="E16" s="130">
        <f t="shared" si="6"/>
        <v>49.092877840367223</v>
      </c>
      <c r="F16" s="130">
        <f t="shared" si="6"/>
        <v>42.858087379770708</v>
      </c>
      <c r="G16" s="130">
        <f t="shared" si="6"/>
        <v>45.556097661712037</v>
      </c>
      <c r="H16" s="130">
        <f t="shared" si="6"/>
        <v>51.218294699190935</v>
      </c>
      <c r="I16" s="130">
        <f t="shared" si="6"/>
        <v>35.399069138705059</v>
      </c>
      <c r="J16" s="130">
        <f t="shared" si="6"/>
        <v>30.830868560899052</v>
      </c>
      <c r="K16" s="130">
        <f t="shared" si="6"/>
        <v>5.000846827039096</v>
      </c>
      <c r="L16" s="130">
        <f t="shared" si="6"/>
        <v>21.990783994999347</v>
      </c>
      <c r="M16" s="130">
        <f t="shared" si="6"/>
        <v>7.488564743424031</v>
      </c>
      <c r="N16" s="130">
        <f t="shared" si="6"/>
        <v>15.729120931227365</v>
      </c>
      <c r="O16" s="130">
        <f t="shared" si="6"/>
        <v>3.5022161053602363</v>
      </c>
      <c r="P16" s="130">
        <f t="shared" si="6"/>
        <v>7.4189439839730191</v>
      </c>
      <c r="Q16" s="130">
        <f t="shared" si="6"/>
        <v>15.378974592530028</v>
      </c>
      <c r="R16" s="130">
        <f t="shared" ref="R16:W16" si="7">SUM(R17:R18)</f>
        <v>16.638610878385801</v>
      </c>
      <c r="S16" s="130">
        <f t="shared" si="7"/>
        <v>18.637338992110976</v>
      </c>
      <c r="T16" s="130">
        <f t="shared" si="7"/>
        <v>13.286302905008192</v>
      </c>
      <c r="U16" s="130">
        <f t="shared" si="7"/>
        <v>12.50280943936253</v>
      </c>
      <c r="V16" s="130">
        <f t="shared" si="7"/>
        <v>12.794193521800473</v>
      </c>
      <c r="W16" s="130">
        <f t="shared" si="7"/>
        <v>10.451031116770569</v>
      </c>
      <c r="X16" s="130">
        <f t="shared" ref="X16:Y16" si="8">SUM(X17:X18)</f>
        <v>13.157570659249297</v>
      </c>
      <c r="Y16" s="130">
        <f t="shared" si="8"/>
        <v>13.167340261185311</v>
      </c>
      <c r="DA16" s="155" t="s">
        <v>613</v>
      </c>
    </row>
    <row r="17" spans="1:105" ht="12.95" customHeight="1" x14ac:dyDescent="0.25">
      <c r="A17" s="131" t="s">
        <v>73</v>
      </c>
      <c r="B17" s="132"/>
      <c r="C17" s="132">
        <v>5.3855887553644927E-2</v>
      </c>
      <c r="D17" s="132">
        <v>2.8326815054511612E-2</v>
      </c>
      <c r="E17" s="132">
        <v>0.13820759518009601</v>
      </c>
      <c r="F17" s="132">
        <v>0.16668913663534698</v>
      </c>
      <c r="G17" s="132">
        <v>0.11077553850484963</v>
      </c>
      <c r="H17" s="132">
        <v>0.15263190064317933</v>
      </c>
      <c r="I17" s="132">
        <v>9.2258314458375082E-2</v>
      </c>
      <c r="J17" s="132">
        <v>0.13450160865008987</v>
      </c>
      <c r="K17" s="132">
        <v>2.1471069953233474E-2</v>
      </c>
      <c r="L17" s="132">
        <v>0.1300867689765402</v>
      </c>
      <c r="M17" s="132">
        <v>5.3275953744284378E-2</v>
      </c>
      <c r="N17" s="132">
        <v>0.11226198261151774</v>
      </c>
      <c r="O17" s="132">
        <v>5.1836545691303845E-2</v>
      </c>
      <c r="P17" s="132">
        <v>8.7665687447206098E-2</v>
      </c>
      <c r="Q17" s="132">
        <v>0.22251192295710065</v>
      </c>
      <c r="R17" s="132">
        <v>0.27699181563544056</v>
      </c>
      <c r="S17" s="132">
        <v>0.23160327563487781</v>
      </c>
      <c r="T17" s="132">
        <v>0.3066086782855223</v>
      </c>
      <c r="U17" s="132">
        <v>0.17849825252394533</v>
      </c>
      <c r="V17" s="132">
        <v>0.17760870103630155</v>
      </c>
      <c r="W17" s="132">
        <v>0.13808245220398327</v>
      </c>
      <c r="X17" s="132">
        <v>0.1916822404943069</v>
      </c>
      <c r="Y17" s="132">
        <v>0.20280187333056079</v>
      </c>
      <c r="DA17" s="156" t="s">
        <v>614</v>
      </c>
    </row>
    <row r="18" spans="1:105" ht="12" customHeight="1" x14ac:dyDescent="0.25">
      <c r="A18" s="131" t="s">
        <v>72</v>
      </c>
      <c r="B18" s="132"/>
      <c r="C18" s="132">
        <v>38.856588770991884</v>
      </c>
      <c r="D18" s="132">
        <v>33.299967087620175</v>
      </c>
      <c r="E18" s="132">
        <v>48.954670245187124</v>
      </c>
      <c r="F18" s="132">
        <v>42.69139824313536</v>
      </c>
      <c r="G18" s="132">
        <v>45.445322123207191</v>
      </c>
      <c r="H18" s="132">
        <v>51.065662798547756</v>
      </c>
      <c r="I18" s="132">
        <v>35.306810824246682</v>
      </c>
      <c r="J18" s="132">
        <v>30.696366952248962</v>
      </c>
      <c r="K18" s="132">
        <v>4.9793757570858626</v>
      </c>
      <c r="L18" s="132">
        <v>21.860697226022808</v>
      </c>
      <c r="M18" s="132">
        <v>7.4352887896797464</v>
      </c>
      <c r="N18" s="132">
        <v>15.616858948615848</v>
      </c>
      <c r="O18" s="132">
        <v>3.4503795596689324</v>
      </c>
      <c r="P18" s="132">
        <v>7.331278296525813</v>
      </c>
      <c r="Q18" s="132">
        <v>15.156462669572928</v>
      </c>
      <c r="R18" s="132">
        <v>16.361619062750361</v>
      </c>
      <c r="S18" s="132">
        <v>18.405735716476098</v>
      </c>
      <c r="T18" s="132">
        <v>12.979694226722669</v>
      </c>
      <c r="U18" s="132">
        <v>12.324311186838584</v>
      </c>
      <c r="V18" s="132">
        <v>12.616584820764171</v>
      </c>
      <c r="W18" s="132">
        <v>10.312948664566585</v>
      </c>
      <c r="X18" s="132">
        <v>12.965888418754989</v>
      </c>
      <c r="Y18" s="132">
        <v>12.96453838785475</v>
      </c>
      <c r="DA18" s="156" t="s">
        <v>615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28.338161893889335</v>
      </c>
      <c r="D19" s="130">
        <f t="shared" si="9"/>
        <v>30.977102292016841</v>
      </c>
      <c r="E19" s="130">
        <f t="shared" si="9"/>
        <v>36.593614275575639</v>
      </c>
      <c r="F19" s="130">
        <f t="shared" si="9"/>
        <v>37.742620087371421</v>
      </c>
      <c r="G19" s="130">
        <f t="shared" si="9"/>
        <v>37.499229585064597</v>
      </c>
      <c r="H19" s="130">
        <f t="shared" si="9"/>
        <v>48.514700682299988</v>
      </c>
      <c r="I19" s="130">
        <f t="shared" si="9"/>
        <v>42.140521768705689</v>
      </c>
      <c r="J19" s="130">
        <f t="shared" si="9"/>
        <v>33.868853380173881</v>
      </c>
      <c r="K19" s="130">
        <f t="shared" si="9"/>
        <v>3.7701495386555859</v>
      </c>
      <c r="L19" s="130">
        <f t="shared" si="9"/>
        <v>21.528957279962334</v>
      </c>
      <c r="M19" s="130">
        <f t="shared" si="9"/>
        <v>8.1899651355964131</v>
      </c>
      <c r="N19" s="130">
        <f t="shared" si="9"/>
        <v>15.333909908236874</v>
      </c>
      <c r="O19" s="130">
        <f t="shared" si="9"/>
        <v>4.7158316550084365</v>
      </c>
      <c r="P19" s="130">
        <f t="shared" si="9"/>
        <v>10.744138011054966</v>
      </c>
      <c r="Q19" s="130">
        <f t="shared" si="9"/>
        <v>14.03034031654524</v>
      </c>
      <c r="R19" s="130">
        <f t="shared" ref="R19:W19" si="10">SUM(R20:R27)</f>
        <v>14.854744446283268</v>
      </c>
      <c r="S19" s="130">
        <f t="shared" si="10"/>
        <v>13.051580141759915</v>
      </c>
      <c r="T19" s="130">
        <f t="shared" si="10"/>
        <v>14.657017810995445</v>
      </c>
      <c r="U19" s="130">
        <f t="shared" si="10"/>
        <v>12.807257046125294</v>
      </c>
      <c r="V19" s="130">
        <f t="shared" si="10"/>
        <v>11.33295402712108</v>
      </c>
      <c r="W19" s="130">
        <f t="shared" si="10"/>
        <v>11.800599461390895</v>
      </c>
      <c r="X19" s="130">
        <f t="shared" ref="X19:Y19" si="11">SUM(X20:X27)</f>
        <v>11.017613257346254</v>
      </c>
      <c r="Y19" s="130">
        <f t="shared" si="11"/>
        <v>10.89735390007327</v>
      </c>
      <c r="DA19" s="155" t="s">
        <v>616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617</v>
      </c>
    </row>
    <row r="21" spans="1:105" s="2" customFormat="1" ht="12" customHeight="1" x14ac:dyDescent="0.25">
      <c r="A21" s="131" t="s">
        <v>52</v>
      </c>
      <c r="B21" s="132"/>
      <c r="C21" s="132">
        <v>0.70866207870948761</v>
      </c>
      <c r="D21" s="132">
        <v>0.66430468702226353</v>
      </c>
      <c r="E21" s="132">
        <v>0.81910613321720649</v>
      </c>
      <c r="F21" s="132">
        <v>0.5553162692458069</v>
      </c>
      <c r="G21" s="132">
        <v>1.2137227368538193</v>
      </c>
      <c r="H21" s="132">
        <v>1.5141886606727313</v>
      </c>
      <c r="I21" s="132">
        <v>1.6711836044086239</v>
      </c>
      <c r="J21" s="132">
        <v>1.381186639084732</v>
      </c>
      <c r="K21" s="132">
        <v>0.21545563003673557</v>
      </c>
      <c r="L21" s="132">
        <v>1.0690647743479684</v>
      </c>
      <c r="M21" s="132">
        <v>0.46547147299323088</v>
      </c>
      <c r="N21" s="132">
        <v>0.8128464327307614</v>
      </c>
      <c r="O21" s="132">
        <v>0.24245779615291582</v>
      </c>
      <c r="P21" s="132">
        <v>0.38611267862105575</v>
      </c>
      <c r="Q21" s="132">
        <v>0.78109036046891756</v>
      </c>
      <c r="R21" s="132">
        <v>0.64876423998522104</v>
      </c>
      <c r="S21" s="132">
        <v>0.33809747282090552</v>
      </c>
      <c r="T21" s="132">
        <v>0</v>
      </c>
      <c r="U21" s="132">
        <v>0</v>
      </c>
      <c r="V21" s="132">
        <v>0</v>
      </c>
      <c r="W21" s="132">
        <v>0.39701941463884505</v>
      </c>
      <c r="X21" s="132">
        <v>1.0552286521287277</v>
      </c>
      <c r="Y21" s="132">
        <v>1.7409292993329462</v>
      </c>
      <c r="DA21" s="156" t="s">
        <v>618</v>
      </c>
    </row>
    <row r="22" spans="1:105" ht="12" customHeight="1" x14ac:dyDescent="0.25">
      <c r="A22" s="131" t="s">
        <v>161</v>
      </c>
      <c r="B22" s="132"/>
      <c r="C22" s="132">
        <v>6.9254958797690511</v>
      </c>
      <c r="D22" s="132">
        <v>6.4960772863572283</v>
      </c>
      <c r="E22" s="132">
        <v>8.6821639844024521</v>
      </c>
      <c r="F22" s="132">
        <v>7.3640520413479607</v>
      </c>
      <c r="G22" s="132">
        <v>8.2016845845092163</v>
      </c>
      <c r="H22" s="132">
        <v>5.9585258986940133</v>
      </c>
      <c r="I22" s="132">
        <v>5.0286085755775893</v>
      </c>
      <c r="J22" s="132">
        <v>4.7631277322027374</v>
      </c>
      <c r="K22" s="132">
        <v>0.926538223259049</v>
      </c>
      <c r="L22" s="132">
        <v>5.9251364734190437</v>
      </c>
      <c r="M22" s="132">
        <v>3.0000453313432578</v>
      </c>
      <c r="N22" s="132">
        <v>5.8446029442722791</v>
      </c>
      <c r="O22" s="132">
        <v>1.9035238370169241</v>
      </c>
      <c r="P22" s="132">
        <v>4.2280282355415313</v>
      </c>
      <c r="Q22" s="132">
        <v>8.5046626966938437</v>
      </c>
      <c r="R22" s="132">
        <v>6.7206116060752912</v>
      </c>
      <c r="S22" s="132">
        <v>4.2654039473706105</v>
      </c>
      <c r="T22" s="132">
        <v>3.0338022694142937</v>
      </c>
      <c r="U22" s="132">
        <v>3.177244863514157</v>
      </c>
      <c r="V22" s="132">
        <v>3.5423097814915678</v>
      </c>
      <c r="W22" s="132">
        <v>3.077097722372609</v>
      </c>
      <c r="X22" s="132">
        <v>2.395386759124372</v>
      </c>
      <c r="Y22" s="132">
        <v>2.1893647449233438</v>
      </c>
      <c r="DA22" s="156" t="s">
        <v>619</v>
      </c>
    </row>
    <row r="23" spans="1:105" ht="12" customHeight="1" x14ac:dyDescent="0.25">
      <c r="A23" s="131" t="s">
        <v>149</v>
      </c>
      <c r="B23" s="132"/>
      <c r="C23" s="132">
        <v>0</v>
      </c>
      <c r="D23" s="132">
        <v>0</v>
      </c>
      <c r="E23" s="132">
        <v>0</v>
      </c>
      <c r="F23" s="132">
        <v>5.2591380505410639</v>
      </c>
      <c r="G23" s="132">
        <v>10.613279195224136</v>
      </c>
      <c r="H23" s="132">
        <v>30.158430512914762</v>
      </c>
      <c r="I23" s="132">
        <v>16.89307852276449</v>
      </c>
      <c r="J23" s="132">
        <v>8.7188365136106736</v>
      </c>
      <c r="K23" s="132">
        <v>0.64295455515493194</v>
      </c>
      <c r="L23" s="132">
        <v>3.6406358415725295</v>
      </c>
      <c r="M23" s="132">
        <v>1.980609963768126</v>
      </c>
      <c r="N23" s="132">
        <v>5.5705982165940595</v>
      </c>
      <c r="O23" s="132">
        <v>1.9103939697875445</v>
      </c>
      <c r="P23" s="132">
        <v>4.6253721496703823</v>
      </c>
      <c r="Q23" s="132">
        <v>1.6831294662844529</v>
      </c>
      <c r="R23" s="132">
        <v>2.6608035998591832</v>
      </c>
      <c r="S23" s="132">
        <v>2.8036055449857704</v>
      </c>
      <c r="T23" s="132">
        <v>4.2008455445397948</v>
      </c>
      <c r="U23" s="132">
        <v>5.8432292491463942</v>
      </c>
      <c r="V23" s="132">
        <v>6.0808493301602864</v>
      </c>
      <c r="W23" s="132">
        <v>6.7317691546341045</v>
      </c>
      <c r="X23" s="132">
        <v>6.0151093613643498</v>
      </c>
      <c r="Y23" s="132">
        <v>4.0218938438650884</v>
      </c>
      <c r="DA23" s="156" t="s">
        <v>620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621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622</v>
      </c>
    </row>
    <row r="26" spans="1:105" ht="12" customHeight="1" x14ac:dyDescent="0.25">
      <c r="A26" s="131" t="s">
        <v>24</v>
      </c>
      <c r="B26" s="65"/>
      <c r="C26" s="65">
        <v>18.135827593105653</v>
      </c>
      <c r="D26" s="65">
        <v>23.26149324423433</v>
      </c>
      <c r="E26" s="65">
        <v>24.311536052862682</v>
      </c>
      <c r="F26" s="65">
        <v>22.106044108612377</v>
      </c>
      <c r="G26" s="65">
        <v>13.775844581138145</v>
      </c>
      <c r="H26" s="65">
        <v>7.2660419621262067</v>
      </c>
      <c r="I26" s="65">
        <v>16.439368836310091</v>
      </c>
      <c r="J26" s="65">
        <v>14.739997975853278</v>
      </c>
      <c r="K26" s="65">
        <v>0.14808098672468642</v>
      </c>
      <c r="L26" s="65">
        <v>7.0316662707026936</v>
      </c>
      <c r="M26" s="65">
        <v>0.41985334349426934</v>
      </c>
      <c r="N26" s="65">
        <v>0.27360733603056298</v>
      </c>
      <c r="O26" s="65">
        <v>0.58281485384324194</v>
      </c>
      <c r="P26" s="65">
        <v>0</v>
      </c>
      <c r="Q26" s="65">
        <v>3.4917433541904484E-2</v>
      </c>
      <c r="R26" s="65">
        <v>0.98607385762214161</v>
      </c>
      <c r="S26" s="65">
        <v>6.4912226251695612E-2</v>
      </c>
      <c r="T26" s="65">
        <v>6.831896169193918</v>
      </c>
      <c r="U26" s="65">
        <v>0.29607957612602293</v>
      </c>
      <c r="V26" s="65">
        <v>1.1620158210804563E-2</v>
      </c>
      <c r="W26" s="65">
        <v>1.5947131697452814</v>
      </c>
      <c r="X26" s="65">
        <v>1.363139099864241E-2</v>
      </c>
      <c r="Y26" s="65">
        <v>2.554431336304015</v>
      </c>
      <c r="DA26" s="109" t="s">
        <v>623</v>
      </c>
    </row>
    <row r="27" spans="1:105" ht="12" customHeight="1" x14ac:dyDescent="0.25">
      <c r="A27" s="144" t="s">
        <v>26</v>
      </c>
      <c r="B27" s="147"/>
      <c r="C27" s="147">
        <v>2.5681763423051422</v>
      </c>
      <c r="D27" s="147">
        <v>0.55522707440301611</v>
      </c>
      <c r="E27" s="147">
        <v>2.7808081050933025</v>
      </c>
      <c r="F27" s="147">
        <v>2.4580696176242083</v>
      </c>
      <c r="G27" s="147">
        <v>3.6946984873392807</v>
      </c>
      <c r="H27" s="147">
        <v>3.6175136478922711</v>
      </c>
      <c r="I27" s="147">
        <v>2.1082822296448938</v>
      </c>
      <c r="J27" s="147">
        <v>4.2657045194224628</v>
      </c>
      <c r="K27" s="147">
        <v>1.8371201434801832</v>
      </c>
      <c r="L27" s="147">
        <v>3.8624539199201013</v>
      </c>
      <c r="M27" s="147">
        <v>2.3239850239975288</v>
      </c>
      <c r="N27" s="147">
        <v>2.8322549786092104</v>
      </c>
      <c r="O27" s="147">
        <v>7.6641198207809319E-2</v>
      </c>
      <c r="P27" s="147">
        <v>1.5046249472219966</v>
      </c>
      <c r="Q27" s="147">
        <v>3.026540359556122</v>
      </c>
      <c r="R27" s="147">
        <v>3.8384911427414301</v>
      </c>
      <c r="S27" s="147">
        <v>5.5795609503309338</v>
      </c>
      <c r="T27" s="147">
        <v>0.59047382784743863</v>
      </c>
      <c r="U27" s="147">
        <v>3.4907033573387212</v>
      </c>
      <c r="V27" s="147">
        <v>1.6981747572584198</v>
      </c>
      <c r="W27" s="147">
        <v>5.4857393108529428E-14</v>
      </c>
      <c r="X27" s="147">
        <v>1.5382570937301634</v>
      </c>
      <c r="Y27" s="147">
        <v>0.39073467564787651</v>
      </c>
      <c r="DA27" s="160" t="s">
        <v>624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34.335632864475798</v>
      </c>
      <c r="D29" s="130">
        <f t="shared" si="12"/>
        <v>32.716135748886288</v>
      </c>
      <c r="E29" s="130">
        <f t="shared" si="12"/>
        <v>37.329405074223885</v>
      </c>
      <c r="F29" s="130">
        <f t="shared" si="12"/>
        <v>42.408027145202091</v>
      </c>
      <c r="G29" s="130">
        <f t="shared" si="12"/>
        <v>43.493615731344732</v>
      </c>
      <c r="H29" s="130">
        <f t="shared" si="12"/>
        <v>47.691953803006349</v>
      </c>
      <c r="I29" s="130">
        <f t="shared" si="12"/>
        <v>45.826853416161086</v>
      </c>
      <c r="J29" s="130">
        <f t="shared" si="12"/>
        <v>40.525932474010894</v>
      </c>
      <c r="K29" s="130">
        <f t="shared" si="12"/>
        <v>5.4556956758762594</v>
      </c>
      <c r="L29" s="130">
        <f t="shared" si="12"/>
        <v>26.923181118541368</v>
      </c>
      <c r="M29" s="130">
        <f t="shared" si="12"/>
        <v>11.147530710538247</v>
      </c>
      <c r="N29" s="130">
        <f t="shared" si="12"/>
        <v>20.382312412507844</v>
      </c>
      <c r="O29" s="130">
        <f t="shared" si="12"/>
        <v>5.7458938383974294</v>
      </c>
      <c r="P29" s="130">
        <f t="shared" si="12"/>
        <v>17.749067161121562</v>
      </c>
      <c r="Q29" s="130">
        <f t="shared" si="12"/>
        <v>24.681220637644543</v>
      </c>
      <c r="R29" s="130">
        <f t="shared" ref="R29:W29" si="13">SUM(R30:R33)</f>
        <v>25.757598546763539</v>
      </c>
      <c r="S29" s="130">
        <f t="shared" si="13"/>
        <v>21.558373772648611</v>
      </c>
      <c r="T29" s="130">
        <f t="shared" si="13"/>
        <v>21.958308494040249</v>
      </c>
      <c r="U29" s="130">
        <f t="shared" si="13"/>
        <v>21.224141207397828</v>
      </c>
      <c r="V29" s="130">
        <f t="shared" si="13"/>
        <v>16.197107958701789</v>
      </c>
      <c r="W29" s="130">
        <f t="shared" si="13"/>
        <v>17.903545450595413</v>
      </c>
      <c r="X29" s="130">
        <f t="shared" ref="X29:Y29" si="14">SUM(X30:X33)</f>
        <v>15.488758377974877</v>
      </c>
      <c r="Y29" s="130">
        <f t="shared" si="14"/>
        <v>19.138595877789918</v>
      </c>
      <c r="DA29" s="155" t="s">
        <v>625</v>
      </c>
    </row>
    <row r="30" spans="1:105" s="2" customFormat="1" ht="12" customHeight="1" x14ac:dyDescent="0.25">
      <c r="A30" s="131" t="s">
        <v>52</v>
      </c>
      <c r="B30" s="132"/>
      <c r="C30" s="132">
        <v>7.0046792289429058</v>
      </c>
      <c r="D30" s="132">
        <v>6.4528032145851393</v>
      </c>
      <c r="E30" s="132">
        <v>5.9763051148495441</v>
      </c>
      <c r="F30" s="132">
        <v>4.2303248293229121</v>
      </c>
      <c r="G30" s="132">
        <v>2.2279108554655513</v>
      </c>
      <c r="H30" s="132">
        <v>1.9448546783524194</v>
      </c>
      <c r="I30" s="132">
        <v>4.2543769894583452</v>
      </c>
      <c r="J30" s="132">
        <v>4.9343752218922159</v>
      </c>
      <c r="K30" s="132">
        <v>0.67476111522901094</v>
      </c>
      <c r="L30" s="132">
        <v>2.3405355543699922</v>
      </c>
      <c r="M30" s="132">
        <v>0.25730535402065879</v>
      </c>
      <c r="N30" s="132">
        <v>0.85741019134866603</v>
      </c>
      <c r="O30" s="132">
        <v>0.48531656272868684</v>
      </c>
      <c r="P30" s="132">
        <v>0.77465722550864546</v>
      </c>
      <c r="Q30" s="132">
        <v>4.1302919661119022</v>
      </c>
      <c r="R30" s="132">
        <v>6.0846441190381242</v>
      </c>
      <c r="S30" s="132">
        <v>2.4329627726859195</v>
      </c>
      <c r="T30" s="132">
        <v>0.8719689295780092</v>
      </c>
      <c r="U30" s="132">
        <v>0</v>
      </c>
      <c r="V30" s="132">
        <v>0</v>
      </c>
      <c r="W30" s="132">
        <v>1.4076787605150876</v>
      </c>
      <c r="X30" s="132">
        <v>3.6783426634354366</v>
      </c>
      <c r="Y30" s="132">
        <v>5.7752523610898097</v>
      </c>
      <c r="DA30" s="156" t="s">
        <v>626</v>
      </c>
    </row>
    <row r="31" spans="1:105" ht="12" customHeight="1" x14ac:dyDescent="0.25">
      <c r="A31" s="131" t="s">
        <v>149</v>
      </c>
      <c r="B31" s="132"/>
      <c r="C31" s="132">
        <v>7.5325776559541033</v>
      </c>
      <c r="D31" s="132">
        <v>5.2332941768502659</v>
      </c>
      <c r="E31" s="132">
        <v>7.9793605196199975</v>
      </c>
      <c r="F31" s="132">
        <v>17.741200011506471</v>
      </c>
      <c r="G31" s="132">
        <v>15.91874452899572</v>
      </c>
      <c r="H31" s="132">
        <v>15.263287980169601</v>
      </c>
      <c r="I31" s="132">
        <v>10.600208666509751</v>
      </c>
      <c r="J31" s="132">
        <v>9.022846224214442</v>
      </c>
      <c r="K31" s="132">
        <v>1.5130069740379164</v>
      </c>
      <c r="L31" s="132">
        <v>8.0187098228993214</v>
      </c>
      <c r="M31" s="132">
        <v>5.7736505370977724</v>
      </c>
      <c r="N31" s="132">
        <v>15.156031032439833</v>
      </c>
      <c r="O31" s="132">
        <v>5.2605772756687426</v>
      </c>
      <c r="P31" s="132">
        <v>16.974409935612918</v>
      </c>
      <c r="Q31" s="132">
        <v>20.550928671532642</v>
      </c>
      <c r="R31" s="132">
        <v>16.20070412999106</v>
      </c>
      <c r="S31" s="132">
        <v>9.4414035319636902</v>
      </c>
      <c r="T31" s="132">
        <v>2.4756357352921872</v>
      </c>
      <c r="U31" s="132">
        <v>7.5726232285860799</v>
      </c>
      <c r="V31" s="132">
        <v>10.977801827492815</v>
      </c>
      <c r="W31" s="132">
        <v>6.7072973708080168</v>
      </c>
      <c r="X31" s="132">
        <v>3.3857774298568026</v>
      </c>
      <c r="Y31" s="132">
        <v>3.1512906459350938</v>
      </c>
      <c r="DA31" s="156" t="s">
        <v>627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628</v>
      </c>
    </row>
    <row r="33" spans="1:105" ht="12" customHeight="1" x14ac:dyDescent="0.25">
      <c r="A33" s="62" t="s">
        <v>24</v>
      </c>
      <c r="B33" s="68"/>
      <c r="C33" s="68">
        <v>19.798375979578793</v>
      </c>
      <c r="D33" s="68">
        <v>21.030038357450884</v>
      </c>
      <c r="E33" s="68">
        <v>23.373739439754342</v>
      </c>
      <c r="F33" s="68">
        <v>20.436502304372709</v>
      </c>
      <c r="G33" s="68">
        <v>25.34696034688346</v>
      </c>
      <c r="H33" s="68">
        <v>30.483811144484328</v>
      </c>
      <c r="I33" s="68">
        <v>30.972267760192992</v>
      </c>
      <c r="J33" s="68">
        <v>26.568711027904236</v>
      </c>
      <c r="K33" s="68">
        <v>3.267927586609332</v>
      </c>
      <c r="L33" s="68">
        <v>16.563935741272054</v>
      </c>
      <c r="M33" s="68">
        <v>5.1165748194198155</v>
      </c>
      <c r="N33" s="68">
        <v>4.3688711887193481</v>
      </c>
      <c r="O33" s="68">
        <v>0</v>
      </c>
      <c r="P33" s="68">
        <v>0</v>
      </c>
      <c r="Q33" s="68">
        <v>0</v>
      </c>
      <c r="R33" s="68">
        <v>3.4722502977343543</v>
      </c>
      <c r="S33" s="68">
        <v>9.6840074679990025</v>
      </c>
      <c r="T33" s="68">
        <v>18.610703829170053</v>
      </c>
      <c r="U33" s="68">
        <v>13.65151797881175</v>
      </c>
      <c r="V33" s="68">
        <v>5.2193061312089739</v>
      </c>
      <c r="W33" s="68">
        <v>9.7885693192723089</v>
      </c>
      <c r="X33" s="68">
        <v>8.4246382846826382</v>
      </c>
      <c r="Y33" s="68">
        <v>10.212052870765012</v>
      </c>
      <c r="DA33" s="111" t="s">
        <v>629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/>
      <c r="C3" s="125">
        <f t="shared" ref="C3:Q3" si="0">SUM(C4,C16,C19,C29)</f>
        <v>152.92410542075146</v>
      </c>
      <c r="D3" s="125">
        <f t="shared" si="0"/>
        <v>139.6348763474642</v>
      </c>
      <c r="E3" s="125">
        <f t="shared" si="0"/>
        <v>191.63727427858825</v>
      </c>
      <c r="F3" s="125">
        <f t="shared" si="0"/>
        <v>179.94422532313388</v>
      </c>
      <c r="G3" s="125">
        <f t="shared" si="0"/>
        <v>192.62886979822323</v>
      </c>
      <c r="H3" s="125">
        <f t="shared" si="0"/>
        <v>281.94343480055011</v>
      </c>
      <c r="I3" s="125">
        <f t="shared" si="0"/>
        <v>193.60173525634599</v>
      </c>
      <c r="J3" s="125">
        <f t="shared" si="0"/>
        <v>172.76716810375416</v>
      </c>
      <c r="K3" s="125">
        <f t="shared" si="0"/>
        <v>25.793686964170558</v>
      </c>
      <c r="L3" s="125">
        <f t="shared" si="0"/>
        <v>126.38073172348794</v>
      </c>
      <c r="M3" s="125">
        <f t="shared" si="0"/>
        <v>46.010825370282092</v>
      </c>
      <c r="N3" s="125">
        <f t="shared" si="0"/>
        <v>89.452041185837402</v>
      </c>
      <c r="O3" s="125">
        <f t="shared" si="0"/>
        <v>22.155574469379488</v>
      </c>
      <c r="P3" s="125">
        <f t="shared" si="0"/>
        <v>50.431610477952873</v>
      </c>
      <c r="Q3" s="125">
        <f t="shared" si="0"/>
        <v>90.520261255419427</v>
      </c>
      <c r="R3" s="125">
        <f t="shared" ref="R3:W3" si="1">SUM(R4,R16,R19,R29)</f>
        <v>102.13967946664771</v>
      </c>
      <c r="S3" s="125">
        <f t="shared" si="1"/>
        <v>111.19201094083547</v>
      </c>
      <c r="T3" s="125">
        <f t="shared" si="1"/>
        <v>95.933285424411139</v>
      </c>
      <c r="U3" s="125">
        <f t="shared" si="1"/>
        <v>90.833433166064992</v>
      </c>
      <c r="V3" s="125">
        <f t="shared" si="1"/>
        <v>84.18646938187068</v>
      </c>
      <c r="W3" s="125">
        <f t="shared" si="1"/>
        <v>79.679189929151221</v>
      </c>
      <c r="X3" s="125">
        <f t="shared" ref="X3:Y3" si="2">SUM(X4,X16,X19,X29)</f>
        <v>88.107943579345303</v>
      </c>
      <c r="Y3" s="125">
        <f t="shared" si="2"/>
        <v>92.051712110704784</v>
      </c>
      <c r="DA3" s="154" t="s">
        <v>631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29.484477085933861</v>
      </c>
      <c r="D4" s="130">
        <f t="shared" si="3"/>
        <v>25.027740394129257</v>
      </c>
      <c r="E4" s="130">
        <f t="shared" si="3"/>
        <v>30.201951408652853</v>
      </c>
      <c r="F4" s="130">
        <f t="shared" si="3"/>
        <v>26.559132173293985</v>
      </c>
      <c r="G4" s="130">
        <f t="shared" si="3"/>
        <v>27.080817935401114</v>
      </c>
      <c r="H4" s="130">
        <f t="shared" si="3"/>
        <v>88.273595380592226</v>
      </c>
      <c r="I4" s="130">
        <f t="shared" si="3"/>
        <v>42.201391174381683</v>
      </c>
      <c r="J4" s="130">
        <f t="shared" si="3"/>
        <v>38.14876723291156</v>
      </c>
      <c r="K4" s="130">
        <f t="shared" si="3"/>
        <v>4.8811104429193852</v>
      </c>
      <c r="L4" s="130">
        <f t="shared" si="3"/>
        <v>28.845212508178911</v>
      </c>
      <c r="M4" s="130">
        <f t="shared" si="3"/>
        <v>10.137713770588929</v>
      </c>
      <c r="N4" s="130">
        <f t="shared" si="3"/>
        <v>16.506648957624705</v>
      </c>
      <c r="O4" s="130">
        <f t="shared" si="3"/>
        <v>4.2624367315123202</v>
      </c>
      <c r="P4" s="130">
        <f t="shared" si="3"/>
        <v>7.084699775944717</v>
      </c>
      <c r="Q4" s="130">
        <f t="shared" si="3"/>
        <v>10.858889166672833</v>
      </c>
      <c r="R4" s="130">
        <f t="shared" ref="R4:W4" si="4">SUM(R5:R15)</f>
        <v>13.654402776930587</v>
      </c>
      <c r="S4" s="130">
        <f t="shared" si="4"/>
        <v>15.437673659734303</v>
      </c>
      <c r="T4" s="130">
        <f t="shared" si="4"/>
        <v>17.350465100143335</v>
      </c>
      <c r="U4" s="130">
        <f t="shared" si="4"/>
        <v>16.89948932165154</v>
      </c>
      <c r="V4" s="130">
        <f t="shared" si="4"/>
        <v>15.299051668576501</v>
      </c>
      <c r="W4" s="130">
        <f t="shared" si="4"/>
        <v>16.716051220941644</v>
      </c>
      <c r="X4" s="130">
        <f t="shared" ref="X4:Y4" si="5">SUM(X5:X15)</f>
        <v>16.656961430509302</v>
      </c>
      <c r="Y4" s="130">
        <f t="shared" si="5"/>
        <v>17.523480348274358</v>
      </c>
      <c r="DA4" s="155" t="s">
        <v>632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633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634</v>
      </c>
    </row>
    <row r="7" spans="1:105" ht="12" customHeight="1" x14ac:dyDescent="0.25">
      <c r="A7" s="131" t="s">
        <v>161</v>
      </c>
      <c r="B7" s="132"/>
      <c r="C7" s="132">
        <v>27.918494546962808</v>
      </c>
      <c r="D7" s="132">
        <v>23.494369946131933</v>
      </c>
      <c r="E7" s="132">
        <v>28.41560612727314</v>
      </c>
      <c r="F7" s="132">
        <v>15.459120351925575</v>
      </c>
      <c r="G7" s="132">
        <v>0</v>
      </c>
      <c r="H7" s="132">
        <v>0</v>
      </c>
      <c r="I7" s="132">
        <v>0</v>
      </c>
      <c r="J7" s="132">
        <v>0</v>
      </c>
      <c r="K7" s="132">
        <v>0</v>
      </c>
      <c r="L7" s="132">
        <v>7.4180592318293064</v>
      </c>
      <c r="M7" s="132">
        <v>5.4741162803285963</v>
      </c>
      <c r="N7" s="132">
        <v>8.7004407622077302</v>
      </c>
      <c r="O7" s="132">
        <v>2.5900923031255316</v>
      </c>
      <c r="P7" s="132">
        <v>0.32375185809925677</v>
      </c>
      <c r="Q7" s="132">
        <v>0.40480469306093386</v>
      </c>
      <c r="R7" s="132">
        <v>2.9427835108896527</v>
      </c>
      <c r="S7" s="132">
        <v>5.3127942577248941</v>
      </c>
      <c r="T7" s="132">
        <v>5.2390963266538533</v>
      </c>
      <c r="U7" s="132">
        <v>0.62084699373978336</v>
      </c>
      <c r="V7" s="132">
        <v>0</v>
      </c>
      <c r="W7" s="132">
        <v>0</v>
      </c>
      <c r="X7" s="132">
        <v>0</v>
      </c>
      <c r="Y7" s="132">
        <v>0</v>
      </c>
      <c r="DA7" s="156" t="s">
        <v>635</v>
      </c>
    </row>
    <row r="8" spans="1:105" ht="12" customHeight="1" x14ac:dyDescent="0.25">
      <c r="A8" s="131" t="s">
        <v>73</v>
      </c>
      <c r="B8" s="132"/>
      <c r="C8" s="132">
        <v>2.2525194676374068E-3</v>
      </c>
      <c r="D8" s="132">
        <v>2.9515730375985184E-3</v>
      </c>
      <c r="E8" s="132">
        <v>4.6794424087796289E-3</v>
      </c>
      <c r="F8" s="132">
        <v>1.2180642152309729E-2</v>
      </c>
      <c r="G8" s="132">
        <v>2.1221752977124204E-2</v>
      </c>
      <c r="H8" s="132">
        <v>1.9152124091296008E-2</v>
      </c>
      <c r="I8" s="132">
        <v>4.1069744782085034E-2</v>
      </c>
      <c r="J8" s="132">
        <v>2.0232812435543476E-2</v>
      </c>
      <c r="K8" s="132">
        <v>5.3048390724436192E-3</v>
      </c>
      <c r="L8" s="132">
        <v>4.7249755627455314E-2</v>
      </c>
      <c r="M8" s="132">
        <v>3.7590247846536515E-2</v>
      </c>
      <c r="N8" s="132">
        <v>0.135119741664156</v>
      </c>
      <c r="O8" s="132">
        <v>6.0331131920114148E-2</v>
      </c>
      <c r="P8" s="132">
        <v>0.34243707231440923</v>
      </c>
      <c r="Q8" s="132">
        <v>0.42960128483188037</v>
      </c>
      <c r="R8" s="132">
        <v>0.45346542167379672</v>
      </c>
      <c r="S8" s="132">
        <v>0.39855616261775284</v>
      </c>
      <c r="T8" s="132">
        <v>0.28019035748780585</v>
      </c>
      <c r="U8" s="132">
        <v>0.79403563554950396</v>
      </c>
      <c r="V8" s="132">
        <v>0.21137497251241241</v>
      </c>
      <c r="W8" s="132">
        <v>0.53963416756966742</v>
      </c>
      <c r="X8" s="132">
        <v>0.58443417487797333</v>
      </c>
      <c r="Y8" s="132">
        <v>0.81584623843145354</v>
      </c>
      <c r="DA8" s="156" t="s">
        <v>636</v>
      </c>
    </row>
    <row r="9" spans="1:105" ht="12" customHeight="1" x14ac:dyDescent="0.25">
      <c r="A9" s="131" t="s">
        <v>78</v>
      </c>
      <c r="B9" s="132"/>
      <c r="C9" s="132">
        <v>0</v>
      </c>
      <c r="D9" s="132">
        <v>0</v>
      </c>
      <c r="E9" s="132">
        <v>0</v>
      </c>
      <c r="F9" s="132">
        <v>1.2176348238512091</v>
      </c>
      <c r="G9" s="132">
        <v>21.239045985846673</v>
      </c>
      <c r="H9" s="132">
        <v>61.88907755967594</v>
      </c>
      <c r="I9" s="132">
        <v>16.879653516331391</v>
      </c>
      <c r="J9" s="132">
        <v>11.769722446299129</v>
      </c>
      <c r="K9" s="132">
        <v>3.0044936738609738</v>
      </c>
      <c r="L9" s="132">
        <v>18.562034651099946</v>
      </c>
      <c r="M9" s="132">
        <v>3.1268101352126787</v>
      </c>
      <c r="N9" s="132">
        <v>2.5294182473448164</v>
      </c>
      <c r="O9" s="132">
        <v>0</v>
      </c>
      <c r="P9" s="132">
        <v>0</v>
      </c>
      <c r="Q9" s="132">
        <v>0</v>
      </c>
      <c r="R9" s="132">
        <v>0</v>
      </c>
      <c r="S9" s="132">
        <v>0</v>
      </c>
      <c r="T9" s="132">
        <v>2.2490501251948114</v>
      </c>
      <c r="U9" s="132">
        <v>6.1461623858331818</v>
      </c>
      <c r="V9" s="132">
        <v>5.4747272442536197</v>
      </c>
      <c r="W9" s="132">
        <v>8.9889539747082381</v>
      </c>
      <c r="X9" s="132">
        <v>6.6095573838263917</v>
      </c>
      <c r="Y9" s="132">
        <v>5.2188473643078011</v>
      </c>
      <c r="DA9" s="156" t="s">
        <v>637</v>
      </c>
    </row>
    <row r="10" spans="1:105" ht="12" customHeight="1" x14ac:dyDescent="0.25">
      <c r="A10" s="131" t="s">
        <v>128</v>
      </c>
      <c r="B10" s="132"/>
      <c r="C10" s="132">
        <v>0.67991027543932947</v>
      </c>
      <c r="D10" s="132">
        <v>0.68917888148432316</v>
      </c>
      <c r="E10" s="132">
        <v>0.54252458157441075</v>
      </c>
      <c r="F10" s="132">
        <v>0.7080501488082579</v>
      </c>
      <c r="G10" s="132">
        <v>0.25258989381722846</v>
      </c>
      <c r="H10" s="132">
        <v>0.47448009306749384</v>
      </c>
      <c r="I10" s="132">
        <v>1.9160217978131771</v>
      </c>
      <c r="J10" s="132">
        <v>0.66332763318051402</v>
      </c>
      <c r="K10" s="132">
        <v>6.7948749151846436E-3</v>
      </c>
      <c r="L10" s="132">
        <v>0</v>
      </c>
      <c r="M10" s="132">
        <v>0.22970564038457747</v>
      </c>
      <c r="N10" s="132">
        <v>0.89454035143073751</v>
      </c>
      <c r="O10" s="132">
        <v>0.24470301123193361</v>
      </c>
      <c r="P10" s="132">
        <v>0.84159681390271246</v>
      </c>
      <c r="Q10" s="132">
        <v>0.90772394162957859</v>
      </c>
      <c r="R10" s="132">
        <v>0.65065386938804415</v>
      </c>
      <c r="S10" s="132">
        <v>0.20251856930668424</v>
      </c>
      <c r="T10" s="132">
        <v>0</v>
      </c>
      <c r="U10" s="132">
        <v>0</v>
      </c>
      <c r="V10" s="132">
        <v>0</v>
      </c>
      <c r="W10" s="132">
        <v>0.10705854934887193</v>
      </c>
      <c r="X10" s="132">
        <v>0.26266199154449421</v>
      </c>
      <c r="Y10" s="132">
        <v>0.54443561266006646</v>
      </c>
      <c r="DA10" s="156" t="s">
        <v>638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1.8336599546932444E-5</v>
      </c>
      <c r="J11" s="132">
        <v>0</v>
      </c>
      <c r="K11" s="132">
        <v>0</v>
      </c>
      <c r="L11" s="132">
        <v>0</v>
      </c>
      <c r="M11" s="132">
        <v>8.917873496911956E-5</v>
      </c>
      <c r="N11" s="132">
        <v>1.3370388411269103E-3</v>
      </c>
      <c r="O11" s="132">
        <v>1.6330774697599477E-3</v>
      </c>
      <c r="P11" s="132">
        <v>1.2481843302857613E-3</v>
      </c>
      <c r="Q11" s="132">
        <v>3.7550430134905468E-4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639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640</v>
      </c>
    </row>
    <row r="13" spans="1:105" ht="12" customHeight="1" x14ac:dyDescent="0.25">
      <c r="A13" s="131" t="s">
        <v>77</v>
      </c>
      <c r="B13" s="132"/>
      <c r="C13" s="132">
        <v>0.33039033357052655</v>
      </c>
      <c r="D13" s="132">
        <v>0.38360866318220249</v>
      </c>
      <c r="E13" s="132">
        <v>0.69880993834423111</v>
      </c>
      <c r="F13" s="132">
        <v>0.66597544431114797</v>
      </c>
      <c r="G13" s="132">
        <v>1.1285430228487365</v>
      </c>
      <c r="H13" s="132">
        <v>0.87192808913293651</v>
      </c>
      <c r="I13" s="132">
        <v>4.1659677552088334</v>
      </c>
      <c r="J13" s="132">
        <v>4.0974020123548662</v>
      </c>
      <c r="K13" s="132">
        <v>0.65751202908339978</v>
      </c>
      <c r="L13" s="132">
        <v>2.37713778092452</v>
      </c>
      <c r="M13" s="132">
        <v>1.1230729968306619</v>
      </c>
      <c r="N13" s="132">
        <v>4.051340190380655</v>
      </c>
      <c r="O13" s="132">
        <v>1.3207888007014317</v>
      </c>
      <c r="P13" s="132">
        <v>5.5621361153292179</v>
      </c>
      <c r="Q13" s="132">
        <v>9.1007657048160411</v>
      </c>
      <c r="R13" s="132">
        <v>9.5532016475493648</v>
      </c>
      <c r="S13" s="132">
        <v>7.9404569953259507</v>
      </c>
      <c r="T13" s="132">
        <v>8.4389277119638635</v>
      </c>
      <c r="U13" s="132">
        <v>8.9973492477745829</v>
      </c>
      <c r="V13" s="132">
        <v>9.5255674694457753</v>
      </c>
      <c r="W13" s="132">
        <v>6.7656543779937062</v>
      </c>
      <c r="X13" s="132">
        <v>8.2854513011787372</v>
      </c>
      <c r="Y13" s="132">
        <v>10.575139861806969</v>
      </c>
      <c r="DA13" s="156" t="s">
        <v>641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8.1810694084100248</v>
      </c>
      <c r="G14" s="65">
        <v>4.0507580057250703</v>
      </c>
      <c r="H14" s="65">
        <v>23.906948594571563</v>
      </c>
      <c r="I14" s="65">
        <v>18.883979747281334</v>
      </c>
      <c r="J14" s="65">
        <v>21.38760032866195</v>
      </c>
      <c r="K14" s="65">
        <v>1.155363002900329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1.4952771140555989</v>
      </c>
      <c r="T14" s="65">
        <v>1.0229116809671905</v>
      </c>
      <c r="U14" s="65">
        <v>0.23075850042894433</v>
      </c>
      <c r="V14" s="65">
        <v>0</v>
      </c>
      <c r="W14" s="65">
        <v>0.16907748850827475</v>
      </c>
      <c r="X14" s="65">
        <v>0.80553906542226827</v>
      </c>
      <c r="Y14" s="65">
        <v>0.27872316755396376</v>
      </c>
      <c r="DA14" s="109" t="s">
        <v>642</v>
      </c>
    </row>
    <row r="15" spans="1:105" ht="12" customHeight="1" x14ac:dyDescent="0.25">
      <c r="A15" s="133" t="s">
        <v>80</v>
      </c>
      <c r="B15" s="134"/>
      <c r="C15" s="134">
        <v>0.55342941049355865</v>
      </c>
      <c r="D15" s="134">
        <v>0.45763133029319841</v>
      </c>
      <c r="E15" s="134">
        <v>0.54033131905229237</v>
      </c>
      <c r="F15" s="134">
        <v>0.31510135383546362</v>
      </c>
      <c r="G15" s="134">
        <v>0.38865927418628954</v>
      </c>
      <c r="H15" s="134">
        <v>1.1120089200530059</v>
      </c>
      <c r="I15" s="134">
        <v>0.31468027636532342</v>
      </c>
      <c r="J15" s="134">
        <v>0.21048199997955985</v>
      </c>
      <c r="K15" s="134">
        <v>5.1642023087054005E-2</v>
      </c>
      <c r="L15" s="134">
        <v>0.44073108869767985</v>
      </c>
      <c r="M15" s="134">
        <v>0.14632929125090985</v>
      </c>
      <c r="N15" s="134">
        <v>0.19445262575548028</v>
      </c>
      <c r="O15" s="134">
        <v>4.4888407063549289E-2</v>
      </c>
      <c r="P15" s="134">
        <v>1.3529731968834722E-2</v>
      </c>
      <c r="Q15" s="134">
        <v>1.5618038033049914E-2</v>
      </c>
      <c r="R15" s="134">
        <v>5.4298327429728489E-2</v>
      </c>
      <c r="S15" s="134">
        <v>8.8070560703421577E-2</v>
      </c>
      <c r="T15" s="134">
        <v>0.12028889787581054</v>
      </c>
      <c r="U15" s="134">
        <v>0.11033655832554079</v>
      </c>
      <c r="V15" s="134">
        <v>8.7381982364695826E-2</v>
      </c>
      <c r="W15" s="134">
        <v>0.14567266281288624</v>
      </c>
      <c r="X15" s="134">
        <v>0.10931751365943772</v>
      </c>
      <c r="Y15" s="134">
        <v>9.0488103514106119E-2</v>
      </c>
      <c r="DA15" s="157" t="s">
        <v>643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84.334672492450224</v>
      </c>
      <c r="D16" s="130">
        <f t="shared" si="6"/>
        <v>75.164880435233925</v>
      </c>
      <c r="E16" s="130">
        <f t="shared" si="6"/>
        <v>114.95720331798466</v>
      </c>
      <c r="F16" s="130">
        <f t="shared" si="6"/>
        <v>104.12374323351082</v>
      </c>
      <c r="G16" s="130">
        <f t="shared" si="6"/>
        <v>114.88242457882724</v>
      </c>
      <c r="H16" s="130">
        <f t="shared" si="6"/>
        <v>133.81421266945517</v>
      </c>
      <c r="I16" s="130">
        <f t="shared" si="6"/>
        <v>95.789803477503398</v>
      </c>
      <c r="J16" s="130">
        <f t="shared" si="6"/>
        <v>86.260629364149622</v>
      </c>
      <c r="K16" s="130">
        <f t="shared" si="6"/>
        <v>14.475208058364732</v>
      </c>
      <c r="L16" s="130">
        <f t="shared" si="6"/>
        <v>65.763897736586785</v>
      </c>
      <c r="M16" s="130">
        <f t="shared" si="6"/>
        <v>23.224734650866473</v>
      </c>
      <c r="N16" s="130">
        <f t="shared" si="6"/>
        <v>50.839800118007851</v>
      </c>
      <c r="O16" s="130">
        <f t="shared" si="6"/>
        <v>11.785593307533301</v>
      </c>
      <c r="P16" s="130">
        <f t="shared" si="6"/>
        <v>26.134169476580144</v>
      </c>
      <c r="Q16" s="130">
        <f t="shared" si="6"/>
        <v>55.867819154787114</v>
      </c>
      <c r="R16" s="130">
        <f t="shared" ref="R16:W16" si="7">SUM(R17:R18)</f>
        <v>62.007982535916355</v>
      </c>
      <c r="S16" s="130">
        <f t="shared" si="7"/>
        <v>70.539332989675728</v>
      </c>
      <c r="T16" s="130">
        <f t="shared" si="7"/>
        <v>50.145216172672519</v>
      </c>
      <c r="U16" s="130">
        <f t="shared" si="7"/>
        <v>47.704192528491724</v>
      </c>
      <c r="V16" s="130">
        <f t="shared" si="7"/>
        <v>49.019237105006397</v>
      </c>
      <c r="W16" s="130">
        <f t="shared" si="7"/>
        <v>40.585604657030707</v>
      </c>
      <c r="X16" s="130">
        <f t="shared" ref="X16:Y16" si="8">SUM(X17:X18)</f>
        <v>51.185908333137299</v>
      </c>
      <c r="Y16" s="130">
        <f t="shared" si="8"/>
        <v>51.633042964398875</v>
      </c>
      <c r="DA16" s="155" t="s">
        <v>644</v>
      </c>
    </row>
    <row r="17" spans="1:105" ht="12.95" customHeight="1" x14ac:dyDescent="0.25">
      <c r="A17" s="131" t="s">
        <v>73</v>
      </c>
      <c r="B17" s="132"/>
      <c r="C17" s="132">
        <v>6.1360516501425134E-2</v>
      </c>
      <c r="D17" s="132">
        <v>3.276058812223117E-2</v>
      </c>
      <c r="E17" s="132">
        <v>0.16217918133557202</v>
      </c>
      <c r="F17" s="132">
        <v>0.19835919054271495</v>
      </c>
      <c r="G17" s="132">
        <v>0.13363061705599996</v>
      </c>
      <c r="H17" s="132">
        <v>0.18658047819528617</v>
      </c>
      <c r="I17" s="132">
        <v>0.11424775008651784</v>
      </c>
      <c r="J17" s="132">
        <v>0.16869482827076829</v>
      </c>
      <c r="K17" s="132">
        <v>2.7271460172837516E-2</v>
      </c>
      <c r="L17" s="132">
        <v>0.16731169088904652</v>
      </c>
      <c r="M17" s="132">
        <v>6.9515766148116553E-2</v>
      </c>
      <c r="N17" s="132">
        <v>0.14887583334370777</v>
      </c>
      <c r="O17" s="132">
        <v>6.9962832951982329E-2</v>
      </c>
      <c r="P17" s="132">
        <v>0.12036514217471608</v>
      </c>
      <c r="Q17" s="132">
        <v>0.30943089957926539</v>
      </c>
      <c r="R17" s="132">
        <v>0.39089974422362705</v>
      </c>
      <c r="S17" s="132">
        <v>0.33299503555023519</v>
      </c>
      <c r="T17" s="132">
        <v>0.44874555255895759</v>
      </c>
      <c r="U17" s="132">
        <v>0.26594844647731947</v>
      </c>
      <c r="V17" s="132">
        <v>0.26866277531620059</v>
      </c>
      <c r="W17" s="132">
        <v>0.21220100735610886</v>
      </c>
      <c r="X17" s="132">
        <v>0.29563388830669679</v>
      </c>
      <c r="Y17" s="132">
        <v>0.31368660068184268</v>
      </c>
      <c r="DA17" s="156" t="s">
        <v>645</v>
      </c>
    </row>
    <row r="18" spans="1:105" ht="12" customHeight="1" x14ac:dyDescent="0.25">
      <c r="A18" s="131" t="s">
        <v>72</v>
      </c>
      <c r="B18" s="132"/>
      <c r="C18" s="132">
        <v>84.273311975948801</v>
      </c>
      <c r="D18" s="132">
        <v>75.132119847111696</v>
      </c>
      <c r="E18" s="132">
        <v>114.79502413664909</v>
      </c>
      <c r="F18" s="132">
        <v>103.9253840429681</v>
      </c>
      <c r="G18" s="132">
        <v>114.74879396177124</v>
      </c>
      <c r="H18" s="132">
        <v>133.62763219125989</v>
      </c>
      <c r="I18" s="132">
        <v>95.675555727416878</v>
      </c>
      <c r="J18" s="132">
        <v>86.091934535878849</v>
      </c>
      <c r="K18" s="132">
        <v>14.447936598191895</v>
      </c>
      <c r="L18" s="132">
        <v>65.596586045697734</v>
      </c>
      <c r="M18" s="132">
        <v>23.155218884718355</v>
      </c>
      <c r="N18" s="132">
        <v>50.690924284664142</v>
      </c>
      <c r="O18" s="132">
        <v>11.715630474581319</v>
      </c>
      <c r="P18" s="132">
        <v>26.013804334405428</v>
      </c>
      <c r="Q18" s="132">
        <v>55.558388255207845</v>
      </c>
      <c r="R18" s="132">
        <v>61.617082791692731</v>
      </c>
      <c r="S18" s="132">
        <v>70.206337954125487</v>
      </c>
      <c r="T18" s="132">
        <v>49.696470620113558</v>
      </c>
      <c r="U18" s="132">
        <v>47.438244082014407</v>
      </c>
      <c r="V18" s="132">
        <v>48.750574329690195</v>
      </c>
      <c r="W18" s="132">
        <v>40.3734036496746</v>
      </c>
      <c r="X18" s="132">
        <v>50.890274444830602</v>
      </c>
      <c r="Y18" s="132">
        <v>51.319356363717034</v>
      </c>
      <c r="DA18" s="156" t="s">
        <v>646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17.335534752316438</v>
      </c>
      <c r="D19" s="130">
        <f t="shared" si="9"/>
        <v>18.289822735770731</v>
      </c>
      <c r="E19" s="130">
        <f t="shared" si="9"/>
        <v>22.390934697778111</v>
      </c>
      <c r="F19" s="130">
        <f t="shared" si="9"/>
        <v>22.875648379923909</v>
      </c>
      <c r="G19" s="130">
        <f t="shared" si="9"/>
        <v>22.779740061436037</v>
      </c>
      <c r="H19" s="130">
        <f t="shared" si="9"/>
        <v>28.743098517416112</v>
      </c>
      <c r="I19" s="130">
        <f t="shared" si="9"/>
        <v>25.370185484195044</v>
      </c>
      <c r="J19" s="130">
        <f t="shared" si="9"/>
        <v>21.70350025235064</v>
      </c>
      <c r="K19" s="130">
        <f t="shared" si="9"/>
        <v>2.89479161887812</v>
      </c>
      <c r="L19" s="130">
        <f t="shared" si="9"/>
        <v>14.158636212015876</v>
      </c>
      <c r="M19" s="130">
        <f t="shared" si="9"/>
        <v>5.6418763781385941</v>
      </c>
      <c r="N19" s="130">
        <f t="shared" si="9"/>
        <v>10.177540129418324</v>
      </c>
      <c r="O19" s="130">
        <f t="shared" si="9"/>
        <v>2.9743066529368614</v>
      </c>
      <c r="P19" s="130">
        <f t="shared" si="9"/>
        <v>7.5196037515547864</v>
      </c>
      <c r="Q19" s="130">
        <f t="shared" si="9"/>
        <v>10.279144222827668</v>
      </c>
      <c r="R19" s="130">
        <f t="shared" ref="R19:W19" si="10">SUM(R20:R27)</f>
        <v>11.478051464200872</v>
      </c>
      <c r="S19" s="130">
        <f t="shared" si="10"/>
        <v>10.891504675056748</v>
      </c>
      <c r="T19" s="130">
        <f t="shared" si="10"/>
        <v>11.444817076677348</v>
      </c>
      <c r="U19" s="130">
        <f t="shared" si="10"/>
        <v>10.51009233966419</v>
      </c>
      <c r="V19" s="130">
        <f t="shared" si="10"/>
        <v>9.0192671016659371</v>
      </c>
      <c r="W19" s="130">
        <f t="shared" si="10"/>
        <v>9.2138809765334226</v>
      </c>
      <c r="X19" s="130">
        <f t="shared" ref="X19:Y19" si="11">SUM(X20:X27)</f>
        <v>8.8387196356939217</v>
      </c>
      <c r="Y19" s="130">
        <f t="shared" si="11"/>
        <v>8.7703818410776133</v>
      </c>
      <c r="DA19" s="155" t="s">
        <v>647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648</v>
      </c>
    </row>
    <row r="21" spans="1:105" s="2" customFormat="1" ht="12" customHeight="1" x14ac:dyDescent="0.25">
      <c r="A21" s="131" t="s">
        <v>52</v>
      </c>
      <c r="B21" s="132"/>
      <c r="C21" s="132">
        <v>0.36352538010460278</v>
      </c>
      <c r="D21" s="132">
        <v>0.34224788991274302</v>
      </c>
      <c r="E21" s="132">
        <v>0.42407508063548777</v>
      </c>
      <c r="F21" s="132">
        <v>0.28893281644860813</v>
      </c>
      <c r="G21" s="132">
        <v>0.63497338897368949</v>
      </c>
      <c r="H21" s="132">
        <v>0.79688017459850835</v>
      </c>
      <c r="I21" s="132">
        <v>0.8852318534886936</v>
      </c>
      <c r="J21" s="132">
        <v>0.7371269523130487</v>
      </c>
      <c r="K21" s="132">
        <v>0.11601122199601449</v>
      </c>
      <c r="L21" s="132">
        <v>0.58159693193655604</v>
      </c>
      <c r="M21" s="132">
        <v>0.25852062830620803</v>
      </c>
      <c r="N21" s="132">
        <v>0.46668710256280599</v>
      </c>
      <c r="O21" s="132">
        <v>0.14584857423117856</v>
      </c>
      <c r="P21" s="132">
        <v>0.24509310870906134</v>
      </c>
      <c r="Q21" s="132">
        <v>0.5191820970629708</v>
      </c>
      <c r="R21" s="132">
        <v>0.44381898118252883</v>
      </c>
      <c r="S21" s="132">
        <v>0.2374024729787223</v>
      </c>
      <c r="T21" s="132">
        <v>0</v>
      </c>
      <c r="U21" s="132">
        <v>0</v>
      </c>
      <c r="V21" s="132">
        <v>0</v>
      </c>
      <c r="W21" s="132">
        <v>0.29765066088316283</v>
      </c>
      <c r="X21" s="132">
        <v>0.79456028412537238</v>
      </c>
      <c r="Y21" s="132">
        <v>1.3137505341378251</v>
      </c>
      <c r="DA21" s="156" t="s">
        <v>649</v>
      </c>
    </row>
    <row r="22" spans="1:105" ht="12" customHeight="1" x14ac:dyDescent="0.25">
      <c r="A22" s="131" t="s">
        <v>161</v>
      </c>
      <c r="B22" s="132"/>
      <c r="C22" s="132">
        <v>3.3500423706698403</v>
      </c>
      <c r="D22" s="132">
        <v>3.1579100619304579</v>
      </c>
      <c r="E22" s="132">
        <v>4.2443536432346907</v>
      </c>
      <c r="F22" s="132">
        <v>3.620445699263962</v>
      </c>
      <c r="G22" s="132">
        <v>4.0575674431624273</v>
      </c>
      <c r="H22" s="132">
        <v>2.9678510699536025</v>
      </c>
      <c r="I22" s="132">
        <v>2.5232831306366617</v>
      </c>
      <c r="J22" s="132">
        <v>2.4105720270765199</v>
      </c>
      <c r="K22" s="132">
        <v>0.47366782774366345</v>
      </c>
      <c r="L22" s="132">
        <v>3.0647458677664741</v>
      </c>
      <c r="M22" s="132">
        <v>1.5885844449174122</v>
      </c>
      <c r="N22" s="132">
        <v>3.2130980719690041</v>
      </c>
      <c r="O22" s="132">
        <v>1.1027807956962878</v>
      </c>
      <c r="P22" s="132">
        <v>2.6011148814693246</v>
      </c>
      <c r="Q22" s="132">
        <v>5.506807199119895</v>
      </c>
      <c r="R22" s="132">
        <v>4.4924467108245585</v>
      </c>
      <c r="S22" s="132">
        <v>2.934460389474927</v>
      </c>
      <c r="T22" s="132">
        <v>2.1402214195968647</v>
      </c>
      <c r="U22" s="132">
        <v>2.2887436134395371</v>
      </c>
      <c r="V22" s="132">
        <v>2.5932598072873145</v>
      </c>
      <c r="W22" s="132">
        <v>2.2748660535557921</v>
      </c>
      <c r="X22" s="132">
        <v>1.7785879993658085</v>
      </c>
      <c r="Y22" s="132">
        <v>1.6291809619753124</v>
      </c>
      <c r="DA22" s="156" t="s">
        <v>650</v>
      </c>
    </row>
    <row r="23" spans="1:105" ht="12" customHeight="1" x14ac:dyDescent="0.25">
      <c r="A23" s="131" t="s">
        <v>149</v>
      </c>
      <c r="B23" s="132"/>
      <c r="C23" s="132">
        <v>0</v>
      </c>
      <c r="D23" s="132">
        <v>0</v>
      </c>
      <c r="E23" s="132">
        <v>0</v>
      </c>
      <c r="F23" s="132">
        <v>2.8624362039186555</v>
      </c>
      <c r="G23" s="132">
        <v>5.8488024036163981</v>
      </c>
      <c r="H23" s="132">
        <v>16.831964751701861</v>
      </c>
      <c r="I23" s="132">
        <v>9.5518753957489668</v>
      </c>
      <c r="J23" s="132">
        <v>4.9978837998829828</v>
      </c>
      <c r="K23" s="132">
        <v>0.37399417081075054</v>
      </c>
      <c r="L23" s="132">
        <v>2.1509927677506253</v>
      </c>
      <c r="M23" s="132">
        <v>1.1981563011989034</v>
      </c>
      <c r="N23" s="132">
        <v>3.4835267644302368</v>
      </c>
      <c r="O23" s="132">
        <v>1.2474211297568796</v>
      </c>
      <c r="P23" s="132">
        <v>3.1687708141544038</v>
      </c>
      <c r="Q23" s="132">
        <v>1.2004173551451296</v>
      </c>
      <c r="R23" s="132">
        <v>1.9434383442965155</v>
      </c>
      <c r="S23" s="132">
        <v>2.08878203331582</v>
      </c>
      <c r="T23" s="132">
        <v>3.1815196435507751</v>
      </c>
      <c r="U23" s="132">
        <v>4.4850762222623244</v>
      </c>
      <c r="V23" s="132">
        <v>4.7179711985358788</v>
      </c>
      <c r="W23" s="132">
        <v>5.2600054720353784</v>
      </c>
      <c r="X23" s="132">
        <v>4.7153265267505251</v>
      </c>
      <c r="Y23" s="132">
        <v>3.1588149404193757</v>
      </c>
      <c r="DA23" s="156" t="s">
        <v>651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652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653</v>
      </c>
    </row>
    <row r="26" spans="1:105" ht="12" customHeight="1" x14ac:dyDescent="0.25">
      <c r="A26" s="131" t="s">
        <v>24</v>
      </c>
      <c r="B26" s="65"/>
      <c r="C26" s="65">
        <v>11.053790659236853</v>
      </c>
      <c r="D26" s="65">
        <v>14.234437709524514</v>
      </c>
      <c r="E26" s="65">
        <v>14.94169786881463</v>
      </c>
      <c r="F26" s="65">
        <v>13.645764042668475</v>
      </c>
      <c r="G26" s="65">
        <v>8.5436983383442442</v>
      </c>
      <c r="H26" s="65">
        <v>4.5288888732698727</v>
      </c>
      <c r="I26" s="65">
        <v>10.301512874675829</v>
      </c>
      <c r="J26" s="65">
        <v>9.2922129536556248</v>
      </c>
      <c r="K26" s="65">
        <v>9.3998254847508372E-2</v>
      </c>
      <c r="L26" s="65">
        <v>4.4988467246421182</v>
      </c>
      <c r="M26" s="65">
        <v>0.27262997971854208</v>
      </c>
      <c r="N26" s="65">
        <v>0.18197321184706636</v>
      </c>
      <c r="O26" s="65">
        <v>0.40161495504470651</v>
      </c>
      <c r="P26" s="65">
        <v>0</v>
      </c>
      <c r="Q26" s="65">
        <v>2.6197211943550205E-2</v>
      </c>
      <c r="R26" s="65">
        <v>0.75985628515584047</v>
      </c>
      <c r="S26" s="65">
        <v>5.1298828956345278E-2</v>
      </c>
      <c r="T26" s="65">
        <v>5.5326021856822694</v>
      </c>
      <c r="U26" s="65">
        <v>0.24556914662360771</v>
      </c>
      <c r="V26" s="65">
        <v>9.8613385843240257E-3</v>
      </c>
      <c r="W26" s="65">
        <v>1.3813587900590336</v>
      </c>
      <c r="X26" s="65">
        <v>1.1987731722052348E-2</v>
      </c>
      <c r="Y26" s="65">
        <v>2.2779007288972224</v>
      </c>
      <c r="DA26" s="109" t="s">
        <v>654</v>
      </c>
    </row>
    <row r="27" spans="1:105" ht="12" customHeight="1" x14ac:dyDescent="0.25">
      <c r="A27" s="144" t="s">
        <v>26</v>
      </c>
      <c r="B27" s="147"/>
      <c r="C27" s="147">
        <v>2.5681763423051422</v>
      </c>
      <c r="D27" s="147">
        <v>0.55522707440301611</v>
      </c>
      <c r="E27" s="147">
        <v>2.7808081050933025</v>
      </c>
      <c r="F27" s="147">
        <v>2.4580696176242083</v>
      </c>
      <c r="G27" s="147">
        <v>3.6946984873392807</v>
      </c>
      <c r="H27" s="147">
        <v>3.6175136478922711</v>
      </c>
      <c r="I27" s="147">
        <v>2.1082822296448938</v>
      </c>
      <c r="J27" s="147">
        <v>4.2657045194224628</v>
      </c>
      <c r="K27" s="147">
        <v>1.8371201434801832</v>
      </c>
      <c r="L27" s="147">
        <v>3.8624539199201013</v>
      </c>
      <c r="M27" s="147">
        <v>2.3239850239975288</v>
      </c>
      <c r="N27" s="147">
        <v>2.8322549786092104</v>
      </c>
      <c r="O27" s="147">
        <v>7.6641198207809319E-2</v>
      </c>
      <c r="P27" s="147">
        <v>1.5046249472219966</v>
      </c>
      <c r="Q27" s="147">
        <v>3.026540359556122</v>
      </c>
      <c r="R27" s="147">
        <v>3.8384911427414301</v>
      </c>
      <c r="S27" s="147">
        <v>5.5795609503309338</v>
      </c>
      <c r="T27" s="147">
        <v>0.59047382784743863</v>
      </c>
      <c r="U27" s="147">
        <v>3.4907033573387212</v>
      </c>
      <c r="V27" s="147">
        <v>1.6981747572584198</v>
      </c>
      <c r="W27" s="147">
        <v>5.4857393108529428E-14</v>
      </c>
      <c r="X27" s="147">
        <v>1.5382570937301634</v>
      </c>
      <c r="Y27" s="147">
        <v>0.39073467564787651</v>
      </c>
      <c r="DA27" s="160" t="s">
        <v>655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21.769421090050947</v>
      </c>
      <c r="D29" s="130">
        <f t="shared" si="12"/>
        <v>21.152432782330283</v>
      </c>
      <c r="E29" s="130">
        <f t="shared" si="12"/>
        <v>24.087184854172609</v>
      </c>
      <c r="F29" s="130">
        <f t="shared" si="12"/>
        <v>26.385701536405165</v>
      </c>
      <c r="G29" s="130">
        <f t="shared" si="12"/>
        <v>27.885887222558857</v>
      </c>
      <c r="H29" s="130">
        <f t="shared" si="12"/>
        <v>31.112528233086636</v>
      </c>
      <c r="I29" s="130">
        <f t="shared" si="12"/>
        <v>30.240355120265875</v>
      </c>
      <c r="J29" s="130">
        <f t="shared" si="12"/>
        <v>26.654271254342333</v>
      </c>
      <c r="K29" s="130">
        <f t="shared" si="12"/>
        <v>3.5425768440083187</v>
      </c>
      <c r="L29" s="130">
        <f t="shared" si="12"/>
        <v>17.612985266706367</v>
      </c>
      <c r="M29" s="130">
        <f t="shared" si="12"/>
        <v>7.0065005706880932</v>
      </c>
      <c r="N29" s="130">
        <f t="shared" si="12"/>
        <v>11.928051980786526</v>
      </c>
      <c r="O29" s="130">
        <f t="shared" si="12"/>
        <v>3.1332377773970057</v>
      </c>
      <c r="P29" s="130">
        <f t="shared" si="12"/>
        <v>9.6931374738732199</v>
      </c>
      <c r="Q29" s="130">
        <f t="shared" si="12"/>
        <v>13.514408711131807</v>
      </c>
      <c r="R29" s="130">
        <f t="shared" ref="R29:W29" si="13">SUM(R30:R33)</f>
        <v>14.999242689599892</v>
      </c>
      <c r="S29" s="130">
        <f t="shared" si="13"/>
        <v>14.323499616368686</v>
      </c>
      <c r="T29" s="130">
        <f t="shared" si="13"/>
        <v>16.992787074917931</v>
      </c>
      <c r="U29" s="130">
        <f t="shared" si="13"/>
        <v>15.719658976257533</v>
      </c>
      <c r="V29" s="130">
        <f t="shared" si="13"/>
        <v>10.848913506621855</v>
      </c>
      <c r="W29" s="130">
        <f t="shared" si="13"/>
        <v>13.16365307464546</v>
      </c>
      <c r="X29" s="130">
        <f t="shared" ref="X29:Y29" si="14">SUM(X30:X33)</f>
        <v>11.426354180004781</v>
      </c>
      <c r="Y29" s="130">
        <f t="shared" si="14"/>
        <v>14.124806956953947</v>
      </c>
      <c r="DA29" s="155" t="s">
        <v>656</v>
      </c>
    </row>
    <row r="30" spans="1:105" s="2" customFormat="1" ht="12" customHeight="1" x14ac:dyDescent="0.25">
      <c r="A30" s="131" t="s">
        <v>52</v>
      </c>
      <c r="B30" s="132"/>
      <c r="C30" s="132">
        <v>3.7205392436868134</v>
      </c>
      <c r="D30" s="132">
        <v>3.4324401612067112</v>
      </c>
      <c r="E30" s="132">
        <v>3.1836356282139491</v>
      </c>
      <c r="F30" s="132">
        <v>2.2568330282474665</v>
      </c>
      <c r="G30" s="132">
        <v>1.1903036507680604</v>
      </c>
      <c r="H30" s="132">
        <v>1.0405919873058729</v>
      </c>
      <c r="I30" s="132">
        <v>2.2796165100428589</v>
      </c>
      <c r="J30" s="132">
        <v>2.6478274368036527</v>
      </c>
      <c r="K30" s="132">
        <v>0.36260890202350765</v>
      </c>
      <c r="L30" s="132">
        <v>1.2596033313596671</v>
      </c>
      <c r="M30" s="132">
        <v>0.13862620325156477</v>
      </c>
      <c r="N30" s="132">
        <v>0.462223549567845</v>
      </c>
      <c r="O30" s="132">
        <v>0.26172667847022169</v>
      </c>
      <c r="P30" s="132">
        <v>0.41819330544178374</v>
      </c>
      <c r="Q30" s="132">
        <v>2.238995784646844</v>
      </c>
      <c r="R30" s="132">
        <v>3.33436872694215</v>
      </c>
      <c r="S30" s="132">
        <v>1.3535260605040143</v>
      </c>
      <c r="T30" s="132">
        <v>0.49307141884115924</v>
      </c>
      <c r="U30" s="132">
        <v>0</v>
      </c>
      <c r="V30" s="132">
        <v>0</v>
      </c>
      <c r="W30" s="132">
        <v>0.82005850564497518</v>
      </c>
      <c r="X30" s="132">
        <v>2.1442751317320892</v>
      </c>
      <c r="Y30" s="132">
        <v>3.3668826906642324</v>
      </c>
      <c r="DA30" s="156" t="s">
        <v>657</v>
      </c>
    </row>
    <row r="31" spans="1:105" ht="12" customHeight="1" x14ac:dyDescent="0.25">
      <c r="A31" s="131" t="s">
        <v>149</v>
      </c>
      <c r="B31" s="132"/>
      <c r="C31" s="132">
        <v>4.0503429107480455</v>
      </c>
      <c r="D31" s="132">
        <v>2.8180768354022834</v>
      </c>
      <c r="E31" s="132">
        <v>4.3030304692051624</v>
      </c>
      <c r="F31" s="132">
        <v>9.5811375843726445</v>
      </c>
      <c r="G31" s="132">
        <v>8.6093387126269612</v>
      </c>
      <c r="H31" s="132">
        <v>8.2667560007605374</v>
      </c>
      <c r="I31" s="132">
        <v>5.749454365048762</v>
      </c>
      <c r="J31" s="132">
        <v>4.9009488649661614</v>
      </c>
      <c r="K31" s="132">
        <v>0.82300256157969465</v>
      </c>
      <c r="L31" s="132">
        <v>4.3680505069621711</v>
      </c>
      <c r="M31" s="132">
        <v>3.1485174571233836</v>
      </c>
      <c r="N31" s="132">
        <v>8.2699894572583421</v>
      </c>
      <c r="O31" s="132">
        <v>2.871511098926784</v>
      </c>
      <c r="P31" s="132">
        <v>9.2749441684314355</v>
      </c>
      <c r="Q31" s="132">
        <v>11.275412926484963</v>
      </c>
      <c r="R31" s="132">
        <v>8.98436538319379</v>
      </c>
      <c r="S31" s="132">
        <v>5.3145851797366461</v>
      </c>
      <c r="T31" s="132">
        <v>1.4161822134126407</v>
      </c>
      <c r="U31" s="132">
        <v>4.3950576215948498</v>
      </c>
      <c r="V31" s="132">
        <v>6.4363434669964734</v>
      </c>
      <c r="W31" s="132">
        <v>3.9515998053668167</v>
      </c>
      <c r="X31" s="132">
        <v>1.9960473736194366</v>
      </c>
      <c r="Y31" s="132">
        <v>1.8579310522405512</v>
      </c>
      <c r="DA31" s="156" t="s">
        <v>658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659</v>
      </c>
    </row>
    <row r="33" spans="1:105" ht="12" customHeight="1" x14ac:dyDescent="0.25">
      <c r="A33" s="62" t="s">
        <v>24</v>
      </c>
      <c r="B33" s="68"/>
      <c r="C33" s="68">
        <v>13.998538935616088</v>
      </c>
      <c r="D33" s="68">
        <v>14.901915785721288</v>
      </c>
      <c r="E33" s="68">
        <v>16.600518756753498</v>
      </c>
      <c r="F33" s="68">
        <v>14.547730923785053</v>
      </c>
      <c r="G33" s="68">
        <v>18.086244859163834</v>
      </c>
      <c r="H33" s="68">
        <v>21.805180245020225</v>
      </c>
      <c r="I33" s="68">
        <v>22.211284245174252</v>
      </c>
      <c r="J33" s="68">
        <v>19.105494952572521</v>
      </c>
      <c r="K33" s="68">
        <v>2.3569653804051165</v>
      </c>
      <c r="L33" s="68">
        <v>11.98533142838453</v>
      </c>
      <c r="M33" s="68">
        <v>3.7193569103131447</v>
      </c>
      <c r="N33" s="68">
        <v>3.1958389739603379</v>
      </c>
      <c r="O33" s="68">
        <v>0</v>
      </c>
      <c r="P33" s="68">
        <v>0</v>
      </c>
      <c r="Q33" s="68">
        <v>0</v>
      </c>
      <c r="R33" s="68">
        <v>2.6805085794639529</v>
      </c>
      <c r="S33" s="68">
        <v>7.655388376128025</v>
      </c>
      <c r="T33" s="68">
        <v>15.083533442664132</v>
      </c>
      <c r="U33" s="68">
        <v>11.324601354662683</v>
      </c>
      <c r="V33" s="68">
        <v>4.4125700396253817</v>
      </c>
      <c r="W33" s="68">
        <v>8.3919947636336669</v>
      </c>
      <c r="X33" s="68">
        <v>7.2860316746532554</v>
      </c>
      <c r="Y33" s="68">
        <v>8.8999932140491627</v>
      </c>
      <c r="DA33" s="111" t="s">
        <v>660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/>
      <c r="C3" s="126">
        <f>IF(SER_hh_tes_in!C3=0,"",SER_hh_tes_in!C3/SER_hh_fec_in!C3)</f>
        <v>0.93092589131697867</v>
      </c>
      <c r="D3" s="126">
        <f>IF(SER_hh_tes_in!D3=0,"",SER_hh_tes_in!D3/SER_hh_fec_in!D3)</f>
        <v>0.93385525895139376</v>
      </c>
      <c r="E3" s="126">
        <f>IF(SER_hh_tes_in!E3=0,"",SER_hh_tes_in!E3/SER_hh_fec_in!E3)</f>
        <v>1.0337731320836603</v>
      </c>
      <c r="F3" s="126">
        <f>IF(SER_hh_tes_in!F3=0,"",SER_hh_tes_in!F3/SER_hh_fec_in!F3)</f>
        <v>1.0453031831953028</v>
      </c>
      <c r="G3" s="126">
        <f>IF(SER_hh_tes_in!G3=0,"",SER_hh_tes_in!G3/SER_hh_fec_in!G3)</f>
        <v>1.0963974401261516</v>
      </c>
      <c r="H3" s="126">
        <f>IF(SER_hh_tes_in!H3=0,"",SER_hh_tes_in!H3/SER_hh_fec_in!H3)</f>
        <v>0.92315607676820621</v>
      </c>
      <c r="I3" s="126">
        <f>IF(SER_hh_tes_in!I3=0,"",SER_hh_tes_in!I3/SER_hh_fec_in!I3)</f>
        <v>1.0212066117855669</v>
      </c>
      <c r="J3" s="126">
        <f>IF(SER_hh_tes_in!J3=0,"",SER_hh_tes_in!J3/SER_hh_fec_in!J3)</f>
        <v>1.0655785681761538</v>
      </c>
      <c r="K3" s="126">
        <f>IF(SER_hh_tes_in!K3=0,"",SER_hh_tes_in!K3/SER_hh_fec_in!K3)</f>
        <v>1.1777908935719708</v>
      </c>
      <c r="L3" s="126">
        <f>IF(SER_hh_tes_in!L3=0,"",SER_hh_tes_in!L3/SER_hh_fec_in!L3)</f>
        <v>1.0462244199763142</v>
      </c>
      <c r="M3" s="126">
        <f>IF(SER_hh_tes_in!M3=0,"",SER_hh_tes_in!M3/SER_hh_fec_in!M3)</f>
        <v>1.047403556219568</v>
      </c>
      <c r="N3" s="126">
        <f>IF(SER_hh_tes_in!N3=0,"",SER_hh_tes_in!N3/SER_hh_fec_in!N3)</f>
        <v>1.1895707652279088</v>
      </c>
      <c r="O3" s="126">
        <f>IF(SER_hh_tes_in!O3=0,"",SER_hh_tes_in!O3/SER_hh_fec_in!O3)</f>
        <v>1.1402322266584652</v>
      </c>
      <c r="P3" s="126">
        <f>IF(SER_hh_tes_in!P3=0,"",SER_hh_tes_in!P3/SER_hh_fec_in!P3)</f>
        <v>1.2612886710574855</v>
      </c>
      <c r="Q3" s="126">
        <f>IF(SER_hh_tes_in!Q3=0,"",SER_hh_tes_in!Q3/SER_hh_fec_in!Q3)</f>
        <v>1.5243746320944982</v>
      </c>
      <c r="R3" s="126">
        <f>IF(SER_hh_tes_in!R3=0,"",SER_hh_tes_in!R3/SER_hh_fec_in!R3)</f>
        <v>1.5487815866825321</v>
      </c>
      <c r="S3" s="126">
        <f>IF(SER_hh_tes_in!S3=0,"",SER_hh_tes_in!S3/SER_hh_fec_in!S3)</f>
        <v>1.6814634733292608</v>
      </c>
      <c r="T3" s="126">
        <f>IF(SER_hh_tes_in!T3=0,"",SER_hh_tes_in!T3/SER_hh_fec_in!T3)</f>
        <v>1.4787138123079069</v>
      </c>
      <c r="U3" s="126">
        <f>IF(SER_hh_tes_in!U3=0,"",SER_hh_tes_in!U3/SER_hh_fec_in!U3)</f>
        <v>1.5339963523627915</v>
      </c>
      <c r="V3" s="126">
        <f>IF(SER_hh_tes_in!V3=0,"",SER_hh_tes_in!V3/SER_hh_fec_in!V3)</f>
        <v>1.6620932840547438</v>
      </c>
      <c r="W3" s="126">
        <f>IF(SER_hh_tes_in!W3=0,"",SER_hh_tes_in!W3/SER_hh_fec_in!W3)</f>
        <v>1.4449719987433343</v>
      </c>
      <c r="X3" s="126">
        <f>IF(SER_hh_tes_in!X3=0,"",SER_hh_tes_in!X3/SER_hh_fec_in!X3)</f>
        <v>1.6711824695267425</v>
      </c>
      <c r="Y3" s="126">
        <f>IF(SER_hh_tes_in!Y3=0,"",SER_hh_tes_in!Y3/SER_hh_fec_in!Y3)</f>
        <v>1.6785052346324645</v>
      </c>
      <c r="DA3" s="161" t="s">
        <v>662</v>
      </c>
    </row>
    <row r="4" spans="1:105" ht="12.95" customHeight="1" x14ac:dyDescent="0.25">
      <c r="A4" s="129" t="s">
        <v>32</v>
      </c>
      <c r="B4" s="135"/>
      <c r="C4" s="135">
        <f>IF(SER_hh_tes_in!C4=0,"",SER_hh_tes_in!C4/SER_hh_fec_in!C4)</f>
        <v>0.47034633407842846</v>
      </c>
      <c r="D4" s="135">
        <f>IF(SER_hh_tes_in!D4=0,"",SER_hh_tes_in!D4/SER_hh_fec_in!D4)</f>
        <v>0.47668573488349436</v>
      </c>
      <c r="E4" s="135">
        <f>IF(SER_hh_tes_in!E4=0,"",SER_hh_tes_in!E4/SER_hh_fec_in!E4)</f>
        <v>0.48431118912196608</v>
      </c>
      <c r="F4" s="135">
        <f>IF(SER_hh_tes_in!F4=0,"",SER_hh_tes_in!F4/SER_hh_fec_in!F4)</f>
        <v>0.54051460447968525</v>
      </c>
      <c r="G4" s="135">
        <f>IF(SER_hh_tes_in!G4=0,"",SER_hh_tes_in!G4/SER_hh_fec_in!G4)</f>
        <v>0.55105466797987168</v>
      </c>
      <c r="H4" s="135">
        <f>IF(SER_hh_tes_in!H4=0,"",SER_hh_tes_in!H4/SER_hh_fec_in!H4)</f>
        <v>0.55873755284753812</v>
      </c>
      <c r="I4" s="135">
        <f>IF(SER_hh_tes_in!I4=0,"",SER_hh_tes_in!I4/SER_hh_fec_in!I4)</f>
        <v>0.63733967860390439</v>
      </c>
      <c r="J4" s="135">
        <f>IF(SER_hh_tes_in!J4=0,"",SER_hh_tes_in!J4/SER_hh_fec_in!J4)</f>
        <v>0.67034731617144594</v>
      </c>
      <c r="K4" s="135">
        <f>IF(SER_hh_tes_in!K4=0,"",SER_hh_tes_in!K4/SER_hh_fec_in!K4)</f>
        <v>0.63611086773038605</v>
      </c>
      <c r="L4" s="135">
        <f>IF(SER_hh_tes_in!L4=0,"",SER_hh_tes_in!L4/SER_hh_fec_in!L4)</f>
        <v>0.57284802993092232</v>
      </c>
      <c r="M4" s="135">
        <f>IF(SER_hh_tes_in!M4=0,"",SER_hh_tes_in!M4/SER_hh_fec_in!M4)</f>
        <v>0.59276557891567438</v>
      </c>
      <c r="N4" s="135">
        <f>IF(SER_hh_tes_in!N4=0,"",SER_hh_tes_in!N4/SER_hh_fec_in!N4)</f>
        <v>0.69497106493053118</v>
      </c>
      <c r="O4" s="135">
        <f>IF(SER_hh_tes_in!O4=0,"",SER_hh_tes_in!O4/SER_hh_fec_in!O4)</f>
        <v>0.77969292909516974</v>
      </c>
      <c r="P4" s="135">
        <f>IF(SER_hh_tes_in!P4=0,"",SER_hh_tes_in!P4/SER_hh_fec_in!P4)</f>
        <v>1.7398384960157574</v>
      </c>
      <c r="Q4" s="135">
        <f>IF(SER_hh_tes_in!Q4=0,"",SER_hh_tes_in!Q4/SER_hh_fec_in!Q4)</f>
        <v>2.0521909270462917</v>
      </c>
      <c r="R4" s="135">
        <f>IF(SER_hh_tes_in!R4=0,"",SER_hh_tes_in!R4/SER_hh_fec_in!R4)</f>
        <v>1.5699310507301951</v>
      </c>
      <c r="S4" s="135">
        <f>IF(SER_hh_tes_in!S4=0,"",SER_hh_tes_in!S4/SER_hh_fec_in!S4)</f>
        <v>1.1985005948430563</v>
      </c>
      <c r="T4" s="135">
        <f>IF(SER_hh_tes_in!T4=0,"",SER_hh_tes_in!T4/SER_hh_fec_in!T4)</f>
        <v>1.15866442153826</v>
      </c>
      <c r="U4" s="135">
        <f>IF(SER_hh_tes_in!U4=0,"",SER_hh_tes_in!U4/SER_hh_fec_in!U4)</f>
        <v>1.3328320805693004</v>
      </c>
      <c r="V4" s="135">
        <f>IF(SER_hh_tes_in!V4=0,"",SER_hh_tes_in!V4/SER_hh_fec_in!V4)</f>
        <v>1.4815168123202098</v>
      </c>
      <c r="W4" s="135">
        <f>IF(SER_hh_tes_in!W4=0,"",SER_hh_tes_in!W4/SER_hh_fec_in!W4)</f>
        <v>1.1153551523787222</v>
      </c>
      <c r="X4" s="135">
        <f>IF(SER_hh_tes_in!X4=0,"",SER_hh_tes_in!X4/SER_hh_fec_in!X4)</f>
        <v>1.2756159900539559</v>
      </c>
      <c r="Y4" s="135">
        <f>IF(SER_hh_tes_in!Y4=0,"",SER_hh_tes_in!Y4/SER_hh_fec_in!Y4)</f>
        <v>1.5056877091248342</v>
      </c>
      <c r="DA4" s="162" t="s">
        <v>663</v>
      </c>
    </row>
    <row r="5" spans="1:105" ht="12" customHeight="1" x14ac:dyDescent="0.25">
      <c r="A5" s="131" t="s">
        <v>29</v>
      </c>
      <c r="B5" s="136"/>
      <c r="C5" s="136" t="str">
        <f>IF(SER_hh_tes_in!C5=0,"",SER_hh_tes_in!C5/SER_hh_fec_in!C5)</f>
        <v/>
      </c>
      <c r="D5" s="136" t="str">
        <f>IF(SER_hh_tes_in!D5=0,"",SER_hh_tes_in!D5/SER_hh_fec_in!D5)</f>
        <v/>
      </c>
      <c r="E5" s="136" t="str">
        <f>IF(SER_hh_tes_in!E5=0,"",SER_hh_tes_in!E5/SER_hh_fec_in!E5)</f>
        <v/>
      </c>
      <c r="F5" s="136" t="str">
        <f>IF(SER_hh_tes_in!F5=0,"",SER_hh_tes_in!F5/SER_hh_fec_in!F5)</f>
        <v/>
      </c>
      <c r="G5" s="136" t="str">
        <f>IF(SER_hh_tes_in!G5=0,"",SER_hh_tes_in!G5/SER_hh_fec_in!G5)</f>
        <v/>
      </c>
      <c r="H5" s="136" t="str">
        <f>IF(SER_hh_tes_in!H5=0,"",SER_hh_tes_in!H5/SER_hh_fec_in!H5)</f>
        <v/>
      </c>
      <c r="I5" s="136" t="str">
        <f>IF(SER_hh_tes_in!I5=0,"",SER_hh_tes_in!I5/SER_hh_fec_in!I5)</f>
        <v/>
      </c>
      <c r="J5" s="136" t="str">
        <f>IF(SER_hh_tes_in!J5=0,"",SER_hh_tes_in!J5/SER_hh_fec_in!J5)</f>
        <v/>
      </c>
      <c r="K5" s="136" t="str">
        <f>IF(SER_hh_tes_in!K5=0,"",SER_hh_tes_in!K5/SER_hh_fec_in!K5)</f>
        <v/>
      </c>
      <c r="L5" s="136" t="str">
        <f>IF(SER_hh_tes_in!L5=0,"",SER_hh_tes_in!L5/SER_hh_fec_in!L5)</f>
        <v/>
      </c>
      <c r="M5" s="136" t="str">
        <f>IF(SER_hh_tes_in!M5=0,"",SER_hh_tes_in!M5/SER_hh_fec_in!M5)</f>
        <v/>
      </c>
      <c r="N5" s="136" t="str">
        <f>IF(SER_hh_tes_in!N5=0,"",SER_hh_tes_in!N5/SER_hh_fec_in!N5)</f>
        <v/>
      </c>
      <c r="O5" s="136" t="str">
        <f>IF(SER_hh_tes_in!O5=0,"",SER_hh_tes_in!O5/SER_hh_fec_in!O5)</f>
        <v/>
      </c>
      <c r="P5" s="136" t="str">
        <f>IF(SER_hh_tes_in!P5=0,"",SER_hh_tes_in!P5/SER_hh_fec_in!P5)</f>
        <v/>
      </c>
      <c r="Q5" s="136" t="str">
        <f>IF(SER_hh_tes_in!Q5=0,"",SER_hh_tes_in!Q5/SER_hh_fec_in!Q5)</f>
        <v/>
      </c>
      <c r="R5" s="136" t="str">
        <f>IF(SER_hh_tes_in!R5=0,"",SER_hh_tes_in!R5/SER_hh_fec_in!R5)</f>
        <v/>
      </c>
      <c r="S5" s="136" t="str">
        <f>IF(SER_hh_tes_in!S5=0,"",SER_hh_tes_in!S5/SER_hh_fec_in!S5)</f>
        <v/>
      </c>
      <c r="T5" s="136" t="str">
        <f>IF(SER_hh_tes_in!T5=0,"",SER_hh_tes_in!T5/SER_hh_fec_in!T5)</f>
        <v/>
      </c>
      <c r="U5" s="136" t="str">
        <f>IF(SER_hh_tes_in!U5=0,"",SER_hh_tes_in!U5/SER_hh_fec_in!U5)</f>
        <v/>
      </c>
      <c r="V5" s="136" t="str">
        <f>IF(SER_hh_tes_in!V5=0,"",SER_hh_tes_in!V5/SER_hh_fec_in!V5)</f>
        <v/>
      </c>
      <c r="W5" s="136" t="str">
        <f>IF(SER_hh_tes_in!W5=0,"",SER_hh_tes_in!W5/SER_hh_fec_in!W5)</f>
        <v/>
      </c>
      <c r="X5" s="136" t="str">
        <f>IF(SER_hh_tes_in!X5=0,"",SER_hh_tes_in!X5/SER_hh_fec_in!X5)</f>
        <v/>
      </c>
      <c r="Y5" s="136" t="str">
        <f>IF(SER_hh_tes_in!Y5=0,"",SER_hh_tes_in!Y5/SER_hh_fec_in!Y5)</f>
        <v/>
      </c>
      <c r="DA5" s="163" t="s">
        <v>664</v>
      </c>
    </row>
    <row r="6" spans="1:105" ht="12" customHeight="1" x14ac:dyDescent="0.25">
      <c r="A6" s="131" t="s">
        <v>52</v>
      </c>
      <c r="B6" s="136"/>
      <c r="C6" s="136" t="str">
        <f>IF(SER_hh_tes_in!C6=0,"",SER_hh_tes_in!C6/SER_hh_fec_in!C6)</f>
        <v/>
      </c>
      <c r="D6" s="136" t="str">
        <f>IF(SER_hh_tes_in!D6=0,"",SER_hh_tes_in!D6/SER_hh_fec_in!D6)</f>
        <v/>
      </c>
      <c r="E6" s="136" t="str">
        <f>IF(SER_hh_tes_in!E6=0,"",SER_hh_tes_in!E6/SER_hh_fec_in!E6)</f>
        <v/>
      </c>
      <c r="F6" s="136" t="str">
        <f>IF(SER_hh_tes_in!F6=0,"",SER_hh_tes_in!F6/SER_hh_fec_in!F6)</f>
        <v/>
      </c>
      <c r="G6" s="136" t="str">
        <f>IF(SER_hh_tes_in!G6=0,"",SER_hh_tes_in!G6/SER_hh_fec_in!G6)</f>
        <v/>
      </c>
      <c r="H6" s="136" t="str">
        <f>IF(SER_hh_tes_in!H6=0,"",SER_hh_tes_in!H6/SER_hh_fec_in!H6)</f>
        <v/>
      </c>
      <c r="I6" s="136" t="str">
        <f>IF(SER_hh_tes_in!I6=0,"",SER_hh_tes_in!I6/SER_hh_fec_in!I6)</f>
        <v/>
      </c>
      <c r="J6" s="136" t="str">
        <f>IF(SER_hh_tes_in!J6=0,"",SER_hh_tes_in!J6/SER_hh_fec_in!J6)</f>
        <v/>
      </c>
      <c r="K6" s="136" t="str">
        <f>IF(SER_hh_tes_in!K6=0,"",SER_hh_tes_in!K6/SER_hh_fec_in!K6)</f>
        <v/>
      </c>
      <c r="L6" s="136" t="str">
        <f>IF(SER_hh_tes_in!L6=0,"",SER_hh_tes_in!L6/SER_hh_fec_in!L6)</f>
        <v/>
      </c>
      <c r="M6" s="136" t="str">
        <f>IF(SER_hh_tes_in!M6=0,"",SER_hh_tes_in!M6/SER_hh_fec_in!M6)</f>
        <v/>
      </c>
      <c r="N6" s="136" t="str">
        <f>IF(SER_hh_tes_in!N6=0,"",SER_hh_tes_in!N6/SER_hh_fec_in!N6)</f>
        <v/>
      </c>
      <c r="O6" s="136" t="str">
        <f>IF(SER_hh_tes_in!O6=0,"",SER_hh_tes_in!O6/SER_hh_fec_in!O6)</f>
        <v/>
      </c>
      <c r="P6" s="136" t="str">
        <f>IF(SER_hh_tes_in!P6=0,"",SER_hh_tes_in!P6/SER_hh_fec_in!P6)</f>
        <v/>
      </c>
      <c r="Q6" s="136" t="str">
        <f>IF(SER_hh_tes_in!Q6=0,"",SER_hh_tes_in!Q6/SER_hh_fec_in!Q6)</f>
        <v/>
      </c>
      <c r="R6" s="136" t="str">
        <f>IF(SER_hh_tes_in!R6=0,"",SER_hh_tes_in!R6/SER_hh_fec_in!R6)</f>
        <v/>
      </c>
      <c r="S6" s="136" t="str">
        <f>IF(SER_hh_tes_in!S6=0,"",SER_hh_tes_in!S6/SER_hh_fec_in!S6)</f>
        <v/>
      </c>
      <c r="T6" s="136" t="str">
        <f>IF(SER_hh_tes_in!T6=0,"",SER_hh_tes_in!T6/SER_hh_fec_in!T6)</f>
        <v/>
      </c>
      <c r="U6" s="136" t="str">
        <f>IF(SER_hh_tes_in!U6=0,"",SER_hh_tes_in!U6/SER_hh_fec_in!U6)</f>
        <v/>
      </c>
      <c r="V6" s="136" t="str">
        <f>IF(SER_hh_tes_in!V6=0,"",SER_hh_tes_in!V6/SER_hh_fec_in!V6)</f>
        <v/>
      </c>
      <c r="W6" s="136" t="str">
        <f>IF(SER_hh_tes_in!W6=0,"",SER_hh_tes_in!W6/SER_hh_fec_in!W6)</f>
        <v/>
      </c>
      <c r="X6" s="136" t="str">
        <f>IF(SER_hh_tes_in!X6=0,"",SER_hh_tes_in!X6/SER_hh_fec_in!X6)</f>
        <v/>
      </c>
      <c r="Y6" s="136" t="str">
        <f>IF(SER_hh_tes_in!Y6=0,"",SER_hh_tes_in!Y6/SER_hh_fec_in!Y6)</f>
        <v/>
      </c>
      <c r="DA6" s="163" t="s">
        <v>665</v>
      </c>
    </row>
    <row r="7" spans="1:105" ht="12" customHeight="1" x14ac:dyDescent="0.25">
      <c r="A7" s="131" t="s">
        <v>161</v>
      </c>
      <c r="B7" s="136"/>
      <c r="C7" s="136">
        <f>IF(SER_hh_tes_in!C7=0,"",SER_hh_tes_in!C7/SER_hh_fec_in!C7)</f>
        <v>0.46099911642786268</v>
      </c>
      <c r="D7" s="136">
        <f>IF(SER_hh_tes_in!D7=0,"",SER_hh_tes_in!D7/SER_hh_fec_in!D7)</f>
        <v>0.46583190580835115</v>
      </c>
      <c r="E7" s="136">
        <f>IF(SER_hh_tes_in!E7=0,"",SER_hh_tes_in!E7/SER_hh_fec_in!E7)</f>
        <v>0.47092197046390205</v>
      </c>
      <c r="F7" s="136">
        <f>IF(SER_hh_tes_in!F7=0,"",SER_hh_tes_in!F7/SER_hh_fec_in!F7)</f>
        <v>0.47598422549635805</v>
      </c>
      <c r="G7" s="136" t="str">
        <f>IF(SER_hh_tes_in!G7=0,"",SER_hh_tes_in!G7/SER_hh_fec_in!G7)</f>
        <v/>
      </c>
      <c r="H7" s="136" t="str">
        <f>IF(SER_hh_tes_in!H7=0,"",SER_hh_tes_in!H7/SER_hh_fec_in!H7)</f>
        <v/>
      </c>
      <c r="I7" s="136" t="str">
        <f>IF(SER_hh_tes_in!I7=0,"",SER_hh_tes_in!I7/SER_hh_fec_in!I7)</f>
        <v/>
      </c>
      <c r="J7" s="136" t="str">
        <f>IF(SER_hh_tes_in!J7=0,"",SER_hh_tes_in!J7/SER_hh_fec_in!J7)</f>
        <v/>
      </c>
      <c r="K7" s="136" t="str">
        <f>IF(SER_hh_tes_in!K7=0,"",SER_hh_tes_in!K7/SER_hh_fec_in!K7)</f>
        <v/>
      </c>
      <c r="L7" s="136">
        <f>IF(SER_hh_tes_in!L7=0,"",SER_hh_tes_in!L7/SER_hh_fec_in!L7)</f>
        <v>0.5133589557510132</v>
      </c>
      <c r="M7" s="136">
        <f>IF(SER_hh_tes_in!M7=0,"",SER_hh_tes_in!M7/SER_hh_fec_in!M7)</f>
        <v>0.52728867059306372</v>
      </c>
      <c r="N7" s="136">
        <f>IF(SER_hh_tes_in!N7=0,"",SER_hh_tes_in!N7/SER_hh_fec_in!N7)</f>
        <v>0.54908794657058102</v>
      </c>
      <c r="O7" s="136">
        <f>IF(SER_hh_tes_in!O7=0,"",SER_hh_tes_in!O7/SER_hh_fec_in!O7)</f>
        <v>0.57959073133424988</v>
      </c>
      <c r="P7" s="136">
        <f>IF(SER_hh_tes_in!P7=0,"",SER_hh_tes_in!P7/SER_hh_fec_in!P7)</f>
        <v>0.61474379181800232</v>
      </c>
      <c r="Q7" s="136">
        <f>IF(SER_hh_tes_in!Q7=0,"",SER_hh_tes_in!Q7/SER_hh_fec_in!Q7)</f>
        <v>0.64281392739080578</v>
      </c>
      <c r="R7" s="136">
        <f>IF(SER_hh_tes_in!R7=0,"",SER_hh_tes_in!R7/SER_hh_fec_in!R7)</f>
        <v>0.65350798515171804</v>
      </c>
      <c r="S7" s="136">
        <f>IF(SER_hh_tes_in!S7=0,"",SER_hh_tes_in!S7/SER_hh_fec_in!S7)</f>
        <v>0.65854158996085577</v>
      </c>
      <c r="T7" s="136">
        <f>IF(SER_hh_tes_in!T7=0,"",SER_hh_tes_in!T7/SER_hh_fec_in!T7)</f>
        <v>0.66021248345164663</v>
      </c>
      <c r="U7" s="136">
        <f>IF(SER_hh_tes_in!U7=0,"",SER_hh_tes_in!U7/SER_hh_fec_in!U7)</f>
        <v>0.66070220549484882</v>
      </c>
      <c r="V7" s="136" t="str">
        <f>IF(SER_hh_tes_in!V7=0,"",SER_hh_tes_in!V7/SER_hh_fec_in!V7)</f>
        <v/>
      </c>
      <c r="W7" s="136" t="str">
        <f>IF(SER_hh_tes_in!W7=0,"",SER_hh_tes_in!W7/SER_hh_fec_in!W7)</f>
        <v/>
      </c>
      <c r="X7" s="136" t="str">
        <f>IF(SER_hh_tes_in!X7=0,"",SER_hh_tes_in!X7/SER_hh_fec_in!X7)</f>
        <v/>
      </c>
      <c r="Y7" s="136" t="str">
        <f>IF(SER_hh_tes_in!Y7=0,"",SER_hh_tes_in!Y7/SER_hh_fec_in!Y7)</f>
        <v/>
      </c>
      <c r="DA7" s="163" t="s">
        <v>666</v>
      </c>
    </row>
    <row r="8" spans="1:105" ht="12" customHeight="1" x14ac:dyDescent="0.25">
      <c r="A8" s="131" t="s">
        <v>73</v>
      </c>
      <c r="B8" s="136"/>
      <c r="C8" s="136">
        <f>IF(SER_hh_tes_in!C8=0,"",SER_hh_tes_in!C8/SER_hh_fec_in!C8)</f>
        <v>1.4431772949649495</v>
      </c>
      <c r="D8" s="136">
        <f>IF(SER_hh_tes_in!D8=0,"",SER_hh_tes_in!D8/SER_hh_fec_in!D8)</f>
        <v>1.5198778723768389</v>
      </c>
      <c r="E8" s="136">
        <f>IF(SER_hh_tes_in!E8=0,"",SER_hh_tes_in!E8/SER_hh_fec_in!E8)</f>
        <v>1.5976205076388685</v>
      </c>
      <c r="F8" s="136">
        <f>IF(SER_hh_tes_in!F8=0,"",SER_hh_tes_in!F8/SER_hh_fec_in!F8)</f>
        <v>1.6755994412461155</v>
      </c>
      <c r="G8" s="136">
        <f>IF(SER_hh_tes_in!G8=0,"",SER_hh_tes_in!G8/SER_hh_fec_in!G8)</f>
        <v>1.7545749123220622</v>
      </c>
      <c r="H8" s="136">
        <f>IF(SER_hh_tes_in!H8=0,"",SER_hh_tes_in!H8/SER_hh_fec_in!H8)</f>
        <v>1.8344691720119521</v>
      </c>
      <c r="I8" s="136">
        <f>IF(SER_hh_tes_in!I8=0,"",SER_hh_tes_in!I8/SER_hh_fec_in!I8)</f>
        <v>1.9154794267036637</v>
      </c>
      <c r="J8" s="136">
        <f>IF(SER_hh_tes_in!J8=0,"",SER_hh_tes_in!J8/SER_hh_fec_in!J8)</f>
        <v>1.9983748046340253</v>
      </c>
      <c r="K8" s="136">
        <f>IF(SER_hh_tes_in!K8=0,"",SER_hh_tes_in!K8/SER_hh_fec_in!K8)</f>
        <v>2.0838141776249044</v>
      </c>
      <c r="L8" s="136">
        <f>IF(SER_hh_tes_in!L8=0,"",SER_hh_tes_in!L8/SER_hh_fec_in!L8)</f>
        <v>2.1719872755557521</v>
      </c>
      <c r="M8" s="136">
        <f>IF(SER_hh_tes_in!M8=0,"",SER_hh_tes_in!M8/SER_hh_fec_in!M8)</f>
        <v>2.2813510940721269</v>
      </c>
      <c r="N8" s="136">
        <f>IF(SER_hh_tes_in!N8=0,"",SER_hh_tes_in!N8/SER_hh_fec_in!N8)</f>
        <v>2.4182354082904554</v>
      </c>
      <c r="O8" s="136">
        <f>IF(SER_hh_tes_in!O8=0,"",SER_hh_tes_in!O8/SER_hh_fec_in!O8)</f>
        <v>2.5850667143702966</v>
      </c>
      <c r="P8" s="136">
        <f>IF(SER_hh_tes_in!P8=0,"",SER_hh_tes_in!P8/SER_hh_fec_in!P8)</f>
        <v>2.7648630263359135</v>
      </c>
      <c r="Q8" s="136">
        <f>IF(SER_hh_tes_in!Q8=0,"",SER_hh_tes_in!Q8/SER_hh_fec_in!Q8)</f>
        <v>2.9056295695048484</v>
      </c>
      <c r="R8" s="136">
        <f>IF(SER_hh_tes_in!R8=0,"",SER_hh_tes_in!R8/SER_hh_fec_in!R8)</f>
        <v>3.0351809858297267</v>
      </c>
      <c r="S8" s="136">
        <f>IF(SER_hh_tes_in!S8=0,"",SER_hh_tes_in!S8/SER_hh_fec_in!S8)</f>
        <v>3.119747941961772</v>
      </c>
      <c r="T8" s="136">
        <f>IF(SER_hh_tes_in!T8=0,"",SER_hh_tes_in!T8/SER_hh_fec_in!T8)</f>
        <v>3.1733896353539208</v>
      </c>
      <c r="U8" s="136">
        <f>IF(SER_hh_tes_in!U8=0,"",SER_hh_tes_in!U8/SER_hh_fec_in!U8)</f>
        <v>3.2102803002690794</v>
      </c>
      <c r="V8" s="136">
        <f>IF(SER_hh_tes_in!V8=0,"",SER_hh_tes_in!V8/SER_hh_fec_in!V8)</f>
        <v>3.2441695248692937</v>
      </c>
      <c r="W8" s="136">
        <f>IF(SER_hh_tes_in!W8=0,"",SER_hh_tes_in!W8/SER_hh_fec_in!W8)</f>
        <v>3.27724288388236</v>
      </c>
      <c r="X8" s="136">
        <f>IF(SER_hh_tes_in!X8=0,"",SER_hh_tes_in!X8/SER_hh_fec_in!X8)</f>
        <v>3.3044559705672474</v>
      </c>
      <c r="Y8" s="136">
        <f>IF(SER_hh_tes_in!Y8=0,"",SER_hh_tes_in!Y8/SER_hh_fec_in!Y8)</f>
        <v>3.3275236854881616</v>
      </c>
      <c r="DA8" s="163" t="s">
        <v>667</v>
      </c>
    </row>
    <row r="9" spans="1:105" ht="12" customHeight="1" x14ac:dyDescent="0.25">
      <c r="A9" s="131" t="s">
        <v>78</v>
      </c>
      <c r="B9" s="136"/>
      <c r="C9" s="136" t="str">
        <f>IF(SER_hh_tes_in!C9=0,"",SER_hh_tes_in!C9/SER_hh_fec_in!C9)</f>
        <v/>
      </c>
      <c r="D9" s="136" t="str">
        <f>IF(SER_hh_tes_in!D9=0,"",SER_hh_tes_in!D9/SER_hh_fec_in!D9)</f>
        <v/>
      </c>
      <c r="E9" s="136" t="str">
        <f>IF(SER_hh_tes_in!E9=0,"",SER_hh_tes_in!E9/SER_hh_fec_in!E9)</f>
        <v/>
      </c>
      <c r="F9" s="136">
        <f>IF(SER_hh_tes_in!F9=0,"",SER_hh_tes_in!F9/SER_hh_fec_in!F9)</f>
        <v>0.5049741989093226</v>
      </c>
      <c r="G9" s="136">
        <f>IF(SER_hh_tes_in!G9=0,"",SER_hh_tes_in!G9/SER_hh_fec_in!G9)</f>
        <v>0.50954192275624111</v>
      </c>
      <c r="H9" s="136">
        <f>IF(SER_hh_tes_in!H9=0,"",SER_hh_tes_in!H9/SER_hh_fec_in!H9)</f>
        <v>0.51430884910083463</v>
      </c>
      <c r="I9" s="136">
        <f>IF(SER_hh_tes_in!I9=0,"",SER_hh_tes_in!I9/SER_hh_fec_in!I9)</f>
        <v>0.51933436148896717</v>
      </c>
      <c r="J9" s="136">
        <f>IF(SER_hh_tes_in!J9=0,"",SER_hh_tes_in!J9/SER_hh_fec_in!J9)</f>
        <v>0.52486483273925788</v>
      </c>
      <c r="K9" s="136">
        <f>IF(SER_hh_tes_in!K9=0,"",SER_hh_tes_in!K9/SER_hh_fec_in!K9)</f>
        <v>0.53110771283665703</v>
      </c>
      <c r="L9" s="136">
        <f>IF(SER_hh_tes_in!L9=0,"",SER_hh_tes_in!L9/SER_hh_fec_in!L9)</f>
        <v>0.53811479405132501</v>
      </c>
      <c r="M9" s="136">
        <f>IF(SER_hh_tes_in!M9=0,"",SER_hh_tes_in!M9/SER_hh_fec_in!M9)</f>
        <v>0.5510756473094276</v>
      </c>
      <c r="N9" s="136">
        <f>IF(SER_hh_tes_in!N9=0,"",SER_hh_tes_in!N9/SER_hh_fec_in!N9)</f>
        <v>0.57160413546394295</v>
      </c>
      <c r="O9" s="136" t="str">
        <f>IF(SER_hh_tes_in!O9=0,"",SER_hh_tes_in!O9/SER_hh_fec_in!O9)</f>
        <v/>
      </c>
      <c r="P9" s="136" t="str">
        <f>IF(SER_hh_tes_in!P9=0,"",SER_hh_tes_in!P9/SER_hh_fec_in!P9)</f>
        <v/>
      </c>
      <c r="Q9" s="136" t="str">
        <f>IF(SER_hh_tes_in!Q9=0,"",SER_hh_tes_in!Q9/SER_hh_fec_in!Q9)</f>
        <v/>
      </c>
      <c r="R9" s="136" t="str">
        <f>IF(SER_hh_tes_in!R9=0,"",SER_hh_tes_in!R9/SER_hh_fec_in!R9)</f>
        <v/>
      </c>
      <c r="S9" s="136" t="str">
        <f>IF(SER_hh_tes_in!S9=0,"",SER_hh_tes_in!S9/SER_hh_fec_in!S9)</f>
        <v/>
      </c>
      <c r="T9" s="136">
        <f>IF(SER_hh_tes_in!T9=0,"",SER_hh_tes_in!T9/SER_hh_fec_in!T9)</f>
        <v>0.69905904119253481</v>
      </c>
      <c r="U9" s="136">
        <f>IF(SER_hh_tes_in!U9=0,"",SER_hh_tes_in!U9/SER_hh_fec_in!U9)</f>
        <v>0.70695675118323109</v>
      </c>
      <c r="V9" s="136">
        <f>IF(SER_hh_tes_in!V9=0,"",SER_hh_tes_in!V9/SER_hh_fec_in!V9)</f>
        <v>0.71411810150787769</v>
      </c>
      <c r="W9" s="136">
        <f>IF(SER_hh_tes_in!W9=0,"",SER_hh_tes_in!W9/SER_hh_fec_in!W9)</f>
        <v>0.7194446251934874</v>
      </c>
      <c r="X9" s="136">
        <f>IF(SER_hh_tes_in!X9=0,"",SER_hh_tes_in!X9/SER_hh_fec_in!X9)</f>
        <v>0.72280736045467664</v>
      </c>
      <c r="Y9" s="136">
        <f>IF(SER_hh_tes_in!Y9=0,"",SER_hh_tes_in!Y9/SER_hh_fec_in!Y9)</f>
        <v>0.72510280448276521</v>
      </c>
      <c r="DA9" s="163" t="s">
        <v>668</v>
      </c>
    </row>
    <row r="10" spans="1:105" ht="12" customHeight="1" x14ac:dyDescent="0.25">
      <c r="A10" s="131" t="s">
        <v>128</v>
      </c>
      <c r="B10" s="136"/>
      <c r="C10" s="136">
        <f>IF(SER_hh_tes_in!C10=0,"",SER_hh_tes_in!C10/SER_hh_fec_in!C10)</f>
        <v>0.49780690753959134</v>
      </c>
      <c r="D10" s="136">
        <f>IF(SER_hh_tes_in!D10=0,"",SER_hh_tes_in!D10/SER_hh_fec_in!D10)</f>
        <v>0.49805834657606568</v>
      </c>
      <c r="E10" s="136">
        <f>IF(SER_hh_tes_in!E10=0,"",SER_hh_tes_in!E10/SER_hh_fec_in!E10)</f>
        <v>0.49831217928261895</v>
      </c>
      <c r="F10" s="136">
        <f>IF(SER_hh_tes_in!F10=0,"",SER_hh_tes_in!F10/SER_hh_fec_in!F10)</f>
        <v>0.49856815739820126</v>
      </c>
      <c r="G10" s="136">
        <f>IF(SER_hh_tes_in!G10=0,"",SER_hh_tes_in!G10/SER_hh_fec_in!G10)</f>
        <v>0.49882602836147671</v>
      </c>
      <c r="H10" s="136">
        <f>IF(SER_hh_tes_in!H10=0,"",SER_hh_tes_in!H10/SER_hh_fec_in!H10)</f>
        <v>0.49908549474394309</v>
      </c>
      <c r="I10" s="136">
        <f>IF(SER_hh_tes_in!I10=0,"",SER_hh_tes_in!I10/SER_hh_fec_in!I10)</f>
        <v>0.49934616420426814</v>
      </c>
      <c r="J10" s="136">
        <f>IF(SER_hh_tes_in!J10=0,"",SER_hh_tes_in!J10/SER_hh_fec_in!J10)</f>
        <v>0.49960718923392539</v>
      </c>
      <c r="K10" s="136">
        <f>IF(SER_hh_tes_in!K10=0,"",SER_hh_tes_in!K10/SER_hh_fec_in!K10)</f>
        <v>0.4998674491755643</v>
      </c>
      <c r="L10" s="136" t="str">
        <f>IF(SER_hh_tes_in!L10=0,"",SER_hh_tes_in!L10/SER_hh_fec_in!L10)</f>
        <v/>
      </c>
      <c r="M10" s="136">
        <f>IF(SER_hh_tes_in!M10=0,"",SER_hh_tes_in!M10/SER_hh_fec_in!M10)</f>
        <v>0.50036340309169458</v>
      </c>
      <c r="N10" s="136">
        <f>IF(SER_hh_tes_in!N10=0,"",SER_hh_tes_in!N10/SER_hh_fec_in!N10)</f>
        <v>0.50056925694206045</v>
      </c>
      <c r="O10" s="136">
        <f>IF(SER_hh_tes_in!O10=0,"",SER_hh_tes_in!O10/SER_hh_fec_in!O10)</f>
        <v>0.50073741579935793</v>
      </c>
      <c r="P10" s="136">
        <f>IF(SER_hh_tes_in!P10=0,"",SER_hh_tes_in!P10/SER_hh_fec_in!P10)</f>
        <v>0.50088244728292786</v>
      </c>
      <c r="Q10" s="136">
        <f>IF(SER_hh_tes_in!Q10=0,"",SER_hh_tes_in!Q10/SER_hh_fec_in!Q10)</f>
        <v>0.50105549695854523</v>
      </c>
      <c r="R10" s="136">
        <f>IF(SER_hh_tes_in!R10=0,"",SER_hh_tes_in!R10/SER_hh_fec_in!R10)</f>
        <v>0.50131470299264724</v>
      </c>
      <c r="S10" s="136">
        <f>IF(SER_hh_tes_in!S10=0,"",SER_hh_tes_in!S10/SER_hh_fec_in!S10)</f>
        <v>0.50160643628767665</v>
      </c>
      <c r="T10" s="136" t="str">
        <f>IF(SER_hh_tes_in!T10=0,"",SER_hh_tes_in!T10/SER_hh_fec_in!T10)</f>
        <v/>
      </c>
      <c r="U10" s="136" t="str">
        <f>IF(SER_hh_tes_in!U10=0,"",SER_hh_tes_in!U10/SER_hh_fec_in!U10)</f>
        <v/>
      </c>
      <c r="V10" s="136" t="str">
        <f>IF(SER_hh_tes_in!V10=0,"",SER_hh_tes_in!V10/SER_hh_fec_in!V10)</f>
        <v/>
      </c>
      <c r="W10" s="136">
        <f>IF(SER_hh_tes_in!W10=0,"",SER_hh_tes_in!W10/SER_hh_fec_in!W10)</f>
        <v>0.50258371512474365</v>
      </c>
      <c r="X10" s="136">
        <f>IF(SER_hh_tes_in!X10=0,"",SER_hh_tes_in!X10/SER_hh_fec_in!X10)</f>
        <v>0.50741675953927157</v>
      </c>
      <c r="Y10" s="136">
        <f>IF(SER_hh_tes_in!Y10=0,"",SER_hh_tes_in!Y10/SER_hh_fec_in!Y10)</f>
        <v>0.51197143751123164</v>
      </c>
      <c r="DA10" s="163" t="s">
        <v>669</v>
      </c>
    </row>
    <row r="11" spans="1:105" ht="12" customHeight="1" x14ac:dyDescent="0.25">
      <c r="A11" s="131" t="s">
        <v>25</v>
      </c>
      <c r="B11" s="136"/>
      <c r="C11" s="136" t="str">
        <f>IF(SER_hh_tes_in!C11=0,"",SER_hh_tes_in!C11/SER_hh_fec_in!C11)</f>
        <v/>
      </c>
      <c r="D11" s="136" t="str">
        <f>IF(SER_hh_tes_in!D11=0,"",SER_hh_tes_in!D11/SER_hh_fec_in!D11)</f>
        <v/>
      </c>
      <c r="E11" s="136" t="str">
        <f>IF(SER_hh_tes_in!E11=0,"",SER_hh_tes_in!E11/SER_hh_fec_in!E11)</f>
        <v/>
      </c>
      <c r="F11" s="136" t="str">
        <f>IF(SER_hh_tes_in!F11=0,"",SER_hh_tes_in!F11/SER_hh_fec_in!F11)</f>
        <v/>
      </c>
      <c r="G11" s="136" t="str">
        <f>IF(SER_hh_tes_in!G11=0,"",SER_hh_tes_in!G11/SER_hh_fec_in!G11)</f>
        <v/>
      </c>
      <c r="H11" s="136" t="str">
        <f>IF(SER_hh_tes_in!H11=0,"",SER_hh_tes_in!H11/SER_hh_fec_in!H11)</f>
        <v/>
      </c>
      <c r="I11" s="136">
        <f>IF(SER_hh_tes_in!I11=0,"",SER_hh_tes_in!I11/SER_hh_fec_in!I11)</f>
        <v>0.75341888709402238</v>
      </c>
      <c r="J11" s="136" t="str">
        <f>IF(SER_hh_tes_in!J11=0,"",SER_hh_tes_in!J11/SER_hh_fec_in!J11)</f>
        <v/>
      </c>
      <c r="K11" s="136" t="str">
        <f>IF(SER_hh_tes_in!K11=0,"",SER_hh_tes_in!K11/SER_hh_fec_in!K11)</f>
        <v/>
      </c>
      <c r="L11" s="136" t="str">
        <f>IF(SER_hh_tes_in!L11=0,"",SER_hh_tes_in!L11/SER_hh_fec_in!L11)</f>
        <v/>
      </c>
      <c r="M11" s="136">
        <f>IF(SER_hh_tes_in!M11=0,"",SER_hh_tes_in!M11/SER_hh_fec_in!M11)</f>
        <v>0.77034644626725279</v>
      </c>
      <c r="N11" s="136">
        <f>IF(SER_hh_tes_in!N11=0,"",SER_hh_tes_in!N11/SER_hh_fec_in!N11)</f>
        <v>0.77467477535442575</v>
      </c>
      <c r="O11" s="136">
        <f>IF(SER_hh_tes_in!O11=0,"",SER_hh_tes_in!O11/SER_hh_fec_in!O11)</f>
        <v>0.77904474519103872</v>
      </c>
      <c r="P11" s="136">
        <f>IF(SER_hh_tes_in!P11=0,"",SER_hh_tes_in!P11/SER_hh_fec_in!P11)</f>
        <v>0.78336501163780892</v>
      </c>
      <c r="Q11" s="136">
        <f>IF(SER_hh_tes_in!Q11=0,"",SER_hh_tes_in!Q11/SER_hh_fec_in!Q11)</f>
        <v>0.78738146078198834</v>
      </c>
      <c r="R11" s="136" t="str">
        <f>IF(SER_hh_tes_in!R11=0,"",SER_hh_tes_in!R11/SER_hh_fec_in!R11)</f>
        <v/>
      </c>
      <c r="S11" s="136" t="str">
        <f>IF(SER_hh_tes_in!S11=0,"",SER_hh_tes_in!S11/SER_hh_fec_in!S11)</f>
        <v/>
      </c>
      <c r="T11" s="136" t="str">
        <f>IF(SER_hh_tes_in!T11=0,"",SER_hh_tes_in!T11/SER_hh_fec_in!T11)</f>
        <v/>
      </c>
      <c r="U11" s="136" t="str">
        <f>IF(SER_hh_tes_in!U11=0,"",SER_hh_tes_in!U11/SER_hh_fec_in!U11)</f>
        <v/>
      </c>
      <c r="V11" s="136" t="str">
        <f>IF(SER_hh_tes_in!V11=0,"",SER_hh_tes_in!V11/SER_hh_fec_in!V11)</f>
        <v/>
      </c>
      <c r="W11" s="136" t="str">
        <f>IF(SER_hh_tes_in!W11=0,"",SER_hh_tes_in!W11/SER_hh_fec_in!W11)</f>
        <v/>
      </c>
      <c r="X11" s="136" t="str">
        <f>IF(SER_hh_tes_in!X11=0,"",SER_hh_tes_in!X11/SER_hh_fec_in!X11)</f>
        <v/>
      </c>
      <c r="Y11" s="136" t="str">
        <f>IF(SER_hh_tes_in!Y11=0,"",SER_hh_tes_in!Y11/SER_hh_fec_in!Y11)</f>
        <v/>
      </c>
      <c r="DA11" s="163" t="s">
        <v>670</v>
      </c>
    </row>
    <row r="12" spans="1:105" ht="12" customHeight="1" x14ac:dyDescent="0.25">
      <c r="A12" s="131" t="s">
        <v>162</v>
      </c>
      <c r="B12" s="136"/>
      <c r="C12" s="136" t="str">
        <f>IF(SER_hh_tes_in!C12=0,"",SER_hh_tes_in!C12/SER_hh_fec_in!C12)</f>
        <v/>
      </c>
      <c r="D12" s="136" t="str">
        <f>IF(SER_hh_tes_in!D12=0,"",SER_hh_tes_in!D12/SER_hh_fec_in!D12)</f>
        <v/>
      </c>
      <c r="E12" s="136" t="str">
        <f>IF(SER_hh_tes_in!E12=0,"",SER_hh_tes_in!E12/SER_hh_fec_in!E12)</f>
        <v/>
      </c>
      <c r="F12" s="136" t="str">
        <f>IF(SER_hh_tes_in!F12=0,"",SER_hh_tes_in!F12/SER_hh_fec_in!F12)</f>
        <v/>
      </c>
      <c r="G12" s="136" t="str">
        <f>IF(SER_hh_tes_in!G12=0,"",SER_hh_tes_in!G12/SER_hh_fec_in!G12)</f>
        <v/>
      </c>
      <c r="H12" s="136" t="str">
        <f>IF(SER_hh_tes_in!H12=0,"",SER_hh_tes_in!H12/SER_hh_fec_in!H12)</f>
        <v/>
      </c>
      <c r="I12" s="136" t="str">
        <f>IF(SER_hh_tes_in!I12=0,"",SER_hh_tes_in!I12/SER_hh_fec_in!I12)</f>
        <v/>
      </c>
      <c r="J12" s="136" t="str">
        <f>IF(SER_hh_tes_in!J12=0,"",SER_hh_tes_in!J12/SER_hh_fec_in!J12)</f>
        <v/>
      </c>
      <c r="K12" s="136" t="str">
        <f>IF(SER_hh_tes_in!K12=0,"",SER_hh_tes_in!K12/SER_hh_fec_in!K12)</f>
        <v/>
      </c>
      <c r="L12" s="136" t="str">
        <f>IF(SER_hh_tes_in!L12=0,"",SER_hh_tes_in!L12/SER_hh_fec_in!L12)</f>
        <v/>
      </c>
      <c r="M12" s="136" t="str">
        <f>IF(SER_hh_tes_in!M12=0,"",SER_hh_tes_in!M12/SER_hh_fec_in!M12)</f>
        <v/>
      </c>
      <c r="N12" s="136" t="str">
        <f>IF(SER_hh_tes_in!N12=0,"",SER_hh_tes_in!N12/SER_hh_fec_in!N12)</f>
        <v/>
      </c>
      <c r="O12" s="136" t="str">
        <f>IF(SER_hh_tes_in!O12=0,"",SER_hh_tes_in!O12/SER_hh_fec_in!O12)</f>
        <v/>
      </c>
      <c r="P12" s="136" t="str">
        <f>IF(SER_hh_tes_in!P12=0,"",SER_hh_tes_in!P12/SER_hh_fec_in!P12)</f>
        <v/>
      </c>
      <c r="Q12" s="136" t="str">
        <f>IF(SER_hh_tes_in!Q12=0,"",SER_hh_tes_in!Q12/SER_hh_fec_in!Q12)</f>
        <v/>
      </c>
      <c r="R12" s="136" t="str">
        <f>IF(SER_hh_tes_in!R12=0,"",SER_hh_tes_in!R12/SER_hh_fec_in!R12)</f>
        <v/>
      </c>
      <c r="S12" s="136" t="str">
        <f>IF(SER_hh_tes_in!S12=0,"",SER_hh_tes_in!S12/SER_hh_fec_in!S12)</f>
        <v/>
      </c>
      <c r="T12" s="136" t="str">
        <f>IF(SER_hh_tes_in!T12=0,"",SER_hh_tes_in!T12/SER_hh_fec_in!T12)</f>
        <v/>
      </c>
      <c r="U12" s="136" t="str">
        <f>IF(SER_hh_tes_in!U12=0,"",SER_hh_tes_in!U12/SER_hh_fec_in!U12)</f>
        <v/>
      </c>
      <c r="V12" s="136" t="str">
        <f>IF(SER_hh_tes_in!V12=0,"",SER_hh_tes_in!V12/SER_hh_fec_in!V12)</f>
        <v/>
      </c>
      <c r="W12" s="136" t="str">
        <f>IF(SER_hh_tes_in!W12=0,"",SER_hh_tes_in!W12/SER_hh_fec_in!W12)</f>
        <v/>
      </c>
      <c r="X12" s="136" t="str">
        <f>IF(SER_hh_tes_in!X12=0,"",SER_hh_tes_in!X12/SER_hh_fec_in!X12)</f>
        <v/>
      </c>
      <c r="Y12" s="136" t="str">
        <f>IF(SER_hh_tes_in!Y12=0,"",SER_hh_tes_in!Y12/SER_hh_fec_in!Y12)</f>
        <v/>
      </c>
      <c r="DA12" s="163" t="s">
        <v>671</v>
      </c>
    </row>
    <row r="13" spans="1:105" ht="12" customHeight="1" x14ac:dyDescent="0.25">
      <c r="A13" s="131" t="s">
        <v>77</v>
      </c>
      <c r="B13" s="136"/>
      <c r="C13" s="136">
        <f>IF(SER_hh_tes_in!C13=0,"",SER_hh_tes_in!C13/SER_hh_fec_in!C13)</f>
        <v>1.6109209983257171</v>
      </c>
      <c r="D13" s="136">
        <f>IF(SER_hh_tes_in!D13=0,"",SER_hh_tes_in!D13/SER_hh_fec_in!D13)</f>
        <v>1.7045601878915404</v>
      </c>
      <c r="E13" s="136">
        <f>IF(SER_hh_tes_in!E13=0,"",SER_hh_tes_in!E13/SER_hh_fec_in!E13)</f>
        <v>1.7997759166051479</v>
      </c>
      <c r="F13" s="136">
        <f>IF(SER_hh_tes_in!F13=0,"",SER_hh_tes_in!F13/SER_hh_fec_in!F13)</f>
        <v>1.8956502342797803</v>
      </c>
      <c r="G13" s="136">
        <f>IF(SER_hh_tes_in!G13=0,"",SER_hh_tes_in!G13/SER_hh_fec_in!G13)</f>
        <v>1.9930195110505331</v>
      </c>
      <c r="H13" s="136">
        <f>IF(SER_hh_tes_in!H13=0,"",SER_hh_tes_in!H13/SER_hh_fec_in!H13)</f>
        <v>2.0917831327449257</v>
      </c>
      <c r="I13" s="136">
        <f>IF(SER_hh_tes_in!I13=0,"",SER_hh_tes_in!I13/SER_hh_fec_in!I13)</f>
        <v>2.1921490102726544</v>
      </c>
      <c r="J13" s="136">
        <f>IF(SER_hh_tes_in!J13=0,"",SER_hh_tes_in!J13/SER_hh_fec_in!J13)</f>
        <v>2.2949648271719072</v>
      </c>
      <c r="K13" s="136">
        <f>IF(SER_hh_tes_in!K13=0,"",SER_hh_tes_in!K13/SER_hh_fec_in!K13)</f>
        <v>2.4009539588809661</v>
      </c>
      <c r="L13" s="136">
        <f>IF(SER_hh_tes_in!L13=0,"",SER_hh_tes_in!L13/SER_hh_fec_in!L13)</f>
        <v>2.5103147106700932</v>
      </c>
      <c r="M13" s="136">
        <f>IF(SER_hh_tes_in!M13=0,"",SER_hh_tes_in!M13/SER_hh_fec_in!M13)</f>
        <v>2.6440402752564465</v>
      </c>
      <c r="N13" s="136">
        <f>IF(SER_hh_tes_in!N13=0,"",SER_hh_tes_in!N13/SER_hh_fec_in!N13)</f>
        <v>2.8093699307781872</v>
      </c>
      <c r="O13" s="136">
        <f>IF(SER_hh_tes_in!O13=0,"",SER_hh_tes_in!O13/SER_hh_fec_in!O13)</f>
        <v>3.0087907587403389</v>
      </c>
      <c r="P13" s="136">
        <f>IF(SER_hh_tes_in!P13=0,"",SER_hh_tes_in!P13/SER_hh_fec_in!P13)</f>
        <v>3.2221948474177537</v>
      </c>
      <c r="Q13" s="136">
        <f>IF(SER_hh_tes_in!Q13=0,"",SER_hh_tes_in!Q13/SER_hh_fec_in!Q13)</f>
        <v>3.3881523832339879</v>
      </c>
      <c r="R13" s="136">
        <f>IF(SER_hh_tes_in!R13=0,"",SER_hh_tes_in!R13/SER_hh_fec_in!R13)</f>
        <v>3.5476824886352443</v>
      </c>
      <c r="S13" s="136">
        <f>IF(SER_hh_tes_in!S13=0,"",SER_hh_tes_in!S13/SER_hh_fec_in!S13)</f>
        <v>3.6509998103135786</v>
      </c>
      <c r="T13" s="136">
        <f>IF(SER_hh_tes_in!T13=0,"",SER_hh_tes_in!T13/SER_hh_fec_in!T13)</f>
        <v>3.7154055259324372</v>
      </c>
      <c r="U13" s="136">
        <f>IF(SER_hh_tes_in!U13=0,"",SER_hh_tes_in!U13/SER_hh_fec_in!U13)</f>
        <v>3.7587322747570449</v>
      </c>
      <c r="V13" s="136">
        <f>IF(SER_hh_tes_in!V13=0,"",SER_hh_tes_in!V13/SER_hh_fec_in!V13)</f>
        <v>3.7985893966769826</v>
      </c>
      <c r="W13" s="136">
        <f>IF(SER_hh_tes_in!W13=0,"",SER_hh_tes_in!W13/SER_hh_fec_in!W13)</f>
        <v>3.8384696009189092</v>
      </c>
      <c r="X13" s="136">
        <f>IF(SER_hh_tes_in!X13=0,"",SER_hh_tes_in!X13/SER_hh_fec_in!X13)</f>
        <v>3.8718909236710921</v>
      </c>
      <c r="Y13" s="136">
        <f>IF(SER_hh_tes_in!Y13=0,"",SER_hh_tes_in!Y13/SER_hh_fec_in!Y13)</f>
        <v>3.9005567568214357</v>
      </c>
      <c r="DA13" s="163" t="s">
        <v>672</v>
      </c>
    </row>
    <row r="14" spans="1:105" ht="12" customHeight="1" x14ac:dyDescent="0.25">
      <c r="A14" s="60" t="s">
        <v>76</v>
      </c>
      <c r="B14" s="137"/>
      <c r="C14" s="137" t="str">
        <f>IF(SER_hh_tes_in!C14=0,"",SER_hh_tes_in!C14/SER_hh_fec_in!C14)</f>
        <v/>
      </c>
      <c r="D14" s="137" t="str">
        <f>IF(SER_hh_tes_in!D14=0,"",SER_hh_tes_in!D14/SER_hh_fec_in!D14)</f>
        <v/>
      </c>
      <c r="E14" s="137" t="str">
        <f>IF(SER_hh_tes_in!E14=0,"",SER_hh_tes_in!E14/SER_hh_fec_in!E14)</f>
        <v/>
      </c>
      <c r="F14" s="137">
        <f>IF(SER_hh_tes_in!F14=0,"",SER_hh_tes_in!F14/SER_hh_fec_in!F14)</f>
        <v>0.67315093266423587</v>
      </c>
      <c r="G14" s="137">
        <f>IF(SER_hh_tes_in!G14=0,"",SER_hh_tes_in!G14/SER_hh_fec_in!G14)</f>
        <v>0.67652267951832634</v>
      </c>
      <c r="H14" s="137">
        <f>IF(SER_hh_tes_in!H14=0,"",SER_hh_tes_in!H14/SER_hh_fec_in!H14)</f>
        <v>0.67988662579314074</v>
      </c>
      <c r="I14" s="137">
        <f>IF(SER_hh_tes_in!I14=0,"",SER_hh_tes_in!I14/SER_hh_fec_in!I14)</f>
        <v>0.68324105698300996</v>
      </c>
      <c r="J14" s="137">
        <f>IF(SER_hh_tes_in!J14=0,"",SER_hh_tes_in!J14/SER_hh_fec_in!J14)</f>
        <v>0.68657888702868097</v>
      </c>
      <c r="K14" s="137">
        <f>IF(SER_hh_tes_in!K14=0,"",SER_hh_tes_in!K14/SER_hh_fec_in!K14)</f>
        <v>0.68989413752445861</v>
      </c>
      <c r="L14" s="137" t="str">
        <f>IF(SER_hh_tes_in!L14=0,"",SER_hh_tes_in!L14/SER_hh_fec_in!L14)</f>
        <v/>
      </c>
      <c r="M14" s="137" t="str">
        <f>IF(SER_hh_tes_in!M14=0,"",SER_hh_tes_in!M14/SER_hh_fec_in!M14)</f>
        <v/>
      </c>
      <c r="N14" s="137" t="str">
        <f>IF(SER_hh_tes_in!N14=0,"",SER_hh_tes_in!N14/SER_hh_fec_in!N14)</f>
        <v/>
      </c>
      <c r="O14" s="137" t="str">
        <f>IF(SER_hh_tes_in!O14=0,"",SER_hh_tes_in!O14/SER_hh_fec_in!O14)</f>
        <v/>
      </c>
      <c r="P14" s="137" t="str">
        <f>IF(SER_hh_tes_in!P14=0,"",SER_hh_tes_in!P14/SER_hh_fec_in!P14)</f>
        <v/>
      </c>
      <c r="Q14" s="137" t="str">
        <f>IF(SER_hh_tes_in!Q14=0,"",SER_hh_tes_in!Q14/SER_hh_fec_in!Q14)</f>
        <v/>
      </c>
      <c r="R14" s="137" t="str">
        <f>IF(SER_hh_tes_in!R14=0,"",SER_hh_tes_in!R14/SER_hh_fec_in!R14)</f>
        <v/>
      </c>
      <c r="S14" s="137">
        <f>IF(SER_hh_tes_in!S14=0,"",SER_hh_tes_in!S14/SER_hh_fec_in!S14)</f>
        <v>0.74064964083386808</v>
      </c>
      <c r="T14" s="137">
        <f>IF(SER_hh_tes_in!T14=0,"",SER_hh_tes_in!T14/SER_hh_fec_in!T14)</f>
        <v>0.7622870158613998</v>
      </c>
      <c r="U14" s="137">
        <f>IF(SER_hh_tes_in!U14=0,"",SER_hh_tes_in!U14/SER_hh_fec_in!U14)</f>
        <v>0.78361834039102218</v>
      </c>
      <c r="V14" s="137" t="str">
        <f>IF(SER_hh_tes_in!V14=0,"",SER_hh_tes_in!V14/SER_hh_fec_in!V14)</f>
        <v/>
      </c>
      <c r="W14" s="137">
        <f>IF(SER_hh_tes_in!W14=0,"",SER_hh_tes_in!W14/SER_hh_fec_in!W14)</f>
        <v>0.81694570317543713</v>
      </c>
      <c r="X14" s="137">
        <f>IF(SER_hh_tes_in!X14=0,"",SER_hh_tes_in!X14/SER_hh_fec_in!X14)</f>
        <v>0.83048242859501986</v>
      </c>
      <c r="Y14" s="137">
        <f>IF(SER_hh_tes_in!Y14=0,"",SER_hh_tes_in!Y14/SER_hh_fec_in!Y14)</f>
        <v>0.84325064368284119</v>
      </c>
      <c r="DA14" s="164" t="s">
        <v>673</v>
      </c>
    </row>
    <row r="15" spans="1:105" ht="12" customHeight="1" x14ac:dyDescent="0.25">
      <c r="A15" s="133" t="s">
        <v>80</v>
      </c>
      <c r="B15" s="138"/>
      <c r="C15" s="138">
        <f>IF(SER_hh_tes_in!C15=0,"",SER_hh_tes_in!C15/SER_hh_fec_in!C15)</f>
        <v>1</v>
      </c>
      <c r="D15" s="138">
        <f>IF(SER_hh_tes_in!D15=0,"",SER_hh_tes_in!D15/SER_hh_fec_in!D15)</f>
        <v>1</v>
      </c>
      <c r="E15" s="138">
        <f>IF(SER_hh_tes_in!E15=0,"",SER_hh_tes_in!E15/SER_hh_fec_in!E15)</f>
        <v>1</v>
      </c>
      <c r="F15" s="138">
        <f>IF(SER_hh_tes_in!F15=0,"",SER_hh_tes_in!F15/SER_hh_fec_in!F15)</f>
        <v>1</v>
      </c>
      <c r="G15" s="138">
        <f>IF(SER_hh_tes_in!G15=0,"",SER_hh_tes_in!G15/SER_hh_fec_in!G15)</f>
        <v>1</v>
      </c>
      <c r="H15" s="138">
        <f>IF(SER_hh_tes_in!H15=0,"",SER_hh_tes_in!H15/SER_hh_fec_in!H15)</f>
        <v>1</v>
      </c>
      <c r="I15" s="138">
        <f>IF(SER_hh_tes_in!I15=0,"",SER_hh_tes_in!I15/SER_hh_fec_in!I15)</f>
        <v>1</v>
      </c>
      <c r="J15" s="138">
        <f>IF(SER_hh_tes_in!J15=0,"",SER_hh_tes_in!J15/SER_hh_fec_in!J15)</f>
        <v>1</v>
      </c>
      <c r="K15" s="138">
        <f>IF(SER_hh_tes_in!K15=0,"",SER_hh_tes_in!K15/SER_hh_fec_in!K15)</f>
        <v>1</v>
      </c>
      <c r="L15" s="138">
        <f>IF(SER_hh_tes_in!L15=0,"",SER_hh_tes_in!L15/SER_hh_fec_in!L15)</f>
        <v>1</v>
      </c>
      <c r="M15" s="138">
        <f>IF(SER_hh_tes_in!M15=0,"",SER_hh_tes_in!M15/SER_hh_fec_in!M15)</f>
        <v>1</v>
      </c>
      <c r="N15" s="138">
        <f>IF(SER_hh_tes_in!N15=0,"",SER_hh_tes_in!N15/SER_hh_fec_in!N15)</f>
        <v>1</v>
      </c>
      <c r="O15" s="138">
        <f>IF(SER_hh_tes_in!O15=0,"",SER_hh_tes_in!O15/SER_hh_fec_in!O15)</f>
        <v>1</v>
      </c>
      <c r="P15" s="138">
        <f>IF(SER_hh_tes_in!P15=0,"",SER_hh_tes_in!P15/SER_hh_fec_in!P15)</f>
        <v>1</v>
      </c>
      <c r="Q15" s="138">
        <f>IF(SER_hh_tes_in!Q15=0,"",SER_hh_tes_in!Q15/SER_hh_fec_in!Q15)</f>
        <v>1</v>
      </c>
      <c r="R15" s="138">
        <f>IF(SER_hh_tes_in!R15=0,"",SER_hh_tes_in!R15/SER_hh_fec_in!R15)</f>
        <v>1</v>
      </c>
      <c r="S15" s="138">
        <f>IF(SER_hh_tes_in!S15=0,"",SER_hh_tes_in!S15/SER_hh_fec_in!S15)</f>
        <v>1</v>
      </c>
      <c r="T15" s="138">
        <f>IF(SER_hh_tes_in!T15=0,"",SER_hh_tes_in!T15/SER_hh_fec_in!T15)</f>
        <v>1</v>
      </c>
      <c r="U15" s="138">
        <f>IF(SER_hh_tes_in!U15=0,"",SER_hh_tes_in!U15/SER_hh_fec_in!U15)</f>
        <v>1</v>
      </c>
      <c r="V15" s="138">
        <f>IF(SER_hh_tes_in!V15=0,"",SER_hh_tes_in!V15/SER_hh_fec_in!V15)</f>
        <v>1</v>
      </c>
      <c r="W15" s="138">
        <f>IF(SER_hh_tes_in!W15=0,"",SER_hh_tes_in!W15/SER_hh_fec_in!W15)</f>
        <v>1</v>
      </c>
      <c r="X15" s="138">
        <f>IF(SER_hh_tes_in!X15=0,"",SER_hh_tes_in!X15/SER_hh_fec_in!X15)</f>
        <v>1</v>
      </c>
      <c r="Y15" s="138">
        <f>IF(SER_hh_tes_in!Y15=0,"",SER_hh_tes_in!Y15/SER_hh_fec_in!Y15)</f>
        <v>1</v>
      </c>
      <c r="DA15" s="165" t="s">
        <v>674</v>
      </c>
    </row>
    <row r="16" spans="1:105" ht="12.95" customHeight="1" x14ac:dyDescent="0.25">
      <c r="A16" s="129" t="s">
        <v>74</v>
      </c>
      <c r="B16" s="135"/>
      <c r="C16" s="135">
        <f>IF(SER_hh_tes_in!C16=0,"",SER_hh_tes_in!C16/SER_hh_fec_in!C16)</f>
        <v>2.1674044908126899</v>
      </c>
      <c r="D16" s="135">
        <f>IF(SER_hh_tes_in!D16=0,"",SER_hh_tes_in!D16/SER_hh_fec_in!D16)</f>
        <v>2.2552873739871138</v>
      </c>
      <c r="E16" s="135">
        <f>IF(SER_hh_tes_in!E16=0,"",SER_hh_tes_in!E16/SER_hh_fec_in!E16)</f>
        <v>2.3416268993597211</v>
      </c>
      <c r="F16" s="135">
        <f>IF(SER_hh_tes_in!F16=0,"",SER_hh_tes_in!F16/SER_hh_fec_in!F16)</f>
        <v>2.4295004653580947</v>
      </c>
      <c r="G16" s="135">
        <f>IF(SER_hh_tes_in!G16=0,"",SER_hh_tes_in!G16/SER_hh_fec_in!G16)</f>
        <v>2.5217793111235038</v>
      </c>
      <c r="H16" s="135">
        <f>IF(SER_hh_tes_in!H16=0,"",SER_hh_tes_in!H16/SER_hh_fec_in!H16)</f>
        <v>2.612625302254918</v>
      </c>
      <c r="I16" s="135">
        <f>IF(SER_hh_tes_in!I16=0,"",SER_hh_tes_in!I16/SER_hh_fec_in!I16)</f>
        <v>2.7059978075177007</v>
      </c>
      <c r="J16" s="135">
        <f>IF(SER_hh_tes_in!J16=0,"",SER_hh_tes_in!J16/SER_hh_fec_in!J16)</f>
        <v>2.7978656908014852</v>
      </c>
      <c r="K16" s="135">
        <f>IF(SER_hh_tes_in!K16=0,"",SER_hh_tes_in!K16/SER_hh_fec_in!K16)</f>
        <v>2.8945513747988998</v>
      </c>
      <c r="L16" s="135">
        <f>IF(SER_hh_tes_in!L16=0,"",SER_hh_tes_in!L16/SER_hh_fec_in!L16)</f>
        <v>2.9905208359802606</v>
      </c>
      <c r="M16" s="135">
        <f>IF(SER_hh_tes_in!M16=0,"",SER_hh_tes_in!M16/SER_hh_fec_in!M16)</f>
        <v>3.1013599329912878</v>
      </c>
      <c r="N16" s="135">
        <f>IF(SER_hh_tes_in!N16=0,"",SER_hh_tes_in!N16/SER_hh_fec_in!N16)</f>
        <v>3.2322086110403343</v>
      </c>
      <c r="O16" s="135">
        <f>IF(SER_hh_tes_in!O16=0,"",SER_hh_tes_in!O16/SER_hh_fec_in!O16)</f>
        <v>3.3651816315661196</v>
      </c>
      <c r="P16" s="135">
        <f>IF(SER_hh_tes_in!P16=0,"",SER_hh_tes_in!P16/SER_hh_fec_in!P16)</f>
        <v>3.522626607376631</v>
      </c>
      <c r="Q16" s="135">
        <f>IF(SER_hh_tes_in!Q16=0,"",SER_hh_tes_in!Q16/SER_hh_fec_in!Q16)</f>
        <v>3.6327401946501414</v>
      </c>
      <c r="R16" s="135">
        <f>IF(SER_hh_tes_in!R16=0,"",SER_hh_tes_in!R16/SER_hh_fec_in!R16)</f>
        <v>3.7267523706842089</v>
      </c>
      <c r="S16" s="135">
        <f>IF(SER_hh_tes_in!S16=0,"",SER_hh_tes_in!S16/SER_hh_fec_in!S16)</f>
        <v>3.7848392959710835</v>
      </c>
      <c r="T16" s="135">
        <f>IF(SER_hh_tes_in!T16=0,"",SER_hh_tes_in!T16/SER_hh_fec_in!T16)</f>
        <v>3.7742038948826448</v>
      </c>
      <c r="U16" s="135">
        <f>IF(SER_hh_tes_in!U16=0,"",SER_hh_tes_in!U16/SER_hh_fec_in!U16)</f>
        <v>3.8154778539857501</v>
      </c>
      <c r="V16" s="135">
        <f>IF(SER_hh_tes_in!V16=0,"",SER_hh_tes_in!V16/SER_hh_fec_in!V16)</f>
        <v>3.8313659256037362</v>
      </c>
      <c r="W16" s="135">
        <f>IF(SER_hh_tes_in!W16=0,"",SER_hh_tes_in!W16/SER_hh_fec_in!W16)</f>
        <v>3.8834067379154358</v>
      </c>
      <c r="X16" s="135">
        <f>IF(SER_hh_tes_in!X16=0,"",SER_hh_tes_in!X16/SER_hh_fec_in!X16)</f>
        <v>3.8902248491559841</v>
      </c>
      <c r="Y16" s="135">
        <f>IF(SER_hh_tes_in!Y16=0,"",SER_hh_tes_in!Y16/SER_hh_fec_in!Y16)</f>
        <v>3.9212963241029604</v>
      </c>
      <c r="DA16" s="162" t="s">
        <v>675</v>
      </c>
    </row>
    <row r="17" spans="1:105" ht="12.95" customHeight="1" x14ac:dyDescent="0.25">
      <c r="A17" s="131" t="s">
        <v>73</v>
      </c>
      <c r="B17" s="136"/>
      <c r="C17" s="136">
        <f>IF(SER_hh_tes_in!C17=0,"",SER_hh_tes_in!C17/SER_hh_fec_in!C17)</f>
        <v>1.1393464909533795</v>
      </c>
      <c r="D17" s="136">
        <f>IF(SER_hh_tes_in!D17=0,"",SER_hh_tes_in!D17/SER_hh_fec_in!D17)</f>
        <v>1.1565221172654703</v>
      </c>
      <c r="E17" s="136">
        <f>IF(SER_hh_tes_in!E17=0,"",SER_hh_tes_in!E17/SER_hh_fec_in!E17)</f>
        <v>1.1734462286550824</v>
      </c>
      <c r="F17" s="136">
        <f>IF(SER_hh_tes_in!F17=0,"",SER_hh_tes_in!F17/SER_hh_fec_in!F17)</f>
        <v>1.1899947083933256</v>
      </c>
      <c r="G17" s="136">
        <f>IF(SER_hh_tes_in!G17=0,"",SER_hh_tes_in!G17/SER_hh_fec_in!G17)</f>
        <v>1.2063188214621026</v>
      </c>
      <c r="H17" s="136">
        <f>IF(SER_hh_tes_in!H17=0,"",SER_hh_tes_in!H17/SER_hh_fec_in!H17)</f>
        <v>1.2224212462077069</v>
      </c>
      <c r="I17" s="136">
        <f>IF(SER_hh_tes_in!I17=0,"",SER_hh_tes_in!I17/SER_hh_fec_in!I17)</f>
        <v>1.2383463838163216</v>
      </c>
      <c r="J17" s="136">
        <f>IF(SER_hh_tes_in!J17=0,"",SER_hh_tes_in!J17/SER_hh_fec_in!J17)</f>
        <v>1.2542216406469393</v>
      </c>
      <c r="K17" s="136">
        <f>IF(SER_hh_tes_in!K17=0,"",SER_hh_tes_in!K17/SER_hh_fec_in!K17)</f>
        <v>1.270149099799776</v>
      </c>
      <c r="L17" s="136">
        <f>IF(SER_hh_tes_in!L17=0,"",SER_hh_tes_in!L17/SER_hh_fec_in!L17)</f>
        <v>1.2861545582642571</v>
      </c>
      <c r="M17" s="136">
        <f>IF(SER_hh_tes_in!M17=0,"",SER_hh_tes_in!M17/SER_hh_fec_in!M17)</f>
        <v>1.3048244332101597</v>
      </c>
      <c r="N17" s="136">
        <f>IF(SER_hh_tes_in!N17=0,"",SER_hh_tes_in!N17/SER_hh_fec_in!N17)</f>
        <v>1.3261464823660933</v>
      </c>
      <c r="O17" s="136">
        <f>IF(SER_hh_tes_in!O17=0,"",SER_hh_tes_in!O17/SER_hh_fec_in!O17)</f>
        <v>1.3496816197711912</v>
      </c>
      <c r="P17" s="136">
        <f>IF(SER_hh_tes_in!P17=0,"",SER_hh_tes_in!P17/SER_hh_fec_in!P17)</f>
        <v>1.3730017487994057</v>
      </c>
      <c r="Q17" s="136">
        <f>IF(SER_hh_tes_in!Q17=0,"",SER_hh_tes_in!Q17/SER_hh_fec_in!Q17)</f>
        <v>1.3906261537226585</v>
      </c>
      <c r="R17" s="136">
        <f>IF(SER_hh_tes_in!R17=0,"",SER_hh_tes_in!R17/SER_hh_fec_in!R17)</f>
        <v>1.411232109247968</v>
      </c>
      <c r="S17" s="136">
        <f>IF(SER_hh_tes_in!S17=0,"",SER_hh_tes_in!S17/SER_hh_fec_in!S17)</f>
        <v>1.437782063476517</v>
      </c>
      <c r="T17" s="136">
        <f>IF(SER_hh_tes_in!T17=0,"",SER_hh_tes_in!T17/SER_hh_fec_in!T17)</f>
        <v>1.4635774664573376</v>
      </c>
      <c r="U17" s="136">
        <f>IF(SER_hh_tes_in!U17=0,"",SER_hh_tes_in!U17/SER_hh_fec_in!U17)</f>
        <v>1.489921849188091</v>
      </c>
      <c r="V17" s="136">
        <f>IF(SER_hh_tes_in!V17=0,"",SER_hh_tes_in!V17/SER_hh_fec_in!V17)</f>
        <v>1.5126667429502141</v>
      </c>
      <c r="W17" s="136">
        <f>IF(SER_hh_tes_in!W17=0,"",SER_hh_tes_in!W17/SER_hh_fec_in!W17)</f>
        <v>1.5367702700024</v>
      </c>
      <c r="X17" s="136">
        <f>IF(SER_hh_tes_in!X17=0,"",SER_hh_tes_in!X17/SER_hh_fec_in!X17)</f>
        <v>1.542312357912351</v>
      </c>
      <c r="Y17" s="136">
        <f>IF(SER_hh_tes_in!Y17=0,"",SER_hh_tes_in!Y17/SER_hh_fec_in!Y17)</f>
        <v>1.5467638219028834</v>
      </c>
      <c r="DA17" s="163" t="s">
        <v>676</v>
      </c>
    </row>
    <row r="18" spans="1:105" ht="12" customHeight="1" x14ac:dyDescent="0.25">
      <c r="A18" s="131" t="s">
        <v>72</v>
      </c>
      <c r="B18" s="136"/>
      <c r="C18" s="136">
        <f>IF(SER_hh_tes_in!C18=0,"",SER_hh_tes_in!C18/SER_hh_fec_in!C18)</f>
        <v>2.1688293965440026</v>
      </c>
      <c r="D18" s="136">
        <f>IF(SER_hh_tes_in!D18=0,"",SER_hh_tes_in!D18/SER_hh_fec_in!D18)</f>
        <v>2.2562220451876462</v>
      </c>
      <c r="E18" s="136">
        <f>IF(SER_hh_tes_in!E18=0,"",SER_hh_tes_in!E18/SER_hh_fec_in!E18)</f>
        <v>2.3449248776818168</v>
      </c>
      <c r="F18" s="136">
        <f>IF(SER_hh_tes_in!F18=0,"",SER_hh_tes_in!F18/SER_hh_fec_in!F18)</f>
        <v>2.4343401321993237</v>
      </c>
      <c r="G18" s="136">
        <f>IF(SER_hh_tes_in!G18=0,"",SER_hh_tes_in!G18/SER_hh_fec_in!G18)</f>
        <v>2.5249858203375659</v>
      </c>
      <c r="H18" s="136">
        <f>IF(SER_hh_tes_in!H18=0,"",SER_hh_tes_in!H18/SER_hh_fec_in!H18)</f>
        <v>2.616780530557612</v>
      </c>
      <c r="I18" s="136">
        <f>IF(SER_hh_tes_in!I18=0,"",SER_hh_tes_in!I18/SER_hh_fec_in!I18)</f>
        <v>2.7098328479363087</v>
      </c>
      <c r="J18" s="136">
        <f>IF(SER_hh_tes_in!J18=0,"",SER_hh_tes_in!J18/SER_hh_fec_in!J18)</f>
        <v>2.8046294426243605</v>
      </c>
      <c r="K18" s="136">
        <f>IF(SER_hh_tes_in!K18=0,"",SER_hh_tes_in!K18/SER_hh_fec_in!K18)</f>
        <v>2.9015557979595874</v>
      </c>
      <c r="L18" s="136">
        <f>IF(SER_hh_tes_in!L18=0,"",SER_hh_tes_in!L18/SER_hh_fec_in!L18)</f>
        <v>3.0006630331813962</v>
      </c>
      <c r="M18" s="136">
        <f>IF(SER_hh_tes_in!M18=0,"",SER_hh_tes_in!M18/SER_hh_fec_in!M18)</f>
        <v>3.1142326195665762</v>
      </c>
      <c r="N18" s="136">
        <f>IF(SER_hh_tes_in!N18=0,"",SER_hh_tes_in!N18/SER_hh_fec_in!N18)</f>
        <v>3.2459103620934591</v>
      </c>
      <c r="O18" s="136">
        <f>IF(SER_hh_tes_in!O18=0,"",SER_hh_tes_in!O18/SER_hh_fec_in!O18)</f>
        <v>3.3954613606931541</v>
      </c>
      <c r="P18" s="136">
        <f>IF(SER_hh_tes_in!P18=0,"",SER_hh_tes_in!P18/SER_hh_fec_in!P18)</f>
        <v>3.5483313117076722</v>
      </c>
      <c r="Q18" s="136">
        <f>IF(SER_hh_tes_in!Q18=0,"",SER_hh_tes_in!Q18/SER_hh_fec_in!Q18)</f>
        <v>3.6656566552790082</v>
      </c>
      <c r="R18" s="136">
        <f>IF(SER_hh_tes_in!R18=0,"",SER_hh_tes_in!R18/SER_hh_fec_in!R18)</f>
        <v>3.7659526575810038</v>
      </c>
      <c r="S18" s="136">
        <f>IF(SER_hh_tes_in!S18=0,"",SER_hh_tes_in!S18/SER_hh_fec_in!S18)</f>
        <v>3.8143728148437721</v>
      </c>
      <c r="T18" s="136">
        <f>IF(SER_hh_tes_in!T18=0,"",SER_hh_tes_in!T18/SER_hh_fec_in!T18)</f>
        <v>3.8287859291629673</v>
      </c>
      <c r="U18" s="136">
        <f>IF(SER_hh_tes_in!U18=0,"",SER_hh_tes_in!U18/SER_hh_fec_in!U18)</f>
        <v>3.8491598729407941</v>
      </c>
      <c r="V18" s="136">
        <f>IF(SER_hh_tes_in!V18=0,"",SER_hh_tes_in!V18/SER_hh_fec_in!V18)</f>
        <v>3.8640071796178384</v>
      </c>
      <c r="W18" s="136">
        <f>IF(SER_hh_tes_in!W18=0,"",SER_hh_tes_in!W18/SER_hh_fec_in!W18)</f>
        <v>3.9148263957126312</v>
      </c>
      <c r="X18" s="136">
        <f>IF(SER_hh_tes_in!X18=0,"",SER_hh_tes_in!X18/SER_hh_fec_in!X18)</f>
        <v>3.9249353998156025</v>
      </c>
      <c r="Y18" s="136">
        <f>IF(SER_hh_tes_in!Y18=0,"",SER_hh_tes_in!Y18/SER_hh_fec_in!Y18)</f>
        <v>3.9584406963377337</v>
      </c>
      <c r="DA18" s="163" t="s">
        <v>677</v>
      </c>
    </row>
    <row r="19" spans="1:105" ht="12.95" customHeight="1" x14ac:dyDescent="0.25">
      <c r="A19" s="129" t="s">
        <v>35</v>
      </c>
      <c r="B19" s="135"/>
      <c r="C19" s="135">
        <f>IF(SER_hh_tes_in!C19=0,"",SER_hh_tes_in!C19/SER_hh_fec_in!C19)</f>
        <v>0.611738150739218</v>
      </c>
      <c r="D19" s="135">
        <f>IF(SER_hh_tes_in!D19=0,"",SER_hh_tes_in!D19/SER_hh_fec_in!D19)</f>
        <v>0.59043039479145309</v>
      </c>
      <c r="E19" s="135">
        <f>IF(SER_hh_tes_in!E19=0,"",SER_hh_tes_in!E19/SER_hh_fec_in!E19)</f>
        <v>0.61188092898281743</v>
      </c>
      <c r="F19" s="135">
        <f>IF(SER_hh_tes_in!F19=0,"",SER_hh_tes_in!F19/SER_hh_fec_in!F19)</f>
        <v>0.60609592887214636</v>
      </c>
      <c r="G19" s="135">
        <f>IF(SER_hh_tes_in!G19=0,"",SER_hh_tes_in!G19/SER_hh_fec_in!G19)</f>
        <v>0.60747221512275762</v>
      </c>
      <c r="H19" s="135">
        <f>IF(SER_hh_tes_in!H19=0,"",SER_hh_tes_in!H19/SER_hh_fec_in!H19)</f>
        <v>0.59246162736612928</v>
      </c>
      <c r="I19" s="135">
        <f>IF(SER_hh_tes_in!I19=0,"",SER_hh_tes_in!I19/SER_hh_fec_in!I19)</f>
        <v>0.60203776363859363</v>
      </c>
      <c r="J19" s="135">
        <f>IF(SER_hh_tes_in!J19=0,"",SER_hh_tes_in!J19/SER_hh_fec_in!J19)</f>
        <v>0.64081000938329413</v>
      </c>
      <c r="K19" s="135">
        <f>IF(SER_hh_tes_in!K19=0,"",SER_hh_tes_in!K19/SER_hh_fec_in!K19)</f>
        <v>0.7678187799177818</v>
      </c>
      <c r="L19" s="135">
        <f>IF(SER_hh_tes_in!L19=0,"",SER_hh_tes_in!L19/SER_hh_fec_in!L19)</f>
        <v>0.65765545576114626</v>
      </c>
      <c r="M19" s="135">
        <f>IF(SER_hh_tes_in!M19=0,"",SER_hh_tes_in!M19/SER_hh_fec_in!M19)</f>
        <v>0.68887672715687809</v>
      </c>
      <c r="N19" s="135">
        <f>IF(SER_hh_tes_in!N19=0,"",SER_hh_tes_in!N19/SER_hh_fec_in!N19)</f>
        <v>0.66372765917656018</v>
      </c>
      <c r="O19" s="135">
        <f>IF(SER_hh_tes_in!O19=0,"",SER_hh_tes_in!O19/SER_hh_fec_in!O19)</f>
        <v>0.63070670679645802</v>
      </c>
      <c r="P19" s="135">
        <f>IF(SER_hh_tes_in!P19=0,"",SER_hh_tes_in!P19/SER_hh_fec_in!P19)</f>
        <v>0.69987966869167539</v>
      </c>
      <c r="Q19" s="135">
        <f>IF(SER_hh_tes_in!Q19=0,"",SER_hh_tes_in!Q19/SER_hh_fec_in!Q19)</f>
        <v>0.73263684208044588</v>
      </c>
      <c r="R19" s="135">
        <f>IF(SER_hh_tes_in!R19=0,"",SER_hh_tes_in!R19/SER_hh_fec_in!R19)</f>
        <v>0.77268589208700511</v>
      </c>
      <c r="S19" s="135">
        <f>IF(SER_hh_tes_in!S19=0,"",SER_hh_tes_in!S19/SER_hh_fec_in!S19)</f>
        <v>0.83449701543863053</v>
      </c>
      <c r="T19" s="135">
        <f>IF(SER_hh_tes_in!T19=0,"",SER_hh_tes_in!T19/SER_hh_fec_in!T19)</f>
        <v>0.78084213475483677</v>
      </c>
      <c r="U19" s="135">
        <f>IF(SER_hh_tes_in!U19=0,"",SER_hh_tes_in!U19/SER_hh_fec_in!U19)</f>
        <v>0.82063569910497836</v>
      </c>
      <c r="V19" s="135">
        <f>IF(SER_hh_tes_in!V19=0,"",SER_hh_tes_in!V19/SER_hh_fec_in!V19)</f>
        <v>0.79584432091419233</v>
      </c>
      <c r="W19" s="135">
        <f>IF(SER_hh_tes_in!W19=0,"",SER_hh_tes_in!W19/SER_hh_fec_in!W19)</f>
        <v>0.78079770495383083</v>
      </c>
      <c r="X19" s="135">
        <f>IF(SER_hh_tes_in!X19=0,"",SER_hh_tes_in!X19/SER_hh_fec_in!X19)</f>
        <v>0.80223542333912445</v>
      </c>
      <c r="Y19" s="135">
        <f>IF(SER_hh_tes_in!Y19=0,"",SER_hh_tes_in!Y19/SER_hh_fec_in!Y19)</f>
        <v>0.80481756594310883</v>
      </c>
      <c r="DA19" s="162" t="s">
        <v>678</v>
      </c>
    </row>
    <row r="20" spans="1:105" ht="12" customHeight="1" x14ac:dyDescent="0.25">
      <c r="A20" s="131" t="s">
        <v>29</v>
      </c>
      <c r="B20" s="136"/>
      <c r="C20" s="136" t="str">
        <f>IF(SER_hh_tes_in!C20=0,"",SER_hh_tes_in!C20/SER_hh_fec_in!C20)</f>
        <v/>
      </c>
      <c r="D20" s="136" t="str">
        <f>IF(SER_hh_tes_in!D20=0,"",SER_hh_tes_in!D20/SER_hh_fec_in!D20)</f>
        <v/>
      </c>
      <c r="E20" s="136" t="str">
        <f>IF(SER_hh_tes_in!E20=0,"",SER_hh_tes_in!E20/SER_hh_fec_in!E20)</f>
        <v/>
      </c>
      <c r="F20" s="136" t="str">
        <f>IF(SER_hh_tes_in!F20=0,"",SER_hh_tes_in!F20/SER_hh_fec_in!F20)</f>
        <v/>
      </c>
      <c r="G20" s="136" t="str">
        <f>IF(SER_hh_tes_in!G20=0,"",SER_hh_tes_in!G20/SER_hh_fec_in!G20)</f>
        <v/>
      </c>
      <c r="H20" s="136" t="str">
        <f>IF(SER_hh_tes_in!H20=0,"",SER_hh_tes_in!H20/SER_hh_fec_in!H20)</f>
        <v/>
      </c>
      <c r="I20" s="136" t="str">
        <f>IF(SER_hh_tes_in!I20=0,"",SER_hh_tes_in!I20/SER_hh_fec_in!I20)</f>
        <v/>
      </c>
      <c r="J20" s="136" t="str">
        <f>IF(SER_hh_tes_in!J20=0,"",SER_hh_tes_in!J20/SER_hh_fec_in!J20)</f>
        <v/>
      </c>
      <c r="K20" s="136" t="str">
        <f>IF(SER_hh_tes_in!K20=0,"",SER_hh_tes_in!K20/SER_hh_fec_in!K20)</f>
        <v/>
      </c>
      <c r="L20" s="136" t="str">
        <f>IF(SER_hh_tes_in!L20=0,"",SER_hh_tes_in!L20/SER_hh_fec_in!L20)</f>
        <v/>
      </c>
      <c r="M20" s="136" t="str">
        <f>IF(SER_hh_tes_in!M20=0,"",SER_hh_tes_in!M20/SER_hh_fec_in!M20)</f>
        <v/>
      </c>
      <c r="N20" s="136" t="str">
        <f>IF(SER_hh_tes_in!N20=0,"",SER_hh_tes_in!N20/SER_hh_fec_in!N20)</f>
        <v/>
      </c>
      <c r="O20" s="136" t="str">
        <f>IF(SER_hh_tes_in!O20=0,"",SER_hh_tes_in!O20/SER_hh_fec_in!O20)</f>
        <v/>
      </c>
      <c r="P20" s="136" t="str">
        <f>IF(SER_hh_tes_in!P20=0,"",SER_hh_tes_in!P20/SER_hh_fec_in!P20)</f>
        <v/>
      </c>
      <c r="Q20" s="136" t="str">
        <f>IF(SER_hh_tes_in!Q20=0,"",SER_hh_tes_in!Q20/SER_hh_fec_in!Q20)</f>
        <v/>
      </c>
      <c r="R20" s="136" t="str">
        <f>IF(SER_hh_tes_in!R20=0,"",SER_hh_tes_in!R20/SER_hh_fec_in!R20)</f>
        <v/>
      </c>
      <c r="S20" s="136" t="str">
        <f>IF(SER_hh_tes_in!S20=0,"",SER_hh_tes_in!S20/SER_hh_fec_in!S20)</f>
        <v/>
      </c>
      <c r="T20" s="136" t="str">
        <f>IF(SER_hh_tes_in!T20=0,"",SER_hh_tes_in!T20/SER_hh_fec_in!T20)</f>
        <v/>
      </c>
      <c r="U20" s="136" t="str">
        <f>IF(SER_hh_tes_in!U20=0,"",SER_hh_tes_in!U20/SER_hh_fec_in!U20)</f>
        <v/>
      </c>
      <c r="V20" s="136" t="str">
        <f>IF(SER_hh_tes_in!V20=0,"",SER_hh_tes_in!V20/SER_hh_fec_in!V20)</f>
        <v/>
      </c>
      <c r="W20" s="136" t="str">
        <f>IF(SER_hh_tes_in!W20=0,"",SER_hh_tes_in!W20/SER_hh_fec_in!W20)</f>
        <v/>
      </c>
      <c r="X20" s="136" t="str">
        <f>IF(SER_hh_tes_in!X20=0,"",SER_hh_tes_in!X20/SER_hh_fec_in!X20)</f>
        <v/>
      </c>
      <c r="Y20" s="136" t="str">
        <f>IF(SER_hh_tes_in!Y20=0,"",SER_hh_tes_in!Y20/SER_hh_fec_in!Y20)</f>
        <v/>
      </c>
      <c r="DA20" s="163" t="s">
        <v>679</v>
      </c>
    </row>
    <row r="21" spans="1:105" s="2" customFormat="1" ht="12" customHeight="1" x14ac:dyDescent="0.25">
      <c r="A21" s="131" t="s">
        <v>52</v>
      </c>
      <c r="B21" s="136"/>
      <c r="C21" s="136">
        <f>IF(SER_hh_tes_in!C21=0,"",SER_hh_tes_in!C21/SER_hh_fec_in!C21)</f>
        <v>0.51297422428275319</v>
      </c>
      <c r="D21" s="136">
        <f>IF(SER_hh_tes_in!D21=0,"",SER_hh_tes_in!D21/SER_hh_fec_in!D21)</f>
        <v>0.51519716268579163</v>
      </c>
      <c r="E21" s="136">
        <f>IF(SER_hh_tes_in!E21=0,"",SER_hh_tes_in!E21/SER_hh_fec_in!E21)</f>
        <v>0.51772909936572731</v>
      </c>
      <c r="F21" s="136">
        <f>IF(SER_hh_tes_in!F21=0,"",SER_hh_tes_in!F21/SER_hh_fec_in!F21)</f>
        <v>0.52030317217433086</v>
      </c>
      <c r="G21" s="136">
        <f>IF(SER_hh_tes_in!G21=0,"",SER_hh_tes_in!G21/SER_hh_fec_in!G21)</f>
        <v>0.52316181422097363</v>
      </c>
      <c r="H21" s="136">
        <f>IF(SER_hh_tes_in!H21=0,"",SER_hh_tes_in!H21/SER_hh_fec_in!H21)</f>
        <v>0.52627535477941467</v>
      </c>
      <c r="I21" s="136">
        <f>IF(SER_hh_tes_in!I21=0,"",SER_hh_tes_in!I21/SER_hh_fec_in!I21)</f>
        <v>0.52970352937488729</v>
      </c>
      <c r="J21" s="136">
        <f>IF(SER_hh_tes_in!J21=0,"",SER_hh_tes_in!J21/SER_hh_fec_in!J21)</f>
        <v>0.53369105336952793</v>
      </c>
      <c r="K21" s="136">
        <f>IF(SER_hh_tes_in!K21=0,"",SER_hh_tes_in!K21/SER_hh_fec_in!K21)</f>
        <v>0.53844599918894842</v>
      </c>
      <c r="L21" s="136">
        <f>IF(SER_hh_tes_in!L21=0,"",SER_hh_tes_in!L21/SER_hh_fec_in!L21)</f>
        <v>0.54402403473753669</v>
      </c>
      <c r="M21" s="136">
        <f>IF(SER_hh_tes_in!M21=0,"",SER_hh_tes_in!M21/SER_hh_fec_in!M21)</f>
        <v>0.55539521389738866</v>
      </c>
      <c r="N21" s="136">
        <f>IF(SER_hh_tes_in!N21=0,"",SER_hh_tes_in!N21/SER_hh_fec_in!N21)</f>
        <v>0.57413932542579837</v>
      </c>
      <c r="O21" s="136">
        <f>IF(SER_hh_tes_in!O21=0,"",SER_hh_tes_in!O21/SER_hh_fec_in!O21)</f>
        <v>0.60154210978307021</v>
      </c>
      <c r="P21" s="136">
        <f>IF(SER_hh_tes_in!P21=0,"",SER_hh_tes_in!P21/SER_hh_fec_in!P21)</f>
        <v>0.63477094195501449</v>
      </c>
      <c r="Q21" s="136">
        <f>IF(SER_hh_tes_in!Q21=0,"",SER_hh_tes_in!Q21/SER_hh_fec_in!Q21)</f>
        <v>0.66468890584091511</v>
      </c>
      <c r="R21" s="136">
        <f>IF(SER_hh_tes_in!R21=0,"",SER_hh_tes_in!R21/SER_hh_fec_in!R21)</f>
        <v>0.68409902061284866</v>
      </c>
      <c r="S21" s="136">
        <f>IF(SER_hh_tes_in!S21=0,"",SER_hh_tes_in!S21/SER_hh_fec_in!S21)</f>
        <v>0.70217168734791868</v>
      </c>
      <c r="T21" s="136" t="str">
        <f>IF(SER_hh_tes_in!T21=0,"",SER_hh_tes_in!T21/SER_hh_fec_in!T21)</f>
        <v/>
      </c>
      <c r="U21" s="136" t="str">
        <f>IF(SER_hh_tes_in!U21=0,"",SER_hh_tes_in!U21/SER_hh_fec_in!U21)</f>
        <v/>
      </c>
      <c r="V21" s="136" t="str">
        <f>IF(SER_hh_tes_in!V21=0,"",SER_hh_tes_in!V21/SER_hh_fec_in!V21)</f>
        <v/>
      </c>
      <c r="W21" s="136">
        <f>IF(SER_hh_tes_in!W21=0,"",SER_hh_tes_in!W21/SER_hh_fec_in!W21)</f>
        <v>0.74971311202482482</v>
      </c>
      <c r="X21" s="136">
        <f>IF(SER_hh_tes_in!X21=0,"",SER_hh_tes_in!X21/SER_hh_fec_in!X21)</f>
        <v>0.75297451649222624</v>
      </c>
      <c r="Y21" s="136">
        <f>IF(SER_hh_tes_in!Y21=0,"",SER_hh_tes_in!Y21/SER_hh_fec_in!Y21)</f>
        <v>0.75462601188985745</v>
      </c>
      <c r="DA21" s="163" t="s">
        <v>680</v>
      </c>
    </row>
    <row r="22" spans="1:105" ht="12" customHeight="1" x14ac:dyDescent="0.25">
      <c r="A22" s="131" t="s">
        <v>161</v>
      </c>
      <c r="B22" s="136"/>
      <c r="C22" s="136">
        <f>IF(SER_hh_tes_in!C22=0,"",SER_hh_tes_in!C22/SER_hh_fec_in!C22)</f>
        <v>0.48372599288609441</v>
      </c>
      <c r="D22" s="136">
        <f>IF(SER_hh_tes_in!D22=0,"",SER_hh_tes_in!D22/SER_hh_fec_in!D22)</f>
        <v>0.48612569135569855</v>
      </c>
      <c r="E22" s="136">
        <f>IF(SER_hh_tes_in!E22=0,"",SER_hh_tes_in!E22/SER_hh_fec_in!E22)</f>
        <v>0.48885895853380468</v>
      </c>
      <c r="F22" s="136">
        <f>IF(SER_hh_tes_in!F22=0,"",SER_hh_tes_in!F22/SER_hh_fec_in!F22)</f>
        <v>0.49163771235397918</v>
      </c>
      <c r="G22" s="136">
        <f>IF(SER_hh_tes_in!G22=0,"",SER_hh_tes_in!G22/SER_hh_fec_in!G22)</f>
        <v>0.49472366333449164</v>
      </c>
      <c r="H22" s="136">
        <f>IF(SER_hh_tes_in!H22=0,"",SER_hh_tes_in!H22/SER_hh_fec_in!H22)</f>
        <v>0.49808478143966689</v>
      </c>
      <c r="I22" s="136">
        <f>IF(SER_hh_tes_in!I22=0,"",SER_hh_tes_in!I22/SER_hh_fec_in!I22)</f>
        <v>0.50178555214885379</v>
      </c>
      <c r="J22" s="136">
        <f>IF(SER_hh_tes_in!J22=0,"",SER_hh_tes_in!J22/SER_hh_fec_in!J22)</f>
        <v>0.50609014970961863</v>
      </c>
      <c r="K22" s="136">
        <f>IF(SER_hh_tes_in!K22=0,"",SER_hh_tes_in!K22/SER_hh_fec_in!K22)</f>
        <v>0.51122319171848307</v>
      </c>
      <c r="L22" s="136">
        <f>IF(SER_hh_tes_in!L22=0,"",SER_hh_tes_in!L22/SER_hh_fec_in!L22)</f>
        <v>0.51724477259137147</v>
      </c>
      <c r="M22" s="136">
        <f>IF(SER_hh_tes_in!M22=0,"",SER_hh_tes_in!M22/SER_hh_fec_in!M22)</f>
        <v>0.52952014701928862</v>
      </c>
      <c r="N22" s="136">
        <f>IF(SER_hh_tes_in!N22=0,"",SER_hh_tes_in!N22/SER_hh_fec_in!N22)</f>
        <v>0.54975472287948079</v>
      </c>
      <c r="O22" s="136">
        <f>IF(SER_hh_tes_in!O22=0,"",SER_hh_tes_in!O22/SER_hh_fec_in!O22)</f>
        <v>0.57933647808923294</v>
      </c>
      <c r="P22" s="136">
        <f>IF(SER_hh_tes_in!P22=0,"",SER_hh_tes_in!P22/SER_hh_fec_in!P22)</f>
        <v>0.615207547481331</v>
      </c>
      <c r="Q22" s="136">
        <f>IF(SER_hh_tes_in!Q22=0,"",SER_hh_tes_in!Q22/SER_hh_fec_in!Q22)</f>
        <v>0.64750448024948082</v>
      </c>
      <c r="R22" s="136">
        <f>IF(SER_hh_tes_in!R22=0,"",SER_hh_tes_in!R22/SER_hh_fec_in!R22)</f>
        <v>0.66845801753570777</v>
      </c>
      <c r="S22" s="136">
        <f>IF(SER_hh_tes_in!S22=0,"",SER_hh_tes_in!S22/SER_hh_fec_in!S22)</f>
        <v>0.6879677577275799</v>
      </c>
      <c r="T22" s="136">
        <f>IF(SER_hh_tes_in!T22=0,"",SER_hh_tes_in!T22/SER_hh_fec_in!T22)</f>
        <v>0.70545844110336708</v>
      </c>
      <c r="U22" s="136">
        <f>IF(SER_hh_tes_in!U22=0,"",SER_hh_tes_in!U22/SER_hh_fec_in!U22)</f>
        <v>0.72035480794139906</v>
      </c>
      <c r="V22" s="136">
        <f>IF(SER_hh_tes_in!V22=0,"",SER_hh_tes_in!V22/SER_hh_fec_in!V22)</f>
        <v>0.73208159851998178</v>
      </c>
      <c r="W22" s="136">
        <f>IF(SER_hh_tes_in!W22=0,"",SER_hh_tes_in!W22/SER_hh_fec_in!W22)</f>
        <v>0.73928950550252504</v>
      </c>
      <c r="X22" s="136">
        <f>IF(SER_hh_tes_in!X22=0,"",SER_hh_tes_in!X22/SER_hh_fec_in!X22)</f>
        <v>0.74250556516224842</v>
      </c>
      <c r="Y22" s="136">
        <f>IF(SER_hh_tes_in!Y22=0,"",SER_hh_tes_in!Y22/SER_hh_fec_in!Y22)</f>
        <v>0.74413409905911077</v>
      </c>
      <c r="DA22" s="163" t="s">
        <v>681</v>
      </c>
    </row>
    <row r="23" spans="1:105" ht="12" customHeight="1" x14ac:dyDescent="0.25">
      <c r="A23" s="131" t="s">
        <v>149</v>
      </c>
      <c r="B23" s="136"/>
      <c r="C23" s="136" t="str">
        <f>IF(SER_hh_tes_in!C23=0,"",SER_hh_tes_in!C23/SER_hh_fec_in!C23)</f>
        <v/>
      </c>
      <c r="D23" s="136" t="str">
        <f>IF(SER_hh_tes_in!D23=0,"",SER_hh_tes_in!D23/SER_hh_fec_in!D23)</f>
        <v/>
      </c>
      <c r="E23" s="136" t="str">
        <f>IF(SER_hh_tes_in!E23=0,"",SER_hh_tes_in!E23/SER_hh_fec_in!E23)</f>
        <v/>
      </c>
      <c r="F23" s="136">
        <f>IF(SER_hh_tes_in!F23=0,"",SER_hh_tes_in!F23/SER_hh_fec_in!F23)</f>
        <v>0.54427858261377371</v>
      </c>
      <c r="G23" s="136">
        <f>IF(SER_hh_tes_in!G23=0,"",SER_hh_tes_in!G23/SER_hh_fec_in!G23)</f>
        <v>0.55108343953189298</v>
      </c>
      <c r="H23" s="136">
        <f>IF(SER_hh_tes_in!H23=0,"",SER_hh_tes_in!H23/SER_hh_fec_in!H23)</f>
        <v>0.55811806070259184</v>
      </c>
      <c r="I23" s="136">
        <f>IF(SER_hh_tes_in!I23=0,"",SER_hh_tes_in!I23/SER_hh_fec_in!I23)</f>
        <v>0.56543130270052389</v>
      </c>
      <c r="J23" s="136">
        <f>IF(SER_hh_tes_in!J23=0,"",SER_hh_tes_in!J23/SER_hh_fec_in!J23)</f>
        <v>0.57322829623894878</v>
      </c>
      <c r="K23" s="136">
        <f>IF(SER_hh_tes_in!K23=0,"",SER_hh_tes_in!K23/SER_hh_fec_in!K23)</f>
        <v>0.58168056795340639</v>
      </c>
      <c r="L23" s="136">
        <f>IF(SER_hh_tes_in!L23=0,"",SER_hh_tes_in!L23/SER_hh_fec_in!L23)</f>
        <v>0.59082887203064216</v>
      </c>
      <c r="M23" s="136">
        <f>IF(SER_hh_tes_in!M23=0,"",SER_hh_tes_in!M23/SER_hh_fec_in!M23)</f>
        <v>0.60494308476536263</v>
      </c>
      <c r="N23" s="136">
        <f>IF(SER_hh_tes_in!N23=0,"",SER_hh_tes_in!N23/SER_hh_fec_in!N23)</f>
        <v>0.62534159330559524</v>
      </c>
      <c r="O23" s="136">
        <f>IF(SER_hh_tes_in!O23=0,"",SER_hh_tes_in!O23/SER_hh_fec_in!O23)</f>
        <v>0.65296538278730309</v>
      </c>
      <c r="P23" s="136">
        <f>IF(SER_hh_tes_in!P23=0,"",SER_hh_tes_in!P23/SER_hh_fec_in!P23)</f>
        <v>0.68508451030912609</v>
      </c>
      <c r="Q23" s="136">
        <f>IF(SER_hh_tes_in!Q23=0,"",SER_hh_tes_in!Q23/SER_hh_fec_in!Q23)</f>
        <v>0.71320559659327842</v>
      </c>
      <c r="R23" s="136">
        <f>IF(SER_hh_tes_in!R23=0,"",SER_hh_tes_in!R23/SER_hh_fec_in!R23)</f>
        <v>0.73039526269408517</v>
      </c>
      <c r="S23" s="136">
        <f>IF(SER_hh_tes_in!S23=0,"",SER_hh_tes_in!S23/SER_hh_fec_in!S23)</f>
        <v>0.74503420677405652</v>
      </c>
      <c r="T23" s="136">
        <f>IF(SER_hh_tes_in!T23=0,"",SER_hh_tes_in!T23/SER_hh_fec_in!T23)</f>
        <v>0.75735220679229054</v>
      </c>
      <c r="U23" s="136">
        <f>IF(SER_hh_tes_in!U23=0,"",SER_hh_tes_in!U23/SER_hh_fec_in!U23)</f>
        <v>0.76756807426604479</v>
      </c>
      <c r="V23" s="136">
        <f>IF(SER_hh_tes_in!V23=0,"",SER_hh_tes_in!V23/SER_hh_fec_in!V23)</f>
        <v>0.77587372131312404</v>
      </c>
      <c r="W23" s="136">
        <f>IF(SER_hh_tes_in!W23=0,"",SER_hh_tes_in!W23/SER_hh_fec_in!W23)</f>
        <v>0.78137044678878009</v>
      </c>
      <c r="X23" s="136">
        <f>IF(SER_hh_tes_in!X23=0,"",SER_hh_tes_in!X23/SER_hh_fec_in!X23)</f>
        <v>0.78391368194193445</v>
      </c>
      <c r="Y23" s="136">
        <f>IF(SER_hh_tes_in!Y23=0,"",SER_hh_tes_in!Y23/SER_hh_fec_in!Y23)</f>
        <v>0.78540485230304247</v>
      </c>
      <c r="DA23" s="163" t="s">
        <v>682</v>
      </c>
    </row>
    <row r="24" spans="1:105" ht="12" customHeight="1" x14ac:dyDescent="0.25">
      <c r="A24" s="131" t="s">
        <v>128</v>
      </c>
      <c r="B24" s="136"/>
      <c r="C24" s="136" t="str">
        <f>IF(SER_hh_tes_in!C24=0,"",SER_hh_tes_in!C24/SER_hh_fec_in!C24)</f>
        <v/>
      </c>
      <c r="D24" s="136" t="str">
        <f>IF(SER_hh_tes_in!D24=0,"",SER_hh_tes_in!D24/SER_hh_fec_in!D24)</f>
        <v/>
      </c>
      <c r="E24" s="136" t="str">
        <f>IF(SER_hh_tes_in!E24=0,"",SER_hh_tes_in!E24/SER_hh_fec_in!E24)</f>
        <v/>
      </c>
      <c r="F24" s="136" t="str">
        <f>IF(SER_hh_tes_in!F24=0,"",SER_hh_tes_in!F24/SER_hh_fec_in!F24)</f>
        <v/>
      </c>
      <c r="G24" s="136" t="str">
        <f>IF(SER_hh_tes_in!G24=0,"",SER_hh_tes_in!G24/SER_hh_fec_in!G24)</f>
        <v/>
      </c>
      <c r="H24" s="136" t="str">
        <f>IF(SER_hh_tes_in!H24=0,"",SER_hh_tes_in!H24/SER_hh_fec_in!H24)</f>
        <v/>
      </c>
      <c r="I24" s="136" t="str">
        <f>IF(SER_hh_tes_in!I24=0,"",SER_hh_tes_in!I24/SER_hh_fec_in!I24)</f>
        <v/>
      </c>
      <c r="J24" s="136" t="str">
        <f>IF(SER_hh_tes_in!J24=0,"",SER_hh_tes_in!J24/SER_hh_fec_in!J24)</f>
        <v/>
      </c>
      <c r="K24" s="136" t="str">
        <f>IF(SER_hh_tes_in!K24=0,"",SER_hh_tes_in!K24/SER_hh_fec_in!K24)</f>
        <v/>
      </c>
      <c r="L24" s="136" t="str">
        <f>IF(SER_hh_tes_in!L24=0,"",SER_hh_tes_in!L24/SER_hh_fec_in!L24)</f>
        <v/>
      </c>
      <c r="M24" s="136" t="str">
        <f>IF(SER_hh_tes_in!M24=0,"",SER_hh_tes_in!M24/SER_hh_fec_in!M24)</f>
        <v/>
      </c>
      <c r="N24" s="136" t="str">
        <f>IF(SER_hh_tes_in!N24=0,"",SER_hh_tes_in!N24/SER_hh_fec_in!N24)</f>
        <v/>
      </c>
      <c r="O24" s="136" t="str">
        <f>IF(SER_hh_tes_in!O24=0,"",SER_hh_tes_in!O24/SER_hh_fec_in!O24)</f>
        <v/>
      </c>
      <c r="P24" s="136" t="str">
        <f>IF(SER_hh_tes_in!P24=0,"",SER_hh_tes_in!P24/SER_hh_fec_in!P24)</f>
        <v/>
      </c>
      <c r="Q24" s="136" t="str">
        <f>IF(SER_hh_tes_in!Q24=0,"",SER_hh_tes_in!Q24/SER_hh_fec_in!Q24)</f>
        <v/>
      </c>
      <c r="R24" s="136" t="str">
        <f>IF(SER_hh_tes_in!R24=0,"",SER_hh_tes_in!R24/SER_hh_fec_in!R24)</f>
        <v/>
      </c>
      <c r="S24" s="136" t="str">
        <f>IF(SER_hh_tes_in!S24=0,"",SER_hh_tes_in!S24/SER_hh_fec_in!S24)</f>
        <v/>
      </c>
      <c r="T24" s="136" t="str">
        <f>IF(SER_hh_tes_in!T24=0,"",SER_hh_tes_in!T24/SER_hh_fec_in!T24)</f>
        <v/>
      </c>
      <c r="U24" s="136" t="str">
        <f>IF(SER_hh_tes_in!U24=0,"",SER_hh_tes_in!U24/SER_hh_fec_in!U24)</f>
        <v/>
      </c>
      <c r="V24" s="136" t="str">
        <f>IF(SER_hh_tes_in!V24=0,"",SER_hh_tes_in!V24/SER_hh_fec_in!V24)</f>
        <v/>
      </c>
      <c r="W24" s="136" t="str">
        <f>IF(SER_hh_tes_in!W24=0,"",SER_hh_tes_in!W24/SER_hh_fec_in!W24)</f>
        <v/>
      </c>
      <c r="X24" s="136" t="str">
        <f>IF(SER_hh_tes_in!X24=0,"",SER_hh_tes_in!X24/SER_hh_fec_in!X24)</f>
        <v/>
      </c>
      <c r="Y24" s="136" t="str">
        <f>IF(SER_hh_tes_in!Y24=0,"",SER_hh_tes_in!Y24/SER_hh_fec_in!Y24)</f>
        <v/>
      </c>
      <c r="DA24" s="163" t="s">
        <v>683</v>
      </c>
    </row>
    <row r="25" spans="1:105" ht="12" customHeight="1" x14ac:dyDescent="0.25">
      <c r="A25" s="131" t="s">
        <v>162</v>
      </c>
      <c r="B25" s="136"/>
      <c r="C25" s="136" t="str">
        <f>IF(SER_hh_tes_in!C25=0,"",SER_hh_tes_in!C25/SER_hh_fec_in!C25)</f>
        <v/>
      </c>
      <c r="D25" s="136" t="str">
        <f>IF(SER_hh_tes_in!D25=0,"",SER_hh_tes_in!D25/SER_hh_fec_in!D25)</f>
        <v/>
      </c>
      <c r="E25" s="136" t="str">
        <f>IF(SER_hh_tes_in!E25=0,"",SER_hh_tes_in!E25/SER_hh_fec_in!E25)</f>
        <v/>
      </c>
      <c r="F25" s="136" t="str">
        <f>IF(SER_hh_tes_in!F25=0,"",SER_hh_tes_in!F25/SER_hh_fec_in!F25)</f>
        <v/>
      </c>
      <c r="G25" s="136" t="str">
        <f>IF(SER_hh_tes_in!G25=0,"",SER_hh_tes_in!G25/SER_hh_fec_in!G25)</f>
        <v/>
      </c>
      <c r="H25" s="136" t="str">
        <f>IF(SER_hh_tes_in!H25=0,"",SER_hh_tes_in!H25/SER_hh_fec_in!H25)</f>
        <v/>
      </c>
      <c r="I25" s="136" t="str">
        <f>IF(SER_hh_tes_in!I25=0,"",SER_hh_tes_in!I25/SER_hh_fec_in!I25)</f>
        <v/>
      </c>
      <c r="J25" s="136" t="str">
        <f>IF(SER_hh_tes_in!J25=0,"",SER_hh_tes_in!J25/SER_hh_fec_in!J25)</f>
        <v/>
      </c>
      <c r="K25" s="136" t="str">
        <f>IF(SER_hh_tes_in!K25=0,"",SER_hh_tes_in!K25/SER_hh_fec_in!K25)</f>
        <v/>
      </c>
      <c r="L25" s="136" t="str">
        <f>IF(SER_hh_tes_in!L25=0,"",SER_hh_tes_in!L25/SER_hh_fec_in!L25)</f>
        <v/>
      </c>
      <c r="M25" s="136" t="str">
        <f>IF(SER_hh_tes_in!M25=0,"",SER_hh_tes_in!M25/SER_hh_fec_in!M25)</f>
        <v/>
      </c>
      <c r="N25" s="136" t="str">
        <f>IF(SER_hh_tes_in!N25=0,"",SER_hh_tes_in!N25/SER_hh_fec_in!N25)</f>
        <v/>
      </c>
      <c r="O25" s="136" t="str">
        <f>IF(SER_hh_tes_in!O25=0,"",SER_hh_tes_in!O25/SER_hh_fec_in!O25)</f>
        <v/>
      </c>
      <c r="P25" s="136" t="str">
        <f>IF(SER_hh_tes_in!P25=0,"",SER_hh_tes_in!P25/SER_hh_fec_in!P25)</f>
        <v/>
      </c>
      <c r="Q25" s="136" t="str">
        <f>IF(SER_hh_tes_in!Q25=0,"",SER_hh_tes_in!Q25/SER_hh_fec_in!Q25)</f>
        <v/>
      </c>
      <c r="R25" s="136" t="str">
        <f>IF(SER_hh_tes_in!R25=0,"",SER_hh_tes_in!R25/SER_hh_fec_in!R25)</f>
        <v/>
      </c>
      <c r="S25" s="136" t="str">
        <f>IF(SER_hh_tes_in!S25=0,"",SER_hh_tes_in!S25/SER_hh_fec_in!S25)</f>
        <v/>
      </c>
      <c r="T25" s="136" t="str">
        <f>IF(SER_hh_tes_in!T25=0,"",SER_hh_tes_in!T25/SER_hh_fec_in!T25)</f>
        <v/>
      </c>
      <c r="U25" s="136" t="str">
        <f>IF(SER_hh_tes_in!U25=0,"",SER_hh_tes_in!U25/SER_hh_fec_in!U25)</f>
        <v/>
      </c>
      <c r="V25" s="136" t="str">
        <f>IF(SER_hh_tes_in!V25=0,"",SER_hh_tes_in!V25/SER_hh_fec_in!V25)</f>
        <v/>
      </c>
      <c r="W25" s="136" t="str">
        <f>IF(SER_hh_tes_in!W25=0,"",SER_hh_tes_in!W25/SER_hh_fec_in!W25)</f>
        <v/>
      </c>
      <c r="X25" s="136" t="str">
        <f>IF(SER_hh_tes_in!X25=0,"",SER_hh_tes_in!X25/SER_hh_fec_in!X25)</f>
        <v/>
      </c>
      <c r="Y25" s="136" t="str">
        <f>IF(SER_hh_tes_in!Y25=0,"",SER_hh_tes_in!Y25/SER_hh_fec_in!Y25)</f>
        <v/>
      </c>
      <c r="DA25" s="163" t="s">
        <v>684</v>
      </c>
    </row>
    <row r="26" spans="1:105" ht="12" customHeight="1" x14ac:dyDescent="0.25">
      <c r="A26" s="131" t="s">
        <v>24</v>
      </c>
      <c r="B26" s="137"/>
      <c r="C26" s="137">
        <f>IF(SER_hh_tes_in!C26=0,"",SER_hh_tes_in!C26/SER_hh_fec_in!C26)</f>
        <v>0.6095002062899495</v>
      </c>
      <c r="D26" s="137">
        <f>IF(SER_hh_tes_in!D26=0,"",SER_hh_tes_in!D26/SER_hh_fec_in!D26)</f>
        <v>0.61193138205143849</v>
      </c>
      <c r="E26" s="137">
        <f>IF(SER_hh_tes_in!E26=0,"",SER_hh_tes_in!E26/SER_hh_fec_in!E26)</f>
        <v>0.6145929173839777</v>
      </c>
      <c r="F26" s="137">
        <f>IF(SER_hh_tes_in!F26=0,"",SER_hh_tes_in!F26/SER_hh_fec_in!F26)</f>
        <v>0.61728656541276739</v>
      </c>
      <c r="G26" s="137">
        <f>IF(SER_hh_tes_in!G26=0,"",SER_hh_tes_in!G26/SER_hh_fec_in!G26)</f>
        <v>0.62019415855215565</v>
      </c>
      <c r="H26" s="137">
        <f>IF(SER_hh_tes_in!H26=0,"",SER_hh_tes_in!H26/SER_hh_fec_in!H26)</f>
        <v>0.62329517182482919</v>
      </c>
      <c r="I26" s="137">
        <f>IF(SER_hh_tes_in!I26=0,"",SER_hh_tes_in!I26/SER_hh_fec_in!I26)</f>
        <v>0.62663676308074501</v>
      </c>
      <c r="J26" s="137">
        <f>IF(SER_hh_tes_in!J26=0,"",SER_hh_tes_in!J26/SER_hh_fec_in!J26)</f>
        <v>0.63040802101044469</v>
      </c>
      <c r="K26" s="137">
        <f>IF(SER_hh_tes_in!K26=0,"",SER_hh_tes_in!K26/SER_hh_fec_in!K26)</f>
        <v>0.63477598931907997</v>
      </c>
      <c r="L26" s="137">
        <f>IF(SER_hh_tes_in!L26=0,"",SER_hh_tes_in!L26/SER_hh_fec_in!L26)</f>
        <v>0.63979810068439669</v>
      </c>
      <c r="M26" s="137">
        <f>IF(SER_hh_tes_in!M26=0,"",SER_hh_tes_in!M26/SER_hh_fec_in!M26)</f>
        <v>0.64934573927541739</v>
      </c>
      <c r="N26" s="137">
        <f>IF(SER_hh_tes_in!N26=0,"",SER_hh_tes_in!N26/SER_hh_fec_in!N26)</f>
        <v>0.66508893543241565</v>
      </c>
      <c r="O26" s="137">
        <f>IF(SER_hh_tes_in!O26=0,"",SER_hh_tes_in!O26/SER_hh_fec_in!O26)</f>
        <v>0.68909526309486913</v>
      </c>
      <c r="P26" s="137" t="str">
        <f>IF(SER_hh_tes_in!P26=0,"",SER_hh_tes_in!P26/SER_hh_fec_in!P26)</f>
        <v/>
      </c>
      <c r="Q26" s="137">
        <f>IF(SER_hh_tes_in!Q26=0,"",SER_hh_tes_in!Q26/SER_hh_fec_in!Q26)</f>
        <v>0.75026166834715602</v>
      </c>
      <c r="R26" s="137">
        <f>IF(SER_hh_tes_in!R26=0,"",SER_hh_tes_in!R26/SER_hh_fec_in!R26)</f>
        <v>0.77058759775681374</v>
      </c>
      <c r="S26" s="137">
        <f>IF(SER_hh_tes_in!S26=0,"",SER_hh_tes_in!S26/SER_hh_fec_in!S26)</f>
        <v>0.79027991980178414</v>
      </c>
      <c r="T26" s="137">
        <f>IF(SER_hh_tes_in!T26=0,"",SER_hh_tes_in!T26/SER_hh_fec_in!T26)</f>
        <v>0.80981941889422049</v>
      </c>
      <c r="U26" s="137">
        <f>IF(SER_hh_tes_in!U26=0,"",SER_hh_tes_in!U26/SER_hh_fec_in!U26)</f>
        <v>0.82940252021667304</v>
      </c>
      <c r="V26" s="137">
        <f>IF(SER_hh_tes_in!V26=0,"",SER_hh_tes_in!V26/SER_hh_fec_in!V26)</f>
        <v>0.84864064717766352</v>
      </c>
      <c r="W26" s="137">
        <f>IF(SER_hh_tes_in!W26=0,"",SER_hh_tes_in!W26/SER_hh_fec_in!W26)</f>
        <v>0.86621143931461586</v>
      </c>
      <c r="X26" s="137">
        <f>IF(SER_hh_tes_in!X26=0,"",SER_hh_tes_in!X26/SER_hh_fec_in!X26)</f>
        <v>0.87942101603909983</v>
      </c>
      <c r="Y26" s="137">
        <f>IF(SER_hh_tes_in!Y26=0,"",SER_hh_tes_in!Y26/SER_hh_fec_in!Y26)</f>
        <v>0.89174474824330086</v>
      </c>
      <c r="DA26" s="164" t="s">
        <v>685</v>
      </c>
    </row>
    <row r="27" spans="1:105" ht="12" customHeight="1" x14ac:dyDescent="0.25">
      <c r="A27" s="144" t="s">
        <v>26</v>
      </c>
      <c r="B27" s="148"/>
      <c r="C27" s="148">
        <f>IF(SER_hh_tes_in!C27=0,"",SER_hh_tes_in!C27/SER_hh_fec_in!C27)</f>
        <v>1</v>
      </c>
      <c r="D27" s="148">
        <f>IF(SER_hh_tes_in!D27=0,"",SER_hh_tes_in!D27/SER_hh_fec_in!D27)</f>
        <v>1</v>
      </c>
      <c r="E27" s="148">
        <f>IF(SER_hh_tes_in!E27=0,"",SER_hh_tes_in!E27/SER_hh_fec_in!E27)</f>
        <v>1</v>
      </c>
      <c r="F27" s="148">
        <f>IF(SER_hh_tes_in!F27=0,"",SER_hh_tes_in!F27/SER_hh_fec_in!F27)</f>
        <v>1</v>
      </c>
      <c r="G27" s="148">
        <f>IF(SER_hh_tes_in!G27=0,"",SER_hh_tes_in!G27/SER_hh_fec_in!G27)</f>
        <v>1</v>
      </c>
      <c r="H27" s="148">
        <f>IF(SER_hh_tes_in!H27=0,"",SER_hh_tes_in!H27/SER_hh_fec_in!H27)</f>
        <v>1</v>
      </c>
      <c r="I27" s="148">
        <f>IF(SER_hh_tes_in!I27=0,"",SER_hh_tes_in!I27/SER_hh_fec_in!I27)</f>
        <v>1</v>
      </c>
      <c r="J27" s="148">
        <f>IF(SER_hh_tes_in!J27=0,"",SER_hh_tes_in!J27/SER_hh_fec_in!J27)</f>
        <v>1</v>
      </c>
      <c r="K27" s="148">
        <f>IF(SER_hh_tes_in!K27=0,"",SER_hh_tes_in!K27/SER_hh_fec_in!K27)</f>
        <v>1</v>
      </c>
      <c r="L27" s="148">
        <f>IF(SER_hh_tes_in!L27=0,"",SER_hh_tes_in!L27/SER_hh_fec_in!L27)</f>
        <v>1</v>
      </c>
      <c r="M27" s="148">
        <f>IF(SER_hh_tes_in!M27=0,"",SER_hh_tes_in!M27/SER_hh_fec_in!M27)</f>
        <v>1</v>
      </c>
      <c r="N27" s="148">
        <f>IF(SER_hh_tes_in!N27=0,"",SER_hh_tes_in!N27/SER_hh_fec_in!N27)</f>
        <v>1</v>
      </c>
      <c r="O27" s="148">
        <f>IF(SER_hh_tes_in!O27=0,"",SER_hh_tes_in!O27/SER_hh_fec_in!O27)</f>
        <v>1</v>
      </c>
      <c r="P27" s="148">
        <f>IF(SER_hh_tes_in!P27=0,"",SER_hh_tes_in!P27/SER_hh_fec_in!P27)</f>
        <v>1</v>
      </c>
      <c r="Q27" s="148">
        <f>IF(SER_hh_tes_in!Q27=0,"",SER_hh_tes_in!Q27/SER_hh_fec_in!Q27)</f>
        <v>1</v>
      </c>
      <c r="R27" s="148">
        <f>IF(SER_hh_tes_in!R27=0,"",SER_hh_tes_in!R27/SER_hh_fec_in!R27)</f>
        <v>1</v>
      </c>
      <c r="S27" s="148">
        <f>IF(SER_hh_tes_in!S27=0,"",SER_hh_tes_in!S27/SER_hh_fec_in!S27)</f>
        <v>1</v>
      </c>
      <c r="T27" s="148">
        <f>IF(SER_hh_tes_in!T27=0,"",SER_hh_tes_in!T27/SER_hh_fec_in!T27)</f>
        <v>1</v>
      </c>
      <c r="U27" s="148">
        <f>IF(SER_hh_tes_in!U27=0,"",SER_hh_tes_in!U27/SER_hh_fec_in!U27)</f>
        <v>1</v>
      </c>
      <c r="V27" s="148">
        <f>IF(SER_hh_tes_in!V27=0,"",SER_hh_tes_in!V27/SER_hh_fec_in!V27)</f>
        <v>1</v>
      </c>
      <c r="W27" s="148">
        <f>IF(SER_hh_tes_in!W27=0,"",SER_hh_tes_in!W27/SER_hh_fec_in!W27)</f>
        <v>1</v>
      </c>
      <c r="X27" s="148">
        <f>IF(SER_hh_tes_in!X27=0,"",SER_hh_tes_in!X27/SER_hh_fec_in!X27)</f>
        <v>1</v>
      </c>
      <c r="Y27" s="148">
        <f>IF(SER_hh_tes_in!Y27=0,"",SER_hh_tes_in!Y27/SER_hh_fec_in!Y27)</f>
        <v>1</v>
      </c>
      <c r="DA27" s="166" t="s">
        <v>686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/>
      <c r="C29" s="135">
        <f>IF(SER_hh_tes_in!C29=0,"",SER_hh_tes_in!C29/SER_hh_fec_in!C29)</f>
        <v>0.63401834403273638</v>
      </c>
      <c r="D29" s="135">
        <f>IF(SER_hh_tes_in!D29=0,"",SER_hh_tes_in!D29/SER_hh_fec_in!D29)</f>
        <v>0.64654435183563352</v>
      </c>
      <c r="E29" s="135">
        <f>IF(SER_hh_tes_in!E29=0,"",SER_hh_tes_in!E29/SER_hh_fec_in!E29)</f>
        <v>0.64526034653589792</v>
      </c>
      <c r="F29" s="135">
        <f>IF(SER_hh_tes_in!F29=0,"",SER_hh_tes_in!F29/SER_hh_fec_in!F29)</f>
        <v>0.62218648950733746</v>
      </c>
      <c r="G29" s="135">
        <f>IF(SER_hh_tes_in!G29=0,"",SER_hh_tes_in!G29/SER_hh_fec_in!G29)</f>
        <v>0.64114897677872784</v>
      </c>
      <c r="H29" s="135">
        <f>IF(SER_hh_tes_in!H29=0,"",SER_hh_tes_in!H29/SER_hh_fec_in!H29)</f>
        <v>0.65236430366426712</v>
      </c>
      <c r="I29" s="135">
        <f>IF(SER_hh_tes_in!I29=0,"",SER_hh_tes_in!I29/SER_hh_fec_in!I29)</f>
        <v>0.65988286050644385</v>
      </c>
      <c r="J29" s="135">
        <f>IF(SER_hh_tes_in!J29=0,"",SER_hh_tes_in!J29/SER_hh_fec_in!J29)</f>
        <v>0.65770901808207871</v>
      </c>
      <c r="K29" s="135">
        <f>IF(SER_hh_tes_in!K29=0,"",SER_hh_tes_in!K29/SER_hh_fec_in!K29)</f>
        <v>0.64933549348669128</v>
      </c>
      <c r="L29" s="135">
        <f>IF(SER_hh_tes_in!L29=0,"",SER_hh_tes_in!L29/SER_hh_fec_in!L29)</f>
        <v>0.65419406381279044</v>
      </c>
      <c r="M29" s="135">
        <f>IF(SER_hh_tes_in!M29=0,"",SER_hh_tes_in!M29/SER_hh_fec_in!M29)</f>
        <v>0.62852489512000564</v>
      </c>
      <c r="N29" s="135">
        <f>IF(SER_hh_tes_in!N29=0,"",SER_hh_tes_in!N29/SER_hh_fec_in!N29)</f>
        <v>0.58521583515061504</v>
      </c>
      <c r="O29" s="135">
        <f>IF(SER_hh_tes_in!O29=0,"",SER_hh_tes_in!O29/SER_hh_fec_in!O29)</f>
        <v>0.54530032498318626</v>
      </c>
      <c r="P29" s="135">
        <f>IF(SER_hh_tes_in!P29=0,"",SER_hh_tes_in!P29/SER_hh_fec_in!P29)</f>
        <v>0.54612095305524277</v>
      </c>
      <c r="Q29" s="135">
        <f>IF(SER_hh_tes_in!Q29=0,"",SER_hh_tes_in!Q29/SER_hh_fec_in!Q29)</f>
        <v>0.54755836064765873</v>
      </c>
      <c r="R29" s="135">
        <f>IF(SER_hh_tes_in!R29=0,"",SER_hh_tes_in!R29/SER_hh_fec_in!R29)</f>
        <v>0.58232302449967943</v>
      </c>
      <c r="S29" s="135">
        <f>IF(SER_hh_tes_in!S29=0,"",SER_hh_tes_in!S29/SER_hh_fec_in!S29)</f>
        <v>0.66440538453513109</v>
      </c>
      <c r="T29" s="135">
        <f>IF(SER_hh_tes_in!T29=0,"",SER_hh_tes_in!T29/SER_hh_fec_in!T29)</f>
        <v>0.77386594142850207</v>
      </c>
      <c r="U29" s="135">
        <f>IF(SER_hh_tes_in!U29=0,"",SER_hh_tes_in!U29/SER_hh_fec_in!U29)</f>
        <v>0.74064994303648579</v>
      </c>
      <c r="V29" s="135">
        <f>IF(SER_hh_tes_in!V29=0,"",SER_hh_tes_in!V29/SER_hh_fec_in!V29)</f>
        <v>0.66980559333700973</v>
      </c>
      <c r="W29" s="135">
        <f>IF(SER_hh_tes_in!W29=0,"",SER_hh_tes_in!W29/SER_hh_fec_in!W29)</f>
        <v>0.73525398145134879</v>
      </c>
      <c r="X29" s="135">
        <f>IF(SER_hh_tes_in!X29=0,"",SER_hh_tes_in!X29/SER_hh_fec_in!X29)</f>
        <v>0.73771918324022256</v>
      </c>
      <c r="Y29" s="135">
        <f>IF(SER_hh_tes_in!Y29=0,"",SER_hh_tes_in!Y29/SER_hh_fec_in!Y29)</f>
        <v>0.73802733738401338</v>
      </c>
      <c r="DA29" s="162" t="s">
        <v>687</v>
      </c>
    </row>
    <row r="30" spans="1:105" s="2" customFormat="1" ht="12" customHeight="1" x14ac:dyDescent="0.25">
      <c r="A30" s="131" t="s">
        <v>52</v>
      </c>
      <c r="B30" s="136"/>
      <c r="C30" s="136">
        <f>IF(SER_hh_tes_in!C30=0,"",SER_hh_tes_in!C30/SER_hh_fec_in!C30)</f>
        <v>0.53115055266396394</v>
      </c>
      <c r="D30" s="136">
        <f>IF(SER_hh_tes_in!D30=0,"",SER_hh_tes_in!D30/SER_hh_fec_in!D30)</f>
        <v>0.53193008481158033</v>
      </c>
      <c r="E30" s="136">
        <f>IF(SER_hh_tes_in!E30=0,"",SER_hh_tes_in!E30/SER_hh_fec_in!E30)</f>
        <v>0.53270968717836265</v>
      </c>
      <c r="F30" s="136">
        <f>IF(SER_hh_tes_in!F30=0,"",SER_hh_tes_in!F30/SER_hh_fec_in!F30)</f>
        <v>0.53348929912048515</v>
      </c>
      <c r="G30" s="136">
        <f>IF(SER_hh_tes_in!G30=0,"",SER_hh_tes_in!G30/SER_hh_fec_in!G30)</f>
        <v>0.53426897573032872</v>
      </c>
      <c r="H30" s="136">
        <f>IF(SER_hh_tes_in!H30=0,"",SER_hh_tes_in!H30/SER_hh_fec_in!H30)</f>
        <v>0.53504871026528766</v>
      </c>
      <c r="I30" s="136">
        <f>IF(SER_hh_tes_in!I30=0,"",SER_hh_tes_in!I30/SER_hh_fec_in!I30)</f>
        <v>0.53582851630012529</v>
      </c>
      <c r="J30" s="136">
        <f>IF(SER_hh_tes_in!J30=0,"",SER_hh_tes_in!J30/SER_hh_fec_in!J30)</f>
        <v>0.53660844944585984</v>
      </c>
      <c r="K30" s="136">
        <f>IF(SER_hh_tes_in!K30=0,"",SER_hh_tes_in!K30/SER_hh_fec_in!K30)</f>
        <v>0.53738855698648225</v>
      </c>
      <c r="L30" s="136">
        <f>IF(SER_hh_tes_in!L30=0,"",SER_hh_tes_in!L30/SER_hh_fec_in!L30)</f>
        <v>0.53816885157239902</v>
      </c>
      <c r="M30" s="136">
        <f>IF(SER_hh_tes_in!M30=0,"",SER_hh_tes_in!M30/SER_hh_fec_in!M30)</f>
        <v>0.53876144077606181</v>
      </c>
      <c r="N30" s="136">
        <f>IF(SER_hh_tes_in!N30=0,"",SER_hh_tes_in!N30/SER_hh_fec_in!N30)</f>
        <v>0.53909267026647889</v>
      </c>
      <c r="O30" s="136">
        <f>IF(SER_hh_tes_in!O30=0,"",SER_hh_tes_in!O30/SER_hh_fec_in!O30)</f>
        <v>0.53929063743191952</v>
      </c>
      <c r="P30" s="136">
        <f>IF(SER_hh_tes_in!P30=0,"",SER_hh_tes_in!P30/SER_hh_fec_in!P30)</f>
        <v>0.53984303208066642</v>
      </c>
      <c r="Q30" s="136">
        <f>IF(SER_hh_tes_in!Q30=0,"",SER_hh_tes_in!Q30/SER_hh_fec_in!Q30)</f>
        <v>0.54209140734294103</v>
      </c>
      <c r="R30" s="136">
        <f>IF(SER_hh_tes_in!R30=0,"",SER_hh_tes_in!R30/SER_hh_fec_in!R30)</f>
        <v>0.54799732929479128</v>
      </c>
      <c r="S30" s="136">
        <f>IF(SER_hh_tes_in!S30=0,"",SER_hh_tes_in!S30/SER_hh_fec_in!S30)</f>
        <v>0.55632830707465419</v>
      </c>
      <c r="T30" s="136">
        <f>IF(SER_hh_tes_in!T30=0,"",SER_hh_tes_in!T30/SER_hh_fec_in!T30)</f>
        <v>0.56546902316781167</v>
      </c>
      <c r="U30" s="136" t="str">
        <f>IF(SER_hh_tes_in!U30=0,"",SER_hh_tes_in!U30/SER_hh_fec_in!U30)</f>
        <v/>
      </c>
      <c r="V30" s="136" t="str">
        <f>IF(SER_hh_tes_in!V30=0,"",SER_hh_tes_in!V30/SER_hh_fec_in!V30)</f>
        <v/>
      </c>
      <c r="W30" s="136">
        <f>IF(SER_hh_tes_in!W30=0,"",SER_hh_tes_in!W30/SER_hh_fec_in!W30)</f>
        <v>0.58256082896704742</v>
      </c>
      <c r="X30" s="136">
        <f>IF(SER_hh_tes_in!X30=0,"",SER_hh_tes_in!X30/SER_hh_fec_in!X30)</f>
        <v>0.58294599713269102</v>
      </c>
      <c r="Y30" s="136">
        <f>IF(SER_hh_tes_in!Y30=0,"",SER_hh_tes_in!Y30/SER_hh_fec_in!Y30)</f>
        <v>0.58298451394925543</v>
      </c>
      <c r="DA30" s="163" t="s">
        <v>688</v>
      </c>
    </row>
    <row r="31" spans="1:105" ht="12" customHeight="1" x14ac:dyDescent="0.25">
      <c r="A31" s="131" t="s">
        <v>149</v>
      </c>
      <c r="B31" s="136"/>
      <c r="C31" s="136">
        <f>IF(SER_hh_tes_in!C31=0,"",SER_hh_tes_in!C31/SER_hh_fec_in!C31)</f>
        <v>0.53771007691456907</v>
      </c>
      <c r="D31" s="136">
        <f>IF(SER_hh_tes_in!D31=0,"",SER_hh_tes_in!D31/SER_hh_fec_in!D31)</f>
        <v>0.53849004855644933</v>
      </c>
      <c r="E31" s="136">
        <f>IF(SER_hh_tes_in!E31=0,"",SER_hh_tes_in!E31/SER_hh_fec_in!E31)</f>
        <v>0.53927009045708418</v>
      </c>
      <c r="F31" s="136">
        <f>IF(SER_hh_tes_in!F31=0,"",SER_hh_tes_in!F31/SER_hh_fec_in!F31)</f>
        <v>0.54005014193845813</v>
      </c>
      <c r="G31" s="136">
        <f>IF(SER_hh_tes_in!G31=0,"",SER_hh_tes_in!G31/SER_hh_fec_in!G31)</f>
        <v>0.54083025812401209</v>
      </c>
      <c r="H31" s="136">
        <f>IF(SER_hh_tes_in!H31=0,"",SER_hh_tes_in!H31/SER_hh_fec_in!H31)</f>
        <v>0.54161043226733907</v>
      </c>
      <c r="I31" s="136">
        <f>IF(SER_hh_tes_in!I31=0,"",SER_hh_tes_in!I31/SER_hh_fec_in!I31)</f>
        <v>0.54239067795085594</v>
      </c>
      <c r="J31" s="136">
        <f>IF(SER_hh_tes_in!J31=0,"",SER_hh_tes_in!J31/SER_hh_fec_in!J31)</f>
        <v>0.54317105081693373</v>
      </c>
      <c r="K31" s="136">
        <f>IF(SER_hh_tes_in!K31=0,"",SER_hh_tes_in!K31/SER_hh_fec_in!K31)</f>
        <v>0.5439515981762223</v>
      </c>
      <c r="L31" s="136">
        <f>IF(SER_hh_tes_in!L31=0,"",SER_hh_tes_in!L31/SER_hh_fec_in!L31)</f>
        <v>0.54473233268625965</v>
      </c>
      <c r="M31" s="136">
        <f>IF(SER_hh_tes_in!M31=0,"",SER_hh_tes_in!M31/SER_hh_fec_in!M31)</f>
        <v>0.54532525598718373</v>
      </c>
      <c r="N31" s="136">
        <f>IF(SER_hh_tes_in!N31=0,"",SER_hh_tes_in!N31/SER_hh_fec_in!N31)</f>
        <v>0.54565667222225467</v>
      </c>
      <c r="O31" s="136">
        <f>IF(SER_hh_tes_in!O31=0,"",SER_hh_tes_in!O31/SER_hh_fec_in!O31)</f>
        <v>0.54585475100006919</v>
      </c>
      <c r="P31" s="136">
        <f>IF(SER_hh_tes_in!P31=0,"",SER_hh_tes_in!P31/SER_hh_fec_in!P31)</f>
        <v>0.54640745708469496</v>
      </c>
      <c r="Q31" s="136">
        <f>IF(SER_hh_tes_in!Q31=0,"",SER_hh_tes_in!Q31/SER_hh_fec_in!Q31)</f>
        <v>0.54865709996374912</v>
      </c>
      <c r="R31" s="136">
        <f>IF(SER_hh_tes_in!R31=0,"",SER_hh_tes_in!R31/SER_hh_fec_in!R31)</f>
        <v>0.55456635162923307</v>
      </c>
      <c r="S31" s="136">
        <f>IF(SER_hh_tes_in!S31=0,"",SER_hh_tes_in!S31/SER_hh_fec_in!S31)</f>
        <v>0.56290202635066067</v>
      </c>
      <c r="T31" s="136">
        <f>IF(SER_hh_tes_in!T31=0,"",SER_hh_tes_in!T31/SER_hh_fec_in!T31)</f>
        <v>0.57204789590965233</v>
      </c>
      <c r="U31" s="136">
        <f>IF(SER_hh_tes_in!U31=0,"",SER_hh_tes_in!U31/SER_hh_fec_in!U31)</f>
        <v>0.58038773208785033</v>
      </c>
      <c r="V31" s="136">
        <f>IF(SER_hh_tes_in!V31=0,"",SER_hh_tes_in!V31/SER_hh_fec_in!V31)</f>
        <v>0.58630530666688574</v>
      </c>
      <c r="W31" s="136">
        <f>IF(SER_hh_tes_in!W31=0,"",SER_hh_tes_in!W31/SER_hh_fec_in!W31)</f>
        <v>0.58914933793829605</v>
      </c>
      <c r="X31" s="136">
        <f>IF(SER_hh_tes_in!X31=0,"",SER_hh_tes_in!X31/SER_hh_fec_in!X31)</f>
        <v>0.58953886218795459</v>
      </c>
      <c r="Y31" s="136">
        <f>IF(SER_hh_tes_in!Y31=0,"",SER_hh_tes_in!Y31/SER_hh_fec_in!Y31)</f>
        <v>0.58957781461292047</v>
      </c>
      <c r="DA31" s="163" t="s">
        <v>689</v>
      </c>
    </row>
    <row r="32" spans="1:105" ht="12" customHeight="1" x14ac:dyDescent="0.25">
      <c r="A32" s="131" t="s">
        <v>128</v>
      </c>
      <c r="B32" s="136"/>
      <c r="C32" s="136" t="str">
        <f>IF(SER_hh_tes_in!C32=0,"",SER_hh_tes_in!C32/SER_hh_fec_in!C32)</f>
        <v/>
      </c>
      <c r="D32" s="136" t="str">
        <f>IF(SER_hh_tes_in!D32=0,"",SER_hh_tes_in!D32/SER_hh_fec_in!D32)</f>
        <v/>
      </c>
      <c r="E32" s="136" t="str">
        <f>IF(SER_hh_tes_in!E32=0,"",SER_hh_tes_in!E32/SER_hh_fec_in!E32)</f>
        <v/>
      </c>
      <c r="F32" s="136" t="str">
        <f>IF(SER_hh_tes_in!F32=0,"",SER_hh_tes_in!F32/SER_hh_fec_in!F32)</f>
        <v/>
      </c>
      <c r="G32" s="136" t="str">
        <f>IF(SER_hh_tes_in!G32=0,"",SER_hh_tes_in!G32/SER_hh_fec_in!G32)</f>
        <v/>
      </c>
      <c r="H32" s="136" t="str">
        <f>IF(SER_hh_tes_in!H32=0,"",SER_hh_tes_in!H32/SER_hh_fec_in!H32)</f>
        <v/>
      </c>
      <c r="I32" s="136" t="str">
        <f>IF(SER_hh_tes_in!I32=0,"",SER_hh_tes_in!I32/SER_hh_fec_in!I32)</f>
        <v/>
      </c>
      <c r="J32" s="136" t="str">
        <f>IF(SER_hh_tes_in!J32=0,"",SER_hh_tes_in!J32/SER_hh_fec_in!J32)</f>
        <v/>
      </c>
      <c r="K32" s="136" t="str">
        <f>IF(SER_hh_tes_in!K32=0,"",SER_hh_tes_in!K32/SER_hh_fec_in!K32)</f>
        <v/>
      </c>
      <c r="L32" s="136" t="str">
        <f>IF(SER_hh_tes_in!L32=0,"",SER_hh_tes_in!L32/SER_hh_fec_in!L32)</f>
        <v/>
      </c>
      <c r="M32" s="136" t="str">
        <f>IF(SER_hh_tes_in!M32=0,"",SER_hh_tes_in!M32/SER_hh_fec_in!M32)</f>
        <v/>
      </c>
      <c r="N32" s="136" t="str">
        <f>IF(SER_hh_tes_in!N32=0,"",SER_hh_tes_in!N32/SER_hh_fec_in!N32)</f>
        <v/>
      </c>
      <c r="O32" s="136" t="str">
        <f>IF(SER_hh_tes_in!O32=0,"",SER_hh_tes_in!O32/SER_hh_fec_in!O32)</f>
        <v/>
      </c>
      <c r="P32" s="136" t="str">
        <f>IF(SER_hh_tes_in!P32=0,"",SER_hh_tes_in!P32/SER_hh_fec_in!P32)</f>
        <v/>
      </c>
      <c r="Q32" s="136" t="str">
        <f>IF(SER_hh_tes_in!Q32=0,"",SER_hh_tes_in!Q32/SER_hh_fec_in!Q32)</f>
        <v/>
      </c>
      <c r="R32" s="136" t="str">
        <f>IF(SER_hh_tes_in!R32=0,"",SER_hh_tes_in!R32/SER_hh_fec_in!R32)</f>
        <v/>
      </c>
      <c r="S32" s="136" t="str">
        <f>IF(SER_hh_tes_in!S32=0,"",SER_hh_tes_in!S32/SER_hh_fec_in!S32)</f>
        <v/>
      </c>
      <c r="T32" s="136" t="str">
        <f>IF(SER_hh_tes_in!T32=0,"",SER_hh_tes_in!T32/SER_hh_fec_in!T32)</f>
        <v/>
      </c>
      <c r="U32" s="136" t="str">
        <f>IF(SER_hh_tes_in!U32=0,"",SER_hh_tes_in!U32/SER_hh_fec_in!U32)</f>
        <v/>
      </c>
      <c r="V32" s="136" t="str">
        <f>IF(SER_hh_tes_in!V32=0,"",SER_hh_tes_in!V32/SER_hh_fec_in!V32)</f>
        <v/>
      </c>
      <c r="W32" s="136" t="str">
        <f>IF(SER_hh_tes_in!W32=0,"",SER_hh_tes_in!W32/SER_hh_fec_in!W32)</f>
        <v/>
      </c>
      <c r="X32" s="136" t="str">
        <f>IF(SER_hh_tes_in!X32=0,"",SER_hh_tes_in!X32/SER_hh_fec_in!X32)</f>
        <v/>
      </c>
      <c r="Y32" s="136" t="str">
        <f>IF(SER_hh_tes_in!Y32=0,"",SER_hh_tes_in!Y32/SER_hh_fec_in!Y32)</f>
        <v/>
      </c>
      <c r="DA32" s="163" t="s">
        <v>690</v>
      </c>
    </row>
    <row r="33" spans="1:105" ht="12" customHeight="1" x14ac:dyDescent="0.25">
      <c r="A33" s="62" t="s">
        <v>24</v>
      </c>
      <c r="B33" s="149"/>
      <c r="C33" s="149">
        <f>IF(SER_hh_tes_in!C33=0,"",SER_hh_tes_in!C33/SER_hh_fec_in!C33)</f>
        <v>0.7070549094559575</v>
      </c>
      <c r="D33" s="149">
        <f>IF(SER_hh_tes_in!D33=0,"",SER_hh_tes_in!D33/SER_hh_fec_in!D33)</f>
        <v>0.70860145532932806</v>
      </c>
      <c r="E33" s="149">
        <f>IF(SER_hh_tes_in!E33=0,"",SER_hh_tes_in!E33/SER_hh_fec_in!E33)</f>
        <v>0.71022092119839131</v>
      </c>
      <c r="F33" s="149">
        <f>IF(SER_hh_tes_in!F33=0,"",SER_hh_tes_in!F33/SER_hh_fec_in!F33)</f>
        <v>0.71185033070323089</v>
      </c>
      <c r="G33" s="149">
        <f>IF(SER_hh_tes_in!G33=0,"",SER_hh_tes_in!G33/SER_hh_fec_in!G33)</f>
        <v>0.71354689523501902</v>
      </c>
      <c r="H33" s="149">
        <f>IF(SER_hh_tes_in!H33=0,"",SER_hh_tes_in!H33/SER_hh_fec_in!H33)</f>
        <v>0.71530361284781818</v>
      </c>
      <c r="I33" s="149">
        <f>IF(SER_hh_tes_in!I33=0,"",SER_hh_tes_in!I33/SER_hh_fec_in!I33)</f>
        <v>0.71713458043008504</v>
      </c>
      <c r="J33" s="149">
        <f>IF(SER_hh_tes_in!J33=0,"",SER_hh_tes_in!J33/SER_hh_fec_in!J33)</f>
        <v>0.7190975479580719</v>
      </c>
      <c r="K33" s="149">
        <f>IF(SER_hh_tes_in!K33=0,"",SER_hh_tes_in!K33/SER_hh_fec_in!K33)</f>
        <v>0.72124161810164444</v>
      </c>
      <c r="L33" s="149">
        <f>IF(SER_hh_tes_in!L33=0,"",SER_hh_tes_in!L33/SER_hh_fec_in!L33)</f>
        <v>0.72357992783809832</v>
      </c>
      <c r="M33" s="149">
        <f>IF(SER_hh_tes_in!M33=0,"",SER_hh_tes_in!M33/SER_hh_fec_in!M33)</f>
        <v>0.72692319404700789</v>
      </c>
      <c r="N33" s="149">
        <f>IF(SER_hh_tes_in!N33=0,"",SER_hh_tes_in!N33/SER_hh_fec_in!N33)</f>
        <v>0.73150222011858801</v>
      </c>
      <c r="O33" s="149" t="str">
        <f>IF(SER_hh_tes_in!O33=0,"",SER_hh_tes_in!O33/SER_hh_fec_in!O33)</f>
        <v/>
      </c>
      <c r="P33" s="149" t="str">
        <f>IF(SER_hh_tes_in!P33=0,"",SER_hh_tes_in!P33/SER_hh_fec_in!P33)</f>
        <v/>
      </c>
      <c r="Q33" s="149" t="str">
        <f>IF(SER_hh_tes_in!Q33=0,"",SER_hh_tes_in!Q33/SER_hh_fec_in!Q33)</f>
        <v/>
      </c>
      <c r="R33" s="149">
        <f>IF(SER_hh_tes_in!R33=0,"",SER_hh_tes_in!R33/SER_hh_fec_in!R33)</f>
        <v>0.77198022884841755</v>
      </c>
      <c r="S33" s="149">
        <f>IF(SER_hh_tes_in!S33=0,"",SER_hh_tes_in!S33/SER_hh_fec_in!S33)</f>
        <v>0.79051863615609652</v>
      </c>
      <c r="T33" s="149">
        <f>IF(SER_hh_tes_in!T33=0,"",SER_hh_tes_in!T33/SER_hh_fec_in!T33)</f>
        <v>0.81047624964202036</v>
      </c>
      <c r="U33" s="149">
        <f>IF(SER_hh_tes_in!U33=0,"",SER_hh_tes_in!U33/SER_hh_fec_in!U33)</f>
        <v>0.82954887304396274</v>
      </c>
      <c r="V33" s="149">
        <f>IF(SER_hh_tes_in!V33=0,"",SER_hh_tes_in!V33/SER_hh_fec_in!V33)</f>
        <v>0.84543231009967146</v>
      </c>
      <c r="W33" s="149">
        <f>IF(SER_hh_tes_in!W33=0,"",SER_hh_tes_in!W33/SER_hh_fec_in!W33)</f>
        <v>0.85732597787411235</v>
      </c>
      <c r="X33" s="149">
        <f>IF(SER_hh_tes_in!X33=0,"",SER_hh_tes_in!X33/SER_hh_fec_in!X33)</f>
        <v>0.86484801227614072</v>
      </c>
      <c r="Y33" s="149">
        <f>IF(SER_hh_tes_in!Y33=0,"",SER_hh_tes_in!Y33/SER_hh_fec_in!Y33)</f>
        <v>0.87151852097515048</v>
      </c>
      <c r="DA33" s="167" t="s">
        <v>691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/>
      <c r="C3" s="125">
        <f t="shared" ref="C3:Q3" si="0">SUM(C4,C16,C19,C29)</f>
        <v>249.08810669321193</v>
      </c>
      <c r="D3" s="125">
        <f t="shared" si="0"/>
        <v>209.03046696883018</v>
      </c>
      <c r="E3" s="125">
        <f t="shared" si="0"/>
        <v>251.62427357529771</v>
      </c>
      <c r="F3" s="125">
        <f t="shared" si="0"/>
        <v>194.58843965486369</v>
      </c>
      <c r="G3" s="125">
        <f t="shared" si="0"/>
        <v>191.48756043362783</v>
      </c>
      <c r="H3" s="125">
        <f t="shared" si="0"/>
        <v>410.20505781857321</v>
      </c>
      <c r="I3" s="125">
        <f t="shared" si="0"/>
        <v>168.20942471500103</v>
      </c>
      <c r="J3" s="125">
        <f t="shared" si="0"/>
        <v>125.24888312223337</v>
      </c>
      <c r="K3" s="125">
        <f t="shared" si="0"/>
        <v>23.60182387830621</v>
      </c>
      <c r="L3" s="125">
        <f t="shared" si="0"/>
        <v>180.86741850769189</v>
      </c>
      <c r="M3" s="125">
        <f t="shared" si="0"/>
        <v>74.993307610540413</v>
      </c>
      <c r="N3" s="125">
        <f t="shared" si="0"/>
        <v>130.29665121731432</v>
      </c>
      <c r="O3" s="125">
        <f t="shared" si="0"/>
        <v>38.21099364185222</v>
      </c>
      <c r="P3" s="125">
        <f t="shared" si="0"/>
        <v>67.754069265945645</v>
      </c>
      <c r="Q3" s="125">
        <f t="shared" si="0"/>
        <v>94.168094806224104</v>
      </c>
      <c r="R3" s="125">
        <f t="shared" ref="R3:W3" si="1">SUM(R4,R16,R19,R29)</f>
        <v>96.777797102487597</v>
      </c>
      <c r="S3" s="125">
        <f t="shared" si="1"/>
        <v>74.307672579598574</v>
      </c>
      <c r="T3" s="125">
        <f t="shared" si="1"/>
        <v>59.672095127625624</v>
      </c>
      <c r="U3" s="125">
        <f t="shared" si="1"/>
        <v>64.254856273531885</v>
      </c>
      <c r="V3" s="125">
        <f t="shared" si="1"/>
        <v>68.063537924498505</v>
      </c>
      <c r="W3" s="125">
        <f t="shared" si="1"/>
        <v>74.305557384537394</v>
      </c>
      <c r="X3" s="125">
        <f t="shared" ref="X3:Y3" si="2">SUM(X4,X16,X19,X29)</f>
        <v>63.099022886574673</v>
      </c>
      <c r="Y3" s="125">
        <f t="shared" si="2"/>
        <v>60.494695829348842</v>
      </c>
      <c r="DA3" s="154" t="s">
        <v>693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189.53945349968646</v>
      </c>
      <c r="D4" s="130">
        <f t="shared" si="3"/>
        <v>157.82205510748054</v>
      </c>
      <c r="E4" s="130">
        <f t="shared" si="3"/>
        <v>188.77034330466458</v>
      </c>
      <c r="F4" s="130">
        <f t="shared" si="3"/>
        <v>106.86232830577613</v>
      </c>
      <c r="G4" s="130">
        <f t="shared" si="3"/>
        <v>95.676855823019451</v>
      </c>
      <c r="H4" s="130">
        <f t="shared" si="3"/>
        <v>277.44039208201212</v>
      </c>
      <c r="I4" s="130">
        <f t="shared" si="3"/>
        <v>74.070799040921614</v>
      </c>
      <c r="J4" s="130">
        <f t="shared" si="3"/>
        <v>52.163583435344506</v>
      </c>
      <c r="K4" s="130">
        <f t="shared" si="3"/>
        <v>13.262384398703658</v>
      </c>
      <c r="L4" s="130">
        <f t="shared" si="3"/>
        <v>125.80792906858161</v>
      </c>
      <c r="M4" s="130">
        <f t="shared" si="3"/>
        <v>45.548365887047424</v>
      </c>
      <c r="N4" s="130">
        <f t="shared" si="3"/>
        <v>59.335719098963445</v>
      </c>
      <c r="O4" s="130">
        <f t="shared" si="3"/>
        <v>13.910303827729123</v>
      </c>
      <c r="P4" s="130">
        <f t="shared" si="3"/>
        <v>1.9165333686660977</v>
      </c>
      <c r="Q4" s="130">
        <f t="shared" si="3"/>
        <v>2.4897157865120647</v>
      </c>
      <c r="R4" s="130">
        <f t="shared" ref="R4:W4" si="4">SUM(R5:R15)</f>
        <v>14.520926637815776</v>
      </c>
      <c r="S4" s="130">
        <f t="shared" si="4"/>
        <v>25.318642986201354</v>
      </c>
      <c r="T4" s="130">
        <f t="shared" si="4"/>
        <v>32.044207167182414</v>
      </c>
      <c r="U4" s="130">
        <f t="shared" si="4"/>
        <v>23.354829320337803</v>
      </c>
      <c r="V4" s="130">
        <f t="shared" si="4"/>
        <v>17.676570632727834</v>
      </c>
      <c r="W4" s="130">
        <f t="shared" si="4"/>
        <v>28.974207910474075</v>
      </c>
      <c r="X4" s="130">
        <f t="shared" ref="X4:Y4" si="5">SUM(X5:X15)</f>
        <v>21.332772109107939</v>
      </c>
      <c r="Y4" s="130">
        <f t="shared" si="5"/>
        <v>17.08828563235998</v>
      </c>
      <c r="DA4" s="155" t="s">
        <v>694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695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696</v>
      </c>
    </row>
    <row r="7" spans="1:105" ht="12" customHeight="1" x14ac:dyDescent="0.25">
      <c r="A7" s="131" t="s">
        <v>161</v>
      </c>
      <c r="B7" s="132"/>
      <c r="C7" s="132">
        <v>189.53585384469852</v>
      </c>
      <c r="D7" s="132">
        <v>157.81759694460055</v>
      </c>
      <c r="E7" s="132">
        <v>188.76394202885814</v>
      </c>
      <c r="F7" s="132">
        <v>101.42472347719695</v>
      </c>
      <c r="G7" s="132">
        <v>0</v>
      </c>
      <c r="H7" s="132">
        <v>0</v>
      </c>
      <c r="I7" s="132">
        <v>0</v>
      </c>
      <c r="J7" s="132">
        <v>0</v>
      </c>
      <c r="K7" s="132">
        <v>0</v>
      </c>
      <c r="L7" s="132">
        <v>44.985271972730359</v>
      </c>
      <c r="M7" s="132">
        <v>32.277529954096003</v>
      </c>
      <c r="N7" s="132">
        <v>48.904675164063406</v>
      </c>
      <c r="O7" s="132">
        <v>13.857068195560446</v>
      </c>
      <c r="P7" s="132">
        <v>1.6329257275563303</v>
      </c>
      <c r="Q7" s="132">
        <v>1.947259109745614</v>
      </c>
      <c r="R7" s="132">
        <v>13.919406097330018</v>
      </c>
      <c r="S7" s="132">
        <v>24.93430118657469</v>
      </c>
      <c r="T7" s="132">
        <v>24.488284159116422</v>
      </c>
      <c r="U7" s="132">
        <v>2.8970775466085579</v>
      </c>
      <c r="V7" s="132">
        <v>0</v>
      </c>
      <c r="W7" s="132">
        <v>0</v>
      </c>
      <c r="X7" s="132">
        <v>0</v>
      </c>
      <c r="Y7" s="132">
        <v>0</v>
      </c>
      <c r="DA7" s="156" t="s">
        <v>697</v>
      </c>
    </row>
    <row r="8" spans="1:105" ht="12" customHeight="1" x14ac:dyDescent="0.25">
      <c r="A8" s="131" t="s">
        <v>73</v>
      </c>
      <c r="B8" s="132"/>
      <c r="C8" s="132">
        <v>3.5996549879431963E-3</v>
      </c>
      <c r="D8" s="132">
        <v>4.4581628799778257E-3</v>
      </c>
      <c r="E8" s="132">
        <v>6.4012758064336175E-3</v>
      </c>
      <c r="F8" s="132">
        <v>1.634377695422656E-2</v>
      </c>
      <c r="G8" s="132">
        <v>2.7754611297524177E-2</v>
      </c>
      <c r="H8" s="132">
        <v>2.4068472469759978E-2</v>
      </c>
      <c r="I8" s="132">
        <v>4.883021934322139E-2</v>
      </c>
      <c r="J8" s="132">
        <v>2.3541381242802976E-2</v>
      </c>
      <c r="K8" s="132">
        <v>5.9655536673221344E-3</v>
      </c>
      <c r="L8" s="132">
        <v>5.0939064343708679E-2</v>
      </c>
      <c r="M8" s="132">
        <v>3.842657686100405E-2</v>
      </c>
      <c r="N8" s="132">
        <v>0.13006884453853115</v>
      </c>
      <c r="O8" s="132">
        <v>5.3235632168676543E-2</v>
      </c>
      <c r="P8" s="132">
        <v>0.28360764110976744</v>
      </c>
      <c r="Q8" s="132">
        <v>0.34503001283149937</v>
      </c>
      <c r="R8" s="132">
        <v>0.34109340320272014</v>
      </c>
      <c r="S8" s="132">
        <v>0.29167001376724816</v>
      </c>
      <c r="T8" s="132">
        <v>0.20182452997993064</v>
      </c>
      <c r="U8" s="132">
        <v>0.56592708381132273</v>
      </c>
      <c r="V8" s="132">
        <v>0.14896361595977256</v>
      </c>
      <c r="W8" s="132">
        <v>0.37641362028160463</v>
      </c>
      <c r="X8" s="132">
        <v>0.40273597839060304</v>
      </c>
      <c r="Y8" s="132">
        <v>0.55682811628231477</v>
      </c>
      <c r="DA8" s="156" t="s">
        <v>698</v>
      </c>
    </row>
    <row r="9" spans="1:105" ht="12" customHeight="1" x14ac:dyDescent="0.25">
      <c r="A9" s="131" t="s">
        <v>78</v>
      </c>
      <c r="B9" s="132"/>
      <c r="C9" s="132">
        <v>0</v>
      </c>
      <c r="D9" s="132">
        <v>0</v>
      </c>
      <c r="E9" s="132">
        <v>0</v>
      </c>
      <c r="F9" s="132">
        <v>5.4212610516249571</v>
      </c>
      <c r="G9" s="132">
        <v>95.649101211721927</v>
      </c>
      <c r="H9" s="132">
        <v>277.41632360954236</v>
      </c>
      <c r="I9" s="132">
        <v>74.021968821578398</v>
      </c>
      <c r="J9" s="132">
        <v>52.140042054101706</v>
      </c>
      <c r="K9" s="132">
        <v>13.256418845036336</v>
      </c>
      <c r="L9" s="132">
        <v>80.771718031507547</v>
      </c>
      <c r="M9" s="132">
        <v>13.232409356090413</v>
      </c>
      <c r="N9" s="132">
        <v>10.300975090361513</v>
      </c>
      <c r="O9" s="132">
        <v>0</v>
      </c>
      <c r="P9" s="132">
        <v>0</v>
      </c>
      <c r="Q9" s="132">
        <v>0</v>
      </c>
      <c r="R9" s="132">
        <v>0</v>
      </c>
      <c r="S9" s="132">
        <v>0</v>
      </c>
      <c r="T9" s="132">
        <v>7.354098478086061</v>
      </c>
      <c r="U9" s="132">
        <v>19.891824689917922</v>
      </c>
      <c r="V9" s="132">
        <v>17.527607016768062</v>
      </c>
      <c r="W9" s="132">
        <v>28.561847988122945</v>
      </c>
      <c r="X9" s="132">
        <v>20.822583207992182</v>
      </c>
      <c r="Y9" s="132">
        <v>16.345906358443415</v>
      </c>
      <c r="DA9" s="156" t="s">
        <v>699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0.19742666393495137</v>
      </c>
      <c r="R10" s="132">
        <v>0.26042713728303751</v>
      </c>
      <c r="S10" s="132">
        <v>9.2671785859415226E-2</v>
      </c>
      <c r="T10" s="132">
        <v>0</v>
      </c>
      <c r="U10" s="132">
        <v>0</v>
      </c>
      <c r="V10" s="132">
        <v>0</v>
      </c>
      <c r="W10" s="132">
        <v>3.5946302069524268E-2</v>
      </c>
      <c r="X10" s="132">
        <v>0.1074529227251536</v>
      </c>
      <c r="Y10" s="132">
        <v>0.18555115763424995</v>
      </c>
      <c r="DA10" s="156" t="s">
        <v>700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701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702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703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704</v>
      </c>
    </row>
    <row r="15" spans="1:105" ht="12" customHeight="1" x14ac:dyDescent="0.25">
      <c r="A15" s="133" t="s">
        <v>80</v>
      </c>
      <c r="B15" s="134"/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705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0.12420675038150154</v>
      </c>
      <c r="D16" s="130">
        <f t="shared" si="6"/>
        <v>6.5029263644839172E-2</v>
      </c>
      <c r="E16" s="130">
        <f t="shared" si="6"/>
        <v>0.30204939485514098</v>
      </c>
      <c r="F16" s="130">
        <f t="shared" si="6"/>
        <v>0.37476562284222287</v>
      </c>
      <c r="G16" s="130">
        <f t="shared" si="6"/>
        <v>0.25419656623260301</v>
      </c>
      <c r="H16" s="130">
        <f t="shared" si="6"/>
        <v>0.3518741081309894</v>
      </c>
      <c r="I16" s="130">
        <f t="shared" si="6"/>
        <v>0.21011143009050712</v>
      </c>
      <c r="J16" s="130">
        <f t="shared" si="6"/>
        <v>0.31273760733402434</v>
      </c>
      <c r="K16" s="130">
        <f t="shared" si="6"/>
        <v>5.0314274956898226E-2</v>
      </c>
      <c r="L16" s="130">
        <f t="shared" si="6"/>
        <v>0.30460834743913001</v>
      </c>
      <c r="M16" s="130">
        <f t="shared" si="6"/>
        <v>0.12424527146961625</v>
      </c>
      <c r="N16" s="130">
        <f t="shared" si="6"/>
        <v>0.26132788869005052</v>
      </c>
      <c r="O16" s="130">
        <f t="shared" si="6"/>
        <v>0.11824117883626423</v>
      </c>
      <c r="P16" s="130">
        <f t="shared" si="6"/>
        <v>0.20074300265441727</v>
      </c>
      <c r="Q16" s="130">
        <f t="shared" si="6"/>
        <v>0.51925996079017112</v>
      </c>
      <c r="R16" s="130">
        <f t="shared" ref="R16:W16" si="7">SUM(R17:R18)</f>
        <v>0.63238370964970769</v>
      </c>
      <c r="S16" s="130">
        <f t="shared" si="7"/>
        <v>0.52876957442878136</v>
      </c>
      <c r="T16" s="130">
        <f t="shared" si="7"/>
        <v>0.70085569452082419</v>
      </c>
      <c r="U16" s="130">
        <f t="shared" si="7"/>
        <v>0.40841097827291262</v>
      </c>
      <c r="V16" s="130">
        <f t="shared" si="7"/>
        <v>0.40606393610807717</v>
      </c>
      <c r="W16" s="130">
        <f t="shared" si="7"/>
        <v>0.31565524507080461</v>
      </c>
      <c r="X16" s="130">
        <f t="shared" ref="X16:Y16" si="8">SUM(X17:X18)</f>
        <v>0.43648233524469748</v>
      </c>
      <c r="Y16" s="130">
        <f t="shared" si="8"/>
        <v>0.46058093662634014</v>
      </c>
      <c r="DA16" s="155" t="s">
        <v>706</v>
      </c>
    </row>
    <row r="17" spans="1:105" ht="12.95" customHeight="1" x14ac:dyDescent="0.25">
      <c r="A17" s="131" t="s">
        <v>73</v>
      </c>
      <c r="B17" s="132"/>
      <c r="C17" s="132">
        <v>0.12420675038150154</v>
      </c>
      <c r="D17" s="132">
        <v>6.5029263644839172E-2</v>
      </c>
      <c r="E17" s="132">
        <v>0.30204939485514098</v>
      </c>
      <c r="F17" s="132">
        <v>0.37476562284222287</v>
      </c>
      <c r="G17" s="132">
        <v>0.25419656623260301</v>
      </c>
      <c r="H17" s="132">
        <v>0.3518741081309894</v>
      </c>
      <c r="I17" s="132">
        <v>0.21011143009050712</v>
      </c>
      <c r="J17" s="132">
        <v>0.31273760733402434</v>
      </c>
      <c r="K17" s="132">
        <v>5.0314274956898226E-2</v>
      </c>
      <c r="L17" s="132">
        <v>0.30460834743913001</v>
      </c>
      <c r="M17" s="132">
        <v>0.12424527146961625</v>
      </c>
      <c r="N17" s="132">
        <v>0.26132788869005052</v>
      </c>
      <c r="O17" s="132">
        <v>0.11824117883626423</v>
      </c>
      <c r="P17" s="132">
        <v>0.20074300265441727</v>
      </c>
      <c r="Q17" s="132">
        <v>0.51925996079017112</v>
      </c>
      <c r="R17" s="132">
        <v>0.63238370964970769</v>
      </c>
      <c r="S17" s="132">
        <v>0.52876957442878136</v>
      </c>
      <c r="T17" s="132">
        <v>0.70085569452082419</v>
      </c>
      <c r="U17" s="132">
        <v>0.40841097827291262</v>
      </c>
      <c r="V17" s="132">
        <v>0.40606393610807717</v>
      </c>
      <c r="W17" s="132">
        <v>0.31565524507080461</v>
      </c>
      <c r="X17" s="132">
        <v>0.43648233524469748</v>
      </c>
      <c r="Y17" s="132">
        <v>0.46058093662634014</v>
      </c>
      <c r="DA17" s="156" t="s">
        <v>707</v>
      </c>
    </row>
    <row r="18" spans="1:105" ht="12" customHeight="1" x14ac:dyDescent="0.25">
      <c r="A18" s="131" t="s">
        <v>72</v>
      </c>
      <c r="B18" s="132"/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708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23.546756562857269</v>
      </c>
      <c r="D19" s="130">
        <f t="shared" si="9"/>
        <v>22.081948661940263</v>
      </c>
      <c r="E19" s="130">
        <f t="shared" si="9"/>
        <v>29.3245532641888</v>
      </c>
      <c r="F19" s="130">
        <f t="shared" si="9"/>
        <v>36.288000459674734</v>
      </c>
      <c r="G19" s="130">
        <f t="shared" si="9"/>
        <v>53.141921245531563</v>
      </c>
      <c r="H19" s="130">
        <f t="shared" si="9"/>
        <v>92.087100297373738</v>
      </c>
      <c r="I19" s="130">
        <f t="shared" si="9"/>
        <v>58.54781528217093</v>
      </c>
      <c r="J19" s="130">
        <f t="shared" si="9"/>
        <v>38.757029404019676</v>
      </c>
      <c r="K19" s="130">
        <f t="shared" si="9"/>
        <v>4.9609855818195223</v>
      </c>
      <c r="L19" s="130">
        <f t="shared" si="9"/>
        <v>29.795052126716218</v>
      </c>
      <c r="M19" s="130">
        <f t="shared" si="9"/>
        <v>15.176153044417429</v>
      </c>
      <c r="N19" s="130">
        <f t="shared" si="9"/>
        <v>33.153628066391576</v>
      </c>
      <c r="O19" s="130">
        <f t="shared" si="9"/>
        <v>10.900723407441536</v>
      </c>
      <c r="P19" s="130">
        <f t="shared" si="9"/>
        <v>24.721061363627022</v>
      </c>
      <c r="Q19" s="130">
        <f t="shared" si="9"/>
        <v>32.289207329620595</v>
      </c>
      <c r="R19" s="130">
        <f t="shared" ref="R19:W19" si="10">SUM(R20:R27)</f>
        <v>28.562769154819378</v>
      </c>
      <c r="S19" s="130">
        <f t="shared" si="10"/>
        <v>20.477175833118711</v>
      </c>
      <c r="T19" s="130">
        <f t="shared" si="10"/>
        <v>18.964517515902777</v>
      </c>
      <c r="U19" s="130">
        <f t="shared" si="10"/>
        <v>23.165158056437434</v>
      </c>
      <c r="V19" s="130">
        <f t="shared" si="10"/>
        <v>24.88253039377113</v>
      </c>
      <c r="W19" s="130">
        <f t="shared" si="10"/>
        <v>25.963967291045421</v>
      </c>
      <c r="X19" s="130">
        <f t="shared" ref="X19:Y19" si="11">SUM(X20:X27)</f>
        <v>23.902260794696744</v>
      </c>
      <c r="Y19" s="130">
        <f t="shared" si="11"/>
        <v>20.531499759307223</v>
      </c>
      <c r="DA19" s="155" t="s">
        <v>709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710</v>
      </c>
    </row>
    <row r="21" spans="1:105" s="2" customFormat="1" ht="12" customHeight="1" x14ac:dyDescent="0.25">
      <c r="A21" s="131" t="s">
        <v>52</v>
      </c>
      <c r="B21" s="132"/>
      <c r="C21" s="132">
        <v>1.8721936528098972</v>
      </c>
      <c r="D21" s="132">
        <v>1.7550071549472572</v>
      </c>
      <c r="E21" s="132">
        <v>2.1639725754474486</v>
      </c>
      <c r="F21" s="132">
        <v>1.4670738364854354</v>
      </c>
      <c r="G21" s="132">
        <v>3.2064986577901893</v>
      </c>
      <c r="H21" s="132">
        <v>4.000290808322398</v>
      </c>
      <c r="I21" s="132">
        <v>4.4150511659258962</v>
      </c>
      <c r="J21" s="132">
        <v>3.648916651148093</v>
      </c>
      <c r="K21" s="132">
        <v>0.56920593768965477</v>
      </c>
      <c r="L21" s="132">
        <v>2.8243310106584874</v>
      </c>
      <c r="M21" s="132">
        <v>1.2297154927338054</v>
      </c>
      <c r="N21" s="132">
        <v>2.1474352555155636</v>
      </c>
      <c r="O21" s="132">
        <v>0.64054217188874074</v>
      </c>
      <c r="P21" s="132">
        <v>1.0200598111587516</v>
      </c>
      <c r="Q21" s="132">
        <v>2.0635398154843081</v>
      </c>
      <c r="R21" s="132">
        <v>1.7139513017011481</v>
      </c>
      <c r="S21" s="132">
        <v>0.89320984099934408</v>
      </c>
      <c r="T21" s="132">
        <v>0</v>
      </c>
      <c r="U21" s="132">
        <v>0</v>
      </c>
      <c r="V21" s="132">
        <v>0</v>
      </c>
      <c r="W21" s="132">
        <v>1.0488739985674573</v>
      </c>
      <c r="X21" s="132">
        <v>2.7877777633822443</v>
      </c>
      <c r="Y21" s="132">
        <v>4.5993102807721709</v>
      </c>
      <c r="DA21" s="156" t="s">
        <v>711</v>
      </c>
    </row>
    <row r="22" spans="1:105" ht="12" customHeight="1" x14ac:dyDescent="0.25">
      <c r="A22" s="131" t="s">
        <v>161</v>
      </c>
      <c r="B22" s="132"/>
      <c r="C22" s="132">
        <v>21.674562910047371</v>
      </c>
      <c r="D22" s="132">
        <v>20.326941506993006</v>
      </c>
      <c r="E22" s="132">
        <v>27.160580688741351</v>
      </c>
      <c r="F22" s="132">
        <v>22.996855859442174</v>
      </c>
      <c r="G22" s="132">
        <v>25.581136756165019</v>
      </c>
      <c r="H22" s="132">
        <v>18.56025052828198</v>
      </c>
      <c r="I22" s="132">
        <v>15.660037751287405</v>
      </c>
      <c r="J22" s="132">
        <v>14.835432765104715</v>
      </c>
      <c r="K22" s="132">
        <v>2.8851107942161422</v>
      </c>
      <c r="L22" s="132">
        <v>18.445887452696738</v>
      </c>
      <c r="M22" s="132">
        <v>9.3274414506481129</v>
      </c>
      <c r="N22" s="132">
        <v>18.038733686973714</v>
      </c>
      <c r="O22" s="132">
        <v>5.9024982144932929</v>
      </c>
      <c r="P22" s="132">
        <v>13.109501950322151</v>
      </c>
      <c r="Q22" s="132">
        <v>26.297870167132338</v>
      </c>
      <c r="R22" s="132">
        <v>20.774093777722282</v>
      </c>
      <c r="S22" s="132">
        <v>13.183100948978117</v>
      </c>
      <c r="T22" s="132">
        <v>9.3620935461825159</v>
      </c>
      <c r="U22" s="132">
        <v>9.7956211552476713</v>
      </c>
      <c r="V22" s="132">
        <v>10.979981703995135</v>
      </c>
      <c r="W22" s="132">
        <v>9.5263294897678179</v>
      </c>
      <c r="X22" s="132">
        <v>7.4173926069226184</v>
      </c>
      <c r="Y22" s="132">
        <v>6.7981139239186206</v>
      </c>
      <c r="DA22" s="156" t="s">
        <v>712</v>
      </c>
    </row>
    <row r="23" spans="1:105" ht="12" customHeight="1" x14ac:dyDescent="0.25">
      <c r="A23" s="131" t="s">
        <v>149</v>
      </c>
      <c r="B23" s="132"/>
      <c r="C23" s="132">
        <v>0</v>
      </c>
      <c r="D23" s="132">
        <v>0</v>
      </c>
      <c r="E23" s="132">
        <v>0</v>
      </c>
      <c r="F23" s="132">
        <v>11.824070763747123</v>
      </c>
      <c r="G23" s="132">
        <v>24.354285831576352</v>
      </c>
      <c r="H23" s="132">
        <v>69.526558960769364</v>
      </c>
      <c r="I23" s="132">
        <v>38.47272636495763</v>
      </c>
      <c r="J23" s="132">
        <v>20.272679987766871</v>
      </c>
      <c r="K23" s="132">
        <v>1.5066688499137257</v>
      </c>
      <c r="L23" s="132">
        <v>8.5248336633609938</v>
      </c>
      <c r="M23" s="132">
        <v>4.6189961010355089</v>
      </c>
      <c r="N23" s="132">
        <v>12.967459123902294</v>
      </c>
      <c r="O23" s="132">
        <v>4.3576830210595014</v>
      </c>
      <c r="P23" s="132">
        <v>10.591499602146117</v>
      </c>
      <c r="Q23" s="132">
        <v>3.9277973470039473</v>
      </c>
      <c r="R23" s="132">
        <v>6.0747240753959488</v>
      </c>
      <c r="S23" s="132">
        <v>6.400865043141251</v>
      </c>
      <c r="T23" s="132">
        <v>9.6024239697202614</v>
      </c>
      <c r="U23" s="132">
        <v>13.369536901189761</v>
      </c>
      <c r="V23" s="132">
        <v>13.902548689775996</v>
      </c>
      <c r="W23" s="132">
        <v>15.388763802710146</v>
      </c>
      <c r="X23" s="132">
        <v>13.697090424391879</v>
      </c>
      <c r="Y23" s="132">
        <v>9.1340755546164338</v>
      </c>
      <c r="DA23" s="156" t="s">
        <v>713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714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715</v>
      </c>
    </row>
    <row r="26" spans="1:105" ht="12" customHeight="1" x14ac:dyDescent="0.25">
      <c r="A26" s="131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716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717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35.877689880286717</v>
      </c>
      <c r="D29" s="130">
        <f t="shared" si="12"/>
        <v>29.061433935764548</v>
      </c>
      <c r="E29" s="130">
        <f t="shared" si="12"/>
        <v>33.227327611589168</v>
      </c>
      <c r="F29" s="130">
        <f t="shared" si="12"/>
        <v>51.063345266570607</v>
      </c>
      <c r="G29" s="130">
        <f t="shared" si="12"/>
        <v>42.414586798844184</v>
      </c>
      <c r="H29" s="130">
        <f t="shared" si="12"/>
        <v>40.325691331056362</v>
      </c>
      <c r="I29" s="130">
        <f t="shared" si="12"/>
        <v>35.380698961817998</v>
      </c>
      <c r="J29" s="130">
        <f t="shared" si="12"/>
        <v>34.015532675535162</v>
      </c>
      <c r="K29" s="130">
        <f t="shared" si="12"/>
        <v>5.3281396228261313</v>
      </c>
      <c r="L29" s="130">
        <f t="shared" si="12"/>
        <v>24.95982896495493</v>
      </c>
      <c r="M29" s="130">
        <f t="shared" si="12"/>
        <v>14.144543407605942</v>
      </c>
      <c r="N29" s="130">
        <f t="shared" si="12"/>
        <v>37.545976163269231</v>
      </c>
      <c r="O29" s="130">
        <f t="shared" si="12"/>
        <v>13.281725227845294</v>
      </c>
      <c r="P29" s="130">
        <f t="shared" si="12"/>
        <v>40.915731530998102</v>
      </c>
      <c r="Q29" s="130">
        <f t="shared" si="12"/>
        <v>58.869911729301279</v>
      </c>
      <c r="R29" s="130">
        <f t="shared" ref="R29:W29" si="13">SUM(R30:R33)</f>
        <v>53.061717600202741</v>
      </c>
      <c r="S29" s="130">
        <f t="shared" si="13"/>
        <v>27.983084185849719</v>
      </c>
      <c r="T29" s="130">
        <f t="shared" si="13"/>
        <v>7.9625147500196105</v>
      </c>
      <c r="U29" s="130">
        <f t="shared" si="13"/>
        <v>17.32645791848374</v>
      </c>
      <c r="V29" s="130">
        <f t="shared" si="13"/>
        <v>25.098372961891464</v>
      </c>
      <c r="W29" s="130">
        <f t="shared" si="13"/>
        <v>19.051726937947102</v>
      </c>
      <c r="X29" s="130">
        <f t="shared" ref="X29:Y29" si="14">SUM(X30:X33)</f>
        <v>17.427507647525292</v>
      </c>
      <c r="Y29" s="130">
        <f t="shared" si="14"/>
        <v>22.414329501055299</v>
      </c>
      <c r="DA29" s="155" t="s">
        <v>718</v>
      </c>
    </row>
    <row r="30" spans="1:105" s="2" customFormat="1" ht="12" customHeight="1" x14ac:dyDescent="0.25">
      <c r="A30" s="131" t="s">
        <v>52</v>
      </c>
      <c r="B30" s="132"/>
      <c r="C30" s="132">
        <v>18.505457518310781</v>
      </c>
      <c r="D30" s="132">
        <v>17.047472390758617</v>
      </c>
      <c r="E30" s="132">
        <v>15.788625974811659</v>
      </c>
      <c r="F30" s="132">
        <v>11.175971641103187</v>
      </c>
      <c r="G30" s="132">
        <v>5.8858526340574615</v>
      </c>
      <c r="H30" s="132">
        <v>5.1380547849826499</v>
      </c>
      <c r="I30" s="132">
        <v>11.239514340641914</v>
      </c>
      <c r="J30" s="132">
        <v>13.035981814960568</v>
      </c>
      <c r="K30" s="132">
        <v>1.7826316872989596</v>
      </c>
      <c r="L30" s="132">
        <v>6.1833925374518959</v>
      </c>
      <c r="M30" s="132">
        <v>0.6797675014708412</v>
      </c>
      <c r="N30" s="132">
        <v>2.2651669481464536</v>
      </c>
      <c r="O30" s="132">
        <v>1.2821436558292862</v>
      </c>
      <c r="P30" s="132">
        <v>2.0465443040803057</v>
      </c>
      <c r="Q30" s="132">
        <v>10.911697740745625</v>
      </c>
      <c r="R30" s="132">
        <v>16.074843626478547</v>
      </c>
      <c r="S30" s="132">
        <v>6.4275733066459697</v>
      </c>
      <c r="T30" s="132">
        <v>2.3036292535593992</v>
      </c>
      <c r="U30" s="132">
        <v>0</v>
      </c>
      <c r="V30" s="132">
        <v>0</v>
      </c>
      <c r="W30" s="132">
        <v>3.7189054131850035</v>
      </c>
      <c r="X30" s="132">
        <v>9.7177060749243083</v>
      </c>
      <c r="Y30" s="132">
        <v>15.257470575394226</v>
      </c>
      <c r="DA30" s="156" t="s">
        <v>719</v>
      </c>
    </row>
    <row r="31" spans="1:105" ht="12" customHeight="1" x14ac:dyDescent="0.25">
      <c r="A31" s="131" t="s">
        <v>149</v>
      </c>
      <c r="B31" s="132"/>
      <c r="C31" s="132">
        <v>17.372232361975936</v>
      </c>
      <c r="D31" s="132">
        <v>12.01396154500593</v>
      </c>
      <c r="E31" s="132">
        <v>17.438701636777509</v>
      </c>
      <c r="F31" s="132">
        <v>39.887373625467418</v>
      </c>
      <c r="G31" s="132">
        <v>36.528734164786719</v>
      </c>
      <c r="H31" s="132">
        <v>35.187636546073712</v>
      </c>
      <c r="I31" s="132">
        <v>24.14118462117608</v>
      </c>
      <c r="J31" s="132">
        <v>20.979550860574594</v>
      </c>
      <c r="K31" s="132">
        <v>3.5455079355271719</v>
      </c>
      <c r="L31" s="132">
        <v>18.776436427503036</v>
      </c>
      <c r="M31" s="132">
        <v>13.464775906135101</v>
      </c>
      <c r="N31" s="132">
        <v>35.28080921512278</v>
      </c>
      <c r="O31" s="132">
        <v>11.999581572016009</v>
      </c>
      <c r="P31" s="132">
        <v>38.869187226917795</v>
      </c>
      <c r="Q31" s="132">
        <v>47.958213988555656</v>
      </c>
      <c r="R31" s="132">
        <v>36.986873973724194</v>
      </c>
      <c r="S31" s="132">
        <v>21.555510879203748</v>
      </c>
      <c r="T31" s="132">
        <v>5.6588854964602113</v>
      </c>
      <c r="U31" s="132">
        <v>17.32645791848374</v>
      </c>
      <c r="V31" s="132">
        <v>25.098372961891464</v>
      </c>
      <c r="W31" s="132">
        <v>15.332821524762098</v>
      </c>
      <c r="X31" s="132">
        <v>7.7098015726009832</v>
      </c>
      <c r="Y31" s="132">
        <v>7.1568589256610711</v>
      </c>
      <c r="DA31" s="156" t="s">
        <v>720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721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722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/>
      <c r="C3" s="125">
        <f>IF(SER_hh_fec_in!C3=0,0,11630*1000*SER_hh_fec_in!C3/SER_hh_num_in!C3)</f>
        <v>31397.362480144195</v>
      </c>
      <c r="D3" s="125">
        <f>IF(SER_hh_fec_in!D3=0,0,11630*1000*SER_hh_fec_in!D3/SER_hh_num_in!D3)</f>
        <v>28339.606242163747</v>
      </c>
      <c r="E3" s="125">
        <f>IF(SER_hh_fec_in!E3=0,0,11630*1000*SER_hh_fec_in!E3/SER_hh_num_in!E3)</f>
        <v>29520.216732863228</v>
      </c>
      <c r="F3" s="125">
        <f>IF(SER_hh_fec_in!F3=0,0,11630*1000*SER_hh_fec_in!F3/SER_hh_num_in!F3)</f>
        <v>27046.572463411587</v>
      </c>
      <c r="G3" s="125">
        <f>IF(SER_hh_fec_in!G3=0,0,11630*1000*SER_hh_fec_in!G3/SER_hh_num_in!G3)</f>
        <v>26036.167377253667</v>
      </c>
      <c r="H3" s="125">
        <f>IF(SER_hh_fec_in!H3=0,0,11630*1000*SER_hh_fec_in!H3/SER_hh_num_in!H3)</f>
        <v>43297.338761510524</v>
      </c>
      <c r="I3" s="125">
        <f>IF(SER_hh_fec_in!I3=0,0,11630*1000*SER_hh_fec_in!I3/SER_hh_num_in!I3)</f>
        <v>27882.802776483008</v>
      </c>
      <c r="J3" s="125">
        <f>IF(SER_hh_fec_in!J3=0,0,11630*1000*SER_hh_fec_in!J3/SER_hh_num_in!J3)</f>
        <v>27695.422766345488</v>
      </c>
      <c r="K3" s="125">
        <f>IF(SER_hh_fec_in!K3=0,0,11630*1000*SER_hh_fec_in!K3/SER_hh_num_in!K3)</f>
        <v>28245.904548975115</v>
      </c>
      <c r="L3" s="125">
        <f>IF(SER_hh_fec_in!L3=0,0,11630*1000*SER_hh_fec_in!L3/SER_hh_num_in!L3)</f>
        <v>32062.929368065463</v>
      </c>
      <c r="M3" s="125">
        <f>IF(SER_hh_fec_in!M3=0,0,11630*1000*SER_hh_fec_in!M3/SER_hh_num_in!M3)</f>
        <v>29327.959894658547</v>
      </c>
      <c r="N3" s="125">
        <f>IF(SER_hh_fec_in!N3=0,0,11630*1000*SER_hh_fec_in!N3/SER_hh_num_in!N3)</f>
        <v>27341.304870334036</v>
      </c>
      <c r="O3" s="125">
        <f>IF(SER_hh_fec_in!O3=0,0,11630*1000*SER_hh_fec_in!O3/SER_hh_num_in!O3)</f>
        <v>24482.485470099899</v>
      </c>
      <c r="P3" s="125">
        <f>IF(SER_hh_fec_in!P3=0,0,11630*1000*SER_hh_fec_in!P3/SER_hh_num_in!P3)</f>
        <v>20863.206008676909</v>
      </c>
      <c r="Q3" s="125">
        <f>IF(SER_hh_fec_in!Q3=0,0,11630*1000*SER_hh_fec_in!Q3/SER_hh_num_in!Q3)</f>
        <v>21061.37533648414</v>
      </c>
      <c r="R3" s="125">
        <f>IF(SER_hh_fec_in!R3=0,0,11630*1000*SER_hh_fec_in!R3/SER_hh_num_in!R3)</f>
        <v>20439.667535670815</v>
      </c>
      <c r="S3" s="125">
        <f>IF(SER_hh_fec_in!S3=0,0,11630*1000*SER_hh_fec_in!S3/SER_hh_num_in!S3)</f>
        <v>20744.716272572652</v>
      </c>
      <c r="T3" s="125">
        <f>IF(SER_hh_fec_in!T3=0,0,11630*1000*SER_hh_fec_in!T3/SER_hh_num_in!T3)</f>
        <v>20204.631217259215</v>
      </c>
      <c r="U3" s="125">
        <f>IF(SER_hh_fec_in!U3=0,0,11630*1000*SER_hh_fec_in!U3/SER_hh_num_in!U3)</f>
        <v>19852.554787719127</v>
      </c>
      <c r="V3" s="125">
        <f>IF(SER_hh_fec_in!V3=0,0,11630*1000*SER_hh_fec_in!V3/SER_hh_num_in!V3)</f>
        <v>18030.633914730603</v>
      </c>
      <c r="W3" s="125">
        <f>IF(SER_hh_fec_in!W3=0,0,11630*1000*SER_hh_fec_in!W3/SER_hh_num_in!W3)</f>
        <v>20120.316324258296</v>
      </c>
      <c r="X3" s="125">
        <f>IF(SER_hh_fec_in!X3=0,0,11630*1000*SER_hh_fec_in!X3/SER_hh_num_in!X3)</f>
        <v>19646.30927622021</v>
      </c>
      <c r="Y3" s="125">
        <f>IF(SER_hh_fec_in!Y3=0,0,11630*1000*SER_hh_fec_in!Y3/SER_hh_num_in!Y3)</f>
        <v>20697.086724086548</v>
      </c>
      <c r="DA3" s="154" t="s">
        <v>724</v>
      </c>
    </row>
    <row r="4" spans="1:105" ht="12.95" customHeight="1" x14ac:dyDescent="0.25">
      <c r="A4" s="129" t="s">
        <v>32</v>
      </c>
      <c r="B4" s="130"/>
      <c r="C4" s="130">
        <f>IF(SER_hh_fec_in!C4=0,0,11630*1000*SER_hh_fec_in!C4/SER_hh_num_in!C4)</f>
        <v>11981.411769171578</v>
      </c>
      <c r="D4" s="130">
        <f>IF(SER_hh_fec_in!D4=0,0,11630*1000*SER_hh_fec_in!D4/SER_hh_num_in!D4)</f>
        <v>9951.0512220670407</v>
      </c>
      <c r="E4" s="130">
        <f>IF(SER_hh_fec_in!E4=0,0,11630*1000*SER_hh_fec_in!E4/SER_hh_num_in!E4)</f>
        <v>9930.5956525413712</v>
      </c>
      <c r="F4" s="130">
        <f>IF(SER_hh_fec_in!F4=0,0,11630*1000*SER_hh_fec_in!F4/SER_hh_num_in!F4)</f>
        <v>7720.1020679349149</v>
      </c>
      <c r="G4" s="130">
        <f>IF(SER_hh_fec_in!G4=0,0,11630*1000*SER_hh_fec_in!G4/SER_hh_num_in!G4)</f>
        <v>7282.6725444262511</v>
      </c>
      <c r="H4" s="130">
        <f>IF(SER_hh_fec_in!H4=0,0,11630*1000*SER_hh_fec_in!H4/SER_hh_num_in!H4)</f>
        <v>22397.384441482631</v>
      </c>
      <c r="I4" s="130">
        <f>IF(SER_hh_fec_in!I4=0,0,11630*1000*SER_hh_fec_in!I4/SER_hh_num_in!I4)</f>
        <v>9738.6018358071142</v>
      </c>
      <c r="J4" s="130">
        <f>IF(SER_hh_fec_in!J4=0,0,11630*1000*SER_hh_fec_in!J4/SER_hh_num_in!J4)</f>
        <v>9721.0436856191609</v>
      </c>
      <c r="K4" s="130">
        <f>IF(SER_hh_fec_in!K4=0,0,11630*1000*SER_hh_fec_in!K4/SER_hh_num_in!K4)</f>
        <v>9896.8291575706589</v>
      </c>
      <c r="L4" s="130">
        <f>IF(SER_hh_fec_in!L4=0,0,11630*1000*SER_hh_fec_in!L4/SER_hh_num_in!L4)</f>
        <v>13365.385954276322</v>
      </c>
      <c r="M4" s="130">
        <f>IF(SER_hh_fec_in!M4=0,0,11630*1000*SER_hh_fec_in!M4/SER_hh_num_in!M4)</f>
        <v>11418.075810670782</v>
      </c>
      <c r="N4" s="130">
        <f>IF(SER_hh_fec_in!N4=0,0,11630*1000*SER_hh_fec_in!N4/SER_hh_num_in!N4)</f>
        <v>8635.9766046154236</v>
      </c>
      <c r="O4" s="130">
        <f>IF(SER_hh_fec_in!O4=0,0,11630*1000*SER_hh_fec_in!O4/SER_hh_num_in!O4)</f>
        <v>6888.1112303791169</v>
      </c>
      <c r="P4" s="130">
        <f>IF(SER_hh_fec_in!P4=0,0,11630*1000*SER_hh_fec_in!P4/SER_hh_num_in!P4)</f>
        <v>2124.7371894531502</v>
      </c>
      <c r="Q4" s="130">
        <f>IF(SER_hh_fec_in!Q4=0,0,11630*1000*SER_hh_fec_in!Q4/SER_hh_num_in!Q4)</f>
        <v>1876.7234435948562</v>
      </c>
      <c r="R4" s="130">
        <f>IF(SER_hh_fec_in!R4=0,0,11630*1000*SER_hh_fec_in!R4/SER_hh_num_in!R4)</f>
        <v>2695.6384587321463</v>
      </c>
      <c r="S4" s="130">
        <f>IF(SER_hh_fec_in!S4=0,0,11630*1000*SER_hh_fec_in!S4/SER_hh_num_in!S4)</f>
        <v>4040.7776586789246</v>
      </c>
      <c r="T4" s="130">
        <f>IF(SER_hh_fec_in!T4=0,0,11630*1000*SER_hh_fec_in!T4/SER_hh_num_in!T4)</f>
        <v>4663.5774000309802</v>
      </c>
      <c r="U4" s="130">
        <f>IF(SER_hh_fec_in!U4=0,0,11630*1000*SER_hh_fec_in!U4/SER_hh_num_in!U4)</f>
        <v>4251.0199641902527</v>
      </c>
      <c r="V4" s="130">
        <f>IF(SER_hh_fec_in!V4=0,0,11630*1000*SER_hh_fec_in!V4/SER_hh_num_in!V4)</f>
        <v>3676.0551741264785</v>
      </c>
      <c r="W4" s="130">
        <f>IF(SER_hh_fec_in!W4=0,0,11630*1000*SER_hh_fec_in!W4/SER_hh_num_in!W4)</f>
        <v>5468.5204529284183</v>
      </c>
      <c r="X4" s="130">
        <f>IF(SER_hh_fec_in!X4=0,0,11630*1000*SER_hh_fec_in!X4/SER_hh_num_in!X4)</f>
        <v>4865.9272144018687</v>
      </c>
      <c r="Y4" s="130">
        <f>IF(SER_hh_fec_in!Y4=0,0,11630*1000*SER_hh_fec_in!Y4/SER_hh_num_in!Y4)</f>
        <v>4392.2344044239726</v>
      </c>
      <c r="DA4" s="155" t="s">
        <v>725</v>
      </c>
    </row>
    <row r="5" spans="1:105" ht="12" customHeight="1" x14ac:dyDescent="0.25">
      <c r="A5" s="131" t="s">
        <v>29</v>
      </c>
      <c r="B5" s="132"/>
      <c r="C5" s="132">
        <f>IF(SER_hh_fec_in!C5=0,0,11630*1000*SER_hh_fec_in!C5/SER_hh_num_in!C5)</f>
        <v>0</v>
      </c>
      <c r="D5" s="132">
        <f>IF(SER_hh_fec_in!D5=0,0,11630*1000*SER_hh_fec_in!D5/SER_hh_num_in!D5)</f>
        <v>0</v>
      </c>
      <c r="E5" s="132">
        <f>IF(SER_hh_fec_in!E5=0,0,11630*1000*SER_hh_fec_in!E5/SER_hh_num_in!E5)</f>
        <v>0</v>
      </c>
      <c r="F5" s="132">
        <f>IF(SER_hh_fec_in!F5=0,0,11630*1000*SER_hh_fec_in!F5/SER_hh_num_in!F5)</f>
        <v>0</v>
      </c>
      <c r="G5" s="132">
        <f>IF(SER_hh_fec_in!G5=0,0,11630*1000*SER_hh_fec_in!G5/SER_hh_num_in!G5)</f>
        <v>0</v>
      </c>
      <c r="H5" s="132">
        <f>IF(SER_hh_fec_in!H5=0,0,11630*1000*SER_hh_fec_in!H5/SER_hh_num_in!H5)</f>
        <v>0</v>
      </c>
      <c r="I5" s="132">
        <f>IF(SER_hh_fec_in!I5=0,0,11630*1000*SER_hh_fec_in!I5/SER_hh_num_in!I5)</f>
        <v>0</v>
      </c>
      <c r="J5" s="132">
        <f>IF(SER_hh_fec_in!J5=0,0,11630*1000*SER_hh_fec_in!J5/SER_hh_num_in!J5)</f>
        <v>0</v>
      </c>
      <c r="K5" s="132">
        <f>IF(SER_hh_fec_in!K5=0,0,11630*1000*SER_hh_fec_in!K5/SER_hh_num_in!K5)</f>
        <v>0</v>
      </c>
      <c r="L5" s="132">
        <f>IF(SER_hh_fec_in!L5=0,0,11630*1000*SER_hh_fec_in!L5/SER_hh_num_in!L5)</f>
        <v>0</v>
      </c>
      <c r="M5" s="132">
        <f>IF(SER_hh_fec_in!M5=0,0,11630*1000*SER_hh_fec_in!M5/SER_hh_num_in!M5)</f>
        <v>0</v>
      </c>
      <c r="N5" s="132">
        <f>IF(SER_hh_fec_in!N5=0,0,11630*1000*SER_hh_fec_in!N5/SER_hh_num_in!N5)</f>
        <v>0</v>
      </c>
      <c r="O5" s="132">
        <f>IF(SER_hh_fec_in!O5=0,0,11630*1000*SER_hh_fec_in!O5/SER_hh_num_in!O5)</f>
        <v>0</v>
      </c>
      <c r="P5" s="132">
        <f>IF(SER_hh_fec_in!P5=0,0,11630*1000*SER_hh_fec_in!P5/SER_hh_num_in!P5)</f>
        <v>0</v>
      </c>
      <c r="Q5" s="132">
        <f>IF(SER_hh_fec_in!Q5=0,0,11630*1000*SER_hh_fec_in!Q5/SER_hh_num_in!Q5)</f>
        <v>0</v>
      </c>
      <c r="R5" s="132">
        <f>IF(SER_hh_fec_in!R5=0,0,11630*1000*SER_hh_fec_in!R5/SER_hh_num_in!R5)</f>
        <v>0</v>
      </c>
      <c r="S5" s="132">
        <f>IF(SER_hh_fec_in!S5=0,0,11630*1000*SER_hh_fec_in!S5/SER_hh_num_in!S5)</f>
        <v>0</v>
      </c>
      <c r="T5" s="132">
        <f>IF(SER_hh_fec_in!T5=0,0,11630*1000*SER_hh_fec_in!T5/SER_hh_num_in!T5)</f>
        <v>0</v>
      </c>
      <c r="U5" s="132">
        <f>IF(SER_hh_fec_in!U5=0,0,11630*1000*SER_hh_fec_in!U5/SER_hh_num_in!U5)</f>
        <v>0</v>
      </c>
      <c r="V5" s="132">
        <f>IF(SER_hh_fec_in!V5=0,0,11630*1000*SER_hh_fec_in!V5/SER_hh_num_in!V5)</f>
        <v>0</v>
      </c>
      <c r="W5" s="132">
        <f>IF(SER_hh_fec_in!W5=0,0,11630*1000*SER_hh_fec_in!W5/SER_hh_num_in!W5)</f>
        <v>0</v>
      </c>
      <c r="X5" s="132">
        <f>IF(SER_hh_fec_in!X5=0,0,11630*1000*SER_hh_fec_in!X5/SER_hh_num_in!X5)</f>
        <v>0</v>
      </c>
      <c r="Y5" s="132">
        <f>IF(SER_hh_fec_in!Y5=0,0,11630*1000*SER_hh_fec_in!Y5/SER_hh_num_in!Y5)</f>
        <v>0</v>
      </c>
      <c r="DA5" s="156" t="s">
        <v>726</v>
      </c>
    </row>
    <row r="6" spans="1:105" ht="12" customHeight="1" x14ac:dyDescent="0.25">
      <c r="A6" s="131" t="s">
        <v>52</v>
      </c>
      <c r="B6" s="132"/>
      <c r="C6" s="132">
        <f>IF(SER_hh_fec_in!C6=0,0,11630*1000*SER_hh_fec_in!C6/SER_hh_num_in!C6)</f>
        <v>0</v>
      </c>
      <c r="D6" s="132">
        <f>IF(SER_hh_fec_in!D6=0,0,11630*1000*SER_hh_fec_in!D6/SER_hh_num_in!D6)</f>
        <v>0</v>
      </c>
      <c r="E6" s="132">
        <f>IF(SER_hh_fec_in!E6=0,0,11630*1000*SER_hh_fec_in!E6/SER_hh_num_in!E6)</f>
        <v>0</v>
      </c>
      <c r="F6" s="132">
        <f>IF(SER_hh_fec_in!F6=0,0,11630*1000*SER_hh_fec_in!F6/SER_hh_num_in!F6)</f>
        <v>0</v>
      </c>
      <c r="G6" s="132">
        <f>IF(SER_hh_fec_in!G6=0,0,11630*1000*SER_hh_fec_in!G6/SER_hh_num_in!G6)</f>
        <v>0</v>
      </c>
      <c r="H6" s="132">
        <f>IF(SER_hh_fec_in!H6=0,0,11630*1000*SER_hh_fec_in!H6/SER_hh_num_in!H6)</f>
        <v>0</v>
      </c>
      <c r="I6" s="132">
        <f>IF(SER_hh_fec_in!I6=0,0,11630*1000*SER_hh_fec_in!I6/SER_hh_num_in!I6)</f>
        <v>0</v>
      </c>
      <c r="J6" s="132">
        <f>IF(SER_hh_fec_in!J6=0,0,11630*1000*SER_hh_fec_in!J6/SER_hh_num_in!J6)</f>
        <v>0</v>
      </c>
      <c r="K6" s="132">
        <f>IF(SER_hh_fec_in!K6=0,0,11630*1000*SER_hh_fec_in!K6/SER_hh_num_in!K6)</f>
        <v>0</v>
      </c>
      <c r="L6" s="132">
        <f>IF(SER_hh_fec_in!L6=0,0,11630*1000*SER_hh_fec_in!L6/SER_hh_num_in!L6)</f>
        <v>0</v>
      </c>
      <c r="M6" s="132">
        <f>IF(SER_hh_fec_in!M6=0,0,11630*1000*SER_hh_fec_in!M6/SER_hh_num_in!M6)</f>
        <v>0</v>
      </c>
      <c r="N6" s="132">
        <f>IF(SER_hh_fec_in!N6=0,0,11630*1000*SER_hh_fec_in!N6/SER_hh_num_in!N6)</f>
        <v>0</v>
      </c>
      <c r="O6" s="132">
        <f>IF(SER_hh_fec_in!O6=0,0,11630*1000*SER_hh_fec_in!O6/SER_hh_num_in!O6)</f>
        <v>0</v>
      </c>
      <c r="P6" s="132">
        <f>IF(SER_hh_fec_in!P6=0,0,11630*1000*SER_hh_fec_in!P6/SER_hh_num_in!P6)</f>
        <v>0</v>
      </c>
      <c r="Q6" s="132">
        <f>IF(SER_hh_fec_in!Q6=0,0,11630*1000*SER_hh_fec_in!Q6/SER_hh_num_in!Q6)</f>
        <v>0</v>
      </c>
      <c r="R6" s="132">
        <f>IF(SER_hh_fec_in!R6=0,0,11630*1000*SER_hh_fec_in!R6/SER_hh_num_in!R6)</f>
        <v>0</v>
      </c>
      <c r="S6" s="132">
        <f>IF(SER_hh_fec_in!S6=0,0,11630*1000*SER_hh_fec_in!S6/SER_hh_num_in!S6)</f>
        <v>0</v>
      </c>
      <c r="T6" s="132">
        <f>IF(SER_hh_fec_in!T6=0,0,11630*1000*SER_hh_fec_in!T6/SER_hh_num_in!T6)</f>
        <v>0</v>
      </c>
      <c r="U6" s="132">
        <f>IF(SER_hh_fec_in!U6=0,0,11630*1000*SER_hh_fec_in!U6/SER_hh_num_in!U6)</f>
        <v>0</v>
      </c>
      <c r="V6" s="132">
        <f>IF(SER_hh_fec_in!V6=0,0,11630*1000*SER_hh_fec_in!V6/SER_hh_num_in!V6)</f>
        <v>0</v>
      </c>
      <c r="W6" s="132">
        <f>IF(SER_hh_fec_in!W6=0,0,11630*1000*SER_hh_fec_in!W6/SER_hh_num_in!W6)</f>
        <v>0</v>
      </c>
      <c r="X6" s="132">
        <f>IF(SER_hh_fec_in!X6=0,0,11630*1000*SER_hh_fec_in!X6/SER_hh_num_in!X6)</f>
        <v>0</v>
      </c>
      <c r="Y6" s="132">
        <f>IF(SER_hh_fec_in!Y6=0,0,11630*1000*SER_hh_fec_in!Y6/SER_hh_num_in!Y6)</f>
        <v>0</v>
      </c>
      <c r="DA6" s="156" t="s">
        <v>727</v>
      </c>
    </row>
    <row r="7" spans="1:105" ht="12" customHeight="1" x14ac:dyDescent="0.25">
      <c r="A7" s="131" t="s">
        <v>161</v>
      </c>
      <c r="B7" s="132"/>
      <c r="C7" s="132">
        <f>IF(SER_hh_fec_in!C7=0,0,11630*1000*SER_hh_fec_in!C7/SER_hh_num_in!C7)</f>
        <v>11996.883648066772</v>
      </c>
      <c r="D7" s="132">
        <f>IF(SER_hh_fec_in!D7=0,0,11630*1000*SER_hh_fec_in!D7/SER_hh_num_in!D7)</f>
        <v>9985.4479052773386</v>
      </c>
      <c r="E7" s="132">
        <f>IF(SER_hh_fec_in!E7=0,0,11630*1000*SER_hh_fec_in!E7/SER_hh_num_in!E7)</f>
        <v>10032.038500786428</v>
      </c>
      <c r="F7" s="132">
        <f>IF(SER_hh_fec_in!F7=0,0,11630*1000*SER_hh_fec_in!F7/SER_hh_num_in!F7)</f>
        <v>11035.144599281881</v>
      </c>
      <c r="G7" s="132">
        <f>IF(SER_hh_fec_in!G7=0,0,11630*1000*SER_hh_fec_in!G7/SER_hh_num_in!G7)</f>
        <v>0</v>
      </c>
      <c r="H7" s="132">
        <f>IF(SER_hh_fec_in!H7=0,0,11630*1000*SER_hh_fec_in!H7/SER_hh_num_in!H7)</f>
        <v>0</v>
      </c>
      <c r="I7" s="132">
        <f>IF(SER_hh_fec_in!I7=0,0,11630*1000*SER_hh_fec_in!I7/SER_hh_num_in!I7)</f>
        <v>0</v>
      </c>
      <c r="J7" s="132">
        <f>IF(SER_hh_fec_in!J7=0,0,11630*1000*SER_hh_fec_in!J7/SER_hh_num_in!J7)</f>
        <v>0</v>
      </c>
      <c r="K7" s="132">
        <f>IF(SER_hh_fec_in!K7=0,0,11630*1000*SER_hh_fec_in!K7/SER_hh_num_in!K7)</f>
        <v>0</v>
      </c>
      <c r="L7" s="132">
        <f>IF(SER_hh_fec_in!L7=0,0,11630*1000*SER_hh_fec_in!L7/SER_hh_num_in!L7)</f>
        <v>13450.094901159559</v>
      </c>
      <c r="M7" s="132">
        <f>IF(SER_hh_fec_in!M7=0,0,11630*1000*SER_hh_fec_in!M7/SER_hh_num_in!M7)</f>
        <v>11281.477659616783</v>
      </c>
      <c r="N7" s="132">
        <f>IF(SER_hh_fec_in!N7=0,0,11630*1000*SER_hh_fec_in!N7/SER_hh_num_in!N7)</f>
        <v>10858.970276516195</v>
      </c>
      <c r="O7" s="132">
        <f>IF(SER_hh_fec_in!O7=0,0,11630*1000*SER_hh_fec_in!O7/SER_hh_num_in!O7)</f>
        <v>10203.462375285317</v>
      </c>
      <c r="P7" s="132">
        <f>IF(SER_hh_fec_in!P7=0,0,11630*1000*SER_hh_fec_in!P7/SER_hh_num_in!P7)</f>
        <v>7083.8281840082464</v>
      </c>
      <c r="Q7" s="132">
        <f>IF(SER_hh_fec_in!Q7=0,0,11630*1000*SER_hh_fec_in!Q7/SER_hh_num_in!Q7)</f>
        <v>4758.9884243920842</v>
      </c>
      <c r="R7" s="132">
        <f>IF(SER_hh_fec_in!R7=0,0,11630*1000*SER_hh_fec_in!R7/SER_hh_num_in!R7)</f>
        <v>6137.1176689139602</v>
      </c>
      <c r="S7" s="132">
        <f>IF(SER_hh_fec_in!S7=0,0,11630*1000*SER_hh_fec_in!S7/SER_hh_num_in!S7)</f>
        <v>7189.7822544708615</v>
      </c>
      <c r="T7" s="132">
        <f>IF(SER_hh_fec_in!T7=0,0,11630*1000*SER_hh_fec_in!T7/SER_hh_num_in!T7)</f>
        <v>8044.6709388941845</v>
      </c>
      <c r="U7" s="132">
        <f>IF(SER_hh_fec_in!U7=0,0,11630*1000*SER_hh_fec_in!U7/SER_hh_num_in!U7)</f>
        <v>8026.1522977554878</v>
      </c>
      <c r="V7" s="132">
        <f>IF(SER_hh_fec_in!V7=0,0,11630*1000*SER_hh_fec_in!V7/SER_hh_num_in!V7)</f>
        <v>0</v>
      </c>
      <c r="W7" s="132">
        <f>IF(SER_hh_fec_in!W7=0,0,11630*1000*SER_hh_fec_in!W7/SER_hh_num_in!W7)</f>
        <v>0</v>
      </c>
      <c r="X7" s="132">
        <f>IF(SER_hh_fec_in!X7=0,0,11630*1000*SER_hh_fec_in!X7/SER_hh_num_in!X7)</f>
        <v>0</v>
      </c>
      <c r="Y7" s="132">
        <f>IF(SER_hh_fec_in!Y7=0,0,11630*1000*SER_hh_fec_in!Y7/SER_hh_num_in!Y7)</f>
        <v>0</v>
      </c>
      <c r="DA7" s="156" t="s">
        <v>728</v>
      </c>
    </row>
    <row r="8" spans="1:105" ht="12" customHeight="1" x14ac:dyDescent="0.25">
      <c r="A8" s="131" t="s">
        <v>73</v>
      </c>
      <c r="B8" s="132"/>
      <c r="C8" s="132">
        <f>IF(SER_hh_fec_in!C8=0,0,11630*1000*SER_hh_fec_in!C8/SER_hh_num_in!C8)</f>
        <v>3640.053965922285</v>
      </c>
      <c r="D8" s="132">
        <f>IF(SER_hh_fec_in!D8=0,0,11630*1000*SER_hh_fec_in!D8/SER_hh_num_in!D8)</f>
        <v>3197.8347132694798</v>
      </c>
      <c r="E8" s="132">
        <f>IF(SER_hh_fec_in!E8=0,0,11630*1000*SER_hh_fec_in!E8/SER_hh_num_in!E8)</f>
        <v>2125.8332499714757</v>
      </c>
      <c r="F8" s="132">
        <f>IF(SER_hh_fec_in!F8=0,0,11630*1000*SER_hh_fec_in!F8/SER_hh_num_in!F8)</f>
        <v>2164.5070230697202</v>
      </c>
      <c r="G8" s="132">
        <f>IF(SER_hh_fec_in!G8=0,0,11630*1000*SER_hh_fec_in!G8/SER_hh_num_in!G8)</f>
        <v>3077.2064406647769</v>
      </c>
      <c r="H8" s="132">
        <f>IF(SER_hh_fec_in!H8=0,0,11630*1000*SER_hh_fec_in!H8/SER_hh_num_in!H8)</f>
        <v>4470.4007958736856</v>
      </c>
      <c r="I8" s="132">
        <f>IF(SER_hh_fec_in!I8=0,0,11630*1000*SER_hh_fec_in!I8/SER_hh_num_in!I8)</f>
        <v>3661.7239542705256</v>
      </c>
      <c r="J8" s="132">
        <f>IF(SER_hh_fec_in!J8=0,0,11630*1000*SER_hh_fec_in!J8/SER_hh_num_in!J8)</f>
        <v>3310.4392496251912</v>
      </c>
      <c r="K8" s="132">
        <f>IF(SER_hh_fec_in!K8=0,0,11630*1000*SER_hh_fec_in!K8/SER_hh_num_in!K8)</f>
        <v>2885.5599815918717</v>
      </c>
      <c r="L8" s="132">
        <f>IF(SER_hh_fec_in!L8=0,0,11630*1000*SER_hh_fec_in!L8/SER_hh_num_in!L8)</f>
        <v>2402.1108199284886</v>
      </c>
      <c r="M8" s="132">
        <f>IF(SER_hh_fec_in!M8=0,0,11630*1000*SER_hh_fec_in!M8/SER_hh_num_in!M8)</f>
        <v>2277.5778829834617</v>
      </c>
      <c r="N8" s="132">
        <f>IF(SER_hh_fec_in!N8=0,0,11630*1000*SER_hh_fec_in!N8/SER_hh_num_in!N8)</f>
        <v>1643.3029409062017</v>
      </c>
      <c r="O8" s="132">
        <f>IF(SER_hh_fec_in!O8=0,0,11630*1000*SER_hh_fec_in!O8/SER_hh_num_in!O8)</f>
        <v>1491.5206165505756</v>
      </c>
      <c r="P8" s="132">
        <f>IF(SER_hh_fec_in!P8=0,0,11630*1000*SER_hh_fec_in!P8/SER_hh_num_in!P8)</f>
        <v>1433.022888031129</v>
      </c>
      <c r="Q8" s="132">
        <f>IF(SER_hh_fec_in!Q8=0,0,11630*1000*SER_hh_fec_in!Q8/SER_hh_num_in!Q8)</f>
        <v>1307.3668277036149</v>
      </c>
      <c r="R8" s="132">
        <f>IF(SER_hh_fec_in!R8=0,0,11630*1000*SER_hh_fec_in!R8/SER_hh_num_in!R8)</f>
        <v>1437.9565859632221</v>
      </c>
      <c r="S8" s="132">
        <f>IF(SER_hh_fec_in!S8=0,0,11630*1000*SER_hh_fec_in!S8/SER_hh_num_in!S8)</f>
        <v>1524.3402428575339</v>
      </c>
      <c r="T8" s="132">
        <f>IF(SER_hh_fec_in!T8=0,0,11630*1000*SER_hh_fec_in!T8/SER_hh_num_in!T8)</f>
        <v>1462.7468466808766</v>
      </c>
      <c r="U8" s="132">
        <f>IF(SER_hh_fec_in!U8=0,0,11630*1000*SER_hh_fec_in!U8/SER_hh_num_in!U8)</f>
        <v>2048.2312507528604</v>
      </c>
      <c r="V8" s="132">
        <f>IF(SER_hh_fec_in!V8=0,0,11630*1000*SER_hh_fec_in!V8/SER_hh_num_in!V8)</f>
        <v>1542.0430821573273</v>
      </c>
      <c r="W8" s="132">
        <f>IF(SER_hh_fec_in!W8=0,0,11630*1000*SER_hh_fec_in!W8/SER_hh_num_in!W8)</f>
        <v>1786.7945824410658</v>
      </c>
      <c r="X8" s="132">
        <f>IF(SER_hh_fec_in!X8=0,0,11630*1000*SER_hh_fec_in!X8/SER_hh_num_in!X8)</f>
        <v>1848.7822999917091</v>
      </c>
      <c r="Y8" s="132">
        <f>IF(SER_hh_fec_in!Y8=0,0,11630*1000*SER_hh_fec_in!Y8/SER_hh_num_in!Y8)</f>
        <v>2065.1702785623784</v>
      </c>
      <c r="DA8" s="156" t="s">
        <v>729</v>
      </c>
    </row>
    <row r="9" spans="1:105" ht="12" customHeight="1" x14ac:dyDescent="0.25">
      <c r="A9" s="131" t="s">
        <v>78</v>
      </c>
      <c r="B9" s="132"/>
      <c r="C9" s="132">
        <f>IF(SER_hh_fec_in!C9=0,0,11630*1000*SER_hh_fec_in!C9/SER_hh_num_in!C9)</f>
        <v>0</v>
      </c>
      <c r="D9" s="132">
        <f>IF(SER_hh_fec_in!D9=0,0,11630*1000*SER_hh_fec_in!D9/SER_hh_num_in!D9)</f>
        <v>0</v>
      </c>
      <c r="E9" s="132">
        <f>IF(SER_hh_fec_in!E9=0,0,11630*1000*SER_hh_fec_in!E9/SER_hh_num_in!E9)</f>
        <v>0</v>
      </c>
      <c r="F9" s="132">
        <f>IF(SER_hh_fec_in!F9=0,0,11630*1000*SER_hh_fec_in!F9/SER_hh_num_in!F9)</f>
        <v>1584.4648052927694</v>
      </c>
      <c r="G9" s="132">
        <f>IF(SER_hh_fec_in!G9=0,0,11630*1000*SER_hh_fec_in!G9/SER_hh_num_in!G9)</f>
        <v>8238.5973073528312</v>
      </c>
      <c r="H9" s="132">
        <f>IF(SER_hh_fec_in!H9=0,0,11630*1000*SER_hh_fec_in!H9/SER_hh_num_in!H9)</f>
        <v>26279.022666962075</v>
      </c>
      <c r="I9" s="132">
        <f>IF(SER_hh_fec_in!I9=0,0,11630*1000*SER_hh_fec_in!I9/SER_hh_num_in!I9)</f>
        <v>12148.558824561782</v>
      </c>
      <c r="J9" s="132">
        <f>IF(SER_hh_fec_in!J9=0,0,11630*1000*SER_hh_fec_in!J9/SER_hh_num_in!J9)</f>
        <v>8825.5635123798475</v>
      </c>
      <c r="K9" s="132">
        <f>IF(SER_hh_fec_in!K9=0,0,11630*1000*SER_hh_fec_in!K9/SER_hh_num_in!K9)</f>
        <v>11323.45142392763</v>
      </c>
      <c r="L9" s="132">
        <f>IF(SER_hh_fec_in!L9=0,0,11630*1000*SER_hh_fec_in!L9/SER_hh_num_in!L9)</f>
        <v>14738.225353764004</v>
      </c>
      <c r="M9" s="132">
        <f>IF(SER_hh_fec_in!M9=0,0,11630*1000*SER_hh_fec_in!M9/SER_hh_num_in!M9)</f>
        <v>15889.764437481259</v>
      </c>
      <c r="N9" s="132">
        <f>IF(SER_hh_fec_in!N9=0,0,11630*1000*SER_hh_fec_in!N9/SER_hh_num_in!N9)</f>
        <v>11166.836869569843</v>
      </c>
      <c r="O9" s="132">
        <f>IF(SER_hh_fec_in!O9=0,0,11630*1000*SER_hh_fec_in!O9/SER_hh_num_in!O9)</f>
        <v>0</v>
      </c>
      <c r="P9" s="132">
        <f>IF(SER_hh_fec_in!P9=0,0,11630*1000*SER_hh_fec_in!P9/SER_hh_num_in!P9)</f>
        <v>0</v>
      </c>
      <c r="Q9" s="132">
        <f>IF(SER_hh_fec_in!Q9=0,0,11630*1000*SER_hh_fec_in!Q9/SER_hh_num_in!Q9)</f>
        <v>0</v>
      </c>
      <c r="R9" s="132">
        <f>IF(SER_hh_fec_in!R9=0,0,11630*1000*SER_hh_fec_in!R9/SER_hh_num_in!R9)</f>
        <v>0</v>
      </c>
      <c r="S9" s="132">
        <f>IF(SER_hh_fec_in!S9=0,0,11630*1000*SER_hh_fec_in!S9/SER_hh_num_in!S9)</f>
        <v>0</v>
      </c>
      <c r="T9" s="132">
        <f>IF(SER_hh_fec_in!T9=0,0,11630*1000*SER_hh_fec_in!T9/SER_hh_num_in!T9)</f>
        <v>7963.5289523301772</v>
      </c>
      <c r="U9" s="132">
        <f>IF(SER_hh_fec_in!U9=0,0,11630*1000*SER_hh_fec_in!U9/SER_hh_num_in!U9)</f>
        <v>7984.077361716244</v>
      </c>
      <c r="V9" s="132">
        <f>IF(SER_hh_fec_in!V9=0,0,11630*1000*SER_hh_fec_in!V9/SER_hh_num_in!V9)</f>
        <v>6895.0190226288933</v>
      </c>
      <c r="W9" s="132">
        <f>IF(SER_hh_fec_in!W9=0,0,11630*1000*SER_hh_fec_in!W9/SER_hh_num_in!W9)</f>
        <v>8621.3401218412309</v>
      </c>
      <c r="X9" s="132">
        <f>IF(SER_hh_fec_in!X9=0,0,11630*1000*SER_hh_fec_in!X9/SER_hh_num_in!X9)</f>
        <v>8240.7382836382967</v>
      </c>
      <c r="Y9" s="132">
        <f>IF(SER_hh_fec_in!Y9=0,0,11630*1000*SER_hh_fec_in!Y9/SER_hh_num_in!Y9)</f>
        <v>9019.063016941871</v>
      </c>
      <c r="DA9" s="156" t="s">
        <v>730</v>
      </c>
    </row>
    <row r="10" spans="1:105" ht="12" customHeight="1" x14ac:dyDescent="0.25">
      <c r="A10" s="131" t="s">
        <v>128</v>
      </c>
      <c r="B10" s="132"/>
      <c r="C10" s="132">
        <f>IF(SER_hh_fec_in!C10=0,0,11630*1000*SER_hh_fec_in!C10/SER_hh_num_in!C10)</f>
        <v>10903.357802359098</v>
      </c>
      <c r="D10" s="132">
        <f>IF(SER_hh_fec_in!D10=0,0,11630*1000*SER_hh_fec_in!D10/SER_hh_num_in!D10)</f>
        <v>9938.3775713247087</v>
      </c>
      <c r="E10" s="132">
        <f>IF(SER_hh_fec_in!E10=0,0,11630*1000*SER_hh_fec_in!E10/SER_hh_num_in!E10)</f>
        <v>9675.4496463956275</v>
      </c>
      <c r="F10" s="132">
        <f>IF(SER_hh_fec_in!F10=0,0,11630*1000*SER_hh_fec_in!F10/SER_hh_num_in!F10)</f>
        <v>9608.0525947370879</v>
      </c>
      <c r="G10" s="132">
        <f>IF(SER_hh_fec_in!G10=0,0,11630*1000*SER_hh_fec_in!G10/SER_hh_num_in!G10)</f>
        <v>9934.7144810241116</v>
      </c>
      <c r="H10" s="132">
        <f>IF(SER_hh_fec_in!H10=0,0,11630*1000*SER_hh_fec_in!H10/SER_hh_num_in!H10)</f>
        <v>14926.765182647971</v>
      </c>
      <c r="I10" s="132">
        <f>IF(SER_hh_fec_in!I10=0,0,11630*1000*SER_hh_fec_in!I10/SER_hh_num_in!I10)</f>
        <v>13563.419533479211</v>
      </c>
      <c r="J10" s="132">
        <f>IF(SER_hh_fec_in!J10=0,0,11630*1000*SER_hh_fec_in!J10/SER_hh_num_in!J10)</f>
        <v>15486.223698869704</v>
      </c>
      <c r="K10" s="132">
        <f>IF(SER_hh_fec_in!K10=0,0,11630*1000*SER_hh_fec_in!K10/SER_hh_num_in!K10)</f>
        <v>11935.79749914559</v>
      </c>
      <c r="L10" s="132">
        <f>IF(SER_hh_fec_in!L10=0,0,11630*1000*SER_hh_fec_in!L10/SER_hh_num_in!L10)</f>
        <v>0</v>
      </c>
      <c r="M10" s="132">
        <f>IF(SER_hh_fec_in!M10=0,0,11630*1000*SER_hh_fec_in!M10/SER_hh_num_in!M10)</f>
        <v>13665.11903673284</v>
      </c>
      <c r="N10" s="132">
        <f>IF(SER_hh_fec_in!N10=0,0,11630*1000*SER_hh_fec_in!N10/SER_hh_num_in!N10)</f>
        <v>11892.704701411789</v>
      </c>
      <c r="O10" s="132">
        <f>IF(SER_hh_fec_in!O10=0,0,11630*1000*SER_hh_fec_in!O10/SER_hh_num_in!O10)</f>
        <v>9838.3080178975142</v>
      </c>
      <c r="P10" s="132">
        <f>IF(SER_hh_fec_in!P10=0,0,11630*1000*SER_hh_fec_in!P10/SER_hh_num_in!P10)</f>
        <v>7655.7279978693641</v>
      </c>
      <c r="Q10" s="132">
        <f>IF(SER_hh_fec_in!Q10=0,0,11630*1000*SER_hh_fec_in!Q10/SER_hh_num_in!Q10)</f>
        <v>7480.5642059238426</v>
      </c>
      <c r="R10" s="132">
        <f>IF(SER_hh_fec_in!R10=0,0,11630*1000*SER_hh_fec_in!R10/SER_hh_num_in!R10)</f>
        <v>8917.7811365093439</v>
      </c>
      <c r="S10" s="132">
        <f>IF(SER_hh_fec_in!S10=0,0,11630*1000*SER_hh_fec_in!S10/SER_hh_num_in!S10)</f>
        <v>9585.4743945778773</v>
      </c>
      <c r="T10" s="132">
        <f>IF(SER_hh_fec_in!T10=0,0,11630*1000*SER_hh_fec_in!T10/SER_hh_num_in!T10)</f>
        <v>0</v>
      </c>
      <c r="U10" s="132">
        <f>IF(SER_hh_fec_in!U10=0,0,11630*1000*SER_hh_fec_in!U10/SER_hh_num_in!U10)</f>
        <v>0</v>
      </c>
      <c r="V10" s="132">
        <f>IF(SER_hh_fec_in!V10=0,0,11630*1000*SER_hh_fec_in!V10/SER_hh_num_in!V10)</f>
        <v>0</v>
      </c>
      <c r="W10" s="132">
        <f>IF(SER_hh_fec_in!W10=0,0,11630*1000*SER_hh_fec_in!W10/SER_hh_num_in!W10)</f>
        <v>11624.490660561645</v>
      </c>
      <c r="X10" s="132">
        <f>IF(SER_hh_fec_in!X10=0,0,11630*1000*SER_hh_fec_in!X10/SER_hh_num_in!X10)</f>
        <v>12062.30920647211</v>
      </c>
      <c r="Y10" s="132">
        <f>IF(SER_hh_fec_in!Y10=0,0,11630*1000*SER_hh_fec_in!Y10/SER_hh_num_in!Y10)</f>
        <v>12320.940359555791</v>
      </c>
      <c r="DA10" s="156" t="s">
        <v>731</v>
      </c>
    </row>
    <row r="11" spans="1:105" ht="12" customHeight="1" x14ac:dyDescent="0.25">
      <c r="A11" s="131" t="s">
        <v>25</v>
      </c>
      <c r="B11" s="132"/>
      <c r="C11" s="132">
        <f>IF(SER_hh_fec_in!C11=0,0,11630*1000*SER_hh_fec_in!C11/SER_hh_num_in!C11)</f>
        <v>0</v>
      </c>
      <c r="D11" s="132">
        <f>IF(SER_hh_fec_in!D11=0,0,11630*1000*SER_hh_fec_in!D11/SER_hh_num_in!D11)</f>
        <v>0</v>
      </c>
      <c r="E11" s="132">
        <f>IF(SER_hh_fec_in!E11=0,0,11630*1000*SER_hh_fec_in!E11/SER_hh_num_in!E11)</f>
        <v>0</v>
      </c>
      <c r="F11" s="132">
        <f>IF(SER_hh_fec_in!F11=0,0,11630*1000*SER_hh_fec_in!F11/SER_hh_num_in!F11)</f>
        <v>0</v>
      </c>
      <c r="G11" s="132">
        <f>IF(SER_hh_fec_in!G11=0,0,11630*1000*SER_hh_fec_in!G11/SER_hh_num_in!G11)</f>
        <v>0</v>
      </c>
      <c r="H11" s="132">
        <f>IF(SER_hh_fec_in!H11=0,0,11630*1000*SER_hh_fec_in!H11/SER_hh_num_in!H11)</f>
        <v>0</v>
      </c>
      <c r="I11" s="132">
        <f>IF(SER_hh_fec_in!I11=0,0,11630*1000*SER_hh_fec_in!I11/SER_hh_num_in!I11)</f>
        <v>8600.6351009543068</v>
      </c>
      <c r="J11" s="132">
        <f>IF(SER_hh_fec_in!J11=0,0,11630*1000*SER_hh_fec_in!J11/SER_hh_num_in!J11)</f>
        <v>0</v>
      </c>
      <c r="K11" s="132">
        <f>IF(SER_hh_fec_in!K11=0,0,11630*1000*SER_hh_fec_in!K11/SER_hh_num_in!K11)</f>
        <v>0</v>
      </c>
      <c r="L11" s="132">
        <f>IF(SER_hh_fec_in!L11=0,0,11630*1000*SER_hh_fec_in!L11/SER_hh_num_in!L11)</f>
        <v>0</v>
      </c>
      <c r="M11" s="132">
        <f>IF(SER_hh_fec_in!M11=0,0,11630*1000*SER_hh_fec_in!M11/SER_hh_num_in!M11)</f>
        <v>8687.4506361693784</v>
      </c>
      <c r="N11" s="132">
        <f>IF(SER_hh_fec_in!N11=0,0,11630*1000*SER_hh_fec_in!N11/SER_hh_num_in!N11)</f>
        <v>7354.8753147306152</v>
      </c>
      <c r="O11" s="132">
        <f>IF(SER_hh_fec_in!O11=0,0,11630*1000*SER_hh_fec_in!O11/SER_hh_num_in!O11)</f>
        <v>6575.0372270693388</v>
      </c>
      <c r="P11" s="132">
        <f>IF(SER_hh_fec_in!P11=0,0,11630*1000*SER_hh_fec_in!P11/SER_hh_num_in!P11)</f>
        <v>5276.79253794333</v>
      </c>
      <c r="Q11" s="132">
        <f>IF(SER_hh_fec_in!Q11=0,0,11630*1000*SER_hh_fec_in!Q11/SER_hh_num_in!Q11)</f>
        <v>4947.9973481992984</v>
      </c>
      <c r="R11" s="132">
        <f>IF(SER_hh_fec_in!R11=0,0,11630*1000*SER_hh_fec_in!R11/SER_hh_num_in!R11)</f>
        <v>0</v>
      </c>
      <c r="S11" s="132">
        <f>IF(SER_hh_fec_in!S11=0,0,11630*1000*SER_hh_fec_in!S11/SER_hh_num_in!S11)</f>
        <v>0</v>
      </c>
      <c r="T11" s="132">
        <f>IF(SER_hh_fec_in!T11=0,0,11630*1000*SER_hh_fec_in!T11/SER_hh_num_in!T11)</f>
        <v>0</v>
      </c>
      <c r="U11" s="132">
        <f>IF(SER_hh_fec_in!U11=0,0,11630*1000*SER_hh_fec_in!U11/SER_hh_num_in!U11)</f>
        <v>0</v>
      </c>
      <c r="V11" s="132">
        <f>IF(SER_hh_fec_in!V11=0,0,11630*1000*SER_hh_fec_in!V11/SER_hh_num_in!V11)</f>
        <v>0</v>
      </c>
      <c r="W11" s="132">
        <f>IF(SER_hh_fec_in!W11=0,0,11630*1000*SER_hh_fec_in!W11/SER_hh_num_in!W11)</f>
        <v>0</v>
      </c>
      <c r="X11" s="132">
        <f>IF(SER_hh_fec_in!X11=0,0,11630*1000*SER_hh_fec_in!X11/SER_hh_num_in!X11)</f>
        <v>0</v>
      </c>
      <c r="Y11" s="132">
        <f>IF(SER_hh_fec_in!Y11=0,0,11630*1000*SER_hh_fec_in!Y11/SER_hh_num_in!Y11)</f>
        <v>0</v>
      </c>
      <c r="DA11" s="156" t="s">
        <v>732</v>
      </c>
    </row>
    <row r="12" spans="1:105" ht="12" customHeight="1" x14ac:dyDescent="0.25">
      <c r="A12" s="131" t="s">
        <v>162</v>
      </c>
      <c r="B12" s="132"/>
      <c r="C12" s="132">
        <f>IF(SER_hh_fec_in!C12=0,0,11630*1000*SER_hh_fec_in!C12/SER_hh_num_in!C12)</f>
        <v>0</v>
      </c>
      <c r="D12" s="132">
        <f>IF(SER_hh_fec_in!D12=0,0,11630*1000*SER_hh_fec_in!D12/SER_hh_num_in!D12)</f>
        <v>0</v>
      </c>
      <c r="E12" s="132">
        <f>IF(SER_hh_fec_in!E12=0,0,11630*1000*SER_hh_fec_in!E12/SER_hh_num_in!E12)</f>
        <v>0</v>
      </c>
      <c r="F12" s="132">
        <f>IF(SER_hh_fec_in!F12=0,0,11630*1000*SER_hh_fec_in!F12/SER_hh_num_in!F12)</f>
        <v>0</v>
      </c>
      <c r="G12" s="132">
        <f>IF(SER_hh_fec_in!G12=0,0,11630*1000*SER_hh_fec_in!G12/SER_hh_num_in!G12)</f>
        <v>0</v>
      </c>
      <c r="H12" s="132">
        <f>IF(SER_hh_fec_in!H12=0,0,11630*1000*SER_hh_fec_in!H12/SER_hh_num_in!H12)</f>
        <v>0</v>
      </c>
      <c r="I12" s="132">
        <f>IF(SER_hh_fec_in!I12=0,0,11630*1000*SER_hh_fec_in!I12/SER_hh_num_in!I12)</f>
        <v>0</v>
      </c>
      <c r="J12" s="132">
        <f>IF(SER_hh_fec_in!J12=0,0,11630*1000*SER_hh_fec_in!J12/SER_hh_num_in!J12)</f>
        <v>0</v>
      </c>
      <c r="K12" s="132">
        <f>IF(SER_hh_fec_in!K12=0,0,11630*1000*SER_hh_fec_in!K12/SER_hh_num_in!K12)</f>
        <v>0</v>
      </c>
      <c r="L12" s="132">
        <f>IF(SER_hh_fec_in!L12=0,0,11630*1000*SER_hh_fec_in!L12/SER_hh_num_in!L12)</f>
        <v>0</v>
      </c>
      <c r="M12" s="132">
        <f>IF(SER_hh_fec_in!M12=0,0,11630*1000*SER_hh_fec_in!M12/SER_hh_num_in!M12)</f>
        <v>0</v>
      </c>
      <c r="N12" s="132">
        <f>IF(SER_hh_fec_in!N12=0,0,11630*1000*SER_hh_fec_in!N12/SER_hh_num_in!N12)</f>
        <v>0</v>
      </c>
      <c r="O12" s="132">
        <f>IF(SER_hh_fec_in!O12=0,0,11630*1000*SER_hh_fec_in!O12/SER_hh_num_in!O12)</f>
        <v>0</v>
      </c>
      <c r="P12" s="132">
        <f>IF(SER_hh_fec_in!P12=0,0,11630*1000*SER_hh_fec_in!P12/SER_hh_num_in!P12)</f>
        <v>0</v>
      </c>
      <c r="Q12" s="132">
        <f>IF(SER_hh_fec_in!Q12=0,0,11630*1000*SER_hh_fec_in!Q12/SER_hh_num_in!Q12)</f>
        <v>0</v>
      </c>
      <c r="R12" s="132">
        <f>IF(SER_hh_fec_in!R12=0,0,11630*1000*SER_hh_fec_in!R12/SER_hh_num_in!R12)</f>
        <v>0</v>
      </c>
      <c r="S12" s="132">
        <f>IF(SER_hh_fec_in!S12=0,0,11630*1000*SER_hh_fec_in!S12/SER_hh_num_in!S12)</f>
        <v>0</v>
      </c>
      <c r="T12" s="132">
        <f>IF(SER_hh_fec_in!T12=0,0,11630*1000*SER_hh_fec_in!T12/SER_hh_num_in!T12)</f>
        <v>0</v>
      </c>
      <c r="U12" s="132">
        <f>IF(SER_hh_fec_in!U12=0,0,11630*1000*SER_hh_fec_in!U12/SER_hh_num_in!U12)</f>
        <v>0</v>
      </c>
      <c r="V12" s="132">
        <f>IF(SER_hh_fec_in!V12=0,0,11630*1000*SER_hh_fec_in!V12/SER_hh_num_in!V12)</f>
        <v>0</v>
      </c>
      <c r="W12" s="132">
        <f>IF(SER_hh_fec_in!W12=0,0,11630*1000*SER_hh_fec_in!W12/SER_hh_num_in!W12)</f>
        <v>0</v>
      </c>
      <c r="X12" s="132">
        <f>IF(SER_hh_fec_in!X12=0,0,11630*1000*SER_hh_fec_in!X12/SER_hh_num_in!X12)</f>
        <v>0</v>
      </c>
      <c r="Y12" s="132">
        <f>IF(SER_hh_fec_in!Y12=0,0,11630*1000*SER_hh_fec_in!Y12/SER_hh_num_in!Y12)</f>
        <v>0</v>
      </c>
      <c r="DA12" s="156" t="s">
        <v>733</v>
      </c>
    </row>
    <row r="13" spans="1:105" ht="12" customHeight="1" x14ac:dyDescent="0.25">
      <c r="A13" s="131" t="s">
        <v>77</v>
      </c>
      <c r="B13" s="132"/>
      <c r="C13" s="132">
        <f>IF(SER_hh_fec_in!C13=0,0,11630*1000*SER_hh_fec_in!C13/SER_hh_num_in!C13)</f>
        <v>3520.4755596076611</v>
      </c>
      <c r="D13" s="132">
        <f>IF(SER_hh_fec_in!D13=0,0,11630*1000*SER_hh_fec_in!D13/SER_hh_num_in!D13)</f>
        <v>2632.9728341857467</v>
      </c>
      <c r="E13" s="132">
        <f>IF(SER_hh_fec_in!E13=0,0,11630*1000*SER_hh_fec_in!E13/SER_hh_num_in!E13)</f>
        <v>2571.7440845637493</v>
      </c>
      <c r="F13" s="132">
        <f>IF(SER_hh_fec_in!F13=0,0,11630*1000*SER_hh_fec_in!F13/SER_hh_num_in!F13)</f>
        <v>2321.0393184459631</v>
      </c>
      <c r="G13" s="132">
        <f>IF(SER_hh_fec_in!G13=0,0,11630*1000*SER_hh_fec_in!G13/SER_hh_num_in!G13)</f>
        <v>2796.0657190830134</v>
      </c>
      <c r="H13" s="132">
        <f>IF(SER_hh_fec_in!H13=0,0,11630*1000*SER_hh_fec_in!H13/SER_hh_num_in!H13)</f>
        <v>2729.7302823736786</v>
      </c>
      <c r="I13" s="132">
        <f>IF(SER_hh_fec_in!I13=0,0,11630*1000*SER_hh_fec_in!I13/SER_hh_num_in!I13)</f>
        <v>2810.5196258835995</v>
      </c>
      <c r="J13" s="132">
        <f>IF(SER_hh_fec_in!J13=0,0,11630*1000*SER_hh_fec_in!J13/SER_hh_num_in!J13)</f>
        <v>3096.0802925598405</v>
      </c>
      <c r="K13" s="132">
        <f>IF(SER_hh_fec_in!K13=0,0,11630*1000*SER_hh_fec_in!K13/SER_hh_num_in!K13)</f>
        <v>2937.5249218341023</v>
      </c>
      <c r="L13" s="132">
        <f>IF(SER_hh_fec_in!L13=0,0,11630*1000*SER_hh_fec_in!L13/SER_hh_num_in!L13)</f>
        <v>2755.8648066231062</v>
      </c>
      <c r="M13" s="132">
        <f>IF(SER_hh_fec_in!M13=0,0,11630*1000*SER_hh_fec_in!M13/SER_hh_num_in!M13)</f>
        <v>2364.0914700453036</v>
      </c>
      <c r="N13" s="132">
        <f>IF(SER_hh_fec_in!N13=0,0,11630*1000*SER_hh_fec_in!N13/SER_hh_num_in!N13)</f>
        <v>2030.1172523925604</v>
      </c>
      <c r="O13" s="132">
        <f>IF(SER_hh_fec_in!O13=0,0,11630*1000*SER_hh_fec_in!O13/SER_hh_num_in!O13)</f>
        <v>1513.4529623437652</v>
      </c>
      <c r="P13" s="132">
        <f>IF(SER_hh_fec_in!P13=0,0,11630*1000*SER_hh_fec_in!P13/SER_hh_num_in!P13)</f>
        <v>1123.8647643085371</v>
      </c>
      <c r="Q13" s="132">
        <f>IF(SER_hh_fec_in!Q13=0,0,11630*1000*SER_hh_fec_in!Q13/SER_hh_num_in!Q13)</f>
        <v>1151.9343572950418</v>
      </c>
      <c r="R13" s="132">
        <f>IF(SER_hh_fec_in!R13=0,0,11630*1000*SER_hh_fec_in!R13/SER_hh_num_in!R13)</f>
        <v>1200.3692750652128</v>
      </c>
      <c r="S13" s="132">
        <f>IF(SER_hh_fec_in!S13=0,0,11630*1000*SER_hh_fec_in!S13/SER_hh_num_in!S13)</f>
        <v>1306.1838447979751</v>
      </c>
      <c r="T13" s="132">
        <f>IF(SER_hh_fec_in!T13=0,0,11630*1000*SER_hh_fec_in!T13/SER_hh_num_in!T13)</f>
        <v>1423.9415620549298</v>
      </c>
      <c r="U13" s="132">
        <f>IF(SER_hh_fec_in!U13=0,0,11630*1000*SER_hh_fec_in!U13/SER_hh_num_in!U13)</f>
        <v>1478.4542757507672</v>
      </c>
      <c r="V13" s="132">
        <f>IF(SER_hh_fec_in!V13=0,0,11630*1000*SER_hh_fec_in!V13/SER_hh_num_in!V13)</f>
        <v>1515.1779941186373</v>
      </c>
      <c r="W13" s="132">
        <f>IF(SER_hh_fec_in!W13=0,0,11630*1000*SER_hh_fec_in!W13/SER_hh_num_in!W13)</f>
        <v>1527.2147549351737</v>
      </c>
      <c r="X13" s="132">
        <f>IF(SER_hh_fec_in!X13=0,0,11630*1000*SER_hh_fec_in!X13/SER_hh_num_in!X13)</f>
        <v>1632.258870090775</v>
      </c>
      <c r="Y13" s="132">
        <f>IF(SER_hh_fec_in!Y13=0,0,11630*1000*SER_hh_fec_in!Y13/SER_hh_num_in!Y13)</f>
        <v>1693.8916320238477</v>
      </c>
      <c r="DA13" s="156" t="s">
        <v>734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0</v>
      </c>
      <c r="D14" s="65">
        <f>IF(SER_hh_fec_in!D14=0,0,11630*1000*SER_hh_fec_in!D14/SER_hh_num_in!D14)</f>
        <v>0</v>
      </c>
      <c r="E14" s="65">
        <f>IF(SER_hh_fec_in!E14=0,0,11630*1000*SER_hh_fec_in!E14/SER_hh_num_in!E14)</f>
        <v>0</v>
      </c>
      <c r="F14" s="65">
        <f>IF(SER_hh_fec_in!F14=0,0,11630*1000*SER_hh_fec_in!F14/SER_hh_num_in!F14)</f>
        <v>7608.901305420427</v>
      </c>
      <c r="G14" s="65">
        <f>IF(SER_hh_fec_in!G14=0,0,11630*1000*SER_hh_fec_in!G14/SER_hh_num_in!G14)</f>
        <v>4183.7193579984523</v>
      </c>
      <c r="H14" s="65">
        <f>IF(SER_hh_fec_in!H14=0,0,11630*1000*SER_hh_fec_in!H14/SER_hh_num_in!H14)</f>
        <v>15586.460321605911</v>
      </c>
      <c r="I14" s="65">
        <f>IF(SER_hh_fec_in!I14=0,0,11630*1000*SER_hh_fec_in!I14/SER_hh_num_in!I14)</f>
        <v>8749.5865085627356</v>
      </c>
      <c r="J14" s="65">
        <f>IF(SER_hh_fec_in!J14=0,0,11630*1000*SER_hh_fec_in!J14/SER_hh_num_in!J14)</f>
        <v>11764.339343362441</v>
      </c>
      <c r="K14" s="65">
        <f>IF(SER_hh_fec_in!K14=0,0,11630*1000*SER_hh_fec_in!K14/SER_hh_num_in!K14)</f>
        <v>9277.9550241737834</v>
      </c>
      <c r="L14" s="65">
        <f>IF(SER_hh_fec_in!L14=0,0,11630*1000*SER_hh_fec_in!L14/SER_hh_num_in!L14)</f>
        <v>0</v>
      </c>
      <c r="M14" s="65">
        <f>IF(SER_hh_fec_in!M14=0,0,11630*1000*SER_hh_fec_in!M14/SER_hh_num_in!M14)</f>
        <v>0</v>
      </c>
      <c r="N14" s="65">
        <f>IF(SER_hh_fec_in!N14=0,0,11630*1000*SER_hh_fec_in!N14/SER_hh_num_in!N14)</f>
        <v>0</v>
      </c>
      <c r="O14" s="65">
        <f>IF(SER_hh_fec_in!O14=0,0,11630*1000*SER_hh_fec_in!O14/SER_hh_num_in!O14)</f>
        <v>0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0</v>
      </c>
      <c r="R14" s="65">
        <f>IF(SER_hh_fec_in!R14=0,0,11630*1000*SER_hh_fec_in!R14/SER_hh_num_in!R14)</f>
        <v>0</v>
      </c>
      <c r="S14" s="65">
        <f>IF(SER_hh_fec_in!S14=0,0,11630*1000*SER_hh_fec_in!S14/SER_hh_num_in!S14)</f>
        <v>7350.9313777442994</v>
      </c>
      <c r="T14" s="65">
        <f>IF(SER_hh_fec_in!T14=0,0,11630*1000*SER_hh_fec_in!T14/SER_hh_num_in!T14)</f>
        <v>8129.4630076653457</v>
      </c>
      <c r="U14" s="65">
        <f>IF(SER_hh_fec_in!U14=0,0,11630*1000*SER_hh_fec_in!U14/SER_hh_num_in!U14)</f>
        <v>7987.328143459943</v>
      </c>
      <c r="V14" s="65">
        <f>IF(SER_hh_fec_in!V14=0,0,11630*1000*SER_hh_fec_in!V14/SER_hh_num_in!V14)</f>
        <v>0</v>
      </c>
      <c r="W14" s="65">
        <f>IF(SER_hh_fec_in!W14=0,0,11630*1000*SER_hh_fec_in!W14/SER_hh_num_in!W14)</f>
        <v>7721.9650695593709</v>
      </c>
      <c r="X14" s="65">
        <f>IF(SER_hh_fec_in!X14=0,0,11630*1000*SER_hh_fec_in!X14/SER_hh_num_in!X14)</f>
        <v>7801.750704691749</v>
      </c>
      <c r="Y14" s="65">
        <f>IF(SER_hh_fec_in!Y14=0,0,11630*1000*SER_hh_fec_in!Y14/SER_hh_num_in!Y14)</f>
        <v>7169.6570221860902</v>
      </c>
      <c r="DA14" s="109" t="s">
        <v>735</v>
      </c>
    </row>
    <row r="15" spans="1:105" ht="12" customHeight="1" x14ac:dyDescent="0.25">
      <c r="A15" s="133" t="s">
        <v>80</v>
      </c>
      <c r="B15" s="134"/>
      <c r="C15" s="134">
        <f>IF(SER_hh_fec_in!C15=0,0,11630*1000*SER_hh_fec_in!C15/SER_hh_num_in!C15)</f>
        <v>106.96888958799332</v>
      </c>
      <c r="D15" s="134">
        <f>IF(SER_hh_fec_in!D15=0,0,11630*1000*SER_hh_fec_in!D15/SER_hh_num_in!D15)</f>
        <v>88.163396012468141</v>
      </c>
      <c r="E15" s="134">
        <f>IF(SER_hh_fec_in!E15=0,0,11630*1000*SER_hh_fec_in!E15/SER_hh_num_in!E15)</f>
        <v>88.164547862878649</v>
      </c>
      <c r="F15" s="134">
        <f>IF(SER_hh_fec_in!F15=0,0,11630*1000*SER_hh_fec_in!F15/SER_hh_num_in!F15)</f>
        <v>68.260526548872008</v>
      </c>
      <c r="G15" s="134">
        <f>IF(SER_hh_fec_in!G15=0,0,11630*1000*SER_hh_fec_in!G15/SER_hh_num_in!G15)</f>
        <v>75.994132041230515</v>
      </c>
      <c r="H15" s="134">
        <f>IF(SER_hh_fec_in!H15=0,0,11630*1000*SER_hh_fec_in!H15/SER_hh_num_in!H15)</f>
        <v>239.39224599986957</v>
      </c>
      <c r="I15" s="134">
        <f>IF(SER_hh_fec_in!I15=0,0,11630*1000*SER_hh_fec_in!I15/SER_hh_num_in!I15)</f>
        <v>106.16118715407154</v>
      </c>
      <c r="J15" s="134">
        <f>IF(SER_hh_fec_in!J15=0,0,11630*1000*SER_hh_fec_in!J15/SER_hh_num_in!J15)</f>
        <v>80.04254264356419</v>
      </c>
      <c r="K15" s="134">
        <f>IF(SER_hh_fec_in!K15=0,0,11630*1000*SER_hh_fec_in!K15/SER_hh_num_in!K15)</f>
        <v>102.95322646972191</v>
      </c>
      <c r="L15" s="134">
        <f>IF(SER_hh_fec_in!L15=0,0,11630*1000*SER_hh_fec_in!L15/SER_hh_num_in!L15)</f>
        <v>128.7225465330088</v>
      </c>
      <c r="M15" s="134">
        <f>IF(SER_hh_fec_in!M15=0,0,11630*1000*SER_hh_fec_in!M15/SER_hh_num_in!M15)</f>
        <v>111.00980277147319</v>
      </c>
      <c r="N15" s="134">
        <f>IF(SER_hh_fec_in!N15=0,0,11630*1000*SER_hh_fec_in!N15/SER_hh_num_in!N15)</f>
        <v>95.321769124942506</v>
      </c>
      <c r="O15" s="134">
        <f>IF(SER_hh_fec_in!O15=0,0,11630*1000*SER_hh_fec_in!O15/SER_hh_num_in!O15)</f>
        <v>89.133319042330058</v>
      </c>
      <c r="P15" s="134">
        <f>IF(SER_hh_fec_in!P15=0,0,11630*1000*SER_hh_fec_in!P15/SER_hh_num_in!P15)</f>
        <v>35.553293175259846</v>
      </c>
      <c r="Q15" s="134">
        <f>IF(SER_hh_fec_in!Q15=0,0,11630*1000*SER_hh_fec_in!Q15/SER_hh_num_in!Q15)</f>
        <v>32.024463142287011</v>
      </c>
      <c r="R15" s="134">
        <f>IF(SER_hh_fec_in!R15=0,0,11630*1000*SER_hh_fec_in!R15/SER_hh_num_in!R15)</f>
        <v>55.227192654037552</v>
      </c>
      <c r="S15" s="134">
        <f>IF(SER_hh_fec_in!S15=0,0,11630*1000*SER_hh_fec_in!S15/SER_hh_num_in!S15)</f>
        <v>70.568846013637554</v>
      </c>
      <c r="T15" s="134">
        <f>IF(SER_hh_fec_in!T15=0,0,11630*1000*SER_hh_fec_in!T15/SER_hh_num_in!T15)</f>
        <v>82.91293202272108</v>
      </c>
      <c r="U15" s="134">
        <f>IF(SER_hh_fec_in!U15=0,0,11630*1000*SER_hh_fec_in!U15/SER_hh_num_in!U15)</f>
        <v>83.164185403067194</v>
      </c>
      <c r="V15" s="134">
        <f>IF(SER_hh_fec_in!V15=0,0,11630*1000*SER_hh_fec_in!V15/SER_hh_num_in!V15)</f>
        <v>75.712413226063688</v>
      </c>
      <c r="W15" s="134">
        <f>IF(SER_hh_fec_in!W15=0,0,11630*1000*SER_hh_fec_in!W15/SER_hh_num_in!W15)</f>
        <v>93.397383476305961</v>
      </c>
      <c r="X15" s="134">
        <f>IF(SER_hh_fec_in!X15=0,0,11630*1000*SER_hh_fec_in!X15/SER_hh_num_in!X15)</f>
        <v>87.578538033704135</v>
      </c>
      <c r="Y15" s="134">
        <f>IF(SER_hh_fec_in!Y15=0,0,11630*1000*SER_hh_fec_in!Y15/SER_hh_num_in!Y15)</f>
        <v>90.212877490428156</v>
      </c>
      <c r="DA15" s="157" t="s">
        <v>736</v>
      </c>
    </row>
    <row r="16" spans="1:105" ht="12.95" customHeight="1" x14ac:dyDescent="0.25">
      <c r="A16" s="129" t="s">
        <v>74</v>
      </c>
      <c r="B16" s="130"/>
      <c r="C16" s="130">
        <f>IF(SER_hh_fec_in!C16=0,0,11630*1000*SER_hh_fec_in!C16/SER_hh_num_in!C16)</f>
        <v>7437.0126701621275</v>
      </c>
      <c r="D16" s="130">
        <f>IF(SER_hh_fec_in!D16=0,0,11630*1000*SER_hh_fec_in!D16/SER_hh_num_in!D16)</f>
        <v>6316.7335526271709</v>
      </c>
      <c r="E16" s="130">
        <f>IF(SER_hh_fec_in!E16=0,0,11630*1000*SER_hh_fec_in!E16/SER_hh_num_in!E16)</f>
        <v>7817.777186542341</v>
      </c>
      <c r="F16" s="130">
        <f>IF(SER_hh_fec_in!F16=0,0,11630*1000*SER_hh_fec_in!F16/SER_hh_num_in!F16)</f>
        <v>6733.6320429782709</v>
      </c>
      <c r="G16" s="130">
        <f>IF(SER_hh_fec_in!G16=0,0,11630*1000*SER_hh_fec_in!G16/SER_hh_num_in!G16)</f>
        <v>6751.0326202440192</v>
      </c>
      <c r="H16" s="130">
        <f>IF(SER_hh_fec_in!H16=0,0,11630*1000*SER_hh_fec_in!H16/SER_hh_num_in!H16)</f>
        <v>7261.0506259912154</v>
      </c>
      <c r="I16" s="130">
        <f>IF(SER_hh_fec_in!I16=0,0,11630*1000*SER_hh_fec_in!I16/SER_hh_num_in!I16)</f>
        <v>5206.3413765976593</v>
      </c>
      <c r="J16" s="130">
        <f>IF(SER_hh_fec_in!J16=0,0,11630*1000*SER_hh_fec_in!J16/SER_hh_num_in!J16)</f>
        <v>5266.450676710725</v>
      </c>
      <c r="K16" s="130">
        <f>IF(SER_hh_fec_in!K16=0,0,11630*1000*SER_hh_fec_in!K16/SER_hh_num_in!K16)</f>
        <v>6449.9122622516325</v>
      </c>
      <c r="L16" s="130">
        <f>IF(SER_hh_fec_in!L16=0,0,11630*1000*SER_hh_fec_in!L16/SER_hh_num_in!L16)</f>
        <v>5836.9758732167857</v>
      </c>
      <c r="M16" s="130">
        <f>IF(SER_hh_fec_in!M16=0,0,11630*1000*SER_hh_fec_in!M16/SER_hh_num_in!M16)</f>
        <v>4999.5908293133507</v>
      </c>
      <c r="N16" s="130">
        <f>IF(SER_hh_fec_in!N16=0,0,11630*1000*SER_hh_fec_in!N16/SER_hh_num_in!N16)</f>
        <v>5719.0476679055873</v>
      </c>
      <c r="O16" s="130">
        <f>IF(SER_hh_fec_in!O16=0,0,11630*1000*SER_hh_fec_in!O16/SER_hh_num_in!O16)</f>
        <v>4412.7440945134176</v>
      </c>
      <c r="P16" s="130">
        <f>IF(SER_hh_fec_in!P16=0,0,11630*1000*SER_hh_fec_in!P16/SER_hh_num_in!P16)</f>
        <v>3871.1036176302077</v>
      </c>
      <c r="Q16" s="130">
        <f>IF(SER_hh_fec_in!Q16=0,0,11630*1000*SER_hh_fec_in!Q16/SER_hh_num_in!Q16)</f>
        <v>5454.5637429017715</v>
      </c>
      <c r="R16" s="130">
        <f>IF(SER_hh_fec_in!R16=0,0,11630*1000*SER_hh_fec_in!R16/SER_hh_num_in!R16)</f>
        <v>5156.8746939824214</v>
      </c>
      <c r="S16" s="130">
        <f>IF(SER_hh_fec_in!S16=0,0,11630*1000*SER_hh_fec_in!S16/SER_hh_num_in!S16)</f>
        <v>5846.6252358987549</v>
      </c>
      <c r="T16" s="130">
        <f>IF(SER_hh_fec_in!T16=0,0,11630*1000*SER_hh_fec_in!T16/SER_hh_num_in!T16)</f>
        <v>4137.8037500460714</v>
      </c>
      <c r="U16" s="130">
        <f>IF(SER_hh_fec_in!U16=0,0,11630*1000*SER_hh_fec_in!U16/SER_hh_num_in!U16)</f>
        <v>4191.8198789915596</v>
      </c>
      <c r="V16" s="130">
        <f>IF(SER_hh_fec_in!V16=0,0,11630*1000*SER_hh_fec_in!V16/SER_hh_num_in!V16)</f>
        <v>4554.4612298295715</v>
      </c>
      <c r="W16" s="130">
        <f>IF(SER_hh_fec_in!W16=0,0,11630*1000*SER_hh_fec_in!W16/SER_hh_num_in!W16)</f>
        <v>3813.3657902079331</v>
      </c>
      <c r="X16" s="130">
        <f>IF(SER_hh_fec_in!X16=0,0,11630*1000*SER_hh_fec_in!X16/SER_hh_num_in!X16)</f>
        <v>4903.0406484757568</v>
      </c>
      <c r="Y16" s="130">
        <f>IF(SER_hh_fec_in!Y16=0,0,11630*1000*SER_hh_fec_in!Y16/SER_hh_num_in!Y16)</f>
        <v>4969.333081053057</v>
      </c>
      <c r="DA16" s="155" t="s">
        <v>737</v>
      </c>
    </row>
    <row r="17" spans="1:105" ht="12.95" customHeight="1" x14ac:dyDescent="0.25">
      <c r="A17" s="131" t="s">
        <v>73</v>
      </c>
      <c r="B17" s="132"/>
      <c r="C17" s="132">
        <f>IF(SER_hh_fec_in!C17=0,0,11630*1000*SER_hh_fec_in!C17/SER_hh_num_in!C17)</f>
        <v>14147.136866684888</v>
      </c>
      <c r="D17" s="132">
        <f>IF(SER_hh_fec_in!D17=0,0,11630*1000*SER_hh_fec_in!D17/SER_hh_num_in!D17)</f>
        <v>12309.00149416123</v>
      </c>
      <c r="E17" s="132">
        <f>IF(SER_hh_fec_in!E17=0,0,11630*1000*SER_hh_fec_in!E17/SER_hh_num_in!E17)</f>
        <v>18485.211991408116</v>
      </c>
      <c r="F17" s="132">
        <f>IF(SER_hh_fec_in!F17=0,0,11630*1000*SER_hh_fec_in!F17/SER_hh_num_in!F17)</f>
        <v>13802.55550234958</v>
      </c>
      <c r="G17" s="132">
        <f>IF(SER_hh_fec_in!G17=0,0,11630*1000*SER_hh_fec_in!G17/SER_hh_num_in!G17)</f>
        <v>14162.412062269312</v>
      </c>
      <c r="H17" s="132">
        <f>IF(SER_hh_fec_in!H17=0,0,11630*1000*SER_hh_fec_in!H17/SER_hh_num_in!H17)</f>
        <v>13824.049362692698</v>
      </c>
      <c r="I17" s="132">
        <f>IF(SER_hh_fec_in!I17=0,0,11630*1000*SER_hh_fec_in!I17/SER_hh_num_in!I17)</f>
        <v>11403.737390899903</v>
      </c>
      <c r="J17" s="132">
        <f>IF(SER_hh_fec_in!J17=0,0,11630*1000*SER_hh_fec_in!J17/SER_hh_num_in!J17)</f>
        <v>11772.089471099567</v>
      </c>
      <c r="K17" s="132">
        <f>IF(SER_hh_fec_in!K17=0,0,11630*1000*SER_hh_fec_in!K17/SER_hh_num_in!K17)</f>
        <v>14710.867854296812</v>
      </c>
      <c r="L17" s="132">
        <f>IF(SER_hh_fec_in!L17=0,0,11630*1000*SER_hh_fec_in!L17/SER_hh_num_in!L17)</f>
        <v>13588.330392658703</v>
      </c>
      <c r="M17" s="132">
        <f>IF(SER_hh_fec_in!M17=0,0,11630*1000*SER_hh_fec_in!M17/SER_hh_num_in!M17)</f>
        <v>11886.680436637704</v>
      </c>
      <c r="N17" s="132">
        <f>IF(SER_hh_fec_in!N17=0,0,11630*1000*SER_hh_fec_in!N17/SER_hh_num_in!N17)</f>
        <v>13949.322987246245</v>
      </c>
      <c r="O17" s="132">
        <f>IF(SER_hh_fec_in!O17=0,0,11630*1000*SER_hh_fec_in!O17/SER_hh_num_in!O17)</f>
        <v>11010.463672198308</v>
      </c>
      <c r="P17" s="132">
        <f>IF(SER_hh_fec_in!P17=0,0,11630*1000*SER_hh_fec_in!P17/SER_hh_num_in!P17)</f>
        <v>9950.4881631061562</v>
      </c>
      <c r="Q17" s="132">
        <f>IF(SER_hh_fec_in!Q17=0,0,11630*1000*SER_hh_fec_in!Q17/SER_hh_num_in!Q17)</f>
        <v>14297.799626001322</v>
      </c>
      <c r="R17" s="132">
        <f>IF(SER_hh_fec_in!R17=0,0,11630*1000*SER_hh_fec_in!R17/SER_hh_num_in!R17)</f>
        <v>13682.173357423733</v>
      </c>
      <c r="S17" s="132">
        <f>IF(SER_hh_fec_in!S17=0,0,11630*1000*SER_hh_fec_in!S17/SER_hh_num_in!S17)</f>
        <v>15448.529323576808</v>
      </c>
      <c r="T17" s="132">
        <f>IF(SER_hh_fec_in!T17=0,0,11630*1000*SER_hh_fec_in!T17/SER_hh_num_in!T17)</f>
        <v>10720.77162212431</v>
      </c>
      <c r="U17" s="132">
        <f>IF(SER_hh_fec_in!U17=0,0,11630*1000*SER_hh_fec_in!U17/SER_hh_num_in!U17)</f>
        <v>10768.500033060362</v>
      </c>
      <c r="V17" s="132">
        <f>IF(SER_hh_fec_in!V17=0,0,11630*1000*SER_hh_fec_in!V17/SER_hh_num_in!V17)</f>
        <v>10676.029132261967</v>
      </c>
      <c r="W17" s="132">
        <f>IF(SER_hh_fec_in!W17=0,0,11630*1000*SER_hh_fec_in!W17/SER_hh_num_in!W17)</f>
        <v>9120.3410759246144</v>
      </c>
      <c r="X17" s="132">
        <f>IF(SER_hh_fec_in!X17=0,0,11630*1000*SER_hh_fec_in!X17/SER_hh_num_in!X17)</f>
        <v>14356.44156770607</v>
      </c>
      <c r="Y17" s="132">
        <f>IF(SER_hh_fec_in!Y17=0,0,11630*1000*SER_hh_fec_in!Y17/SER_hh_num_in!Y17)</f>
        <v>13281.717860233397</v>
      </c>
      <c r="DA17" s="156" t="s">
        <v>738</v>
      </c>
    </row>
    <row r="18" spans="1:105" ht="12" customHeight="1" x14ac:dyDescent="0.25">
      <c r="A18" s="131" t="s">
        <v>72</v>
      </c>
      <c r="B18" s="132"/>
      <c r="C18" s="132">
        <f>IF(SER_hh_fec_in!C18=0,0,11630*1000*SER_hh_fec_in!C18/SER_hh_num_in!C18)</f>
        <v>7432.1267807907889</v>
      </c>
      <c r="D18" s="132">
        <f>IF(SER_hh_fec_in!D18=0,0,11630*1000*SER_hh_fec_in!D18/SER_hh_num_in!D18)</f>
        <v>6314.1187730164311</v>
      </c>
      <c r="E18" s="132">
        <f>IF(SER_hh_fec_in!E18=0,0,11630*1000*SER_hh_fec_in!E18/SER_hh_num_in!E18)</f>
        <v>7805.0612118190256</v>
      </c>
      <c r="F18" s="132">
        <f>IF(SER_hh_fec_in!F18=0,0,11630*1000*SER_hh_fec_in!F18/SER_hh_num_in!F18)</f>
        <v>6720.1937998979574</v>
      </c>
      <c r="G18" s="132">
        <f>IF(SER_hh_fec_in!G18=0,0,11630*1000*SER_hh_fec_in!G18/SER_hh_num_in!G18)</f>
        <v>6742.431934550098</v>
      </c>
      <c r="H18" s="132">
        <f>IF(SER_hh_fec_in!H18=0,0,11630*1000*SER_hh_fec_in!H18/SER_hh_num_in!H18)</f>
        <v>7250.7617716199993</v>
      </c>
      <c r="I18" s="132">
        <f>IF(SER_hh_fec_in!I18=0,0,11630*1000*SER_hh_fec_in!I18/SER_hh_num_in!I18)</f>
        <v>5198.9585032686527</v>
      </c>
      <c r="J18" s="132">
        <f>IF(SER_hh_fec_in!J18=0,0,11630*1000*SER_hh_fec_in!J18/SER_hh_num_in!J18)</f>
        <v>5253.7289939973034</v>
      </c>
      <c r="K18" s="132">
        <f>IF(SER_hh_fec_in!K18=0,0,11630*1000*SER_hh_fec_in!K18/SER_hh_num_in!K18)</f>
        <v>6434.3320185387138</v>
      </c>
      <c r="L18" s="132">
        <f>IF(SER_hh_fec_in!L18=0,0,11630*1000*SER_hh_fec_in!L18/SER_hh_num_in!L18)</f>
        <v>5817.2290705571932</v>
      </c>
      <c r="M18" s="132">
        <f>IF(SER_hh_fec_in!M18=0,0,11630*1000*SER_hh_fec_in!M18/SER_hh_num_in!M18)</f>
        <v>4978.9206737490667</v>
      </c>
      <c r="N18" s="132">
        <f>IF(SER_hh_fec_in!N18=0,0,11630*1000*SER_hh_fec_in!N18/SER_hh_num_in!N18)</f>
        <v>5694.8938445187832</v>
      </c>
      <c r="O18" s="132">
        <f>IF(SER_hh_fec_in!O18=0,0,11630*1000*SER_hh_fec_in!O18/SER_hh_num_in!O18)</f>
        <v>4373.3733183859276</v>
      </c>
      <c r="P18" s="132">
        <f>IF(SER_hh_fec_in!P18=0,0,11630*1000*SER_hh_fec_in!P18/SER_hh_num_in!P18)</f>
        <v>3843.0273970786407</v>
      </c>
      <c r="Q18" s="132">
        <f>IF(SER_hh_fec_in!Q18=0,0,11630*1000*SER_hh_fec_in!Q18/SER_hh_num_in!Q18)</f>
        <v>5405.4806688745721</v>
      </c>
      <c r="R18" s="132">
        <f>IF(SER_hh_fec_in!R18=0,0,11630*1000*SER_hh_fec_in!R18/SER_hh_num_in!R18)</f>
        <v>5103.0446736437252</v>
      </c>
      <c r="S18" s="132">
        <f>IF(SER_hh_fec_in!S18=0,0,11630*1000*SER_hh_fec_in!S18/SER_hh_num_in!S18)</f>
        <v>5801.2536880816933</v>
      </c>
      <c r="T18" s="132">
        <f>IF(SER_hh_fec_in!T18=0,0,11630*1000*SER_hh_fec_in!T18/SER_hh_num_in!T18)</f>
        <v>4078.64330956098</v>
      </c>
      <c r="U18" s="132">
        <f>IF(SER_hh_fec_in!U18=0,0,11630*1000*SER_hh_fec_in!U18/SER_hh_num_in!U18)</f>
        <v>4155.0662041743853</v>
      </c>
      <c r="V18" s="132">
        <f>IF(SER_hh_fec_in!V18=0,0,11630*1000*SER_hh_fec_in!V18/SER_hh_num_in!V18)</f>
        <v>4517.9924820617734</v>
      </c>
      <c r="W18" s="132">
        <f>IF(SER_hh_fec_in!W18=0,0,11630*1000*SER_hh_fec_in!W18/SER_hh_num_in!W18)</f>
        <v>3783.8856446822924</v>
      </c>
      <c r="X18" s="132">
        <f>IF(SER_hh_fec_in!X18=0,0,11630*1000*SER_hh_fec_in!X18/SER_hh_num_in!X18)</f>
        <v>4855.7713567230539</v>
      </c>
      <c r="Y18" s="132">
        <f>IF(SER_hh_fec_in!Y18=0,0,11630*1000*SER_hh_fec_in!Y18/SER_hh_num_in!Y18)</f>
        <v>4921.1545782997837</v>
      </c>
      <c r="DA18" s="156" t="s">
        <v>739</v>
      </c>
    </row>
    <row r="19" spans="1:105" ht="12.95" customHeight="1" x14ac:dyDescent="0.25">
      <c r="A19" s="129" t="s">
        <v>35</v>
      </c>
      <c r="B19" s="130"/>
      <c r="C19" s="130">
        <f>IF(SER_hh_fec_in!C19=0,0,11630*1000*SER_hh_fec_in!C19/SER_hh_num_in!C19)</f>
        <v>5416.3161306272896</v>
      </c>
      <c r="D19" s="130">
        <f>IF(SER_hh_fec_in!D19=0,0,11630*1000*SER_hh_fec_in!D19/SER_hh_num_in!D19)</f>
        <v>5871.1106539853054</v>
      </c>
      <c r="E19" s="130">
        <f>IF(SER_hh_fec_in!E19=0,0,11630*1000*SER_hh_fec_in!E19/SER_hh_num_in!E19)</f>
        <v>5827.3365800016727</v>
      </c>
      <c r="F19" s="130">
        <f>IF(SER_hh_fec_in!F19=0,0,11630*1000*SER_hh_fec_in!F19/SER_hh_num_in!F19)</f>
        <v>5929.917351520392</v>
      </c>
      <c r="G19" s="130">
        <f>IF(SER_hh_fec_in!G19=0,0,11630*1000*SER_hh_fec_in!G19/SER_hh_num_in!G19)</f>
        <v>5557.0721628239835</v>
      </c>
      <c r="H19" s="130">
        <f>IF(SER_hh_fec_in!H19=0,0,11630*1000*SER_hh_fec_in!H19/SER_hh_num_in!H19)</f>
        <v>6877.770918143342</v>
      </c>
      <c r="I19" s="130">
        <f>IF(SER_hh_fec_in!I19=0,0,11630*1000*SER_hh_fec_in!I19/SER_hh_num_in!I19)</f>
        <v>6197.8449562092828</v>
      </c>
      <c r="J19" s="130">
        <f>IF(SER_hh_fec_in!J19=0,0,11630*1000*SER_hh_fec_in!J19/SER_hh_num_in!J19)</f>
        <v>5785.3915289836268</v>
      </c>
      <c r="K19" s="130">
        <f>IF(SER_hh_fec_in!K19=0,0,11630*1000*SER_hh_fec_in!K19/SER_hh_num_in!K19)</f>
        <v>4862.6031912068593</v>
      </c>
      <c r="L19" s="130">
        <f>IF(SER_hh_fec_in!L19=0,0,11630*1000*SER_hh_fec_in!L19/SER_hh_num_in!L19)</f>
        <v>5714.3940046535272</v>
      </c>
      <c r="M19" s="130">
        <f>IF(SER_hh_fec_in!M19=0,0,11630*1000*SER_hh_fec_in!M19/SER_hh_num_in!M19)</f>
        <v>5467.8668058896628</v>
      </c>
      <c r="N19" s="130">
        <f>IF(SER_hh_fec_in!N19=0,0,11630*1000*SER_hh_fec_in!N19/SER_hh_num_in!N19)</f>
        <v>5575.3504651663643</v>
      </c>
      <c r="O19" s="130">
        <f>IF(SER_hh_fec_in!O19=0,0,11630*1000*SER_hh_fec_in!O19/SER_hh_num_in!O19)</f>
        <v>5941.8829850356806</v>
      </c>
      <c r="P19" s="130">
        <f>IF(SER_hh_fec_in!P19=0,0,11630*1000*SER_hh_fec_in!P19/SER_hh_num_in!P19)</f>
        <v>5606.14443413546</v>
      </c>
      <c r="Q19" s="130">
        <f>IF(SER_hh_fec_in!Q19=0,0,11630*1000*SER_hh_fec_in!Q19/SER_hh_num_in!Q19)</f>
        <v>4976.2346072392211</v>
      </c>
      <c r="R19" s="130">
        <f>IF(SER_hh_fec_in!R19=0,0,11630*1000*SER_hh_fec_in!R19/SER_hh_num_in!R19)</f>
        <v>4603.9934631878259</v>
      </c>
      <c r="S19" s="130">
        <f>IF(SER_hh_fec_in!S19=0,0,11630*1000*SER_hh_fec_in!S19/SER_hh_num_in!S19)</f>
        <v>4094.3451131875081</v>
      </c>
      <c r="T19" s="130">
        <f>IF(SER_hh_fec_in!T19=0,0,11630*1000*SER_hh_fec_in!T19/SER_hh_num_in!T19)</f>
        <v>4564.6906966096776</v>
      </c>
      <c r="U19" s="130">
        <f>IF(SER_hh_fec_in!U19=0,0,11630*1000*SER_hh_fec_in!U19/SER_hh_num_in!U19)</f>
        <v>4293.8921001454491</v>
      </c>
      <c r="V19" s="130">
        <f>IF(SER_hh_fec_in!V19=0,0,11630*1000*SER_hh_fec_in!V19/SER_hh_num_in!V19)</f>
        <v>4034.2909967724349</v>
      </c>
      <c r="W19" s="130">
        <f>IF(SER_hh_fec_in!W19=0,0,11630*1000*SER_hh_fec_in!W19/SER_hh_num_in!W19)</f>
        <v>4305.7954557042276</v>
      </c>
      <c r="X19" s="130">
        <f>IF(SER_hh_fec_in!X19=0,0,11630*1000*SER_hh_fec_in!X19/SER_hh_num_in!X19)</f>
        <v>4105.6063500582541</v>
      </c>
      <c r="Y19" s="130">
        <f>IF(SER_hh_fec_in!Y19=0,0,11630*1000*SER_hh_fec_in!Y19/SER_hh_num_in!Y19)</f>
        <v>4112.6438716866496</v>
      </c>
      <c r="DA19" s="155" t="s">
        <v>740</v>
      </c>
    </row>
    <row r="20" spans="1:105" ht="12" customHeight="1" x14ac:dyDescent="0.25">
      <c r="A20" s="131" t="s">
        <v>29</v>
      </c>
      <c r="B20" s="132"/>
      <c r="C20" s="132">
        <f>IF(SER_hh_fec_in!C20=0,0,11630*1000*SER_hh_fec_in!C20/SER_hh_num_in!C20)</f>
        <v>0</v>
      </c>
      <c r="D20" s="132">
        <f>IF(SER_hh_fec_in!D20=0,0,11630*1000*SER_hh_fec_in!D20/SER_hh_num_in!D20)</f>
        <v>0</v>
      </c>
      <c r="E20" s="132">
        <f>IF(SER_hh_fec_in!E20=0,0,11630*1000*SER_hh_fec_in!E20/SER_hh_num_in!E20)</f>
        <v>0</v>
      </c>
      <c r="F20" s="132">
        <f>IF(SER_hh_fec_in!F20=0,0,11630*1000*SER_hh_fec_in!F20/SER_hh_num_in!F20)</f>
        <v>0</v>
      </c>
      <c r="G20" s="132">
        <f>IF(SER_hh_fec_in!G20=0,0,11630*1000*SER_hh_fec_in!G20/SER_hh_num_in!G20)</f>
        <v>0</v>
      </c>
      <c r="H20" s="132">
        <f>IF(SER_hh_fec_in!H20=0,0,11630*1000*SER_hh_fec_in!H20/SER_hh_num_in!H20)</f>
        <v>0</v>
      </c>
      <c r="I20" s="132">
        <f>IF(SER_hh_fec_in!I20=0,0,11630*1000*SER_hh_fec_in!I20/SER_hh_num_in!I20)</f>
        <v>0</v>
      </c>
      <c r="J20" s="132">
        <f>IF(SER_hh_fec_in!J20=0,0,11630*1000*SER_hh_fec_in!J20/SER_hh_num_in!J20)</f>
        <v>0</v>
      </c>
      <c r="K20" s="132">
        <f>IF(SER_hh_fec_in!K20=0,0,11630*1000*SER_hh_fec_in!K20/SER_hh_num_in!K20)</f>
        <v>0</v>
      </c>
      <c r="L20" s="132">
        <f>IF(SER_hh_fec_in!L20=0,0,11630*1000*SER_hh_fec_in!L20/SER_hh_num_in!L20)</f>
        <v>0</v>
      </c>
      <c r="M20" s="132">
        <f>IF(SER_hh_fec_in!M20=0,0,11630*1000*SER_hh_fec_in!M20/SER_hh_num_in!M20)</f>
        <v>0</v>
      </c>
      <c r="N20" s="132">
        <f>IF(SER_hh_fec_in!N20=0,0,11630*1000*SER_hh_fec_in!N20/SER_hh_num_in!N20)</f>
        <v>0</v>
      </c>
      <c r="O20" s="132">
        <f>IF(SER_hh_fec_in!O20=0,0,11630*1000*SER_hh_fec_in!O20/SER_hh_num_in!O20)</f>
        <v>0</v>
      </c>
      <c r="P20" s="132">
        <f>IF(SER_hh_fec_in!P20=0,0,11630*1000*SER_hh_fec_in!P20/SER_hh_num_in!P20)</f>
        <v>0</v>
      </c>
      <c r="Q20" s="132">
        <f>IF(SER_hh_fec_in!Q20=0,0,11630*1000*SER_hh_fec_in!Q20/SER_hh_num_in!Q20)</f>
        <v>0</v>
      </c>
      <c r="R20" s="132">
        <f>IF(SER_hh_fec_in!R20=0,0,11630*1000*SER_hh_fec_in!R20/SER_hh_num_in!R20)</f>
        <v>0</v>
      </c>
      <c r="S20" s="132">
        <f>IF(SER_hh_fec_in!S20=0,0,11630*1000*SER_hh_fec_in!S20/SER_hh_num_in!S20)</f>
        <v>0</v>
      </c>
      <c r="T20" s="132">
        <f>IF(SER_hh_fec_in!T20=0,0,11630*1000*SER_hh_fec_in!T20/SER_hh_num_in!T20)</f>
        <v>0</v>
      </c>
      <c r="U20" s="132">
        <f>IF(SER_hh_fec_in!U20=0,0,11630*1000*SER_hh_fec_in!U20/SER_hh_num_in!U20)</f>
        <v>0</v>
      </c>
      <c r="V20" s="132">
        <f>IF(SER_hh_fec_in!V20=0,0,11630*1000*SER_hh_fec_in!V20/SER_hh_num_in!V20)</f>
        <v>0</v>
      </c>
      <c r="W20" s="132">
        <f>IF(SER_hh_fec_in!W20=0,0,11630*1000*SER_hh_fec_in!W20/SER_hh_num_in!W20)</f>
        <v>0</v>
      </c>
      <c r="X20" s="132">
        <f>IF(SER_hh_fec_in!X20=0,0,11630*1000*SER_hh_fec_in!X20/SER_hh_num_in!X20)</f>
        <v>0</v>
      </c>
      <c r="Y20" s="132">
        <f>IF(SER_hh_fec_in!Y20=0,0,11630*1000*SER_hh_fec_in!Y20/SER_hh_num_in!Y20)</f>
        <v>0</v>
      </c>
      <c r="DA20" s="156" t="s">
        <v>741</v>
      </c>
    </row>
    <row r="21" spans="1:105" s="2" customFormat="1" ht="12" customHeight="1" x14ac:dyDescent="0.25">
      <c r="A21" s="131" t="s">
        <v>52</v>
      </c>
      <c r="B21" s="132"/>
      <c r="C21" s="132">
        <f>IF(SER_hh_fec_in!C21=0,0,11630*1000*SER_hh_fec_in!C21/SER_hh_num_in!C21)</f>
        <v>6174.6542569430057</v>
      </c>
      <c r="D21" s="132">
        <f>IF(SER_hh_fec_in!D21=0,0,11630*1000*SER_hh_fec_in!D21/SER_hh_num_in!D21)</f>
        <v>6704.3776519484181</v>
      </c>
      <c r="E21" s="132">
        <f>IF(SER_hh_fec_in!E21=0,0,11630*1000*SER_hh_fec_in!E21/SER_hh_num_in!E21)</f>
        <v>6807.9100314202788</v>
      </c>
      <c r="F21" s="132">
        <f>IF(SER_hh_fec_in!F21=0,0,11630*1000*SER_hh_fec_in!F21/SER_hh_num_in!F21)</f>
        <v>6637.9391912619685</v>
      </c>
      <c r="G21" s="132">
        <f>IF(SER_hh_fec_in!G21=0,0,11630*1000*SER_hh_fec_in!G21/SER_hh_num_in!G21)</f>
        <v>6617.4742415000901</v>
      </c>
      <c r="H21" s="132">
        <f>IF(SER_hh_fec_in!H21=0,0,11630*1000*SER_hh_fec_in!H21/SER_hh_num_in!H21)</f>
        <v>6743.7029786644744</v>
      </c>
      <c r="I21" s="132">
        <f>IF(SER_hh_fec_in!I21=0,0,11630*1000*SER_hh_fec_in!I21/SER_hh_num_in!I21)</f>
        <v>6887.3817095717295</v>
      </c>
      <c r="J21" s="132">
        <f>IF(SER_hh_fec_in!J21=0,0,11630*1000*SER_hh_fec_in!J21/SER_hh_num_in!J21)</f>
        <v>6748.9844622593664</v>
      </c>
      <c r="K21" s="132">
        <f>IF(SER_hh_fec_in!K21=0,0,11630*1000*SER_hh_fec_in!K21/SER_hh_num_in!K21)</f>
        <v>5336.0594901151353</v>
      </c>
      <c r="L21" s="132">
        <f>IF(SER_hh_fec_in!L21=0,0,11630*1000*SER_hh_fec_in!L21/SER_hh_num_in!L21)</f>
        <v>6897.0197456626283</v>
      </c>
      <c r="M21" s="132">
        <f>IF(SER_hh_fec_in!M21=0,0,11630*1000*SER_hh_fec_in!M21/SER_hh_num_in!M21)</f>
        <v>6580.7057131694919</v>
      </c>
      <c r="N21" s="132">
        <f>IF(SER_hh_fec_in!N21=0,0,11630*1000*SER_hh_fec_in!N21/SER_hh_num_in!N21)</f>
        <v>6491.201513343538</v>
      </c>
      <c r="O21" s="132">
        <f>IF(SER_hh_fec_in!O21=0,0,11630*1000*SER_hh_fec_in!O21/SER_hh_num_in!O21)</f>
        <v>6251.5559408259751</v>
      </c>
      <c r="P21" s="132">
        <f>IF(SER_hh_fec_in!P21=0,0,11630*1000*SER_hh_fec_in!P21/SER_hh_num_in!P21)</f>
        <v>5121.3482825152769</v>
      </c>
      <c r="Q21" s="132">
        <f>IF(SER_hh_fec_in!Q21=0,0,11630*1000*SER_hh_fec_in!Q21/SER_hh_num_in!Q21)</f>
        <v>5256.5366996502335</v>
      </c>
      <c r="R21" s="132">
        <f>IF(SER_hh_fec_in!R21=0,0,11630*1000*SER_hh_fec_in!R21/SER_hh_num_in!R21)</f>
        <v>5125.5478976980776</v>
      </c>
      <c r="S21" s="132">
        <f>IF(SER_hh_fec_in!S21=0,0,11630*1000*SER_hh_fec_in!S21/SER_hh_num_in!S21)</f>
        <v>4918.8486428508413</v>
      </c>
      <c r="T21" s="132">
        <f>IF(SER_hh_fec_in!T21=0,0,11630*1000*SER_hh_fec_in!T21/SER_hh_num_in!T21)</f>
        <v>0</v>
      </c>
      <c r="U21" s="132">
        <f>IF(SER_hh_fec_in!U21=0,0,11630*1000*SER_hh_fec_in!U21/SER_hh_num_in!U21)</f>
        <v>0</v>
      </c>
      <c r="V21" s="132">
        <f>IF(SER_hh_fec_in!V21=0,0,11630*1000*SER_hh_fec_in!V21/SER_hh_num_in!V21)</f>
        <v>0</v>
      </c>
      <c r="W21" s="132">
        <f>IF(SER_hh_fec_in!W21=0,0,11630*1000*SER_hh_fec_in!W21/SER_hh_num_in!W21)</f>
        <v>3758.8225440546134</v>
      </c>
      <c r="X21" s="132">
        <f>IF(SER_hh_fec_in!X21=0,0,11630*1000*SER_hh_fec_in!X21/SER_hh_num_in!X21)</f>
        <v>3889.5082338820907</v>
      </c>
      <c r="Y21" s="132">
        <f>IF(SER_hh_fec_in!Y21=0,0,11630*1000*SER_hh_fec_in!Y21/SER_hh_num_in!Y21)</f>
        <v>4847.5024815277702</v>
      </c>
      <c r="DA21" s="156" t="s">
        <v>742</v>
      </c>
    </row>
    <row r="22" spans="1:105" ht="12" customHeight="1" x14ac:dyDescent="0.25">
      <c r="A22" s="131" t="s">
        <v>161</v>
      </c>
      <c r="B22" s="132"/>
      <c r="C22" s="132">
        <f>IF(SER_hh_fec_in!C22=0,0,11630*1000*SER_hh_fec_in!C22/SER_hh_num_in!C22)</f>
        <v>6705.2217413928865</v>
      </c>
      <c r="D22" s="132">
        <f>IF(SER_hh_fec_in!D22=0,0,11630*1000*SER_hh_fec_in!D22/SER_hh_num_in!D22)</f>
        <v>7087.9710236377123</v>
      </c>
      <c r="E22" s="132">
        <f>IF(SER_hh_fec_in!E22=0,0,11630*1000*SER_hh_fec_in!E22/SER_hh_num_in!E22)</f>
        <v>7055.9897590683549</v>
      </c>
      <c r="F22" s="132">
        <f>IF(SER_hh_fec_in!F22=0,0,11630*1000*SER_hh_fec_in!F22/SER_hh_num_in!F22)</f>
        <v>7237.4728150505571</v>
      </c>
      <c r="G22" s="132">
        <f>IF(SER_hh_fec_in!G22=0,0,11630*1000*SER_hh_fec_in!G22/SER_hh_num_in!G22)</f>
        <v>7230.0858834462233</v>
      </c>
      <c r="H22" s="132">
        <f>IF(SER_hh_fec_in!H22=0,0,11630*1000*SER_hh_fec_in!H22/SER_hh_num_in!H22)</f>
        <v>7080.4361103842557</v>
      </c>
      <c r="I22" s="132">
        <f>IF(SER_hh_fec_in!I22=0,0,11630*1000*SER_hh_fec_in!I22/SER_hh_num_in!I22)</f>
        <v>7234.1875276966339</v>
      </c>
      <c r="J22" s="132">
        <f>IF(SER_hh_fec_in!J22=0,0,11630*1000*SER_hh_fec_in!J22/SER_hh_num_in!J22)</f>
        <v>6995.5114521876885</v>
      </c>
      <c r="K22" s="132">
        <f>IF(SER_hh_fec_in!K22=0,0,11630*1000*SER_hh_fec_in!K22/SER_hh_num_in!K22)</f>
        <v>5331.812959554094</v>
      </c>
      <c r="L22" s="132">
        <f>IF(SER_hh_fec_in!L22=0,0,11630*1000*SER_hh_fec_in!L22/SER_hh_num_in!L22)</f>
        <v>7138.0009593542391</v>
      </c>
      <c r="M22" s="132">
        <f>IF(SER_hh_fec_in!M22=0,0,11630*1000*SER_hh_fec_in!M22/SER_hh_num_in!M22)</f>
        <v>6810.3510102558694</v>
      </c>
      <c r="N22" s="132">
        <f>IF(SER_hh_fec_in!N22=0,0,11630*1000*SER_hh_fec_in!N22/SER_hh_num_in!N22)</f>
        <v>6779.6356480044997</v>
      </c>
      <c r="O22" s="132">
        <f>IF(SER_hh_fec_in!O22=0,0,11630*1000*SER_hh_fec_in!O22/SER_hh_num_in!O22)</f>
        <v>6397.9547673349844</v>
      </c>
      <c r="P22" s="132">
        <f>IF(SER_hh_fec_in!P22=0,0,11630*1000*SER_hh_fec_in!P22/SER_hh_num_in!P22)</f>
        <v>5121.491493838249</v>
      </c>
      <c r="Q22" s="132">
        <f>IF(SER_hh_fec_in!Q22=0,0,11630*1000*SER_hh_fec_in!Q22/SER_hh_num_in!Q22)</f>
        <v>5461.798271138593</v>
      </c>
      <c r="R22" s="132">
        <f>IF(SER_hh_fec_in!R22=0,0,11630*1000*SER_hh_fec_in!R22/SER_hh_num_in!R22)</f>
        <v>5318.1165430094097</v>
      </c>
      <c r="S22" s="132">
        <f>IF(SER_hh_fec_in!S22=0,0,11630*1000*SER_hh_fec_in!S22/SER_hh_num_in!S22)</f>
        <v>4973.4241896139638</v>
      </c>
      <c r="T22" s="132">
        <f>IF(SER_hh_fec_in!T22=0,0,11630*1000*SER_hh_fec_in!T22/SER_hh_num_in!T22)</f>
        <v>4926.403638594873</v>
      </c>
      <c r="U22" s="132">
        <f>IF(SER_hh_fec_in!U22=0,0,11630*1000*SER_hh_fec_in!U22/SER_hh_num_in!U22)</f>
        <v>4624.8207705578698</v>
      </c>
      <c r="V22" s="132">
        <f>IF(SER_hh_fec_in!V22=0,0,11630*1000*SER_hh_fec_in!V22/SER_hh_num_in!V22)</f>
        <v>4070.1560649935468</v>
      </c>
      <c r="W22" s="132">
        <f>IF(SER_hh_fec_in!W22=0,0,11630*1000*SER_hh_fec_in!W22/SER_hh_num_in!W22)</f>
        <v>4589.21244005685</v>
      </c>
      <c r="X22" s="132">
        <f>IF(SER_hh_fec_in!X22=0,0,11630*1000*SER_hh_fec_in!X22/SER_hh_num_in!X22)</f>
        <v>4348.4200642457481</v>
      </c>
      <c r="Y22" s="132">
        <f>IF(SER_hh_fec_in!Y22=0,0,11630*1000*SER_hh_fec_in!Y22/SER_hh_num_in!Y22)</f>
        <v>4341.1545243721703</v>
      </c>
      <c r="DA22" s="156" t="s">
        <v>743</v>
      </c>
    </row>
    <row r="23" spans="1:105" ht="12" customHeight="1" x14ac:dyDescent="0.25">
      <c r="A23" s="131" t="s">
        <v>149</v>
      </c>
      <c r="B23" s="132"/>
      <c r="C23" s="132">
        <f>IF(SER_hh_fec_in!C23=0,0,11630*1000*SER_hh_fec_in!C23/SER_hh_num_in!C23)</f>
        <v>0</v>
      </c>
      <c r="D23" s="132">
        <f>IF(SER_hh_fec_in!D23=0,0,11630*1000*SER_hh_fec_in!D23/SER_hh_num_in!D23)</f>
        <v>0</v>
      </c>
      <c r="E23" s="132">
        <f>IF(SER_hh_fec_in!E23=0,0,11630*1000*SER_hh_fec_in!E23/SER_hh_num_in!E23)</f>
        <v>0</v>
      </c>
      <c r="F23" s="132">
        <f>IF(SER_hh_fec_in!F23=0,0,11630*1000*SER_hh_fec_in!F23/SER_hh_num_in!F23)</f>
        <v>5340.0664177902181</v>
      </c>
      <c r="G23" s="132">
        <f>IF(SER_hh_fec_in!G23=0,0,11630*1000*SER_hh_fec_in!G23/SER_hh_num_in!G23)</f>
        <v>4723.1289204842769</v>
      </c>
      <c r="H23" s="132">
        <f>IF(SER_hh_fec_in!H23=0,0,11630*1000*SER_hh_fec_in!H23/SER_hh_num_in!H23)</f>
        <v>7760.1701684267437</v>
      </c>
      <c r="I23" s="132">
        <f>IF(SER_hh_fec_in!I23=0,0,11630*1000*SER_hh_fec_in!I23/SER_hh_num_in!I23)</f>
        <v>6955.7196796494591</v>
      </c>
      <c r="J23" s="132">
        <f>IF(SER_hh_fec_in!J23=0,0,11630*1000*SER_hh_fec_in!J23/SER_hh_num_in!J23)</f>
        <v>6331.2996779233354</v>
      </c>
      <c r="K23" s="132">
        <f>IF(SER_hh_fec_in!K23=0,0,11630*1000*SER_hh_fec_in!K23/SER_hh_num_in!K23)</f>
        <v>4332.6922502961424</v>
      </c>
      <c r="L23" s="132">
        <f>IF(SER_hh_fec_in!L23=0,0,11630*1000*SER_hh_fec_in!L23/SER_hh_num_in!L23)</f>
        <v>6298.7240564591939</v>
      </c>
      <c r="M23" s="132">
        <f>IF(SER_hh_fec_in!M23=0,0,11630*1000*SER_hh_fec_in!M23/SER_hh_num_in!M23)</f>
        <v>5753.4341526781418</v>
      </c>
      <c r="N23" s="132">
        <f>IF(SER_hh_fec_in!N23=0,0,11630*1000*SER_hh_fec_in!N23/SER_hh_num_in!N23)</f>
        <v>5734.401346949755</v>
      </c>
      <c r="O23" s="132">
        <f>IF(SER_hh_fec_in!O23=0,0,11630*1000*SER_hh_fec_in!O23/SER_hh_num_in!O23)</f>
        <v>5726.5299398858233</v>
      </c>
      <c r="P23" s="132">
        <f>IF(SER_hh_fec_in!P23=0,0,11630*1000*SER_hh_fec_in!P23/SER_hh_num_in!P23)</f>
        <v>4554.530068789295</v>
      </c>
      <c r="Q23" s="132">
        <f>IF(SER_hh_fec_in!Q23=0,0,11630*1000*SER_hh_fec_in!Q23/SER_hh_num_in!Q23)</f>
        <v>4642.8578470022294</v>
      </c>
      <c r="R23" s="132">
        <f>IF(SER_hh_fec_in!R23=0,0,11630*1000*SER_hh_fec_in!R23/SER_hh_num_in!R23)</f>
        <v>4626.8506910804381</v>
      </c>
      <c r="S23" s="132">
        <f>IF(SER_hh_fec_in!S23=0,0,11630*1000*SER_hh_fec_in!S23/SER_hh_num_in!S23)</f>
        <v>4531.454131010848</v>
      </c>
      <c r="T23" s="132">
        <f>IF(SER_hh_fec_in!T23=0,0,11630*1000*SER_hh_fec_in!T23/SER_hh_num_in!T23)</f>
        <v>4516.0561265280967</v>
      </c>
      <c r="U23" s="132">
        <f>IF(SER_hh_fec_in!U23=0,0,11630*1000*SER_hh_fec_in!U23/SER_hh_num_in!U23)</f>
        <v>4433.8426238988559</v>
      </c>
      <c r="V23" s="132">
        <f>IF(SER_hh_fec_in!V23=0,0,11630*1000*SER_hh_fec_in!V23/SER_hh_num_in!V23)</f>
        <v>3805.8796478643835</v>
      </c>
      <c r="W23" s="132">
        <f>IF(SER_hh_fec_in!W23=0,0,11630*1000*SER_hh_fec_in!W23/SER_hh_num_in!W23)</f>
        <v>4363.5226906265925</v>
      </c>
      <c r="X23" s="132">
        <f>IF(SER_hh_fec_in!X23=0,0,11630*1000*SER_hh_fec_in!X23/SER_hh_num_in!X23)</f>
        <v>4111.1172597899276</v>
      </c>
      <c r="Y23" s="132">
        <f>IF(SER_hh_fec_in!Y23=0,0,11630*1000*SER_hh_fec_in!Y23/SER_hh_num_in!Y23)</f>
        <v>4178.8077132174367</v>
      </c>
      <c r="DA23" s="156" t="s">
        <v>744</v>
      </c>
    </row>
    <row r="24" spans="1:105" ht="12" customHeight="1" x14ac:dyDescent="0.25">
      <c r="A24" s="131" t="s">
        <v>128</v>
      </c>
      <c r="B24" s="132"/>
      <c r="C24" s="132">
        <f>IF(SER_hh_fec_in!C24=0,0,11630*1000*SER_hh_fec_in!C24/SER_hh_num_in!C24)</f>
        <v>0</v>
      </c>
      <c r="D24" s="132">
        <f>IF(SER_hh_fec_in!D24=0,0,11630*1000*SER_hh_fec_in!D24/SER_hh_num_in!D24)</f>
        <v>0</v>
      </c>
      <c r="E24" s="132">
        <f>IF(SER_hh_fec_in!E24=0,0,11630*1000*SER_hh_fec_in!E24/SER_hh_num_in!E24)</f>
        <v>0</v>
      </c>
      <c r="F24" s="132">
        <f>IF(SER_hh_fec_in!F24=0,0,11630*1000*SER_hh_fec_in!F24/SER_hh_num_in!F24)</f>
        <v>0</v>
      </c>
      <c r="G24" s="132">
        <f>IF(SER_hh_fec_in!G24=0,0,11630*1000*SER_hh_fec_in!G24/SER_hh_num_in!G24)</f>
        <v>0</v>
      </c>
      <c r="H24" s="132">
        <f>IF(SER_hh_fec_in!H24=0,0,11630*1000*SER_hh_fec_in!H24/SER_hh_num_in!H24)</f>
        <v>0</v>
      </c>
      <c r="I24" s="132">
        <f>IF(SER_hh_fec_in!I24=0,0,11630*1000*SER_hh_fec_in!I24/SER_hh_num_in!I24)</f>
        <v>0</v>
      </c>
      <c r="J24" s="132">
        <f>IF(SER_hh_fec_in!J24=0,0,11630*1000*SER_hh_fec_in!J24/SER_hh_num_in!J24)</f>
        <v>0</v>
      </c>
      <c r="K24" s="132">
        <f>IF(SER_hh_fec_in!K24=0,0,11630*1000*SER_hh_fec_in!K24/SER_hh_num_in!K24)</f>
        <v>0</v>
      </c>
      <c r="L24" s="132">
        <f>IF(SER_hh_fec_in!L24=0,0,11630*1000*SER_hh_fec_in!L24/SER_hh_num_in!L24)</f>
        <v>0</v>
      </c>
      <c r="M24" s="132">
        <f>IF(SER_hh_fec_in!M24=0,0,11630*1000*SER_hh_fec_in!M24/SER_hh_num_in!M24)</f>
        <v>0</v>
      </c>
      <c r="N24" s="132">
        <f>IF(SER_hh_fec_in!N24=0,0,11630*1000*SER_hh_fec_in!N24/SER_hh_num_in!N24)</f>
        <v>0</v>
      </c>
      <c r="O24" s="132">
        <f>IF(SER_hh_fec_in!O24=0,0,11630*1000*SER_hh_fec_in!O24/SER_hh_num_in!O24)</f>
        <v>0</v>
      </c>
      <c r="P24" s="132">
        <f>IF(SER_hh_fec_in!P24=0,0,11630*1000*SER_hh_fec_in!P24/SER_hh_num_in!P24)</f>
        <v>0</v>
      </c>
      <c r="Q24" s="132">
        <f>IF(SER_hh_fec_in!Q24=0,0,11630*1000*SER_hh_fec_in!Q24/SER_hh_num_in!Q24)</f>
        <v>0</v>
      </c>
      <c r="R24" s="132">
        <f>IF(SER_hh_fec_in!R24=0,0,11630*1000*SER_hh_fec_in!R24/SER_hh_num_in!R24)</f>
        <v>0</v>
      </c>
      <c r="S24" s="132">
        <f>IF(SER_hh_fec_in!S24=0,0,11630*1000*SER_hh_fec_in!S24/SER_hh_num_in!S24)</f>
        <v>0</v>
      </c>
      <c r="T24" s="132">
        <f>IF(SER_hh_fec_in!T24=0,0,11630*1000*SER_hh_fec_in!T24/SER_hh_num_in!T24)</f>
        <v>0</v>
      </c>
      <c r="U24" s="132">
        <f>IF(SER_hh_fec_in!U24=0,0,11630*1000*SER_hh_fec_in!U24/SER_hh_num_in!U24)</f>
        <v>0</v>
      </c>
      <c r="V24" s="132">
        <f>IF(SER_hh_fec_in!V24=0,0,11630*1000*SER_hh_fec_in!V24/SER_hh_num_in!V24)</f>
        <v>0</v>
      </c>
      <c r="W24" s="132">
        <f>IF(SER_hh_fec_in!W24=0,0,11630*1000*SER_hh_fec_in!W24/SER_hh_num_in!W24)</f>
        <v>0</v>
      </c>
      <c r="X24" s="132">
        <f>IF(SER_hh_fec_in!X24=0,0,11630*1000*SER_hh_fec_in!X24/SER_hh_num_in!X24)</f>
        <v>0</v>
      </c>
      <c r="Y24" s="132">
        <f>IF(SER_hh_fec_in!Y24=0,0,11630*1000*SER_hh_fec_in!Y24/SER_hh_num_in!Y24)</f>
        <v>0</v>
      </c>
      <c r="DA24" s="156" t="s">
        <v>745</v>
      </c>
    </row>
    <row r="25" spans="1:105" ht="12" customHeight="1" x14ac:dyDescent="0.25">
      <c r="A25" s="131" t="s">
        <v>162</v>
      </c>
      <c r="B25" s="132"/>
      <c r="C25" s="132">
        <f>IF(SER_hh_fec_in!C25=0,0,11630*1000*SER_hh_fec_in!C25/SER_hh_num_in!C25)</f>
        <v>0</v>
      </c>
      <c r="D25" s="132">
        <f>IF(SER_hh_fec_in!D25=0,0,11630*1000*SER_hh_fec_in!D25/SER_hh_num_in!D25)</f>
        <v>0</v>
      </c>
      <c r="E25" s="132">
        <f>IF(SER_hh_fec_in!E25=0,0,11630*1000*SER_hh_fec_in!E25/SER_hh_num_in!E25)</f>
        <v>0</v>
      </c>
      <c r="F25" s="132">
        <f>IF(SER_hh_fec_in!F25=0,0,11630*1000*SER_hh_fec_in!F25/SER_hh_num_in!F25)</f>
        <v>0</v>
      </c>
      <c r="G25" s="132">
        <f>IF(SER_hh_fec_in!G25=0,0,11630*1000*SER_hh_fec_in!G25/SER_hh_num_in!G25)</f>
        <v>0</v>
      </c>
      <c r="H25" s="132">
        <f>IF(SER_hh_fec_in!H25=0,0,11630*1000*SER_hh_fec_in!H25/SER_hh_num_in!H25)</f>
        <v>0</v>
      </c>
      <c r="I25" s="132">
        <f>IF(SER_hh_fec_in!I25=0,0,11630*1000*SER_hh_fec_in!I25/SER_hh_num_in!I25)</f>
        <v>0</v>
      </c>
      <c r="J25" s="132">
        <f>IF(SER_hh_fec_in!J25=0,0,11630*1000*SER_hh_fec_in!J25/SER_hh_num_in!J25)</f>
        <v>0</v>
      </c>
      <c r="K25" s="132">
        <f>IF(SER_hh_fec_in!K25=0,0,11630*1000*SER_hh_fec_in!K25/SER_hh_num_in!K25)</f>
        <v>0</v>
      </c>
      <c r="L25" s="132">
        <f>IF(SER_hh_fec_in!L25=0,0,11630*1000*SER_hh_fec_in!L25/SER_hh_num_in!L25)</f>
        <v>0</v>
      </c>
      <c r="M25" s="132">
        <f>IF(SER_hh_fec_in!M25=0,0,11630*1000*SER_hh_fec_in!M25/SER_hh_num_in!M25)</f>
        <v>0</v>
      </c>
      <c r="N25" s="132">
        <f>IF(SER_hh_fec_in!N25=0,0,11630*1000*SER_hh_fec_in!N25/SER_hh_num_in!N25)</f>
        <v>0</v>
      </c>
      <c r="O25" s="132">
        <f>IF(SER_hh_fec_in!O25=0,0,11630*1000*SER_hh_fec_in!O25/SER_hh_num_in!O25)</f>
        <v>0</v>
      </c>
      <c r="P25" s="132">
        <f>IF(SER_hh_fec_in!P25=0,0,11630*1000*SER_hh_fec_in!P25/SER_hh_num_in!P25)</f>
        <v>0</v>
      </c>
      <c r="Q25" s="132">
        <f>IF(SER_hh_fec_in!Q25=0,0,11630*1000*SER_hh_fec_in!Q25/SER_hh_num_in!Q25)</f>
        <v>0</v>
      </c>
      <c r="R25" s="132">
        <f>IF(SER_hh_fec_in!R25=0,0,11630*1000*SER_hh_fec_in!R25/SER_hh_num_in!R25)</f>
        <v>0</v>
      </c>
      <c r="S25" s="132">
        <f>IF(SER_hh_fec_in!S25=0,0,11630*1000*SER_hh_fec_in!S25/SER_hh_num_in!S25)</f>
        <v>0</v>
      </c>
      <c r="T25" s="132">
        <f>IF(SER_hh_fec_in!T25=0,0,11630*1000*SER_hh_fec_in!T25/SER_hh_num_in!T25)</f>
        <v>0</v>
      </c>
      <c r="U25" s="132">
        <f>IF(SER_hh_fec_in!U25=0,0,11630*1000*SER_hh_fec_in!U25/SER_hh_num_in!U25)</f>
        <v>0</v>
      </c>
      <c r="V25" s="132">
        <f>IF(SER_hh_fec_in!V25=0,0,11630*1000*SER_hh_fec_in!V25/SER_hh_num_in!V25)</f>
        <v>0</v>
      </c>
      <c r="W25" s="132">
        <f>IF(SER_hh_fec_in!W25=0,0,11630*1000*SER_hh_fec_in!W25/SER_hh_num_in!W25)</f>
        <v>0</v>
      </c>
      <c r="X25" s="132">
        <f>IF(SER_hh_fec_in!X25=0,0,11630*1000*SER_hh_fec_in!X25/SER_hh_num_in!X25)</f>
        <v>0</v>
      </c>
      <c r="Y25" s="132">
        <f>IF(SER_hh_fec_in!Y25=0,0,11630*1000*SER_hh_fec_in!Y25/SER_hh_num_in!Y25)</f>
        <v>0</v>
      </c>
      <c r="DA25" s="156" t="s">
        <v>746</v>
      </c>
    </row>
    <row r="26" spans="1:105" ht="12" customHeight="1" x14ac:dyDescent="0.25">
      <c r="A26" s="131" t="s">
        <v>24</v>
      </c>
      <c r="B26" s="65"/>
      <c r="C26" s="65">
        <f>IF(SER_hh_fec_in!C26=0,0,11630*1000*SER_hh_fec_in!C26/SER_hh_num_in!C26)</f>
        <v>4440.2905314214731</v>
      </c>
      <c r="D26" s="65">
        <f>IF(SER_hh_fec_in!D26=0,0,11630*1000*SER_hh_fec_in!D26/SER_hh_num_in!D26)</f>
        <v>5459.6590931921864</v>
      </c>
      <c r="E26" s="65">
        <f>IF(SER_hh_fec_in!E26=0,0,11630*1000*SER_hh_fec_in!E26/SER_hh_num_in!E26)</f>
        <v>4932.4840699350761</v>
      </c>
      <c r="F26" s="65">
        <f>IF(SER_hh_fec_in!F26=0,0,11630*1000*SER_hh_fec_in!F26/SER_hh_num_in!F26)</f>
        <v>5166.4269514404878</v>
      </c>
      <c r="G26" s="65">
        <f>IF(SER_hh_fec_in!G26=0,0,11630*1000*SER_hh_fec_in!G26/SER_hh_num_in!G26)</f>
        <v>4327.7557527141753</v>
      </c>
      <c r="H26" s="65">
        <f>IF(SER_hh_fec_in!H26=0,0,11630*1000*SER_hh_fec_in!H26/SER_hh_num_in!H26)</f>
        <v>3457.6347124535391</v>
      </c>
      <c r="I26" s="65">
        <f>IF(SER_hh_fec_in!I26=0,0,11630*1000*SER_hh_fec_in!I26/SER_hh_num_in!I26)</f>
        <v>4788.9094309276361</v>
      </c>
      <c r="J26" s="65">
        <f>IF(SER_hh_fec_in!J26=0,0,11630*1000*SER_hh_fec_in!J26/SER_hh_num_in!J26)</f>
        <v>4104.0571421320437</v>
      </c>
      <c r="K26" s="65">
        <f>IF(SER_hh_fec_in!K26=0,0,11630*1000*SER_hh_fec_in!K26/SER_hh_num_in!K26)</f>
        <v>358.73478533375578</v>
      </c>
      <c r="L26" s="65">
        <f>IF(SER_hh_fec_in!L26=0,0,11630*1000*SER_hh_fec_in!L26/SER_hh_num_in!L26)</f>
        <v>3189.8134144773776</v>
      </c>
      <c r="M26" s="65">
        <f>IF(SER_hh_fec_in!M26=0,0,11630*1000*SER_hh_fec_in!M26/SER_hh_num_in!M26)</f>
        <v>653.62910641026008</v>
      </c>
      <c r="N26" s="65">
        <f>IF(SER_hh_fec_in!N26=0,0,11630*1000*SER_hh_fec_in!N26/SER_hh_num_in!N26)</f>
        <v>345.65398290157935</v>
      </c>
      <c r="O26" s="65">
        <f>IF(SER_hh_fec_in!O26=0,0,11630*1000*SER_hh_fec_in!O26/SER_hh_num_in!O26)</f>
        <v>4709.5740836230989</v>
      </c>
      <c r="P26" s="65">
        <f>IF(SER_hh_fec_in!P26=0,0,11630*1000*SER_hh_fec_in!P26/SER_hh_num_in!P26)</f>
        <v>0</v>
      </c>
      <c r="Q26" s="65">
        <f>IF(SER_hh_fec_in!Q26=0,0,11630*1000*SER_hh_fec_in!Q26/SER_hh_num_in!Q26)</f>
        <v>46.479899096116512</v>
      </c>
      <c r="R26" s="65">
        <f>IF(SER_hh_fec_in!R26=0,0,11630*1000*SER_hh_fec_in!R26/SER_hh_num_in!R26)</f>
        <v>781.90477970949019</v>
      </c>
      <c r="S26" s="65">
        <f>IF(SER_hh_fec_in!S26=0,0,11630*1000*SER_hh_fec_in!S26/SER_hh_num_in!S26)</f>
        <v>39.517118531546615</v>
      </c>
      <c r="T26" s="65">
        <f>IF(SER_hh_fec_in!T26=0,0,11630*1000*SER_hh_fec_in!T26/SER_hh_num_in!T26)</f>
        <v>4103.4181107453805</v>
      </c>
      <c r="U26" s="65">
        <f>IF(SER_hh_fec_in!U26=0,0,11630*1000*SER_hh_fec_in!U26/SER_hh_num_in!U26)</f>
        <v>302.8018214305356</v>
      </c>
      <c r="V26" s="65">
        <f>IF(SER_hh_fec_in!V26=0,0,11630*1000*SER_hh_fec_in!V26/SER_hh_num_in!V26)</f>
        <v>34.067523362613386</v>
      </c>
      <c r="W26" s="65">
        <f>IF(SER_hh_fec_in!W26=0,0,11630*1000*SER_hh_fec_in!W26/SER_hh_num_in!W26)</f>
        <v>3781.0525766582459</v>
      </c>
      <c r="X26" s="65">
        <f>IF(SER_hh_fec_in!X26=0,0,11630*1000*SER_hh_fec_in!X26/SER_hh_num_in!X26)</f>
        <v>34.227733893720561</v>
      </c>
      <c r="Y26" s="65">
        <f>IF(SER_hh_fec_in!Y26=0,0,11630*1000*SER_hh_fec_in!Y26/SER_hh_num_in!Y26)</f>
        <v>3100.7811696454419</v>
      </c>
      <c r="DA26" s="109" t="s">
        <v>747</v>
      </c>
    </row>
    <row r="27" spans="1:105" ht="12" customHeight="1" x14ac:dyDescent="0.25">
      <c r="A27" s="144" t="s">
        <v>86</v>
      </c>
      <c r="B27" s="147"/>
      <c r="C27" s="145">
        <f>IF(SER_hh_fec_in!C27=0,0,11630*1000*SER_hh_fec_in!C27/SER_hh_num_in!C19)</f>
        <v>490.85946368745289</v>
      </c>
      <c r="D27" s="145">
        <f>IF(SER_hh_fec_in!D27=0,0,11630*1000*SER_hh_fec_in!D27/SER_hh_num_in!D19)</f>
        <v>105.23255407103484</v>
      </c>
      <c r="E27" s="145">
        <f>IF(SER_hh_fec_in!E27=0,0,11630*1000*SER_hh_fec_in!E27/SER_hh_num_in!E19)</f>
        <v>442.82875888515741</v>
      </c>
      <c r="F27" s="145">
        <f>IF(SER_hh_fec_in!F27=0,0,11630*1000*SER_hh_fec_in!F27/SER_hh_num_in!F19)</f>
        <v>386.19866991353973</v>
      </c>
      <c r="G27" s="145">
        <f>IF(SER_hh_fec_in!G27=0,0,11630*1000*SER_hh_fec_in!G27/SER_hh_num_in!G19)</f>
        <v>547.5234115795937</v>
      </c>
      <c r="H27" s="145">
        <f>IF(SER_hh_fec_in!H27=0,0,11630*1000*SER_hh_fec_in!H27/SER_hh_num_in!H19)</f>
        <v>512.84311380977817</v>
      </c>
      <c r="I27" s="145">
        <f>IF(SER_hh_fec_in!I27=0,0,11630*1000*SER_hh_fec_in!I27/SER_hh_num_in!I19)</f>
        <v>310.07699560506887</v>
      </c>
      <c r="J27" s="145">
        <f>IF(SER_hh_fec_in!J27=0,0,11630*1000*SER_hh_fec_in!J27/SER_hh_num_in!J19)</f>
        <v>728.65681382235164</v>
      </c>
      <c r="K27" s="145">
        <f>IF(SER_hh_fec_in!K27=0,0,11630*1000*SER_hh_fec_in!K27/SER_hh_num_in!K19)</f>
        <v>2369.4514450221686</v>
      </c>
      <c r="L27" s="145">
        <f>IF(SER_hh_fec_in!L27=0,0,11630*1000*SER_hh_fec_in!L27/SER_hh_num_in!L19)</f>
        <v>1025.2044832558911</v>
      </c>
      <c r="M27" s="145">
        <f>IF(SER_hh_fec_in!M27=0,0,11630*1000*SER_hh_fec_in!M27/SER_hh_num_in!M19)</f>
        <v>1551.5622300845616</v>
      </c>
      <c r="N27" s="145">
        <f>IF(SER_hh_fec_in!N27=0,0,11630*1000*SER_hh_fec_in!N27/SER_hh_num_in!N19)</f>
        <v>1029.7969798281065</v>
      </c>
      <c r="O27" s="145">
        <f>IF(SER_hh_fec_in!O27=0,0,11630*1000*SER_hh_fec_in!O27/SER_hh_num_in!O19)</f>
        <v>96.566854989422779</v>
      </c>
      <c r="P27" s="145">
        <f>IF(SER_hh_fec_in!P27=0,0,11630*1000*SER_hh_fec_in!P27/SER_hh_num_in!P19)</f>
        <v>785.09274216794142</v>
      </c>
      <c r="Q27" s="145">
        <f>IF(SER_hh_fec_in!Q27=0,0,11630*1000*SER_hh_fec_in!Q27/SER_hh_num_in!Q19)</f>
        <v>1073.4433048405128</v>
      </c>
      <c r="R27" s="145">
        <f>IF(SER_hh_fec_in!R27=0,0,11630*1000*SER_hh_fec_in!R27/SER_hh_num_in!R19)</f>
        <v>1189.6797143560173</v>
      </c>
      <c r="S27" s="145">
        <f>IF(SER_hh_fec_in!S27=0,0,11630*1000*SER_hh_fec_in!S27/SER_hh_num_in!S19)</f>
        <v>1750.3358108820428</v>
      </c>
      <c r="T27" s="145">
        <f>IF(SER_hh_fec_in!T27=0,0,11630*1000*SER_hh_fec_in!T27/SER_hh_num_in!T19)</f>
        <v>183.89350571333253</v>
      </c>
      <c r="U27" s="145">
        <f>IF(SER_hh_fec_in!U27=0,0,11630*1000*SER_hh_fec_in!U27/SER_hh_num_in!U19)</f>
        <v>1170.3289405409889</v>
      </c>
      <c r="V27" s="145">
        <f>IF(SER_hh_fec_in!V27=0,0,11630*1000*SER_hh_fec_in!V27/SER_hh_num_in!V19)</f>
        <v>604.51415559957115</v>
      </c>
      <c r="W27" s="145">
        <f>IF(SER_hh_fec_in!W27=0,0,11630*1000*SER_hh_fec_in!W27/SER_hh_num_in!W19)</f>
        <v>2.001633177461019E-11</v>
      </c>
      <c r="X27" s="145">
        <f>IF(SER_hh_fec_in!X27=0,0,11630*1000*SER_hh_fec_in!X27/SER_hh_num_in!X19)</f>
        <v>573.21653469999228</v>
      </c>
      <c r="Y27" s="145">
        <f>IF(SER_hh_fec_in!Y27=0,0,11630*1000*SER_hh_fec_in!Y27/SER_hh_num_in!Y19)</f>
        <v>147.46263946221896</v>
      </c>
      <c r="DA27" s="158" t="s">
        <v>748</v>
      </c>
    </row>
    <row r="28" spans="1:105" ht="12" customHeight="1" x14ac:dyDescent="0.25">
      <c r="A28" s="78" t="s">
        <v>85</v>
      </c>
      <c r="B28" s="68"/>
      <c r="C28" s="146">
        <f>IF(SER_hh_fec_in!C27=0,0,11630*1000*SER_hh_fec_in!C27/SER_hh_num_in!C27)</f>
        <v>2591.6286256579306</v>
      </c>
      <c r="D28" s="146">
        <f>IF(SER_hh_fec_in!D27=0,0,11630*1000*SER_hh_fec_in!D27/SER_hh_num_in!D27)</f>
        <v>3168.9160825358772</v>
      </c>
      <c r="E28" s="146">
        <f>IF(SER_hh_fec_in!E27=0,0,11630*1000*SER_hh_fec_in!E27/SER_hh_num_in!E27)</f>
        <v>3308.1946587052807</v>
      </c>
      <c r="F28" s="146">
        <f>IF(SER_hh_fec_in!F27=0,0,11630*1000*SER_hh_fec_in!F27/SER_hh_num_in!F27)</f>
        <v>3408.5588054252416</v>
      </c>
      <c r="G28" s="146">
        <f>IF(SER_hh_fec_in!G27=0,0,11630*1000*SER_hh_fec_in!G27/SER_hh_num_in!G27)</f>
        <v>3401.2499234362913</v>
      </c>
      <c r="H28" s="146">
        <f>IF(SER_hh_fec_in!H27=0,0,11630*1000*SER_hh_fec_in!H27/SER_hh_num_in!H27)</f>
        <v>3465.1180370683783</v>
      </c>
      <c r="I28" s="146">
        <f>IF(SER_hh_fec_in!I27=0,0,11630*1000*SER_hh_fec_in!I27/SER_hh_num_in!I27)</f>
        <v>3408.6565129500227</v>
      </c>
      <c r="J28" s="146">
        <f>IF(SER_hh_fec_in!J27=0,0,11630*1000*SER_hh_fec_in!J27/SER_hh_num_in!J27)</f>
        <v>3465.4055690255927</v>
      </c>
      <c r="K28" s="146">
        <f>IF(SER_hh_fec_in!K27=0,0,11630*1000*SER_hh_fec_in!K27/SER_hh_num_in!K27)</f>
        <v>3482.9793288651836</v>
      </c>
      <c r="L28" s="146">
        <f>IF(SER_hh_fec_in!L27=0,0,11630*1000*SER_hh_fec_in!L27/SER_hh_num_in!L27)</f>
        <v>3554.583126823698</v>
      </c>
      <c r="M28" s="146">
        <f>IF(SER_hh_fec_in!M27=0,0,11630*1000*SER_hh_fec_in!M27/SER_hh_num_in!M27)</f>
        <v>3462.0674789278823</v>
      </c>
      <c r="N28" s="146">
        <f>IF(SER_hh_fec_in!N27=0,0,11630*1000*SER_hh_fec_in!N27/SER_hh_num_in!N27)</f>
        <v>3502.7928383130306</v>
      </c>
      <c r="O28" s="146">
        <f>IF(SER_hh_fec_in!O27=0,0,11630*1000*SER_hh_fec_in!O27/SER_hh_num_in!O27)</f>
        <v>3717.1333707765843</v>
      </c>
      <c r="P28" s="146">
        <f>IF(SER_hh_fec_in!P27=0,0,11630*1000*SER_hh_fec_in!P27/SER_hh_num_in!P27)</f>
        <v>2561.3526187737411</v>
      </c>
      <c r="Q28" s="146">
        <f>IF(SER_hh_fec_in!Q27=0,0,11630*1000*SER_hh_fec_in!Q27/SER_hh_num_in!Q27)</f>
        <v>3846.2920014406327</v>
      </c>
      <c r="R28" s="146">
        <f>IF(SER_hh_fec_in!R27=0,0,11630*1000*SER_hh_fec_in!R27/SER_hh_num_in!R27)</f>
        <v>3686.6798681203986</v>
      </c>
      <c r="S28" s="146">
        <f>IF(SER_hh_fec_in!S27=0,0,11630*1000*SER_hh_fec_in!S27/SER_hh_num_in!S27)</f>
        <v>3371.2254134847135</v>
      </c>
      <c r="T28" s="146">
        <f>IF(SER_hh_fec_in!T27=0,0,11630*1000*SER_hh_fec_in!T27/SER_hh_num_in!T27)</f>
        <v>3606.3740568737044</v>
      </c>
      <c r="U28" s="146">
        <f>IF(SER_hh_fec_in!U27=0,0,11630*1000*SER_hh_fec_in!U27/SER_hh_num_in!U27)</f>
        <v>3390.9946332813561</v>
      </c>
      <c r="V28" s="146">
        <f>IF(SER_hh_fec_in!V27=0,0,11630*1000*SER_hh_fec_in!V27/SER_hh_num_in!V27)</f>
        <v>2804.9017502320198</v>
      </c>
      <c r="W28" s="146">
        <f>IF(SER_hh_fec_in!W27=0,0,11630*1000*SER_hh_fec_in!W27/SER_hh_num_in!W27)</f>
        <v>3578.12195675155</v>
      </c>
      <c r="X28" s="146">
        <f>IF(SER_hh_fec_in!X27=0,0,11630*1000*SER_hh_fec_in!X27/SER_hh_num_in!X27)</f>
        <v>3206.8064549159303</v>
      </c>
      <c r="Y28" s="146">
        <f>IF(SER_hh_fec_in!Y27=0,0,11630*1000*SER_hh_fec_in!Y27/SER_hh_num_in!Y27)</f>
        <v>3552.2259008740398</v>
      </c>
      <c r="DA28" s="159"/>
    </row>
    <row r="29" spans="1:105" ht="12.95" customHeight="1" x14ac:dyDescent="0.25">
      <c r="A29" s="129" t="s">
        <v>34</v>
      </c>
      <c r="B29" s="130"/>
      <c r="C29" s="130">
        <f>IF(SER_hh_fec_in!C29=0,0,11630*1000*SER_hh_fec_in!C29/SER_hh_num_in!C29)</f>
        <v>6562.6219101831985</v>
      </c>
      <c r="D29" s="130">
        <f>IF(SER_hh_fec_in!D29=0,0,11630*1000*SER_hh_fec_in!D29/SER_hh_num_in!D29)</f>
        <v>6200.7108134842247</v>
      </c>
      <c r="E29" s="130">
        <f>IF(SER_hh_fec_in!E29=0,0,11630*1000*SER_hh_fec_in!E29/SER_hh_num_in!E29)</f>
        <v>5944.50731377785</v>
      </c>
      <c r="F29" s="130">
        <f>IF(SER_hh_fec_in!F29=0,0,11630*1000*SER_hh_fec_in!F29/SER_hh_num_in!F29)</f>
        <v>6662.9210009780136</v>
      </c>
      <c r="G29" s="130">
        <f>IF(SER_hh_fec_in!G29=0,0,11630*1000*SER_hh_fec_in!G29/SER_hh_num_in!G29)</f>
        <v>6445.3900497594122</v>
      </c>
      <c r="H29" s="130">
        <f>IF(SER_hh_fec_in!H29=0,0,11630*1000*SER_hh_fec_in!H29/SER_hh_num_in!H29)</f>
        <v>6761.1327758933294</v>
      </c>
      <c r="I29" s="130">
        <f>IF(SER_hh_fec_in!I29=0,0,11630*1000*SER_hh_fec_in!I29/SER_hh_num_in!I29)</f>
        <v>6740.0146078689568</v>
      </c>
      <c r="J29" s="130">
        <f>IF(SER_hh_fec_in!J29=0,0,11630*1000*SER_hh_fec_in!J29/SER_hh_num_in!J29)</f>
        <v>6922.5368750319785</v>
      </c>
      <c r="K29" s="130">
        <f>IF(SER_hh_fec_in!K29=0,0,11630*1000*SER_hh_fec_in!K29/SER_hh_num_in!K29)</f>
        <v>7036.5599379459654</v>
      </c>
      <c r="L29" s="130">
        <f>IF(SER_hh_fec_in!L29=0,0,11630*1000*SER_hh_fec_in!L29/SER_hh_num_in!L29)</f>
        <v>7146.1735359188278</v>
      </c>
      <c r="M29" s="130">
        <f>IF(SER_hh_fec_in!M29=0,0,11630*1000*SER_hh_fec_in!M29/SER_hh_num_in!M29)</f>
        <v>7442.4264487847458</v>
      </c>
      <c r="N29" s="130">
        <f>IF(SER_hh_fec_in!N29=0,0,11630*1000*SER_hh_fec_in!N29/SER_hh_num_in!N29)</f>
        <v>7410.9301326466557</v>
      </c>
      <c r="O29" s="130">
        <f>IF(SER_hh_fec_in!O29=0,0,11630*1000*SER_hh_fec_in!O29/SER_hh_num_in!O29)</f>
        <v>7239.7471601716798</v>
      </c>
      <c r="P29" s="130">
        <f>IF(SER_hh_fec_in!P29=0,0,11630*1000*SER_hh_fec_in!P29/SER_hh_num_in!P29)</f>
        <v>9261.2207674580932</v>
      </c>
      <c r="Q29" s="130">
        <f>IF(SER_hh_fec_in!Q29=0,0,11630*1000*SER_hh_fec_in!Q29/SER_hh_num_in!Q29)</f>
        <v>8753.8535427482839</v>
      </c>
      <c r="R29" s="130">
        <f>IF(SER_hh_fec_in!R29=0,0,11630*1000*SER_hh_fec_in!R29/SER_hh_num_in!R29)</f>
        <v>7983.1609197684211</v>
      </c>
      <c r="S29" s="130">
        <f>IF(SER_hh_fec_in!S29=0,0,11630*1000*SER_hh_fec_in!S29/SER_hh_num_in!S29)</f>
        <v>6762.9682648074622</v>
      </c>
      <c r="T29" s="130">
        <f>IF(SER_hh_fec_in!T29=0,0,11630*1000*SER_hh_fec_in!T29/SER_hh_num_in!T29)</f>
        <v>6838.5593705724887</v>
      </c>
      <c r="U29" s="130">
        <f>IF(SER_hh_fec_in!U29=0,0,11630*1000*SER_hh_fec_in!U29/SER_hh_num_in!U29)</f>
        <v>7115.8228443918624</v>
      </c>
      <c r="V29" s="130">
        <f>IF(SER_hh_fec_in!V29=0,0,11630*1000*SER_hh_fec_in!V29/SER_hh_num_in!V29)</f>
        <v>5765.8265140021158</v>
      </c>
      <c r="W29" s="130">
        <f>IF(SER_hh_fec_in!W29=0,0,11630*1000*SER_hh_fec_in!W29/SER_hh_num_in!W29)</f>
        <v>6532.6346254177188</v>
      </c>
      <c r="X29" s="130">
        <f>IF(SER_hh_fec_in!X29=0,0,11630*1000*SER_hh_fec_in!X29/SER_hh_num_in!X29)</f>
        <v>5771.735063284329</v>
      </c>
      <c r="Y29" s="130">
        <f>IF(SER_hh_fec_in!Y29=0,0,11630*1000*SER_hh_fec_in!Y29/SER_hh_num_in!Y29)</f>
        <v>7222.8753669228681</v>
      </c>
      <c r="DA29" s="155" t="s">
        <v>749</v>
      </c>
    </row>
    <row r="30" spans="1:105" s="2" customFormat="1" ht="12" customHeight="1" x14ac:dyDescent="0.25">
      <c r="A30" s="131" t="s">
        <v>52</v>
      </c>
      <c r="B30" s="132"/>
      <c r="C30" s="132">
        <f>IF(SER_hh_fec_in!C30=0,0,11630*1000*SER_hh_fec_in!C30/SER_hh_num_in!C30)</f>
        <v>7890.0226074374887</v>
      </c>
      <c r="D30" s="132">
        <f>IF(SER_hh_fec_in!D30=0,0,11630*1000*SER_hh_fec_in!D30/SER_hh_num_in!D30)</f>
        <v>7630.6540900207729</v>
      </c>
      <c r="E30" s="132">
        <f>IF(SER_hh_fec_in!E30=0,0,11630*1000*SER_hh_fec_in!E30/SER_hh_num_in!E30)</f>
        <v>7412.0631586688387</v>
      </c>
      <c r="F30" s="132">
        <f>IF(SER_hh_fec_in!F30=0,0,11630*1000*SER_hh_fec_in!F30/SER_hh_num_in!F30)</f>
        <v>8030.4485828864845</v>
      </c>
      <c r="G30" s="132">
        <f>IF(SER_hh_fec_in!G30=0,0,11630*1000*SER_hh_fec_in!G30/SER_hh_num_in!G30)</f>
        <v>7831.1252706436544</v>
      </c>
      <c r="H30" s="132">
        <f>IF(SER_hh_fec_in!H30=0,0,11630*1000*SER_hh_fec_in!H30/SER_hh_num_in!H30)</f>
        <v>7629.8384990680588</v>
      </c>
      <c r="I30" s="132">
        <f>IF(SER_hh_fec_in!I30=0,0,11630*1000*SER_hh_fec_in!I30/SER_hh_num_in!I30)</f>
        <v>8236.5205515875405</v>
      </c>
      <c r="J30" s="132">
        <f>IF(SER_hh_fec_in!J30=0,0,11630*1000*SER_hh_fec_in!J30/SER_hh_num_in!J30)</f>
        <v>8888.7867149209596</v>
      </c>
      <c r="K30" s="132">
        <f>IF(SER_hh_fec_in!K30=0,0,11630*1000*SER_hh_fec_in!K30/SER_hh_num_in!K30)</f>
        <v>8367.4312253865664</v>
      </c>
      <c r="L30" s="132">
        <f>IF(SER_hh_fec_in!L30=0,0,11630*1000*SER_hh_fec_in!L30/SER_hh_num_in!L30)</f>
        <v>8741.6669593752486</v>
      </c>
      <c r="M30" s="132">
        <f>IF(SER_hh_fec_in!M30=0,0,11630*1000*SER_hh_fec_in!M30/SER_hh_num_in!M30)</f>
        <v>8639.7066962779863</v>
      </c>
      <c r="N30" s="132">
        <f>IF(SER_hh_fec_in!N30=0,0,11630*1000*SER_hh_fec_in!N30/SER_hh_num_in!N30)</f>
        <v>8781.5323346677706</v>
      </c>
      <c r="O30" s="132">
        <f>IF(SER_hh_fec_in!O30=0,0,11630*1000*SER_hh_fec_in!O30/SER_hh_num_in!O30)</f>
        <v>8791.8284818892826</v>
      </c>
      <c r="P30" s="132">
        <f>IF(SER_hh_fec_in!P30=0,0,11630*1000*SER_hh_fec_in!P30/SER_hh_num_in!P30)</f>
        <v>6064.7769626073341</v>
      </c>
      <c r="Q30" s="132">
        <f>IF(SER_hh_fec_in!Q30=0,0,11630*1000*SER_hh_fec_in!Q30/SER_hh_num_in!Q30)</f>
        <v>8321.1424456460991</v>
      </c>
      <c r="R30" s="132">
        <f>IF(SER_hh_fec_in!R30=0,0,11630*1000*SER_hh_fec_in!R30/SER_hh_num_in!R30)</f>
        <v>10289.636391039941</v>
      </c>
      <c r="S30" s="132">
        <f>IF(SER_hh_fec_in!S30=0,0,11630*1000*SER_hh_fec_in!S30/SER_hh_num_in!S30)</f>
        <v>7922.9487392978463</v>
      </c>
      <c r="T30" s="132">
        <f>IF(SER_hh_fec_in!T30=0,0,11630*1000*SER_hh_fec_in!T30/SER_hh_num_in!T30)</f>
        <v>9225.3349903110811</v>
      </c>
      <c r="U30" s="132">
        <f>IF(SER_hh_fec_in!U30=0,0,11630*1000*SER_hh_fec_in!U30/SER_hh_num_in!U30)</f>
        <v>0</v>
      </c>
      <c r="V30" s="132">
        <f>IF(SER_hh_fec_in!V30=0,0,11630*1000*SER_hh_fec_in!V30/SER_hh_num_in!V30)</f>
        <v>0</v>
      </c>
      <c r="W30" s="132">
        <f>IF(SER_hh_fec_in!W30=0,0,11630*1000*SER_hh_fec_in!W30/SER_hh_num_in!W30)</f>
        <v>6878.9156769024166</v>
      </c>
      <c r="X30" s="132">
        <f>IF(SER_hh_fec_in!X30=0,0,11630*1000*SER_hh_fec_in!X30/SER_hh_num_in!X30)</f>
        <v>7415.5446869217094</v>
      </c>
      <c r="Y30" s="132">
        <f>IF(SER_hh_fec_in!Y30=0,0,11630*1000*SER_hh_fec_in!Y30/SER_hh_num_in!Y30)</f>
        <v>9546.7763879182603</v>
      </c>
      <c r="DA30" s="156" t="s">
        <v>750</v>
      </c>
    </row>
    <row r="31" spans="1:105" ht="12" customHeight="1" x14ac:dyDescent="0.25">
      <c r="A31" s="131" t="s">
        <v>149</v>
      </c>
      <c r="B31" s="132"/>
      <c r="C31" s="132">
        <f>IF(SER_hh_fec_in!C31=0,0,11630*1000*SER_hh_fec_in!C31/SER_hh_num_in!C31)</f>
        <v>8228.8373491580242</v>
      </c>
      <c r="D31" s="132">
        <f>IF(SER_hh_fec_in!D31=0,0,11630*1000*SER_hh_fec_in!D31/SER_hh_num_in!D31)</f>
        <v>7129.0633274912689</v>
      </c>
      <c r="E31" s="132">
        <f>IF(SER_hh_fec_in!E31=0,0,11630*1000*SER_hh_fec_in!E31/SER_hh_num_in!E31)</f>
        <v>6025.9734549525992</v>
      </c>
      <c r="F31" s="132">
        <f>IF(SER_hh_fec_in!F31=0,0,11630*1000*SER_hh_fec_in!F31/SER_hh_num_in!F31)</f>
        <v>8063.4042686207949</v>
      </c>
      <c r="G31" s="132">
        <f>IF(SER_hh_fec_in!G31=0,0,11630*1000*SER_hh_fec_in!G31/SER_hh_num_in!G31)</f>
        <v>7839.927452745239</v>
      </c>
      <c r="H31" s="132">
        <f>IF(SER_hh_fec_in!H31=0,0,11630*1000*SER_hh_fec_in!H31/SER_hh_num_in!H31)</f>
        <v>8286.1201344697965</v>
      </c>
      <c r="I31" s="132">
        <f>IF(SER_hh_fec_in!I31=0,0,11630*1000*SER_hh_fec_in!I31/SER_hh_num_in!I31)</f>
        <v>8241.5115628142212</v>
      </c>
      <c r="J31" s="132">
        <f>IF(SER_hh_fec_in!J31=0,0,11630*1000*SER_hh_fec_in!J31/SER_hh_num_in!J31)</f>
        <v>8397.5664534651496</v>
      </c>
      <c r="K31" s="132">
        <f>IF(SER_hh_fec_in!K31=0,0,11630*1000*SER_hh_fec_in!K31/SER_hh_num_in!K31)</f>
        <v>8312.1977706240796</v>
      </c>
      <c r="L31" s="132">
        <f>IF(SER_hh_fec_in!L31=0,0,11630*1000*SER_hh_fec_in!L31/SER_hh_num_in!L31)</f>
        <v>8497.4137851948835</v>
      </c>
      <c r="M31" s="132">
        <f>IF(SER_hh_fec_in!M31=0,0,11630*1000*SER_hh_fec_in!M31/SER_hh_num_in!M31)</f>
        <v>8325.1606812883565</v>
      </c>
      <c r="N31" s="132">
        <f>IF(SER_hh_fec_in!N31=0,0,11630*1000*SER_hh_fec_in!N31/SER_hh_num_in!N31)</f>
        <v>7609.8527561893898</v>
      </c>
      <c r="O31" s="132">
        <f>IF(SER_hh_fec_in!O31=0,0,11630*1000*SER_hh_fec_in!O31/SER_hh_num_in!O31)</f>
        <v>7123.7267946726779</v>
      </c>
      <c r="P31" s="132">
        <f>IF(SER_hh_fec_in!P31=0,0,11630*1000*SER_hh_fec_in!P31/SER_hh_num_in!P31)</f>
        <v>9489.4698711658348</v>
      </c>
      <c r="Q31" s="132">
        <f>IF(SER_hh_fec_in!Q31=0,0,11630*1000*SER_hh_fec_in!Q31/SER_hh_num_in!Q31)</f>
        <v>8846.3076944622553</v>
      </c>
      <c r="R31" s="132">
        <f>IF(SER_hh_fec_in!R31=0,0,11630*1000*SER_hh_fec_in!R31/SER_hh_num_in!R31)</f>
        <v>8697.2778314779225</v>
      </c>
      <c r="S31" s="132">
        <f>IF(SER_hh_fec_in!S31=0,0,11630*1000*SER_hh_fec_in!S31/SER_hh_num_in!S31)</f>
        <v>8621.245240267519</v>
      </c>
      <c r="T31" s="132">
        <f>IF(SER_hh_fec_in!T31=0,0,11630*1000*SER_hh_fec_in!T31/SER_hh_num_in!T31)</f>
        <v>7686.8393898263494</v>
      </c>
      <c r="U31" s="132">
        <f>IF(SER_hh_fec_in!U31=0,0,11630*1000*SER_hh_fec_in!U31/SER_hh_num_in!U31)</f>
        <v>7865.819195263306</v>
      </c>
      <c r="V31" s="132">
        <f>IF(SER_hh_fec_in!V31=0,0,11630*1000*SER_hh_fec_in!V31/SER_hh_num_in!V31)</f>
        <v>8239.6334289668775</v>
      </c>
      <c r="W31" s="132">
        <f>IF(SER_hh_fec_in!W31=0,0,11630*1000*SER_hh_fec_in!W31/SER_hh_num_in!W31)</f>
        <v>8296.8716964636969</v>
      </c>
      <c r="X31" s="132">
        <f>IF(SER_hh_fec_in!X31=0,0,11630*1000*SER_hh_fec_in!X31/SER_hh_num_in!X31)</f>
        <v>7675.8778399101438</v>
      </c>
      <c r="Y31" s="132">
        <f>IF(SER_hh_fec_in!Y31=0,0,11630*1000*SER_hh_fec_in!Y31/SER_hh_num_in!Y31)</f>
        <v>7960.2950213835611</v>
      </c>
      <c r="DA31" s="156" t="s">
        <v>751</v>
      </c>
    </row>
    <row r="32" spans="1:105" ht="12" customHeight="1" x14ac:dyDescent="0.25">
      <c r="A32" s="131" t="s">
        <v>128</v>
      </c>
      <c r="B32" s="132"/>
      <c r="C32" s="132">
        <f>IF(SER_hh_fec_in!C32=0,0,11630*1000*SER_hh_fec_in!C32/SER_hh_num_in!C32)</f>
        <v>0</v>
      </c>
      <c r="D32" s="132">
        <f>IF(SER_hh_fec_in!D32=0,0,11630*1000*SER_hh_fec_in!D32/SER_hh_num_in!D32)</f>
        <v>0</v>
      </c>
      <c r="E32" s="132">
        <f>IF(SER_hh_fec_in!E32=0,0,11630*1000*SER_hh_fec_in!E32/SER_hh_num_in!E32)</f>
        <v>0</v>
      </c>
      <c r="F32" s="132">
        <f>IF(SER_hh_fec_in!F32=0,0,11630*1000*SER_hh_fec_in!F32/SER_hh_num_in!F32)</f>
        <v>0</v>
      </c>
      <c r="G32" s="132">
        <f>IF(SER_hh_fec_in!G32=0,0,11630*1000*SER_hh_fec_in!G32/SER_hh_num_in!G32)</f>
        <v>0</v>
      </c>
      <c r="H32" s="132">
        <f>IF(SER_hh_fec_in!H32=0,0,11630*1000*SER_hh_fec_in!H32/SER_hh_num_in!H32)</f>
        <v>0</v>
      </c>
      <c r="I32" s="132">
        <f>IF(SER_hh_fec_in!I32=0,0,11630*1000*SER_hh_fec_in!I32/SER_hh_num_in!I32)</f>
        <v>0</v>
      </c>
      <c r="J32" s="132">
        <f>IF(SER_hh_fec_in!J32=0,0,11630*1000*SER_hh_fec_in!J32/SER_hh_num_in!J32)</f>
        <v>0</v>
      </c>
      <c r="K32" s="132">
        <f>IF(SER_hh_fec_in!K32=0,0,11630*1000*SER_hh_fec_in!K32/SER_hh_num_in!K32)</f>
        <v>0</v>
      </c>
      <c r="L32" s="132">
        <f>IF(SER_hh_fec_in!L32=0,0,11630*1000*SER_hh_fec_in!L32/SER_hh_num_in!L32)</f>
        <v>0</v>
      </c>
      <c r="M32" s="132">
        <f>IF(SER_hh_fec_in!M32=0,0,11630*1000*SER_hh_fec_in!M32/SER_hh_num_in!M32)</f>
        <v>0</v>
      </c>
      <c r="N32" s="132">
        <f>IF(SER_hh_fec_in!N32=0,0,11630*1000*SER_hh_fec_in!N32/SER_hh_num_in!N32)</f>
        <v>0</v>
      </c>
      <c r="O32" s="132">
        <f>IF(SER_hh_fec_in!O32=0,0,11630*1000*SER_hh_fec_in!O32/SER_hh_num_in!O32)</f>
        <v>0</v>
      </c>
      <c r="P32" s="132">
        <f>IF(SER_hh_fec_in!P32=0,0,11630*1000*SER_hh_fec_in!P32/SER_hh_num_in!P32)</f>
        <v>0</v>
      </c>
      <c r="Q32" s="132">
        <f>IF(SER_hh_fec_in!Q32=0,0,11630*1000*SER_hh_fec_in!Q32/SER_hh_num_in!Q32)</f>
        <v>0</v>
      </c>
      <c r="R32" s="132">
        <f>IF(SER_hh_fec_in!R32=0,0,11630*1000*SER_hh_fec_in!R32/SER_hh_num_in!R32)</f>
        <v>0</v>
      </c>
      <c r="S32" s="132">
        <f>IF(SER_hh_fec_in!S32=0,0,11630*1000*SER_hh_fec_in!S32/SER_hh_num_in!S32)</f>
        <v>0</v>
      </c>
      <c r="T32" s="132">
        <f>IF(SER_hh_fec_in!T32=0,0,11630*1000*SER_hh_fec_in!T32/SER_hh_num_in!T32)</f>
        <v>0</v>
      </c>
      <c r="U32" s="132">
        <f>IF(SER_hh_fec_in!U32=0,0,11630*1000*SER_hh_fec_in!U32/SER_hh_num_in!U32)</f>
        <v>0</v>
      </c>
      <c r="V32" s="132">
        <f>IF(SER_hh_fec_in!V32=0,0,11630*1000*SER_hh_fec_in!V32/SER_hh_num_in!V32)</f>
        <v>0</v>
      </c>
      <c r="W32" s="132">
        <f>IF(SER_hh_fec_in!W32=0,0,11630*1000*SER_hh_fec_in!W32/SER_hh_num_in!W32)</f>
        <v>0</v>
      </c>
      <c r="X32" s="132">
        <f>IF(SER_hh_fec_in!X32=0,0,11630*1000*SER_hh_fec_in!X32/SER_hh_num_in!X32)</f>
        <v>0</v>
      </c>
      <c r="Y32" s="132">
        <f>IF(SER_hh_fec_in!Y32=0,0,11630*1000*SER_hh_fec_in!Y32/SER_hh_num_in!Y32)</f>
        <v>0</v>
      </c>
      <c r="DA32" s="156" t="s">
        <v>752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5774.1045029538782</v>
      </c>
      <c r="D33" s="68">
        <f>IF(SER_hh_fec_in!D33=0,0,11630*1000*SER_hh_fec_in!D33/SER_hh_num_in!D33)</f>
        <v>5689.2216920530655</v>
      </c>
      <c r="E33" s="68">
        <f>IF(SER_hh_fec_in!E33=0,0,11630*1000*SER_hh_fec_in!E33/SER_hh_num_in!E33)</f>
        <v>5633.3246259333318</v>
      </c>
      <c r="F33" s="68">
        <f>IF(SER_hh_fec_in!F33=0,0,11630*1000*SER_hh_fec_in!F33/SER_hh_num_in!F33)</f>
        <v>5617.8463409794895</v>
      </c>
      <c r="G33" s="68">
        <f>IF(SER_hh_fec_in!G33=0,0,11630*1000*SER_hh_fec_in!G33/SER_hh_num_in!G33)</f>
        <v>5717.7198058638451</v>
      </c>
      <c r="H33" s="68">
        <f>IF(SER_hh_fec_in!H33=0,0,11630*1000*SER_hh_fec_in!H33/SER_hh_num_in!H33)</f>
        <v>6149.762306556072</v>
      </c>
      <c r="I33" s="68">
        <f>IF(SER_hh_fec_in!I33=0,0,11630*1000*SER_hh_fec_in!I33/SER_hh_num_in!I33)</f>
        <v>6198.7945296648822</v>
      </c>
      <c r="J33" s="68">
        <f>IF(SER_hh_fec_in!J33=0,0,11630*1000*SER_hh_fec_in!J33/SER_hh_num_in!J33)</f>
        <v>6289.0190890968324</v>
      </c>
      <c r="K33" s="68">
        <f>IF(SER_hh_fec_in!K33=0,0,11630*1000*SER_hh_fec_in!K33/SER_hh_num_in!K33)</f>
        <v>6374.3076299553259</v>
      </c>
      <c r="L33" s="68">
        <f>IF(SER_hh_fec_in!L33=0,0,11630*1000*SER_hh_fec_in!L33/SER_hh_num_in!L33)</f>
        <v>6480.1934454107995</v>
      </c>
      <c r="M33" s="68">
        <f>IF(SER_hh_fec_in!M33=0,0,11630*1000*SER_hh_fec_in!M33/SER_hh_num_in!M33)</f>
        <v>6605.990598252396</v>
      </c>
      <c r="N33" s="68">
        <f>IF(SER_hh_fec_in!N33=0,0,11630*1000*SER_hh_fec_in!N33/SER_hh_num_in!N33)</f>
        <v>6609.1503321323817</v>
      </c>
      <c r="O33" s="68">
        <f>IF(SER_hh_fec_in!O33=0,0,11630*1000*SER_hh_fec_in!O33/SER_hh_num_in!O33)</f>
        <v>0</v>
      </c>
      <c r="P33" s="68">
        <f>IF(SER_hh_fec_in!P33=0,0,11630*1000*SER_hh_fec_in!P33/SER_hh_num_in!P33)</f>
        <v>0</v>
      </c>
      <c r="Q33" s="68">
        <f>IF(SER_hh_fec_in!Q33=0,0,11630*1000*SER_hh_fec_in!Q33/SER_hh_num_in!Q33)</f>
        <v>0</v>
      </c>
      <c r="R33" s="68">
        <f>IF(SER_hh_fec_in!R33=0,0,11630*1000*SER_hh_fec_in!R33/SER_hh_num_in!R33)</f>
        <v>4495.2801307595455</v>
      </c>
      <c r="S33" s="68">
        <f>IF(SER_hh_fec_in!S33=0,0,11630*1000*SER_hh_fec_in!S33/SER_hh_num_in!S33)</f>
        <v>5423.6990434036697</v>
      </c>
      <c r="T33" s="68">
        <f>IF(SER_hh_fec_in!T33=0,0,11630*1000*SER_hh_fec_in!T33/SER_hh_num_in!T33)</f>
        <v>6660.0600751873144</v>
      </c>
      <c r="U33" s="68">
        <f>IF(SER_hh_fec_in!U33=0,0,11630*1000*SER_hh_fec_in!U33/SER_hh_num_in!U33)</f>
        <v>6758.3670279577391</v>
      </c>
      <c r="V33" s="68">
        <f>IF(SER_hh_fec_in!V33=0,0,11630*1000*SER_hh_fec_in!V33/SER_hh_num_in!V33)</f>
        <v>3534.105086091427</v>
      </c>
      <c r="W33" s="68">
        <f>IF(SER_hh_fec_in!W33=0,0,11630*1000*SER_hh_fec_in!W33/SER_hh_num_in!W33)</f>
        <v>5666.0514258018802</v>
      </c>
      <c r="X33" s="68">
        <f>IF(SER_hh_fec_in!X33=0,0,11630*1000*SER_hh_fec_in!X33/SER_hh_num_in!X33)</f>
        <v>4823.9233872915256</v>
      </c>
      <c r="Y33" s="68">
        <f>IF(SER_hh_fec_in!Y33=0,0,11630*1000*SER_hh_fec_in!Y33/SER_hh_num_in!Y33)</f>
        <v>6193.2479469006184</v>
      </c>
      <c r="DA33" s="111" t="s">
        <v>753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/>
      <c r="C3" s="125">
        <f>IF(SER_hh_tes_in!C3=0,0,11630*1000*SER_hh_tes_in!C3/SER_hh_num_in!C3)</f>
        <v>29228.6176518305</v>
      </c>
      <c r="D3" s="125">
        <f>IF(SER_hh_tes_in!D3=0,0,11630*1000*SER_hh_tes_in!D3/SER_hh_num_in!D3)</f>
        <v>26465.090325856359</v>
      </c>
      <c r="E3" s="125">
        <f>IF(SER_hh_tes_in!E3=0,0,11630*1000*SER_hh_tes_in!E3/SER_hh_num_in!E3)</f>
        <v>30517.206911720503</v>
      </c>
      <c r="F3" s="125">
        <f>IF(SER_hh_tes_in!F3=0,0,11630*1000*SER_hh_tes_in!F3/SER_hh_num_in!F3)</f>
        <v>28271.86829052656</v>
      </c>
      <c r="G3" s="125">
        <f>IF(SER_hh_tes_in!G3=0,0,11630*1000*SER_hh_tes_in!G3/SER_hh_num_in!G3)</f>
        <v>28545.987263116946</v>
      </c>
      <c r="H3" s="125">
        <f>IF(SER_hh_tes_in!H3=0,0,11630*1000*SER_hh_tes_in!H3/SER_hh_num_in!H3)</f>
        <v>39970.20138558004</v>
      </c>
      <c r="I3" s="125">
        <f>IF(SER_hh_tes_in!I3=0,0,11630*1000*SER_hh_tes_in!I3/SER_hh_num_in!I3)</f>
        <v>28474.102550457406</v>
      </c>
      <c r="J3" s="125">
        <f>IF(SER_hh_tes_in!J3=0,0,11630*1000*SER_hh_tes_in!J3/SER_hh_num_in!J3)</f>
        <v>29511.648936395679</v>
      </c>
      <c r="K3" s="125">
        <f>IF(SER_hh_tes_in!K3=0,0,11630*1000*SER_hh_tes_in!K3/SER_hh_num_in!K3)</f>
        <v>33267.769158485993</v>
      </c>
      <c r="L3" s="125">
        <f>IF(SER_hh_tes_in!L3=0,0,11630*1000*SER_hh_tes_in!L3/SER_hh_num_in!L3)</f>
        <v>33545.01968084582</v>
      </c>
      <c r="M3" s="125">
        <f>IF(SER_hh_tes_in!M3=0,0,11630*1000*SER_hh_tes_in!M3/SER_hh_num_in!M3)</f>
        <v>30718.209490330235</v>
      </c>
      <c r="N3" s="125">
        <f>IF(SER_hh_tes_in!N3=0,0,11630*1000*SER_hh_tes_in!N3/SER_hh_num_in!N3)</f>
        <v>32524.416956932804</v>
      </c>
      <c r="O3" s="125">
        <f>IF(SER_hh_tes_in!O3=0,0,11630*1000*SER_hh_tes_in!O3/SER_hh_num_in!O3)</f>
        <v>27915.718921705531</v>
      </c>
      <c r="P3" s="125">
        <f>IF(SER_hh_tes_in!P3=0,0,11630*1000*SER_hh_tes_in!P3/SER_hh_num_in!P3)</f>
        <v>26314.525380682648</v>
      </c>
      <c r="Q3" s="125">
        <f>IF(SER_hh_tes_in!Q3=0,0,11630*1000*SER_hh_tes_in!Q3/SER_hh_num_in!Q3)</f>
        <v>32105.426279957148</v>
      </c>
      <c r="R3" s="125">
        <f>IF(SER_hh_tes_in!R3=0,0,11630*1000*SER_hh_tes_in!R3/SER_hh_num_in!R3)</f>
        <v>31656.580717159686</v>
      </c>
      <c r="S3" s="125">
        <f>IF(SER_hh_tes_in!S3=0,0,11630*1000*SER_hh_tes_in!S3/SER_hh_num_in!S3)</f>
        <v>34881.482676910047</v>
      </c>
      <c r="T3" s="125">
        <f>IF(SER_hh_tes_in!T3=0,0,11630*1000*SER_hh_tes_in!T3/SER_hh_num_in!T3)</f>
        <v>29876.86725354872</v>
      </c>
      <c r="U3" s="125">
        <f>IF(SER_hh_tes_in!U3=0,0,11630*1000*SER_hh_tes_in!U3/SER_hh_num_in!U3)</f>
        <v>30453.746629443613</v>
      </c>
      <c r="V3" s="125">
        <f>IF(SER_hh_tes_in!V3=0,0,11630*1000*SER_hh_tes_in!V3/SER_hh_num_in!V3)</f>
        <v>29968.595536923429</v>
      </c>
      <c r="W3" s="125">
        <f>IF(SER_hh_tes_in!W3=0,0,11630*1000*SER_hh_tes_in!W3/SER_hh_num_in!W3)</f>
        <v>29073.293694411648</v>
      </c>
      <c r="X3" s="125">
        <f>IF(SER_hh_tes_in!X3=0,0,11630*1000*SER_hh_tes_in!X3/SER_hh_num_in!X3)</f>
        <v>32832.567653319842</v>
      </c>
      <c r="Y3" s="125">
        <f>IF(SER_hh_tes_in!Y3=0,0,11630*1000*SER_hh_tes_in!Y3/SER_hh_num_in!Y3)</f>
        <v>34740.168408021353</v>
      </c>
      <c r="DA3" s="154" t="s">
        <v>755</v>
      </c>
    </row>
    <row r="4" spans="1:105" ht="12.95" customHeight="1" x14ac:dyDescent="0.25">
      <c r="A4" s="129" t="s">
        <v>32</v>
      </c>
      <c r="B4" s="130"/>
      <c r="C4" s="130">
        <f>IF(SER_hh_tes_in!C4=0,0,11630*1000*SER_hh_tes_in!C4/SER_hh_num_in!C4)</f>
        <v>5635.4131027139902</v>
      </c>
      <c r="D4" s="130">
        <f>IF(SER_hh_tes_in!D4=0,0,11630*1000*SER_hh_tes_in!D4/SER_hh_num_in!D4)</f>
        <v>4743.5241646543218</v>
      </c>
      <c r="E4" s="130">
        <f>IF(SER_hh_tes_in!E4=0,0,11630*1000*SER_hh_tes_in!E4/SER_hh_num_in!E4)</f>
        <v>4809.4985891717379</v>
      </c>
      <c r="F4" s="130">
        <f>IF(SER_hh_tes_in!F4=0,0,11630*1000*SER_hh_tes_in!F4/SER_hh_num_in!F4)</f>
        <v>4172.8279157926399</v>
      </c>
      <c r="G4" s="130">
        <f>IF(SER_hh_tes_in!G4=0,0,11630*1000*SER_hh_tes_in!G4/SER_hh_num_in!G4)</f>
        <v>4013.1507009749353</v>
      </c>
      <c r="H4" s="130">
        <f>IF(SER_hh_tes_in!H4=0,0,11630*1000*SER_hh_tes_in!H4/SER_hh_num_in!H4)</f>
        <v>12514.25977301953</v>
      </c>
      <c r="I4" s="130">
        <f>IF(SER_hh_tes_in!I4=0,0,11630*1000*SER_hh_tes_in!I4/SER_hh_num_in!I4)</f>
        <v>6206.7973640847003</v>
      </c>
      <c r="J4" s="130">
        <f>IF(SER_hh_tes_in!J4=0,0,11630*1000*SER_hh_tes_in!J4/SER_hh_num_in!J4)</f>
        <v>6516.4755450401854</v>
      </c>
      <c r="K4" s="130">
        <f>IF(SER_hh_tes_in!K4=0,0,11630*1000*SER_hh_tes_in!K4/SER_hh_num_in!K4)</f>
        <v>6295.4805832016573</v>
      </c>
      <c r="L4" s="130">
        <f>IF(SER_hh_tes_in!L4=0,0,11630*1000*SER_hh_tes_in!L4/SER_hh_num_in!L4)</f>
        <v>7656.3350131736115</v>
      </c>
      <c r="M4" s="130">
        <f>IF(SER_hh_tes_in!M4=0,0,11630*1000*SER_hh_tes_in!M4/SER_hh_num_in!M4)</f>
        <v>6768.2423180153237</v>
      </c>
      <c r="N4" s="130">
        <f>IF(SER_hh_tes_in!N4=0,0,11630*1000*SER_hh_tes_in!N4/SER_hh_num_in!N4)</f>
        <v>6001.7538576247334</v>
      </c>
      <c r="O4" s="130">
        <f>IF(SER_hh_tes_in!O4=0,0,11630*1000*SER_hh_tes_in!O4/SER_hh_num_in!O4)</f>
        <v>5370.6116211476265</v>
      </c>
      <c r="P4" s="130">
        <f>IF(SER_hh_tes_in!P4=0,0,11630*1000*SER_hh_tes_in!P4/SER_hh_num_in!P4)</f>
        <v>3696.6995561269164</v>
      </c>
      <c r="Q4" s="130">
        <f>IF(SER_hh_tes_in!Q4=0,0,11630*1000*SER_hh_tes_in!Q4/SER_hh_num_in!Q4)</f>
        <v>3851.3948235204366</v>
      </c>
      <c r="R4" s="130">
        <f>IF(SER_hh_tes_in!R4=0,0,11630*1000*SER_hh_tes_in!R4/SER_hh_num_in!R4)</f>
        <v>4231.966517906083</v>
      </c>
      <c r="S4" s="130">
        <f>IF(SER_hh_tes_in!S4=0,0,11630*1000*SER_hh_tes_in!S4/SER_hh_num_in!S4)</f>
        <v>4842.8744275552226</v>
      </c>
      <c r="T4" s="130">
        <f>IF(SER_hh_tes_in!T4=0,0,11630*1000*SER_hh_tes_in!T4/SER_hh_num_in!T4)</f>
        <v>5403.521210505799</v>
      </c>
      <c r="U4" s="130">
        <f>IF(SER_hh_tes_in!U4=0,0,11630*1000*SER_hh_tes_in!U4/SER_hh_num_in!U4)</f>
        <v>5665.8957834133271</v>
      </c>
      <c r="V4" s="130">
        <f>IF(SER_hh_tes_in!V4=0,0,11630*1000*SER_hh_tes_in!V4/SER_hh_num_in!V4)</f>
        <v>5446.1375434850743</v>
      </c>
      <c r="W4" s="130">
        <f>IF(SER_hh_tes_in!W4=0,0,11630*1000*SER_hh_tes_in!W4/SER_hh_num_in!W4)</f>
        <v>6099.3424630621339</v>
      </c>
      <c r="X4" s="130">
        <f>IF(SER_hh_tes_in!X4=0,0,11630*1000*SER_hh_tes_in!X4/SER_hh_num_in!X4)</f>
        <v>6207.0545611297266</v>
      </c>
      <c r="Y4" s="130">
        <f>IF(SER_hh_tes_in!Y4=0,0,11630*1000*SER_hh_tes_in!Y4/SER_hh_num_in!Y4)</f>
        <v>6613.3333583364129</v>
      </c>
      <c r="DA4" s="155" t="s">
        <v>756</v>
      </c>
    </row>
    <row r="5" spans="1:105" ht="12" customHeight="1" x14ac:dyDescent="0.25">
      <c r="A5" s="131" t="s">
        <v>29</v>
      </c>
      <c r="B5" s="132"/>
      <c r="C5" s="132">
        <f>IF(SER_hh_tes_in!C5=0,0,11630*1000*SER_hh_tes_in!C5/SER_hh_num_in!C5)</f>
        <v>0</v>
      </c>
      <c r="D5" s="132">
        <f>IF(SER_hh_tes_in!D5=0,0,11630*1000*SER_hh_tes_in!D5/SER_hh_num_in!D5)</f>
        <v>0</v>
      </c>
      <c r="E5" s="132">
        <f>IF(SER_hh_tes_in!E5=0,0,11630*1000*SER_hh_tes_in!E5/SER_hh_num_in!E5)</f>
        <v>0</v>
      </c>
      <c r="F5" s="132">
        <f>IF(SER_hh_tes_in!F5=0,0,11630*1000*SER_hh_tes_in!F5/SER_hh_num_in!F5)</f>
        <v>0</v>
      </c>
      <c r="G5" s="132">
        <f>IF(SER_hh_tes_in!G5=0,0,11630*1000*SER_hh_tes_in!G5/SER_hh_num_in!G5)</f>
        <v>0</v>
      </c>
      <c r="H5" s="132">
        <f>IF(SER_hh_tes_in!H5=0,0,11630*1000*SER_hh_tes_in!H5/SER_hh_num_in!H5)</f>
        <v>0</v>
      </c>
      <c r="I5" s="132">
        <f>IF(SER_hh_tes_in!I5=0,0,11630*1000*SER_hh_tes_in!I5/SER_hh_num_in!I5)</f>
        <v>0</v>
      </c>
      <c r="J5" s="132">
        <f>IF(SER_hh_tes_in!J5=0,0,11630*1000*SER_hh_tes_in!J5/SER_hh_num_in!J5)</f>
        <v>0</v>
      </c>
      <c r="K5" s="132">
        <f>IF(SER_hh_tes_in!K5=0,0,11630*1000*SER_hh_tes_in!K5/SER_hh_num_in!K5)</f>
        <v>0</v>
      </c>
      <c r="L5" s="132">
        <f>IF(SER_hh_tes_in!L5=0,0,11630*1000*SER_hh_tes_in!L5/SER_hh_num_in!L5)</f>
        <v>0</v>
      </c>
      <c r="M5" s="132">
        <f>IF(SER_hh_tes_in!M5=0,0,11630*1000*SER_hh_tes_in!M5/SER_hh_num_in!M5)</f>
        <v>0</v>
      </c>
      <c r="N5" s="132">
        <f>IF(SER_hh_tes_in!N5=0,0,11630*1000*SER_hh_tes_in!N5/SER_hh_num_in!N5)</f>
        <v>0</v>
      </c>
      <c r="O5" s="132">
        <f>IF(SER_hh_tes_in!O5=0,0,11630*1000*SER_hh_tes_in!O5/SER_hh_num_in!O5)</f>
        <v>0</v>
      </c>
      <c r="P5" s="132">
        <f>IF(SER_hh_tes_in!P5=0,0,11630*1000*SER_hh_tes_in!P5/SER_hh_num_in!P5)</f>
        <v>0</v>
      </c>
      <c r="Q5" s="132">
        <f>IF(SER_hh_tes_in!Q5=0,0,11630*1000*SER_hh_tes_in!Q5/SER_hh_num_in!Q5)</f>
        <v>0</v>
      </c>
      <c r="R5" s="132">
        <f>IF(SER_hh_tes_in!R5=0,0,11630*1000*SER_hh_tes_in!R5/SER_hh_num_in!R5)</f>
        <v>0</v>
      </c>
      <c r="S5" s="132">
        <f>IF(SER_hh_tes_in!S5=0,0,11630*1000*SER_hh_tes_in!S5/SER_hh_num_in!S5)</f>
        <v>0</v>
      </c>
      <c r="T5" s="132">
        <f>IF(SER_hh_tes_in!T5=0,0,11630*1000*SER_hh_tes_in!T5/SER_hh_num_in!T5)</f>
        <v>0</v>
      </c>
      <c r="U5" s="132">
        <f>IF(SER_hh_tes_in!U5=0,0,11630*1000*SER_hh_tes_in!U5/SER_hh_num_in!U5)</f>
        <v>0</v>
      </c>
      <c r="V5" s="132">
        <f>IF(SER_hh_tes_in!V5=0,0,11630*1000*SER_hh_tes_in!V5/SER_hh_num_in!V5)</f>
        <v>0</v>
      </c>
      <c r="W5" s="132">
        <f>IF(SER_hh_tes_in!W5=0,0,11630*1000*SER_hh_tes_in!W5/SER_hh_num_in!W5)</f>
        <v>0</v>
      </c>
      <c r="X5" s="132">
        <f>IF(SER_hh_tes_in!X5=0,0,11630*1000*SER_hh_tes_in!X5/SER_hh_num_in!X5)</f>
        <v>0</v>
      </c>
      <c r="Y5" s="132">
        <f>IF(SER_hh_tes_in!Y5=0,0,11630*1000*SER_hh_tes_in!Y5/SER_hh_num_in!Y5)</f>
        <v>0</v>
      </c>
      <c r="DA5" s="156" t="s">
        <v>757</v>
      </c>
    </row>
    <row r="6" spans="1:105" ht="12" customHeight="1" x14ac:dyDescent="0.25">
      <c r="A6" s="131" t="s">
        <v>52</v>
      </c>
      <c r="B6" s="132"/>
      <c r="C6" s="132">
        <f>IF(SER_hh_tes_in!C6=0,0,11630*1000*SER_hh_tes_in!C6/SER_hh_num_in!C6)</f>
        <v>0</v>
      </c>
      <c r="D6" s="132">
        <f>IF(SER_hh_tes_in!D6=0,0,11630*1000*SER_hh_tes_in!D6/SER_hh_num_in!D6)</f>
        <v>0</v>
      </c>
      <c r="E6" s="132">
        <f>IF(SER_hh_tes_in!E6=0,0,11630*1000*SER_hh_tes_in!E6/SER_hh_num_in!E6)</f>
        <v>0</v>
      </c>
      <c r="F6" s="132">
        <f>IF(SER_hh_tes_in!F6=0,0,11630*1000*SER_hh_tes_in!F6/SER_hh_num_in!F6)</f>
        <v>0</v>
      </c>
      <c r="G6" s="132">
        <f>IF(SER_hh_tes_in!G6=0,0,11630*1000*SER_hh_tes_in!G6/SER_hh_num_in!G6)</f>
        <v>0</v>
      </c>
      <c r="H6" s="132">
        <f>IF(SER_hh_tes_in!H6=0,0,11630*1000*SER_hh_tes_in!H6/SER_hh_num_in!H6)</f>
        <v>0</v>
      </c>
      <c r="I6" s="132">
        <f>IF(SER_hh_tes_in!I6=0,0,11630*1000*SER_hh_tes_in!I6/SER_hh_num_in!I6)</f>
        <v>0</v>
      </c>
      <c r="J6" s="132">
        <f>IF(SER_hh_tes_in!J6=0,0,11630*1000*SER_hh_tes_in!J6/SER_hh_num_in!J6)</f>
        <v>0</v>
      </c>
      <c r="K6" s="132">
        <f>IF(SER_hh_tes_in!K6=0,0,11630*1000*SER_hh_tes_in!K6/SER_hh_num_in!K6)</f>
        <v>0</v>
      </c>
      <c r="L6" s="132">
        <f>IF(SER_hh_tes_in!L6=0,0,11630*1000*SER_hh_tes_in!L6/SER_hh_num_in!L6)</f>
        <v>0</v>
      </c>
      <c r="M6" s="132">
        <f>IF(SER_hh_tes_in!M6=0,0,11630*1000*SER_hh_tes_in!M6/SER_hh_num_in!M6)</f>
        <v>0</v>
      </c>
      <c r="N6" s="132">
        <f>IF(SER_hh_tes_in!N6=0,0,11630*1000*SER_hh_tes_in!N6/SER_hh_num_in!N6)</f>
        <v>0</v>
      </c>
      <c r="O6" s="132">
        <f>IF(SER_hh_tes_in!O6=0,0,11630*1000*SER_hh_tes_in!O6/SER_hh_num_in!O6)</f>
        <v>0</v>
      </c>
      <c r="P6" s="132">
        <f>IF(SER_hh_tes_in!P6=0,0,11630*1000*SER_hh_tes_in!P6/SER_hh_num_in!P6)</f>
        <v>0</v>
      </c>
      <c r="Q6" s="132">
        <f>IF(SER_hh_tes_in!Q6=0,0,11630*1000*SER_hh_tes_in!Q6/SER_hh_num_in!Q6)</f>
        <v>0</v>
      </c>
      <c r="R6" s="132">
        <f>IF(SER_hh_tes_in!R6=0,0,11630*1000*SER_hh_tes_in!R6/SER_hh_num_in!R6)</f>
        <v>0</v>
      </c>
      <c r="S6" s="132">
        <f>IF(SER_hh_tes_in!S6=0,0,11630*1000*SER_hh_tes_in!S6/SER_hh_num_in!S6)</f>
        <v>0</v>
      </c>
      <c r="T6" s="132">
        <f>IF(SER_hh_tes_in!T6=0,0,11630*1000*SER_hh_tes_in!T6/SER_hh_num_in!T6)</f>
        <v>0</v>
      </c>
      <c r="U6" s="132">
        <f>IF(SER_hh_tes_in!U6=0,0,11630*1000*SER_hh_tes_in!U6/SER_hh_num_in!U6)</f>
        <v>0</v>
      </c>
      <c r="V6" s="132">
        <f>IF(SER_hh_tes_in!V6=0,0,11630*1000*SER_hh_tes_in!V6/SER_hh_num_in!V6)</f>
        <v>0</v>
      </c>
      <c r="W6" s="132">
        <f>IF(SER_hh_tes_in!W6=0,0,11630*1000*SER_hh_tes_in!W6/SER_hh_num_in!W6)</f>
        <v>0</v>
      </c>
      <c r="X6" s="132">
        <f>IF(SER_hh_tes_in!X6=0,0,11630*1000*SER_hh_tes_in!X6/SER_hh_num_in!X6)</f>
        <v>0</v>
      </c>
      <c r="Y6" s="132">
        <f>IF(SER_hh_tes_in!Y6=0,0,11630*1000*SER_hh_tes_in!Y6/SER_hh_num_in!Y6)</f>
        <v>0</v>
      </c>
      <c r="DA6" s="156" t="s">
        <v>758</v>
      </c>
    </row>
    <row r="7" spans="1:105" ht="12" customHeight="1" x14ac:dyDescent="0.25">
      <c r="A7" s="131" t="s">
        <v>161</v>
      </c>
      <c r="B7" s="132"/>
      <c r="C7" s="132">
        <f>IF(SER_hh_tes_in!C7=0,0,11630*1000*SER_hh_tes_in!C7/SER_hh_num_in!C7)</f>
        <v>5530.5527616466561</v>
      </c>
      <c r="D7" s="132">
        <f>IF(SER_hh_tes_in!D7=0,0,11630*1000*SER_hh_tes_in!D7/SER_hh_num_in!D7)</f>
        <v>4651.5402280653507</v>
      </c>
      <c r="E7" s="132">
        <f>IF(SER_hh_tes_in!E7=0,0,11630*1000*SER_hh_tes_in!E7/SER_hh_num_in!E7)</f>
        <v>4724.3073385600746</v>
      </c>
      <c r="F7" s="132">
        <f>IF(SER_hh_tes_in!F7=0,0,11630*1000*SER_hh_tes_in!F7/SER_hh_num_in!F7)</f>
        <v>5252.5547553295046</v>
      </c>
      <c r="G7" s="132">
        <f>IF(SER_hh_tes_in!G7=0,0,11630*1000*SER_hh_tes_in!G7/SER_hh_num_in!G7)</f>
        <v>0</v>
      </c>
      <c r="H7" s="132">
        <f>IF(SER_hh_tes_in!H7=0,0,11630*1000*SER_hh_tes_in!H7/SER_hh_num_in!H7)</f>
        <v>0</v>
      </c>
      <c r="I7" s="132">
        <f>IF(SER_hh_tes_in!I7=0,0,11630*1000*SER_hh_tes_in!I7/SER_hh_num_in!I7)</f>
        <v>0</v>
      </c>
      <c r="J7" s="132">
        <f>IF(SER_hh_tes_in!J7=0,0,11630*1000*SER_hh_tes_in!J7/SER_hh_num_in!J7)</f>
        <v>0</v>
      </c>
      <c r="K7" s="132">
        <f>IF(SER_hh_tes_in!K7=0,0,11630*1000*SER_hh_tes_in!K7/SER_hh_num_in!K7)</f>
        <v>0</v>
      </c>
      <c r="L7" s="132">
        <f>IF(SER_hh_tes_in!L7=0,0,11630*1000*SER_hh_tes_in!L7/SER_hh_num_in!L7)</f>
        <v>6904.7266732112976</v>
      </c>
      <c r="M7" s="132">
        <f>IF(SER_hh_tes_in!M7=0,0,11630*1000*SER_hh_tes_in!M7/SER_hh_num_in!M7)</f>
        <v>5948.5953574646819</v>
      </c>
      <c r="N7" s="132">
        <f>IF(SER_hh_tes_in!N7=0,0,11630*1000*SER_hh_tes_in!N7/SER_hh_num_in!N7)</f>
        <v>5962.5296910032521</v>
      </c>
      <c r="O7" s="132">
        <f>IF(SER_hh_tes_in!O7=0,0,11630*1000*SER_hh_tes_in!O7/SER_hh_num_in!O7)</f>
        <v>5913.8322202331192</v>
      </c>
      <c r="P7" s="132">
        <f>IF(SER_hh_tes_in!P7=0,0,11630*1000*SER_hh_tes_in!P7/SER_hh_num_in!P7)</f>
        <v>4354.7393984244627</v>
      </c>
      <c r="Q7" s="132">
        <f>IF(SER_hh_tes_in!Q7=0,0,11630*1000*SER_hh_tes_in!Q7/SER_hh_num_in!Q7)</f>
        <v>3059.1440394908591</v>
      </c>
      <c r="R7" s="132">
        <f>IF(SER_hh_tes_in!R7=0,0,11630*1000*SER_hh_tes_in!R7/SER_hh_num_in!R7)</f>
        <v>4010.655402450971</v>
      </c>
      <c r="S7" s="132">
        <f>IF(SER_hh_tes_in!S7=0,0,11630*1000*SER_hh_tes_in!S7/SER_hh_num_in!S7)</f>
        <v>4734.7706373315877</v>
      </c>
      <c r="T7" s="132">
        <f>IF(SER_hh_tes_in!T7=0,0,11630*1000*SER_hh_tes_in!T7/SER_hh_num_in!T7)</f>
        <v>5311.1921791186196</v>
      </c>
      <c r="U7" s="132">
        <f>IF(SER_hh_tes_in!U7=0,0,11630*1000*SER_hh_tes_in!U7/SER_hh_num_in!U7)</f>
        <v>5302.8965247645983</v>
      </c>
      <c r="V7" s="132">
        <f>IF(SER_hh_tes_in!V7=0,0,11630*1000*SER_hh_tes_in!V7/SER_hh_num_in!V7)</f>
        <v>0</v>
      </c>
      <c r="W7" s="132">
        <f>IF(SER_hh_tes_in!W7=0,0,11630*1000*SER_hh_tes_in!W7/SER_hh_num_in!W7)</f>
        <v>0</v>
      </c>
      <c r="X7" s="132">
        <f>IF(SER_hh_tes_in!X7=0,0,11630*1000*SER_hh_tes_in!X7/SER_hh_num_in!X7)</f>
        <v>0</v>
      </c>
      <c r="Y7" s="132">
        <f>IF(SER_hh_tes_in!Y7=0,0,11630*1000*SER_hh_tes_in!Y7/SER_hh_num_in!Y7)</f>
        <v>0</v>
      </c>
      <c r="DA7" s="156" t="s">
        <v>759</v>
      </c>
    </row>
    <row r="8" spans="1:105" ht="12" customHeight="1" x14ac:dyDescent="0.25">
      <c r="A8" s="131" t="s">
        <v>73</v>
      </c>
      <c r="B8" s="132"/>
      <c r="C8" s="132">
        <f>IF(SER_hh_tes_in!C8=0,0,11630*1000*SER_hh_tes_in!C8/SER_hh_num_in!C8)</f>
        <v>5253.2432360661587</v>
      </c>
      <c r="D8" s="132">
        <f>IF(SER_hh_tes_in!D8=0,0,11630*1000*SER_hh_tes_in!D8/SER_hh_num_in!D8)</f>
        <v>4860.3182202168155</v>
      </c>
      <c r="E8" s="132">
        <f>IF(SER_hh_tes_in!E8=0,0,11630*1000*SER_hh_tes_in!E8/SER_hh_num_in!E8)</f>
        <v>3396.274795975015</v>
      </c>
      <c r="F8" s="132">
        <f>IF(SER_hh_tes_in!F8=0,0,11630*1000*SER_hh_tes_in!F8/SER_hh_num_in!F8)</f>
        <v>3626.8467584289156</v>
      </c>
      <c r="G8" s="132">
        <f>IF(SER_hh_tes_in!G8=0,0,11630*1000*SER_hh_tes_in!G8/SER_hh_num_in!G8)</f>
        <v>5399.1892208262852</v>
      </c>
      <c r="H8" s="132">
        <f>IF(SER_hh_tes_in!H8=0,0,11630*1000*SER_hh_tes_in!H8/SER_hh_num_in!H8)</f>
        <v>8200.8124465679721</v>
      </c>
      <c r="I8" s="132">
        <f>IF(SER_hh_tes_in!I8=0,0,11630*1000*SER_hh_tes_in!I8/SER_hh_num_in!I8)</f>
        <v>7013.9569006731781</v>
      </c>
      <c r="J8" s="132">
        <f>IF(SER_hh_tes_in!J8=0,0,11630*1000*SER_hh_tes_in!J8/SER_hh_num_in!J8)</f>
        <v>6615.4983887225508</v>
      </c>
      <c r="K8" s="132">
        <f>IF(SER_hh_tes_in!K8=0,0,11630*1000*SER_hh_tes_in!K8/SER_hh_num_in!K8)</f>
        <v>6012.9708000281998</v>
      </c>
      <c r="L8" s="132">
        <f>IF(SER_hh_tes_in!L8=0,0,11630*1000*SER_hh_tes_in!L8/SER_hh_num_in!L8)</f>
        <v>5217.3541353594728</v>
      </c>
      <c r="M8" s="132">
        <f>IF(SER_hh_tes_in!M8=0,0,11630*1000*SER_hh_tes_in!M8/SER_hh_num_in!M8)</f>
        <v>5195.954795178799</v>
      </c>
      <c r="N8" s="132">
        <f>IF(SER_hh_tes_in!N8=0,0,11630*1000*SER_hh_tes_in!N8/SER_hh_num_in!N8)</f>
        <v>3973.893358247215</v>
      </c>
      <c r="O8" s="132">
        <f>IF(SER_hh_tes_in!O8=0,0,11630*1000*SER_hh_tes_in!O8/SER_hh_num_in!O8)</f>
        <v>3855.6802996419556</v>
      </c>
      <c r="P8" s="132">
        <f>IF(SER_hh_tes_in!P8=0,0,11630*1000*SER_hh_tes_in!P8/SER_hh_num_in!P8)</f>
        <v>3962.111999010378</v>
      </c>
      <c r="Q8" s="132">
        <f>IF(SER_hh_tes_in!Q8=0,0,11630*1000*SER_hh_tes_in!Q8/SER_hh_num_in!Q8)</f>
        <v>3798.7237127653739</v>
      </c>
      <c r="R8" s="132">
        <f>IF(SER_hh_tes_in!R8=0,0,11630*1000*SER_hh_tes_in!R8/SER_hh_num_in!R8)</f>
        <v>4364.4584881642004</v>
      </c>
      <c r="S8" s="132">
        <f>IF(SER_hh_tes_in!S8=0,0,11630*1000*SER_hh_tes_in!S8/SER_hh_num_in!S8)</f>
        <v>4755.5573355042989</v>
      </c>
      <c r="T8" s="132">
        <f>IF(SER_hh_tes_in!T8=0,0,11630*1000*SER_hh_tes_in!T8/SER_hh_num_in!T8)</f>
        <v>4641.8656824037243</v>
      </c>
      <c r="U8" s="132">
        <f>IF(SER_hh_tes_in!U8=0,0,11630*1000*SER_hh_tes_in!U8/SER_hh_num_in!U8)</f>
        <v>6575.3964346874054</v>
      </c>
      <c r="V8" s="132">
        <f>IF(SER_hh_tes_in!V8=0,0,11630*1000*SER_hh_tes_in!V8/SER_hh_num_in!V8)</f>
        <v>5002.6491731703172</v>
      </c>
      <c r="W8" s="132">
        <f>IF(SER_hh_tes_in!W8=0,0,11630*1000*SER_hh_tes_in!W8/SER_hh_num_in!W8)</f>
        <v>5855.7598302645365</v>
      </c>
      <c r="X8" s="132">
        <f>IF(SER_hh_tes_in!X8=0,0,11630*1000*SER_hh_tes_in!X8/SER_hh_num_in!X8)</f>
        <v>6109.2197094866515</v>
      </c>
      <c r="Y8" s="132">
        <f>IF(SER_hh_tes_in!Y8=0,0,11630*1000*SER_hh_tes_in!Y8/SER_hh_num_in!Y8)</f>
        <v>6871.9030164824981</v>
      </c>
      <c r="DA8" s="156" t="s">
        <v>760</v>
      </c>
    </row>
    <row r="9" spans="1:105" ht="12" customHeight="1" x14ac:dyDescent="0.25">
      <c r="A9" s="131" t="s">
        <v>78</v>
      </c>
      <c r="B9" s="132"/>
      <c r="C9" s="132">
        <f>IF(SER_hh_tes_in!C9=0,0,11630*1000*SER_hh_tes_in!C9/SER_hh_num_in!C9)</f>
        <v>0</v>
      </c>
      <c r="D9" s="132">
        <f>IF(SER_hh_tes_in!D9=0,0,11630*1000*SER_hh_tes_in!D9/SER_hh_num_in!D9)</f>
        <v>0</v>
      </c>
      <c r="E9" s="132">
        <f>IF(SER_hh_tes_in!E9=0,0,11630*1000*SER_hh_tes_in!E9/SER_hh_num_in!E9)</f>
        <v>0</v>
      </c>
      <c r="F9" s="132">
        <f>IF(SER_hh_tes_in!F9=0,0,11630*1000*SER_hh_tes_in!F9/SER_hh_num_in!F9)</f>
        <v>800.11384575273212</v>
      </c>
      <c r="G9" s="132">
        <f>IF(SER_hh_tes_in!G9=0,0,11630*1000*SER_hh_tes_in!G9/SER_hh_num_in!G9)</f>
        <v>4197.9107128029518</v>
      </c>
      <c r="H9" s="132">
        <f>IF(SER_hh_tes_in!H9=0,0,11630*1000*SER_hh_tes_in!H9/SER_hh_num_in!H9)</f>
        <v>13515.533903340011</v>
      </c>
      <c r="I9" s="132">
        <f>IF(SER_hh_tes_in!I9=0,0,11630*1000*SER_hh_tes_in!I9/SER_hh_num_in!I9)</f>
        <v>6309.1640401649502</v>
      </c>
      <c r="J9" s="132">
        <f>IF(SER_hh_tes_in!J9=0,0,11630*1000*SER_hh_tes_in!J9/SER_hh_num_in!J9)</f>
        <v>4632.2279167549468</v>
      </c>
      <c r="K9" s="132">
        <f>IF(SER_hh_tes_in!K9=0,0,11630*1000*SER_hh_tes_in!K9/SER_hh_num_in!K9)</f>
        <v>6013.9723871791903</v>
      </c>
      <c r="L9" s="132">
        <f>IF(SER_hh_tes_in!L9=0,0,11630*1000*SER_hh_tes_in!L9/SER_hh_num_in!L9)</f>
        <v>7930.8571009227353</v>
      </c>
      <c r="M9" s="132">
        <f>IF(SER_hh_tes_in!M9=0,0,11630*1000*SER_hh_tes_in!M9/SER_hh_num_in!M9)</f>
        <v>8756.4622229793094</v>
      </c>
      <c r="N9" s="132">
        <f>IF(SER_hh_tes_in!N9=0,0,11630*1000*SER_hh_tes_in!N9/SER_hh_num_in!N9)</f>
        <v>6383.0101346973524</v>
      </c>
      <c r="O9" s="132">
        <f>IF(SER_hh_tes_in!O9=0,0,11630*1000*SER_hh_tes_in!O9/SER_hh_num_in!O9)</f>
        <v>0</v>
      </c>
      <c r="P9" s="132">
        <f>IF(SER_hh_tes_in!P9=0,0,11630*1000*SER_hh_tes_in!P9/SER_hh_num_in!P9)</f>
        <v>0</v>
      </c>
      <c r="Q9" s="132">
        <f>IF(SER_hh_tes_in!Q9=0,0,11630*1000*SER_hh_tes_in!Q9/SER_hh_num_in!Q9)</f>
        <v>0</v>
      </c>
      <c r="R9" s="132">
        <f>IF(SER_hh_tes_in!R9=0,0,11630*1000*SER_hh_tes_in!R9/SER_hh_num_in!R9)</f>
        <v>0</v>
      </c>
      <c r="S9" s="132">
        <f>IF(SER_hh_tes_in!S9=0,0,11630*1000*SER_hh_tes_in!S9/SER_hh_num_in!S9)</f>
        <v>0</v>
      </c>
      <c r="T9" s="132">
        <f>IF(SER_hh_tes_in!T9=0,0,11630*1000*SER_hh_tes_in!T9/SER_hh_num_in!T9)</f>
        <v>5566.9769139249247</v>
      </c>
      <c r="U9" s="132">
        <f>IF(SER_hh_tes_in!U9=0,0,11630*1000*SER_hh_tes_in!U9/SER_hh_num_in!U9)</f>
        <v>5644.3973928344985</v>
      </c>
      <c r="V9" s="132">
        <f>IF(SER_hh_tes_in!V9=0,0,11630*1000*SER_hh_tes_in!V9/SER_hh_num_in!V9)</f>
        <v>4923.8578943004486</v>
      </c>
      <c r="W9" s="132">
        <f>IF(SER_hh_tes_in!W9=0,0,11630*1000*SER_hh_tes_in!W9/SER_hh_num_in!W9)</f>
        <v>6202.5768126236389</v>
      </c>
      <c r="X9" s="132">
        <f>IF(SER_hh_tes_in!X9=0,0,11630*1000*SER_hh_tes_in!X9/SER_hh_num_in!X9)</f>
        <v>5956.4662869944004</v>
      </c>
      <c r="Y9" s="132">
        <f>IF(SER_hh_tes_in!Y9=0,0,11630*1000*SER_hh_tes_in!Y9/SER_hh_num_in!Y9)</f>
        <v>6539.7478873913396</v>
      </c>
      <c r="DA9" s="156" t="s">
        <v>761</v>
      </c>
    </row>
    <row r="10" spans="1:105" ht="12" customHeight="1" x14ac:dyDescent="0.25">
      <c r="A10" s="131" t="s">
        <v>128</v>
      </c>
      <c r="B10" s="132"/>
      <c r="C10" s="132">
        <f>IF(SER_hh_tes_in!C10=0,0,11630*1000*SER_hh_tes_in!C10/SER_hh_num_in!C10)</f>
        <v>5427.766829390057</v>
      </c>
      <c r="D10" s="132">
        <f>IF(SER_hh_tes_in!D10=0,0,11630*1000*SER_hh_tes_in!D10/SER_hh_num_in!D10)</f>
        <v>4949.8919008226394</v>
      </c>
      <c r="E10" s="132">
        <f>IF(SER_hh_tes_in!E10=0,0,11630*1000*SER_hh_tes_in!E10/SER_hh_num_in!E10)</f>
        <v>4821.3943988346509</v>
      </c>
      <c r="F10" s="132">
        <f>IF(SER_hh_tes_in!F10=0,0,11630*1000*SER_hh_tes_in!F10/SER_hh_num_in!F10)</f>
        <v>4790.2690783430771</v>
      </c>
      <c r="G10" s="132">
        <f>IF(SER_hh_tes_in!G10=0,0,11630*1000*SER_hh_tes_in!G10/SER_hh_num_in!G10)</f>
        <v>4955.6941674745067</v>
      </c>
      <c r="H10" s="132">
        <f>IF(SER_hh_tes_in!H10=0,0,11630*1000*SER_hh_tes_in!H10/SER_hh_num_in!H10)</f>
        <v>7449.7319861085252</v>
      </c>
      <c r="I10" s="132">
        <f>IF(SER_hh_tes_in!I10=0,0,11630*1000*SER_hh_tes_in!I10/SER_hh_num_in!I10)</f>
        <v>6772.8415175360869</v>
      </c>
      <c r="J10" s="132">
        <f>IF(SER_hh_tes_in!J10=0,0,11630*1000*SER_hh_tes_in!J10/SER_hh_num_in!J10)</f>
        <v>7737.0286940400965</v>
      </c>
      <c r="K10" s="132">
        <f>IF(SER_hh_tes_in!K10=0,0,11630*1000*SER_hh_tes_in!K10/SER_hh_num_in!K10)</f>
        <v>5966.3166497739849</v>
      </c>
      <c r="L10" s="132">
        <f>IF(SER_hh_tes_in!L10=0,0,11630*1000*SER_hh_tes_in!L10/SER_hh_num_in!L10)</f>
        <v>0</v>
      </c>
      <c r="M10" s="132">
        <f>IF(SER_hh_tes_in!M10=0,0,11630*1000*SER_hh_tes_in!M10/SER_hh_num_in!M10)</f>
        <v>6837.5254648727441</v>
      </c>
      <c r="N10" s="132">
        <f>IF(SER_hh_tes_in!N10=0,0,11630*1000*SER_hh_tes_in!N10/SER_hh_num_in!N10)</f>
        <v>5953.1223554170474</v>
      </c>
      <c r="O10" s="132">
        <f>IF(SER_hh_tes_in!O10=0,0,11630*1000*SER_hh_tes_in!O10/SER_hh_num_in!O10)</f>
        <v>4926.4089327201036</v>
      </c>
      <c r="P10" s="132">
        <f>IF(SER_hh_tes_in!P10=0,0,11630*1000*SER_hh_tes_in!P10/SER_hh_num_in!P10)</f>
        <v>3834.619775305237</v>
      </c>
      <c r="Q10" s="132">
        <f>IF(SER_hh_tes_in!Q10=0,0,11630*1000*SER_hh_tes_in!Q10/SER_hh_num_in!Q10)</f>
        <v>3748.1778157294762</v>
      </c>
      <c r="R10" s="132">
        <f>IF(SER_hh_tes_in!R10=0,0,11630*1000*SER_hh_tes_in!R10/SER_hh_num_in!R10)</f>
        <v>4470.6148018026133</v>
      </c>
      <c r="S10" s="132">
        <f>IF(SER_hh_tes_in!S10=0,0,11630*1000*SER_hh_tes_in!S10/SER_hh_num_in!S10)</f>
        <v>4808.1356511909844</v>
      </c>
      <c r="T10" s="132">
        <f>IF(SER_hh_tes_in!T10=0,0,11630*1000*SER_hh_tes_in!T10/SER_hh_num_in!T10)</f>
        <v>0</v>
      </c>
      <c r="U10" s="132">
        <f>IF(SER_hh_tes_in!U10=0,0,11630*1000*SER_hh_tes_in!U10/SER_hh_num_in!U10)</f>
        <v>0</v>
      </c>
      <c r="V10" s="132">
        <f>IF(SER_hh_tes_in!V10=0,0,11630*1000*SER_hh_tes_in!V10/SER_hh_num_in!V10)</f>
        <v>0</v>
      </c>
      <c r="W10" s="132">
        <f>IF(SER_hh_tes_in!W10=0,0,11630*1000*SER_hh_tes_in!W10/SER_hh_num_in!W10)</f>
        <v>5842.2797026179569</v>
      </c>
      <c r="X10" s="132">
        <f>IF(SER_hh_tes_in!X10=0,0,11630*1000*SER_hh_tes_in!X10/SER_hh_num_in!X10)</f>
        <v>6120.6178501087998</v>
      </c>
      <c r="Y10" s="132">
        <f>IF(SER_hh_tes_in!Y10=0,0,11630*1000*SER_hh_tes_in!Y10/SER_hh_num_in!Y10)</f>
        <v>6307.9695473719285</v>
      </c>
      <c r="DA10" s="156" t="s">
        <v>762</v>
      </c>
    </row>
    <row r="11" spans="1:105" ht="12" customHeight="1" x14ac:dyDescent="0.25">
      <c r="A11" s="131" t="s">
        <v>25</v>
      </c>
      <c r="B11" s="132"/>
      <c r="C11" s="132">
        <f>IF(SER_hh_tes_in!C11=0,0,11630*1000*SER_hh_tes_in!C11/SER_hh_num_in!C11)</f>
        <v>0</v>
      </c>
      <c r="D11" s="132">
        <f>IF(SER_hh_tes_in!D11=0,0,11630*1000*SER_hh_tes_in!D11/SER_hh_num_in!D11)</f>
        <v>0</v>
      </c>
      <c r="E11" s="132">
        <f>IF(SER_hh_tes_in!E11=0,0,11630*1000*SER_hh_tes_in!E11/SER_hh_num_in!E11)</f>
        <v>0</v>
      </c>
      <c r="F11" s="132">
        <f>IF(SER_hh_tes_in!F11=0,0,11630*1000*SER_hh_tes_in!F11/SER_hh_num_in!F11)</f>
        <v>0</v>
      </c>
      <c r="G11" s="132">
        <f>IF(SER_hh_tes_in!G11=0,0,11630*1000*SER_hh_tes_in!G11/SER_hh_num_in!G11)</f>
        <v>0</v>
      </c>
      <c r="H11" s="132">
        <f>IF(SER_hh_tes_in!H11=0,0,11630*1000*SER_hh_tes_in!H11/SER_hh_num_in!H11)</f>
        <v>0</v>
      </c>
      <c r="I11" s="132">
        <f>IF(SER_hh_tes_in!I11=0,0,11630*1000*SER_hh_tes_in!I11/SER_hh_num_in!I11)</f>
        <v>6479.8809260627786</v>
      </c>
      <c r="J11" s="132">
        <f>IF(SER_hh_tes_in!J11=0,0,11630*1000*SER_hh_tes_in!J11/SER_hh_num_in!J11)</f>
        <v>0</v>
      </c>
      <c r="K11" s="132">
        <f>IF(SER_hh_tes_in!K11=0,0,11630*1000*SER_hh_tes_in!K11/SER_hh_num_in!K11)</f>
        <v>0</v>
      </c>
      <c r="L11" s="132">
        <f>IF(SER_hh_tes_in!L11=0,0,11630*1000*SER_hh_tes_in!L11/SER_hh_num_in!L11)</f>
        <v>0</v>
      </c>
      <c r="M11" s="132">
        <f>IF(SER_hh_tes_in!M11=0,0,11630*1000*SER_hh_tes_in!M11/SER_hh_num_in!M11)</f>
        <v>6692.3467246952659</v>
      </c>
      <c r="N11" s="132">
        <f>IF(SER_hh_tes_in!N11=0,0,11630*1000*SER_hh_tes_in!N11/SER_hh_num_in!N11)</f>
        <v>5697.6363821987507</v>
      </c>
      <c r="O11" s="132">
        <f>IF(SER_hh_tes_in!O11=0,0,11630*1000*SER_hh_tes_in!O11/SER_hh_num_in!O11)</f>
        <v>5122.2482011838265</v>
      </c>
      <c r="P11" s="132">
        <f>IF(SER_hh_tes_in!P11=0,0,11630*1000*SER_hh_tes_in!P11/SER_hh_num_in!P11)</f>
        <v>4133.65464789628</v>
      </c>
      <c r="Q11" s="132">
        <f>IF(SER_hh_tes_in!Q11=0,0,11630*1000*SER_hh_tes_in!Q11/SER_hh_num_in!Q11)</f>
        <v>3895.9613799705676</v>
      </c>
      <c r="R11" s="132">
        <f>IF(SER_hh_tes_in!R11=0,0,11630*1000*SER_hh_tes_in!R11/SER_hh_num_in!R11)</f>
        <v>0</v>
      </c>
      <c r="S11" s="132">
        <f>IF(SER_hh_tes_in!S11=0,0,11630*1000*SER_hh_tes_in!S11/SER_hh_num_in!S11)</f>
        <v>0</v>
      </c>
      <c r="T11" s="132">
        <f>IF(SER_hh_tes_in!T11=0,0,11630*1000*SER_hh_tes_in!T11/SER_hh_num_in!T11)</f>
        <v>0</v>
      </c>
      <c r="U11" s="132">
        <f>IF(SER_hh_tes_in!U11=0,0,11630*1000*SER_hh_tes_in!U11/SER_hh_num_in!U11)</f>
        <v>0</v>
      </c>
      <c r="V11" s="132">
        <f>IF(SER_hh_tes_in!V11=0,0,11630*1000*SER_hh_tes_in!V11/SER_hh_num_in!V11)</f>
        <v>0</v>
      </c>
      <c r="W11" s="132">
        <f>IF(SER_hh_tes_in!W11=0,0,11630*1000*SER_hh_tes_in!W11/SER_hh_num_in!W11)</f>
        <v>0</v>
      </c>
      <c r="X11" s="132">
        <f>IF(SER_hh_tes_in!X11=0,0,11630*1000*SER_hh_tes_in!X11/SER_hh_num_in!X11)</f>
        <v>0</v>
      </c>
      <c r="Y11" s="132">
        <f>IF(SER_hh_tes_in!Y11=0,0,11630*1000*SER_hh_tes_in!Y11/SER_hh_num_in!Y11)</f>
        <v>0</v>
      </c>
      <c r="DA11" s="156" t="s">
        <v>763</v>
      </c>
    </row>
    <row r="12" spans="1:105" ht="12" customHeight="1" x14ac:dyDescent="0.25">
      <c r="A12" s="131" t="s">
        <v>162</v>
      </c>
      <c r="B12" s="132"/>
      <c r="C12" s="132">
        <f>IF(SER_hh_tes_in!C12=0,0,11630*1000*SER_hh_tes_in!C12/SER_hh_num_in!C12)</f>
        <v>0</v>
      </c>
      <c r="D12" s="132">
        <f>IF(SER_hh_tes_in!D12=0,0,11630*1000*SER_hh_tes_in!D12/SER_hh_num_in!D12)</f>
        <v>0</v>
      </c>
      <c r="E12" s="132">
        <f>IF(SER_hh_tes_in!E12=0,0,11630*1000*SER_hh_tes_in!E12/SER_hh_num_in!E12)</f>
        <v>0</v>
      </c>
      <c r="F12" s="132">
        <f>IF(SER_hh_tes_in!F12=0,0,11630*1000*SER_hh_tes_in!F12/SER_hh_num_in!F12)</f>
        <v>0</v>
      </c>
      <c r="G12" s="132">
        <f>IF(SER_hh_tes_in!G12=0,0,11630*1000*SER_hh_tes_in!G12/SER_hh_num_in!G12)</f>
        <v>0</v>
      </c>
      <c r="H12" s="132">
        <f>IF(SER_hh_tes_in!H12=0,0,11630*1000*SER_hh_tes_in!H12/SER_hh_num_in!H12)</f>
        <v>0</v>
      </c>
      <c r="I12" s="132">
        <f>IF(SER_hh_tes_in!I12=0,0,11630*1000*SER_hh_tes_in!I12/SER_hh_num_in!I12)</f>
        <v>0</v>
      </c>
      <c r="J12" s="132">
        <f>IF(SER_hh_tes_in!J12=0,0,11630*1000*SER_hh_tes_in!J12/SER_hh_num_in!J12)</f>
        <v>0</v>
      </c>
      <c r="K12" s="132">
        <f>IF(SER_hh_tes_in!K12=0,0,11630*1000*SER_hh_tes_in!K12/SER_hh_num_in!K12)</f>
        <v>0</v>
      </c>
      <c r="L12" s="132">
        <f>IF(SER_hh_tes_in!L12=0,0,11630*1000*SER_hh_tes_in!L12/SER_hh_num_in!L12)</f>
        <v>0</v>
      </c>
      <c r="M12" s="132">
        <f>IF(SER_hh_tes_in!M12=0,0,11630*1000*SER_hh_tes_in!M12/SER_hh_num_in!M12)</f>
        <v>0</v>
      </c>
      <c r="N12" s="132">
        <f>IF(SER_hh_tes_in!N12=0,0,11630*1000*SER_hh_tes_in!N12/SER_hh_num_in!N12)</f>
        <v>0</v>
      </c>
      <c r="O12" s="132">
        <f>IF(SER_hh_tes_in!O12=0,0,11630*1000*SER_hh_tes_in!O12/SER_hh_num_in!O12)</f>
        <v>0</v>
      </c>
      <c r="P12" s="132">
        <f>IF(SER_hh_tes_in!P12=0,0,11630*1000*SER_hh_tes_in!P12/SER_hh_num_in!P12)</f>
        <v>0</v>
      </c>
      <c r="Q12" s="132">
        <f>IF(SER_hh_tes_in!Q12=0,0,11630*1000*SER_hh_tes_in!Q12/SER_hh_num_in!Q12)</f>
        <v>0</v>
      </c>
      <c r="R12" s="132">
        <f>IF(SER_hh_tes_in!R12=0,0,11630*1000*SER_hh_tes_in!R12/SER_hh_num_in!R12)</f>
        <v>0</v>
      </c>
      <c r="S12" s="132">
        <f>IF(SER_hh_tes_in!S12=0,0,11630*1000*SER_hh_tes_in!S12/SER_hh_num_in!S12)</f>
        <v>0</v>
      </c>
      <c r="T12" s="132">
        <f>IF(SER_hh_tes_in!T12=0,0,11630*1000*SER_hh_tes_in!T12/SER_hh_num_in!T12)</f>
        <v>0</v>
      </c>
      <c r="U12" s="132">
        <f>IF(SER_hh_tes_in!U12=0,0,11630*1000*SER_hh_tes_in!U12/SER_hh_num_in!U12)</f>
        <v>0</v>
      </c>
      <c r="V12" s="132">
        <f>IF(SER_hh_tes_in!V12=0,0,11630*1000*SER_hh_tes_in!V12/SER_hh_num_in!V12)</f>
        <v>0</v>
      </c>
      <c r="W12" s="132">
        <f>IF(SER_hh_tes_in!W12=0,0,11630*1000*SER_hh_tes_in!W12/SER_hh_num_in!W12)</f>
        <v>0</v>
      </c>
      <c r="X12" s="132">
        <f>IF(SER_hh_tes_in!X12=0,0,11630*1000*SER_hh_tes_in!X12/SER_hh_num_in!X12)</f>
        <v>0</v>
      </c>
      <c r="Y12" s="132">
        <f>IF(SER_hh_tes_in!Y12=0,0,11630*1000*SER_hh_tes_in!Y12/SER_hh_num_in!Y12)</f>
        <v>0</v>
      </c>
      <c r="DA12" s="156" t="s">
        <v>764</v>
      </c>
    </row>
    <row r="13" spans="1:105" ht="12" customHeight="1" x14ac:dyDescent="0.25">
      <c r="A13" s="131" t="s">
        <v>77</v>
      </c>
      <c r="B13" s="132"/>
      <c r="C13" s="132">
        <f>IF(SER_hh_tes_in!C13=0,0,11630*1000*SER_hh_tes_in!C13/SER_hh_num_in!C13)</f>
        <v>5671.2080030644611</v>
      </c>
      <c r="D13" s="132">
        <f>IF(SER_hh_tes_in!D13=0,0,11630*1000*SER_hh_tes_in!D13/SER_hh_num_in!D13)</f>
        <v>4488.0606689529786</v>
      </c>
      <c r="E13" s="132">
        <f>IF(SER_hh_tes_in!E13=0,0,11630*1000*SER_hh_tes_in!E13/SER_hh_num_in!E13)</f>
        <v>4628.5630670695882</v>
      </c>
      <c r="F13" s="132">
        <f>IF(SER_hh_tes_in!F13=0,0,11630*1000*SER_hh_tes_in!F13/SER_hh_num_in!F13)</f>
        <v>4399.8787277846723</v>
      </c>
      <c r="G13" s="132">
        <f>IF(SER_hh_tes_in!G13=0,0,11630*1000*SER_hh_tes_in!G13/SER_hh_num_in!G13)</f>
        <v>5572.6135323119843</v>
      </c>
      <c r="H13" s="132">
        <f>IF(SER_hh_tes_in!H13=0,0,11630*1000*SER_hh_tes_in!H13/SER_hh_num_in!H13)</f>
        <v>5710.0037616123045</v>
      </c>
      <c r="I13" s="132">
        <f>IF(SER_hh_tes_in!I13=0,0,11630*1000*SER_hh_tes_in!I13/SER_hh_num_in!I13)</f>
        <v>6161.0778162326033</v>
      </c>
      <c r="J13" s="132">
        <f>IF(SER_hh_tes_in!J13=0,0,11630*1000*SER_hh_tes_in!J13/SER_hh_num_in!J13)</f>
        <v>7105.3953735249434</v>
      </c>
      <c r="K13" s="132">
        <f>IF(SER_hh_tes_in!K13=0,0,11630*1000*SER_hh_tes_in!K13/SER_hh_num_in!K13)</f>
        <v>7052.8620903890878</v>
      </c>
      <c r="L13" s="132">
        <f>IF(SER_hh_tes_in!L13=0,0,11630*1000*SER_hh_tes_in!L13/SER_hh_num_in!L13)</f>
        <v>6918.0879646839758</v>
      </c>
      <c r="M13" s="132">
        <f>IF(SER_hh_tes_in!M13=0,0,11630*1000*SER_hh_tes_in!M13/SER_hh_num_in!M13)</f>
        <v>6250.7530611900011</v>
      </c>
      <c r="N13" s="132">
        <f>IF(SER_hh_tes_in!N13=0,0,11630*1000*SER_hh_tes_in!N13/SER_hh_num_in!N13)</f>
        <v>5703.350364825691</v>
      </c>
      <c r="O13" s="132">
        <f>IF(SER_hh_tes_in!O13=0,0,11630*1000*SER_hh_tes_in!O13/SER_hh_num_in!O13)</f>
        <v>4553.6632868881106</v>
      </c>
      <c r="P13" s="132">
        <f>IF(SER_hh_tes_in!P13=0,0,11630*1000*SER_hh_tes_in!P13/SER_hh_num_in!P13)</f>
        <v>3621.3112527493367</v>
      </c>
      <c r="Q13" s="132">
        <f>IF(SER_hh_tes_in!Q13=0,0,11630*1000*SER_hh_tes_in!Q13/SER_hh_num_in!Q13)</f>
        <v>3902.9291379983074</v>
      </c>
      <c r="R13" s="132">
        <f>IF(SER_hh_tes_in!R13=0,0,11630*1000*SER_hh_tes_in!R13/SER_hh_num_in!R13)</f>
        <v>4258.5290570446377</v>
      </c>
      <c r="S13" s="132">
        <f>IF(SER_hh_tes_in!S13=0,0,11630*1000*SER_hh_tes_in!S13/SER_hh_num_in!S13)</f>
        <v>4768.8769695920673</v>
      </c>
      <c r="T13" s="132">
        <f>IF(SER_hh_tes_in!T13=0,0,11630*1000*SER_hh_tes_in!T13/SER_hh_num_in!T13)</f>
        <v>5290.5203482637526</v>
      </c>
      <c r="U13" s="132">
        <f>IF(SER_hh_tes_in!U13=0,0,11630*1000*SER_hh_tes_in!U13/SER_hh_num_in!U13)</f>
        <v>5557.1138030169614</v>
      </c>
      <c r="V13" s="132">
        <f>IF(SER_hh_tes_in!V13=0,0,11630*1000*SER_hh_tes_in!V13/SER_hh_num_in!V13)</f>
        <v>5755.5390625373548</v>
      </c>
      <c r="W13" s="132">
        <f>IF(SER_hh_tes_in!W13=0,0,11630*1000*SER_hh_tes_in!W13/SER_hh_num_in!W13)</f>
        <v>5862.1674108934849</v>
      </c>
      <c r="X13" s="132">
        <f>IF(SER_hh_tes_in!X13=0,0,11630*1000*SER_hh_tes_in!X13/SER_hh_num_in!X13)</f>
        <v>6319.9283041861036</v>
      </c>
      <c r="Y13" s="132">
        <f>IF(SER_hh_tes_in!Y13=0,0,11630*1000*SER_hh_tes_in!Y13/SER_hh_num_in!Y13)</f>
        <v>6607.1204506139084</v>
      </c>
      <c r="DA13" s="156" t="s">
        <v>765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0</v>
      </c>
      <c r="D14" s="65">
        <f>IF(SER_hh_tes_in!D14=0,0,11630*1000*SER_hh_tes_in!D14/SER_hh_num_in!D14)</f>
        <v>0</v>
      </c>
      <c r="E14" s="65">
        <f>IF(SER_hh_tes_in!E14=0,0,11630*1000*SER_hh_tes_in!E14/SER_hh_num_in!E14)</f>
        <v>0</v>
      </c>
      <c r="F14" s="65">
        <f>IF(SER_hh_tes_in!F14=0,0,11630*1000*SER_hh_tes_in!F14/SER_hh_num_in!F14)</f>
        <v>5121.9390102938823</v>
      </c>
      <c r="G14" s="65">
        <f>IF(SER_hh_tes_in!G14=0,0,11630*1000*SER_hh_tes_in!G14/SER_hh_num_in!G14)</f>
        <v>2830.381030425805</v>
      </c>
      <c r="H14" s="65">
        <f>IF(SER_hh_tes_in!H14=0,0,11630*1000*SER_hh_tes_in!H14/SER_hh_num_in!H14)</f>
        <v>10597.025916115315</v>
      </c>
      <c r="I14" s="65">
        <f>IF(SER_hh_tes_in!I14=0,0,11630*1000*SER_hh_tes_in!I14/SER_hh_num_in!I14)</f>
        <v>5978.0767342746876</v>
      </c>
      <c r="J14" s="65">
        <f>IF(SER_hh_tes_in!J14=0,0,11630*1000*SER_hh_tes_in!J14/SER_hh_num_in!J14)</f>
        <v>8077.1470129935087</v>
      </c>
      <c r="K14" s="65">
        <f>IF(SER_hh_tes_in!K14=0,0,11630*1000*SER_hh_tes_in!K14/SER_hh_num_in!K14)</f>
        <v>6400.8067793930904</v>
      </c>
      <c r="L14" s="65">
        <f>IF(SER_hh_tes_in!L14=0,0,11630*1000*SER_hh_tes_in!L14/SER_hh_num_in!L14)</f>
        <v>0</v>
      </c>
      <c r="M14" s="65">
        <f>IF(SER_hh_tes_in!M14=0,0,11630*1000*SER_hh_tes_in!M14/SER_hh_num_in!M14)</f>
        <v>0</v>
      </c>
      <c r="N14" s="65">
        <f>IF(SER_hh_tes_in!N14=0,0,11630*1000*SER_hh_tes_in!N14/SER_hh_num_in!N14)</f>
        <v>0</v>
      </c>
      <c r="O14" s="65">
        <f>IF(SER_hh_tes_in!O14=0,0,11630*1000*SER_hh_tes_in!O14/SER_hh_num_in!O14)</f>
        <v>0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0</v>
      </c>
      <c r="R14" s="65">
        <f>IF(SER_hh_tes_in!R14=0,0,11630*1000*SER_hh_tes_in!R14/SER_hh_num_in!R14)</f>
        <v>0</v>
      </c>
      <c r="S14" s="65">
        <f>IF(SER_hh_tes_in!S14=0,0,11630*1000*SER_hh_tes_in!S14/SER_hh_num_in!S14)</f>
        <v>5444.464684720725</v>
      </c>
      <c r="T14" s="65">
        <f>IF(SER_hh_tes_in!T14=0,0,11630*1000*SER_hh_tes_in!T14/SER_hh_num_in!T14)</f>
        <v>6196.9840966688562</v>
      </c>
      <c r="U14" s="65">
        <f>IF(SER_hh_tes_in!U14=0,0,11630*1000*SER_hh_tes_in!U14/SER_hh_num_in!U14)</f>
        <v>6259.0168239365839</v>
      </c>
      <c r="V14" s="65">
        <f>IF(SER_hh_tes_in!V14=0,0,11630*1000*SER_hh_tes_in!V14/SER_hh_num_in!V14)</f>
        <v>0</v>
      </c>
      <c r="W14" s="65">
        <f>IF(SER_hh_tes_in!W14=0,0,11630*1000*SER_hh_tes_in!W14/SER_hh_num_in!W14)</f>
        <v>6308.4261836473424</v>
      </c>
      <c r="X14" s="65">
        <f>IF(SER_hh_tes_in!X14=0,0,11630*1000*SER_hh_tes_in!X14/SER_hh_num_in!X14)</f>
        <v>6479.2168725253114</v>
      </c>
      <c r="Y14" s="65">
        <f>IF(SER_hh_tes_in!Y14=0,0,11630*1000*SER_hh_tes_in!Y14/SER_hh_num_in!Y14)</f>
        <v>6045.8178989436228</v>
      </c>
      <c r="DA14" s="109" t="s">
        <v>766</v>
      </c>
    </row>
    <row r="15" spans="1:105" ht="12" customHeight="1" x14ac:dyDescent="0.25">
      <c r="A15" s="133" t="s">
        <v>80</v>
      </c>
      <c r="B15" s="134"/>
      <c r="C15" s="134">
        <f>IF(SER_hh_tes_in!C15=0,0,11630*1000*SER_hh_tes_in!C15/SER_hh_num_in!C15)</f>
        <v>106.96888958799332</v>
      </c>
      <c r="D15" s="134">
        <f>IF(SER_hh_tes_in!D15=0,0,11630*1000*SER_hh_tes_in!D15/SER_hh_num_in!D15)</f>
        <v>88.163396012468141</v>
      </c>
      <c r="E15" s="134">
        <f>IF(SER_hh_tes_in!E15=0,0,11630*1000*SER_hh_tes_in!E15/SER_hh_num_in!E15)</f>
        <v>88.164547862878649</v>
      </c>
      <c r="F15" s="134">
        <f>IF(SER_hh_tes_in!F15=0,0,11630*1000*SER_hh_tes_in!F15/SER_hh_num_in!F15)</f>
        <v>68.260526548872008</v>
      </c>
      <c r="G15" s="134">
        <f>IF(SER_hh_tes_in!G15=0,0,11630*1000*SER_hh_tes_in!G15/SER_hh_num_in!G15)</f>
        <v>75.994132041230515</v>
      </c>
      <c r="H15" s="134">
        <f>IF(SER_hh_tes_in!H15=0,0,11630*1000*SER_hh_tes_in!H15/SER_hh_num_in!H15)</f>
        <v>239.39224599986957</v>
      </c>
      <c r="I15" s="134">
        <f>IF(SER_hh_tes_in!I15=0,0,11630*1000*SER_hh_tes_in!I15/SER_hh_num_in!I15)</f>
        <v>106.16118715407154</v>
      </c>
      <c r="J15" s="134">
        <f>IF(SER_hh_tes_in!J15=0,0,11630*1000*SER_hh_tes_in!J15/SER_hh_num_in!J15)</f>
        <v>80.04254264356419</v>
      </c>
      <c r="K15" s="134">
        <f>IF(SER_hh_tes_in!K15=0,0,11630*1000*SER_hh_tes_in!K15/SER_hh_num_in!K15)</f>
        <v>102.95322646972191</v>
      </c>
      <c r="L15" s="134">
        <f>IF(SER_hh_tes_in!L15=0,0,11630*1000*SER_hh_tes_in!L15/SER_hh_num_in!L15)</f>
        <v>128.7225465330088</v>
      </c>
      <c r="M15" s="134">
        <f>IF(SER_hh_tes_in!M15=0,0,11630*1000*SER_hh_tes_in!M15/SER_hh_num_in!M15)</f>
        <v>111.00980277147319</v>
      </c>
      <c r="N15" s="134">
        <f>IF(SER_hh_tes_in!N15=0,0,11630*1000*SER_hh_tes_in!N15/SER_hh_num_in!N15)</f>
        <v>95.321769124942506</v>
      </c>
      <c r="O15" s="134">
        <f>IF(SER_hh_tes_in!O15=0,0,11630*1000*SER_hh_tes_in!O15/SER_hh_num_in!O15)</f>
        <v>89.133319042330058</v>
      </c>
      <c r="P15" s="134">
        <f>IF(SER_hh_tes_in!P15=0,0,11630*1000*SER_hh_tes_in!P15/SER_hh_num_in!P15)</f>
        <v>35.553293175259846</v>
      </c>
      <c r="Q15" s="134">
        <f>IF(SER_hh_tes_in!Q15=0,0,11630*1000*SER_hh_tes_in!Q15/SER_hh_num_in!Q15)</f>
        <v>32.024463142287011</v>
      </c>
      <c r="R15" s="134">
        <f>IF(SER_hh_tes_in!R15=0,0,11630*1000*SER_hh_tes_in!R15/SER_hh_num_in!R15)</f>
        <v>55.227192654037552</v>
      </c>
      <c r="S15" s="134">
        <f>IF(SER_hh_tes_in!S15=0,0,11630*1000*SER_hh_tes_in!S15/SER_hh_num_in!S15)</f>
        <v>70.568846013637554</v>
      </c>
      <c r="T15" s="134">
        <f>IF(SER_hh_tes_in!T15=0,0,11630*1000*SER_hh_tes_in!T15/SER_hh_num_in!T15)</f>
        <v>82.91293202272108</v>
      </c>
      <c r="U15" s="134">
        <f>IF(SER_hh_tes_in!U15=0,0,11630*1000*SER_hh_tes_in!U15/SER_hh_num_in!U15)</f>
        <v>83.164185403067194</v>
      </c>
      <c r="V15" s="134">
        <f>IF(SER_hh_tes_in!V15=0,0,11630*1000*SER_hh_tes_in!V15/SER_hh_num_in!V15)</f>
        <v>75.712413226063688</v>
      </c>
      <c r="W15" s="134">
        <f>IF(SER_hh_tes_in!W15=0,0,11630*1000*SER_hh_tes_in!W15/SER_hh_num_in!W15)</f>
        <v>93.397383476305961</v>
      </c>
      <c r="X15" s="134">
        <f>IF(SER_hh_tes_in!X15=0,0,11630*1000*SER_hh_tes_in!X15/SER_hh_num_in!X15)</f>
        <v>87.578538033704135</v>
      </c>
      <c r="Y15" s="134">
        <f>IF(SER_hh_tes_in!Y15=0,0,11630*1000*SER_hh_tes_in!Y15/SER_hh_num_in!Y15)</f>
        <v>90.212877490428156</v>
      </c>
      <c r="DA15" s="157" t="s">
        <v>767</v>
      </c>
    </row>
    <row r="16" spans="1:105" ht="12.95" customHeight="1" x14ac:dyDescent="0.25">
      <c r="A16" s="129" t="s">
        <v>74</v>
      </c>
      <c r="B16" s="130"/>
      <c r="C16" s="130">
        <f>IF(SER_hh_tes_in!C16=0,0,11630*1000*SER_hh_tes_in!C16/SER_hh_num_in!C16)</f>
        <v>16119.014659540269</v>
      </c>
      <c r="D16" s="130">
        <f>IF(SER_hh_tes_in!D16=0,0,11630*1000*SER_hh_tes_in!D16/SER_hh_num_in!D16)</f>
        <v>14246.049426080821</v>
      </c>
      <c r="E16" s="130">
        <f>IF(SER_hh_tes_in!E16=0,0,11630*1000*SER_hh_tes_in!E16/SER_hh_num_in!E16)</f>
        <v>18306.317353208309</v>
      </c>
      <c r="F16" s="130">
        <f>IF(SER_hh_tes_in!F16=0,0,11630*1000*SER_hh_tes_in!F16/SER_hh_num_in!F16)</f>
        <v>16359.362181965887</v>
      </c>
      <c r="G16" s="130">
        <f>IF(SER_hh_tes_in!G16=0,0,11630*1000*SER_hh_tes_in!G16/SER_hh_num_in!G16)</f>
        <v>17024.614390451268</v>
      </c>
      <c r="H16" s="130">
        <f>IF(SER_hh_tes_in!H16=0,0,11630*1000*SER_hh_tes_in!H16/SER_hh_num_in!H16)</f>
        <v>18970.404586418561</v>
      </c>
      <c r="I16" s="130">
        <f>IF(SER_hh_tes_in!I16=0,0,11630*1000*SER_hh_tes_in!I16/SER_hh_num_in!I16)</f>
        <v>14088.348350261957</v>
      </c>
      <c r="J16" s="130">
        <f>IF(SER_hh_tes_in!J16=0,0,11630*1000*SER_hh_tes_in!J16/SER_hh_num_in!J16)</f>
        <v>14734.821660667203</v>
      </c>
      <c r="K16" s="130">
        <f>IF(SER_hh_tes_in!K16=0,0,11630*1000*SER_hh_tes_in!K16/SER_hh_num_in!K16)</f>
        <v>18669.602406032744</v>
      </c>
      <c r="L16" s="130">
        <f>IF(SER_hh_tes_in!L16=0,0,11630*1000*SER_hh_tes_in!L16/SER_hh_num_in!L16)</f>
        <v>17455.597967968872</v>
      </c>
      <c r="M16" s="130">
        <f>IF(SER_hh_tes_in!M16=0,0,11630*1000*SER_hh_tes_in!M16/SER_hh_num_in!M16)</f>
        <v>15505.530679383113</v>
      </c>
      <c r="N16" s="130">
        <f>IF(SER_hh_tes_in!N16=0,0,11630*1000*SER_hh_tes_in!N16/SER_hh_num_in!N16)</f>
        <v>18485.15511915458</v>
      </c>
      <c r="O16" s="130">
        <f>IF(SER_hh_tes_in!O16=0,0,11630*1000*SER_hh_tes_in!O16/SER_hh_num_in!O16)</f>
        <v>14849.685371658425</v>
      </c>
      <c r="P16" s="130">
        <f>IF(SER_hh_tes_in!P16=0,0,11630*1000*SER_hh_tes_in!P16/SER_hh_num_in!P16)</f>
        <v>13636.452603376101</v>
      </c>
      <c r="Q16" s="130">
        <f>IF(SER_hh_tes_in!Q16=0,0,11630*1000*SER_hh_tes_in!Q16/SER_hh_num_in!Q16)</f>
        <v>19815.012953120586</v>
      </c>
      <c r="R16" s="130">
        <f>IF(SER_hh_tes_in!R16=0,0,11630*1000*SER_hh_tes_in!R16/SER_hh_num_in!R16)</f>
        <v>19218.394991120393</v>
      </c>
      <c r="S16" s="130">
        <f>IF(SER_hh_tes_in!S16=0,0,11630*1000*SER_hh_tes_in!S16/SER_hh_num_in!S16)</f>
        <v>22128.536941645812</v>
      </c>
      <c r="T16" s="130">
        <f>IF(SER_hh_tes_in!T16=0,0,11630*1000*SER_hh_tes_in!T16/SER_hh_num_in!T16)</f>
        <v>15616.915029683898</v>
      </c>
      <c r="U16" s="130">
        <f>IF(SER_hh_tes_in!U16=0,0,11630*1000*SER_hh_tes_in!U16/SER_hh_num_in!U16)</f>
        <v>15993.795916189521</v>
      </c>
      <c r="V16" s="130">
        <f>IF(SER_hh_tes_in!V16=0,0,11630*1000*SER_hh_tes_in!V16/SER_hh_num_in!V16)</f>
        <v>17449.807565452305</v>
      </c>
      <c r="W16" s="130">
        <f>IF(SER_hh_tes_in!W16=0,0,11630*1000*SER_hh_tes_in!W16/SER_hh_num_in!W16)</f>
        <v>14808.850403829705</v>
      </c>
      <c r="X16" s="130">
        <f>IF(SER_hh_tes_in!X16=0,0,11630*1000*SER_hh_tes_in!X16/SER_hh_num_in!X16)</f>
        <v>19073.930567122261</v>
      </c>
      <c r="Y16" s="130">
        <f>IF(SER_hh_tes_in!Y16=0,0,11630*1000*SER_hh_tes_in!Y16/SER_hh_num_in!Y16)</f>
        <v>19486.227543976591</v>
      </c>
      <c r="DA16" s="155" t="s">
        <v>768</v>
      </c>
    </row>
    <row r="17" spans="1:105" ht="12.95" customHeight="1" x14ac:dyDescent="0.25">
      <c r="A17" s="131" t="s">
        <v>73</v>
      </c>
      <c r="B17" s="132"/>
      <c r="C17" s="132">
        <f>IF(SER_hh_tes_in!C17=0,0,11630*1000*SER_hh_tes_in!C17/SER_hh_num_in!C17)</f>
        <v>16118.490746094614</v>
      </c>
      <c r="D17" s="132">
        <f>IF(SER_hh_tes_in!D17=0,0,11630*1000*SER_hh_tes_in!D17/SER_hh_num_in!D17)</f>
        <v>14235.632469451182</v>
      </c>
      <c r="E17" s="132">
        <f>IF(SER_hh_tes_in!E17=0,0,11630*1000*SER_hh_tes_in!E17/SER_hh_num_in!E17)</f>
        <v>21691.402297207562</v>
      </c>
      <c r="F17" s="132">
        <f>IF(SER_hh_tes_in!F17=0,0,11630*1000*SER_hh_tes_in!F17/SER_hh_num_in!F17)</f>
        <v>16424.96801010118</v>
      </c>
      <c r="G17" s="132">
        <f>IF(SER_hh_tes_in!G17=0,0,11630*1000*SER_hh_tes_in!G17/SER_hh_num_in!G17)</f>
        <v>17084.384228017381</v>
      </c>
      <c r="H17" s="132">
        <f>IF(SER_hh_tes_in!H17=0,0,11630*1000*SER_hh_tes_in!H17/SER_hh_num_in!H17)</f>
        <v>16898.811649579664</v>
      </c>
      <c r="I17" s="132">
        <f>IF(SER_hh_tes_in!I17=0,0,11630*1000*SER_hh_tes_in!I17/SER_hh_num_in!I17)</f>
        <v>14121.776960011872</v>
      </c>
      <c r="J17" s="132">
        <f>IF(SER_hh_tes_in!J17=0,0,11630*1000*SER_hh_tes_in!J17/SER_hh_num_in!J17)</f>
        <v>14764.80937028506</v>
      </c>
      <c r="K17" s="132">
        <f>IF(SER_hh_tes_in!K17=0,0,11630*1000*SER_hh_tes_in!K17/SER_hh_num_in!K17)</f>
        <v>18684.99556240856</v>
      </c>
      <c r="L17" s="132">
        <f>IF(SER_hh_tes_in!L17=0,0,11630*1000*SER_hh_tes_in!L17/SER_hh_num_in!L17)</f>
        <v>17476.693073718736</v>
      </c>
      <c r="M17" s="132">
        <f>IF(SER_hh_tes_in!M17=0,0,11630*1000*SER_hh_tes_in!M17/SER_hh_num_in!M17)</f>
        <v>15510.031063486087</v>
      </c>
      <c r="N17" s="132">
        <f>IF(SER_hh_tes_in!N17=0,0,11630*1000*SER_hh_tes_in!N17/SER_hh_num_in!N17)</f>
        <v>18498.845610925091</v>
      </c>
      <c r="O17" s="132">
        <f>IF(SER_hh_tes_in!O17=0,0,11630*1000*SER_hh_tes_in!O17/SER_hh_num_in!O17)</f>
        <v>14860.620443524469</v>
      </c>
      <c r="P17" s="132">
        <f>IF(SER_hh_tes_in!P17=0,0,11630*1000*SER_hh_tes_in!P17/SER_hh_num_in!P17)</f>
        <v>13662.037649352538</v>
      </c>
      <c r="Q17" s="132">
        <f>IF(SER_hh_tes_in!Q17=0,0,11630*1000*SER_hh_tes_in!Q17/SER_hh_num_in!Q17)</f>
        <v>19882.894100603484</v>
      </c>
      <c r="R17" s="132">
        <f>IF(SER_hh_tes_in!R17=0,0,11630*1000*SER_hh_tes_in!R17/SER_hh_num_in!R17)</f>
        <v>19308.722366293441</v>
      </c>
      <c r="S17" s="132">
        <f>IF(SER_hh_tes_in!S17=0,0,11630*1000*SER_hh_tes_in!S17/SER_hh_num_in!S17)</f>
        <v>22211.618368529747</v>
      </c>
      <c r="T17" s="132">
        <f>IF(SER_hh_tes_in!T17=0,0,11630*1000*SER_hh_tes_in!T17/SER_hh_num_in!T17)</f>
        <v>15690.67976917642</v>
      </c>
      <c r="U17" s="132">
        <f>IF(SER_hh_tes_in!U17=0,0,11630*1000*SER_hh_tes_in!U17/SER_hh_num_in!U17)</f>
        <v>16044.223482239313</v>
      </c>
      <c r="V17" s="132">
        <f>IF(SER_hh_tes_in!V17=0,0,11630*1000*SER_hh_tes_in!V17/SER_hh_num_in!V17)</f>
        <v>16149.274215140309</v>
      </c>
      <c r="W17" s="132">
        <f>IF(SER_hh_tes_in!W17=0,0,11630*1000*SER_hh_tes_in!W17/SER_hh_num_in!W17)</f>
        <v>14015.869017762649</v>
      </c>
      <c r="X17" s="132">
        <f>IF(SER_hh_tes_in!X17=0,0,11630*1000*SER_hh_tes_in!X17/SER_hh_num_in!X17)</f>
        <v>22142.117245519636</v>
      </c>
      <c r="Y17" s="132">
        <f>IF(SER_hh_tes_in!Y17=0,0,11630*1000*SER_hh_tes_in!Y17/SER_hh_num_in!Y17)</f>
        <v>20543.680678930396</v>
      </c>
      <c r="DA17" s="156" t="s">
        <v>769</v>
      </c>
    </row>
    <row r="18" spans="1:105" ht="12" customHeight="1" x14ac:dyDescent="0.25">
      <c r="A18" s="131" t="s">
        <v>72</v>
      </c>
      <c r="B18" s="132"/>
      <c r="C18" s="132">
        <f>IF(SER_hh_tes_in!C18=0,0,11630*1000*SER_hh_tes_in!C18/SER_hh_num_in!C18)</f>
        <v>16119.015041021008</v>
      </c>
      <c r="D18" s="132">
        <f>IF(SER_hh_tes_in!D18=0,0,11630*1000*SER_hh_tes_in!D18/SER_hh_num_in!D18)</f>
        <v>14246.053971612844</v>
      </c>
      <c r="E18" s="132">
        <f>IF(SER_hh_tes_in!E18=0,0,11630*1000*SER_hh_tes_in!E18/SER_hh_num_in!E18)</f>
        <v>18302.282207423821</v>
      </c>
      <c r="F18" s="132">
        <f>IF(SER_hh_tes_in!F18=0,0,11630*1000*SER_hh_tes_in!F18/SER_hh_num_in!F18)</f>
        <v>16359.237463248666</v>
      </c>
      <c r="G18" s="132">
        <f>IF(SER_hh_tes_in!G18=0,0,11630*1000*SER_hh_tes_in!G18/SER_hh_num_in!G18)</f>
        <v>17024.54502933018</v>
      </c>
      <c r="H18" s="132">
        <f>IF(SER_hh_tes_in!H18=0,0,11630*1000*SER_hh_tes_in!H18/SER_hh_num_in!H18)</f>
        <v>18973.65223568663</v>
      </c>
      <c r="I18" s="132">
        <f>IF(SER_hh_tes_in!I18=0,0,11630*1000*SER_hh_tes_in!I18/SER_hh_num_in!I18)</f>
        <v>14088.308527215182</v>
      </c>
      <c r="J18" s="132">
        <f>IF(SER_hh_tes_in!J18=0,0,11630*1000*SER_hh_tes_in!J18/SER_hh_num_in!J18)</f>
        <v>14734.763020134102</v>
      </c>
      <c r="K18" s="132">
        <f>IF(SER_hh_tes_in!K18=0,0,11630*1000*SER_hh_tes_in!K18/SER_hh_num_in!K18)</f>
        <v>18669.573374388019</v>
      </c>
      <c r="L18" s="132">
        <f>IF(SER_hh_tes_in!L18=0,0,11630*1000*SER_hh_tes_in!L18/SER_hh_num_in!L18)</f>
        <v>17455.544227569142</v>
      </c>
      <c r="M18" s="132">
        <f>IF(SER_hh_tes_in!M18=0,0,11630*1000*SER_hh_tes_in!M18/SER_hh_num_in!M18)</f>
        <v>15505.517172423739</v>
      </c>
      <c r="N18" s="132">
        <f>IF(SER_hh_tes_in!N18=0,0,11630*1000*SER_hh_tes_in!N18/SER_hh_num_in!N18)</f>
        <v>18485.114940945772</v>
      </c>
      <c r="O18" s="132">
        <f>IF(SER_hh_tes_in!O18=0,0,11630*1000*SER_hh_tes_in!O18/SER_hh_num_in!O18)</f>
        <v>14849.620118465817</v>
      </c>
      <c r="P18" s="132">
        <f>IF(SER_hh_tes_in!P18=0,0,11630*1000*SER_hh_tes_in!P18/SER_hh_num_in!P18)</f>
        <v>13636.334444804574</v>
      </c>
      <c r="Q18" s="132">
        <f>IF(SER_hh_tes_in!Q18=0,0,11630*1000*SER_hh_tes_in!Q18/SER_hh_num_in!Q18)</f>
        <v>19814.636188842098</v>
      </c>
      <c r="R18" s="132">
        <f>IF(SER_hh_tes_in!R18=0,0,11630*1000*SER_hh_tes_in!R18/SER_hh_num_in!R18)</f>
        <v>19217.824650463172</v>
      </c>
      <c r="S18" s="132">
        <f>IF(SER_hh_tes_in!S18=0,0,11630*1000*SER_hh_tes_in!S18/SER_hh_num_in!S18)</f>
        <v>22128.144359830982</v>
      </c>
      <c r="T18" s="132">
        <f>IF(SER_hh_tes_in!T18=0,0,11630*1000*SER_hh_tes_in!T18/SER_hh_num_in!T18)</f>
        <v>15616.252113721757</v>
      </c>
      <c r="U18" s="132">
        <f>IF(SER_hh_tes_in!U18=0,0,11630*1000*SER_hh_tes_in!U18/SER_hh_num_in!U18)</f>
        <v>15993.514102520465</v>
      </c>
      <c r="V18" s="132">
        <f>IF(SER_hh_tes_in!V18=0,0,11630*1000*SER_hh_tes_in!V18/SER_hh_num_in!V18)</f>
        <v>17457.555388146113</v>
      </c>
      <c r="W18" s="132">
        <f>IF(SER_hh_tes_in!W18=0,0,11630*1000*SER_hh_tes_in!W18/SER_hh_num_in!W18)</f>
        <v>14813.255400160346</v>
      </c>
      <c r="X18" s="132">
        <f>IF(SER_hh_tes_in!X18=0,0,11630*1000*SER_hh_tes_in!X18/SER_hh_num_in!X18)</f>
        <v>19058.58889141295</v>
      </c>
      <c r="Y18" s="132">
        <f>IF(SER_hh_tes_in!Y18=0,0,11630*1000*SER_hh_tes_in!Y18/SER_hh_num_in!Y18)</f>
        <v>19480.098555710621</v>
      </c>
      <c r="DA18" s="156" t="s">
        <v>770</v>
      </c>
    </row>
    <row r="19" spans="1:105" ht="12.95" customHeight="1" x14ac:dyDescent="0.25">
      <c r="A19" s="129" t="s">
        <v>35</v>
      </c>
      <c r="B19" s="130"/>
      <c r="C19" s="130">
        <f>IF(SER_hh_tes_in!C19=0,0,11630*1000*SER_hh_tes_in!C19/SER_hh_num_in!C19)</f>
        <v>3313.3672135689349</v>
      </c>
      <c r="D19" s="130">
        <f>IF(SER_hh_tes_in!D19=0,0,11630*1000*SER_hh_tes_in!D19/SER_hh_num_in!D19)</f>
        <v>3466.4821812968498</v>
      </c>
      <c r="E19" s="130">
        <f>IF(SER_hh_tes_in!E19=0,0,11630*1000*SER_hh_tes_in!E19/SER_hh_num_in!E19)</f>
        <v>3565.636120066978</v>
      </c>
      <c r="F19" s="130">
        <f>IF(SER_hh_tes_in!F19=0,0,11630*1000*SER_hh_tes_in!F19/SER_hh_num_in!F19)</f>
        <v>3594.0987653048101</v>
      </c>
      <c r="G19" s="130">
        <f>IF(SER_hh_tes_in!G19=0,0,11630*1000*SER_hh_tes_in!G19/SER_hh_num_in!G19)</f>
        <v>3375.7669363476989</v>
      </c>
      <c r="H19" s="130">
        <f>IF(SER_hh_tes_in!H19=0,0,11630*1000*SER_hh_tes_in!H19/SER_hh_num_in!H19)</f>
        <v>4074.815350814642</v>
      </c>
      <c r="I19" s="130">
        <f>IF(SER_hh_tes_in!I19=0,0,11630*1000*SER_hh_tes_in!I19/SER_hh_num_in!I19)</f>
        <v>3731.3367168149734</v>
      </c>
      <c r="J19" s="130">
        <f>IF(SER_hh_tes_in!J19=0,0,11630*1000*SER_hh_tes_in!J19/SER_hh_num_in!J19)</f>
        <v>3707.3367999740285</v>
      </c>
      <c r="K19" s="130">
        <f>IF(SER_hh_tes_in!K19=0,0,11630*1000*SER_hh_tes_in!K19/SER_hh_num_in!K19)</f>
        <v>3733.598049496763</v>
      </c>
      <c r="L19" s="130">
        <f>IF(SER_hh_tes_in!L19=0,0,11630*1000*SER_hh_tes_in!L19/SER_hh_num_in!L19)</f>
        <v>3758.1023935291773</v>
      </c>
      <c r="M19" s="130">
        <f>IF(SER_hh_tes_in!M19=0,0,11630*1000*SER_hh_tes_in!M19/SER_hh_num_in!M19)</f>
        <v>3766.6861897710037</v>
      </c>
      <c r="N19" s="130">
        <f>IF(SER_hh_tes_in!N19=0,0,11630*1000*SER_hh_tes_in!N19/SER_hh_num_in!N19)</f>
        <v>3700.514313333817</v>
      </c>
      <c r="O19" s="130">
        <f>IF(SER_hh_tes_in!O19=0,0,11630*1000*SER_hh_tes_in!O19/SER_hh_num_in!O19)</f>
        <v>3747.5854496617621</v>
      </c>
      <c r="P19" s="130">
        <f>IF(SER_hh_tes_in!P19=0,0,11630*1000*SER_hh_tes_in!P19/SER_hh_num_in!P19)</f>
        <v>3923.6265092004064</v>
      </c>
      <c r="Q19" s="130">
        <f>IF(SER_hh_tes_in!Q19=0,0,11630*1000*SER_hh_tes_in!Q19/SER_hh_num_in!Q19)</f>
        <v>3645.7728080991706</v>
      </c>
      <c r="R19" s="130">
        <f>IF(SER_hh_tes_in!R19=0,0,11630*1000*SER_hh_tes_in!R19/SER_hh_num_in!R19)</f>
        <v>3557.4407962660257</v>
      </c>
      <c r="S19" s="130">
        <f>IF(SER_hh_tes_in!S19=0,0,11630*1000*SER_hh_tes_in!S19/SER_hh_num_in!S19)</f>
        <v>3416.7187771307176</v>
      </c>
      <c r="T19" s="130">
        <f>IF(SER_hh_tes_in!T19=0,0,11630*1000*SER_hh_tes_in!T19/SER_hh_num_in!T19)</f>
        <v>3564.3028280362437</v>
      </c>
      <c r="U19" s="130">
        <f>IF(SER_hh_tes_in!U19=0,0,11630*1000*SER_hh_tes_in!U19/SER_hh_num_in!U19)</f>
        <v>3523.7211454842036</v>
      </c>
      <c r="V19" s="130">
        <f>IF(SER_hh_tes_in!V19=0,0,11630*1000*SER_hh_tes_in!V19/SER_hh_num_in!V19)</f>
        <v>3210.6675786965984</v>
      </c>
      <c r="W19" s="130">
        <f>IF(SER_hh_tes_in!W19=0,0,11630*1000*SER_hh_tes_in!W19/SER_hh_num_in!W19)</f>
        <v>3361.955209814495</v>
      </c>
      <c r="X19" s="130">
        <f>IF(SER_hh_tes_in!X19=0,0,11630*1000*SER_hh_tes_in!X19/SER_hh_num_in!X19)</f>
        <v>3293.6628483027807</v>
      </c>
      <c r="Y19" s="130">
        <f>IF(SER_hh_tes_in!Y19=0,0,11630*1000*SER_hh_tes_in!Y19/SER_hh_num_in!Y19)</f>
        <v>3309.9280304016929</v>
      </c>
      <c r="DA19" s="155" t="s">
        <v>771</v>
      </c>
    </row>
    <row r="20" spans="1:105" ht="12" customHeight="1" x14ac:dyDescent="0.25">
      <c r="A20" s="131" t="s">
        <v>29</v>
      </c>
      <c r="B20" s="132"/>
      <c r="C20" s="132">
        <f>IF(SER_hh_tes_in!C20=0,0,11630*1000*SER_hh_tes_in!C20/SER_hh_num_in!C20)</f>
        <v>0</v>
      </c>
      <c r="D20" s="132">
        <f>IF(SER_hh_tes_in!D20=0,0,11630*1000*SER_hh_tes_in!D20/SER_hh_num_in!D20)</f>
        <v>0</v>
      </c>
      <c r="E20" s="132">
        <f>IF(SER_hh_tes_in!E20=0,0,11630*1000*SER_hh_tes_in!E20/SER_hh_num_in!E20)</f>
        <v>0</v>
      </c>
      <c r="F20" s="132">
        <f>IF(SER_hh_tes_in!F20=0,0,11630*1000*SER_hh_tes_in!F20/SER_hh_num_in!F20)</f>
        <v>0</v>
      </c>
      <c r="G20" s="132">
        <f>IF(SER_hh_tes_in!G20=0,0,11630*1000*SER_hh_tes_in!G20/SER_hh_num_in!G20)</f>
        <v>0</v>
      </c>
      <c r="H20" s="132">
        <f>IF(SER_hh_tes_in!H20=0,0,11630*1000*SER_hh_tes_in!H20/SER_hh_num_in!H20)</f>
        <v>0</v>
      </c>
      <c r="I20" s="132">
        <f>IF(SER_hh_tes_in!I20=0,0,11630*1000*SER_hh_tes_in!I20/SER_hh_num_in!I20)</f>
        <v>0</v>
      </c>
      <c r="J20" s="132">
        <f>IF(SER_hh_tes_in!J20=0,0,11630*1000*SER_hh_tes_in!J20/SER_hh_num_in!J20)</f>
        <v>0</v>
      </c>
      <c r="K20" s="132">
        <f>IF(SER_hh_tes_in!K20=0,0,11630*1000*SER_hh_tes_in!K20/SER_hh_num_in!K20)</f>
        <v>0</v>
      </c>
      <c r="L20" s="132">
        <f>IF(SER_hh_tes_in!L20=0,0,11630*1000*SER_hh_tes_in!L20/SER_hh_num_in!L20)</f>
        <v>0</v>
      </c>
      <c r="M20" s="132">
        <f>IF(SER_hh_tes_in!M20=0,0,11630*1000*SER_hh_tes_in!M20/SER_hh_num_in!M20)</f>
        <v>0</v>
      </c>
      <c r="N20" s="132">
        <f>IF(SER_hh_tes_in!N20=0,0,11630*1000*SER_hh_tes_in!N20/SER_hh_num_in!N20)</f>
        <v>0</v>
      </c>
      <c r="O20" s="132">
        <f>IF(SER_hh_tes_in!O20=0,0,11630*1000*SER_hh_tes_in!O20/SER_hh_num_in!O20)</f>
        <v>0</v>
      </c>
      <c r="P20" s="132">
        <f>IF(SER_hh_tes_in!P20=0,0,11630*1000*SER_hh_tes_in!P20/SER_hh_num_in!P20)</f>
        <v>0</v>
      </c>
      <c r="Q20" s="132">
        <f>IF(SER_hh_tes_in!Q20=0,0,11630*1000*SER_hh_tes_in!Q20/SER_hh_num_in!Q20)</f>
        <v>0</v>
      </c>
      <c r="R20" s="132">
        <f>IF(SER_hh_tes_in!R20=0,0,11630*1000*SER_hh_tes_in!R20/SER_hh_num_in!R20)</f>
        <v>0</v>
      </c>
      <c r="S20" s="132">
        <f>IF(SER_hh_tes_in!S20=0,0,11630*1000*SER_hh_tes_in!S20/SER_hh_num_in!S20)</f>
        <v>0</v>
      </c>
      <c r="T20" s="132">
        <f>IF(SER_hh_tes_in!T20=0,0,11630*1000*SER_hh_tes_in!T20/SER_hh_num_in!T20)</f>
        <v>0</v>
      </c>
      <c r="U20" s="132">
        <f>IF(SER_hh_tes_in!U20=0,0,11630*1000*SER_hh_tes_in!U20/SER_hh_num_in!U20)</f>
        <v>0</v>
      </c>
      <c r="V20" s="132">
        <f>IF(SER_hh_tes_in!V20=0,0,11630*1000*SER_hh_tes_in!V20/SER_hh_num_in!V20)</f>
        <v>0</v>
      </c>
      <c r="W20" s="132">
        <f>IF(SER_hh_tes_in!W20=0,0,11630*1000*SER_hh_tes_in!W20/SER_hh_num_in!W20)</f>
        <v>0</v>
      </c>
      <c r="X20" s="132">
        <f>IF(SER_hh_tes_in!X20=0,0,11630*1000*SER_hh_tes_in!X20/SER_hh_num_in!X20)</f>
        <v>0</v>
      </c>
      <c r="Y20" s="132">
        <f>IF(SER_hh_tes_in!Y20=0,0,11630*1000*SER_hh_tes_in!Y20/SER_hh_num_in!Y20)</f>
        <v>0</v>
      </c>
      <c r="DA20" s="156" t="s">
        <v>772</v>
      </c>
    </row>
    <row r="21" spans="1:105" s="2" customFormat="1" ht="12" customHeight="1" x14ac:dyDescent="0.25">
      <c r="A21" s="131" t="s">
        <v>52</v>
      </c>
      <c r="B21" s="132"/>
      <c r="C21" s="132">
        <f>IF(SER_hh_tes_in!C21=0,0,11630*1000*SER_hh_tes_in!C21/SER_hh_num_in!C21)</f>
        <v>3167.4384776695379</v>
      </c>
      <c r="D21" s="132">
        <f>IF(SER_hh_tes_in!D21=0,0,11630*1000*SER_hh_tes_in!D21/SER_hh_num_in!D21)</f>
        <v>3454.0763438578551</v>
      </c>
      <c r="E21" s="132">
        <f>IF(SER_hh_tes_in!E21=0,0,11630*1000*SER_hh_tes_in!E21/SER_hh_num_in!E21)</f>
        <v>3524.6531291301212</v>
      </c>
      <c r="F21" s="132">
        <f>IF(SER_hh_tes_in!F21=0,0,11630*1000*SER_hh_tes_in!F21/SER_hh_num_in!F21)</f>
        <v>3453.7408179139143</v>
      </c>
      <c r="G21" s="132">
        <f>IF(SER_hh_tes_in!G21=0,0,11630*1000*SER_hh_tes_in!G21/SER_hh_num_in!G21)</f>
        <v>3462.0098297437494</v>
      </c>
      <c r="H21" s="132">
        <f>IF(SER_hh_tes_in!H21=0,0,11630*1000*SER_hh_tes_in!H21/SER_hh_num_in!H21)</f>
        <v>3549.0446776236408</v>
      </c>
      <c r="I21" s="132">
        <f>IF(SER_hh_tes_in!I21=0,0,11630*1000*SER_hh_tes_in!I21/SER_hh_num_in!I21)</f>
        <v>3648.2703997121907</v>
      </c>
      <c r="J21" s="132">
        <f>IF(SER_hh_tes_in!J21=0,0,11630*1000*SER_hh_tes_in!J21/SER_hh_num_in!J21)</f>
        <v>3601.8726268377782</v>
      </c>
      <c r="K21" s="132">
        <f>IF(SER_hh_tes_in!K21=0,0,11630*1000*SER_hh_tes_in!K21/SER_hh_num_in!K21)</f>
        <v>2873.1798838867148</v>
      </c>
      <c r="L21" s="132">
        <f>IF(SER_hh_tes_in!L21=0,0,11630*1000*SER_hh_tes_in!L21/SER_hh_num_in!L21)</f>
        <v>3752.1445096998427</v>
      </c>
      <c r="M21" s="132">
        <f>IF(SER_hh_tes_in!M21=0,0,11630*1000*SER_hh_tes_in!M21/SER_hh_num_in!M21)</f>
        <v>3654.8924571615371</v>
      </c>
      <c r="N21" s="132">
        <f>IF(SER_hh_tes_in!N21=0,0,11630*1000*SER_hh_tes_in!N21/SER_hh_num_in!N21)</f>
        <v>3726.8540580739809</v>
      </c>
      <c r="O21" s="132">
        <f>IF(SER_hh_tes_in!O21=0,0,11630*1000*SER_hh_tes_in!O21/SER_hh_num_in!O21)</f>
        <v>3760.5741500713434</v>
      </c>
      <c r="P21" s="132">
        <f>IF(SER_hh_tes_in!P21=0,0,11630*1000*SER_hh_tes_in!P21/SER_hh_num_in!P21)</f>
        <v>3250.8830733719183</v>
      </c>
      <c r="Q21" s="132">
        <f>IF(SER_hh_tes_in!Q21=0,0,11630*1000*SER_hh_tes_in!Q21/SER_hh_num_in!Q21)</f>
        <v>3493.9616274031287</v>
      </c>
      <c r="R21" s="132">
        <f>IF(SER_hh_tes_in!R21=0,0,11630*1000*SER_hh_tes_in!R21/SER_hh_num_in!R21)</f>
        <v>3506.3822969195007</v>
      </c>
      <c r="S21" s="132">
        <f>IF(SER_hh_tes_in!S21=0,0,11630*1000*SER_hh_tes_in!S21/SER_hh_num_in!S21)</f>
        <v>3453.8762513595952</v>
      </c>
      <c r="T21" s="132">
        <f>IF(SER_hh_tes_in!T21=0,0,11630*1000*SER_hh_tes_in!T21/SER_hh_num_in!T21)</f>
        <v>0</v>
      </c>
      <c r="U21" s="132">
        <f>IF(SER_hh_tes_in!U21=0,0,11630*1000*SER_hh_tes_in!U21/SER_hh_num_in!U21)</f>
        <v>0</v>
      </c>
      <c r="V21" s="132">
        <f>IF(SER_hh_tes_in!V21=0,0,11630*1000*SER_hh_tes_in!V21/SER_hh_num_in!V21)</f>
        <v>0</v>
      </c>
      <c r="W21" s="132">
        <f>IF(SER_hh_tes_in!W21=0,0,11630*1000*SER_hh_tes_in!W21/SER_hh_num_in!W21)</f>
        <v>2818.0385470522533</v>
      </c>
      <c r="X21" s="132">
        <f>IF(SER_hh_tes_in!X21=0,0,11630*1000*SER_hh_tes_in!X21/SER_hh_num_in!X21)</f>
        <v>2928.7005817998997</v>
      </c>
      <c r="Y21" s="132">
        <f>IF(SER_hh_tes_in!Y21=0,0,11630*1000*SER_hh_tes_in!Y21/SER_hh_num_in!Y21)</f>
        <v>3658.0514652614888</v>
      </c>
      <c r="DA21" s="156" t="s">
        <v>773</v>
      </c>
    </row>
    <row r="22" spans="1:105" ht="12" customHeight="1" x14ac:dyDescent="0.25">
      <c r="A22" s="131" t="s">
        <v>161</v>
      </c>
      <c r="B22" s="132"/>
      <c r="C22" s="132">
        <f>IF(SER_hh_tes_in!C22=0,0,11630*1000*SER_hh_tes_in!C22/SER_hh_num_in!C22)</f>
        <v>3243.490044376701</v>
      </c>
      <c r="D22" s="132">
        <f>IF(SER_hh_tes_in!D22=0,0,11630*1000*SER_hh_tes_in!D22/SER_hh_num_in!D22)</f>
        <v>3445.6448141750411</v>
      </c>
      <c r="E22" s="132">
        <f>IF(SER_hh_tes_in!E22=0,0,11630*1000*SER_hh_tes_in!E22/SER_hh_num_in!E22)</f>
        <v>3449.3838050433474</v>
      </c>
      <c r="F22" s="132">
        <f>IF(SER_hh_tes_in!F22=0,0,11630*1000*SER_hh_tes_in!F22/SER_hh_num_in!F22)</f>
        <v>3558.2145780155697</v>
      </c>
      <c r="G22" s="132">
        <f>IF(SER_hh_tes_in!G22=0,0,11630*1000*SER_hh_tes_in!G22/SER_hh_num_in!G22)</f>
        <v>3576.8945744815092</v>
      </c>
      <c r="H22" s="132">
        <f>IF(SER_hh_tes_in!H22=0,0,11630*1000*SER_hh_tes_in!H22/SER_hh_num_in!H22)</f>
        <v>3526.6574725382679</v>
      </c>
      <c r="I22" s="132">
        <f>IF(SER_hh_tes_in!I22=0,0,11630*1000*SER_hh_tes_in!I22/SER_hh_num_in!I22)</f>
        <v>3630.0107829336066</v>
      </c>
      <c r="J22" s="132">
        <f>IF(SER_hh_tes_in!J22=0,0,11630*1000*SER_hh_tes_in!J22/SER_hh_num_in!J22)</f>
        <v>3540.359438133019</v>
      </c>
      <c r="K22" s="132">
        <f>IF(SER_hh_tes_in!K22=0,0,11630*1000*SER_hh_tes_in!K22/SER_hh_num_in!K22)</f>
        <v>2725.7464388292151</v>
      </c>
      <c r="L22" s="132">
        <f>IF(SER_hh_tes_in!L22=0,0,11630*1000*SER_hh_tes_in!L22/SER_hh_num_in!L22)</f>
        <v>3692.0936829781745</v>
      </c>
      <c r="M22" s="132">
        <f>IF(SER_hh_tes_in!M22=0,0,11630*1000*SER_hh_tes_in!M22/SER_hh_num_in!M22)</f>
        <v>3606.2180682036492</v>
      </c>
      <c r="N22" s="132">
        <f>IF(SER_hh_tes_in!N22=0,0,11630*1000*SER_hh_tes_in!N22/SER_hh_num_in!N22)</f>
        <v>3727.1367168925626</v>
      </c>
      <c r="O22" s="132">
        <f>IF(SER_hh_tes_in!O22=0,0,11630*1000*SER_hh_tes_in!O22/SER_hh_num_in!O22)</f>
        <v>3706.568581882068</v>
      </c>
      <c r="P22" s="132">
        <f>IF(SER_hh_tes_in!P22=0,0,11630*1000*SER_hh_tes_in!P22/SER_hh_num_in!P22)</f>
        <v>3150.7802213707273</v>
      </c>
      <c r="Q22" s="132">
        <f>IF(SER_hh_tes_in!Q22=0,0,11630*1000*SER_hh_tes_in!Q22/SER_hh_num_in!Q22)</f>
        <v>3536.5388507811076</v>
      </c>
      <c r="R22" s="132">
        <f>IF(SER_hh_tes_in!R22=0,0,11630*1000*SER_hh_tes_in!R22/SER_hh_num_in!R22)</f>
        <v>3554.937641363922</v>
      </c>
      <c r="S22" s="132">
        <f>IF(SER_hh_tes_in!S22=0,0,11630*1000*SER_hh_tes_in!S22/SER_hh_num_in!S22)</f>
        <v>3421.5554879568253</v>
      </c>
      <c r="T22" s="132">
        <f>IF(SER_hh_tes_in!T22=0,0,11630*1000*SER_hh_tes_in!T22/SER_hh_num_in!T22)</f>
        <v>3475.3730311290947</v>
      </c>
      <c r="U22" s="132">
        <f>IF(SER_hh_tes_in!U22=0,0,11630*1000*SER_hh_tes_in!U22/SER_hh_num_in!U22)</f>
        <v>3331.511877938608</v>
      </c>
      <c r="V22" s="132">
        <f>IF(SER_hh_tes_in!V22=0,0,11630*1000*SER_hh_tes_in!V22/SER_hh_num_in!V22)</f>
        <v>2979.6863582862743</v>
      </c>
      <c r="W22" s="132">
        <f>IF(SER_hh_tes_in!W22=0,0,11630*1000*SER_hh_tes_in!W22/SER_hh_num_in!W22)</f>
        <v>3392.7565954556649</v>
      </c>
      <c r="X22" s="132">
        <f>IF(SER_hh_tes_in!X22=0,0,11630*1000*SER_hh_tes_in!X22/SER_hh_num_in!X22)</f>
        <v>3228.7260973656494</v>
      </c>
      <c r="Y22" s="132">
        <f>IF(SER_hh_tes_in!Y22=0,0,11630*1000*SER_hh_tes_in!Y22/SER_hh_num_in!Y22)</f>
        <v>3230.4011108700679</v>
      </c>
      <c r="DA22" s="156" t="s">
        <v>774</v>
      </c>
    </row>
    <row r="23" spans="1:105" ht="12" customHeight="1" x14ac:dyDescent="0.25">
      <c r="A23" s="131" t="s">
        <v>149</v>
      </c>
      <c r="B23" s="132"/>
      <c r="C23" s="132">
        <f>IF(SER_hh_tes_in!C23=0,0,11630*1000*SER_hh_tes_in!C23/SER_hh_num_in!C23)</f>
        <v>0</v>
      </c>
      <c r="D23" s="132">
        <f>IF(SER_hh_tes_in!D23=0,0,11630*1000*SER_hh_tes_in!D23/SER_hh_num_in!D23)</f>
        <v>0</v>
      </c>
      <c r="E23" s="132">
        <f>IF(SER_hh_tes_in!E23=0,0,11630*1000*SER_hh_tes_in!E23/SER_hh_num_in!E23)</f>
        <v>0</v>
      </c>
      <c r="F23" s="132">
        <f>IF(SER_hh_tes_in!F23=0,0,11630*1000*SER_hh_tes_in!F23/SER_hh_num_in!F23)</f>
        <v>2906.483780938272</v>
      </c>
      <c r="G23" s="132">
        <f>IF(SER_hh_tes_in!G23=0,0,11630*1000*SER_hh_tes_in!G23/SER_hh_num_in!G23)</f>
        <v>2602.838130853032</v>
      </c>
      <c r="H23" s="132">
        <f>IF(SER_hh_tes_in!H23=0,0,11630*1000*SER_hh_tes_in!H23/SER_hh_num_in!H23)</f>
        <v>4331.0911251244397</v>
      </c>
      <c r="I23" s="132">
        <f>IF(SER_hh_tes_in!I23=0,0,11630*1000*SER_hh_tes_in!I23/SER_hh_num_in!I23)</f>
        <v>3932.9816396838642</v>
      </c>
      <c r="J23" s="132">
        <f>IF(SER_hh_tes_in!J23=0,0,11630*1000*SER_hh_tes_in!J23/SER_hh_num_in!J23)</f>
        <v>3629.2801273541986</v>
      </c>
      <c r="K23" s="132">
        <f>IF(SER_hh_tes_in!K23=0,0,11630*1000*SER_hh_tes_in!K23/SER_hh_num_in!K23)</f>
        <v>2520.2428889195821</v>
      </c>
      <c r="L23" s="132">
        <f>IF(SER_hh_tes_in!L23=0,0,11630*1000*SER_hh_tes_in!L23/SER_hh_num_in!L23)</f>
        <v>3721.4680295100561</v>
      </c>
      <c r="M23" s="132">
        <f>IF(SER_hh_tes_in!M23=0,0,11630*1000*SER_hh_tes_in!M23/SER_hh_num_in!M23)</f>
        <v>3480.5002043155059</v>
      </c>
      <c r="N23" s="132">
        <f>IF(SER_hh_tes_in!N23=0,0,11630*1000*SER_hh_tes_in!N23/SER_hh_num_in!N23)</f>
        <v>3585.959674955312</v>
      </c>
      <c r="O23" s="132">
        <f>IF(SER_hh_tes_in!O23=0,0,11630*1000*SER_hh_tes_in!O23/SER_hh_num_in!O23)</f>
        <v>3739.225814240498</v>
      </c>
      <c r="P23" s="132">
        <f>IF(SER_hh_tes_in!P23=0,0,11630*1000*SER_hh_tes_in!P23/SER_hh_num_in!P23)</f>
        <v>3120.2380018647041</v>
      </c>
      <c r="Q23" s="132">
        <f>IF(SER_hh_tes_in!Q23=0,0,11630*1000*SER_hh_tes_in!Q23/SER_hh_num_in!Q23)</f>
        <v>3311.3122006690091</v>
      </c>
      <c r="R23" s="132">
        <f>IF(SER_hh_tes_in!R23=0,0,11630*1000*SER_hh_tes_in!R23/SER_hh_num_in!R23)</f>
        <v>3379.4298259580055</v>
      </c>
      <c r="S23" s="132">
        <f>IF(SER_hh_tes_in!S23=0,0,11630*1000*SER_hh_tes_in!S23/SER_hh_num_in!S23)</f>
        <v>3376.0883340306887</v>
      </c>
      <c r="T23" s="132">
        <f>IF(SER_hh_tes_in!T23=0,0,11630*1000*SER_hh_tes_in!T23/SER_hh_num_in!T23)</f>
        <v>3420.2450734238978</v>
      </c>
      <c r="U23" s="132">
        <f>IF(SER_hh_tes_in!U23=0,0,11630*1000*SER_hh_tes_in!U23/SER_hh_num_in!U23)</f>
        <v>3403.2760444247524</v>
      </c>
      <c r="V23" s="132">
        <f>IF(SER_hh_tes_in!V23=0,0,11630*1000*SER_hh_tes_in!V23/SER_hh_num_in!V23)</f>
        <v>2952.882005258421</v>
      </c>
      <c r="W23" s="132">
        <f>IF(SER_hh_tes_in!W23=0,0,11630*1000*SER_hh_tes_in!W23/SER_hh_num_in!W23)</f>
        <v>3409.5276743478803</v>
      </c>
      <c r="X23" s="132">
        <f>IF(SER_hh_tes_in!X23=0,0,11630*1000*SER_hh_tes_in!X23/SER_hh_num_in!X23)</f>
        <v>3222.7610680169582</v>
      </c>
      <c r="Y23" s="132">
        <f>IF(SER_hh_tes_in!Y23=0,0,11630*1000*SER_hh_tes_in!Y23/SER_hh_num_in!Y23)</f>
        <v>3282.0558548023555</v>
      </c>
      <c r="DA23" s="156" t="s">
        <v>775</v>
      </c>
    </row>
    <row r="24" spans="1:105" ht="12" customHeight="1" x14ac:dyDescent="0.25">
      <c r="A24" s="131" t="s">
        <v>128</v>
      </c>
      <c r="B24" s="132"/>
      <c r="C24" s="132">
        <f>IF(SER_hh_tes_in!C24=0,0,11630*1000*SER_hh_tes_in!C24/SER_hh_num_in!C24)</f>
        <v>0</v>
      </c>
      <c r="D24" s="132">
        <f>IF(SER_hh_tes_in!D24=0,0,11630*1000*SER_hh_tes_in!D24/SER_hh_num_in!D24)</f>
        <v>0</v>
      </c>
      <c r="E24" s="132">
        <f>IF(SER_hh_tes_in!E24=0,0,11630*1000*SER_hh_tes_in!E24/SER_hh_num_in!E24)</f>
        <v>0</v>
      </c>
      <c r="F24" s="132">
        <f>IF(SER_hh_tes_in!F24=0,0,11630*1000*SER_hh_tes_in!F24/SER_hh_num_in!F24)</f>
        <v>0</v>
      </c>
      <c r="G24" s="132">
        <f>IF(SER_hh_tes_in!G24=0,0,11630*1000*SER_hh_tes_in!G24/SER_hh_num_in!G24)</f>
        <v>0</v>
      </c>
      <c r="H24" s="132">
        <f>IF(SER_hh_tes_in!H24=0,0,11630*1000*SER_hh_tes_in!H24/SER_hh_num_in!H24)</f>
        <v>0</v>
      </c>
      <c r="I24" s="132">
        <f>IF(SER_hh_tes_in!I24=0,0,11630*1000*SER_hh_tes_in!I24/SER_hh_num_in!I24)</f>
        <v>0</v>
      </c>
      <c r="J24" s="132">
        <f>IF(SER_hh_tes_in!J24=0,0,11630*1000*SER_hh_tes_in!J24/SER_hh_num_in!J24)</f>
        <v>0</v>
      </c>
      <c r="K24" s="132">
        <f>IF(SER_hh_tes_in!K24=0,0,11630*1000*SER_hh_tes_in!K24/SER_hh_num_in!K24)</f>
        <v>0</v>
      </c>
      <c r="L24" s="132">
        <f>IF(SER_hh_tes_in!L24=0,0,11630*1000*SER_hh_tes_in!L24/SER_hh_num_in!L24)</f>
        <v>0</v>
      </c>
      <c r="M24" s="132">
        <f>IF(SER_hh_tes_in!M24=0,0,11630*1000*SER_hh_tes_in!M24/SER_hh_num_in!M24)</f>
        <v>0</v>
      </c>
      <c r="N24" s="132">
        <f>IF(SER_hh_tes_in!N24=0,0,11630*1000*SER_hh_tes_in!N24/SER_hh_num_in!N24)</f>
        <v>0</v>
      </c>
      <c r="O24" s="132">
        <f>IF(SER_hh_tes_in!O24=0,0,11630*1000*SER_hh_tes_in!O24/SER_hh_num_in!O24)</f>
        <v>0</v>
      </c>
      <c r="P24" s="132">
        <f>IF(SER_hh_tes_in!P24=0,0,11630*1000*SER_hh_tes_in!P24/SER_hh_num_in!P24)</f>
        <v>0</v>
      </c>
      <c r="Q24" s="132">
        <f>IF(SER_hh_tes_in!Q24=0,0,11630*1000*SER_hh_tes_in!Q24/SER_hh_num_in!Q24)</f>
        <v>0</v>
      </c>
      <c r="R24" s="132">
        <f>IF(SER_hh_tes_in!R24=0,0,11630*1000*SER_hh_tes_in!R24/SER_hh_num_in!R24)</f>
        <v>0</v>
      </c>
      <c r="S24" s="132">
        <f>IF(SER_hh_tes_in!S24=0,0,11630*1000*SER_hh_tes_in!S24/SER_hh_num_in!S24)</f>
        <v>0</v>
      </c>
      <c r="T24" s="132">
        <f>IF(SER_hh_tes_in!T24=0,0,11630*1000*SER_hh_tes_in!T24/SER_hh_num_in!T24)</f>
        <v>0</v>
      </c>
      <c r="U24" s="132">
        <f>IF(SER_hh_tes_in!U24=0,0,11630*1000*SER_hh_tes_in!U24/SER_hh_num_in!U24)</f>
        <v>0</v>
      </c>
      <c r="V24" s="132">
        <f>IF(SER_hh_tes_in!V24=0,0,11630*1000*SER_hh_tes_in!V24/SER_hh_num_in!V24)</f>
        <v>0</v>
      </c>
      <c r="W24" s="132">
        <f>IF(SER_hh_tes_in!W24=0,0,11630*1000*SER_hh_tes_in!W24/SER_hh_num_in!W24)</f>
        <v>0</v>
      </c>
      <c r="X24" s="132">
        <f>IF(SER_hh_tes_in!X24=0,0,11630*1000*SER_hh_tes_in!X24/SER_hh_num_in!X24)</f>
        <v>0</v>
      </c>
      <c r="Y24" s="132">
        <f>IF(SER_hh_tes_in!Y24=0,0,11630*1000*SER_hh_tes_in!Y24/SER_hh_num_in!Y24)</f>
        <v>0</v>
      </c>
      <c r="DA24" s="156" t="s">
        <v>776</v>
      </c>
    </row>
    <row r="25" spans="1:105" ht="12" customHeight="1" x14ac:dyDescent="0.25">
      <c r="A25" s="131" t="s">
        <v>162</v>
      </c>
      <c r="B25" s="132"/>
      <c r="C25" s="132">
        <f>IF(SER_hh_tes_in!C25=0,0,11630*1000*SER_hh_tes_in!C25/SER_hh_num_in!C25)</f>
        <v>0</v>
      </c>
      <c r="D25" s="132">
        <f>IF(SER_hh_tes_in!D25=0,0,11630*1000*SER_hh_tes_in!D25/SER_hh_num_in!D25)</f>
        <v>0</v>
      </c>
      <c r="E25" s="132">
        <f>IF(SER_hh_tes_in!E25=0,0,11630*1000*SER_hh_tes_in!E25/SER_hh_num_in!E25)</f>
        <v>0</v>
      </c>
      <c r="F25" s="132">
        <f>IF(SER_hh_tes_in!F25=0,0,11630*1000*SER_hh_tes_in!F25/SER_hh_num_in!F25)</f>
        <v>0</v>
      </c>
      <c r="G25" s="132">
        <f>IF(SER_hh_tes_in!G25=0,0,11630*1000*SER_hh_tes_in!G25/SER_hh_num_in!G25)</f>
        <v>0</v>
      </c>
      <c r="H25" s="132">
        <f>IF(SER_hh_tes_in!H25=0,0,11630*1000*SER_hh_tes_in!H25/SER_hh_num_in!H25)</f>
        <v>0</v>
      </c>
      <c r="I25" s="132">
        <f>IF(SER_hh_tes_in!I25=0,0,11630*1000*SER_hh_tes_in!I25/SER_hh_num_in!I25)</f>
        <v>0</v>
      </c>
      <c r="J25" s="132">
        <f>IF(SER_hh_tes_in!J25=0,0,11630*1000*SER_hh_tes_in!J25/SER_hh_num_in!J25)</f>
        <v>0</v>
      </c>
      <c r="K25" s="132">
        <f>IF(SER_hh_tes_in!K25=0,0,11630*1000*SER_hh_tes_in!K25/SER_hh_num_in!K25)</f>
        <v>0</v>
      </c>
      <c r="L25" s="132">
        <f>IF(SER_hh_tes_in!L25=0,0,11630*1000*SER_hh_tes_in!L25/SER_hh_num_in!L25)</f>
        <v>0</v>
      </c>
      <c r="M25" s="132">
        <f>IF(SER_hh_tes_in!M25=0,0,11630*1000*SER_hh_tes_in!M25/SER_hh_num_in!M25)</f>
        <v>0</v>
      </c>
      <c r="N25" s="132">
        <f>IF(SER_hh_tes_in!N25=0,0,11630*1000*SER_hh_tes_in!N25/SER_hh_num_in!N25)</f>
        <v>0</v>
      </c>
      <c r="O25" s="132">
        <f>IF(SER_hh_tes_in!O25=0,0,11630*1000*SER_hh_tes_in!O25/SER_hh_num_in!O25)</f>
        <v>0</v>
      </c>
      <c r="P25" s="132">
        <f>IF(SER_hh_tes_in!P25=0,0,11630*1000*SER_hh_tes_in!P25/SER_hh_num_in!P25)</f>
        <v>0</v>
      </c>
      <c r="Q25" s="132">
        <f>IF(SER_hh_tes_in!Q25=0,0,11630*1000*SER_hh_tes_in!Q25/SER_hh_num_in!Q25)</f>
        <v>0</v>
      </c>
      <c r="R25" s="132">
        <f>IF(SER_hh_tes_in!R25=0,0,11630*1000*SER_hh_tes_in!R25/SER_hh_num_in!R25)</f>
        <v>0</v>
      </c>
      <c r="S25" s="132">
        <f>IF(SER_hh_tes_in!S25=0,0,11630*1000*SER_hh_tes_in!S25/SER_hh_num_in!S25)</f>
        <v>0</v>
      </c>
      <c r="T25" s="132">
        <f>IF(SER_hh_tes_in!T25=0,0,11630*1000*SER_hh_tes_in!T25/SER_hh_num_in!T25)</f>
        <v>0</v>
      </c>
      <c r="U25" s="132">
        <f>IF(SER_hh_tes_in!U25=0,0,11630*1000*SER_hh_tes_in!U25/SER_hh_num_in!U25)</f>
        <v>0</v>
      </c>
      <c r="V25" s="132">
        <f>IF(SER_hh_tes_in!V25=0,0,11630*1000*SER_hh_tes_in!V25/SER_hh_num_in!V25)</f>
        <v>0</v>
      </c>
      <c r="W25" s="132">
        <f>IF(SER_hh_tes_in!W25=0,0,11630*1000*SER_hh_tes_in!W25/SER_hh_num_in!W25)</f>
        <v>0</v>
      </c>
      <c r="X25" s="132">
        <f>IF(SER_hh_tes_in!X25=0,0,11630*1000*SER_hh_tes_in!X25/SER_hh_num_in!X25)</f>
        <v>0</v>
      </c>
      <c r="Y25" s="132">
        <f>IF(SER_hh_tes_in!Y25=0,0,11630*1000*SER_hh_tes_in!Y25/SER_hh_num_in!Y25)</f>
        <v>0</v>
      </c>
      <c r="DA25" s="156" t="s">
        <v>777</v>
      </c>
    </row>
    <row r="26" spans="1:105" ht="12" customHeight="1" x14ac:dyDescent="0.25">
      <c r="A26" s="131" t="s">
        <v>24</v>
      </c>
      <c r="B26" s="65"/>
      <c r="C26" s="65">
        <f>IF(SER_hh_tes_in!C26=0,0,11630*1000*SER_hh_tes_in!C26/SER_hh_num_in!C26)</f>
        <v>2706.3579948886972</v>
      </c>
      <c r="D26" s="65">
        <f>IF(SER_hh_tes_in!D26=0,0,11630*1000*SER_hh_tes_in!D26/SER_hh_num_in!D26)</f>
        <v>3340.936734426798</v>
      </c>
      <c r="E26" s="65">
        <f>IF(SER_hh_tes_in!E26=0,0,11630*1000*SER_hh_tes_in!E26/SER_hh_num_in!E26)</f>
        <v>3031.4697744913947</v>
      </c>
      <c r="F26" s="65">
        <f>IF(SER_hh_tes_in!F26=0,0,11630*1000*SER_hh_tes_in!F26/SER_hh_num_in!F26)</f>
        <v>3189.1659483106528</v>
      </c>
      <c r="G26" s="65">
        <f>IF(SER_hh_tes_in!G26=0,0,11630*1000*SER_hh_tes_in!G26/SER_hh_num_in!G26)</f>
        <v>2684.0488374738193</v>
      </c>
      <c r="H26" s="65">
        <f>IF(SER_hh_tes_in!H26=0,0,11630*1000*SER_hh_tes_in!H26/SER_hh_num_in!H26)</f>
        <v>2155.1270222062226</v>
      </c>
      <c r="I26" s="65">
        <f>IF(SER_hh_tes_in!I26=0,0,11630*1000*SER_hh_tes_in!I26/SER_hh_num_in!I26)</f>
        <v>3000.9067044833464</v>
      </c>
      <c r="J26" s="65">
        <f>IF(SER_hh_tes_in!J26=0,0,11630*1000*SER_hh_tes_in!J26/SER_hh_num_in!J26)</f>
        <v>2587.2305410852427</v>
      </c>
      <c r="K26" s="65">
        <f>IF(SER_hh_tes_in!K26=0,0,11630*1000*SER_hh_tes_in!K26/SER_hh_num_in!K26)</f>
        <v>227.7162282634026</v>
      </c>
      <c r="L26" s="65">
        <f>IF(SER_hh_tes_in!L26=0,0,11630*1000*SER_hh_tes_in!L26/SER_hh_num_in!L26)</f>
        <v>2040.8365641202367</v>
      </c>
      <c r="M26" s="65">
        <f>IF(SER_hh_tes_in!M26=0,0,11630*1000*SER_hh_tes_in!M26/SER_hh_num_in!M26)</f>
        <v>424.43127531390081</v>
      </c>
      <c r="N26" s="65">
        <f>IF(SER_hh_tes_in!N26=0,0,11630*1000*SER_hh_tes_in!N26/SER_hh_num_in!N26)</f>
        <v>229.89063951598581</v>
      </c>
      <c r="O26" s="65">
        <f>IF(SER_hh_tes_in!O26=0,0,11630*1000*SER_hh_tes_in!O26/SER_hh_num_in!O26)</f>
        <v>3245.3451922190366</v>
      </c>
      <c r="P26" s="65">
        <f>IF(SER_hh_tes_in!P26=0,0,11630*1000*SER_hh_tes_in!P26/SER_hh_num_in!P26)</f>
        <v>0</v>
      </c>
      <c r="Q26" s="65">
        <f>IF(SER_hh_tes_in!Q26=0,0,11630*1000*SER_hh_tes_in!Q26/SER_hh_num_in!Q26)</f>
        <v>34.872086640459841</v>
      </c>
      <c r="R26" s="65">
        <f>IF(SER_hh_tes_in!R26=0,0,11630*1000*SER_hh_tes_in!R26/SER_hh_num_in!R26)</f>
        <v>602.52612587090664</v>
      </c>
      <c r="S26" s="65">
        <f>IF(SER_hh_tes_in!S26=0,0,11630*1000*SER_hh_tes_in!S26/SER_hh_num_in!S26)</f>
        <v>31.229585263908252</v>
      </c>
      <c r="T26" s="65">
        <f>IF(SER_hh_tes_in!T26=0,0,11630*1000*SER_hh_tes_in!T26/SER_hh_num_in!T26)</f>
        <v>3323.0276699238439</v>
      </c>
      <c r="U26" s="65">
        <f>IF(SER_hh_tes_in!U26=0,0,11630*1000*SER_hh_tes_in!U26/SER_hh_num_in!U26)</f>
        <v>251.1445938206852</v>
      </c>
      <c r="V26" s="65">
        <f>IF(SER_hh_tes_in!V26=0,0,11630*1000*SER_hh_tes_in!V26/SER_hh_num_in!V26)</f>
        <v>28.911085074188396</v>
      </c>
      <c r="W26" s="65">
        <f>IF(SER_hh_tes_in!W26=0,0,11630*1000*SER_hh_tes_in!W26/SER_hh_num_in!W26)</f>
        <v>3275.1909945513762</v>
      </c>
      <c r="X26" s="65">
        <f>IF(SER_hh_tes_in!X26=0,0,11630*1000*SER_hh_tes_in!X26/SER_hh_num_in!X26)</f>
        <v>30.100588517531669</v>
      </c>
      <c r="Y26" s="65">
        <f>IF(SER_hh_tes_in!Y26=0,0,11630*1000*SER_hh_tes_in!Y26/SER_hh_num_in!Y26)</f>
        <v>2765.1053234830424</v>
      </c>
      <c r="DA26" s="109" t="s">
        <v>778</v>
      </c>
    </row>
    <row r="27" spans="1:105" ht="12" customHeight="1" x14ac:dyDescent="0.25">
      <c r="A27" s="144" t="s">
        <v>86</v>
      </c>
      <c r="B27" s="147"/>
      <c r="C27" s="145">
        <f>IF(SER_hh_tes_in!C27=0,0,11630*1000*SER_hh_tes_in!C27/SER_hh_num_in!C19)</f>
        <v>490.85946368745289</v>
      </c>
      <c r="D27" s="145">
        <f>IF(SER_hh_tes_in!D27=0,0,11630*1000*SER_hh_tes_in!D27/SER_hh_num_in!D19)</f>
        <v>105.23255407103484</v>
      </c>
      <c r="E27" s="145">
        <f>IF(SER_hh_tes_in!E27=0,0,11630*1000*SER_hh_tes_in!E27/SER_hh_num_in!E19)</f>
        <v>442.82875888515741</v>
      </c>
      <c r="F27" s="145">
        <f>IF(SER_hh_tes_in!F27=0,0,11630*1000*SER_hh_tes_in!F27/SER_hh_num_in!F19)</f>
        <v>386.19866991353973</v>
      </c>
      <c r="G27" s="145">
        <f>IF(SER_hh_tes_in!G27=0,0,11630*1000*SER_hh_tes_in!G27/SER_hh_num_in!G19)</f>
        <v>547.5234115795937</v>
      </c>
      <c r="H27" s="145">
        <f>IF(SER_hh_tes_in!H27=0,0,11630*1000*SER_hh_tes_in!H27/SER_hh_num_in!H19)</f>
        <v>512.84311380977817</v>
      </c>
      <c r="I27" s="145">
        <f>IF(SER_hh_tes_in!I27=0,0,11630*1000*SER_hh_tes_in!I27/SER_hh_num_in!I19)</f>
        <v>310.07699560506887</v>
      </c>
      <c r="J27" s="145">
        <f>IF(SER_hh_tes_in!J27=0,0,11630*1000*SER_hh_tes_in!J27/SER_hh_num_in!J19)</f>
        <v>728.65681382235164</v>
      </c>
      <c r="K27" s="145">
        <f>IF(SER_hh_tes_in!K27=0,0,11630*1000*SER_hh_tes_in!K27/SER_hh_num_in!K19)</f>
        <v>2369.4514450221686</v>
      </c>
      <c r="L27" s="145">
        <f>IF(SER_hh_tes_in!L27=0,0,11630*1000*SER_hh_tes_in!L27/SER_hh_num_in!L19)</f>
        <v>1025.2044832558911</v>
      </c>
      <c r="M27" s="145">
        <f>IF(SER_hh_tes_in!M27=0,0,11630*1000*SER_hh_tes_in!M27/SER_hh_num_in!M19)</f>
        <v>1551.5622300845616</v>
      </c>
      <c r="N27" s="145">
        <f>IF(SER_hh_tes_in!N27=0,0,11630*1000*SER_hh_tes_in!N27/SER_hh_num_in!N19)</f>
        <v>1029.7969798281065</v>
      </c>
      <c r="O27" s="145">
        <f>IF(SER_hh_tes_in!O27=0,0,11630*1000*SER_hh_tes_in!O27/SER_hh_num_in!O19)</f>
        <v>96.566854989422779</v>
      </c>
      <c r="P27" s="145">
        <f>IF(SER_hh_tes_in!P27=0,0,11630*1000*SER_hh_tes_in!P27/SER_hh_num_in!P19)</f>
        <v>785.09274216794142</v>
      </c>
      <c r="Q27" s="145">
        <f>IF(SER_hh_tes_in!Q27=0,0,11630*1000*SER_hh_tes_in!Q27/SER_hh_num_in!Q19)</f>
        <v>1073.4433048405128</v>
      </c>
      <c r="R27" s="145">
        <f>IF(SER_hh_tes_in!R27=0,0,11630*1000*SER_hh_tes_in!R27/SER_hh_num_in!R19)</f>
        <v>1189.6797143560173</v>
      </c>
      <c r="S27" s="145">
        <f>IF(SER_hh_tes_in!S27=0,0,11630*1000*SER_hh_tes_in!S27/SER_hh_num_in!S19)</f>
        <v>1750.3358108820428</v>
      </c>
      <c r="T27" s="145">
        <f>IF(SER_hh_tes_in!T27=0,0,11630*1000*SER_hh_tes_in!T27/SER_hh_num_in!T19)</f>
        <v>183.89350571333253</v>
      </c>
      <c r="U27" s="145">
        <f>IF(SER_hh_tes_in!U27=0,0,11630*1000*SER_hh_tes_in!U27/SER_hh_num_in!U19)</f>
        <v>1170.3289405409889</v>
      </c>
      <c r="V27" s="145">
        <f>IF(SER_hh_tes_in!V27=0,0,11630*1000*SER_hh_tes_in!V27/SER_hh_num_in!V19)</f>
        <v>604.51415559957115</v>
      </c>
      <c r="W27" s="145">
        <f>IF(SER_hh_tes_in!W27=0,0,11630*1000*SER_hh_tes_in!W27/SER_hh_num_in!W19)</f>
        <v>2.001633177461019E-11</v>
      </c>
      <c r="X27" s="145">
        <f>IF(SER_hh_tes_in!X27=0,0,11630*1000*SER_hh_tes_in!X27/SER_hh_num_in!X19)</f>
        <v>573.21653469999228</v>
      </c>
      <c r="Y27" s="145">
        <f>IF(SER_hh_tes_in!Y27=0,0,11630*1000*SER_hh_tes_in!Y27/SER_hh_num_in!Y19)</f>
        <v>147.46263946221896</v>
      </c>
      <c r="DA27" s="158" t="s">
        <v>779</v>
      </c>
    </row>
    <row r="28" spans="1:105" ht="12" customHeight="1" x14ac:dyDescent="0.25">
      <c r="A28" s="78" t="s">
        <v>85</v>
      </c>
      <c r="B28" s="68"/>
      <c r="C28" s="146">
        <f>IF(SER_hh_tes_in!C27=0,0,11630*1000*SER_hh_tes_in!C27/SER_hh_num_in!C27)</f>
        <v>2591.6286256579306</v>
      </c>
      <c r="D28" s="146">
        <f>IF(SER_hh_tes_in!D27=0,0,11630*1000*SER_hh_tes_in!D27/SER_hh_num_in!D27)</f>
        <v>3168.9160825358772</v>
      </c>
      <c r="E28" s="146">
        <f>IF(SER_hh_tes_in!E27=0,0,11630*1000*SER_hh_tes_in!E27/SER_hh_num_in!E27)</f>
        <v>3308.1946587052807</v>
      </c>
      <c r="F28" s="146">
        <f>IF(SER_hh_tes_in!F27=0,0,11630*1000*SER_hh_tes_in!F27/SER_hh_num_in!F27)</f>
        <v>3408.5588054252416</v>
      </c>
      <c r="G28" s="146">
        <f>IF(SER_hh_tes_in!G27=0,0,11630*1000*SER_hh_tes_in!G27/SER_hh_num_in!G27)</f>
        <v>3401.2499234362913</v>
      </c>
      <c r="H28" s="146">
        <f>IF(SER_hh_tes_in!H27=0,0,11630*1000*SER_hh_tes_in!H27/SER_hh_num_in!H27)</f>
        <v>3465.1180370683783</v>
      </c>
      <c r="I28" s="146">
        <f>IF(SER_hh_tes_in!I27=0,0,11630*1000*SER_hh_tes_in!I27/SER_hh_num_in!I27)</f>
        <v>3408.6565129500227</v>
      </c>
      <c r="J28" s="146">
        <f>IF(SER_hh_tes_in!J27=0,0,11630*1000*SER_hh_tes_in!J27/SER_hh_num_in!J27)</f>
        <v>3465.4055690255927</v>
      </c>
      <c r="K28" s="146">
        <f>IF(SER_hh_tes_in!K27=0,0,11630*1000*SER_hh_tes_in!K27/SER_hh_num_in!K27)</f>
        <v>3482.9793288651836</v>
      </c>
      <c r="L28" s="146">
        <f>IF(SER_hh_tes_in!L27=0,0,11630*1000*SER_hh_tes_in!L27/SER_hh_num_in!L27)</f>
        <v>3554.583126823698</v>
      </c>
      <c r="M28" s="146">
        <f>IF(SER_hh_tes_in!M27=0,0,11630*1000*SER_hh_tes_in!M27/SER_hh_num_in!M27)</f>
        <v>3462.0674789278823</v>
      </c>
      <c r="N28" s="146">
        <f>IF(SER_hh_tes_in!N27=0,0,11630*1000*SER_hh_tes_in!N27/SER_hh_num_in!N27)</f>
        <v>3502.7928383130306</v>
      </c>
      <c r="O28" s="146">
        <f>IF(SER_hh_tes_in!O27=0,0,11630*1000*SER_hh_tes_in!O27/SER_hh_num_in!O27)</f>
        <v>3717.1333707765843</v>
      </c>
      <c r="P28" s="146">
        <f>IF(SER_hh_tes_in!P27=0,0,11630*1000*SER_hh_tes_in!P27/SER_hh_num_in!P27)</f>
        <v>2561.3526187737411</v>
      </c>
      <c r="Q28" s="146">
        <f>IF(SER_hh_tes_in!Q27=0,0,11630*1000*SER_hh_tes_in!Q27/SER_hh_num_in!Q27)</f>
        <v>3846.2920014406327</v>
      </c>
      <c r="R28" s="146">
        <f>IF(SER_hh_tes_in!R27=0,0,11630*1000*SER_hh_tes_in!R27/SER_hh_num_in!R27)</f>
        <v>3686.6798681203986</v>
      </c>
      <c r="S28" s="146">
        <f>IF(SER_hh_tes_in!S27=0,0,11630*1000*SER_hh_tes_in!S27/SER_hh_num_in!S27)</f>
        <v>3371.2254134847135</v>
      </c>
      <c r="T28" s="146">
        <f>IF(SER_hh_tes_in!T27=0,0,11630*1000*SER_hh_tes_in!T27/SER_hh_num_in!T27)</f>
        <v>3606.3740568737044</v>
      </c>
      <c r="U28" s="146">
        <f>IF(SER_hh_tes_in!U27=0,0,11630*1000*SER_hh_tes_in!U27/SER_hh_num_in!U27)</f>
        <v>3390.9946332813561</v>
      </c>
      <c r="V28" s="146">
        <f>IF(SER_hh_tes_in!V27=0,0,11630*1000*SER_hh_tes_in!V27/SER_hh_num_in!V27)</f>
        <v>2804.9017502320198</v>
      </c>
      <c r="W28" s="146">
        <f>IF(SER_hh_tes_in!W27=0,0,11630*1000*SER_hh_tes_in!W27/SER_hh_num_in!W27)</f>
        <v>3578.12195675155</v>
      </c>
      <c r="X28" s="146">
        <f>IF(SER_hh_tes_in!X27=0,0,11630*1000*SER_hh_tes_in!X27/SER_hh_num_in!X27)</f>
        <v>3206.8064549159303</v>
      </c>
      <c r="Y28" s="146">
        <f>IF(SER_hh_tes_in!Y27=0,0,11630*1000*SER_hh_tes_in!Y27/SER_hh_num_in!Y27)</f>
        <v>3552.2259008740398</v>
      </c>
      <c r="DA28" s="159"/>
    </row>
    <row r="29" spans="1:105" ht="12.95" customHeight="1" x14ac:dyDescent="0.25">
      <c r="A29" s="129" t="s">
        <v>34</v>
      </c>
      <c r="B29" s="130"/>
      <c r="C29" s="130">
        <f>IF(SER_hh_tes_in!C29=0,0,11630*1000*SER_hh_tes_in!C29/SER_hh_num_in!C29)</f>
        <v>4160.8226760073048</v>
      </c>
      <c r="D29" s="130">
        <f>IF(SER_hh_tes_in!D29=0,0,11630*1000*SER_hh_tes_in!D29/SER_hh_num_in!D29)</f>
        <v>4009.0345538243619</v>
      </c>
      <c r="E29" s="130">
        <f>IF(SER_hh_tes_in!E29=0,0,11630*1000*SER_hh_tes_in!E29/SER_hh_num_in!E29)</f>
        <v>3835.754849273475</v>
      </c>
      <c r="F29" s="130">
        <f>IF(SER_hh_tes_in!F29=0,0,11630*1000*SER_hh_tes_in!F29/SER_hh_num_in!F29)</f>
        <v>4145.5794274632253</v>
      </c>
      <c r="G29" s="130">
        <f>IF(SER_hh_tes_in!G29=0,0,11630*1000*SER_hh_tes_in!G29/SER_hh_num_in!G29)</f>
        <v>4132.4552353430408</v>
      </c>
      <c r="H29" s="130">
        <f>IF(SER_hh_tes_in!H29=0,0,11630*1000*SER_hh_tes_in!H29/SER_hh_num_in!H29)</f>
        <v>4410.721675327306</v>
      </c>
      <c r="I29" s="130">
        <f>IF(SER_hh_tes_in!I29=0,0,11630*1000*SER_hh_tes_in!I29/SER_hh_num_in!I29)</f>
        <v>4447.6201192957842</v>
      </c>
      <c r="J29" s="130">
        <f>IF(SER_hh_tes_in!J29=0,0,11630*1000*SER_hh_tes_in!J29/SER_hh_num_in!J29)</f>
        <v>4553.0149307142638</v>
      </c>
      <c r="K29" s="130">
        <f>IF(SER_hh_tes_in!K29=0,0,11630*1000*SER_hh_tes_in!K29/SER_hh_num_in!K29)</f>
        <v>4569.0881197548251</v>
      </c>
      <c r="L29" s="130">
        <f>IF(SER_hh_tes_in!L29=0,0,11630*1000*SER_hh_tes_in!L29/SER_hh_num_in!L29)</f>
        <v>4674.9843061741567</v>
      </c>
      <c r="M29" s="130">
        <f>IF(SER_hh_tes_in!M29=0,0,11630*1000*SER_hh_tes_in!M29/SER_hh_num_in!M29)</f>
        <v>4677.7503031607885</v>
      </c>
      <c r="N29" s="130">
        <f>IF(SER_hh_tes_in!N29=0,0,11630*1000*SER_hh_tes_in!N29/SER_hh_num_in!N29)</f>
        <v>4336.9936668196715</v>
      </c>
      <c r="O29" s="130">
        <f>IF(SER_hh_tes_in!O29=0,0,11630*1000*SER_hh_tes_in!O29/SER_hh_num_in!O29)</f>
        <v>3947.8364792377165</v>
      </c>
      <c r="P29" s="130">
        <f>IF(SER_hh_tes_in!P29=0,0,11630*1000*SER_hh_tes_in!P29/SER_hh_num_in!P29)</f>
        <v>5057.7467119792209</v>
      </c>
      <c r="Q29" s="130">
        <f>IF(SER_hh_tes_in!Q29=0,0,11630*1000*SER_hh_tes_in!Q29/SER_hh_num_in!Q29)</f>
        <v>4793.2456952169496</v>
      </c>
      <c r="R29" s="130">
        <f>IF(SER_hh_tes_in!R29=0,0,11630*1000*SER_hh_tes_in!R29/SER_hh_num_in!R29)</f>
        <v>4648.7784118671898</v>
      </c>
      <c r="S29" s="130">
        <f>IF(SER_hh_tes_in!S29=0,0,11630*1000*SER_hh_tes_in!S29/SER_hh_num_in!S29)</f>
        <v>4493.3525305782905</v>
      </c>
      <c r="T29" s="130">
        <f>IF(SER_hh_tes_in!T29=0,0,11630*1000*SER_hh_tes_in!T29/SER_hh_num_in!T29)</f>
        <v>5292.1281853227838</v>
      </c>
      <c r="U29" s="130">
        <f>IF(SER_hh_tes_in!U29=0,0,11630*1000*SER_hh_tes_in!U29/SER_hh_num_in!U29)</f>
        <v>5270.3337843565569</v>
      </c>
      <c r="V29" s="130">
        <f>IF(SER_hh_tes_in!V29=0,0,11630*1000*SER_hh_tes_in!V29/SER_hh_num_in!V29)</f>
        <v>3861.9828492894503</v>
      </c>
      <c r="W29" s="130">
        <f>IF(SER_hh_tes_in!W29=0,0,11630*1000*SER_hh_tes_in!W29/SER_hh_num_in!W29)</f>
        <v>4803.1456177053178</v>
      </c>
      <c r="X29" s="130">
        <f>IF(SER_hh_tes_in!X29=0,0,11630*1000*SER_hh_tes_in!X29/SER_hh_num_in!X29)</f>
        <v>4257.9196767650692</v>
      </c>
      <c r="Y29" s="130">
        <f>IF(SER_hh_tes_in!Y29=0,0,11630*1000*SER_hh_tes_in!Y29/SER_hh_num_in!Y29)</f>
        <v>5330.6794753066624</v>
      </c>
      <c r="DA29" s="155" t="s">
        <v>780</v>
      </c>
    </row>
    <row r="30" spans="1:105" s="2" customFormat="1" ht="12" customHeight="1" x14ac:dyDescent="0.25">
      <c r="A30" s="131" t="s">
        <v>52</v>
      </c>
      <c r="B30" s="132"/>
      <c r="C30" s="132">
        <f>IF(SER_hh_tes_in!C30=0,0,11630*1000*SER_hh_tes_in!C30/SER_hh_num_in!C30)</f>
        <v>4190.7898684715919</v>
      </c>
      <c r="D30" s="132">
        <f>IF(SER_hh_tes_in!D30=0,0,11630*1000*SER_hh_tes_in!D30/SER_hh_num_in!D30)</f>
        <v>4058.9744772725817</v>
      </c>
      <c r="E30" s="132">
        <f>IF(SER_hh_tes_in!E30=0,0,11630*1000*SER_hh_tes_in!E30/SER_hh_num_in!E30)</f>
        <v>3948.4778466007433</v>
      </c>
      <c r="F30" s="132">
        <f>IF(SER_hh_tes_in!F30=0,0,11630*1000*SER_hh_tes_in!F30/SER_hh_num_in!F30)</f>
        <v>4284.158386107204</v>
      </c>
      <c r="G30" s="132">
        <f>IF(SER_hh_tes_in!G30=0,0,11630*1000*SER_hh_tes_in!G30/SER_hh_num_in!G30)</f>
        <v>4183.9272771626775</v>
      </c>
      <c r="H30" s="132">
        <f>IF(SER_hh_tes_in!H30=0,0,11630*1000*SER_hh_tes_in!H30/SER_hh_num_in!H30)</f>
        <v>4082.3352484588036</v>
      </c>
      <c r="I30" s="132">
        <f>IF(SER_hh_tes_in!I30=0,0,11630*1000*SER_hh_tes_in!I30/SER_hh_num_in!I30)</f>
        <v>4413.3625866326411</v>
      </c>
      <c r="J30" s="132">
        <f>IF(SER_hh_tes_in!J30=0,0,11630*1000*SER_hh_tes_in!J30/SER_hh_num_in!J30)</f>
        <v>4769.7980565486951</v>
      </c>
      <c r="K30" s="132">
        <f>IF(SER_hh_tes_in!K30=0,0,11630*1000*SER_hh_tes_in!K30/SER_hh_num_in!K30)</f>
        <v>4496.5617918941198</v>
      </c>
      <c r="L30" s="132">
        <f>IF(SER_hh_tes_in!L30=0,0,11630*1000*SER_hh_tes_in!L30/SER_hh_num_in!L30)</f>
        <v>4704.4928683553626</v>
      </c>
      <c r="M30" s="132">
        <f>IF(SER_hh_tes_in!M30=0,0,11630*1000*SER_hh_tes_in!M30/SER_hh_num_in!M30)</f>
        <v>4654.7408275693169</v>
      </c>
      <c r="N30" s="132">
        <f>IF(SER_hh_tes_in!N30=0,0,11630*1000*SER_hh_tes_in!N30/SER_hh_num_in!N30)</f>
        <v>4734.0597153274748</v>
      </c>
      <c r="O30" s="132">
        <f>IF(SER_hh_tes_in!O30=0,0,11630*1000*SER_hh_tes_in!O30/SER_hh_num_in!O30)</f>
        <v>4741.3507861901753</v>
      </c>
      <c r="P30" s="132">
        <f>IF(SER_hh_tes_in!P30=0,0,11630*1000*SER_hh_tes_in!P30/SER_hh_num_in!P30)</f>
        <v>3274.0275843869176</v>
      </c>
      <c r="Q30" s="132">
        <f>IF(SER_hh_tes_in!Q30=0,0,11630*1000*SER_hh_tes_in!Q30/SER_hh_num_in!Q30)</f>
        <v>4510.8198190613766</v>
      </c>
      <c r="R30" s="132">
        <f>IF(SER_hh_tes_in!R30=0,0,11630*1000*SER_hh_tes_in!R30/SER_hh_num_in!R30)</f>
        <v>5638.6932617043813</v>
      </c>
      <c r="S30" s="132">
        <f>IF(SER_hh_tes_in!S30=0,0,11630*1000*SER_hh_tes_in!S30/SER_hh_num_in!S30)</f>
        <v>4407.7606591728363</v>
      </c>
      <c r="T30" s="132">
        <f>IF(SER_hh_tes_in!T30=0,0,11630*1000*SER_hh_tes_in!T30/SER_hh_num_in!T30)</f>
        <v>5216.6411653670402</v>
      </c>
      <c r="U30" s="132">
        <f>IF(SER_hh_tes_in!U30=0,0,11630*1000*SER_hh_tes_in!U30/SER_hh_num_in!U30)</f>
        <v>0</v>
      </c>
      <c r="V30" s="132">
        <f>IF(SER_hh_tes_in!V30=0,0,11630*1000*SER_hh_tes_in!V30/SER_hh_num_in!V30)</f>
        <v>0</v>
      </c>
      <c r="W30" s="132">
        <f>IF(SER_hh_tes_in!W30=0,0,11630*1000*SER_hh_tes_in!W30/SER_hh_num_in!W30)</f>
        <v>4007.3868191306897</v>
      </c>
      <c r="X30" s="132">
        <f>IF(SER_hh_tes_in!X30=0,0,11630*1000*SER_hh_tes_in!X30/SER_hh_num_in!X30)</f>
        <v>4322.862091799605</v>
      </c>
      <c r="Y30" s="132">
        <f>IF(SER_hh_tes_in!Y30=0,0,11630*1000*SER_hh_tes_in!Y30/SER_hh_num_in!Y30)</f>
        <v>5565.6227922927546</v>
      </c>
      <c r="DA30" s="156" t="s">
        <v>781</v>
      </c>
    </row>
    <row r="31" spans="1:105" ht="12" customHeight="1" x14ac:dyDescent="0.25">
      <c r="A31" s="131" t="s">
        <v>149</v>
      </c>
      <c r="B31" s="132"/>
      <c r="C31" s="132">
        <f>IF(SER_hh_tes_in!C31=0,0,11630*1000*SER_hh_tes_in!C31/SER_hh_num_in!C31)</f>
        <v>4424.7287639332399</v>
      </c>
      <c r="D31" s="132">
        <f>IF(SER_hh_tes_in!D31=0,0,11630*1000*SER_hh_tes_in!D31/SER_hh_num_in!D31)</f>
        <v>3838.9296573827755</v>
      </c>
      <c r="E31" s="132">
        <f>IF(SER_hh_tes_in!E31=0,0,11630*1000*SER_hh_tes_in!E31/SER_hh_num_in!E31)</f>
        <v>3249.6272501442768</v>
      </c>
      <c r="F31" s="132">
        <f>IF(SER_hh_tes_in!F31=0,0,11630*1000*SER_hh_tes_in!F31/SER_hh_num_in!F31)</f>
        <v>4354.6426197758292</v>
      </c>
      <c r="G31" s="132">
        <f>IF(SER_hh_tes_in!G31=0,0,11630*1000*SER_hh_tes_in!G31/SER_hh_num_in!G31)</f>
        <v>4240.0699879417361</v>
      </c>
      <c r="H31" s="132">
        <f>IF(SER_hh_tes_in!H31=0,0,11630*1000*SER_hh_tes_in!H31/SER_hh_num_in!H31)</f>
        <v>4487.849107849288</v>
      </c>
      <c r="I31" s="132">
        <f>IF(SER_hh_tes_in!I31=0,0,11630*1000*SER_hh_tes_in!I31/SER_hh_num_in!I31)</f>
        <v>4470.1190438946232</v>
      </c>
      <c r="J31" s="132">
        <f>IF(SER_hh_tes_in!J31=0,0,11630*1000*SER_hh_tes_in!J31/SER_hh_num_in!J31)</f>
        <v>4561.3149948336968</v>
      </c>
      <c r="K31" s="132">
        <f>IF(SER_hh_tes_in!K31=0,0,11630*1000*SER_hh_tes_in!K31/SER_hh_num_in!K31)</f>
        <v>4521.4332616878</v>
      </c>
      <c r="L31" s="132">
        <f>IF(SER_hh_tes_in!L31=0,0,11630*1000*SER_hh_tes_in!L31/SER_hh_num_in!L31)</f>
        <v>4628.816033009587</v>
      </c>
      <c r="M31" s="132">
        <f>IF(SER_hh_tes_in!M31=0,0,11630*1000*SER_hh_tes_in!M31/SER_hh_num_in!M31)</f>
        <v>4539.9203796580114</v>
      </c>
      <c r="N31" s="132">
        <f>IF(SER_hh_tes_in!N31=0,0,11630*1000*SER_hh_tes_in!N31/SER_hh_num_in!N31)</f>
        <v>4152.3669310436553</v>
      </c>
      <c r="O31" s="132">
        <f>IF(SER_hh_tes_in!O31=0,0,11630*1000*SER_hh_tes_in!O31/SER_hh_num_in!O31)</f>
        <v>3888.5201156985759</v>
      </c>
      <c r="P31" s="132">
        <f>IF(SER_hh_tes_in!P31=0,0,11630*1000*SER_hh_tes_in!P31/SER_hh_num_in!P31)</f>
        <v>5185.117101385551</v>
      </c>
      <c r="Q31" s="132">
        <f>IF(SER_hh_tes_in!Q31=0,0,11630*1000*SER_hh_tes_in!Q31/SER_hh_num_in!Q31)</f>
        <v>4853.5895250306612</v>
      </c>
      <c r="R31" s="132">
        <f>IF(SER_hh_tes_in!R31=0,0,11630*1000*SER_hh_tes_in!R31/SER_hh_num_in!R31)</f>
        <v>4823.2176361085185</v>
      </c>
      <c r="S31" s="132">
        <f>IF(SER_hh_tes_in!S31=0,0,11630*1000*SER_hh_tes_in!S31/SER_hh_num_in!S31)</f>
        <v>4852.9164154125756</v>
      </c>
      <c r="T31" s="132">
        <f>IF(SER_hh_tes_in!T31=0,0,11630*1000*SER_hh_tes_in!T31/SER_hh_num_in!T31)</f>
        <v>4397.2402991455992</v>
      </c>
      <c r="U31" s="132">
        <f>IF(SER_hh_tes_in!U31=0,0,11630*1000*SER_hh_tes_in!U31/SER_hh_num_in!U31)</f>
        <v>4565.2249637519499</v>
      </c>
      <c r="V31" s="132">
        <f>IF(SER_hh_tes_in!V31=0,0,11630*1000*SER_hh_tes_in!V31/SER_hh_num_in!V31)</f>
        <v>4830.9408043931489</v>
      </c>
      <c r="W31" s="132">
        <f>IF(SER_hh_tes_in!W31=0,0,11630*1000*SER_hh_tes_in!W31/SER_hh_num_in!W31)</f>
        <v>4888.096466930574</v>
      </c>
      <c r="X31" s="132">
        <f>IF(SER_hh_tes_in!X31=0,0,11630*1000*SER_hh_tes_in!X31/SER_hh_num_in!X31)</f>
        <v>4525.228288034361</v>
      </c>
      <c r="Y31" s="132">
        <f>IF(SER_hh_tes_in!Y31=0,0,11630*1000*SER_hh_tes_in!Y31/SER_hh_num_in!Y31)</f>
        <v>4693.2133423814312</v>
      </c>
      <c r="DA31" s="156" t="s">
        <v>782</v>
      </c>
    </row>
    <row r="32" spans="1:105" ht="12" customHeight="1" x14ac:dyDescent="0.25">
      <c r="A32" s="131" t="s">
        <v>128</v>
      </c>
      <c r="B32" s="132"/>
      <c r="C32" s="132">
        <f>IF(SER_hh_tes_in!C32=0,0,11630*1000*SER_hh_tes_in!C32/SER_hh_num_in!C32)</f>
        <v>0</v>
      </c>
      <c r="D32" s="132">
        <f>IF(SER_hh_tes_in!D32=0,0,11630*1000*SER_hh_tes_in!D32/SER_hh_num_in!D32)</f>
        <v>0</v>
      </c>
      <c r="E32" s="132">
        <f>IF(SER_hh_tes_in!E32=0,0,11630*1000*SER_hh_tes_in!E32/SER_hh_num_in!E32)</f>
        <v>0</v>
      </c>
      <c r="F32" s="132">
        <f>IF(SER_hh_tes_in!F32=0,0,11630*1000*SER_hh_tes_in!F32/SER_hh_num_in!F32)</f>
        <v>0</v>
      </c>
      <c r="G32" s="132">
        <f>IF(SER_hh_tes_in!G32=0,0,11630*1000*SER_hh_tes_in!G32/SER_hh_num_in!G32)</f>
        <v>0</v>
      </c>
      <c r="H32" s="132">
        <f>IF(SER_hh_tes_in!H32=0,0,11630*1000*SER_hh_tes_in!H32/SER_hh_num_in!H32)</f>
        <v>0</v>
      </c>
      <c r="I32" s="132">
        <f>IF(SER_hh_tes_in!I32=0,0,11630*1000*SER_hh_tes_in!I32/SER_hh_num_in!I32)</f>
        <v>0</v>
      </c>
      <c r="J32" s="132">
        <f>IF(SER_hh_tes_in!J32=0,0,11630*1000*SER_hh_tes_in!J32/SER_hh_num_in!J32)</f>
        <v>0</v>
      </c>
      <c r="K32" s="132">
        <f>IF(SER_hh_tes_in!K32=0,0,11630*1000*SER_hh_tes_in!K32/SER_hh_num_in!K32)</f>
        <v>0</v>
      </c>
      <c r="L32" s="132">
        <f>IF(SER_hh_tes_in!L32=0,0,11630*1000*SER_hh_tes_in!L32/SER_hh_num_in!L32)</f>
        <v>0</v>
      </c>
      <c r="M32" s="132">
        <f>IF(SER_hh_tes_in!M32=0,0,11630*1000*SER_hh_tes_in!M32/SER_hh_num_in!M32)</f>
        <v>0</v>
      </c>
      <c r="N32" s="132">
        <f>IF(SER_hh_tes_in!N32=0,0,11630*1000*SER_hh_tes_in!N32/SER_hh_num_in!N32)</f>
        <v>0</v>
      </c>
      <c r="O32" s="132">
        <f>IF(SER_hh_tes_in!O32=0,0,11630*1000*SER_hh_tes_in!O32/SER_hh_num_in!O32)</f>
        <v>0</v>
      </c>
      <c r="P32" s="132">
        <f>IF(SER_hh_tes_in!P32=0,0,11630*1000*SER_hh_tes_in!P32/SER_hh_num_in!P32)</f>
        <v>0</v>
      </c>
      <c r="Q32" s="132">
        <f>IF(SER_hh_tes_in!Q32=0,0,11630*1000*SER_hh_tes_in!Q32/SER_hh_num_in!Q32)</f>
        <v>0</v>
      </c>
      <c r="R32" s="132">
        <f>IF(SER_hh_tes_in!R32=0,0,11630*1000*SER_hh_tes_in!R32/SER_hh_num_in!R32)</f>
        <v>0</v>
      </c>
      <c r="S32" s="132">
        <f>IF(SER_hh_tes_in!S32=0,0,11630*1000*SER_hh_tes_in!S32/SER_hh_num_in!S32)</f>
        <v>0</v>
      </c>
      <c r="T32" s="132">
        <f>IF(SER_hh_tes_in!T32=0,0,11630*1000*SER_hh_tes_in!T32/SER_hh_num_in!T32)</f>
        <v>0</v>
      </c>
      <c r="U32" s="132">
        <f>IF(SER_hh_tes_in!U32=0,0,11630*1000*SER_hh_tes_in!U32/SER_hh_num_in!U32)</f>
        <v>0</v>
      </c>
      <c r="V32" s="132">
        <f>IF(SER_hh_tes_in!V32=0,0,11630*1000*SER_hh_tes_in!V32/SER_hh_num_in!V32)</f>
        <v>0</v>
      </c>
      <c r="W32" s="132">
        <f>IF(SER_hh_tes_in!W32=0,0,11630*1000*SER_hh_tes_in!W32/SER_hh_num_in!W32)</f>
        <v>0</v>
      </c>
      <c r="X32" s="132">
        <f>IF(SER_hh_tes_in!X32=0,0,11630*1000*SER_hh_tes_in!X32/SER_hh_num_in!X32)</f>
        <v>0</v>
      </c>
      <c r="Y32" s="132">
        <f>IF(SER_hh_tes_in!Y32=0,0,11630*1000*SER_hh_tes_in!Y32/SER_hh_num_in!Y32)</f>
        <v>0</v>
      </c>
      <c r="DA32" s="156" t="s">
        <v>783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4082.6089365252906</v>
      </c>
      <c r="D33" s="68">
        <f>IF(SER_hh_tes_in!D33=0,0,11630*1000*SER_hh_tes_in!D33/SER_hh_num_in!D33)</f>
        <v>4031.3907706799841</v>
      </c>
      <c r="E33" s="68">
        <f>IF(SER_hh_tes_in!E33=0,0,11630*1000*SER_hh_tes_in!E33/SER_hh_num_in!E33)</f>
        <v>4000.9050052399539</v>
      </c>
      <c r="F33" s="68">
        <f>IF(SER_hh_tes_in!F33=0,0,11630*1000*SER_hh_tes_in!F33/SER_hh_num_in!F33)</f>
        <v>3999.0657756661853</v>
      </c>
      <c r="G33" s="68">
        <f>IF(SER_hh_tes_in!G33=0,0,11630*1000*SER_hh_tes_in!G33/SER_hh_num_in!G33)</f>
        <v>4079.8612152979222</v>
      </c>
      <c r="H33" s="68">
        <f>IF(SER_hh_tes_in!H33=0,0,11630*1000*SER_hh_tes_in!H33/SER_hh_num_in!H33)</f>
        <v>4398.9471960348901</v>
      </c>
      <c r="I33" s="68">
        <f>IF(SER_hh_tes_in!I33=0,0,11630*1000*SER_hh_tes_in!I33/SER_hh_num_in!I33)</f>
        <v>4445.3699142035321</v>
      </c>
      <c r="J33" s="68">
        <f>IF(SER_hh_tes_in!J33=0,0,11630*1000*SER_hh_tes_in!J33/SER_hh_num_in!J33)</f>
        <v>4522.4182060310386</v>
      </c>
      <c r="K33" s="68">
        <f>IF(SER_hh_tes_in!K33=0,0,11630*1000*SER_hh_tes_in!K33/SER_hh_num_in!K33)</f>
        <v>4597.4159493066372</v>
      </c>
      <c r="L33" s="68">
        <f>IF(SER_hh_tes_in!L33=0,0,11630*1000*SER_hh_tes_in!L33/SER_hh_num_in!L33)</f>
        <v>4688.9379056072639</v>
      </c>
      <c r="M33" s="68">
        <f>IF(SER_hh_tes_in!M33=0,0,11630*1000*SER_hh_tes_in!M33/SER_hh_num_in!M33)</f>
        <v>4802.0477855261361</v>
      </c>
      <c r="N33" s="68">
        <f>IF(SER_hh_tes_in!N33=0,0,11630*1000*SER_hh_tes_in!N33/SER_hh_num_in!N33)</f>
        <v>4834.6081410523402</v>
      </c>
      <c r="O33" s="68">
        <f>IF(SER_hh_tes_in!O33=0,0,11630*1000*SER_hh_tes_in!O33/SER_hh_num_in!O33)</f>
        <v>0</v>
      </c>
      <c r="P33" s="68">
        <f>IF(SER_hh_tes_in!P33=0,0,11630*1000*SER_hh_tes_in!P33/SER_hh_num_in!P33)</f>
        <v>0</v>
      </c>
      <c r="Q33" s="68">
        <f>IF(SER_hh_tes_in!Q33=0,0,11630*1000*SER_hh_tes_in!Q33/SER_hh_num_in!Q33)</f>
        <v>0</v>
      </c>
      <c r="R33" s="68">
        <f>IF(SER_hh_tes_in!R33=0,0,11630*1000*SER_hh_tes_in!R33/SER_hh_num_in!R33)</f>
        <v>3470.2673840814982</v>
      </c>
      <c r="S33" s="68">
        <f>IF(SER_hh_tes_in!S33=0,0,11630*1000*SER_hh_tes_in!S33/SER_hh_num_in!S33)</f>
        <v>4287.5351707125947</v>
      </c>
      <c r="T33" s="68">
        <f>IF(SER_hh_tes_in!T33=0,0,11630*1000*SER_hh_tes_in!T33/SER_hh_num_in!T33)</f>
        <v>5397.8205121283663</v>
      </c>
      <c r="U33" s="68">
        <f>IF(SER_hh_tes_in!U33=0,0,11630*1000*SER_hh_tes_in!U33/SER_hh_num_in!U33)</f>
        <v>5606.3957516598184</v>
      </c>
      <c r="V33" s="68">
        <f>IF(SER_hh_tes_in!V33=0,0,11630*1000*SER_hh_tes_in!V33/SER_hh_num_in!V33)</f>
        <v>2987.8466270692738</v>
      </c>
      <c r="W33" s="68">
        <f>IF(SER_hh_tes_in!W33=0,0,11630*1000*SER_hh_tes_in!W33/SER_hh_num_in!W33)</f>
        <v>4857.6530793106049</v>
      </c>
      <c r="X33" s="68">
        <f>IF(SER_hh_tes_in!X33=0,0,11630*1000*SER_hh_tes_in!X33/SER_hh_num_in!X33)</f>
        <v>4171.9605528714637</v>
      </c>
      <c r="Y33" s="68">
        <f>IF(SER_hh_tes_in!Y33=0,0,11630*1000*SER_hh_tes_in!Y33/SER_hh_num_in!Y33)</f>
        <v>5397.5302907152145</v>
      </c>
      <c r="DA33" s="111" t="s">
        <v>784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/>
      <c r="C3" s="125">
        <f>IF(SER_hh_emi_in!C3=0,0,1000000*SER_hh_emi_in!C3/SER_hh_num_in!C3)</f>
        <v>4093.601889444677</v>
      </c>
      <c r="D3" s="125">
        <f>IF(SER_hh_emi_in!D3=0,0,1000000*SER_hh_emi_in!D3/SER_hh_num_in!D3)</f>
        <v>3406.5075187967313</v>
      </c>
      <c r="E3" s="125">
        <f>IF(SER_hh_emi_in!E3=0,0,1000000*SER_hh_emi_in!E3/SER_hh_num_in!E3)</f>
        <v>3445.383873002384</v>
      </c>
      <c r="F3" s="125">
        <f>IF(SER_hh_emi_in!F3=0,0,1000000*SER_hh_emi_in!F3/SER_hh_num_in!F3)</f>
        <v>2628.7780255086773</v>
      </c>
      <c r="G3" s="125">
        <f>IF(SER_hh_emi_in!G3=0,0,1000000*SER_hh_emi_in!G3/SER_hh_num_in!G3)</f>
        <v>2439.9703148535782</v>
      </c>
      <c r="H3" s="125">
        <f>IF(SER_hh_emi_in!H3=0,0,1000000*SER_hh_emi_in!H3/SER_hh_num_in!H3)</f>
        <v>5000.295222966186</v>
      </c>
      <c r="I3" s="125">
        <f>IF(SER_hh_emi_in!I3=0,0,1000000*SER_hh_emi_in!I3/SER_hh_num_in!I3)</f>
        <v>2127.2151140421156</v>
      </c>
      <c r="J3" s="125">
        <f>IF(SER_hh_emi_in!J3=0,0,1000000*SER_hh_emi_in!J3/SER_hh_num_in!J3)</f>
        <v>1839.6127396537993</v>
      </c>
      <c r="K3" s="125">
        <f>IF(SER_hh_emi_in!K3=0,0,1000000*SER_hh_emi_in!K3/SER_hh_num_in!K3)</f>
        <v>2617.4362023392409</v>
      </c>
      <c r="L3" s="125">
        <f>IF(SER_hh_emi_in!L3=0,0,1000000*SER_hh_emi_in!L3/SER_hh_num_in!L3)</f>
        <v>4127.8871017198326</v>
      </c>
      <c r="M3" s="125">
        <f>IF(SER_hh_emi_in!M3=0,0,1000000*SER_hh_emi_in!M3/SER_hh_num_in!M3)</f>
        <v>4305.0546398679026</v>
      </c>
      <c r="N3" s="125">
        <f>IF(SER_hh_emi_in!N3=0,0,1000000*SER_hh_emi_in!N3/SER_hh_num_in!N3)</f>
        <v>4073.5476813939904</v>
      </c>
      <c r="O3" s="125">
        <f>IF(SER_hh_emi_in!O3=0,0,1000000*SER_hh_emi_in!O3/SER_hh_num_in!O3)</f>
        <v>4139.7528908803888</v>
      </c>
      <c r="P3" s="125">
        <f>IF(SER_hh_emi_in!P3=0,0,1000000*SER_hh_emi_in!P3/SER_hh_num_in!P3)</f>
        <v>3039.8235362951323</v>
      </c>
      <c r="Q3" s="125">
        <f>IF(SER_hh_emi_in!Q3=0,0,1000000*SER_hh_emi_in!Q3/SER_hh_num_in!Q3)</f>
        <v>2871.8166633635428</v>
      </c>
      <c r="R3" s="125">
        <f>IF(SER_hh_emi_in!R3=0,0,1000000*SER_hh_emi_in!R3/SER_hh_num_in!R3)</f>
        <v>2579.084260557142</v>
      </c>
      <c r="S3" s="125">
        <f>IF(SER_hh_emi_in!S3=0,0,1000000*SER_hh_emi_in!S3/SER_hh_num_in!S3)</f>
        <v>2004.3580113123689</v>
      </c>
      <c r="T3" s="125">
        <f>IF(SER_hh_emi_in!T3=0,0,1000000*SER_hh_emi_in!T3/SER_hh_num_in!T3)</f>
        <v>1597.9283841579597</v>
      </c>
      <c r="U3" s="125">
        <f>IF(SER_hh_emi_in!U3=0,0,1000000*SER_hh_emi_in!U3/SER_hh_num_in!U3)</f>
        <v>1852.3422928630832</v>
      </c>
      <c r="V3" s="125">
        <f>IF(SER_hh_emi_in!V3=0,0,1000000*SER_hh_emi_in!V3/SER_hh_num_in!V3)</f>
        <v>2083.3339881665565</v>
      </c>
      <c r="W3" s="125">
        <f>IF(SER_hh_emi_in!W3=0,0,1000000*SER_hh_emi_in!W3/SER_hh_num_in!W3)</f>
        <v>2331.2610459755374</v>
      </c>
      <c r="X3" s="125">
        <f>IF(SER_hh_emi_in!X3=0,0,1000000*SER_hh_emi_in!X3/SER_hh_num_in!X3)</f>
        <v>2021.7744419252872</v>
      </c>
      <c r="Y3" s="125">
        <f>IF(SER_hh_emi_in!Y3=0,0,1000000*SER_hh_emi_in!Y3/SER_hh_num_in!Y3)</f>
        <v>1963.0783415561609</v>
      </c>
      <c r="DA3" s="154" t="s">
        <v>786</v>
      </c>
    </row>
    <row r="4" spans="1:105" ht="12.95" customHeight="1" x14ac:dyDescent="0.25">
      <c r="A4" s="129" t="s">
        <v>32</v>
      </c>
      <c r="B4" s="130"/>
      <c r="C4" s="130">
        <f>IF(SER_hh_emi_in!C4=0,0,1000000*SER_hh_emi_in!C4/SER_hh_num_in!C4)</f>
        <v>3114.9582983753617</v>
      </c>
      <c r="D4" s="130">
        <f>IF(SER_hh_emi_in!D4=0,0,1000000*SER_hh_emi_in!D4/SER_hh_num_in!D4)</f>
        <v>2571.9792198318755</v>
      </c>
      <c r="E4" s="130">
        <f>IF(SER_hh_emi_in!E4=0,0,1000000*SER_hh_emi_in!E4/SER_hh_num_in!E4)</f>
        <v>2584.7518098383662</v>
      </c>
      <c r="F4" s="130">
        <f>IF(SER_hh_emi_in!F4=0,0,1000000*SER_hh_emi_in!F4/SER_hh_num_in!F4)</f>
        <v>1443.6486612625795</v>
      </c>
      <c r="G4" s="130">
        <f>IF(SER_hh_emi_in!G4=0,0,1000000*SER_hh_emi_in!G4/SER_hh_num_in!G4)</f>
        <v>1219.1323942821321</v>
      </c>
      <c r="H4" s="130">
        <f>IF(SER_hh_emi_in!H4=0,0,1000000*SER_hh_emi_in!H4/SER_hh_num_in!H4)</f>
        <v>3381.9277474611808</v>
      </c>
      <c r="I4" s="130">
        <f>IF(SER_hh_emi_in!I4=0,0,1000000*SER_hh_emi_in!I4/SER_hh_num_in!I4)</f>
        <v>936.71637897809762</v>
      </c>
      <c r="J4" s="130">
        <f>IF(SER_hh_emi_in!J4=0,0,1000000*SER_hh_emi_in!J4/SER_hh_num_in!J4)</f>
        <v>766.16086500350855</v>
      </c>
      <c r="K4" s="130">
        <f>IF(SER_hh_emi_in!K4=0,0,1000000*SER_hh_emi_in!K4/SER_hh_num_in!K4)</f>
        <v>1470.7950213293989</v>
      </c>
      <c r="L4" s="130">
        <f>IF(SER_hh_emi_in!L4=0,0,1000000*SER_hh_emi_in!L4/SER_hh_num_in!L4)</f>
        <v>2871.2795924280636</v>
      </c>
      <c r="M4" s="130">
        <f>IF(SER_hh_emi_in!M4=0,0,1000000*SER_hh_emi_in!M4/SER_hh_num_in!M4)</f>
        <v>2614.7427036925878</v>
      </c>
      <c r="N4" s="130">
        <f>IF(SER_hh_emi_in!N4=0,0,1000000*SER_hh_emi_in!N4/SER_hh_num_in!N4)</f>
        <v>1855.05059954533</v>
      </c>
      <c r="O4" s="130">
        <f>IF(SER_hh_emi_in!O4=0,0,1000000*SER_hh_emi_in!O4/SER_hh_num_in!O4)</f>
        <v>1507.0327933266176</v>
      </c>
      <c r="P4" s="130">
        <f>IF(SER_hh_emi_in!P4=0,0,1000000*SER_hh_emi_in!P4/SER_hh_num_in!P4)</f>
        <v>85.986322375686569</v>
      </c>
      <c r="Q4" s="130">
        <f>IF(SER_hh_emi_in!Q4=0,0,1000000*SER_hh_emi_in!Q4/SER_hh_num_in!Q4)</f>
        <v>75.928129346331758</v>
      </c>
      <c r="R4" s="130">
        <f>IF(SER_hh_emi_in!R4=0,0,1000000*SER_hh_emi_in!R4/SER_hh_num_in!R4)</f>
        <v>386.97608812727321</v>
      </c>
      <c r="S4" s="130">
        <f>IF(SER_hh_emi_in!S4=0,0,1000000*SER_hh_emi_in!S4/SER_hh_num_in!S4)</f>
        <v>682.93923283076072</v>
      </c>
      <c r="T4" s="130">
        <f>IF(SER_hh_emi_in!T4=0,0,1000000*SER_hh_emi_in!T4/SER_hh_num_in!T4)</f>
        <v>858.09536385078741</v>
      </c>
      <c r="U4" s="130">
        <f>IF(SER_hh_emi_in!U4=0,0,1000000*SER_hh_emi_in!U4/SER_hh_num_in!U4)</f>
        <v>673.27421772602713</v>
      </c>
      <c r="V4" s="130">
        <f>IF(SER_hh_emi_in!V4=0,0,1000000*SER_hh_emi_in!V4/SER_hh_num_in!V4)</f>
        <v>541.05621770997664</v>
      </c>
      <c r="W4" s="130">
        <f>IF(SER_hh_emi_in!W4=0,0,1000000*SER_hh_emi_in!W4/SER_hh_num_in!W4)</f>
        <v>909.03620963538515</v>
      </c>
      <c r="X4" s="130">
        <f>IF(SER_hh_emi_in!X4=0,0,1000000*SER_hh_emi_in!X4/SER_hh_num_in!X4)</f>
        <v>683.52965628549612</v>
      </c>
      <c r="Y4" s="130">
        <f>IF(SER_hh_emi_in!Y4=0,0,1000000*SER_hh_emi_in!Y4/SER_hh_num_in!Y4)</f>
        <v>554.52206113807131</v>
      </c>
      <c r="DA4" s="155" t="s">
        <v>787</v>
      </c>
    </row>
    <row r="5" spans="1:105" ht="12" customHeight="1" x14ac:dyDescent="0.25">
      <c r="A5" s="131" t="s">
        <v>29</v>
      </c>
      <c r="B5" s="132"/>
      <c r="C5" s="132">
        <f>IF(SER_hh_emi_in!C5=0,0,1000000*SER_hh_emi_in!C5/SER_hh_num_in!C5)</f>
        <v>0</v>
      </c>
      <c r="D5" s="132">
        <f>IF(SER_hh_emi_in!D5=0,0,1000000*SER_hh_emi_in!D5/SER_hh_num_in!D5)</f>
        <v>0</v>
      </c>
      <c r="E5" s="132">
        <f>IF(SER_hh_emi_in!E5=0,0,1000000*SER_hh_emi_in!E5/SER_hh_num_in!E5)</f>
        <v>0</v>
      </c>
      <c r="F5" s="132">
        <f>IF(SER_hh_emi_in!F5=0,0,1000000*SER_hh_emi_in!F5/SER_hh_num_in!F5)</f>
        <v>0</v>
      </c>
      <c r="G5" s="132">
        <f>IF(SER_hh_emi_in!G5=0,0,1000000*SER_hh_emi_in!G5/SER_hh_num_in!G5)</f>
        <v>0</v>
      </c>
      <c r="H5" s="132">
        <f>IF(SER_hh_emi_in!H5=0,0,1000000*SER_hh_emi_in!H5/SER_hh_num_in!H5)</f>
        <v>0</v>
      </c>
      <c r="I5" s="132">
        <f>IF(SER_hh_emi_in!I5=0,0,1000000*SER_hh_emi_in!I5/SER_hh_num_in!I5)</f>
        <v>0</v>
      </c>
      <c r="J5" s="132">
        <f>IF(SER_hh_emi_in!J5=0,0,1000000*SER_hh_emi_in!J5/SER_hh_num_in!J5)</f>
        <v>0</v>
      </c>
      <c r="K5" s="132">
        <f>IF(SER_hh_emi_in!K5=0,0,1000000*SER_hh_emi_in!K5/SER_hh_num_in!K5)</f>
        <v>0</v>
      </c>
      <c r="L5" s="132">
        <f>IF(SER_hh_emi_in!L5=0,0,1000000*SER_hh_emi_in!L5/SER_hh_num_in!L5)</f>
        <v>0</v>
      </c>
      <c r="M5" s="132">
        <f>IF(SER_hh_emi_in!M5=0,0,1000000*SER_hh_emi_in!M5/SER_hh_num_in!M5)</f>
        <v>0</v>
      </c>
      <c r="N5" s="132">
        <f>IF(SER_hh_emi_in!N5=0,0,1000000*SER_hh_emi_in!N5/SER_hh_num_in!N5)</f>
        <v>0</v>
      </c>
      <c r="O5" s="132">
        <f>IF(SER_hh_emi_in!O5=0,0,1000000*SER_hh_emi_in!O5/SER_hh_num_in!O5)</f>
        <v>0</v>
      </c>
      <c r="P5" s="132">
        <f>IF(SER_hh_emi_in!P5=0,0,1000000*SER_hh_emi_in!P5/SER_hh_num_in!P5)</f>
        <v>0</v>
      </c>
      <c r="Q5" s="132">
        <f>IF(SER_hh_emi_in!Q5=0,0,1000000*SER_hh_emi_in!Q5/SER_hh_num_in!Q5)</f>
        <v>0</v>
      </c>
      <c r="R5" s="132">
        <f>IF(SER_hh_emi_in!R5=0,0,1000000*SER_hh_emi_in!R5/SER_hh_num_in!R5)</f>
        <v>0</v>
      </c>
      <c r="S5" s="132">
        <f>IF(SER_hh_emi_in!S5=0,0,1000000*SER_hh_emi_in!S5/SER_hh_num_in!S5)</f>
        <v>0</v>
      </c>
      <c r="T5" s="132">
        <f>IF(SER_hh_emi_in!T5=0,0,1000000*SER_hh_emi_in!T5/SER_hh_num_in!T5)</f>
        <v>0</v>
      </c>
      <c r="U5" s="132">
        <f>IF(SER_hh_emi_in!U5=0,0,1000000*SER_hh_emi_in!U5/SER_hh_num_in!U5)</f>
        <v>0</v>
      </c>
      <c r="V5" s="132">
        <f>IF(SER_hh_emi_in!V5=0,0,1000000*SER_hh_emi_in!V5/SER_hh_num_in!V5)</f>
        <v>0</v>
      </c>
      <c r="W5" s="132">
        <f>IF(SER_hh_emi_in!W5=0,0,1000000*SER_hh_emi_in!W5/SER_hh_num_in!W5)</f>
        <v>0</v>
      </c>
      <c r="X5" s="132">
        <f>IF(SER_hh_emi_in!X5=0,0,1000000*SER_hh_emi_in!X5/SER_hh_num_in!X5)</f>
        <v>0</v>
      </c>
      <c r="Y5" s="132">
        <f>IF(SER_hh_emi_in!Y5=0,0,1000000*SER_hh_emi_in!Y5/SER_hh_num_in!Y5)</f>
        <v>0</v>
      </c>
      <c r="DA5" s="156" t="s">
        <v>788</v>
      </c>
    </row>
    <row r="6" spans="1:105" ht="12" customHeight="1" x14ac:dyDescent="0.25">
      <c r="A6" s="131" t="s">
        <v>52</v>
      </c>
      <c r="B6" s="132"/>
      <c r="C6" s="132">
        <f>IF(SER_hh_emi_in!C6=0,0,1000000*SER_hh_emi_in!C6/SER_hh_num_in!C6)</f>
        <v>0</v>
      </c>
      <c r="D6" s="132">
        <f>IF(SER_hh_emi_in!D6=0,0,1000000*SER_hh_emi_in!D6/SER_hh_num_in!D6)</f>
        <v>0</v>
      </c>
      <c r="E6" s="132">
        <f>IF(SER_hh_emi_in!E6=0,0,1000000*SER_hh_emi_in!E6/SER_hh_num_in!E6)</f>
        <v>0</v>
      </c>
      <c r="F6" s="132">
        <f>IF(SER_hh_emi_in!F6=0,0,1000000*SER_hh_emi_in!F6/SER_hh_num_in!F6)</f>
        <v>0</v>
      </c>
      <c r="G6" s="132">
        <f>IF(SER_hh_emi_in!G6=0,0,1000000*SER_hh_emi_in!G6/SER_hh_num_in!G6)</f>
        <v>0</v>
      </c>
      <c r="H6" s="132">
        <f>IF(SER_hh_emi_in!H6=0,0,1000000*SER_hh_emi_in!H6/SER_hh_num_in!H6)</f>
        <v>0</v>
      </c>
      <c r="I6" s="132">
        <f>IF(SER_hh_emi_in!I6=0,0,1000000*SER_hh_emi_in!I6/SER_hh_num_in!I6)</f>
        <v>0</v>
      </c>
      <c r="J6" s="132">
        <f>IF(SER_hh_emi_in!J6=0,0,1000000*SER_hh_emi_in!J6/SER_hh_num_in!J6)</f>
        <v>0</v>
      </c>
      <c r="K6" s="132">
        <f>IF(SER_hh_emi_in!K6=0,0,1000000*SER_hh_emi_in!K6/SER_hh_num_in!K6)</f>
        <v>0</v>
      </c>
      <c r="L6" s="132">
        <f>IF(SER_hh_emi_in!L6=0,0,1000000*SER_hh_emi_in!L6/SER_hh_num_in!L6)</f>
        <v>0</v>
      </c>
      <c r="M6" s="132">
        <f>IF(SER_hh_emi_in!M6=0,0,1000000*SER_hh_emi_in!M6/SER_hh_num_in!M6)</f>
        <v>0</v>
      </c>
      <c r="N6" s="132">
        <f>IF(SER_hh_emi_in!N6=0,0,1000000*SER_hh_emi_in!N6/SER_hh_num_in!N6)</f>
        <v>0</v>
      </c>
      <c r="O6" s="132">
        <f>IF(SER_hh_emi_in!O6=0,0,1000000*SER_hh_emi_in!O6/SER_hh_num_in!O6)</f>
        <v>0</v>
      </c>
      <c r="P6" s="132">
        <f>IF(SER_hh_emi_in!P6=0,0,1000000*SER_hh_emi_in!P6/SER_hh_num_in!P6)</f>
        <v>0</v>
      </c>
      <c r="Q6" s="132">
        <f>IF(SER_hh_emi_in!Q6=0,0,1000000*SER_hh_emi_in!Q6/SER_hh_num_in!Q6)</f>
        <v>0</v>
      </c>
      <c r="R6" s="132">
        <f>IF(SER_hh_emi_in!R6=0,0,1000000*SER_hh_emi_in!R6/SER_hh_num_in!R6)</f>
        <v>0</v>
      </c>
      <c r="S6" s="132">
        <f>IF(SER_hh_emi_in!S6=0,0,1000000*SER_hh_emi_in!S6/SER_hh_num_in!S6)</f>
        <v>0</v>
      </c>
      <c r="T6" s="132">
        <f>IF(SER_hh_emi_in!T6=0,0,1000000*SER_hh_emi_in!T6/SER_hh_num_in!T6)</f>
        <v>0</v>
      </c>
      <c r="U6" s="132">
        <f>IF(SER_hh_emi_in!U6=0,0,1000000*SER_hh_emi_in!U6/SER_hh_num_in!U6)</f>
        <v>0</v>
      </c>
      <c r="V6" s="132">
        <f>IF(SER_hh_emi_in!V6=0,0,1000000*SER_hh_emi_in!V6/SER_hh_num_in!V6)</f>
        <v>0</v>
      </c>
      <c r="W6" s="132">
        <f>IF(SER_hh_emi_in!W6=0,0,1000000*SER_hh_emi_in!W6/SER_hh_num_in!W6)</f>
        <v>0</v>
      </c>
      <c r="X6" s="132">
        <f>IF(SER_hh_emi_in!X6=0,0,1000000*SER_hh_emi_in!X6/SER_hh_num_in!X6)</f>
        <v>0</v>
      </c>
      <c r="Y6" s="132">
        <f>IF(SER_hh_emi_in!Y6=0,0,1000000*SER_hh_emi_in!Y6/SER_hh_num_in!Y6)</f>
        <v>0</v>
      </c>
      <c r="DA6" s="156" t="s">
        <v>789</v>
      </c>
    </row>
    <row r="7" spans="1:105" ht="12" customHeight="1" x14ac:dyDescent="0.25">
      <c r="A7" s="131" t="s">
        <v>161</v>
      </c>
      <c r="B7" s="132"/>
      <c r="C7" s="132">
        <f>IF(SER_hh_emi_in!C7=0,0,1000000*SER_hh_emi_in!C7/SER_hh_num_in!C7)</f>
        <v>3228.4064413369933</v>
      </c>
      <c r="D7" s="132">
        <f>IF(SER_hh_emi_in!D7=0,0,1000000*SER_hh_emi_in!D7/SER_hh_num_in!D7)</f>
        <v>2686.6351333034922</v>
      </c>
      <c r="E7" s="132">
        <f>IF(SER_hh_emi_in!E7=0,0,1000000*SER_hh_emi_in!E7/SER_hh_num_in!E7)</f>
        <v>2698.4883162457527</v>
      </c>
      <c r="F7" s="132">
        <f>IF(SER_hh_emi_in!F7=0,0,1000000*SER_hh_emi_in!F7/SER_hh_num_in!F7)</f>
        <v>2963.1246935966469</v>
      </c>
      <c r="G7" s="132">
        <f>IF(SER_hh_emi_in!G7=0,0,1000000*SER_hh_emi_in!G7/SER_hh_num_in!G7)</f>
        <v>0</v>
      </c>
      <c r="H7" s="132">
        <f>IF(SER_hh_emi_in!H7=0,0,1000000*SER_hh_emi_in!H7/SER_hh_num_in!H7)</f>
        <v>0</v>
      </c>
      <c r="I7" s="132">
        <f>IF(SER_hh_emi_in!I7=0,0,1000000*SER_hh_emi_in!I7/SER_hh_num_in!I7)</f>
        <v>0</v>
      </c>
      <c r="J7" s="132">
        <f>IF(SER_hh_emi_in!J7=0,0,1000000*SER_hh_emi_in!J7/SER_hh_num_in!J7)</f>
        <v>0</v>
      </c>
      <c r="K7" s="132">
        <f>IF(SER_hh_emi_in!K7=0,0,1000000*SER_hh_emi_in!K7/SER_hh_num_in!K7)</f>
        <v>0</v>
      </c>
      <c r="L7" s="132">
        <f>IF(SER_hh_emi_in!L7=0,0,1000000*SER_hh_emi_in!L7/SER_hh_num_in!L7)</f>
        <v>3600.3674814880696</v>
      </c>
      <c r="M7" s="132">
        <f>IF(SER_hh_emi_in!M7=0,0,1000000*SER_hh_emi_in!M7/SER_hh_num_in!M7)</f>
        <v>3015.9281266534686</v>
      </c>
      <c r="N7" s="132">
        <f>IF(SER_hh_emi_in!N7=0,0,1000000*SER_hh_emi_in!N7/SER_hh_num_in!N7)</f>
        <v>2881.7743008442917</v>
      </c>
      <c r="O7" s="132">
        <f>IF(SER_hh_emi_in!O7=0,0,1000000*SER_hh_emi_in!O7/SER_hh_num_in!O7)</f>
        <v>2720.4791223068546</v>
      </c>
      <c r="P7" s="132">
        <f>IF(SER_hh_emi_in!P7=0,0,1000000*SER_hh_emi_in!P7/SER_hh_num_in!P7)</f>
        <v>1888.5853557370742</v>
      </c>
      <c r="Q7" s="132">
        <f>IF(SER_hh_emi_in!Q7=0,0,1000000*SER_hh_emi_in!Q7/SER_hh_num_in!Q7)</f>
        <v>1265.3143018282071</v>
      </c>
      <c r="R7" s="132">
        <f>IF(SER_hh_emi_in!R7=0,0,1000000*SER_hh_emi_in!R7/SER_hh_num_in!R7)</f>
        <v>1631.1654937660458</v>
      </c>
      <c r="S7" s="132">
        <f>IF(SER_hh_emi_in!S7=0,0,1000000*SER_hh_emi_in!S7/SER_hh_num_in!S7)</f>
        <v>1910.7040942939361</v>
      </c>
      <c r="T7" s="132">
        <f>IF(SER_hh_emi_in!T7=0,0,1000000*SER_hh_emi_in!T7/SER_hh_num_in!T7)</f>
        <v>2134.589034038785</v>
      </c>
      <c r="U7" s="132">
        <f>IF(SER_hh_emi_in!U7=0,0,1000000*SER_hh_emi_in!U7/SER_hh_num_in!U7)</f>
        <v>2127.6930538817955</v>
      </c>
      <c r="V7" s="132">
        <f>IF(SER_hh_emi_in!V7=0,0,1000000*SER_hh_emi_in!V7/SER_hh_num_in!V7)</f>
        <v>0</v>
      </c>
      <c r="W7" s="132">
        <f>IF(SER_hh_emi_in!W7=0,0,1000000*SER_hh_emi_in!W7/SER_hh_num_in!W7)</f>
        <v>0</v>
      </c>
      <c r="X7" s="132">
        <f>IF(SER_hh_emi_in!X7=0,0,1000000*SER_hh_emi_in!X7/SER_hh_num_in!X7)</f>
        <v>0</v>
      </c>
      <c r="Y7" s="132">
        <f>IF(SER_hh_emi_in!Y7=0,0,1000000*SER_hh_emi_in!Y7/SER_hh_num_in!Y7)</f>
        <v>0</v>
      </c>
      <c r="DA7" s="156" t="s">
        <v>790</v>
      </c>
    </row>
    <row r="8" spans="1:105" ht="12" customHeight="1" x14ac:dyDescent="0.25">
      <c r="A8" s="131" t="s">
        <v>73</v>
      </c>
      <c r="B8" s="132"/>
      <c r="C8" s="132">
        <f>IF(SER_hh_emi_in!C8=0,0,1000000*SER_hh_emi_in!C8/SER_hh_num_in!C8)</f>
        <v>721.8386291755437</v>
      </c>
      <c r="D8" s="132">
        <f>IF(SER_hh_emi_in!D8=0,0,1000000*SER_hh_emi_in!D8/SER_hh_num_in!D8)</f>
        <v>631.22964540599162</v>
      </c>
      <c r="E8" s="132">
        <f>IF(SER_hh_emi_in!E8=0,0,1000000*SER_hh_emi_in!E8/SER_hh_num_in!E8)</f>
        <v>399.48045925880302</v>
      </c>
      <c r="F8" s="132">
        <f>IF(SER_hh_emi_in!F8=0,0,1000000*SER_hh_emi_in!F8/SER_hh_num_in!F8)</f>
        <v>418.43859357201569</v>
      </c>
      <c r="G8" s="132">
        <f>IF(SER_hh_emi_in!G8=0,0,1000000*SER_hh_emi_in!G8/SER_hh_num_in!G8)</f>
        <v>607.1594065193251</v>
      </c>
      <c r="H8" s="132">
        <f>IF(SER_hh_emi_in!H8=0,0,1000000*SER_hh_emi_in!H8/SER_hh_num_in!H8)</f>
        <v>886.15306951065929</v>
      </c>
      <c r="I8" s="132">
        <f>IF(SER_hh_emi_in!I8=0,0,1000000*SER_hh_emi_in!I8/SER_hh_num_in!I8)</f>
        <v>717.05100568257114</v>
      </c>
      <c r="J8" s="132">
        <f>IF(SER_hh_emi_in!J8=0,0,1000000*SER_hh_emi_in!J8/SER_hh_num_in!J8)</f>
        <v>661.84842296372244</v>
      </c>
      <c r="K8" s="132">
        <f>IF(SER_hh_emi_in!K8=0,0,1000000*SER_hh_emi_in!K8/SER_hh_num_in!K8)</f>
        <v>581.41726450707131</v>
      </c>
      <c r="L8" s="132">
        <f>IF(SER_hh_emi_in!L8=0,0,1000000*SER_hh_emi_in!L8/SER_hh_num_in!L8)</f>
        <v>483.63976130819782</v>
      </c>
      <c r="M8" s="132">
        <f>IF(SER_hh_emi_in!M8=0,0,1000000*SER_hh_emi_in!M8/SER_hh_num_in!M8)</f>
        <v>456.7117218524304</v>
      </c>
      <c r="N8" s="132">
        <f>IF(SER_hh_emi_in!N8=0,0,1000000*SER_hh_emi_in!N8/SER_hh_num_in!N8)</f>
        <v>328.92052111155374</v>
      </c>
      <c r="O8" s="132">
        <f>IF(SER_hh_emi_in!O8=0,0,1000000*SER_hh_emi_in!O8/SER_hh_num_in!O8)</f>
        <v>292.53797030399238</v>
      </c>
      <c r="P8" s="132">
        <f>IF(SER_hh_emi_in!P8=0,0,1000000*SER_hh_emi_in!P8/SER_hh_num_in!P8)</f>
        <v>282.15268366024054</v>
      </c>
      <c r="Q8" s="132">
        <f>IF(SER_hh_emi_in!Q8=0,0,1000000*SER_hh_emi_in!Q8/SER_hh_num_in!Q8)</f>
        <v>262.33080732898145</v>
      </c>
      <c r="R8" s="132">
        <f>IF(SER_hh_emi_in!R8=0,0,1000000*SER_hh_emi_in!R8/SER_hh_num_in!R8)</f>
        <v>282.27979696228203</v>
      </c>
      <c r="S8" s="132">
        <f>IF(SER_hh_emi_in!S8=0,0,1000000*SER_hh_emi_in!S8/SER_hh_num_in!S8)</f>
        <v>299.24297297419531</v>
      </c>
      <c r="T8" s="132">
        <f>IF(SER_hh_emi_in!T8=0,0,1000000*SER_hh_emi_in!T8/SER_hh_num_in!T8)</f>
        <v>287.49719989097758</v>
      </c>
      <c r="U8" s="132">
        <f>IF(SER_hh_emi_in!U8=0,0,1000000*SER_hh_emi_in!U8/SER_hh_num_in!U8)</f>
        <v>402.96071845432505</v>
      </c>
      <c r="V8" s="132">
        <f>IF(SER_hh_emi_in!V8=0,0,1000000*SER_hh_emi_in!V8/SER_hh_num_in!V8)</f>
        <v>303.14260245706811</v>
      </c>
      <c r="W8" s="132">
        <f>IF(SER_hh_emi_in!W8=0,0,1000000*SER_hh_emi_in!W8/SER_hh_num_in!W8)</f>
        <v>351.21206888685032</v>
      </c>
      <c r="X8" s="132">
        <f>IF(SER_hh_emi_in!X8=0,0,1000000*SER_hh_emi_in!X8/SER_hh_num_in!X8)</f>
        <v>361.98523380395045</v>
      </c>
      <c r="Y8" s="132">
        <f>IF(SER_hh_emi_in!Y8=0,0,1000000*SER_hh_emi_in!Y8/SER_hh_num_in!Y8)</f>
        <v>403.28321594346772</v>
      </c>
      <c r="DA8" s="156" t="s">
        <v>791</v>
      </c>
    </row>
    <row r="9" spans="1:105" ht="12" customHeight="1" x14ac:dyDescent="0.25">
      <c r="A9" s="131" t="s">
        <v>78</v>
      </c>
      <c r="B9" s="132"/>
      <c r="C9" s="132">
        <f>IF(SER_hh_emi_in!C9=0,0,1000000*SER_hh_emi_in!C9/SER_hh_num_in!C9)</f>
        <v>0</v>
      </c>
      <c r="D9" s="132">
        <f>IF(SER_hh_emi_in!D9=0,0,1000000*SER_hh_emi_in!D9/SER_hh_num_in!D9)</f>
        <v>0</v>
      </c>
      <c r="E9" s="132">
        <f>IF(SER_hh_emi_in!E9=0,0,1000000*SER_hh_emi_in!E9/SER_hh_num_in!E9)</f>
        <v>0</v>
      </c>
      <c r="F9" s="132">
        <f>IF(SER_hh_emi_in!F9=0,0,1000000*SER_hh_emi_in!F9/SER_hh_num_in!F9)</f>
        <v>306.30587825526703</v>
      </c>
      <c r="G9" s="132">
        <f>IF(SER_hh_emi_in!G9=0,0,1000000*SER_hh_emi_in!G9/SER_hh_num_in!G9)</f>
        <v>1625.5464000014993</v>
      </c>
      <c r="H9" s="132">
        <f>IF(SER_hh_emi_in!H9=0,0,1000000*SER_hh_emi_in!H9/SER_hh_num_in!H9)</f>
        <v>5209.2055418304899</v>
      </c>
      <c r="I9" s="132">
        <f>IF(SER_hh_emi_in!I9=0,0,1000000*SER_hh_emi_in!I9/SER_hh_num_in!I9)</f>
        <v>2378.9713346868875</v>
      </c>
      <c r="J9" s="132">
        <f>IF(SER_hh_emi_in!J9=0,0,1000000*SER_hh_emi_in!J9/SER_hh_num_in!J9)</f>
        <v>1764.4743950809896</v>
      </c>
      <c r="K9" s="132">
        <f>IF(SER_hh_emi_in!K9=0,0,1000000*SER_hh_emi_in!K9/SER_hh_num_in!K9)</f>
        <v>2281.584924132027</v>
      </c>
      <c r="L9" s="132">
        <f>IF(SER_hh_emi_in!L9=0,0,1000000*SER_hh_emi_in!L9/SER_hh_num_in!L9)</f>
        <v>2967.3867388071021</v>
      </c>
      <c r="M9" s="132">
        <f>IF(SER_hh_emi_in!M9=0,0,1000000*SER_hh_emi_in!M9/SER_hh_num_in!M9)</f>
        <v>3186.2979221441083</v>
      </c>
      <c r="N9" s="132">
        <f>IF(SER_hh_emi_in!N9=0,0,1000000*SER_hh_emi_in!N9/SER_hh_num_in!N9)</f>
        <v>2235.1337120355565</v>
      </c>
      <c r="O9" s="132">
        <f>IF(SER_hh_emi_in!O9=0,0,1000000*SER_hh_emi_in!O9/SER_hh_num_in!O9)</f>
        <v>0</v>
      </c>
      <c r="P9" s="132">
        <f>IF(SER_hh_emi_in!P9=0,0,1000000*SER_hh_emi_in!P9/SER_hh_num_in!P9)</f>
        <v>0</v>
      </c>
      <c r="Q9" s="132">
        <f>IF(SER_hh_emi_in!Q9=0,0,1000000*SER_hh_emi_in!Q9/SER_hh_num_in!Q9)</f>
        <v>0</v>
      </c>
      <c r="R9" s="132">
        <f>IF(SER_hh_emi_in!R9=0,0,1000000*SER_hh_emi_in!R9/SER_hh_num_in!R9)</f>
        <v>0</v>
      </c>
      <c r="S9" s="132">
        <f>IF(SER_hh_emi_in!S9=0,0,1000000*SER_hh_emi_in!S9/SER_hh_num_in!S9)</f>
        <v>0</v>
      </c>
      <c r="T9" s="132">
        <f>IF(SER_hh_emi_in!T9=0,0,1000000*SER_hh_emi_in!T9/SER_hh_num_in!T9)</f>
        <v>1565.2006225415903</v>
      </c>
      <c r="U9" s="132">
        <f>IF(SER_hh_emi_in!U9=0,0,1000000*SER_hh_emi_in!U9/SER_hh_num_in!U9)</f>
        <v>1570.7550349549304</v>
      </c>
      <c r="V9" s="132">
        <f>IF(SER_hh_emi_in!V9=0,0,1000000*SER_hh_emi_in!V9/SER_hh_num_in!V9)</f>
        <v>1355.457596934677</v>
      </c>
      <c r="W9" s="132">
        <f>IF(SER_hh_emi_in!W9=0,0,1000000*SER_hh_emi_in!W9/SER_hh_num_in!W9)</f>
        <v>1694.6092911432581</v>
      </c>
      <c r="X9" s="132">
        <f>IF(SER_hh_emi_in!X9=0,0,1000000*SER_hh_emi_in!X9/SER_hh_num_in!X9)</f>
        <v>1613.5082937203324</v>
      </c>
      <c r="Y9" s="132">
        <f>IF(SER_hh_emi_in!Y9=0,0,1000000*SER_hh_emi_in!Y9/SER_hh_num_in!Y9)</f>
        <v>1761.2284933720298</v>
      </c>
      <c r="DA9" s="156" t="s">
        <v>792</v>
      </c>
    </row>
    <row r="10" spans="1:105" ht="12" customHeight="1" x14ac:dyDescent="0.25">
      <c r="A10" s="131" t="s">
        <v>128</v>
      </c>
      <c r="B10" s="132"/>
      <c r="C10" s="132">
        <f>IF(SER_hh_emi_in!C10=0,0,1000000*SER_hh_emi_in!C10/SER_hh_num_in!C10)</f>
        <v>0</v>
      </c>
      <c r="D10" s="132">
        <f>IF(SER_hh_emi_in!D10=0,0,1000000*SER_hh_emi_in!D10/SER_hh_num_in!D10)</f>
        <v>0</v>
      </c>
      <c r="E10" s="132">
        <f>IF(SER_hh_emi_in!E10=0,0,1000000*SER_hh_emi_in!E10/SER_hh_num_in!E10)</f>
        <v>0</v>
      </c>
      <c r="F10" s="132">
        <f>IF(SER_hh_emi_in!F10=0,0,1000000*SER_hh_emi_in!F10/SER_hh_num_in!F10)</f>
        <v>0</v>
      </c>
      <c r="G10" s="132">
        <f>IF(SER_hh_emi_in!G10=0,0,1000000*SER_hh_emi_in!G10/SER_hh_num_in!G10)</f>
        <v>0</v>
      </c>
      <c r="H10" s="132">
        <f>IF(SER_hh_emi_in!H10=0,0,1000000*SER_hh_emi_in!H10/SER_hh_num_in!H10)</f>
        <v>0</v>
      </c>
      <c r="I10" s="132">
        <f>IF(SER_hh_emi_in!I10=0,0,1000000*SER_hh_emi_in!I10/SER_hh_num_in!I10)</f>
        <v>0</v>
      </c>
      <c r="J10" s="132">
        <f>IF(SER_hh_emi_in!J10=0,0,1000000*SER_hh_emi_in!J10/SER_hh_num_in!J10)</f>
        <v>0</v>
      </c>
      <c r="K10" s="132">
        <f>IF(SER_hh_emi_in!K10=0,0,1000000*SER_hh_emi_in!K10/SER_hh_num_in!K10)</f>
        <v>0</v>
      </c>
      <c r="L10" s="132">
        <f>IF(SER_hh_emi_in!L10=0,0,1000000*SER_hh_emi_in!L10/SER_hh_num_in!L10)</f>
        <v>0</v>
      </c>
      <c r="M10" s="132">
        <f>IF(SER_hh_emi_in!M10=0,0,1000000*SER_hh_emi_in!M10/SER_hh_num_in!M10)</f>
        <v>0</v>
      </c>
      <c r="N10" s="132">
        <f>IF(SER_hh_emi_in!N10=0,0,1000000*SER_hh_emi_in!N10/SER_hh_num_in!N10)</f>
        <v>0</v>
      </c>
      <c r="O10" s="132">
        <f>IF(SER_hh_emi_in!O10=0,0,1000000*SER_hh_emi_in!O10/SER_hh_num_in!O10)</f>
        <v>0</v>
      </c>
      <c r="P10" s="132">
        <f>IF(SER_hh_emi_in!P10=0,0,1000000*SER_hh_emi_in!P10/SER_hh_num_in!P10)</f>
        <v>0</v>
      </c>
      <c r="Q10" s="132">
        <f>IF(SER_hh_emi_in!Q10=0,0,1000000*SER_hh_emi_in!Q10/SER_hh_num_in!Q10)</f>
        <v>70.095879271277965</v>
      </c>
      <c r="R10" s="132">
        <f>IF(SER_hh_emi_in!R10=0,0,1000000*SER_hh_emi_in!R10/SER_hh_num_in!R10)</f>
        <v>153.8593017418211</v>
      </c>
      <c r="S10" s="132">
        <f>IF(SER_hh_emi_in!S10=0,0,1000000*SER_hh_emi_in!S10/SER_hh_num_in!S10)</f>
        <v>189.1819417733675</v>
      </c>
      <c r="T10" s="132">
        <f>IF(SER_hh_emi_in!T10=0,0,1000000*SER_hh_emi_in!T10/SER_hh_num_in!T10)</f>
        <v>0</v>
      </c>
      <c r="U10" s="132">
        <f>IF(SER_hh_emi_in!U10=0,0,1000000*SER_hh_emi_in!U10/SER_hh_num_in!U10)</f>
        <v>0</v>
      </c>
      <c r="V10" s="132">
        <f>IF(SER_hh_emi_in!V10=0,0,1000000*SER_hh_emi_in!V10/SER_hh_num_in!V10)</f>
        <v>0</v>
      </c>
      <c r="W10" s="132">
        <f>IF(SER_hh_emi_in!W10=0,0,1000000*SER_hh_emi_in!W10/SER_hh_num_in!W10)</f>
        <v>168.669087603002</v>
      </c>
      <c r="X10" s="132">
        <f>IF(SER_hh_emi_in!X10=0,0,1000000*SER_hh_emi_in!X10/SER_hh_num_in!X10)</f>
        <v>215.29629182919672</v>
      </c>
      <c r="Y10" s="132">
        <f>IF(SER_hh_emi_in!Y10=0,0,1000000*SER_hh_emi_in!Y10/SER_hh_num_in!Y10)</f>
        <v>184.8532182615478</v>
      </c>
      <c r="DA10" s="156" t="s">
        <v>793</v>
      </c>
    </row>
    <row r="11" spans="1:105" ht="12" customHeight="1" x14ac:dyDescent="0.25">
      <c r="A11" s="131" t="s">
        <v>25</v>
      </c>
      <c r="B11" s="132"/>
      <c r="C11" s="132">
        <f>IF(SER_hh_emi_in!C11=0,0,1000000*SER_hh_emi_in!C11/SER_hh_num_in!C11)</f>
        <v>0</v>
      </c>
      <c r="D11" s="132">
        <f>IF(SER_hh_emi_in!D11=0,0,1000000*SER_hh_emi_in!D11/SER_hh_num_in!D11)</f>
        <v>0</v>
      </c>
      <c r="E11" s="132">
        <f>IF(SER_hh_emi_in!E11=0,0,1000000*SER_hh_emi_in!E11/SER_hh_num_in!E11)</f>
        <v>0</v>
      </c>
      <c r="F11" s="132">
        <f>IF(SER_hh_emi_in!F11=0,0,1000000*SER_hh_emi_in!F11/SER_hh_num_in!F11)</f>
        <v>0</v>
      </c>
      <c r="G11" s="132">
        <f>IF(SER_hh_emi_in!G11=0,0,1000000*SER_hh_emi_in!G11/SER_hh_num_in!G11)</f>
        <v>0</v>
      </c>
      <c r="H11" s="132">
        <f>IF(SER_hh_emi_in!H11=0,0,1000000*SER_hh_emi_in!H11/SER_hh_num_in!H11)</f>
        <v>0</v>
      </c>
      <c r="I11" s="132">
        <f>IF(SER_hh_emi_in!I11=0,0,1000000*SER_hh_emi_in!I11/SER_hh_num_in!I11)</f>
        <v>0</v>
      </c>
      <c r="J11" s="132">
        <f>IF(SER_hh_emi_in!J11=0,0,1000000*SER_hh_emi_in!J11/SER_hh_num_in!J11)</f>
        <v>0</v>
      </c>
      <c r="K11" s="132">
        <f>IF(SER_hh_emi_in!K11=0,0,1000000*SER_hh_emi_in!K11/SER_hh_num_in!K11)</f>
        <v>0</v>
      </c>
      <c r="L11" s="132">
        <f>IF(SER_hh_emi_in!L11=0,0,1000000*SER_hh_emi_in!L11/SER_hh_num_in!L11)</f>
        <v>0</v>
      </c>
      <c r="M11" s="132">
        <f>IF(SER_hh_emi_in!M11=0,0,1000000*SER_hh_emi_in!M11/SER_hh_num_in!M11)</f>
        <v>0</v>
      </c>
      <c r="N11" s="132">
        <f>IF(SER_hh_emi_in!N11=0,0,1000000*SER_hh_emi_in!N11/SER_hh_num_in!N11)</f>
        <v>0</v>
      </c>
      <c r="O11" s="132">
        <f>IF(SER_hh_emi_in!O11=0,0,1000000*SER_hh_emi_in!O11/SER_hh_num_in!O11)</f>
        <v>0</v>
      </c>
      <c r="P11" s="132">
        <f>IF(SER_hh_emi_in!P11=0,0,1000000*SER_hh_emi_in!P11/SER_hh_num_in!P11)</f>
        <v>0</v>
      </c>
      <c r="Q11" s="132">
        <f>IF(SER_hh_emi_in!Q11=0,0,1000000*SER_hh_emi_in!Q11/SER_hh_num_in!Q11)</f>
        <v>0</v>
      </c>
      <c r="R11" s="132">
        <f>IF(SER_hh_emi_in!R11=0,0,1000000*SER_hh_emi_in!R11/SER_hh_num_in!R11)</f>
        <v>0</v>
      </c>
      <c r="S11" s="132">
        <f>IF(SER_hh_emi_in!S11=0,0,1000000*SER_hh_emi_in!S11/SER_hh_num_in!S11)</f>
        <v>0</v>
      </c>
      <c r="T11" s="132">
        <f>IF(SER_hh_emi_in!T11=0,0,1000000*SER_hh_emi_in!T11/SER_hh_num_in!T11)</f>
        <v>0</v>
      </c>
      <c r="U11" s="132">
        <f>IF(SER_hh_emi_in!U11=0,0,1000000*SER_hh_emi_in!U11/SER_hh_num_in!U11)</f>
        <v>0</v>
      </c>
      <c r="V11" s="132">
        <f>IF(SER_hh_emi_in!V11=0,0,1000000*SER_hh_emi_in!V11/SER_hh_num_in!V11)</f>
        <v>0</v>
      </c>
      <c r="W11" s="132">
        <f>IF(SER_hh_emi_in!W11=0,0,1000000*SER_hh_emi_in!W11/SER_hh_num_in!W11)</f>
        <v>0</v>
      </c>
      <c r="X11" s="132">
        <f>IF(SER_hh_emi_in!X11=0,0,1000000*SER_hh_emi_in!X11/SER_hh_num_in!X11)</f>
        <v>0</v>
      </c>
      <c r="Y11" s="132">
        <f>IF(SER_hh_emi_in!Y11=0,0,1000000*SER_hh_emi_in!Y11/SER_hh_num_in!Y11)</f>
        <v>0</v>
      </c>
      <c r="DA11" s="156" t="s">
        <v>794</v>
      </c>
    </row>
    <row r="12" spans="1:105" ht="12" customHeight="1" x14ac:dyDescent="0.25">
      <c r="A12" s="131" t="s">
        <v>162</v>
      </c>
      <c r="B12" s="132"/>
      <c r="C12" s="132">
        <f>IF(SER_hh_emi_in!C12=0,0,1000000*SER_hh_emi_in!C12/SER_hh_num_in!C12)</f>
        <v>0</v>
      </c>
      <c r="D12" s="132">
        <f>IF(SER_hh_emi_in!D12=0,0,1000000*SER_hh_emi_in!D12/SER_hh_num_in!D12)</f>
        <v>0</v>
      </c>
      <c r="E12" s="132">
        <f>IF(SER_hh_emi_in!E12=0,0,1000000*SER_hh_emi_in!E12/SER_hh_num_in!E12)</f>
        <v>0</v>
      </c>
      <c r="F12" s="132">
        <f>IF(SER_hh_emi_in!F12=0,0,1000000*SER_hh_emi_in!F12/SER_hh_num_in!F12)</f>
        <v>0</v>
      </c>
      <c r="G12" s="132">
        <f>IF(SER_hh_emi_in!G12=0,0,1000000*SER_hh_emi_in!G12/SER_hh_num_in!G12)</f>
        <v>0</v>
      </c>
      <c r="H12" s="132">
        <f>IF(SER_hh_emi_in!H12=0,0,1000000*SER_hh_emi_in!H12/SER_hh_num_in!H12)</f>
        <v>0</v>
      </c>
      <c r="I12" s="132">
        <f>IF(SER_hh_emi_in!I12=0,0,1000000*SER_hh_emi_in!I12/SER_hh_num_in!I12)</f>
        <v>0</v>
      </c>
      <c r="J12" s="132">
        <f>IF(SER_hh_emi_in!J12=0,0,1000000*SER_hh_emi_in!J12/SER_hh_num_in!J12)</f>
        <v>0</v>
      </c>
      <c r="K12" s="132">
        <f>IF(SER_hh_emi_in!K12=0,0,1000000*SER_hh_emi_in!K12/SER_hh_num_in!K12)</f>
        <v>0</v>
      </c>
      <c r="L12" s="132">
        <f>IF(SER_hh_emi_in!L12=0,0,1000000*SER_hh_emi_in!L12/SER_hh_num_in!L12)</f>
        <v>0</v>
      </c>
      <c r="M12" s="132">
        <f>IF(SER_hh_emi_in!M12=0,0,1000000*SER_hh_emi_in!M12/SER_hh_num_in!M12)</f>
        <v>0</v>
      </c>
      <c r="N12" s="132">
        <f>IF(SER_hh_emi_in!N12=0,0,1000000*SER_hh_emi_in!N12/SER_hh_num_in!N12)</f>
        <v>0</v>
      </c>
      <c r="O12" s="132">
        <f>IF(SER_hh_emi_in!O12=0,0,1000000*SER_hh_emi_in!O12/SER_hh_num_in!O12)</f>
        <v>0</v>
      </c>
      <c r="P12" s="132">
        <f>IF(SER_hh_emi_in!P12=0,0,1000000*SER_hh_emi_in!P12/SER_hh_num_in!P12)</f>
        <v>0</v>
      </c>
      <c r="Q12" s="132">
        <f>IF(SER_hh_emi_in!Q12=0,0,1000000*SER_hh_emi_in!Q12/SER_hh_num_in!Q12)</f>
        <v>0</v>
      </c>
      <c r="R12" s="132">
        <f>IF(SER_hh_emi_in!R12=0,0,1000000*SER_hh_emi_in!R12/SER_hh_num_in!R12)</f>
        <v>0</v>
      </c>
      <c r="S12" s="132">
        <f>IF(SER_hh_emi_in!S12=0,0,1000000*SER_hh_emi_in!S12/SER_hh_num_in!S12)</f>
        <v>0</v>
      </c>
      <c r="T12" s="132">
        <f>IF(SER_hh_emi_in!T12=0,0,1000000*SER_hh_emi_in!T12/SER_hh_num_in!T12)</f>
        <v>0</v>
      </c>
      <c r="U12" s="132">
        <f>IF(SER_hh_emi_in!U12=0,0,1000000*SER_hh_emi_in!U12/SER_hh_num_in!U12)</f>
        <v>0</v>
      </c>
      <c r="V12" s="132">
        <f>IF(SER_hh_emi_in!V12=0,0,1000000*SER_hh_emi_in!V12/SER_hh_num_in!V12)</f>
        <v>0</v>
      </c>
      <c r="W12" s="132">
        <f>IF(SER_hh_emi_in!W12=0,0,1000000*SER_hh_emi_in!W12/SER_hh_num_in!W12)</f>
        <v>0</v>
      </c>
      <c r="X12" s="132">
        <f>IF(SER_hh_emi_in!X12=0,0,1000000*SER_hh_emi_in!X12/SER_hh_num_in!X12)</f>
        <v>0</v>
      </c>
      <c r="Y12" s="132">
        <f>IF(SER_hh_emi_in!Y12=0,0,1000000*SER_hh_emi_in!Y12/SER_hh_num_in!Y12)</f>
        <v>0</v>
      </c>
      <c r="DA12" s="156" t="s">
        <v>795</v>
      </c>
    </row>
    <row r="13" spans="1:105" ht="12" customHeight="1" x14ac:dyDescent="0.25">
      <c r="A13" s="131" t="s">
        <v>77</v>
      </c>
      <c r="B13" s="132"/>
      <c r="C13" s="132">
        <f>IF(SER_hh_emi_in!C13=0,0,1000000*SER_hh_emi_in!C13/SER_hh_num_in!C13)</f>
        <v>0</v>
      </c>
      <c r="D13" s="132">
        <f>IF(SER_hh_emi_in!D13=0,0,1000000*SER_hh_emi_in!D13/SER_hh_num_in!D13)</f>
        <v>0</v>
      </c>
      <c r="E13" s="132">
        <f>IF(SER_hh_emi_in!E13=0,0,1000000*SER_hh_emi_in!E13/SER_hh_num_in!E13)</f>
        <v>0</v>
      </c>
      <c r="F13" s="132">
        <f>IF(SER_hh_emi_in!F13=0,0,1000000*SER_hh_emi_in!F13/SER_hh_num_in!F13)</f>
        <v>0</v>
      </c>
      <c r="G13" s="132">
        <f>IF(SER_hh_emi_in!G13=0,0,1000000*SER_hh_emi_in!G13/SER_hh_num_in!G13)</f>
        <v>0</v>
      </c>
      <c r="H13" s="132">
        <f>IF(SER_hh_emi_in!H13=0,0,1000000*SER_hh_emi_in!H13/SER_hh_num_in!H13)</f>
        <v>0</v>
      </c>
      <c r="I13" s="132">
        <f>IF(SER_hh_emi_in!I13=0,0,1000000*SER_hh_emi_in!I13/SER_hh_num_in!I13)</f>
        <v>0</v>
      </c>
      <c r="J13" s="132">
        <f>IF(SER_hh_emi_in!J13=0,0,1000000*SER_hh_emi_in!J13/SER_hh_num_in!J13)</f>
        <v>0</v>
      </c>
      <c r="K13" s="132">
        <f>IF(SER_hh_emi_in!K13=0,0,1000000*SER_hh_emi_in!K13/SER_hh_num_in!K13)</f>
        <v>0</v>
      </c>
      <c r="L13" s="132">
        <f>IF(SER_hh_emi_in!L13=0,0,1000000*SER_hh_emi_in!L13/SER_hh_num_in!L13)</f>
        <v>0</v>
      </c>
      <c r="M13" s="132">
        <f>IF(SER_hh_emi_in!M13=0,0,1000000*SER_hh_emi_in!M13/SER_hh_num_in!M13)</f>
        <v>0</v>
      </c>
      <c r="N13" s="132">
        <f>IF(SER_hh_emi_in!N13=0,0,1000000*SER_hh_emi_in!N13/SER_hh_num_in!N13)</f>
        <v>0</v>
      </c>
      <c r="O13" s="132">
        <f>IF(SER_hh_emi_in!O13=0,0,1000000*SER_hh_emi_in!O13/SER_hh_num_in!O13)</f>
        <v>0</v>
      </c>
      <c r="P13" s="132">
        <f>IF(SER_hh_emi_in!P13=0,0,1000000*SER_hh_emi_in!P13/SER_hh_num_in!P13)</f>
        <v>0</v>
      </c>
      <c r="Q13" s="132">
        <f>IF(SER_hh_emi_in!Q13=0,0,1000000*SER_hh_emi_in!Q13/SER_hh_num_in!Q13)</f>
        <v>0</v>
      </c>
      <c r="R13" s="132">
        <f>IF(SER_hh_emi_in!R13=0,0,1000000*SER_hh_emi_in!R13/SER_hh_num_in!R13)</f>
        <v>0</v>
      </c>
      <c r="S13" s="132">
        <f>IF(SER_hh_emi_in!S13=0,0,1000000*SER_hh_emi_in!S13/SER_hh_num_in!S13)</f>
        <v>0</v>
      </c>
      <c r="T13" s="132">
        <f>IF(SER_hh_emi_in!T13=0,0,1000000*SER_hh_emi_in!T13/SER_hh_num_in!T13)</f>
        <v>0</v>
      </c>
      <c r="U13" s="132">
        <f>IF(SER_hh_emi_in!U13=0,0,1000000*SER_hh_emi_in!U13/SER_hh_num_in!U13)</f>
        <v>0</v>
      </c>
      <c r="V13" s="132">
        <f>IF(SER_hh_emi_in!V13=0,0,1000000*SER_hh_emi_in!V13/SER_hh_num_in!V13)</f>
        <v>0</v>
      </c>
      <c r="W13" s="132">
        <f>IF(SER_hh_emi_in!W13=0,0,1000000*SER_hh_emi_in!W13/SER_hh_num_in!W13)</f>
        <v>0</v>
      </c>
      <c r="X13" s="132">
        <f>IF(SER_hh_emi_in!X13=0,0,1000000*SER_hh_emi_in!X13/SER_hh_num_in!X13)</f>
        <v>0</v>
      </c>
      <c r="Y13" s="132">
        <f>IF(SER_hh_emi_in!Y13=0,0,1000000*SER_hh_emi_in!Y13/SER_hh_num_in!Y13)</f>
        <v>0</v>
      </c>
      <c r="DA13" s="156" t="s">
        <v>796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X14" s="65">
        <f>IF(SER_hh_emi_in!X14=0,0,1000000*SER_hh_emi_in!X14/SER_hh_num_in!X14)</f>
        <v>0</v>
      </c>
      <c r="Y14" s="65">
        <f>IF(SER_hh_emi_in!Y14=0,0,1000000*SER_hh_emi_in!Y14/SER_hh_num_in!Y14)</f>
        <v>0</v>
      </c>
      <c r="DA14" s="109" t="s">
        <v>797</v>
      </c>
    </row>
    <row r="15" spans="1:105" ht="12" customHeight="1" x14ac:dyDescent="0.25">
      <c r="A15" s="133" t="s">
        <v>80</v>
      </c>
      <c r="B15" s="134"/>
      <c r="C15" s="134">
        <f>IF(SER_hh_emi_in!C15=0,0,1000000*SER_hh_emi_in!C15/SER_hh_num_in!C15)</f>
        <v>0</v>
      </c>
      <c r="D15" s="134">
        <f>IF(SER_hh_emi_in!D15=0,0,1000000*SER_hh_emi_in!D15/SER_hh_num_in!D15)</f>
        <v>0</v>
      </c>
      <c r="E15" s="134">
        <f>IF(SER_hh_emi_in!E15=0,0,1000000*SER_hh_emi_in!E15/SER_hh_num_in!E15)</f>
        <v>0</v>
      </c>
      <c r="F15" s="134">
        <f>IF(SER_hh_emi_in!F15=0,0,1000000*SER_hh_emi_in!F15/SER_hh_num_in!F15)</f>
        <v>0</v>
      </c>
      <c r="G15" s="134">
        <f>IF(SER_hh_emi_in!G15=0,0,1000000*SER_hh_emi_in!G15/SER_hh_num_in!G15)</f>
        <v>0</v>
      </c>
      <c r="H15" s="134">
        <f>IF(SER_hh_emi_in!H15=0,0,1000000*SER_hh_emi_in!H15/SER_hh_num_in!H15)</f>
        <v>0</v>
      </c>
      <c r="I15" s="134">
        <f>IF(SER_hh_emi_in!I15=0,0,1000000*SER_hh_emi_in!I15/SER_hh_num_in!I15)</f>
        <v>0</v>
      </c>
      <c r="J15" s="134">
        <f>IF(SER_hh_emi_in!J15=0,0,1000000*SER_hh_emi_in!J15/SER_hh_num_in!J15)</f>
        <v>0</v>
      </c>
      <c r="K15" s="134">
        <f>IF(SER_hh_emi_in!K15=0,0,1000000*SER_hh_emi_in!K15/SER_hh_num_in!K15)</f>
        <v>0</v>
      </c>
      <c r="L15" s="134">
        <f>IF(SER_hh_emi_in!L15=0,0,1000000*SER_hh_emi_in!L15/SER_hh_num_in!L15)</f>
        <v>0</v>
      </c>
      <c r="M15" s="134">
        <f>IF(SER_hh_emi_in!M15=0,0,1000000*SER_hh_emi_in!M15/SER_hh_num_in!M15)</f>
        <v>0</v>
      </c>
      <c r="N15" s="134">
        <f>IF(SER_hh_emi_in!N15=0,0,1000000*SER_hh_emi_in!N15/SER_hh_num_in!N15)</f>
        <v>0</v>
      </c>
      <c r="O15" s="134">
        <f>IF(SER_hh_emi_in!O15=0,0,1000000*SER_hh_emi_in!O15/SER_hh_num_in!O15)</f>
        <v>0</v>
      </c>
      <c r="P15" s="134">
        <f>IF(SER_hh_emi_in!P15=0,0,1000000*SER_hh_emi_in!P15/SER_hh_num_in!P15)</f>
        <v>0</v>
      </c>
      <c r="Q15" s="134">
        <f>IF(SER_hh_emi_in!Q15=0,0,1000000*SER_hh_emi_in!Q15/SER_hh_num_in!Q15)</f>
        <v>0</v>
      </c>
      <c r="R15" s="134">
        <f>IF(SER_hh_emi_in!R15=0,0,1000000*SER_hh_emi_in!R15/SER_hh_num_in!R15)</f>
        <v>0</v>
      </c>
      <c r="S15" s="134">
        <f>IF(SER_hh_emi_in!S15=0,0,1000000*SER_hh_emi_in!S15/SER_hh_num_in!S15)</f>
        <v>0</v>
      </c>
      <c r="T15" s="134">
        <f>IF(SER_hh_emi_in!T15=0,0,1000000*SER_hh_emi_in!T15/SER_hh_num_in!T15)</f>
        <v>0</v>
      </c>
      <c r="U15" s="134">
        <f>IF(SER_hh_emi_in!U15=0,0,1000000*SER_hh_emi_in!U15/SER_hh_num_in!U15)</f>
        <v>0</v>
      </c>
      <c r="V15" s="134">
        <f>IF(SER_hh_emi_in!V15=0,0,1000000*SER_hh_emi_in!V15/SER_hh_num_in!V15)</f>
        <v>0</v>
      </c>
      <c r="W15" s="134">
        <f>IF(SER_hh_emi_in!W15=0,0,1000000*SER_hh_emi_in!W15/SER_hh_num_in!W15)</f>
        <v>0</v>
      </c>
      <c r="X15" s="134">
        <f>IF(SER_hh_emi_in!X15=0,0,1000000*SER_hh_emi_in!X15/SER_hh_num_in!X15)</f>
        <v>0</v>
      </c>
      <c r="Y15" s="134">
        <f>IF(SER_hh_emi_in!Y15=0,0,1000000*SER_hh_emi_in!Y15/SER_hh_num_in!Y15)</f>
        <v>0</v>
      </c>
      <c r="DA15" s="157" t="s">
        <v>798</v>
      </c>
    </row>
    <row r="16" spans="1:105" ht="12.95" customHeight="1" x14ac:dyDescent="0.25">
      <c r="A16" s="129" t="s">
        <v>74</v>
      </c>
      <c r="B16" s="130"/>
      <c r="C16" s="130">
        <f>IF(SER_hh_emi_in!C16=0,0,1000000*SER_hh_emi_in!C16/SER_hh_num_in!C16)</f>
        <v>2.0412575887042714</v>
      </c>
      <c r="D16" s="130">
        <f>IF(SER_hh_emi_in!D16=0,0,1000000*SER_hh_emi_in!D16/SER_hh_num_in!D16)</f>
        <v>1.0597626210201794</v>
      </c>
      <c r="E16" s="130">
        <f>IF(SER_hh_emi_in!E16=0,0,1000000*SER_hh_emi_in!E16/SER_hh_num_in!E16)</f>
        <v>4.135833554915811</v>
      </c>
      <c r="F16" s="130">
        <f>IF(SER_hh_emi_in!F16=0,0,1000000*SER_hh_emi_in!F16/SER_hh_num_in!F16)</f>
        <v>5.0628682556429778</v>
      </c>
      <c r="G16" s="130">
        <f>IF(SER_hh_emi_in!G16=0,0,1000000*SER_hh_emi_in!G16/SER_hh_num_in!G16)</f>
        <v>3.239020197138307</v>
      </c>
      <c r="H16" s="130">
        <f>IF(SER_hh_emi_in!H16=0,0,1000000*SER_hh_emi_in!H16/SER_hh_num_in!H16)</f>
        <v>4.289255796429158</v>
      </c>
      <c r="I16" s="130">
        <f>IF(SER_hh_emi_in!I16=0,0,1000000*SER_hh_emi_in!I16/SER_hh_num_in!I16)</f>
        <v>2.6571175216775509</v>
      </c>
      <c r="J16" s="130">
        <f>IF(SER_hh_emi_in!J16=0,0,1000000*SER_hh_emi_in!J16/SER_hh_num_in!J16)</f>
        <v>4.5933829690046339</v>
      </c>
      <c r="K16" s="130">
        <f>IF(SER_hh_emi_in!K16=0,0,1000000*SER_hh_emi_in!K16/SER_hh_num_in!K16)</f>
        <v>5.5798401617463096</v>
      </c>
      <c r="L16" s="130">
        <f>IF(SER_hh_emi_in!L16=0,0,1000000*SER_hh_emi_in!L16/SER_hh_num_in!L16)</f>
        <v>6.9519921213267271</v>
      </c>
      <c r="M16" s="130">
        <f>IF(SER_hh_emi_in!M16=0,0,1000000*SER_hh_emi_in!M16/SER_hh_num_in!M16)</f>
        <v>7.1324055367673891</v>
      </c>
      <c r="N16" s="130">
        <f>IF(SER_hh_emi_in!N16=0,0,1000000*SER_hh_emi_in!N16/SER_hh_num_in!N16)</f>
        <v>8.1700612035030034</v>
      </c>
      <c r="O16" s="130">
        <f>IF(SER_hh_emi_in!O16=0,0,1000000*SER_hh_emi_in!O16/SER_hh_num_in!O16)</f>
        <v>12.810168364017519</v>
      </c>
      <c r="P16" s="130">
        <f>IF(SER_hh_emi_in!P16=0,0,1000000*SER_hh_emi_in!P16/SER_hh_num_in!P16)</f>
        <v>9.0064450862756154</v>
      </c>
      <c r="Q16" s="130">
        <f>IF(SER_hh_emi_in!Q16=0,0,1000000*SER_hh_emi_in!Q16/SER_hh_num_in!Q16)</f>
        <v>15.835718149372074</v>
      </c>
      <c r="R16" s="130">
        <f>IF(SER_hh_emi_in!R16=0,0,1000000*SER_hh_emi_in!R16/SER_hh_num_in!R16)</f>
        <v>16.852738138512311</v>
      </c>
      <c r="S16" s="130">
        <f>IF(SER_hh_emi_in!S16=0,0,1000000*SER_hh_emi_in!S16/SER_hh_num_in!S16)</f>
        <v>14.26290847030975</v>
      </c>
      <c r="T16" s="130">
        <f>IF(SER_hh_emi_in!T16=0,0,1000000*SER_hh_emi_in!T16/SER_hh_num_in!T16)</f>
        <v>18.767854640905544</v>
      </c>
      <c r="U16" s="130">
        <f>IF(SER_hh_emi_in!U16=0,0,1000000*SER_hh_emi_in!U16/SER_hh_num_in!U16)</f>
        <v>11.773692632725245</v>
      </c>
      <c r="V16" s="130">
        <f>IF(SER_hh_emi_in!V16=0,0,1000000*SER_hh_emi_in!V16/SER_hh_num_in!V16)</f>
        <v>12.429074733098124</v>
      </c>
      <c r="W16" s="130">
        <f>IF(SER_hh_emi_in!W16=0,0,1000000*SER_hh_emi_in!W16/SER_hh_num_in!W16)</f>
        <v>9.9033612382882197</v>
      </c>
      <c r="X16" s="130">
        <f>IF(SER_hh_emi_in!X16=0,0,1000000*SER_hh_emi_in!X16/SER_hh_num_in!X16)</f>
        <v>13.985459510774035</v>
      </c>
      <c r="Y16" s="130">
        <f>IF(SER_hh_emi_in!Y16=0,0,1000000*SER_hh_emi_in!Y16/SER_hh_num_in!Y16)</f>
        <v>14.946045249576576</v>
      </c>
      <c r="DA16" s="155" t="s">
        <v>799</v>
      </c>
    </row>
    <row r="17" spans="1:105" ht="12.95" customHeight="1" x14ac:dyDescent="0.25">
      <c r="A17" s="131" t="s">
        <v>73</v>
      </c>
      <c r="B17" s="132"/>
      <c r="C17" s="132">
        <f>IF(SER_hh_emi_in!C17=0,0,1000000*SER_hh_emi_in!C17/SER_hh_num_in!C17)</f>
        <v>2805.4391440922504</v>
      </c>
      <c r="D17" s="132">
        <f>IF(SER_hh_emi_in!D17=0,0,1000000*SER_hh_emi_in!D17/SER_hh_num_in!D17)</f>
        <v>2429.7086451092187</v>
      </c>
      <c r="E17" s="132">
        <f>IF(SER_hh_emi_in!E17=0,0,1000000*SER_hh_emi_in!E17/SER_hh_num_in!E17)</f>
        <v>3473.6877767450155</v>
      </c>
      <c r="F17" s="132">
        <f>IF(SER_hh_emi_in!F17=0,0,1000000*SER_hh_emi_in!F17/SER_hh_num_in!F17)</f>
        <v>2668.2851340033794</v>
      </c>
      <c r="G17" s="132">
        <f>IF(SER_hh_emi_in!G17=0,0,1000000*SER_hh_emi_in!G17/SER_hh_num_in!G17)</f>
        <v>2794.366211176894</v>
      </c>
      <c r="H17" s="132">
        <f>IF(SER_hh_emi_in!H17=0,0,1000000*SER_hh_emi_in!H17/SER_hh_num_in!H17)</f>
        <v>2740.2965271311541</v>
      </c>
      <c r="I17" s="132">
        <f>IF(SER_hh_emi_in!I17=0,0,1000000*SER_hh_emi_in!I17/SER_hh_num_in!I17)</f>
        <v>2233.1179157151178</v>
      </c>
      <c r="J17" s="132">
        <f>IF(SER_hh_emi_in!J17=0,0,1000000*SER_hh_emi_in!J17/SER_hh_num_in!J17)</f>
        <v>2353.5664798311063</v>
      </c>
      <c r="K17" s="132">
        <f>IF(SER_hh_emi_in!K17=0,0,1000000*SER_hh_emi_in!K17/SER_hh_num_in!K17)</f>
        <v>2964.1222504242523</v>
      </c>
      <c r="L17" s="132">
        <f>IF(SER_hh_emi_in!L17=0,0,1000000*SER_hh_emi_in!L17/SER_hh_num_in!L17)</f>
        <v>2735.8674767045222</v>
      </c>
      <c r="M17" s="132">
        <f>IF(SER_hh_emi_in!M17=0,0,1000000*SER_hh_emi_in!M17/SER_hh_num_in!M17)</f>
        <v>2383.578770186813</v>
      </c>
      <c r="N17" s="132">
        <f>IF(SER_hh_emi_in!N17=0,0,1000000*SER_hh_emi_in!N17/SER_hh_num_in!N17)</f>
        <v>2792.0710612178618</v>
      </c>
      <c r="O17" s="132">
        <f>IF(SER_hh_emi_in!O17=0,0,1000000*SER_hh_emi_in!O17/SER_hh_num_in!O17)</f>
        <v>2159.5267668641814</v>
      </c>
      <c r="P17" s="132">
        <f>IF(SER_hh_emi_in!P17=0,0,1000000*SER_hh_emi_in!P17/SER_hh_num_in!P17)</f>
        <v>1959.1849944610738</v>
      </c>
      <c r="Q17" s="132">
        <f>IF(SER_hh_emi_in!Q17=0,0,1000000*SER_hh_emi_in!Q17/SER_hh_num_in!Q17)</f>
        <v>2868.9371945478524</v>
      </c>
      <c r="R17" s="132">
        <f>IF(SER_hh_emi_in!R17=0,0,1000000*SER_hh_emi_in!R17/SER_hh_num_in!R17)</f>
        <v>2685.8954957594915</v>
      </c>
      <c r="S17" s="132">
        <f>IF(SER_hh_emi_in!S17=0,0,1000000*SER_hh_emi_in!S17/SER_hh_num_in!S17)</f>
        <v>3032.6981554984877</v>
      </c>
      <c r="T17" s="132">
        <f>IF(SER_hh_emi_in!T17=0,0,1000000*SER_hh_emi_in!T17/SER_hh_num_in!T17)</f>
        <v>2107.125938452853</v>
      </c>
      <c r="U17" s="132">
        <f>IF(SER_hh_emi_in!U17=0,0,1000000*SER_hh_emi_in!U17/SER_hh_num_in!U17)</f>
        <v>2118.5510710289441</v>
      </c>
      <c r="V17" s="132">
        <f>IF(SER_hh_emi_in!V17=0,0,1000000*SER_hh_emi_in!V17/SER_hh_num_in!V17)</f>
        <v>2098.7476241803065</v>
      </c>
      <c r="W17" s="132">
        <f>IF(SER_hh_emi_in!W17=0,0,1000000*SER_hh_emi_in!W17/SER_hh_num_in!W17)</f>
        <v>1792.6928420910729</v>
      </c>
      <c r="X17" s="132">
        <f>IF(SER_hh_emi_in!X17=0,0,1000000*SER_hh_emi_in!X17/SER_hh_num_in!X17)</f>
        <v>2810.9420224880664</v>
      </c>
      <c r="Y17" s="132">
        <f>IF(SER_hh_emi_in!Y17=0,0,1000000*SER_hh_emi_in!Y17/SER_hh_num_in!Y17)</f>
        <v>2593.6330517294587</v>
      </c>
      <c r="DA17" s="156" t="s">
        <v>800</v>
      </c>
    </row>
    <row r="18" spans="1:105" ht="12" customHeight="1" x14ac:dyDescent="0.25">
      <c r="A18" s="131" t="s">
        <v>72</v>
      </c>
      <c r="B18" s="132"/>
      <c r="C18" s="132">
        <f>IF(SER_hh_emi_in!C18=0,0,1000000*SER_hh_emi_in!C18/SER_hh_num_in!C18)</f>
        <v>0</v>
      </c>
      <c r="D18" s="132">
        <f>IF(SER_hh_emi_in!D18=0,0,1000000*SER_hh_emi_in!D18/SER_hh_num_in!D18)</f>
        <v>0</v>
      </c>
      <c r="E18" s="132">
        <f>IF(SER_hh_emi_in!E18=0,0,1000000*SER_hh_emi_in!E18/SER_hh_num_in!E18)</f>
        <v>0</v>
      </c>
      <c r="F18" s="132">
        <f>IF(SER_hh_emi_in!F18=0,0,1000000*SER_hh_emi_in!F18/SER_hh_num_in!F18)</f>
        <v>0</v>
      </c>
      <c r="G18" s="132">
        <f>IF(SER_hh_emi_in!G18=0,0,1000000*SER_hh_emi_in!G18/SER_hh_num_in!G18)</f>
        <v>0</v>
      </c>
      <c r="H18" s="132">
        <f>IF(SER_hh_emi_in!H18=0,0,1000000*SER_hh_emi_in!H18/SER_hh_num_in!H18)</f>
        <v>0</v>
      </c>
      <c r="I18" s="132">
        <f>IF(SER_hh_emi_in!I18=0,0,1000000*SER_hh_emi_in!I18/SER_hh_num_in!I18)</f>
        <v>0</v>
      </c>
      <c r="J18" s="132">
        <f>IF(SER_hh_emi_in!J18=0,0,1000000*SER_hh_emi_in!J18/SER_hh_num_in!J18)</f>
        <v>0</v>
      </c>
      <c r="K18" s="132">
        <f>IF(SER_hh_emi_in!K18=0,0,1000000*SER_hh_emi_in!K18/SER_hh_num_in!K18)</f>
        <v>0</v>
      </c>
      <c r="L18" s="132">
        <f>IF(SER_hh_emi_in!L18=0,0,1000000*SER_hh_emi_in!L18/SER_hh_num_in!L18)</f>
        <v>0</v>
      </c>
      <c r="M18" s="132">
        <f>IF(SER_hh_emi_in!M18=0,0,1000000*SER_hh_emi_in!M18/SER_hh_num_in!M18)</f>
        <v>0</v>
      </c>
      <c r="N18" s="132">
        <f>IF(SER_hh_emi_in!N18=0,0,1000000*SER_hh_emi_in!N18/SER_hh_num_in!N18)</f>
        <v>0</v>
      </c>
      <c r="O18" s="132">
        <f>IF(SER_hh_emi_in!O18=0,0,1000000*SER_hh_emi_in!O18/SER_hh_num_in!O18)</f>
        <v>0</v>
      </c>
      <c r="P18" s="132">
        <f>IF(SER_hh_emi_in!P18=0,0,1000000*SER_hh_emi_in!P18/SER_hh_num_in!P18)</f>
        <v>0</v>
      </c>
      <c r="Q18" s="132">
        <f>IF(SER_hh_emi_in!Q18=0,0,1000000*SER_hh_emi_in!Q18/SER_hh_num_in!Q18)</f>
        <v>0</v>
      </c>
      <c r="R18" s="132">
        <f>IF(SER_hh_emi_in!R18=0,0,1000000*SER_hh_emi_in!R18/SER_hh_num_in!R18)</f>
        <v>0</v>
      </c>
      <c r="S18" s="132">
        <f>IF(SER_hh_emi_in!S18=0,0,1000000*SER_hh_emi_in!S18/SER_hh_num_in!S18)</f>
        <v>0</v>
      </c>
      <c r="T18" s="132">
        <f>IF(SER_hh_emi_in!T18=0,0,1000000*SER_hh_emi_in!T18/SER_hh_num_in!T18)</f>
        <v>0</v>
      </c>
      <c r="U18" s="132">
        <f>IF(SER_hh_emi_in!U18=0,0,1000000*SER_hh_emi_in!U18/SER_hh_num_in!U18)</f>
        <v>0</v>
      </c>
      <c r="V18" s="132">
        <f>IF(SER_hh_emi_in!V18=0,0,1000000*SER_hh_emi_in!V18/SER_hh_num_in!V18)</f>
        <v>0</v>
      </c>
      <c r="W18" s="132">
        <f>IF(SER_hh_emi_in!W18=0,0,1000000*SER_hh_emi_in!W18/SER_hh_num_in!W18)</f>
        <v>0</v>
      </c>
      <c r="X18" s="132">
        <f>IF(SER_hh_emi_in!X18=0,0,1000000*SER_hh_emi_in!X18/SER_hh_num_in!X18)</f>
        <v>0</v>
      </c>
      <c r="Y18" s="132">
        <f>IF(SER_hh_emi_in!Y18=0,0,1000000*SER_hh_emi_in!Y18/SER_hh_num_in!Y18)</f>
        <v>0</v>
      </c>
      <c r="DA18" s="156" t="s">
        <v>801</v>
      </c>
    </row>
    <row r="19" spans="1:105" ht="12.95" customHeight="1" x14ac:dyDescent="0.25">
      <c r="A19" s="129" t="s">
        <v>35</v>
      </c>
      <c r="B19" s="130"/>
      <c r="C19" s="130">
        <f>IF(SER_hh_emi_in!C19=0,0,1000000*SER_hh_emi_in!C19/SER_hh_num_in!C19)</f>
        <v>386.97571086654051</v>
      </c>
      <c r="D19" s="130">
        <f>IF(SER_hh_emi_in!D19=0,0,1000000*SER_hh_emi_in!D19/SER_hh_num_in!D19)</f>
        <v>359.86296752520661</v>
      </c>
      <c r="E19" s="130">
        <f>IF(SER_hh_emi_in!E19=0,0,1000000*SER_hh_emi_in!E19/SER_hh_num_in!E19)</f>
        <v>401.5286024033025</v>
      </c>
      <c r="F19" s="130">
        <f>IF(SER_hh_emi_in!F19=0,0,1000000*SER_hh_emi_in!F19/SER_hh_num_in!F19)</f>
        <v>490.23003816279061</v>
      </c>
      <c r="G19" s="130">
        <f>IF(SER_hh_emi_in!G19=0,0,1000000*SER_hh_emi_in!G19/SER_hh_num_in!G19)</f>
        <v>677.14430127865796</v>
      </c>
      <c r="H19" s="130">
        <f>IF(SER_hh_emi_in!H19=0,0,1000000*SER_hh_emi_in!H19/SER_hh_num_in!H19)</f>
        <v>1122.5183086782431</v>
      </c>
      <c r="I19" s="130">
        <f>IF(SER_hh_emi_in!I19=0,0,1000000*SER_hh_emi_in!I19/SER_hh_num_in!I19)</f>
        <v>740.40915230163716</v>
      </c>
      <c r="J19" s="130">
        <f>IF(SER_hh_emi_in!J19=0,0,1000000*SER_hh_emi_in!J19/SER_hh_num_in!J19)</f>
        <v>569.24998663014128</v>
      </c>
      <c r="K19" s="130">
        <f>IF(SER_hh_emi_in!K19=0,0,1000000*SER_hh_emi_in!K19/SER_hh_num_in!K19)</f>
        <v>550.17202603027363</v>
      </c>
      <c r="L19" s="130">
        <f>IF(SER_hh_emi_in!L19=0,0,1000000*SER_hh_emi_in!L19/SER_hh_num_in!L19)</f>
        <v>680.00423947949139</v>
      </c>
      <c r="M19" s="130">
        <f>IF(SER_hh_emi_in!M19=0,0,1000000*SER_hh_emi_in!M19/SER_hh_num_in!M19)</f>
        <v>871.19997985035957</v>
      </c>
      <c r="N19" s="130">
        <f>IF(SER_hh_emi_in!N19=0,0,1000000*SER_hh_emi_in!N19/SER_hh_num_in!N19)</f>
        <v>1036.5031140700705</v>
      </c>
      <c r="O19" s="130">
        <f>IF(SER_hh_emi_in!O19=0,0,1000000*SER_hh_emi_in!O19/SER_hh_num_in!O19)</f>
        <v>1180.9769110326697</v>
      </c>
      <c r="P19" s="130">
        <f>IF(SER_hh_emi_in!P19=0,0,1000000*SER_hh_emi_in!P19/SER_hh_num_in!P19)</f>
        <v>1109.1239978573531</v>
      </c>
      <c r="Q19" s="130">
        <f>IF(SER_hh_emi_in!Q19=0,0,1000000*SER_hh_emi_in!Q19/SER_hh_num_in!Q19)</f>
        <v>984.71444969571235</v>
      </c>
      <c r="R19" s="130">
        <f>IF(SER_hh_emi_in!R19=0,0,1000000*SER_hh_emi_in!R19/SER_hh_num_in!R19)</f>
        <v>761.18480240989231</v>
      </c>
      <c r="S19" s="130">
        <f>IF(SER_hh_emi_in!S19=0,0,1000000*SER_hh_emi_in!S19/SER_hh_num_in!S19)</f>
        <v>552.34661516544634</v>
      </c>
      <c r="T19" s="130">
        <f>IF(SER_hh_emi_in!T19=0,0,1000000*SER_hh_emi_in!T19/SER_hh_num_in!T19)</f>
        <v>507.84107321367429</v>
      </c>
      <c r="U19" s="130">
        <f>IF(SER_hh_emi_in!U19=0,0,1000000*SER_hh_emi_in!U19/SER_hh_num_in!U19)</f>
        <v>667.80636480036151</v>
      </c>
      <c r="V19" s="130">
        <f>IF(SER_hh_emi_in!V19=0,0,1000000*SER_hh_emi_in!V19/SER_hh_num_in!V19)</f>
        <v>761.62102149956252</v>
      </c>
      <c r="W19" s="130">
        <f>IF(SER_hh_emi_in!W19=0,0,1000000*SER_hh_emi_in!W19/SER_hh_num_in!W19)</f>
        <v>814.59298167101724</v>
      </c>
      <c r="X19" s="130">
        <f>IF(SER_hh_emi_in!X19=0,0,1000000*SER_hh_emi_in!X19/SER_hh_num_in!X19)</f>
        <v>765.85940270134677</v>
      </c>
      <c r="Y19" s="130">
        <f>IF(SER_hh_emi_in!Y19=0,0,1000000*SER_hh_emi_in!Y19/SER_hh_num_in!Y19)</f>
        <v>666.2558087879122</v>
      </c>
      <c r="DA19" s="155" t="s">
        <v>802</v>
      </c>
    </row>
    <row r="20" spans="1:105" ht="12" customHeight="1" x14ac:dyDescent="0.25">
      <c r="A20" s="131" t="s">
        <v>29</v>
      </c>
      <c r="B20" s="132"/>
      <c r="C20" s="132">
        <f>IF(SER_hh_emi_in!C20=0,0,1000000*SER_hh_emi_in!C20/SER_hh_num_in!C20)</f>
        <v>0</v>
      </c>
      <c r="D20" s="132">
        <f>IF(SER_hh_emi_in!D20=0,0,1000000*SER_hh_emi_in!D20/SER_hh_num_in!D20)</f>
        <v>0</v>
      </c>
      <c r="E20" s="132">
        <f>IF(SER_hh_emi_in!E20=0,0,1000000*SER_hh_emi_in!E20/SER_hh_num_in!E20)</f>
        <v>0</v>
      </c>
      <c r="F20" s="132">
        <f>IF(SER_hh_emi_in!F20=0,0,1000000*SER_hh_emi_in!F20/SER_hh_num_in!F20)</f>
        <v>0</v>
      </c>
      <c r="G20" s="132">
        <f>IF(SER_hh_emi_in!G20=0,0,1000000*SER_hh_emi_in!G20/SER_hh_num_in!G20)</f>
        <v>0</v>
      </c>
      <c r="H20" s="132">
        <f>IF(SER_hh_emi_in!H20=0,0,1000000*SER_hh_emi_in!H20/SER_hh_num_in!H20)</f>
        <v>0</v>
      </c>
      <c r="I20" s="132">
        <f>IF(SER_hh_emi_in!I20=0,0,1000000*SER_hh_emi_in!I20/SER_hh_num_in!I20)</f>
        <v>0</v>
      </c>
      <c r="J20" s="132">
        <f>IF(SER_hh_emi_in!J20=0,0,1000000*SER_hh_emi_in!J20/SER_hh_num_in!J20)</f>
        <v>0</v>
      </c>
      <c r="K20" s="132">
        <f>IF(SER_hh_emi_in!K20=0,0,1000000*SER_hh_emi_in!K20/SER_hh_num_in!K20)</f>
        <v>0</v>
      </c>
      <c r="L20" s="132">
        <f>IF(SER_hh_emi_in!L20=0,0,1000000*SER_hh_emi_in!L20/SER_hh_num_in!L20)</f>
        <v>0</v>
      </c>
      <c r="M20" s="132">
        <f>IF(SER_hh_emi_in!M20=0,0,1000000*SER_hh_emi_in!M20/SER_hh_num_in!M20)</f>
        <v>0</v>
      </c>
      <c r="N20" s="132">
        <f>IF(SER_hh_emi_in!N20=0,0,1000000*SER_hh_emi_in!N20/SER_hh_num_in!N20)</f>
        <v>0</v>
      </c>
      <c r="O20" s="132">
        <f>IF(SER_hh_emi_in!O20=0,0,1000000*SER_hh_emi_in!O20/SER_hh_num_in!O20)</f>
        <v>0</v>
      </c>
      <c r="P20" s="132">
        <f>IF(SER_hh_emi_in!P20=0,0,1000000*SER_hh_emi_in!P20/SER_hh_num_in!P20)</f>
        <v>0</v>
      </c>
      <c r="Q20" s="132">
        <f>IF(SER_hh_emi_in!Q20=0,0,1000000*SER_hh_emi_in!Q20/SER_hh_num_in!Q20)</f>
        <v>0</v>
      </c>
      <c r="R20" s="132">
        <f>IF(SER_hh_emi_in!R20=0,0,1000000*SER_hh_emi_in!R20/SER_hh_num_in!R20)</f>
        <v>0</v>
      </c>
      <c r="S20" s="132">
        <f>IF(SER_hh_emi_in!S20=0,0,1000000*SER_hh_emi_in!S20/SER_hh_num_in!S20)</f>
        <v>0</v>
      </c>
      <c r="T20" s="132">
        <f>IF(SER_hh_emi_in!T20=0,0,1000000*SER_hh_emi_in!T20/SER_hh_num_in!T20)</f>
        <v>0</v>
      </c>
      <c r="U20" s="132">
        <f>IF(SER_hh_emi_in!U20=0,0,1000000*SER_hh_emi_in!U20/SER_hh_num_in!U20)</f>
        <v>0</v>
      </c>
      <c r="V20" s="132">
        <f>IF(SER_hh_emi_in!V20=0,0,1000000*SER_hh_emi_in!V20/SER_hh_num_in!V20)</f>
        <v>0</v>
      </c>
      <c r="W20" s="132">
        <f>IF(SER_hh_emi_in!W20=0,0,1000000*SER_hh_emi_in!W20/SER_hh_num_in!W20)</f>
        <v>0</v>
      </c>
      <c r="X20" s="132">
        <f>IF(SER_hh_emi_in!X20=0,0,1000000*SER_hh_emi_in!X20/SER_hh_num_in!X20)</f>
        <v>0</v>
      </c>
      <c r="Y20" s="132">
        <f>IF(SER_hh_emi_in!Y20=0,0,1000000*SER_hh_emi_in!Y20/SER_hh_num_in!Y20)</f>
        <v>0</v>
      </c>
      <c r="DA20" s="156" t="s">
        <v>803</v>
      </c>
    </row>
    <row r="21" spans="1:105" s="2" customFormat="1" ht="12" customHeight="1" x14ac:dyDescent="0.25">
      <c r="A21" s="131" t="s">
        <v>52</v>
      </c>
      <c r="B21" s="132"/>
      <c r="C21" s="132">
        <f>IF(SER_hh_emi_in!C21=0,0,1000000*SER_hh_emi_in!C21/SER_hh_num_in!C21)</f>
        <v>1402.6344610071733</v>
      </c>
      <c r="D21" s="132">
        <f>IF(SER_hh_emi_in!D21=0,0,1000000*SER_hh_emi_in!D21/SER_hh_num_in!D21)</f>
        <v>1522.9664274166028</v>
      </c>
      <c r="E21" s="132">
        <f>IF(SER_hh_emi_in!E21=0,0,1000000*SER_hh_emi_in!E21/SER_hh_num_in!E21)</f>
        <v>1546.4848427374311</v>
      </c>
      <c r="F21" s="132">
        <f>IF(SER_hh_emi_in!F21=0,0,1000000*SER_hh_emi_in!F21/SER_hh_num_in!F21)</f>
        <v>1507.8742666870689</v>
      </c>
      <c r="G21" s="132">
        <f>IF(SER_hh_emi_in!G21=0,0,1000000*SER_hh_emi_in!G21/SER_hh_num_in!G21)</f>
        <v>1503.2254486991608</v>
      </c>
      <c r="H21" s="132">
        <f>IF(SER_hh_emi_in!H21=0,0,1000000*SER_hh_emi_in!H21/SER_hh_num_in!H21)</f>
        <v>1531.8995686334222</v>
      </c>
      <c r="I21" s="132">
        <f>IF(SER_hh_emi_in!I21=0,0,1000000*SER_hh_emi_in!I21/SER_hh_num_in!I21)</f>
        <v>1564.5376291463147</v>
      </c>
      <c r="J21" s="132">
        <f>IF(SER_hh_emi_in!J21=0,0,1000000*SER_hh_emi_in!J21/SER_hh_num_in!J21)</f>
        <v>1533.099310446838</v>
      </c>
      <c r="K21" s="132">
        <f>IF(SER_hh_emi_in!K21=0,0,1000000*SER_hh_emi_in!K21/SER_hh_num_in!K21)</f>
        <v>1212.1392737745546</v>
      </c>
      <c r="L21" s="132">
        <f>IF(SER_hh_emi_in!L21=0,0,1000000*SER_hh_emi_in!L21/SER_hh_num_in!L21)</f>
        <v>1566.7270054247228</v>
      </c>
      <c r="M21" s="132">
        <f>IF(SER_hh_emi_in!M21=0,0,1000000*SER_hh_emi_in!M21/SER_hh_num_in!M21)</f>
        <v>1494.8731098035819</v>
      </c>
      <c r="N21" s="132">
        <f>IF(SER_hh_emi_in!N21=0,0,1000000*SER_hh_emi_in!N21/SER_hh_num_in!N21)</f>
        <v>1474.5413357711188</v>
      </c>
      <c r="O21" s="132">
        <f>IF(SER_hh_emi_in!O21=0,0,1000000*SER_hh_emi_in!O21/SER_hh_num_in!O21)</f>
        <v>1420.1034475180286</v>
      </c>
      <c r="P21" s="132">
        <f>IF(SER_hh_emi_in!P21=0,0,1000000*SER_hh_emi_in!P21/SER_hh_num_in!P21)</f>
        <v>1163.3654758561706</v>
      </c>
      <c r="Q21" s="132">
        <f>IF(SER_hh_emi_in!Q21=0,0,1000000*SER_hh_emi_in!Q21/SER_hh_num_in!Q21)</f>
        <v>1194.0748766925474</v>
      </c>
      <c r="R21" s="132">
        <f>IF(SER_hh_emi_in!R21=0,0,1000000*SER_hh_emi_in!R21/SER_hh_num_in!R21)</f>
        <v>1164.3194604410955</v>
      </c>
      <c r="S21" s="132">
        <f>IF(SER_hh_emi_in!S21=0,0,1000000*SER_hh_emi_in!S21/SER_hh_num_in!S21)</f>
        <v>1117.3656577099973</v>
      </c>
      <c r="T21" s="132">
        <f>IF(SER_hh_emi_in!T21=0,0,1000000*SER_hh_emi_in!T21/SER_hh_num_in!T21)</f>
        <v>0</v>
      </c>
      <c r="U21" s="132">
        <f>IF(SER_hh_emi_in!U21=0,0,1000000*SER_hh_emi_in!U21/SER_hh_num_in!U21)</f>
        <v>0</v>
      </c>
      <c r="V21" s="132">
        <f>IF(SER_hh_emi_in!V21=0,0,1000000*SER_hh_emi_in!V21/SER_hh_num_in!V21)</f>
        <v>0</v>
      </c>
      <c r="W21" s="132">
        <f>IF(SER_hh_emi_in!W21=0,0,1000000*SER_hh_emi_in!W21/SER_hh_num_in!W21)</f>
        <v>853.85412910744594</v>
      </c>
      <c r="X21" s="132">
        <f>IF(SER_hh_emi_in!X21=0,0,1000000*SER_hh_emi_in!X21/SER_hh_num_in!X21)</f>
        <v>883.54069040865591</v>
      </c>
      <c r="Y21" s="132">
        <f>IF(SER_hh_emi_in!Y21=0,0,1000000*SER_hh_emi_in!Y21/SER_hh_num_in!Y21)</f>
        <v>1101.1586637038486</v>
      </c>
      <c r="DA21" s="156" t="s">
        <v>804</v>
      </c>
    </row>
    <row r="22" spans="1:105" ht="12" customHeight="1" x14ac:dyDescent="0.25">
      <c r="A22" s="131" t="s">
        <v>161</v>
      </c>
      <c r="B22" s="132"/>
      <c r="C22" s="132">
        <f>IF(SER_hh_emi_in!C22=0,0,1000000*SER_hh_emi_in!C22/SER_hh_num_in!C22)</f>
        <v>1804.4003505855428</v>
      </c>
      <c r="D22" s="132">
        <f>IF(SER_hh_emi_in!D22=0,0,1000000*SER_hh_emi_in!D22/SER_hh_num_in!D22)</f>
        <v>1907.0543611647131</v>
      </c>
      <c r="E22" s="132">
        <f>IF(SER_hh_emi_in!E22=0,0,1000000*SER_hh_emi_in!E22/SER_hh_num_in!E22)</f>
        <v>1897.9697818048671</v>
      </c>
      <c r="F22" s="132">
        <f>IF(SER_hh_emi_in!F22=0,0,1000000*SER_hh_emi_in!F22/SER_hh_num_in!F22)</f>
        <v>1943.3849936960798</v>
      </c>
      <c r="G22" s="132">
        <f>IF(SER_hh_emi_in!G22=0,0,1000000*SER_hh_emi_in!G22/SER_hh_num_in!G22)</f>
        <v>1939.0120919977455</v>
      </c>
      <c r="H22" s="132">
        <f>IF(SER_hh_emi_in!H22=0,0,1000000*SER_hh_emi_in!H22/SER_hh_num_in!H22)</f>
        <v>1896.3796939324354</v>
      </c>
      <c r="I22" s="132">
        <f>IF(SER_hh_emi_in!I22=0,0,1000000*SER_hh_emi_in!I22/SER_hh_num_in!I22)</f>
        <v>1937.113290441753</v>
      </c>
      <c r="J22" s="132">
        <f>IF(SER_hh_emi_in!J22=0,0,1000000*SER_hh_emi_in!J22/SER_hh_num_in!J22)</f>
        <v>1873.4743381875103</v>
      </c>
      <c r="K22" s="132">
        <f>IF(SER_hh_emi_in!K22=0,0,1000000*SER_hh_emi_in!K22/SER_hh_num_in!K22)</f>
        <v>1427.5599207120083</v>
      </c>
      <c r="L22" s="132">
        <f>IF(SER_hh_emi_in!L22=0,0,1000000*SER_hh_emi_in!L22/SER_hh_num_in!L22)</f>
        <v>1910.7245506999395</v>
      </c>
      <c r="M22" s="132">
        <f>IF(SER_hh_emi_in!M22=0,0,1000000*SER_hh_emi_in!M22/SER_hh_num_in!M22)</f>
        <v>1820.6417442758327</v>
      </c>
      <c r="N22" s="132">
        <f>IF(SER_hh_emi_in!N22=0,0,1000000*SER_hh_emi_in!N22/SER_hh_num_in!N22)</f>
        <v>1799.1926749959973</v>
      </c>
      <c r="O22" s="132">
        <f>IF(SER_hh_emi_in!O22=0,0,1000000*SER_hh_emi_in!O22/SER_hh_num_in!O22)</f>
        <v>1705.84275511789</v>
      </c>
      <c r="P22" s="132">
        <f>IF(SER_hh_emi_in!P22=0,0,1000000*SER_hh_emi_in!P22/SER_hh_num_in!P22)</f>
        <v>1365.4162104934037</v>
      </c>
      <c r="Q22" s="132">
        <f>IF(SER_hh_emi_in!Q22=0,0,1000000*SER_hh_emi_in!Q22/SER_hh_num_in!Q22)</f>
        <v>1452.1765656648004</v>
      </c>
      <c r="R22" s="132">
        <f>IF(SER_hh_emi_in!R22=0,0,1000000*SER_hh_emi_in!R22/SER_hh_num_in!R22)</f>
        <v>1413.4857215990808</v>
      </c>
      <c r="S22" s="132">
        <f>IF(SER_hh_emi_in!S22=0,0,1000000*SER_hh_emi_in!S22/SER_hh_num_in!S22)</f>
        <v>1321.7009396698711</v>
      </c>
      <c r="T22" s="132">
        <f>IF(SER_hh_emi_in!T22=0,0,1000000*SER_hh_emi_in!T22/SER_hh_num_in!T22)</f>
        <v>1307.1817684116347</v>
      </c>
      <c r="U22" s="132">
        <f>IF(SER_hh_emi_in!U22=0,0,1000000*SER_hh_emi_in!U22/SER_hh_num_in!U22)</f>
        <v>1226.0169834699054</v>
      </c>
      <c r="V22" s="132">
        <f>IF(SER_hh_emi_in!V22=0,0,1000000*SER_hh_emi_in!V22/SER_hh_num_in!V22)</f>
        <v>1084.7918791624379</v>
      </c>
      <c r="W22" s="132">
        <f>IF(SER_hh_emi_in!W22=0,0,1000000*SER_hh_emi_in!W22/SER_hh_num_in!W22)</f>
        <v>1221.6386296170151</v>
      </c>
      <c r="X22" s="132">
        <f>IF(SER_hh_emi_in!X22=0,0,1000000*SER_hh_emi_in!X22/SER_hh_num_in!X22)</f>
        <v>1157.7836139585306</v>
      </c>
      <c r="Y22" s="132">
        <f>IF(SER_hh_emi_in!Y22=0,0,1000000*SER_hh_emi_in!Y22/SER_hh_num_in!Y22)</f>
        <v>1159.0331246113444</v>
      </c>
      <c r="DA22" s="156" t="s">
        <v>805</v>
      </c>
    </row>
    <row r="23" spans="1:105" ht="12" customHeight="1" x14ac:dyDescent="0.25">
      <c r="A23" s="131" t="s">
        <v>149</v>
      </c>
      <c r="B23" s="132"/>
      <c r="C23" s="132">
        <f>IF(SER_hh_emi_in!C23=0,0,1000000*SER_hh_emi_in!C23/SER_hh_num_in!C23)</f>
        <v>0</v>
      </c>
      <c r="D23" s="132">
        <f>IF(SER_hh_emi_in!D23=0,0,1000000*SER_hh_emi_in!D23/SER_hh_num_in!D23)</f>
        <v>0</v>
      </c>
      <c r="E23" s="132">
        <f>IF(SER_hh_emi_in!E23=0,0,1000000*SER_hh_emi_in!E23/SER_hh_num_in!E23)</f>
        <v>0</v>
      </c>
      <c r="F23" s="132">
        <f>IF(SER_hh_emi_in!F23=0,0,1000000*SER_hh_emi_in!F23/SER_hh_num_in!F23)</f>
        <v>1032.3320079933585</v>
      </c>
      <c r="G23" s="132">
        <f>IF(SER_hh_emi_in!G23=0,0,1000000*SER_hh_emi_in!G23/SER_hh_num_in!G23)</f>
        <v>931.91412652053987</v>
      </c>
      <c r="H23" s="132">
        <f>IF(SER_hh_emi_in!H23=0,0,1000000*SER_hh_emi_in!H23/SER_hh_num_in!H23)</f>
        <v>1538.2733962072953</v>
      </c>
      <c r="I23" s="132">
        <f>IF(SER_hh_emi_in!I23=0,0,1000000*SER_hh_emi_in!I23/SER_hh_num_in!I23)</f>
        <v>1362.0922422952844</v>
      </c>
      <c r="J23" s="132">
        <f>IF(SER_hh_emi_in!J23=0,0,1000000*SER_hh_emi_in!J23/SER_hh_num_in!J23)</f>
        <v>1265.8020254015285</v>
      </c>
      <c r="K23" s="132">
        <f>IF(SER_hh_emi_in!K23=0,0,1000000*SER_hh_emi_in!K23/SER_hh_num_in!K23)</f>
        <v>873.00284596006259</v>
      </c>
      <c r="L23" s="132">
        <f>IF(SER_hh_emi_in!L23=0,0,1000000*SER_hh_emi_in!L23/SER_hh_num_in!L23)</f>
        <v>1268.1818731838598</v>
      </c>
      <c r="M23" s="132">
        <f>IF(SER_hh_emi_in!M23=0,0,1000000*SER_hh_emi_in!M23/SER_hh_num_in!M23)</f>
        <v>1153.7084365221217</v>
      </c>
      <c r="N23" s="132">
        <f>IF(SER_hh_emi_in!N23=0,0,1000000*SER_hh_emi_in!N23/SER_hh_num_in!N23)</f>
        <v>1147.7873204933126</v>
      </c>
      <c r="O23" s="132">
        <f>IF(SER_hh_emi_in!O23=0,0,1000000*SER_hh_emi_in!O23/SER_hh_num_in!O23)</f>
        <v>1123.1674754677701</v>
      </c>
      <c r="P23" s="132">
        <f>IF(SER_hh_emi_in!P23=0,0,1000000*SER_hh_emi_in!P23/SER_hh_num_in!P23)</f>
        <v>896.75670392519544</v>
      </c>
      <c r="Q23" s="132">
        <f>IF(SER_hh_emi_in!Q23=0,0,1000000*SER_hh_emi_in!Q23/SER_hh_num_in!Q23)</f>
        <v>931.61660637905391</v>
      </c>
      <c r="R23" s="132">
        <f>IF(SER_hh_emi_in!R23=0,0,1000000*SER_hh_emi_in!R23/SER_hh_num_in!R23)</f>
        <v>908.27948938257077</v>
      </c>
      <c r="S23" s="132">
        <f>IF(SER_hh_emi_in!S23=0,0,1000000*SER_hh_emi_in!S23/SER_hh_num_in!S23)</f>
        <v>889.56898724782809</v>
      </c>
      <c r="T23" s="132">
        <f>IF(SER_hh_emi_in!T23=0,0,1000000*SER_hh_emi_in!T23/SER_hh_num_in!T23)</f>
        <v>887.61325575469198</v>
      </c>
      <c r="U23" s="132">
        <f>IF(SER_hh_emi_in!U23=0,0,1000000*SER_hh_emi_in!U23/SER_hh_num_in!U23)</f>
        <v>872.29623538991302</v>
      </c>
      <c r="V23" s="132">
        <f>IF(SER_hh_emi_in!V23=0,0,1000000*SER_hh_emi_in!V23/SER_hh_num_in!V23)</f>
        <v>748.17900643731195</v>
      </c>
      <c r="W23" s="132">
        <f>IF(SER_hh_emi_in!W23=0,0,1000000*SER_hh_emi_in!W23/SER_hh_num_in!W23)</f>
        <v>857.69335035479855</v>
      </c>
      <c r="X23" s="132">
        <f>IF(SER_hh_emi_in!X23=0,0,1000000*SER_hh_emi_in!X23/SER_hh_num_in!X23)</f>
        <v>804.94266008885234</v>
      </c>
      <c r="Y23" s="132">
        <f>IF(SER_hh_emi_in!Y23=0,0,1000000*SER_hh_emi_in!Y23/SER_hh_num_in!Y23)</f>
        <v>816.03102218226775</v>
      </c>
      <c r="DA23" s="156" t="s">
        <v>806</v>
      </c>
    </row>
    <row r="24" spans="1:105" ht="12" customHeight="1" x14ac:dyDescent="0.25">
      <c r="A24" s="131" t="s">
        <v>128</v>
      </c>
      <c r="B24" s="132"/>
      <c r="C24" s="132">
        <f>IF(SER_hh_emi_in!C24=0,0,1000000*SER_hh_emi_in!C24/SER_hh_num_in!C24)</f>
        <v>0</v>
      </c>
      <c r="D24" s="132">
        <f>IF(SER_hh_emi_in!D24=0,0,1000000*SER_hh_emi_in!D24/SER_hh_num_in!D24)</f>
        <v>0</v>
      </c>
      <c r="E24" s="132">
        <f>IF(SER_hh_emi_in!E24=0,0,1000000*SER_hh_emi_in!E24/SER_hh_num_in!E24)</f>
        <v>0</v>
      </c>
      <c r="F24" s="132">
        <f>IF(SER_hh_emi_in!F24=0,0,1000000*SER_hh_emi_in!F24/SER_hh_num_in!F24)</f>
        <v>0</v>
      </c>
      <c r="G24" s="132">
        <f>IF(SER_hh_emi_in!G24=0,0,1000000*SER_hh_emi_in!G24/SER_hh_num_in!G24)</f>
        <v>0</v>
      </c>
      <c r="H24" s="132">
        <f>IF(SER_hh_emi_in!H24=0,0,1000000*SER_hh_emi_in!H24/SER_hh_num_in!H24)</f>
        <v>0</v>
      </c>
      <c r="I24" s="132">
        <f>IF(SER_hh_emi_in!I24=0,0,1000000*SER_hh_emi_in!I24/SER_hh_num_in!I24)</f>
        <v>0</v>
      </c>
      <c r="J24" s="132">
        <f>IF(SER_hh_emi_in!J24=0,0,1000000*SER_hh_emi_in!J24/SER_hh_num_in!J24)</f>
        <v>0</v>
      </c>
      <c r="K24" s="132">
        <f>IF(SER_hh_emi_in!K24=0,0,1000000*SER_hh_emi_in!K24/SER_hh_num_in!K24)</f>
        <v>0</v>
      </c>
      <c r="L24" s="132">
        <f>IF(SER_hh_emi_in!L24=0,0,1000000*SER_hh_emi_in!L24/SER_hh_num_in!L24)</f>
        <v>0</v>
      </c>
      <c r="M24" s="132">
        <f>IF(SER_hh_emi_in!M24=0,0,1000000*SER_hh_emi_in!M24/SER_hh_num_in!M24)</f>
        <v>0</v>
      </c>
      <c r="N24" s="132">
        <f>IF(SER_hh_emi_in!N24=0,0,1000000*SER_hh_emi_in!N24/SER_hh_num_in!N24)</f>
        <v>0</v>
      </c>
      <c r="O24" s="132">
        <f>IF(SER_hh_emi_in!O24=0,0,1000000*SER_hh_emi_in!O24/SER_hh_num_in!O24)</f>
        <v>0</v>
      </c>
      <c r="P24" s="132">
        <f>IF(SER_hh_emi_in!P24=0,0,1000000*SER_hh_emi_in!P24/SER_hh_num_in!P24)</f>
        <v>0</v>
      </c>
      <c r="Q24" s="132">
        <f>IF(SER_hh_emi_in!Q24=0,0,1000000*SER_hh_emi_in!Q24/SER_hh_num_in!Q24)</f>
        <v>0</v>
      </c>
      <c r="R24" s="132">
        <f>IF(SER_hh_emi_in!R24=0,0,1000000*SER_hh_emi_in!R24/SER_hh_num_in!R24)</f>
        <v>0</v>
      </c>
      <c r="S24" s="132">
        <f>IF(SER_hh_emi_in!S24=0,0,1000000*SER_hh_emi_in!S24/SER_hh_num_in!S24)</f>
        <v>0</v>
      </c>
      <c r="T24" s="132">
        <f>IF(SER_hh_emi_in!T24=0,0,1000000*SER_hh_emi_in!T24/SER_hh_num_in!T24)</f>
        <v>0</v>
      </c>
      <c r="U24" s="132">
        <f>IF(SER_hh_emi_in!U24=0,0,1000000*SER_hh_emi_in!U24/SER_hh_num_in!U24)</f>
        <v>0</v>
      </c>
      <c r="V24" s="132">
        <f>IF(SER_hh_emi_in!V24=0,0,1000000*SER_hh_emi_in!V24/SER_hh_num_in!V24)</f>
        <v>0</v>
      </c>
      <c r="W24" s="132">
        <f>IF(SER_hh_emi_in!W24=0,0,1000000*SER_hh_emi_in!W24/SER_hh_num_in!W24)</f>
        <v>0</v>
      </c>
      <c r="X24" s="132">
        <f>IF(SER_hh_emi_in!X24=0,0,1000000*SER_hh_emi_in!X24/SER_hh_num_in!X24)</f>
        <v>0</v>
      </c>
      <c r="Y24" s="132">
        <f>IF(SER_hh_emi_in!Y24=0,0,1000000*SER_hh_emi_in!Y24/SER_hh_num_in!Y24)</f>
        <v>0</v>
      </c>
      <c r="DA24" s="156" t="s">
        <v>807</v>
      </c>
    </row>
    <row r="25" spans="1:105" ht="12" customHeight="1" x14ac:dyDescent="0.25">
      <c r="A25" s="131" t="s">
        <v>162</v>
      </c>
      <c r="B25" s="132"/>
      <c r="C25" s="132">
        <f>IF(SER_hh_emi_in!C25=0,0,1000000*SER_hh_emi_in!C25/SER_hh_num_in!C25)</f>
        <v>0</v>
      </c>
      <c r="D25" s="132">
        <f>IF(SER_hh_emi_in!D25=0,0,1000000*SER_hh_emi_in!D25/SER_hh_num_in!D25)</f>
        <v>0</v>
      </c>
      <c r="E25" s="132">
        <f>IF(SER_hh_emi_in!E25=0,0,1000000*SER_hh_emi_in!E25/SER_hh_num_in!E25)</f>
        <v>0</v>
      </c>
      <c r="F25" s="132">
        <f>IF(SER_hh_emi_in!F25=0,0,1000000*SER_hh_emi_in!F25/SER_hh_num_in!F25)</f>
        <v>0</v>
      </c>
      <c r="G25" s="132">
        <f>IF(SER_hh_emi_in!G25=0,0,1000000*SER_hh_emi_in!G25/SER_hh_num_in!G25)</f>
        <v>0</v>
      </c>
      <c r="H25" s="132">
        <f>IF(SER_hh_emi_in!H25=0,0,1000000*SER_hh_emi_in!H25/SER_hh_num_in!H25)</f>
        <v>0</v>
      </c>
      <c r="I25" s="132">
        <f>IF(SER_hh_emi_in!I25=0,0,1000000*SER_hh_emi_in!I25/SER_hh_num_in!I25)</f>
        <v>0</v>
      </c>
      <c r="J25" s="132">
        <f>IF(SER_hh_emi_in!J25=0,0,1000000*SER_hh_emi_in!J25/SER_hh_num_in!J25)</f>
        <v>0</v>
      </c>
      <c r="K25" s="132">
        <f>IF(SER_hh_emi_in!K25=0,0,1000000*SER_hh_emi_in!K25/SER_hh_num_in!K25)</f>
        <v>0</v>
      </c>
      <c r="L25" s="132">
        <f>IF(SER_hh_emi_in!L25=0,0,1000000*SER_hh_emi_in!L25/SER_hh_num_in!L25)</f>
        <v>0</v>
      </c>
      <c r="M25" s="132">
        <f>IF(SER_hh_emi_in!M25=0,0,1000000*SER_hh_emi_in!M25/SER_hh_num_in!M25)</f>
        <v>0</v>
      </c>
      <c r="N25" s="132">
        <f>IF(SER_hh_emi_in!N25=0,0,1000000*SER_hh_emi_in!N25/SER_hh_num_in!N25)</f>
        <v>0</v>
      </c>
      <c r="O25" s="132">
        <f>IF(SER_hh_emi_in!O25=0,0,1000000*SER_hh_emi_in!O25/SER_hh_num_in!O25)</f>
        <v>0</v>
      </c>
      <c r="P25" s="132">
        <f>IF(SER_hh_emi_in!P25=0,0,1000000*SER_hh_emi_in!P25/SER_hh_num_in!P25)</f>
        <v>0</v>
      </c>
      <c r="Q25" s="132">
        <f>IF(SER_hh_emi_in!Q25=0,0,1000000*SER_hh_emi_in!Q25/SER_hh_num_in!Q25)</f>
        <v>0</v>
      </c>
      <c r="R25" s="132">
        <f>IF(SER_hh_emi_in!R25=0,0,1000000*SER_hh_emi_in!R25/SER_hh_num_in!R25)</f>
        <v>0</v>
      </c>
      <c r="S25" s="132">
        <f>IF(SER_hh_emi_in!S25=0,0,1000000*SER_hh_emi_in!S25/SER_hh_num_in!S25)</f>
        <v>0</v>
      </c>
      <c r="T25" s="132">
        <f>IF(SER_hh_emi_in!T25=0,0,1000000*SER_hh_emi_in!T25/SER_hh_num_in!T25)</f>
        <v>0</v>
      </c>
      <c r="U25" s="132">
        <f>IF(SER_hh_emi_in!U25=0,0,1000000*SER_hh_emi_in!U25/SER_hh_num_in!U25)</f>
        <v>0</v>
      </c>
      <c r="V25" s="132">
        <f>IF(SER_hh_emi_in!V25=0,0,1000000*SER_hh_emi_in!V25/SER_hh_num_in!V25)</f>
        <v>0</v>
      </c>
      <c r="W25" s="132">
        <f>IF(SER_hh_emi_in!W25=0,0,1000000*SER_hh_emi_in!W25/SER_hh_num_in!W25)</f>
        <v>0</v>
      </c>
      <c r="X25" s="132">
        <f>IF(SER_hh_emi_in!X25=0,0,1000000*SER_hh_emi_in!X25/SER_hh_num_in!X25)</f>
        <v>0</v>
      </c>
      <c r="Y25" s="132">
        <f>IF(SER_hh_emi_in!Y25=0,0,1000000*SER_hh_emi_in!Y25/SER_hh_num_in!Y25)</f>
        <v>0</v>
      </c>
      <c r="DA25" s="156" t="s">
        <v>808</v>
      </c>
    </row>
    <row r="26" spans="1:105" ht="12" customHeight="1" x14ac:dyDescent="0.25">
      <c r="A26" s="131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X26" s="65">
        <f>IF(SER_hh_emi_in!X26=0,0,1000000*SER_hh_emi_in!X26/SER_hh_num_in!X26)</f>
        <v>0</v>
      </c>
      <c r="Y26" s="65">
        <f>IF(SER_hh_emi_in!Y26=0,0,1000000*SER_hh_emi_in!Y26/SER_hh_num_in!Y26)</f>
        <v>0</v>
      </c>
      <c r="DA26" s="109" t="s">
        <v>809</v>
      </c>
    </row>
    <row r="27" spans="1:105" ht="12" customHeight="1" x14ac:dyDescent="0.25">
      <c r="A27" s="144" t="s">
        <v>86</v>
      </c>
      <c r="B27" s="147"/>
      <c r="C27" s="145">
        <f>IF(SER_hh_emi_in!C27=0,0,1000000*SER_hh_emi_in!C27/SER_hh_num_in!C19)</f>
        <v>0</v>
      </c>
      <c r="D27" s="145">
        <f>IF(SER_hh_emi_in!D27=0,0,1000000*SER_hh_emi_in!D27/SER_hh_num_in!D19)</f>
        <v>0</v>
      </c>
      <c r="E27" s="145">
        <f>IF(SER_hh_emi_in!E27=0,0,1000000*SER_hh_emi_in!E27/SER_hh_num_in!E19)</f>
        <v>0</v>
      </c>
      <c r="F27" s="145">
        <f>IF(SER_hh_emi_in!F27=0,0,1000000*SER_hh_emi_in!F27/SER_hh_num_in!F19)</f>
        <v>0</v>
      </c>
      <c r="G27" s="145">
        <f>IF(SER_hh_emi_in!G27=0,0,1000000*SER_hh_emi_in!G27/SER_hh_num_in!G19)</f>
        <v>0</v>
      </c>
      <c r="H27" s="145">
        <f>IF(SER_hh_emi_in!H27=0,0,1000000*SER_hh_emi_in!H27/SER_hh_num_in!H19)</f>
        <v>0</v>
      </c>
      <c r="I27" s="145">
        <f>IF(SER_hh_emi_in!I27=0,0,1000000*SER_hh_emi_in!I27/SER_hh_num_in!I19)</f>
        <v>0</v>
      </c>
      <c r="J27" s="145">
        <f>IF(SER_hh_emi_in!J27=0,0,1000000*SER_hh_emi_in!J27/SER_hh_num_in!J19)</f>
        <v>0</v>
      </c>
      <c r="K27" s="145">
        <f>IF(SER_hh_emi_in!K27=0,0,1000000*SER_hh_emi_in!K27/SER_hh_num_in!K19)</f>
        <v>0</v>
      </c>
      <c r="L27" s="145">
        <f>IF(SER_hh_emi_in!L27=0,0,1000000*SER_hh_emi_in!L27/SER_hh_num_in!L19)</f>
        <v>0</v>
      </c>
      <c r="M27" s="145">
        <f>IF(SER_hh_emi_in!M27=0,0,1000000*SER_hh_emi_in!M27/SER_hh_num_in!M19)</f>
        <v>0</v>
      </c>
      <c r="N27" s="145">
        <f>IF(SER_hh_emi_in!N27=0,0,1000000*SER_hh_emi_in!N27/SER_hh_num_in!N19)</f>
        <v>0</v>
      </c>
      <c r="O27" s="145">
        <f>IF(SER_hh_emi_in!O27=0,0,1000000*SER_hh_emi_in!O27/SER_hh_num_in!O19)</f>
        <v>0</v>
      </c>
      <c r="P27" s="145">
        <f>IF(SER_hh_emi_in!P27=0,0,1000000*SER_hh_emi_in!P27/SER_hh_num_in!P19)</f>
        <v>0</v>
      </c>
      <c r="Q27" s="145">
        <f>IF(SER_hh_emi_in!Q27=0,0,1000000*SER_hh_emi_in!Q27/SER_hh_num_in!Q19)</f>
        <v>0</v>
      </c>
      <c r="R27" s="145">
        <f>IF(SER_hh_emi_in!R27=0,0,1000000*SER_hh_emi_in!R27/SER_hh_num_in!R19)</f>
        <v>0</v>
      </c>
      <c r="S27" s="145">
        <f>IF(SER_hh_emi_in!S27=0,0,1000000*SER_hh_emi_in!S27/SER_hh_num_in!S19)</f>
        <v>0</v>
      </c>
      <c r="T27" s="145">
        <f>IF(SER_hh_emi_in!T27=0,0,1000000*SER_hh_emi_in!T27/SER_hh_num_in!T19)</f>
        <v>0</v>
      </c>
      <c r="U27" s="145">
        <f>IF(SER_hh_emi_in!U27=0,0,1000000*SER_hh_emi_in!U27/SER_hh_num_in!U19)</f>
        <v>0</v>
      </c>
      <c r="V27" s="145">
        <f>IF(SER_hh_emi_in!V27=0,0,1000000*SER_hh_emi_in!V27/SER_hh_num_in!V19)</f>
        <v>0</v>
      </c>
      <c r="W27" s="145">
        <f>IF(SER_hh_emi_in!W27=0,0,1000000*SER_hh_emi_in!W27/SER_hh_num_in!W19)</f>
        <v>0</v>
      </c>
      <c r="X27" s="145">
        <f>IF(SER_hh_emi_in!X27=0,0,1000000*SER_hh_emi_in!X27/SER_hh_num_in!X19)</f>
        <v>0</v>
      </c>
      <c r="Y27" s="145">
        <f>IF(SER_hh_emi_in!Y27=0,0,1000000*SER_hh_emi_in!Y27/SER_hh_num_in!Y19)</f>
        <v>0</v>
      </c>
      <c r="DA27" s="158" t="s">
        <v>810</v>
      </c>
    </row>
    <row r="28" spans="1:105" ht="12" customHeight="1" x14ac:dyDescent="0.25">
      <c r="A28" s="78" t="s">
        <v>85</v>
      </c>
      <c r="B28" s="68"/>
      <c r="C28" s="146">
        <f>IF(SER_hh_emi_in!C27=0,0,1000000*SER_hh_emi_in!C27/SER_hh_num_in!C27)</f>
        <v>0</v>
      </c>
      <c r="D28" s="146">
        <f>IF(SER_hh_emi_in!D27=0,0,1000000*SER_hh_emi_in!D27/SER_hh_num_in!D27)</f>
        <v>0</v>
      </c>
      <c r="E28" s="146">
        <f>IF(SER_hh_emi_in!E27=0,0,1000000*SER_hh_emi_in!E27/SER_hh_num_in!E27)</f>
        <v>0</v>
      </c>
      <c r="F28" s="146">
        <f>IF(SER_hh_emi_in!F27=0,0,1000000*SER_hh_emi_in!F27/SER_hh_num_in!F27)</f>
        <v>0</v>
      </c>
      <c r="G28" s="146">
        <f>IF(SER_hh_emi_in!G27=0,0,1000000*SER_hh_emi_in!G27/SER_hh_num_in!G27)</f>
        <v>0</v>
      </c>
      <c r="H28" s="146">
        <f>IF(SER_hh_emi_in!H27=0,0,1000000*SER_hh_emi_in!H27/SER_hh_num_in!H27)</f>
        <v>0</v>
      </c>
      <c r="I28" s="146">
        <f>IF(SER_hh_emi_in!I27=0,0,1000000*SER_hh_emi_in!I27/SER_hh_num_in!I27)</f>
        <v>0</v>
      </c>
      <c r="J28" s="146">
        <f>IF(SER_hh_emi_in!J27=0,0,1000000*SER_hh_emi_in!J27/SER_hh_num_in!J27)</f>
        <v>0</v>
      </c>
      <c r="K28" s="146">
        <f>IF(SER_hh_emi_in!K27=0,0,1000000*SER_hh_emi_in!K27/SER_hh_num_in!K27)</f>
        <v>0</v>
      </c>
      <c r="L28" s="146">
        <f>IF(SER_hh_emi_in!L27=0,0,1000000*SER_hh_emi_in!L27/SER_hh_num_in!L27)</f>
        <v>0</v>
      </c>
      <c r="M28" s="146">
        <f>IF(SER_hh_emi_in!M27=0,0,1000000*SER_hh_emi_in!M27/SER_hh_num_in!M27)</f>
        <v>0</v>
      </c>
      <c r="N28" s="146">
        <f>IF(SER_hh_emi_in!N27=0,0,1000000*SER_hh_emi_in!N27/SER_hh_num_in!N27)</f>
        <v>0</v>
      </c>
      <c r="O28" s="146">
        <f>IF(SER_hh_emi_in!O27=0,0,1000000*SER_hh_emi_in!O27/SER_hh_num_in!O27)</f>
        <v>0</v>
      </c>
      <c r="P28" s="146">
        <f>IF(SER_hh_emi_in!P27=0,0,1000000*SER_hh_emi_in!P27/SER_hh_num_in!P27)</f>
        <v>0</v>
      </c>
      <c r="Q28" s="146">
        <f>IF(SER_hh_emi_in!Q27=0,0,1000000*SER_hh_emi_in!Q27/SER_hh_num_in!Q27)</f>
        <v>0</v>
      </c>
      <c r="R28" s="146">
        <f>IF(SER_hh_emi_in!R27=0,0,1000000*SER_hh_emi_in!R27/SER_hh_num_in!R27)</f>
        <v>0</v>
      </c>
      <c r="S28" s="146">
        <f>IF(SER_hh_emi_in!S27=0,0,1000000*SER_hh_emi_in!S27/SER_hh_num_in!S27)</f>
        <v>0</v>
      </c>
      <c r="T28" s="146">
        <f>IF(SER_hh_emi_in!T27=0,0,1000000*SER_hh_emi_in!T27/SER_hh_num_in!T27)</f>
        <v>0</v>
      </c>
      <c r="U28" s="146">
        <f>IF(SER_hh_emi_in!U27=0,0,1000000*SER_hh_emi_in!U27/SER_hh_num_in!U27)</f>
        <v>0</v>
      </c>
      <c r="V28" s="146">
        <f>IF(SER_hh_emi_in!V27=0,0,1000000*SER_hh_emi_in!V27/SER_hh_num_in!V27)</f>
        <v>0</v>
      </c>
      <c r="W28" s="146">
        <f>IF(SER_hh_emi_in!W27=0,0,1000000*SER_hh_emi_in!W27/SER_hh_num_in!W27)</f>
        <v>0</v>
      </c>
      <c r="X28" s="146">
        <f>IF(SER_hh_emi_in!X27=0,0,1000000*SER_hh_emi_in!X27/SER_hh_num_in!X27)</f>
        <v>0</v>
      </c>
      <c r="Y28" s="146">
        <f>IF(SER_hh_emi_in!Y27=0,0,1000000*SER_hh_emi_in!Y27/SER_hh_num_in!Y27)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IF(SER_hh_emi_in!C29=0,0,1000000*SER_hh_emi_in!C29/SER_hh_num_in!C29)</f>
        <v>589.62662261407081</v>
      </c>
      <c r="D29" s="130">
        <f>IF(SER_hh_emi_in!D29=0,0,1000000*SER_hh_emi_in!D29/SER_hh_num_in!D29)</f>
        <v>473.60556881862874</v>
      </c>
      <c r="E29" s="130">
        <f>IF(SER_hh_emi_in!E29=0,0,1000000*SER_hh_emi_in!E29/SER_hh_num_in!E29)</f>
        <v>454.96762720579954</v>
      </c>
      <c r="F29" s="130">
        <f>IF(SER_hh_emi_in!F29=0,0,1000000*SER_hh_emi_in!F29/SER_hh_num_in!F29)</f>
        <v>689.83645782766405</v>
      </c>
      <c r="G29" s="130">
        <f>IF(SER_hh_emi_in!G29=0,0,1000000*SER_hh_emi_in!G29/SER_hh_num_in!G29)</f>
        <v>540.45459909564931</v>
      </c>
      <c r="H29" s="130">
        <f>IF(SER_hh_emi_in!H29=0,0,1000000*SER_hh_emi_in!H29/SER_hh_num_in!H29)</f>
        <v>491.55991103033193</v>
      </c>
      <c r="I29" s="130">
        <f>IF(SER_hh_emi_in!I29=0,0,1000000*SER_hh_emi_in!I29/SER_hh_num_in!I29)</f>
        <v>447.43246524070349</v>
      </c>
      <c r="J29" s="130">
        <f>IF(SER_hh_emi_in!J29=0,0,1000000*SER_hh_emi_in!J29/SER_hh_num_in!J29)</f>
        <v>499.60850505114479</v>
      </c>
      <c r="K29" s="130">
        <f>IF(SER_hh_emi_in!K29=0,0,1000000*SER_hh_emi_in!K29/SER_hh_num_in!K29)</f>
        <v>590.88931481782186</v>
      </c>
      <c r="L29" s="130">
        <f>IF(SER_hh_emi_in!L29=0,0,1000000*SER_hh_emi_in!L29/SER_hh_num_in!L29)</f>
        <v>569.65127769095034</v>
      </c>
      <c r="M29" s="130">
        <f>IF(SER_hh_emi_in!M29=0,0,1000000*SER_hh_emi_in!M29/SER_hh_num_in!M29)</f>
        <v>811.97955078818654</v>
      </c>
      <c r="N29" s="130">
        <f>IF(SER_hh_emi_in!N29=0,0,1000000*SER_hh_emi_in!N29/SER_hh_num_in!N29)</f>
        <v>1173.8239065750865</v>
      </c>
      <c r="O29" s="130">
        <f>IF(SER_hh_emi_in!O29=0,0,1000000*SER_hh_emi_in!O29/SER_hh_num_in!O29)</f>
        <v>1438.9330181570833</v>
      </c>
      <c r="P29" s="130">
        <f>IF(SER_hh_emi_in!P29=0,0,1000000*SER_hh_emi_in!P29/SER_hh_num_in!P29)</f>
        <v>1835.7067709758167</v>
      </c>
      <c r="Q29" s="130">
        <f>IF(SER_hh_emi_in!Q29=0,0,1000000*SER_hh_emi_in!Q29/SER_hh_num_in!Q29)</f>
        <v>1795.3383661721259</v>
      </c>
      <c r="R29" s="130">
        <f>IF(SER_hh_emi_in!R29=0,0,1000000*SER_hh_emi_in!R29/SER_hh_num_in!R29)</f>
        <v>1414.0706318814641</v>
      </c>
      <c r="S29" s="130">
        <f>IF(SER_hh_emi_in!S29=0,0,1000000*SER_hh_emi_in!S29/SER_hh_num_in!S29)</f>
        <v>754.80925484585191</v>
      </c>
      <c r="T29" s="130">
        <f>IF(SER_hh_emi_in!T29=0,0,1000000*SER_hh_emi_in!T29/SER_hh_num_in!T29)</f>
        <v>213.22409245259283</v>
      </c>
      <c r="U29" s="130">
        <f>IF(SER_hh_emi_in!U29=0,0,1000000*SER_hh_emi_in!U29/SER_hh_num_in!U29)</f>
        <v>499.48801770396921</v>
      </c>
      <c r="V29" s="130">
        <f>IF(SER_hh_emi_in!V29=0,0,1000000*SER_hh_emi_in!V29/SER_hh_num_in!V29)</f>
        <v>768.22767422391928</v>
      </c>
      <c r="W29" s="130">
        <f>IF(SER_hh_emi_in!W29=0,0,1000000*SER_hh_emi_in!W29/SER_hh_num_in!W29)</f>
        <v>597.72849343084704</v>
      </c>
      <c r="X29" s="130">
        <f>IF(SER_hh_emi_in!X29=0,0,1000000*SER_hh_emi_in!X29/SER_hh_num_in!X29)</f>
        <v>558.3999234276705</v>
      </c>
      <c r="Y29" s="130">
        <f>IF(SER_hh_emi_in!Y29=0,0,1000000*SER_hh_emi_in!Y29/SER_hh_num_in!Y29)</f>
        <v>727.35442638060113</v>
      </c>
      <c r="DA29" s="155" t="s">
        <v>811</v>
      </c>
    </row>
    <row r="30" spans="1:105" s="2" customFormat="1" ht="12" customHeight="1" x14ac:dyDescent="0.25">
      <c r="A30" s="131" t="s">
        <v>52</v>
      </c>
      <c r="B30" s="132"/>
      <c r="C30" s="132">
        <f>IF(SER_hh_emi_in!C30=0,0,1000000*SER_hh_emi_in!C30/SER_hh_num_in!C30)</f>
        <v>1792.2975355055003</v>
      </c>
      <c r="D30" s="132">
        <f>IF(SER_hh_emi_in!D30=0,0,1000000*SER_hh_emi_in!D30/SER_hh_num_in!D30)</f>
        <v>1733.3793830891193</v>
      </c>
      <c r="E30" s="132">
        <f>IF(SER_hh_emi_in!E30=0,0,1000000*SER_hh_emi_in!E30/SER_hh_num_in!E30)</f>
        <v>1683.7242671232134</v>
      </c>
      <c r="F30" s="132">
        <f>IF(SER_hh_emi_in!F30=0,0,1000000*SER_hh_emi_in!F30/SER_hh_num_in!F30)</f>
        <v>1824.196700088494</v>
      </c>
      <c r="G30" s="132">
        <f>IF(SER_hh_emi_in!G30=0,0,1000000*SER_hh_emi_in!G30/SER_hh_num_in!G30)</f>
        <v>1778.9184164794126</v>
      </c>
      <c r="H30" s="132">
        <f>IF(SER_hh_emi_in!H30=0,0,1000000*SER_hh_emi_in!H30/SER_hh_num_in!H30)</f>
        <v>1733.1941134483006</v>
      </c>
      <c r="I30" s="132">
        <f>IF(SER_hh_emi_in!I30=0,0,1000000*SER_hh_emi_in!I30/SER_hh_num_in!I30)</f>
        <v>1871.0080084986264</v>
      </c>
      <c r="J30" s="132">
        <f>IF(SER_hh_emi_in!J30=0,0,1000000*SER_hh_emi_in!J30/SER_hh_num_in!J30)</f>
        <v>2019.1767901614453</v>
      </c>
      <c r="K30" s="132">
        <f>IF(SER_hh_emi_in!K30=0,0,1000000*SER_hh_emi_in!K30/SER_hh_num_in!K30)</f>
        <v>1900.7456771588127</v>
      </c>
      <c r="L30" s="132">
        <f>IF(SER_hh_emi_in!L30=0,0,1000000*SER_hh_emi_in!L30/SER_hh_num_in!L30)</f>
        <v>1985.7570664916816</v>
      </c>
      <c r="M30" s="132">
        <f>IF(SER_hh_emi_in!M30=0,0,1000000*SER_hh_emi_in!M30/SER_hh_num_in!M30)</f>
        <v>1962.595773126508</v>
      </c>
      <c r="N30" s="132">
        <f>IF(SER_hh_emi_in!N30=0,0,1000000*SER_hh_emi_in!N30/SER_hh_num_in!N30)</f>
        <v>1994.8128851431306</v>
      </c>
      <c r="O30" s="132">
        <f>IF(SER_hh_emi_in!O30=0,0,1000000*SER_hh_emi_in!O30/SER_hh_num_in!O30)</f>
        <v>1997.1517579459694</v>
      </c>
      <c r="P30" s="132">
        <f>IF(SER_hh_emi_in!P30=0,0,1000000*SER_hh_emi_in!P30/SER_hh_num_in!P30)</f>
        <v>1377.6747348258823</v>
      </c>
      <c r="Q30" s="132">
        <f>IF(SER_hh_emi_in!Q30=0,0,1000000*SER_hh_emi_in!Q30/SER_hh_num_in!Q30)</f>
        <v>1890.230717952968</v>
      </c>
      <c r="R30" s="132">
        <f>IF(SER_hh_emi_in!R30=0,0,1000000*SER_hh_emi_in!R30/SER_hh_num_in!R30)</f>
        <v>2337.3938025886332</v>
      </c>
      <c r="S30" s="132">
        <f>IF(SER_hh_emi_in!S30=0,0,1000000*SER_hh_emi_in!S30/SER_hh_num_in!S30)</f>
        <v>1799.7770356188992</v>
      </c>
      <c r="T30" s="132">
        <f>IF(SER_hh_emi_in!T30=0,0,1000000*SER_hh_emi_in!T30/SER_hh_num_in!T30)</f>
        <v>2095.6270963990655</v>
      </c>
      <c r="U30" s="132">
        <f>IF(SER_hh_emi_in!U30=0,0,1000000*SER_hh_emi_in!U30/SER_hh_num_in!U30)</f>
        <v>0</v>
      </c>
      <c r="V30" s="132">
        <f>IF(SER_hh_emi_in!V30=0,0,1000000*SER_hh_emi_in!V30/SER_hh_num_in!V30)</f>
        <v>0</v>
      </c>
      <c r="W30" s="132">
        <f>IF(SER_hh_emi_in!W30=0,0,1000000*SER_hh_emi_in!W30/SER_hh_num_in!W30)</f>
        <v>1562.6144851651534</v>
      </c>
      <c r="X30" s="132">
        <f>IF(SER_hh_emi_in!X30=0,0,1000000*SER_hh_emi_in!X30/SER_hh_num_in!X30)</f>
        <v>1684.5151310811355</v>
      </c>
      <c r="Y30" s="132">
        <f>IF(SER_hh_emi_in!Y30=0,0,1000000*SER_hh_emi_in!Y30/SER_hh_num_in!Y30)</f>
        <v>2168.6457242795123</v>
      </c>
      <c r="DA30" s="156" t="s">
        <v>812</v>
      </c>
    </row>
    <row r="31" spans="1:105" ht="12" customHeight="1" x14ac:dyDescent="0.25">
      <c r="A31" s="131" t="s">
        <v>149</v>
      </c>
      <c r="B31" s="132"/>
      <c r="C31" s="132">
        <f>IF(SER_hh_emi_in!C31=0,0,1000000*SER_hh_emi_in!C31/SER_hh_num_in!C31)</f>
        <v>1631.8144531463686</v>
      </c>
      <c r="D31" s="132">
        <f>IF(SER_hh_emi_in!D31=0,0,1000000*SER_hh_emi_in!D31/SER_hh_num_in!D31)</f>
        <v>1407.2259887654657</v>
      </c>
      <c r="E31" s="132">
        <f>IF(SER_hh_emi_in!E31=0,0,1000000*SER_hh_emi_in!E31/SER_hh_num_in!E31)</f>
        <v>1132.3835692654261</v>
      </c>
      <c r="F31" s="132">
        <f>IF(SER_hh_emi_in!F31=0,0,1000000*SER_hh_emi_in!F31/SER_hh_num_in!F31)</f>
        <v>1558.8027692232592</v>
      </c>
      <c r="G31" s="132">
        <f>IF(SER_hh_emi_in!G31=0,0,1000000*SER_hh_emi_in!G31/SER_hh_num_in!G31)</f>
        <v>1546.8853946422362</v>
      </c>
      <c r="H31" s="132">
        <f>IF(SER_hh_emi_in!H31=0,0,1000000*SER_hh_emi_in!H31/SER_hh_num_in!H31)</f>
        <v>1642.5307543502777</v>
      </c>
      <c r="I31" s="132">
        <f>IF(SER_hh_emi_in!I31=0,0,1000000*SER_hh_emi_in!I31/SER_hh_num_in!I31)</f>
        <v>1613.8803001707317</v>
      </c>
      <c r="J31" s="132">
        <f>IF(SER_hh_emi_in!J31=0,0,1000000*SER_hh_emi_in!J31/SER_hh_num_in!J31)</f>
        <v>1678.9059381132697</v>
      </c>
      <c r="K31" s="132">
        <f>IF(SER_hh_emi_in!K31=0,0,1000000*SER_hh_emi_in!K31/SER_hh_num_in!K31)</f>
        <v>1674.8413897713874</v>
      </c>
      <c r="L31" s="132">
        <f>IF(SER_hh_emi_in!L31=0,0,1000000*SER_hh_emi_in!L31/SER_hh_num_in!L31)</f>
        <v>1710.8649362526035</v>
      </c>
      <c r="M31" s="132">
        <f>IF(SER_hh_emi_in!M31=0,0,1000000*SER_hh_emi_in!M31/SER_hh_num_in!M31)</f>
        <v>1669.4043693771534</v>
      </c>
      <c r="N31" s="132">
        <f>IF(SER_hh_emi_in!N31=0,0,1000000*SER_hh_emi_in!N31/SER_hh_num_in!N31)</f>
        <v>1523.1742558482281</v>
      </c>
      <c r="O31" s="132">
        <f>IF(SER_hh_emi_in!O31=0,0,1000000*SER_hh_emi_in!O31/SER_hh_num_in!O31)</f>
        <v>1397.2053449272894</v>
      </c>
      <c r="P31" s="132">
        <f>IF(SER_hh_emi_in!P31=0,0,1000000*SER_hh_emi_in!P31/SER_hh_num_in!P31)</f>
        <v>1868.4135564234448</v>
      </c>
      <c r="Q31" s="132">
        <f>IF(SER_hh_emi_in!Q31=0,0,1000000*SER_hh_emi_in!Q31/SER_hh_num_in!Q31)</f>
        <v>1775.0634253471862</v>
      </c>
      <c r="R31" s="132">
        <f>IF(SER_hh_emi_in!R31=0,0,1000000*SER_hh_emi_in!R31/SER_hh_num_in!R31)</f>
        <v>1707.329584466979</v>
      </c>
      <c r="S31" s="132">
        <f>IF(SER_hh_emi_in!S31=0,0,1000000*SER_hh_emi_in!S31/SER_hh_num_in!S31)</f>
        <v>1692.4351820569223</v>
      </c>
      <c r="T31" s="132">
        <f>IF(SER_hh_emi_in!T31=0,0,1000000*SER_hh_emi_in!T31/SER_hh_num_in!T31)</f>
        <v>1510.8183658719477</v>
      </c>
      <c r="U31" s="132">
        <f>IF(SER_hh_emi_in!U31=0,0,1000000*SER_hh_emi_in!U31/SER_hh_num_in!U31)</f>
        <v>1547.4894023758691</v>
      </c>
      <c r="V31" s="132">
        <f>IF(SER_hh_emi_in!V31=0,0,1000000*SER_hh_emi_in!V31/SER_hh_num_in!V31)</f>
        <v>1619.7886750705184</v>
      </c>
      <c r="W31" s="132">
        <f>IF(SER_hh_emi_in!W31=0,0,1000000*SER_hh_emi_in!W31/SER_hh_num_in!W31)</f>
        <v>1630.831827250561</v>
      </c>
      <c r="X31" s="132">
        <f>IF(SER_hh_emi_in!X31=0,0,1000000*SER_hh_emi_in!X31/SER_hh_num_in!X31)</f>
        <v>1502.9105560686598</v>
      </c>
      <c r="Y31" s="132">
        <f>IF(SER_hh_emi_in!Y31=0,0,1000000*SER_hh_emi_in!Y31/SER_hh_num_in!Y31)</f>
        <v>1554.4739382541782</v>
      </c>
      <c r="DA31" s="156" t="s">
        <v>813</v>
      </c>
    </row>
    <row r="32" spans="1:105" ht="12" customHeight="1" x14ac:dyDescent="0.25">
      <c r="A32" s="131" t="s">
        <v>128</v>
      </c>
      <c r="B32" s="132"/>
      <c r="C32" s="132">
        <f>IF(SER_hh_emi_in!C32=0,0,1000000*SER_hh_emi_in!C32/SER_hh_num_in!C32)</f>
        <v>0</v>
      </c>
      <c r="D32" s="132">
        <f>IF(SER_hh_emi_in!D32=0,0,1000000*SER_hh_emi_in!D32/SER_hh_num_in!D32)</f>
        <v>0</v>
      </c>
      <c r="E32" s="132">
        <f>IF(SER_hh_emi_in!E32=0,0,1000000*SER_hh_emi_in!E32/SER_hh_num_in!E32)</f>
        <v>0</v>
      </c>
      <c r="F32" s="132">
        <f>IF(SER_hh_emi_in!F32=0,0,1000000*SER_hh_emi_in!F32/SER_hh_num_in!F32)</f>
        <v>0</v>
      </c>
      <c r="G32" s="132">
        <f>IF(SER_hh_emi_in!G32=0,0,1000000*SER_hh_emi_in!G32/SER_hh_num_in!G32)</f>
        <v>0</v>
      </c>
      <c r="H32" s="132">
        <f>IF(SER_hh_emi_in!H32=0,0,1000000*SER_hh_emi_in!H32/SER_hh_num_in!H32)</f>
        <v>0</v>
      </c>
      <c r="I32" s="132">
        <f>IF(SER_hh_emi_in!I32=0,0,1000000*SER_hh_emi_in!I32/SER_hh_num_in!I32)</f>
        <v>0</v>
      </c>
      <c r="J32" s="132">
        <f>IF(SER_hh_emi_in!J32=0,0,1000000*SER_hh_emi_in!J32/SER_hh_num_in!J32)</f>
        <v>0</v>
      </c>
      <c r="K32" s="132">
        <f>IF(SER_hh_emi_in!K32=0,0,1000000*SER_hh_emi_in!K32/SER_hh_num_in!K32)</f>
        <v>0</v>
      </c>
      <c r="L32" s="132">
        <f>IF(SER_hh_emi_in!L32=0,0,1000000*SER_hh_emi_in!L32/SER_hh_num_in!L32)</f>
        <v>0</v>
      </c>
      <c r="M32" s="132">
        <f>IF(SER_hh_emi_in!M32=0,0,1000000*SER_hh_emi_in!M32/SER_hh_num_in!M32)</f>
        <v>0</v>
      </c>
      <c r="N32" s="132">
        <f>IF(SER_hh_emi_in!N32=0,0,1000000*SER_hh_emi_in!N32/SER_hh_num_in!N32)</f>
        <v>0</v>
      </c>
      <c r="O32" s="132">
        <f>IF(SER_hh_emi_in!O32=0,0,1000000*SER_hh_emi_in!O32/SER_hh_num_in!O32)</f>
        <v>0</v>
      </c>
      <c r="P32" s="132">
        <f>IF(SER_hh_emi_in!P32=0,0,1000000*SER_hh_emi_in!P32/SER_hh_num_in!P32)</f>
        <v>0</v>
      </c>
      <c r="Q32" s="132">
        <f>IF(SER_hh_emi_in!Q32=0,0,1000000*SER_hh_emi_in!Q32/SER_hh_num_in!Q32)</f>
        <v>0</v>
      </c>
      <c r="R32" s="132">
        <f>IF(SER_hh_emi_in!R32=0,0,1000000*SER_hh_emi_in!R32/SER_hh_num_in!R32)</f>
        <v>0</v>
      </c>
      <c r="S32" s="132">
        <f>IF(SER_hh_emi_in!S32=0,0,1000000*SER_hh_emi_in!S32/SER_hh_num_in!S32)</f>
        <v>0</v>
      </c>
      <c r="T32" s="132">
        <f>IF(SER_hh_emi_in!T32=0,0,1000000*SER_hh_emi_in!T32/SER_hh_num_in!T32)</f>
        <v>0</v>
      </c>
      <c r="U32" s="132">
        <f>IF(SER_hh_emi_in!U32=0,0,1000000*SER_hh_emi_in!U32/SER_hh_num_in!U32)</f>
        <v>0</v>
      </c>
      <c r="V32" s="132">
        <f>IF(SER_hh_emi_in!V32=0,0,1000000*SER_hh_emi_in!V32/SER_hh_num_in!V32)</f>
        <v>0</v>
      </c>
      <c r="W32" s="132">
        <f>IF(SER_hh_emi_in!W32=0,0,1000000*SER_hh_emi_in!W32/SER_hh_num_in!W32)</f>
        <v>0</v>
      </c>
      <c r="X32" s="132">
        <f>IF(SER_hh_emi_in!X32=0,0,1000000*SER_hh_emi_in!X32/SER_hh_num_in!X32)</f>
        <v>0</v>
      </c>
      <c r="Y32" s="132">
        <f>IF(SER_hh_emi_in!Y32=0,0,1000000*SER_hh_emi_in!Y32/SER_hh_num_in!Y32)</f>
        <v>0</v>
      </c>
      <c r="DA32" s="156" t="s">
        <v>814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X33" s="68">
        <f>IF(SER_hh_emi_in!X33=0,0,1000000*SER_hh_emi_in!X33/SER_hh_num_in!X33)</f>
        <v>0</v>
      </c>
      <c r="Y33" s="68">
        <f>IF(SER_hh_emi_in!Y33=0,0,1000000*SER_hh_emi_in!Y33/SER_hh_num_in!Y33)</f>
        <v>0</v>
      </c>
      <c r="DA33" s="111" t="s">
        <v>815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/>
      <c r="C3" s="125">
        <f>IF(SER_hh_fech_in!C3=0,0,SER_hh_fech_in!C3/SER_summary!C$27)</f>
        <v>34.885958311271331</v>
      </c>
      <c r="D3" s="125">
        <f>IF(SER_hh_fech_in!D3=0,0,SER_hh_fech_in!D3/SER_summary!D$27)</f>
        <v>31.488451380181942</v>
      </c>
      <c r="E3" s="125">
        <f>IF(SER_hh_fech_in!E3=0,0,SER_hh_fech_in!E3/SER_summary!E$27)</f>
        <v>32.800240814292472</v>
      </c>
      <c r="F3" s="125">
        <f>IF(SER_hh_fech_in!F3=0,0,SER_hh_fech_in!F3/SER_summary!F$27)</f>
        <v>30.05174718156843</v>
      </c>
      <c r="G3" s="125">
        <f>IF(SER_hh_fech_in!G3=0,0,SER_hh_fech_in!G3/SER_summary!G$27)</f>
        <v>28.929074863615178</v>
      </c>
      <c r="H3" s="125">
        <f>IF(SER_hh_fech_in!H3=0,0,SER_hh_fech_in!H3/SER_summary!H$27)</f>
        <v>48.108154179456129</v>
      </c>
      <c r="I3" s="125">
        <f>IF(SER_hh_fech_in!I3=0,0,SER_hh_fech_in!I3/SER_summary!I$27)</f>
        <v>30.980891973870008</v>
      </c>
      <c r="J3" s="125">
        <f>IF(SER_hh_fech_in!J3=0,0,SER_hh_fech_in!J3/SER_summary!J$27)</f>
        <v>30.772691962606096</v>
      </c>
      <c r="K3" s="125">
        <f>IF(SER_hh_fech_in!K3=0,0,SER_hh_fech_in!K3/SER_summary!K$27)</f>
        <v>31.384338387750127</v>
      </c>
      <c r="L3" s="125">
        <f>IF(SER_hh_fech_in!L3=0,0,SER_hh_fech_in!L3/SER_summary!L$27)</f>
        <v>35.625477075628304</v>
      </c>
      <c r="M3" s="125">
        <f>IF(SER_hh_fech_in!M3=0,0,SER_hh_fech_in!M3/SER_summary!M$27)</f>
        <v>32.586622105176161</v>
      </c>
      <c r="N3" s="125">
        <f>IF(SER_hh_fech_in!N3=0,0,SER_hh_fech_in!N3/SER_summary!N$27)</f>
        <v>30.379227633704481</v>
      </c>
      <c r="O3" s="125">
        <f>IF(SER_hh_fech_in!O3=0,0,SER_hh_fech_in!O3/SER_summary!O$27)</f>
        <v>27.202761633444336</v>
      </c>
      <c r="P3" s="125">
        <f>IF(SER_hh_fech_in!P3=0,0,SER_hh_fech_in!P3/SER_summary!P$27)</f>
        <v>23.181340009641008</v>
      </c>
      <c r="Q3" s="125">
        <f>IF(SER_hh_fech_in!Q3=0,0,SER_hh_fech_in!Q3/SER_summary!Q$27)</f>
        <v>23.401528151649043</v>
      </c>
      <c r="R3" s="125">
        <f>IF(SER_hh_fech_in!R3=0,0,SER_hh_fech_in!R3/SER_summary!R$27)</f>
        <v>22.710741706300904</v>
      </c>
      <c r="S3" s="125">
        <f>IF(SER_hh_fech_in!S3=0,0,SER_hh_fech_in!S3/SER_summary!S$27)</f>
        <v>23.049684747302948</v>
      </c>
      <c r="T3" s="125">
        <f>IF(SER_hh_fech_in!T3=0,0,SER_hh_fech_in!T3/SER_summary!T$27)</f>
        <v>22.449590241399129</v>
      </c>
      <c r="U3" s="125">
        <f>IF(SER_hh_fech_in!U3=0,0,SER_hh_fech_in!U3/SER_summary!U$27)</f>
        <v>22.058394208576807</v>
      </c>
      <c r="V3" s="125">
        <f>IF(SER_hh_fech_in!V3=0,0,SER_hh_fech_in!V3/SER_summary!V$27)</f>
        <v>20.034037683034004</v>
      </c>
      <c r="W3" s="125">
        <f>IF(SER_hh_fech_in!W3=0,0,SER_hh_fech_in!W3/SER_summary!W$27)</f>
        <v>22.355907026953663</v>
      </c>
      <c r="X3" s="125">
        <f>IF(SER_hh_fech_in!X3=0,0,SER_hh_fech_in!X3/SER_summary!X$27)</f>
        <v>21.829232529133563</v>
      </c>
      <c r="Y3" s="125">
        <f>IF(SER_hh_fech_in!Y3=0,0,SER_hh_fech_in!Y3/SER_summary!Y$27)</f>
        <v>22.996763026762832</v>
      </c>
      <c r="DA3" s="154" t="s">
        <v>817</v>
      </c>
    </row>
    <row r="4" spans="1:105" ht="12.95" customHeight="1" x14ac:dyDescent="0.25">
      <c r="A4" s="129" t="s">
        <v>32</v>
      </c>
      <c r="B4" s="130"/>
      <c r="C4" s="130">
        <f>IF(SER_hh_fech_in!C4=0,0,SER_hh_fech_in!C4/SER_summary!C$27)</f>
        <v>13.312679743523976</v>
      </c>
      <c r="D4" s="130">
        <f>IF(SER_hh_fech_in!D4=0,0,SER_hh_fech_in!D4/SER_summary!D$27)</f>
        <v>11.05672358007449</v>
      </c>
      <c r="E4" s="130">
        <f>IF(SER_hh_fech_in!E4=0,0,SER_hh_fech_in!E4/SER_summary!E$27)</f>
        <v>11.033995169490412</v>
      </c>
      <c r="F4" s="130">
        <f>IF(SER_hh_fech_in!F4=0,0,SER_hh_fech_in!F4/SER_summary!F$27)</f>
        <v>8.5778911865943499</v>
      </c>
      <c r="G4" s="130">
        <f>IF(SER_hh_fech_in!G4=0,0,SER_hh_fech_in!G4/SER_summary!G$27)</f>
        <v>8.0918583826958326</v>
      </c>
      <c r="H4" s="130">
        <f>IF(SER_hh_fech_in!H4=0,0,SER_hh_fech_in!H4/SER_summary!H$27)</f>
        <v>24.885982712758477</v>
      </c>
      <c r="I4" s="130">
        <f>IF(SER_hh_fech_in!I4=0,0,SER_hh_fech_in!I4/SER_summary!I$27)</f>
        <v>10.820668706452349</v>
      </c>
      <c r="J4" s="130">
        <f>IF(SER_hh_fech_in!J4=0,0,SER_hh_fech_in!J4/SER_summary!J$27)</f>
        <v>10.801159650687957</v>
      </c>
      <c r="K4" s="130">
        <f>IF(SER_hh_fech_in!K4=0,0,SER_hh_fech_in!K4/SER_summary!K$27)</f>
        <v>10.996476841745176</v>
      </c>
      <c r="L4" s="130">
        <f>IF(SER_hh_fech_in!L4=0,0,SER_hh_fech_in!L4/SER_summary!L$27)</f>
        <v>14.850428838084806</v>
      </c>
      <c r="M4" s="130">
        <f>IF(SER_hh_fech_in!M4=0,0,SER_hh_fech_in!M4/SER_summary!M$27)</f>
        <v>12.686750900745313</v>
      </c>
      <c r="N4" s="130">
        <f>IF(SER_hh_fech_in!N4=0,0,SER_hh_fech_in!N4/SER_summary!N$27)</f>
        <v>9.5955295606838025</v>
      </c>
      <c r="O4" s="130">
        <f>IF(SER_hh_fech_in!O4=0,0,SER_hh_fech_in!O4/SER_summary!O$27)</f>
        <v>7.6534569226434641</v>
      </c>
      <c r="P4" s="130">
        <f>IF(SER_hh_fech_in!P4=0,0,SER_hh_fech_in!P4/SER_summary!P$27)</f>
        <v>2.3608190993923888</v>
      </c>
      <c r="Q4" s="130">
        <f>IF(SER_hh_fech_in!Q4=0,0,SER_hh_fech_in!Q4/SER_summary!Q$27)</f>
        <v>2.085248270660951</v>
      </c>
      <c r="R4" s="130">
        <f>IF(SER_hh_fech_in!R4=0,0,SER_hh_fech_in!R4/SER_summary!R$27)</f>
        <v>2.9951538430357183</v>
      </c>
      <c r="S4" s="130">
        <f>IF(SER_hh_fech_in!S4=0,0,SER_hh_fech_in!S4/SER_summary!S$27)</f>
        <v>4.4897529540876944</v>
      </c>
      <c r="T4" s="130">
        <f>IF(SER_hh_fech_in!T4=0,0,SER_hh_fech_in!T4/SER_summary!T$27)</f>
        <v>5.1817526667010894</v>
      </c>
      <c r="U4" s="130">
        <f>IF(SER_hh_fech_in!U4=0,0,SER_hh_fech_in!U4/SER_summary!U$27)</f>
        <v>4.7233555157669471</v>
      </c>
      <c r="V4" s="130">
        <f>IF(SER_hh_fech_in!V4=0,0,SER_hh_fech_in!V4/SER_summary!V$27)</f>
        <v>4.0845057490294208</v>
      </c>
      <c r="W4" s="130">
        <f>IF(SER_hh_fech_in!W4=0,0,SER_hh_fech_in!W4/SER_summary!W$27)</f>
        <v>6.0761338365871316</v>
      </c>
      <c r="X4" s="130">
        <f>IF(SER_hh_fech_in!X4=0,0,SER_hh_fech_in!X4/SER_summary!X$27)</f>
        <v>5.4065857937798532</v>
      </c>
      <c r="Y4" s="130">
        <f>IF(SER_hh_fech_in!Y4=0,0,SER_hh_fech_in!Y4/SER_summary!Y$27)</f>
        <v>4.8802604493599695</v>
      </c>
      <c r="DA4" s="155" t="s">
        <v>818</v>
      </c>
    </row>
    <row r="5" spans="1:105" ht="12" customHeight="1" x14ac:dyDescent="0.25">
      <c r="A5" s="131" t="s">
        <v>29</v>
      </c>
      <c r="B5" s="132"/>
      <c r="C5" s="132">
        <f>IF(SER_hh_fech_in!C5=0,0,SER_hh_fech_in!C5/SER_summary!C$27)</f>
        <v>0</v>
      </c>
      <c r="D5" s="132">
        <f>IF(SER_hh_fech_in!D5=0,0,SER_hh_fech_in!D5/SER_summary!D$27)</f>
        <v>0</v>
      </c>
      <c r="E5" s="132">
        <f>IF(SER_hh_fech_in!E5=0,0,SER_hh_fech_in!E5/SER_summary!E$27)</f>
        <v>0</v>
      </c>
      <c r="F5" s="132">
        <f>IF(SER_hh_fech_in!F5=0,0,SER_hh_fech_in!F5/SER_summary!F$27)</f>
        <v>0</v>
      </c>
      <c r="G5" s="132">
        <f>IF(SER_hh_fech_in!G5=0,0,SER_hh_fech_in!G5/SER_summary!G$27)</f>
        <v>0</v>
      </c>
      <c r="H5" s="132">
        <f>IF(SER_hh_fech_in!H5=0,0,SER_hh_fech_in!H5/SER_summary!H$27)</f>
        <v>0</v>
      </c>
      <c r="I5" s="132">
        <f>IF(SER_hh_fech_in!I5=0,0,SER_hh_fech_in!I5/SER_summary!I$27)</f>
        <v>0</v>
      </c>
      <c r="J5" s="132">
        <f>IF(SER_hh_fech_in!J5=0,0,SER_hh_fech_in!J5/SER_summary!J$27)</f>
        <v>0</v>
      </c>
      <c r="K5" s="132">
        <f>IF(SER_hh_fech_in!K5=0,0,SER_hh_fech_in!K5/SER_summary!K$27)</f>
        <v>0</v>
      </c>
      <c r="L5" s="132">
        <f>IF(SER_hh_fech_in!L5=0,0,SER_hh_fech_in!L5/SER_summary!L$27)</f>
        <v>0</v>
      </c>
      <c r="M5" s="132">
        <f>IF(SER_hh_fech_in!M5=0,0,SER_hh_fech_in!M5/SER_summary!M$27)</f>
        <v>0</v>
      </c>
      <c r="N5" s="132">
        <f>IF(SER_hh_fech_in!N5=0,0,SER_hh_fech_in!N5/SER_summary!N$27)</f>
        <v>0</v>
      </c>
      <c r="O5" s="132">
        <f>IF(SER_hh_fech_in!O5=0,0,SER_hh_fech_in!O5/SER_summary!O$27)</f>
        <v>0</v>
      </c>
      <c r="P5" s="132">
        <f>IF(SER_hh_fech_in!P5=0,0,SER_hh_fech_in!P5/SER_summary!P$27)</f>
        <v>0</v>
      </c>
      <c r="Q5" s="132">
        <f>IF(SER_hh_fech_in!Q5=0,0,SER_hh_fech_in!Q5/SER_summary!Q$27)</f>
        <v>0</v>
      </c>
      <c r="R5" s="132">
        <f>IF(SER_hh_fech_in!R5=0,0,SER_hh_fech_in!R5/SER_summary!R$27)</f>
        <v>0</v>
      </c>
      <c r="S5" s="132">
        <f>IF(SER_hh_fech_in!S5=0,0,SER_hh_fech_in!S5/SER_summary!S$27)</f>
        <v>0</v>
      </c>
      <c r="T5" s="132">
        <f>IF(SER_hh_fech_in!T5=0,0,SER_hh_fech_in!T5/SER_summary!T$27)</f>
        <v>0</v>
      </c>
      <c r="U5" s="132">
        <f>IF(SER_hh_fech_in!U5=0,0,SER_hh_fech_in!U5/SER_summary!U$27)</f>
        <v>0</v>
      </c>
      <c r="V5" s="132">
        <f>IF(SER_hh_fech_in!V5=0,0,SER_hh_fech_in!V5/SER_summary!V$27)</f>
        <v>0</v>
      </c>
      <c r="W5" s="132">
        <f>IF(SER_hh_fech_in!W5=0,0,SER_hh_fech_in!W5/SER_summary!W$27)</f>
        <v>0</v>
      </c>
      <c r="X5" s="132">
        <f>IF(SER_hh_fech_in!X5=0,0,SER_hh_fech_in!X5/SER_summary!X$27)</f>
        <v>0</v>
      </c>
      <c r="Y5" s="132">
        <f>IF(SER_hh_fech_in!Y5=0,0,SER_hh_fech_in!Y5/SER_summary!Y$27)</f>
        <v>0</v>
      </c>
      <c r="DA5" s="156" t="s">
        <v>819</v>
      </c>
    </row>
    <row r="6" spans="1:105" ht="12" customHeight="1" x14ac:dyDescent="0.25">
      <c r="A6" s="131" t="s">
        <v>52</v>
      </c>
      <c r="B6" s="132"/>
      <c r="C6" s="132">
        <f>IF(SER_hh_fech_in!C6=0,0,SER_hh_fech_in!C6/SER_summary!C$27)</f>
        <v>0</v>
      </c>
      <c r="D6" s="132">
        <f>IF(SER_hh_fech_in!D6=0,0,SER_hh_fech_in!D6/SER_summary!D$27)</f>
        <v>0</v>
      </c>
      <c r="E6" s="132">
        <f>IF(SER_hh_fech_in!E6=0,0,SER_hh_fech_in!E6/SER_summary!E$27)</f>
        <v>0</v>
      </c>
      <c r="F6" s="132">
        <f>IF(SER_hh_fech_in!F6=0,0,SER_hh_fech_in!F6/SER_summary!F$27)</f>
        <v>0</v>
      </c>
      <c r="G6" s="132">
        <f>IF(SER_hh_fech_in!G6=0,0,SER_hh_fech_in!G6/SER_summary!G$27)</f>
        <v>0</v>
      </c>
      <c r="H6" s="132">
        <f>IF(SER_hh_fech_in!H6=0,0,SER_hh_fech_in!H6/SER_summary!H$27)</f>
        <v>0</v>
      </c>
      <c r="I6" s="132">
        <f>IF(SER_hh_fech_in!I6=0,0,SER_hh_fech_in!I6/SER_summary!I$27)</f>
        <v>0</v>
      </c>
      <c r="J6" s="132">
        <f>IF(SER_hh_fech_in!J6=0,0,SER_hh_fech_in!J6/SER_summary!J$27)</f>
        <v>0</v>
      </c>
      <c r="K6" s="132">
        <f>IF(SER_hh_fech_in!K6=0,0,SER_hh_fech_in!K6/SER_summary!K$27)</f>
        <v>0</v>
      </c>
      <c r="L6" s="132">
        <f>IF(SER_hh_fech_in!L6=0,0,SER_hh_fech_in!L6/SER_summary!L$27)</f>
        <v>0</v>
      </c>
      <c r="M6" s="132">
        <f>IF(SER_hh_fech_in!M6=0,0,SER_hh_fech_in!M6/SER_summary!M$27)</f>
        <v>0</v>
      </c>
      <c r="N6" s="132">
        <f>IF(SER_hh_fech_in!N6=0,0,SER_hh_fech_in!N6/SER_summary!N$27)</f>
        <v>0</v>
      </c>
      <c r="O6" s="132">
        <f>IF(SER_hh_fech_in!O6=0,0,SER_hh_fech_in!O6/SER_summary!O$27)</f>
        <v>0</v>
      </c>
      <c r="P6" s="132">
        <f>IF(SER_hh_fech_in!P6=0,0,SER_hh_fech_in!P6/SER_summary!P$27)</f>
        <v>0</v>
      </c>
      <c r="Q6" s="132">
        <f>IF(SER_hh_fech_in!Q6=0,0,SER_hh_fech_in!Q6/SER_summary!Q$27)</f>
        <v>0</v>
      </c>
      <c r="R6" s="132">
        <f>IF(SER_hh_fech_in!R6=0,0,SER_hh_fech_in!R6/SER_summary!R$27)</f>
        <v>0</v>
      </c>
      <c r="S6" s="132">
        <f>IF(SER_hh_fech_in!S6=0,0,SER_hh_fech_in!S6/SER_summary!S$27)</f>
        <v>0</v>
      </c>
      <c r="T6" s="132">
        <f>IF(SER_hh_fech_in!T6=0,0,SER_hh_fech_in!T6/SER_summary!T$27)</f>
        <v>0</v>
      </c>
      <c r="U6" s="132">
        <f>IF(SER_hh_fech_in!U6=0,0,SER_hh_fech_in!U6/SER_summary!U$27)</f>
        <v>0</v>
      </c>
      <c r="V6" s="132">
        <f>IF(SER_hh_fech_in!V6=0,0,SER_hh_fech_in!V6/SER_summary!V$27)</f>
        <v>0</v>
      </c>
      <c r="W6" s="132">
        <f>IF(SER_hh_fech_in!W6=0,0,SER_hh_fech_in!W6/SER_summary!W$27)</f>
        <v>0</v>
      </c>
      <c r="X6" s="132">
        <f>IF(SER_hh_fech_in!X6=0,0,SER_hh_fech_in!X6/SER_summary!X$27)</f>
        <v>0</v>
      </c>
      <c r="Y6" s="132">
        <f>IF(SER_hh_fech_in!Y6=0,0,SER_hh_fech_in!Y6/SER_summary!Y$27)</f>
        <v>0</v>
      </c>
      <c r="DA6" s="156" t="s">
        <v>820</v>
      </c>
    </row>
    <row r="7" spans="1:105" ht="12" customHeight="1" x14ac:dyDescent="0.25">
      <c r="A7" s="131" t="s">
        <v>161</v>
      </c>
      <c r="B7" s="132"/>
      <c r="C7" s="132">
        <f>IF(SER_hh_fech_in!C7=0,0,SER_hh_fech_in!C7/SER_summary!C$27)</f>
        <v>13.329870720074192</v>
      </c>
      <c r="D7" s="132">
        <f>IF(SER_hh_fech_in!D7=0,0,SER_hh_fech_in!D7/SER_summary!D$27)</f>
        <v>11.094942116974821</v>
      </c>
      <c r="E7" s="132">
        <f>IF(SER_hh_fech_in!E7=0,0,SER_hh_fech_in!E7/SER_summary!E$27)</f>
        <v>11.146709445318253</v>
      </c>
      <c r="F7" s="132">
        <f>IF(SER_hh_fech_in!F7=0,0,SER_hh_fech_in!F7/SER_summary!F$27)</f>
        <v>12.261271776979868</v>
      </c>
      <c r="G7" s="132">
        <f>IF(SER_hh_fech_in!G7=0,0,SER_hh_fech_in!G7/SER_summary!G$27)</f>
        <v>0</v>
      </c>
      <c r="H7" s="132">
        <f>IF(SER_hh_fech_in!H7=0,0,SER_hh_fech_in!H7/SER_summary!H$27)</f>
        <v>0</v>
      </c>
      <c r="I7" s="132">
        <f>IF(SER_hh_fech_in!I7=0,0,SER_hh_fech_in!I7/SER_summary!I$27)</f>
        <v>0</v>
      </c>
      <c r="J7" s="132">
        <f>IF(SER_hh_fech_in!J7=0,0,SER_hh_fech_in!J7/SER_summary!J$27)</f>
        <v>0</v>
      </c>
      <c r="K7" s="132">
        <f>IF(SER_hh_fech_in!K7=0,0,SER_hh_fech_in!K7/SER_summary!K$27)</f>
        <v>0</v>
      </c>
      <c r="L7" s="132">
        <f>IF(SER_hh_fech_in!L7=0,0,SER_hh_fech_in!L7/SER_summary!L$27)</f>
        <v>14.94454989017729</v>
      </c>
      <c r="M7" s="132">
        <f>IF(SER_hh_fech_in!M7=0,0,SER_hh_fech_in!M7/SER_summary!M$27)</f>
        <v>12.534975177351981</v>
      </c>
      <c r="N7" s="132">
        <f>IF(SER_hh_fech_in!N7=0,0,SER_hh_fech_in!N7/SER_summary!N$27)</f>
        <v>12.065522529462436</v>
      </c>
      <c r="O7" s="132">
        <f>IF(SER_hh_fech_in!O7=0,0,SER_hh_fech_in!O7/SER_summary!O$27)</f>
        <v>11.337180416983687</v>
      </c>
      <c r="P7" s="132">
        <f>IF(SER_hh_fech_in!P7=0,0,SER_hh_fech_in!P7/SER_summary!P$27)</f>
        <v>7.870920204453606</v>
      </c>
      <c r="Q7" s="132">
        <f>IF(SER_hh_fech_in!Q7=0,0,SER_hh_fech_in!Q7/SER_summary!Q$27)</f>
        <v>5.2877649159912039</v>
      </c>
      <c r="R7" s="132">
        <f>IF(SER_hh_fech_in!R7=0,0,SER_hh_fech_in!R7/SER_summary!R$27)</f>
        <v>6.8190196321266221</v>
      </c>
      <c r="S7" s="132">
        <f>IF(SER_hh_fech_in!S7=0,0,SER_hh_fech_in!S7/SER_summary!S$27)</f>
        <v>7.9886469494120682</v>
      </c>
      <c r="T7" s="132">
        <f>IF(SER_hh_fech_in!T7=0,0,SER_hh_fech_in!T7/SER_summary!T$27)</f>
        <v>8.9385232654379827</v>
      </c>
      <c r="U7" s="132">
        <f>IF(SER_hh_fech_in!U7=0,0,SER_hh_fech_in!U7/SER_summary!U$27)</f>
        <v>8.9179469975060979</v>
      </c>
      <c r="V7" s="132">
        <f>IF(SER_hh_fech_in!V7=0,0,SER_hh_fech_in!V7/SER_summary!V$27)</f>
        <v>0</v>
      </c>
      <c r="W7" s="132">
        <f>IF(SER_hh_fech_in!W7=0,0,SER_hh_fech_in!W7/SER_summary!W$27)</f>
        <v>0</v>
      </c>
      <c r="X7" s="132">
        <f>IF(SER_hh_fech_in!X7=0,0,SER_hh_fech_in!X7/SER_summary!X$27)</f>
        <v>0</v>
      </c>
      <c r="Y7" s="132">
        <f>IF(SER_hh_fech_in!Y7=0,0,SER_hh_fech_in!Y7/SER_summary!Y$27)</f>
        <v>0</v>
      </c>
      <c r="DA7" s="156" t="s">
        <v>821</v>
      </c>
    </row>
    <row r="8" spans="1:105" ht="12" customHeight="1" x14ac:dyDescent="0.25">
      <c r="A8" s="131" t="s">
        <v>73</v>
      </c>
      <c r="B8" s="132"/>
      <c r="C8" s="132">
        <f>IF(SER_hh_fech_in!C8=0,0,SER_hh_fech_in!C8/SER_summary!C$27)</f>
        <v>4.0445044065803168</v>
      </c>
      <c r="D8" s="132">
        <f>IF(SER_hh_fech_in!D8=0,0,SER_hh_fech_in!D8/SER_summary!D$27)</f>
        <v>3.5531496814105332</v>
      </c>
      <c r="E8" s="132">
        <f>IF(SER_hh_fech_in!E8=0,0,SER_hh_fech_in!E8/SER_summary!E$27)</f>
        <v>2.3620369444127509</v>
      </c>
      <c r="F8" s="132">
        <f>IF(SER_hh_fech_in!F8=0,0,SER_hh_fech_in!F8/SER_summary!F$27)</f>
        <v>2.4050078034108</v>
      </c>
      <c r="G8" s="132">
        <f>IF(SER_hh_fech_in!G8=0,0,SER_hh_fech_in!G8/SER_summary!G$27)</f>
        <v>3.4191182674053069</v>
      </c>
      <c r="H8" s="132">
        <f>IF(SER_hh_fech_in!H8=0,0,SER_hh_fech_in!H8/SER_summary!H$27)</f>
        <v>4.9671119954152054</v>
      </c>
      <c r="I8" s="132">
        <f>IF(SER_hh_fech_in!I8=0,0,SER_hh_fech_in!I8/SER_summary!I$27)</f>
        <v>4.0685821714116948</v>
      </c>
      <c r="J8" s="132">
        <f>IF(SER_hh_fech_in!J8=0,0,SER_hh_fech_in!J8/SER_summary!J$27)</f>
        <v>3.6782658329168791</v>
      </c>
      <c r="K8" s="132">
        <f>IF(SER_hh_fech_in!K8=0,0,SER_hh_fech_in!K8/SER_summary!K$27)</f>
        <v>3.2061777573243018</v>
      </c>
      <c r="L8" s="132">
        <f>IF(SER_hh_fech_in!L8=0,0,SER_hh_fech_in!L8/SER_summary!L$27)</f>
        <v>2.6690120221427658</v>
      </c>
      <c r="M8" s="132">
        <f>IF(SER_hh_fech_in!M8=0,0,SER_hh_fech_in!M8/SER_summary!M$27)</f>
        <v>2.5306420922038462</v>
      </c>
      <c r="N8" s="132">
        <f>IF(SER_hh_fech_in!N8=0,0,SER_hh_fech_in!N8/SER_summary!N$27)</f>
        <v>1.8258921565624462</v>
      </c>
      <c r="O8" s="132">
        <f>IF(SER_hh_fech_in!O8=0,0,SER_hh_fech_in!O8/SER_summary!O$27)</f>
        <v>1.6572451295006398</v>
      </c>
      <c r="P8" s="132">
        <f>IF(SER_hh_fech_in!P8=0,0,SER_hh_fech_in!P8/SER_summary!P$27)</f>
        <v>1.5922476533679208</v>
      </c>
      <c r="Q8" s="132">
        <f>IF(SER_hh_fech_in!Q8=0,0,SER_hh_fech_in!Q8/SER_summary!Q$27)</f>
        <v>1.4526298085595719</v>
      </c>
      <c r="R8" s="132">
        <f>IF(SER_hh_fech_in!R8=0,0,SER_hh_fech_in!R8/SER_summary!R$27)</f>
        <v>1.5977295399591356</v>
      </c>
      <c r="S8" s="132">
        <f>IF(SER_hh_fech_in!S8=0,0,SER_hh_fech_in!S8/SER_summary!S$27)</f>
        <v>1.6937113809528155</v>
      </c>
      <c r="T8" s="132">
        <f>IF(SER_hh_fech_in!T8=0,0,SER_hh_fech_in!T8/SER_summary!T$27)</f>
        <v>1.6252742740898629</v>
      </c>
      <c r="U8" s="132">
        <f>IF(SER_hh_fech_in!U8=0,0,SER_hh_fech_in!U8/SER_summary!U$27)</f>
        <v>2.2758125008365115</v>
      </c>
      <c r="V8" s="132">
        <f>IF(SER_hh_fech_in!V8=0,0,SER_hh_fech_in!V8/SER_summary!V$27)</f>
        <v>1.7133812023970303</v>
      </c>
      <c r="W8" s="132">
        <f>IF(SER_hh_fech_in!W8=0,0,SER_hh_fech_in!W8/SER_summary!W$27)</f>
        <v>1.9853273138234064</v>
      </c>
      <c r="X8" s="132">
        <f>IF(SER_hh_fech_in!X8=0,0,SER_hh_fech_in!X8/SER_summary!X$27)</f>
        <v>2.0542025555463432</v>
      </c>
      <c r="Y8" s="132">
        <f>IF(SER_hh_fech_in!Y8=0,0,SER_hh_fech_in!Y8/SER_summary!Y$27)</f>
        <v>2.2946336428470873</v>
      </c>
      <c r="DA8" s="156" t="s">
        <v>822</v>
      </c>
    </row>
    <row r="9" spans="1:105" ht="12" customHeight="1" x14ac:dyDescent="0.25">
      <c r="A9" s="131" t="s">
        <v>78</v>
      </c>
      <c r="B9" s="132"/>
      <c r="C9" s="132">
        <f>IF(SER_hh_fech_in!C9=0,0,SER_hh_fech_in!C9/SER_summary!C$27)</f>
        <v>0</v>
      </c>
      <c r="D9" s="132">
        <f>IF(SER_hh_fech_in!D9=0,0,SER_hh_fech_in!D9/SER_summary!D$27)</f>
        <v>0</v>
      </c>
      <c r="E9" s="132">
        <f>IF(SER_hh_fech_in!E9=0,0,SER_hh_fech_in!E9/SER_summary!E$27)</f>
        <v>0</v>
      </c>
      <c r="F9" s="132">
        <f>IF(SER_hh_fech_in!F9=0,0,SER_hh_fech_in!F9/SER_summary!F$27)</f>
        <v>1.7605164503252992</v>
      </c>
      <c r="G9" s="132">
        <f>IF(SER_hh_fech_in!G9=0,0,SER_hh_fech_in!G9/SER_summary!G$27)</f>
        <v>9.1539970081698101</v>
      </c>
      <c r="H9" s="132">
        <f>IF(SER_hh_fech_in!H9=0,0,SER_hh_fech_in!H9/SER_summary!H$27)</f>
        <v>29.198914074402303</v>
      </c>
      <c r="I9" s="132">
        <f>IF(SER_hh_fech_in!I9=0,0,SER_hh_fech_in!I9/SER_summary!I$27)</f>
        <v>13.498398693957535</v>
      </c>
      <c r="J9" s="132">
        <f>IF(SER_hh_fech_in!J9=0,0,SER_hh_fech_in!J9/SER_summary!J$27)</f>
        <v>9.8061816804220534</v>
      </c>
      <c r="K9" s="132">
        <f>IF(SER_hh_fech_in!K9=0,0,SER_hh_fech_in!K9/SER_summary!K$27)</f>
        <v>12.581612693252923</v>
      </c>
      <c r="L9" s="132">
        <f>IF(SER_hh_fech_in!L9=0,0,SER_hh_fech_in!L9/SER_summary!L$27)</f>
        <v>16.375805948626677</v>
      </c>
      <c r="M9" s="132">
        <f>IF(SER_hh_fech_in!M9=0,0,SER_hh_fech_in!M9/SER_summary!M$27)</f>
        <v>17.655293819423623</v>
      </c>
      <c r="N9" s="132">
        <f>IF(SER_hh_fech_in!N9=0,0,SER_hh_fech_in!N9/SER_summary!N$27)</f>
        <v>12.407596521744269</v>
      </c>
      <c r="O9" s="132">
        <f>IF(SER_hh_fech_in!O9=0,0,SER_hh_fech_in!O9/SER_summary!O$27)</f>
        <v>0</v>
      </c>
      <c r="P9" s="132">
        <f>IF(SER_hh_fech_in!P9=0,0,SER_hh_fech_in!P9/SER_summary!P$27)</f>
        <v>0</v>
      </c>
      <c r="Q9" s="132">
        <f>IF(SER_hh_fech_in!Q9=0,0,SER_hh_fech_in!Q9/SER_summary!Q$27)</f>
        <v>0</v>
      </c>
      <c r="R9" s="132">
        <f>IF(SER_hh_fech_in!R9=0,0,SER_hh_fech_in!R9/SER_summary!R$27)</f>
        <v>0</v>
      </c>
      <c r="S9" s="132">
        <f>IF(SER_hh_fech_in!S9=0,0,SER_hh_fech_in!S9/SER_summary!S$27)</f>
        <v>0</v>
      </c>
      <c r="T9" s="132">
        <f>IF(SER_hh_fech_in!T9=0,0,SER_hh_fech_in!T9/SER_summary!T$27)</f>
        <v>8.8483655025890862</v>
      </c>
      <c r="U9" s="132">
        <f>IF(SER_hh_fech_in!U9=0,0,SER_hh_fech_in!U9/SER_summary!U$27)</f>
        <v>8.8711970685736041</v>
      </c>
      <c r="V9" s="132">
        <f>IF(SER_hh_fech_in!V9=0,0,SER_hh_fech_in!V9/SER_summary!V$27)</f>
        <v>7.6611322473654369</v>
      </c>
      <c r="W9" s="132">
        <f>IF(SER_hh_fech_in!W9=0,0,SER_hh_fech_in!W9/SER_summary!W$27)</f>
        <v>9.5792668020458116</v>
      </c>
      <c r="X9" s="132">
        <f>IF(SER_hh_fech_in!X9=0,0,SER_hh_fech_in!X9/SER_summary!X$27)</f>
        <v>9.1563758707092173</v>
      </c>
      <c r="Y9" s="132">
        <f>IF(SER_hh_fech_in!Y9=0,0,SER_hh_fech_in!Y9/SER_summary!Y$27)</f>
        <v>10.021181129935412</v>
      </c>
      <c r="DA9" s="156" t="s">
        <v>823</v>
      </c>
    </row>
    <row r="10" spans="1:105" ht="12" customHeight="1" x14ac:dyDescent="0.25">
      <c r="A10" s="131" t="s">
        <v>128</v>
      </c>
      <c r="B10" s="132"/>
      <c r="C10" s="132">
        <f>IF(SER_hh_fech_in!C10=0,0,SER_hh_fech_in!C10/SER_summary!C$27)</f>
        <v>12.11484200262122</v>
      </c>
      <c r="D10" s="132">
        <f>IF(SER_hh_fech_in!D10=0,0,SER_hh_fech_in!D10/SER_summary!D$27)</f>
        <v>11.042641745916344</v>
      </c>
      <c r="E10" s="132">
        <f>IF(SER_hh_fech_in!E10=0,0,SER_hh_fech_in!E10/SER_summary!E$27)</f>
        <v>10.750499607106253</v>
      </c>
      <c r="F10" s="132">
        <f>IF(SER_hh_fech_in!F10=0,0,SER_hh_fech_in!F10/SER_summary!F$27)</f>
        <v>10.67561399415232</v>
      </c>
      <c r="G10" s="132">
        <f>IF(SER_hh_fech_in!G10=0,0,SER_hh_fech_in!G10/SER_summary!G$27)</f>
        <v>11.038571645582344</v>
      </c>
      <c r="H10" s="132">
        <f>IF(SER_hh_fech_in!H10=0,0,SER_hh_fech_in!H10/SER_summary!H$27)</f>
        <v>16.585294647386633</v>
      </c>
      <c r="I10" s="132">
        <f>IF(SER_hh_fech_in!I10=0,0,SER_hh_fech_in!I10/SER_summary!I$27)</f>
        <v>15.070466148310235</v>
      </c>
      <c r="J10" s="132">
        <f>IF(SER_hh_fech_in!J10=0,0,SER_hh_fech_in!J10/SER_summary!J$27)</f>
        <v>17.206915220966337</v>
      </c>
      <c r="K10" s="132">
        <f>IF(SER_hh_fech_in!K10=0,0,SER_hh_fech_in!K10/SER_summary!K$27)</f>
        <v>13.261997221272878</v>
      </c>
      <c r="L10" s="132">
        <f>IF(SER_hh_fech_in!L10=0,0,SER_hh_fech_in!L10/SER_summary!L$27)</f>
        <v>0</v>
      </c>
      <c r="M10" s="132">
        <f>IF(SER_hh_fech_in!M10=0,0,SER_hh_fech_in!M10/SER_summary!M$27)</f>
        <v>15.183465596369823</v>
      </c>
      <c r="N10" s="132">
        <f>IF(SER_hh_fech_in!N10=0,0,SER_hh_fech_in!N10/SER_summary!N$27)</f>
        <v>13.214116334901986</v>
      </c>
      <c r="O10" s="132">
        <f>IF(SER_hh_fech_in!O10=0,0,SER_hh_fech_in!O10/SER_summary!O$27)</f>
        <v>10.931453353219462</v>
      </c>
      <c r="P10" s="132">
        <f>IF(SER_hh_fech_in!P10=0,0,SER_hh_fech_in!P10/SER_summary!P$27)</f>
        <v>8.5063644420770697</v>
      </c>
      <c r="Q10" s="132">
        <f>IF(SER_hh_fech_in!Q10=0,0,SER_hh_fech_in!Q10/SER_summary!Q$27)</f>
        <v>8.311738006582047</v>
      </c>
      <c r="R10" s="132">
        <f>IF(SER_hh_fech_in!R10=0,0,SER_hh_fech_in!R10/SER_summary!R$27)</f>
        <v>9.9086457072326048</v>
      </c>
      <c r="S10" s="132">
        <f>IF(SER_hh_fech_in!S10=0,0,SER_hh_fech_in!S10/SER_summary!S$27)</f>
        <v>10.65052710508653</v>
      </c>
      <c r="T10" s="132">
        <f>IF(SER_hh_fech_in!T10=0,0,SER_hh_fech_in!T10/SER_summary!T$27)</f>
        <v>0</v>
      </c>
      <c r="U10" s="132">
        <f>IF(SER_hh_fech_in!U10=0,0,SER_hh_fech_in!U10/SER_summary!U$27)</f>
        <v>0</v>
      </c>
      <c r="V10" s="132">
        <f>IF(SER_hh_fech_in!V10=0,0,SER_hh_fech_in!V10/SER_summary!V$27)</f>
        <v>0</v>
      </c>
      <c r="W10" s="132">
        <f>IF(SER_hh_fech_in!W10=0,0,SER_hh_fech_in!W10/SER_summary!W$27)</f>
        <v>12.916100733957384</v>
      </c>
      <c r="X10" s="132">
        <f>IF(SER_hh_fech_in!X10=0,0,SER_hh_fech_in!X10/SER_summary!X$27)</f>
        <v>13.402565784969008</v>
      </c>
      <c r="Y10" s="132">
        <f>IF(SER_hh_fech_in!Y10=0,0,SER_hh_fech_in!Y10/SER_summary!Y$27)</f>
        <v>13.689933732839767</v>
      </c>
      <c r="DA10" s="156" t="s">
        <v>824</v>
      </c>
    </row>
    <row r="11" spans="1:105" ht="12" customHeight="1" x14ac:dyDescent="0.25">
      <c r="A11" s="131" t="s">
        <v>25</v>
      </c>
      <c r="B11" s="132"/>
      <c r="C11" s="132">
        <f>IF(SER_hh_fech_in!C11=0,0,SER_hh_fech_in!C11/SER_summary!C$27)</f>
        <v>0</v>
      </c>
      <c r="D11" s="132">
        <f>IF(SER_hh_fech_in!D11=0,0,SER_hh_fech_in!D11/SER_summary!D$27)</f>
        <v>0</v>
      </c>
      <c r="E11" s="132">
        <f>IF(SER_hh_fech_in!E11=0,0,SER_hh_fech_in!E11/SER_summary!E$27)</f>
        <v>0</v>
      </c>
      <c r="F11" s="132">
        <f>IF(SER_hh_fech_in!F11=0,0,SER_hh_fech_in!F11/SER_summary!F$27)</f>
        <v>0</v>
      </c>
      <c r="G11" s="132">
        <f>IF(SER_hh_fech_in!G11=0,0,SER_hh_fech_in!G11/SER_summary!G$27)</f>
        <v>0</v>
      </c>
      <c r="H11" s="132">
        <f>IF(SER_hh_fech_in!H11=0,0,SER_hh_fech_in!H11/SER_summary!H$27)</f>
        <v>0</v>
      </c>
      <c r="I11" s="132">
        <f>IF(SER_hh_fech_in!I11=0,0,SER_hh_fech_in!I11/SER_summary!I$27)</f>
        <v>9.5562612232825632</v>
      </c>
      <c r="J11" s="132">
        <f>IF(SER_hh_fech_in!J11=0,0,SER_hh_fech_in!J11/SER_summary!J$27)</f>
        <v>0</v>
      </c>
      <c r="K11" s="132">
        <f>IF(SER_hh_fech_in!K11=0,0,SER_hh_fech_in!K11/SER_summary!K$27)</f>
        <v>0</v>
      </c>
      <c r="L11" s="132">
        <f>IF(SER_hh_fech_in!L11=0,0,SER_hh_fech_in!L11/SER_summary!L$27)</f>
        <v>0</v>
      </c>
      <c r="M11" s="132">
        <f>IF(SER_hh_fech_in!M11=0,0,SER_hh_fech_in!M11/SER_summary!M$27)</f>
        <v>9.652722929077088</v>
      </c>
      <c r="N11" s="132">
        <f>IF(SER_hh_fech_in!N11=0,0,SER_hh_fech_in!N11/SER_summary!N$27)</f>
        <v>8.1720836830340158</v>
      </c>
      <c r="O11" s="132">
        <f>IF(SER_hh_fech_in!O11=0,0,SER_hh_fech_in!O11/SER_summary!O$27)</f>
        <v>7.3055969189659331</v>
      </c>
      <c r="P11" s="132">
        <f>IF(SER_hh_fech_in!P11=0,0,SER_hh_fech_in!P11/SER_summary!P$27)</f>
        <v>5.8631028199370325</v>
      </c>
      <c r="Q11" s="132">
        <f>IF(SER_hh_fech_in!Q11=0,0,SER_hh_fech_in!Q11/SER_summary!Q$27)</f>
        <v>5.4977748313325527</v>
      </c>
      <c r="R11" s="132">
        <f>IF(SER_hh_fech_in!R11=0,0,SER_hh_fech_in!R11/SER_summary!R$27)</f>
        <v>0</v>
      </c>
      <c r="S11" s="132">
        <f>IF(SER_hh_fech_in!S11=0,0,SER_hh_fech_in!S11/SER_summary!S$27)</f>
        <v>0</v>
      </c>
      <c r="T11" s="132">
        <f>IF(SER_hh_fech_in!T11=0,0,SER_hh_fech_in!T11/SER_summary!T$27)</f>
        <v>0</v>
      </c>
      <c r="U11" s="132">
        <f>IF(SER_hh_fech_in!U11=0,0,SER_hh_fech_in!U11/SER_summary!U$27)</f>
        <v>0</v>
      </c>
      <c r="V11" s="132">
        <f>IF(SER_hh_fech_in!V11=0,0,SER_hh_fech_in!V11/SER_summary!V$27)</f>
        <v>0</v>
      </c>
      <c r="W11" s="132">
        <f>IF(SER_hh_fech_in!W11=0,0,SER_hh_fech_in!W11/SER_summary!W$27)</f>
        <v>0</v>
      </c>
      <c r="X11" s="132">
        <f>IF(SER_hh_fech_in!X11=0,0,SER_hh_fech_in!X11/SER_summary!X$27)</f>
        <v>0</v>
      </c>
      <c r="Y11" s="132">
        <f>IF(SER_hh_fech_in!Y11=0,0,SER_hh_fech_in!Y11/SER_summary!Y$27)</f>
        <v>0</v>
      </c>
      <c r="DA11" s="156" t="s">
        <v>825</v>
      </c>
    </row>
    <row r="12" spans="1:105" ht="12" customHeight="1" x14ac:dyDescent="0.25">
      <c r="A12" s="131" t="s">
        <v>162</v>
      </c>
      <c r="B12" s="132"/>
      <c r="C12" s="132">
        <f>IF(SER_hh_fech_in!C12=0,0,SER_hh_fech_in!C12/SER_summary!C$27)</f>
        <v>0</v>
      </c>
      <c r="D12" s="132">
        <f>IF(SER_hh_fech_in!D12=0,0,SER_hh_fech_in!D12/SER_summary!D$27)</f>
        <v>0</v>
      </c>
      <c r="E12" s="132">
        <f>IF(SER_hh_fech_in!E12=0,0,SER_hh_fech_in!E12/SER_summary!E$27)</f>
        <v>0</v>
      </c>
      <c r="F12" s="132">
        <f>IF(SER_hh_fech_in!F12=0,0,SER_hh_fech_in!F12/SER_summary!F$27)</f>
        <v>0</v>
      </c>
      <c r="G12" s="132">
        <f>IF(SER_hh_fech_in!G12=0,0,SER_hh_fech_in!G12/SER_summary!G$27)</f>
        <v>0</v>
      </c>
      <c r="H12" s="132">
        <f>IF(SER_hh_fech_in!H12=0,0,SER_hh_fech_in!H12/SER_summary!H$27)</f>
        <v>0</v>
      </c>
      <c r="I12" s="132">
        <f>IF(SER_hh_fech_in!I12=0,0,SER_hh_fech_in!I12/SER_summary!I$27)</f>
        <v>0</v>
      </c>
      <c r="J12" s="132">
        <f>IF(SER_hh_fech_in!J12=0,0,SER_hh_fech_in!J12/SER_summary!J$27)</f>
        <v>0</v>
      </c>
      <c r="K12" s="132">
        <f>IF(SER_hh_fech_in!K12=0,0,SER_hh_fech_in!K12/SER_summary!K$27)</f>
        <v>0</v>
      </c>
      <c r="L12" s="132">
        <f>IF(SER_hh_fech_in!L12=0,0,SER_hh_fech_in!L12/SER_summary!L$27)</f>
        <v>0</v>
      </c>
      <c r="M12" s="132">
        <f>IF(SER_hh_fech_in!M12=0,0,SER_hh_fech_in!M12/SER_summary!M$27)</f>
        <v>0</v>
      </c>
      <c r="N12" s="132">
        <f>IF(SER_hh_fech_in!N12=0,0,SER_hh_fech_in!N12/SER_summary!N$27)</f>
        <v>0</v>
      </c>
      <c r="O12" s="132">
        <f>IF(SER_hh_fech_in!O12=0,0,SER_hh_fech_in!O12/SER_summary!O$27)</f>
        <v>0</v>
      </c>
      <c r="P12" s="132">
        <f>IF(SER_hh_fech_in!P12=0,0,SER_hh_fech_in!P12/SER_summary!P$27)</f>
        <v>0</v>
      </c>
      <c r="Q12" s="132">
        <f>IF(SER_hh_fech_in!Q12=0,0,SER_hh_fech_in!Q12/SER_summary!Q$27)</f>
        <v>0</v>
      </c>
      <c r="R12" s="132">
        <f>IF(SER_hh_fech_in!R12=0,0,SER_hh_fech_in!R12/SER_summary!R$27)</f>
        <v>0</v>
      </c>
      <c r="S12" s="132">
        <f>IF(SER_hh_fech_in!S12=0,0,SER_hh_fech_in!S12/SER_summary!S$27)</f>
        <v>0</v>
      </c>
      <c r="T12" s="132">
        <f>IF(SER_hh_fech_in!T12=0,0,SER_hh_fech_in!T12/SER_summary!T$27)</f>
        <v>0</v>
      </c>
      <c r="U12" s="132">
        <f>IF(SER_hh_fech_in!U12=0,0,SER_hh_fech_in!U12/SER_summary!U$27)</f>
        <v>0</v>
      </c>
      <c r="V12" s="132">
        <f>IF(SER_hh_fech_in!V12=0,0,SER_hh_fech_in!V12/SER_summary!V$27)</f>
        <v>0</v>
      </c>
      <c r="W12" s="132">
        <f>IF(SER_hh_fech_in!W12=0,0,SER_hh_fech_in!W12/SER_summary!W$27)</f>
        <v>0</v>
      </c>
      <c r="X12" s="132">
        <f>IF(SER_hh_fech_in!X12=0,0,SER_hh_fech_in!X12/SER_summary!X$27)</f>
        <v>0</v>
      </c>
      <c r="Y12" s="132">
        <f>IF(SER_hh_fech_in!Y12=0,0,SER_hh_fech_in!Y12/SER_summary!Y$27)</f>
        <v>0</v>
      </c>
      <c r="DA12" s="156" t="s">
        <v>826</v>
      </c>
    </row>
    <row r="13" spans="1:105" ht="12" customHeight="1" x14ac:dyDescent="0.25">
      <c r="A13" s="131" t="s">
        <v>77</v>
      </c>
      <c r="B13" s="132"/>
      <c r="C13" s="132">
        <f>IF(SER_hh_fech_in!C13=0,0,SER_hh_fech_in!C13/SER_summary!C$27)</f>
        <v>3.9116395106751791</v>
      </c>
      <c r="D13" s="132">
        <f>IF(SER_hh_fech_in!D13=0,0,SER_hh_fech_in!D13/SER_summary!D$27)</f>
        <v>2.9255253713174962</v>
      </c>
      <c r="E13" s="132">
        <f>IF(SER_hh_fech_in!E13=0,0,SER_hh_fech_in!E13/SER_summary!E$27)</f>
        <v>2.857493427293055</v>
      </c>
      <c r="F13" s="132">
        <f>IF(SER_hh_fech_in!F13=0,0,SER_hh_fech_in!F13/SER_summary!F$27)</f>
        <v>2.57893257605107</v>
      </c>
      <c r="G13" s="132">
        <f>IF(SER_hh_fech_in!G13=0,0,SER_hh_fech_in!G13/SER_summary!G$27)</f>
        <v>3.106739687870014</v>
      </c>
      <c r="H13" s="132">
        <f>IF(SER_hh_fech_in!H13=0,0,SER_hh_fech_in!H13/SER_summary!H$27)</f>
        <v>3.0330336470818646</v>
      </c>
      <c r="I13" s="132">
        <f>IF(SER_hh_fech_in!I13=0,0,SER_hh_fech_in!I13/SER_summary!I$27)</f>
        <v>3.1227995843151106</v>
      </c>
      <c r="J13" s="132">
        <f>IF(SER_hh_fech_in!J13=0,0,SER_hh_fech_in!J13/SER_summary!J$27)</f>
        <v>3.4400892139553783</v>
      </c>
      <c r="K13" s="132">
        <f>IF(SER_hh_fech_in!K13=0,0,SER_hh_fech_in!K13/SER_summary!K$27)</f>
        <v>3.2639165798156693</v>
      </c>
      <c r="L13" s="132">
        <f>IF(SER_hh_fech_in!L13=0,0,SER_hh_fech_in!L13/SER_summary!L$27)</f>
        <v>3.0620720073590078</v>
      </c>
      <c r="M13" s="132">
        <f>IF(SER_hh_fech_in!M13=0,0,SER_hh_fech_in!M13/SER_summary!M$27)</f>
        <v>2.6267683000503372</v>
      </c>
      <c r="N13" s="132">
        <f>IF(SER_hh_fech_in!N13=0,0,SER_hh_fech_in!N13/SER_summary!N$27)</f>
        <v>2.2556858359917333</v>
      </c>
      <c r="O13" s="132">
        <f>IF(SER_hh_fech_in!O13=0,0,SER_hh_fech_in!O13/SER_summary!O$27)</f>
        <v>1.6816144026041837</v>
      </c>
      <c r="P13" s="132">
        <f>IF(SER_hh_fech_in!P13=0,0,SER_hh_fech_in!P13/SER_summary!P$27)</f>
        <v>1.2487386270094856</v>
      </c>
      <c r="Q13" s="132">
        <f>IF(SER_hh_fech_in!Q13=0,0,SER_hh_fech_in!Q13/SER_summary!Q$27)</f>
        <v>1.2799270636611573</v>
      </c>
      <c r="R13" s="132">
        <f>IF(SER_hh_fech_in!R13=0,0,SER_hh_fech_in!R13/SER_summary!R$27)</f>
        <v>1.3337436389613475</v>
      </c>
      <c r="S13" s="132">
        <f>IF(SER_hh_fech_in!S13=0,0,SER_hh_fech_in!S13/SER_summary!S$27)</f>
        <v>1.4513153831088612</v>
      </c>
      <c r="T13" s="132">
        <f>IF(SER_hh_fech_in!T13=0,0,SER_hh_fech_in!T13/SER_summary!T$27)</f>
        <v>1.5821572911721442</v>
      </c>
      <c r="U13" s="132">
        <f>IF(SER_hh_fech_in!U13=0,0,SER_hh_fech_in!U13/SER_summary!U$27)</f>
        <v>1.642726973056408</v>
      </c>
      <c r="V13" s="132">
        <f>IF(SER_hh_fech_in!V13=0,0,SER_hh_fech_in!V13/SER_summary!V$27)</f>
        <v>1.6835311045762638</v>
      </c>
      <c r="W13" s="132">
        <f>IF(SER_hh_fech_in!W13=0,0,SER_hh_fech_in!W13/SER_summary!W$27)</f>
        <v>1.6969052832613041</v>
      </c>
      <c r="X13" s="132">
        <f>IF(SER_hh_fech_in!X13=0,0,SER_hh_fech_in!X13/SER_summary!X$27)</f>
        <v>1.8136209667675276</v>
      </c>
      <c r="Y13" s="132">
        <f>IF(SER_hh_fech_in!Y13=0,0,SER_hh_fech_in!Y13/SER_summary!Y$27)</f>
        <v>1.8821018133598308</v>
      </c>
      <c r="DA13" s="156" t="s">
        <v>827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0</v>
      </c>
      <c r="D14" s="65">
        <f>IF(SER_hh_fech_in!D14=0,0,SER_hh_fech_in!D14/SER_summary!D$27)</f>
        <v>0</v>
      </c>
      <c r="E14" s="65">
        <f>IF(SER_hh_fech_in!E14=0,0,SER_hh_fech_in!E14/SER_summary!E$27)</f>
        <v>0</v>
      </c>
      <c r="F14" s="65">
        <f>IF(SER_hh_fech_in!F14=0,0,SER_hh_fech_in!F14/SER_summary!F$27)</f>
        <v>8.4543347838004745</v>
      </c>
      <c r="G14" s="65">
        <f>IF(SER_hh_fech_in!G14=0,0,SER_hh_fech_in!G14/SER_summary!G$27)</f>
        <v>4.6485770644427236</v>
      </c>
      <c r="H14" s="65">
        <f>IF(SER_hh_fech_in!H14=0,0,SER_hh_fech_in!H14/SER_summary!H$27)</f>
        <v>17.318289246228787</v>
      </c>
      <c r="I14" s="65">
        <f>IF(SER_hh_fech_in!I14=0,0,SER_hh_fech_in!I14/SER_summary!I$27)</f>
        <v>9.7217627872919277</v>
      </c>
      <c r="J14" s="65">
        <f>IF(SER_hh_fech_in!J14=0,0,SER_hh_fech_in!J14/SER_summary!J$27)</f>
        <v>13.071488159291601</v>
      </c>
      <c r="K14" s="65">
        <f>IF(SER_hh_fech_in!K14=0,0,SER_hh_fech_in!K14/SER_summary!K$27)</f>
        <v>10.308838915748648</v>
      </c>
      <c r="L14" s="65">
        <f>IF(SER_hh_fech_in!L14=0,0,SER_hh_fech_in!L14/SER_summary!L$27)</f>
        <v>0</v>
      </c>
      <c r="M14" s="65">
        <f>IF(SER_hh_fech_in!M14=0,0,SER_hh_fech_in!M14/SER_summary!M$27)</f>
        <v>0</v>
      </c>
      <c r="N14" s="65">
        <f>IF(SER_hh_fech_in!N14=0,0,SER_hh_fech_in!N14/SER_summary!N$27)</f>
        <v>0</v>
      </c>
      <c r="O14" s="65">
        <f>IF(SER_hh_fech_in!O14=0,0,SER_hh_fech_in!O14/SER_summary!O$27)</f>
        <v>0</v>
      </c>
      <c r="P14" s="65">
        <f>IF(SER_hh_fech_in!P14=0,0,SER_hh_fech_in!P14/SER_summary!P$27)</f>
        <v>0</v>
      </c>
      <c r="Q14" s="65">
        <f>IF(SER_hh_fech_in!Q14=0,0,SER_hh_fech_in!Q14/SER_summary!Q$27)</f>
        <v>0</v>
      </c>
      <c r="R14" s="65">
        <f>IF(SER_hh_fech_in!R14=0,0,SER_hh_fech_in!R14/SER_summary!R$27)</f>
        <v>0</v>
      </c>
      <c r="S14" s="65">
        <f>IF(SER_hh_fech_in!S14=0,0,SER_hh_fech_in!S14/SER_summary!S$27)</f>
        <v>8.1677015308269993</v>
      </c>
      <c r="T14" s="65">
        <f>IF(SER_hh_fech_in!T14=0,0,SER_hh_fech_in!T14/SER_summary!T$27)</f>
        <v>9.0327366751837168</v>
      </c>
      <c r="U14" s="65">
        <f>IF(SER_hh_fech_in!U14=0,0,SER_hh_fech_in!U14/SER_summary!U$27)</f>
        <v>8.8748090482888262</v>
      </c>
      <c r="V14" s="65">
        <f>IF(SER_hh_fech_in!V14=0,0,SER_hh_fech_in!V14/SER_summary!V$27)</f>
        <v>0</v>
      </c>
      <c r="W14" s="65">
        <f>IF(SER_hh_fech_in!W14=0,0,SER_hh_fech_in!W14/SER_summary!W$27)</f>
        <v>8.5799611883993006</v>
      </c>
      <c r="X14" s="65">
        <f>IF(SER_hh_fech_in!X14=0,0,SER_hh_fech_in!X14/SER_summary!X$27)</f>
        <v>8.668611894101943</v>
      </c>
      <c r="Y14" s="65">
        <f>IF(SER_hh_fech_in!Y14=0,0,SER_hh_fech_in!Y14/SER_summary!Y$27)</f>
        <v>7.9662855802067671</v>
      </c>
      <c r="DA14" s="109" t="s">
        <v>828</v>
      </c>
    </row>
    <row r="15" spans="1:105" ht="12" customHeight="1" x14ac:dyDescent="0.25">
      <c r="A15" s="133" t="s">
        <v>80</v>
      </c>
      <c r="B15" s="134"/>
      <c r="C15" s="134">
        <f>IF(SER_hh_fech_in!C15=0,0,SER_hh_fech_in!C15/SER_summary!C$27)</f>
        <v>0.11885432176443701</v>
      </c>
      <c r="D15" s="134">
        <f>IF(SER_hh_fech_in!D15=0,0,SER_hh_fech_in!D15/SER_summary!D$27)</f>
        <v>9.7959328902742379E-2</v>
      </c>
      <c r="E15" s="134">
        <f>IF(SER_hh_fech_in!E15=0,0,SER_hh_fech_in!E15/SER_summary!E$27)</f>
        <v>9.7960608736531826E-2</v>
      </c>
      <c r="F15" s="134">
        <f>IF(SER_hh_fech_in!F15=0,0,SER_hh_fech_in!F15/SER_summary!F$27)</f>
        <v>7.5845029498746677E-2</v>
      </c>
      <c r="G15" s="134">
        <f>IF(SER_hh_fech_in!G15=0,0,SER_hh_fech_in!G15/SER_summary!G$27)</f>
        <v>8.4437924490256111E-2</v>
      </c>
      <c r="H15" s="134">
        <f>IF(SER_hh_fech_in!H15=0,0,SER_hh_fech_in!H15/SER_summary!H$27)</f>
        <v>0.26599138444429948</v>
      </c>
      <c r="I15" s="134">
        <f>IF(SER_hh_fech_in!I15=0,0,SER_hh_fech_in!I15/SER_summary!I$27)</f>
        <v>0.11795687461563505</v>
      </c>
      <c r="J15" s="134">
        <f>IF(SER_hh_fech_in!J15=0,0,SER_hh_fech_in!J15/SER_summary!J$27)</f>
        <v>8.8936158492849096E-2</v>
      </c>
      <c r="K15" s="134">
        <f>IF(SER_hh_fech_in!K15=0,0,SER_hh_fech_in!K15/SER_summary!K$27)</f>
        <v>0.11439247385524656</v>
      </c>
      <c r="L15" s="134">
        <f>IF(SER_hh_fech_in!L15=0,0,SER_hh_fech_in!L15/SER_summary!L$27)</f>
        <v>0.14302505170334315</v>
      </c>
      <c r="M15" s="134">
        <f>IF(SER_hh_fech_in!M15=0,0,SER_hh_fech_in!M15/SER_summary!M$27)</f>
        <v>0.12334422530163688</v>
      </c>
      <c r="N15" s="134">
        <f>IF(SER_hh_fech_in!N15=0,0,SER_hh_fech_in!N15/SER_summary!N$27)</f>
        <v>0.10591307680549165</v>
      </c>
      <c r="O15" s="134">
        <f>IF(SER_hh_fech_in!O15=0,0,SER_hh_fech_in!O15/SER_summary!O$27)</f>
        <v>9.9037021158144528E-2</v>
      </c>
      <c r="P15" s="134">
        <f>IF(SER_hh_fech_in!P15=0,0,SER_hh_fech_in!P15/SER_summary!P$27)</f>
        <v>3.9503659083622043E-2</v>
      </c>
      <c r="Q15" s="134">
        <f>IF(SER_hh_fech_in!Q15=0,0,SER_hh_fech_in!Q15/SER_summary!Q$27)</f>
        <v>3.5582736824763345E-2</v>
      </c>
      <c r="R15" s="134">
        <f>IF(SER_hh_fech_in!R15=0,0,SER_hh_fech_in!R15/SER_summary!R$27)</f>
        <v>6.1363547393375059E-2</v>
      </c>
      <c r="S15" s="134">
        <f>IF(SER_hh_fech_in!S15=0,0,SER_hh_fech_in!S15/SER_summary!S$27)</f>
        <v>7.8409828904041731E-2</v>
      </c>
      <c r="T15" s="134">
        <f>IF(SER_hh_fech_in!T15=0,0,SER_hh_fech_in!T15/SER_summary!T$27)</f>
        <v>9.2125480025245648E-2</v>
      </c>
      <c r="U15" s="134">
        <f>IF(SER_hh_fech_in!U15=0,0,SER_hh_fech_in!U15/SER_summary!U$27)</f>
        <v>9.2404650447852441E-2</v>
      </c>
      <c r="V15" s="134">
        <f>IF(SER_hh_fech_in!V15=0,0,SER_hh_fech_in!V15/SER_summary!V$27)</f>
        <v>8.4124903584515215E-2</v>
      </c>
      <c r="W15" s="134">
        <f>IF(SER_hh_fech_in!W15=0,0,SER_hh_fech_in!W15/SER_summary!W$27)</f>
        <v>0.10377487052922885</v>
      </c>
      <c r="X15" s="134">
        <f>IF(SER_hh_fech_in!X15=0,0,SER_hh_fech_in!X15/SER_summary!X$27)</f>
        <v>9.7309486704115697E-2</v>
      </c>
      <c r="Y15" s="134">
        <f>IF(SER_hh_fech_in!Y15=0,0,SER_hh_fech_in!Y15/SER_summary!Y$27)</f>
        <v>0.10023653054492017</v>
      </c>
      <c r="DA15" s="157" t="s">
        <v>829</v>
      </c>
    </row>
    <row r="16" spans="1:105" ht="12.95" customHeight="1" x14ac:dyDescent="0.25">
      <c r="A16" s="129" t="s">
        <v>74</v>
      </c>
      <c r="B16" s="130"/>
      <c r="C16" s="130">
        <f>IF(SER_hh_fech_in!C16=0,0,SER_hh_fech_in!C16/SER_summary!C$27)</f>
        <v>8.2633474112912531</v>
      </c>
      <c r="D16" s="130">
        <f>IF(SER_hh_fech_in!D16=0,0,SER_hh_fech_in!D16/SER_summary!D$27)</f>
        <v>7.0185928362524121</v>
      </c>
      <c r="E16" s="130">
        <f>IF(SER_hh_fech_in!E16=0,0,SER_hh_fech_in!E16/SER_summary!E$27)</f>
        <v>8.686419096158156</v>
      </c>
      <c r="F16" s="130">
        <f>IF(SER_hh_fech_in!F16=0,0,SER_hh_fech_in!F16/SER_summary!F$27)</f>
        <v>7.481813381086968</v>
      </c>
      <c r="G16" s="130">
        <f>IF(SER_hh_fech_in!G16=0,0,SER_hh_fech_in!G16/SER_summary!G$27)</f>
        <v>7.5011473558266859</v>
      </c>
      <c r="H16" s="130">
        <f>IF(SER_hh_fech_in!H16=0,0,SER_hh_fech_in!H16/SER_summary!H$27)</f>
        <v>8.0678340288791279</v>
      </c>
      <c r="I16" s="130">
        <f>IF(SER_hh_fech_in!I16=0,0,SER_hh_fech_in!I16/SER_summary!I$27)</f>
        <v>5.7848237517751766</v>
      </c>
      <c r="J16" s="130">
        <f>IF(SER_hh_fech_in!J16=0,0,SER_hh_fech_in!J16/SER_summary!J$27)</f>
        <v>5.8516118630119163</v>
      </c>
      <c r="K16" s="130">
        <f>IF(SER_hh_fech_in!K16=0,0,SER_hh_fech_in!K16/SER_summary!K$27)</f>
        <v>7.1665691802795912</v>
      </c>
      <c r="L16" s="130">
        <f>IF(SER_hh_fech_in!L16=0,0,SER_hh_fech_in!L16/SER_summary!L$27)</f>
        <v>6.4855287480186528</v>
      </c>
      <c r="M16" s="130">
        <f>IF(SER_hh_fech_in!M16=0,0,SER_hh_fech_in!M16/SER_summary!M$27)</f>
        <v>5.5551009214592781</v>
      </c>
      <c r="N16" s="130">
        <f>IF(SER_hh_fech_in!N16=0,0,SER_hh_fech_in!N16/SER_summary!N$27)</f>
        <v>6.3544974087839847</v>
      </c>
      <c r="O16" s="130">
        <f>IF(SER_hh_fech_in!O16=0,0,SER_hh_fech_in!O16/SER_summary!O$27)</f>
        <v>4.9030489939037976</v>
      </c>
      <c r="P16" s="130">
        <f>IF(SER_hh_fech_in!P16=0,0,SER_hh_fech_in!P16/SER_summary!P$27)</f>
        <v>4.3012262418113414</v>
      </c>
      <c r="Q16" s="130">
        <f>IF(SER_hh_fech_in!Q16=0,0,SER_hh_fech_in!Q16/SER_summary!Q$27)</f>
        <v>6.0606263810019678</v>
      </c>
      <c r="R16" s="130">
        <f>IF(SER_hh_fech_in!R16=0,0,SER_hh_fech_in!R16/SER_summary!R$27)</f>
        <v>5.7298607710915794</v>
      </c>
      <c r="S16" s="130">
        <f>IF(SER_hh_fech_in!S16=0,0,SER_hh_fech_in!S16/SER_summary!S$27)</f>
        <v>6.4962502621097276</v>
      </c>
      <c r="T16" s="130">
        <f>IF(SER_hh_fech_in!T16=0,0,SER_hh_fech_in!T16/SER_summary!T$27)</f>
        <v>4.597559722273413</v>
      </c>
      <c r="U16" s="130">
        <f>IF(SER_hh_fech_in!U16=0,0,SER_hh_fech_in!U16/SER_summary!U$27)</f>
        <v>4.6575776433239549</v>
      </c>
      <c r="V16" s="130">
        <f>IF(SER_hh_fech_in!V16=0,0,SER_hh_fech_in!V16/SER_summary!V$27)</f>
        <v>5.0605124775884125</v>
      </c>
      <c r="W16" s="130">
        <f>IF(SER_hh_fech_in!W16=0,0,SER_hh_fech_in!W16/SER_summary!W$27)</f>
        <v>4.2370731002310364</v>
      </c>
      <c r="X16" s="130">
        <f>IF(SER_hh_fech_in!X16=0,0,SER_hh_fech_in!X16/SER_summary!X$27)</f>
        <v>5.4478229427508404</v>
      </c>
      <c r="Y16" s="130">
        <f>IF(SER_hh_fech_in!Y16=0,0,SER_hh_fech_in!Y16/SER_summary!Y$27)</f>
        <v>5.5214812011700634</v>
      </c>
      <c r="DA16" s="155" t="s">
        <v>830</v>
      </c>
    </row>
    <row r="17" spans="1:105" ht="12.95" customHeight="1" x14ac:dyDescent="0.25">
      <c r="A17" s="131" t="s">
        <v>73</v>
      </c>
      <c r="B17" s="132"/>
      <c r="C17" s="132">
        <f>IF(SER_hh_fech_in!C17=0,0,SER_hh_fech_in!C17/SER_summary!C$27)</f>
        <v>15.719040962983209</v>
      </c>
      <c r="D17" s="132">
        <f>IF(SER_hh_fech_in!D17=0,0,SER_hh_fech_in!D17/SER_summary!D$27)</f>
        <v>13.67666832684581</v>
      </c>
      <c r="E17" s="132">
        <f>IF(SER_hh_fech_in!E17=0,0,SER_hh_fech_in!E17/SER_summary!E$27)</f>
        <v>20.539124434897907</v>
      </c>
      <c r="F17" s="132">
        <f>IF(SER_hh_fech_in!F17=0,0,SER_hh_fech_in!F17/SER_summary!F$27)</f>
        <v>15.336172780388422</v>
      </c>
      <c r="G17" s="132">
        <f>IF(SER_hh_fech_in!G17=0,0,SER_hh_fech_in!G17/SER_summary!G$27)</f>
        <v>15.736013402521454</v>
      </c>
      <c r="H17" s="132">
        <f>IF(SER_hh_fech_in!H17=0,0,SER_hh_fech_in!H17/SER_summary!H$27)</f>
        <v>15.360054847436329</v>
      </c>
      <c r="I17" s="132">
        <f>IF(SER_hh_fech_in!I17=0,0,SER_hh_fech_in!I17/SER_summary!I$27)</f>
        <v>12.670819323222116</v>
      </c>
      <c r="J17" s="132">
        <f>IF(SER_hh_fech_in!J17=0,0,SER_hh_fech_in!J17/SER_summary!J$27)</f>
        <v>13.080099412332853</v>
      </c>
      <c r="K17" s="132">
        <f>IF(SER_hh_fech_in!K17=0,0,SER_hh_fech_in!K17/SER_summary!K$27)</f>
        <v>16.345408726996457</v>
      </c>
      <c r="L17" s="132">
        <f>IF(SER_hh_fech_in!L17=0,0,SER_hh_fech_in!L17/SER_summary!L$27)</f>
        <v>15.098144880731896</v>
      </c>
      <c r="M17" s="132">
        <f>IF(SER_hh_fech_in!M17=0,0,SER_hh_fech_in!M17/SER_summary!M$27)</f>
        <v>13.207422707375226</v>
      </c>
      <c r="N17" s="132">
        <f>IF(SER_hh_fech_in!N17=0,0,SER_hh_fech_in!N17/SER_summary!N$27)</f>
        <v>15.499247763606936</v>
      </c>
      <c r="O17" s="132">
        <f>IF(SER_hh_fech_in!O17=0,0,SER_hh_fech_in!O17/SER_summary!O$27)</f>
        <v>12.233848524664788</v>
      </c>
      <c r="P17" s="132">
        <f>IF(SER_hh_fech_in!P17=0,0,SER_hh_fech_in!P17/SER_summary!P$27)</f>
        <v>11.05609795900684</v>
      </c>
      <c r="Q17" s="132">
        <f>IF(SER_hh_fech_in!Q17=0,0,SER_hh_fech_in!Q17/SER_summary!Q$27)</f>
        <v>15.886444028890356</v>
      </c>
      <c r="R17" s="132">
        <f>IF(SER_hh_fech_in!R17=0,0,SER_hh_fech_in!R17/SER_summary!R$27)</f>
        <v>15.202414841581925</v>
      </c>
      <c r="S17" s="132">
        <f>IF(SER_hh_fech_in!S17=0,0,SER_hh_fech_in!S17/SER_summary!S$27)</f>
        <v>17.165032581752008</v>
      </c>
      <c r="T17" s="132">
        <f>IF(SER_hh_fech_in!T17=0,0,SER_hh_fech_in!T17/SER_summary!T$27)</f>
        <v>11.911968469027011</v>
      </c>
      <c r="U17" s="132">
        <f>IF(SER_hh_fech_in!U17=0,0,SER_hh_fech_in!U17/SER_summary!U$27)</f>
        <v>11.965000036733736</v>
      </c>
      <c r="V17" s="132">
        <f>IF(SER_hh_fech_in!V17=0,0,SER_hh_fech_in!V17/SER_summary!V$27)</f>
        <v>11.862254591402186</v>
      </c>
      <c r="W17" s="132">
        <f>IF(SER_hh_fech_in!W17=0,0,SER_hh_fech_in!W17/SER_summary!W$27)</f>
        <v>10.133712306582906</v>
      </c>
      <c r="X17" s="132">
        <f>IF(SER_hh_fech_in!X17=0,0,SER_hh_fech_in!X17/SER_summary!X$27)</f>
        <v>15.951601741895631</v>
      </c>
      <c r="Y17" s="132">
        <f>IF(SER_hh_fech_in!Y17=0,0,SER_hh_fech_in!Y17/SER_summary!Y$27)</f>
        <v>14.757464289148219</v>
      </c>
      <c r="DA17" s="156" t="s">
        <v>831</v>
      </c>
    </row>
    <row r="18" spans="1:105" ht="12" customHeight="1" x14ac:dyDescent="0.25">
      <c r="A18" s="131" t="s">
        <v>72</v>
      </c>
      <c r="B18" s="132"/>
      <c r="C18" s="132">
        <f>IF(SER_hh_fech_in!C18=0,0,SER_hh_fech_in!C18/SER_summary!C$27)</f>
        <v>8.2579186453230982</v>
      </c>
      <c r="D18" s="132">
        <f>IF(SER_hh_fech_in!D18=0,0,SER_hh_fech_in!D18/SER_summary!D$27)</f>
        <v>7.0156875255738127</v>
      </c>
      <c r="E18" s="132">
        <f>IF(SER_hh_fech_in!E18=0,0,SER_hh_fech_in!E18/SER_summary!E$27)</f>
        <v>8.6722902353544722</v>
      </c>
      <c r="F18" s="132">
        <f>IF(SER_hh_fech_in!F18=0,0,SER_hh_fech_in!F18/SER_summary!F$27)</f>
        <v>7.4668819998866196</v>
      </c>
      <c r="G18" s="132">
        <f>IF(SER_hh_fech_in!G18=0,0,SER_hh_fech_in!G18/SER_summary!G$27)</f>
        <v>7.4915910383889956</v>
      </c>
      <c r="H18" s="132">
        <f>IF(SER_hh_fech_in!H18=0,0,SER_hh_fech_in!H18/SER_summary!H$27)</f>
        <v>8.0564019684666643</v>
      </c>
      <c r="I18" s="132">
        <f>IF(SER_hh_fech_in!I18=0,0,SER_hh_fech_in!I18/SER_summary!I$27)</f>
        <v>5.7766205591873918</v>
      </c>
      <c r="J18" s="132">
        <f>IF(SER_hh_fech_in!J18=0,0,SER_hh_fech_in!J18/SER_summary!J$27)</f>
        <v>5.8374766599970034</v>
      </c>
      <c r="K18" s="132">
        <f>IF(SER_hh_fech_in!K18=0,0,SER_hh_fech_in!K18/SER_summary!K$27)</f>
        <v>7.1492577983763486</v>
      </c>
      <c r="L18" s="132">
        <f>IF(SER_hh_fech_in!L18=0,0,SER_hh_fech_in!L18/SER_summary!L$27)</f>
        <v>6.4635878561746605</v>
      </c>
      <c r="M18" s="132">
        <f>IF(SER_hh_fech_in!M18=0,0,SER_hh_fech_in!M18/SER_summary!M$27)</f>
        <v>5.5321340819434077</v>
      </c>
      <c r="N18" s="132">
        <f>IF(SER_hh_fech_in!N18=0,0,SER_hh_fech_in!N18/SER_summary!N$27)</f>
        <v>6.3276598272430915</v>
      </c>
      <c r="O18" s="132">
        <f>IF(SER_hh_fech_in!O18=0,0,SER_hh_fech_in!O18/SER_summary!O$27)</f>
        <v>4.8593036870954753</v>
      </c>
      <c r="P18" s="132">
        <f>IF(SER_hh_fech_in!P18=0,0,SER_hh_fech_in!P18/SER_summary!P$27)</f>
        <v>4.2700304411984895</v>
      </c>
      <c r="Q18" s="132">
        <f>IF(SER_hh_fech_in!Q18=0,0,SER_hh_fech_in!Q18/SER_summary!Q$27)</f>
        <v>6.0060896320828574</v>
      </c>
      <c r="R18" s="132">
        <f>IF(SER_hh_fech_in!R18=0,0,SER_hh_fech_in!R18/SER_summary!R$27)</f>
        <v>5.6700496373819167</v>
      </c>
      <c r="S18" s="132">
        <f>IF(SER_hh_fech_in!S18=0,0,SER_hh_fech_in!S18/SER_summary!S$27)</f>
        <v>6.4458374312018814</v>
      </c>
      <c r="T18" s="132">
        <f>IF(SER_hh_fech_in!T18=0,0,SER_hh_fech_in!T18/SER_summary!T$27)</f>
        <v>4.5318258995122003</v>
      </c>
      <c r="U18" s="132">
        <f>IF(SER_hh_fech_in!U18=0,0,SER_hh_fech_in!U18/SER_summary!U$27)</f>
        <v>4.6167402268604283</v>
      </c>
      <c r="V18" s="132">
        <f>IF(SER_hh_fech_in!V18=0,0,SER_hh_fech_in!V18/SER_summary!V$27)</f>
        <v>5.0199916467353036</v>
      </c>
      <c r="W18" s="132">
        <f>IF(SER_hh_fech_in!W18=0,0,SER_hh_fech_in!W18/SER_summary!W$27)</f>
        <v>4.2043173829803253</v>
      </c>
      <c r="X18" s="132">
        <f>IF(SER_hh_fech_in!X18=0,0,SER_hh_fech_in!X18/SER_summary!X$27)</f>
        <v>5.3953015074700597</v>
      </c>
      <c r="Y18" s="132">
        <f>IF(SER_hh_fech_in!Y18=0,0,SER_hh_fech_in!Y18/SER_summary!Y$27)</f>
        <v>5.4679495314442041</v>
      </c>
      <c r="DA18" s="156" t="s">
        <v>832</v>
      </c>
    </row>
    <row r="19" spans="1:105" ht="12.95" customHeight="1" x14ac:dyDescent="0.25">
      <c r="A19" s="129" t="s">
        <v>35</v>
      </c>
      <c r="B19" s="130"/>
      <c r="C19" s="130">
        <f>IF(SER_hh_fech_in!C19=0,0,SER_hh_fech_in!C19/SER_summary!C$27)</f>
        <v>6.0181290340303217</v>
      </c>
      <c r="D19" s="130">
        <f>IF(SER_hh_fech_in!D19=0,0,SER_hh_fech_in!D19/SER_summary!D$27)</f>
        <v>6.5234562822058946</v>
      </c>
      <c r="E19" s="130">
        <f>IF(SER_hh_fech_in!E19=0,0,SER_hh_fech_in!E19/SER_summary!E$27)</f>
        <v>6.4748184222240805</v>
      </c>
      <c r="F19" s="130">
        <f>IF(SER_hh_fech_in!F19=0,0,SER_hh_fech_in!F19/SER_summary!F$27)</f>
        <v>6.5887970572448804</v>
      </c>
      <c r="G19" s="130">
        <f>IF(SER_hh_fech_in!G19=0,0,SER_hh_fech_in!G19/SER_summary!G$27)</f>
        <v>6.1745246253599797</v>
      </c>
      <c r="H19" s="130">
        <f>IF(SER_hh_fech_in!H19=0,0,SER_hh_fech_in!H19/SER_summary!H$27)</f>
        <v>7.641967686825935</v>
      </c>
      <c r="I19" s="130">
        <f>IF(SER_hh_fech_in!I19=0,0,SER_hh_fech_in!I19/SER_summary!I$27)</f>
        <v>6.886494395788092</v>
      </c>
      <c r="J19" s="130">
        <f>IF(SER_hh_fech_in!J19=0,0,SER_hh_fech_in!J19/SER_summary!J$27)</f>
        <v>6.4282128099818072</v>
      </c>
      <c r="K19" s="130">
        <f>IF(SER_hh_fech_in!K19=0,0,SER_hh_fech_in!K19/SER_summary!K$27)</f>
        <v>5.4028924346742881</v>
      </c>
      <c r="L19" s="130">
        <f>IF(SER_hh_fech_in!L19=0,0,SER_hh_fech_in!L19/SER_summary!L$27)</f>
        <v>6.3493266718372539</v>
      </c>
      <c r="M19" s="130">
        <f>IF(SER_hh_fech_in!M19=0,0,SER_hh_fech_in!M19/SER_summary!M$27)</f>
        <v>6.0754075620996257</v>
      </c>
      <c r="N19" s="130">
        <f>IF(SER_hh_fech_in!N19=0,0,SER_hh_fech_in!N19/SER_summary!N$27)</f>
        <v>6.1948338501848488</v>
      </c>
      <c r="O19" s="130">
        <f>IF(SER_hh_fech_in!O19=0,0,SER_hh_fech_in!O19/SER_summary!O$27)</f>
        <v>6.6020922055952012</v>
      </c>
      <c r="P19" s="130">
        <f>IF(SER_hh_fech_in!P19=0,0,SER_hh_fech_in!P19/SER_summary!P$27)</f>
        <v>6.2290493712616213</v>
      </c>
      <c r="Q19" s="130">
        <f>IF(SER_hh_fech_in!Q19=0,0,SER_hh_fech_in!Q19/SER_summary!Q$27)</f>
        <v>5.5291495635991339</v>
      </c>
      <c r="R19" s="130">
        <f>IF(SER_hh_fech_in!R19=0,0,SER_hh_fech_in!R19/SER_summary!R$27)</f>
        <v>5.1155482924309172</v>
      </c>
      <c r="S19" s="130">
        <f>IF(SER_hh_fech_in!S19=0,0,SER_hh_fech_in!S19/SER_summary!S$27)</f>
        <v>4.5492723479861201</v>
      </c>
      <c r="T19" s="130">
        <f>IF(SER_hh_fech_in!T19=0,0,SER_hh_fech_in!T19/SER_summary!T$27)</f>
        <v>5.0718785517885303</v>
      </c>
      <c r="U19" s="130">
        <f>IF(SER_hh_fech_in!U19=0,0,SER_hh_fech_in!U19/SER_summary!U$27)</f>
        <v>4.7709912223838327</v>
      </c>
      <c r="V19" s="130">
        <f>IF(SER_hh_fech_in!V19=0,0,SER_hh_fech_in!V19/SER_summary!V$27)</f>
        <v>4.4825455519693724</v>
      </c>
      <c r="W19" s="130">
        <f>IF(SER_hh_fech_in!W19=0,0,SER_hh_fech_in!W19/SER_summary!W$27)</f>
        <v>4.7842171730046976</v>
      </c>
      <c r="X19" s="130">
        <f>IF(SER_hh_fech_in!X19=0,0,SER_hh_fech_in!X19/SER_summary!X$27)</f>
        <v>4.5617848333980593</v>
      </c>
      <c r="Y19" s="130">
        <f>IF(SER_hh_fech_in!Y19=0,0,SER_hh_fech_in!Y19/SER_summary!Y$27)</f>
        <v>4.5696043018740555</v>
      </c>
      <c r="DA19" s="155" t="s">
        <v>833</v>
      </c>
    </row>
    <row r="20" spans="1:105" ht="12" customHeight="1" x14ac:dyDescent="0.25">
      <c r="A20" s="131" t="s">
        <v>29</v>
      </c>
      <c r="B20" s="132"/>
      <c r="C20" s="132">
        <f>IF(SER_hh_fech_in!C20=0,0,SER_hh_fech_in!C20/SER_summary!C$27)</f>
        <v>0</v>
      </c>
      <c r="D20" s="132">
        <f>IF(SER_hh_fech_in!D20=0,0,SER_hh_fech_in!D20/SER_summary!D$27)</f>
        <v>0</v>
      </c>
      <c r="E20" s="132">
        <f>IF(SER_hh_fech_in!E20=0,0,SER_hh_fech_in!E20/SER_summary!E$27)</f>
        <v>0</v>
      </c>
      <c r="F20" s="132">
        <f>IF(SER_hh_fech_in!F20=0,0,SER_hh_fech_in!F20/SER_summary!F$27)</f>
        <v>0</v>
      </c>
      <c r="G20" s="132">
        <f>IF(SER_hh_fech_in!G20=0,0,SER_hh_fech_in!G20/SER_summary!G$27)</f>
        <v>0</v>
      </c>
      <c r="H20" s="132">
        <f>IF(SER_hh_fech_in!H20=0,0,SER_hh_fech_in!H20/SER_summary!H$27)</f>
        <v>0</v>
      </c>
      <c r="I20" s="132">
        <f>IF(SER_hh_fech_in!I20=0,0,SER_hh_fech_in!I20/SER_summary!I$27)</f>
        <v>0</v>
      </c>
      <c r="J20" s="132">
        <f>IF(SER_hh_fech_in!J20=0,0,SER_hh_fech_in!J20/SER_summary!J$27)</f>
        <v>0</v>
      </c>
      <c r="K20" s="132">
        <f>IF(SER_hh_fech_in!K20=0,0,SER_hh_fech_in!K20/SER_summary!K$27)</f>
        <v>0</v>
      </c>
      <c r="L20" s="132">
        <f>IF(SER_hh_fech_in!L20=0,0,SER_hh_fech_in!L20/SER_summary!L$27)</f>
        <v>0</v>
      </c>
      <c r="M20" s="132">
        <f>IF(SER_hh_fech_in!M20=0,0,SER_hh_fech_in!M20/SER_summary!M$27)</f>
        <v>0</v>
      </c>
      <c r="N20" s="132">
        <f>IF(SER_hh_fech_in!N20=0,0,SER_hh_fech_in!N20/SER_summary!N$27)</f>
        <v>0</v>
      </c>
      <c r="O20" s="132">
        <f>IF(SER_hh_fech_in!O20=0,0,SER_hh_fech_in!O20/SER_summary!O$27)</f>
        <v>0</v>
      </c>
      <c r="P20" s="132">
        <f>IF(SER_hh_fech_in!P20=0,0,SER_hh_fech_in!P20/SER_summary!P$27)</f>
        <v>0</v>
      </c>
      <c r="Q20" s="132">
        <f>IF(SER_hh_fech_in!Q20=0,0,SER_hh_fech_in!Q20/SER_summary!Q$27)</f>
        <v>0</v>
      </c>
      <c r="R20" s="132">
        <f>IF(SER_hh_fech_in!R20=0,0,SER_hh_fech_in!R20/SER_summary!R$27)</f>
        <v>0</v>
      </c>
      <c r="S20" s="132">
        <f>IF(SER_hh_fech_in!S20=0,0,SER_hh_fech_in!S20/SER_summary!S$27)</f>
        <v>0</v>
      </c>
      <c r="T20" s="132">
        <f>IF(SER_hh_fech_in!T20=0,0,SER_hh_fech_in!T20/SER_summary!T$27)</f>
        <v>0</v>
      </c>
      <c r="U20" s="132">
        <f>IF(SER_hh_fech_in!U20=0,0,SER_hh_fech_in!U20/SER_summary!U$27)</f>
        <v>0</v>
      </c>
      <c r="V20" s="132">
        <f>IF(SER_hh_fech_in!V20=0,0,SER_hh_fech_in!V20/SER_summary!V$27)</f>
        <v>0</v>
      </c>
      <c r="W20" s="132">
        <f>IF(SER_hh_fech_in!W20=0,0,SER_hh_fech_in!W20/SER_summary!W$27)</f>
        <v>0</v>
      </c>
      <c r="X20" s="132">
        <f>IF(SER_hh_fech_in!X20=0,0,SER_hh_fech_in!X20/SER_summary!X$27)</f>
        <v>0</v>
      </c>
      <c r="Y20" s="132">
        <f>IF(SER_hh_fech_in!Y20=0,0,SER_hh_fech_in!Y20/SER_summary!Y$27)</f>
        <v>0</v>
      </c>
      <c r="DA20" s="156" t="s">
        <v>834</v>
      </c>
    </row>
    <row r="21" spans="1:105" s="2" customFormat="1" ht="12" customHeight="1" x14ac:dyDescent="0.25">
      <c r="A21" s="131" t="s">
        <v>52</v>
      </c>
      <c r="B21" s="132"/>
      <c r="C21" s="132">
        <f>IF(SER_hh_fech_in!C21=0,0,SER_hh_fech_in!C21/SER_summary!C$27)</f>
        <v>6.8607269521588954</v>
      </c>
      <c r="D21" s="132">
        <f>IF(SER_hh_fech_in!D21=0,0,SER_hh_fech_in!D21/SER_summary!D$27)</f>
        <v>7.449308502164909</v>
      </c>
      <c r="E21" s="132">
        <f>IF(SER_hh_fech_in!E21=0,0,SER_hh_fech_in!E21/SER_summary!E$27)</f>
        <v>7.5643444793558654</v>
      </c>
      <c r="F21" s="132">
        <f>IF(SER_hh_fech_in!F21=0,0,SER_hh_fech_in!F21/SER_summary!F$27)</f>
        <v>7.3754879902910764</v>
      </c>
      <c r="G21" s="132">
        <f>IF(SER_hh_fech_in!G21=0,0,SER_hh_fech_in!G21/SER_summary!G$27)</f>
        <v>7.3527491572223207</v>
      </c>
      <c r="H21" s="132">
        <f>IF(SER_hh_fech_in!H21=0,0,SER_hh_fech_in!H21/SER_summary!H$27)</f>
        <v>7.4930033096271931</v>
      </c>
      <c r="I21" s="132">
        <f>IF(SER_hh_fech_in!I21=0,0,SER_hh_fech_in!I21/SER_summary!I$27)</f>
        <v>7.6526463439685886</v>
      </c>
      <c r="J21" s="132">
        <f>IF(SER_hh_fech_in!J21=0,0,SER_hh_fech_in!J21/SER_summary!J$27)</f>
        <v>7.4988716247326295</v>
      </c>
      <c r="K21" s="132">
        <f>IF(SER_hh_fech_in!K21=0,0,SER_hh_fech_in!K21/SER_summary!K$27)</f>
        <v>5.9289549890168169</v>
      </c>
      <c r="L21" s="132">
        <f>IF(SER_hh_fech_in!L21=0,0,SER_hh_fech_in!L21/SER_summary!L$27)</f>
        <v>7.6633552729584782</v>
      </c>
      <c r="M21" s="132">
        <f>IF(SER_hh_fech_in!M21=0,0,SER_hh_fech_in!M21/SER_summary!M$27)</f>
        <v>7.3118952368549914</v>
      </c>
      <c r="N21" s="132">
        <f>IF(SER_hh_fech_in!N21=0,0,SER_hh_fech_in!N21/SER_summary!N$27)</f>
        <v>7.2124461259372632</v>
      </c>
      <c r="O21" s="132">
        <f>IF(SER_hh_fech_in!O21=0,0,SER_hh_fech_in!O21/SER_summary!O$27)</f>
        <v>6.9461732675844177</v>
      </c>
      <c r="P21" s="132">
        <f>IF(SER_hh_fech_in!P21=0,0,SER_hh_fech_in!P21/SER_summary!P$27)</f>
        <v>5.6903869805725291</v>
      </c>
      <c r="Q21" s="132">
        <f>IF(SER_hh_fech_in!Q21=0,0,SER_hh_fech_in!Q21/SER_summary!Q$27)</f>
        <v>5.8405963329447035</v>
      </c>
      <c r="R21" s="132">
        <f>IF(SER_hh_fech_in!R21=0,0,SER_hh_fech_in!R21/SER_summary!R$27)</f>
        <v>5.6950532196645307</v>
      </c>
      <c r="S21" s="132">
        <f>IF(SER_hh_fech_in!S21=0,0,SER_hh_fech_in!S21/SER_summary!S$27)</f>
        <v>5.465387380945379</v>
      </c>
      <c r="T21" s="132">
        <f>IF(SER_hh_fech_in!T21=0,0,SER_hh_fech_in!T21/SER_summary!T$27)</f>
        <v>0</v>
      </c>
      <c r="U21" s="132">
        <f>IF(SER_hh_fech_in!U21=0,0,SER_hh_fech_in!U21/SER_summary!U$27)</f>
        <v>0</v>
      </c>
      <c r="V21" s="132">
        <f>IF(SER_hh_fech_in!V21=0,0,SER_hh_fech_in!V21/SER_summary!V$27)</f>
        <v>0</v>
      </c>
      <c r="W21" s="132">
        <f>IF(SER_hh_fech_in!W21=0,0,SER_hh_fech_in!W21/SER_summary!W$27)</f>
        <v>4.1764694933940145</v>
      </c>
      <c r="X21" s="132">
        <f>IF(SER_hh_fech_in!X21=0,0,SER_hh_fech_in!X21/SER_summary!X$27)</f>
        <v>4.3216758154245447</v>
      </c>
      <c r="Y21" s="132">
        <f>IF(SER_hh_fech_in!Y21=0,0,SER_hh_fech_in!Y21/SER_summary!Y$27)</f>
        <v>5.3861138683641894</v>
      </c>
      <c r="DA21" s="156" t="s">
        <v>835</v>
      </c>
    </row>
    <row r="22" spans="1:105" ht="12" customHeight="1" x14ac:dyDescent="0.25">
      <c r="A22" s="131" t="s">
        <v>161</v>
      </c>
      <c r="B22" s="132"/>
      <c r="C22" s="132">
        <f>IF(SER_hh_fech_in!C22=0,0,SER_hh_fech_in!C22/SER_summary!C$27)</f>
        <v>7.4502463793254297</v>
      </c>
      <c r="D22" s="132">
        <f>IF(SER_hh_fech_in!D22=0,0,SER_hh_fech_in!D22/SER_summary!D$27)</f>
        <v>7.8755233595974579</v>
      </c>
      <c r="E22" s="132">
        <f>IF(SER_hh_fech_in!E22=0,0,SER_hh_fech_in!E22/SER_summary!E$27)</f>
        <v>7.8399886211870609</v>
      </c>
      <c r="F22" s="132">
        <f>IF(SER_hh_fech_in!F22=0,0,SER_hh_fech_in!F22/SER_summary!F$27)</f>
        <v>8.0416364611672861</v>
      </c>
      <c r="G22" s="132">
        <f>IF(SER_hh_fech_in!G22=0,0,SER_hh_fech_in!G22/SER_summary!G$27)</f>
        <v>8.0334287593846909</v>
      </c>
      <c r="H22" s="132">
        <f>IF(SER_hh_fech_in!H22=0,0,SER_hh_fech_in!H22/SER_summary!H$27)</f>
        <v>7.8671512337602829</v>
      </c>
      <c r="I22" s="132">
        <f>IF(SER_hh_fech_in!I22=0,0,SER_hh_fech_in!I22/SER_summary!I$27)</f>
        <v>8.037986141885149</v>
      </c>
      <c r="J22" s="132">
        <f>IF(SER_hh_fech_in!J22=0,0,SER_hh_fech_in!J22/SER_summary!J$27)</f>
        <v>7.7727905024307651</v>
      </c>
      <c r="K22" s="132">
        <f>IF(SER_hh_fech_in!K22=0,0,SER_hh_fech_in!K22/SER_summary!K$27)</f>
        <v>5.924236621726771</v>
      </c>
      <c r="L22" s="132">
        <f>IF(SER_hh_fech_in!L22=0,0,SER_hh_fech_in!L22/SER_summary!L$27)</f>
        <v>7.9311121770602675</v>
      </c>
      <c r="M22" s="132">
        <f>IF(SER_hh_fech_in!M22=0,0,SER_hh_fech_in!M22/SER_summary!M$27)</f>
        <v>7.5670566780620767</v>
      </c>
      <c r="N22" s="132">
        <f>IF(SER_hh_fech_in!N22=0,0,SER_hh_fech_in!N22/SER_summary!N$27)</f>
        <v>7.5329284977827768</v>
      </c>
      <c r="O22" s="132">
        <f>IF(SER_hh_fech_in!O22=0,0,SER_hh_fech_in!O22/SER_summary!O$27)</f>
        <v>7.1088386303722055</v>
      </c>
      <c r="P22" s="132">
        <f>IF(SER_hh_fech_in!P22=0,0,SER_hh_fech_in!P22/SER_summary!P$27)</f>
        <v>5.6905461042647207</v>
      </c>
      <c r="Q22" s="132">
        <f>IF(SER_hh_fech_in!Q22=0,0,SER_hh_fech_in!Q22/SER_summary!Q$27)</f>
        <v>6.0686647457095466</v>
      </c>
      <c r="R22" s="132">
        <f>IF(SER_hh_fech_in!R22=0,0,SER_hh_fech_in!R22/SER_summary!R$27)</f>
        <v>5.909018381121566</v>
      </c>
      <c r="S22" s="132">
        <f>IF(SER_hh_fech_in!S22=0,0,SER_hh_fech_in!S22/SER_summary!S$27)</f>
        <v>5.5260268773488486</v>
      </c>
      <c r="T22" s="132">
        <f>IF(SER_hh_fech_in!T22=0,0,SER_hh_fech_in!T22/SER_summary!T$27)</f>
        <v>5.4737818206609701</v>
      </c>
      <c r="U22" s="132">
        <f>IF(SER_hh_fech_in!U22=0,0,SER_hh_fech_in!U22/SER_summary!U$27)</f>
        <v>5.1386897450642994</v>
      </c>
      <c r="V22" s="132">
        <f>IF(SER_hh_fech_in!V22=0,0,SER_hh_fech_in!V22/SER_summary!V$27)</f>
        <v>4.5223956277706074</v>
      </c>
      <c r="W22" s="132">
        <f>IF(SER_hh_fech_in!W22=0,0,SER_hh_fech_in!W22/SER_summary!W$27)</f>
        <v>5.0991249333965003</v>
      </c>
      <c r="X22" s="132">
        <f>IF(SER_hh_fech_in!X22=0,0,SER_hh_fech_in!X22/SER_summary!X$27)</f>
        <v>4.8315778491619419</v>
      </c>
      <c r="Y22" s="132">
        <f>IF(SER_hh_fech_in!Y22=0,0,SER_hh_fech_in!Y22/SER_summary!Y$27)</f>
        <v>4.8235050270801896</v>
      </c>
      <c r="DA22" s="156" t="s">
        <v>836</v>
      </c>
    </row>
    <row r="23" spans="1:105" ht="12" customHeight="1" x14ac:dyDescent="0.25">
      <c r="A23" s="131" t="s">
        <v>149</v>
      </c>
      <c r="B23" s="132"/>
      <c r="C23" s="132">
        <f>IF(SER_hh_fech_in!C23=0,0,SER_hh_fech_in!C23/SER_summary!C$27)</f>
        <v>0</v>
      </c>
      <c r="D23" s="132">
        <f>IF(SER_hh_fech_in!D23=0,0,SER_hh_fech_in!D23/SER_summary!D$27)</f>
        <v>0</v>
      </c>
      <c r="E23" s="132">
        <f>IF(SER_hh_fech_in!E23=0,0,SER_hh_fech_in!E23/SER_summary!E$27)</f>
        <v>0</v>
      </c>
      <c r="F23" s="132">
        <f>IF(SER_hh_fech_in!F23=0,0,SER_hh_fech_in!F23/SER_summary!F$27)</f>
        <v>5.9334071308780203</v>
      </c>
      <c r="G23" s="132">
        <f>IF(SER_hh_fech_in!G23=0,0,SER_hh_fech_in!G23/SER_summary!G$27)</f>
        <v>5.2479210227603064</v>
      </c>
      <c r="H23" s="132">
        <f>IF(SER_hh_fech_in!H23=0,0,SER_hh_fech_in!H23/SER_summary!H$27)</f>
        <v>8.6224112982519365</v>
      </c>
      <c r="I23" s="132">
        <f>IF(SER_hh_fech_in!I23=0,0,SER_hh_fech_in!I23/SER_summary!I$27)</f>
        <v>7.7285774218327319</v>
      </c>
      <c r="J23" s="132">
        <f>IF(SER_hh_fech_in!J23=0,0,SER_hh_fech_in!J23/SER_summary!J$27)</f>
        <v>7.0347774199148168</v>
      </c>
      <c r="K23" s="132">
        <f>IF(SER_hh_fech_in!K23=0,0,SER_hh_fech_in!K23/SER_summary!K$27)</f>
        <v>4.8141025003290467</v>
      </c>
      <c r="L23" s="132">
        <f>IF(SER_hh_fech_in!L23=0,0,SER_hh_fech_in!L23/SER_summary!L$27)</f>
        <v>6.9985822849546615</v>
      </c>
      <c r="M23" s="132">
        <f>IF(SER_hh_fech_in!M23=0,0,SER_hh_fech_in!M23/SER_summary!M$27)</f>
        <v>6.3927046140868242</v>
      </c>
      <c r="N23" s="132">
        <f>IF(SER_hh_fech_in!N23=0,0,SER_hh_fech_in!N23/SER_summary!N$27)</f>
        <v>6.371557052166394</v>
      </c>
      <c r="O23" s="132">
        <f>IF(SER_hh_fech_in!O23=0,0,SER_hh_fech_in!O23/SER_summary!O$27)</f>
        <v>6.3628110443175823</v>
      </c>
      <c r="P23" s="132">
        <f>IF(SER_hh_fech_in!P23=0,0,SER_hh_fech_in!P23/SER_summary!P$27)</f>
        <v>5.060588965321438</v>
      </c>
      <c r="Q23" s="132">
        <f>IF(SER_hh_fech_in!Q23=0,0,SER_hh_fech_in!Q23/SER_summary!Q$27)</f>
        <v>5.1587309411135873</v>
      </c>
      <c r="R23" s="132">
        <f>IF(SER_hh_fech_in!R23=0,0,SER_hh_fech_in!R23/SER_summary!R$27)</f>
        <v>5.140945212311598</v>
      </c>
      <c r="S23" s="132">
        <f>IF(SER_hh_fech_in!S23=0,0,SER_hh_fech_in!S23/SER_summary!S$27)</f>
        <v>5.0349490344564973</v>
      </c>
      <c r="T23" s="132">
        <f>IF(SER_hh_fech_in!T23=0,0,SER_hh_fech_in!T23/SER_summary!T$27)</f>
        <v>5.0178401405867739</v>
      </c>
      <c r="U23" s="132">
        <f>IF(SER_hh_fech_in!U23=0,0,SER_hh_fech_in!U23/SER_summary!U$27)</f>
        <v>4.9264918043320618</v>
      </c>
      <c r="V23" s="132">
        <f>IF(SER_hh_fech_in!V23=0,0,SER_hh_fech_in!V23/SER_summary!V$27)</f>
        <v>4.2287551642937595</v>
      </c>
      <c r="W23" s="132">
        <f>IF(SER_hh_fech_in!W23=0,0,SER_hh_fech_in!W23/SER_summary!W$27)</f>
        <v>4.8483585451406581</v>
      </c>
      <c r="X23" s="132">
        <f>IF(SER_hh_fech_in!X23=0,0,SER_hh_fech_in!X23/SER_summary!X$27)</f>
        <v>4.5679080664332528</v>
      </c>
      <c r="Y23" s="132">
        <f>IF(SER_hh_fech_in!Y23=0,0,SER_hh_fech_in!Y23/SER_summary!Y$27)</f>
        <v>4.6431196813527071</v>
      </c>
      <c r="DA23" s="156" t="s">
        <v>837</v>
      </c>
    </row>
    <row r="24" spans="1:105" ht="12" customHeight="1" x14ac:dyDescent="0.25">
      <c r="A24" s="131" t="s">
        <v>128</v>
      </c>
      <c r="B24" s="132"/>
      <c r="C24" s="132">
        <f>IF(SER_hh_fech_in!C24=0,0,SER_hh_fech_in!C24/SER_summary!C$27)</f>
        <v>0</v>
      </c>
      <c r="D24" s="132">
        <f>IF(SER_hh_fech_in!D24=0,0,SER_hh_fech_in!D24/SER_summary!D$27)</f>
        <v>0</v>
      </c>
      <c r="E24" s="132">
        <f>IF(SER_hh_fech_in!E24=0,0,SER_hh_fech_in!E24/SER_summary!E$27)</f>
        <v>0</v>
      </c>
      <c r="F24" s="132">
        <f>IF(SER_hh_fech_in!F24=0,0,SER_hh_fech_in!F24/SER_summary!F$27)</f>
        <v>0</v>
      </c>
      <c r="G24" s="132">
        <f>IF(SER_hh_fech_in!G24=0,0,SER_hh_fech_in!G24/SER_summary!G$27)</f>
        <v>0</v>
      </c>
      <c r="H24" s="132">
        <f>IF(SER_hh_fech_in!H24=0,0,SER_hh_fech_in!H24/SER_summary!H$27)</f>
        <v>0</v>
      </c>
      <c r="I24" s="132">
        <f>IF(SER_hh_fech_in!I24=0,0,SER_hh_fech_in!I24/SER_summary!I$27)</f>
        <v>0</v>
      </c>
      <c r="J24" s="132">
        <f>IF(SER_hh_fech_in!J24=0,0,SER_hh_fech_in!J24/SER_summary!J$27)</f>
        <v>0</v>
      </c>
      <c r="K24" s="132">
        <f>IF(SER_hh_fech_in!K24=0,0,SER_hh_fech_in!K24/SER_summary!K$27)</f>
        <v>0</v>
      </c>
      <c r="L24" s="132">
        <f>IF(SER_hh_fech_in!L24=0,0,SER_hh_fech_in!L24/SER_summary!L$27)</f>
        <v>0</v>
      </c>
      <c r="M24" s="132">
        <f>IF(SER_hh_fech_in!M24=0,0,SER_hh_fech_in!M24/SER_summary!M$27)</f>
        <v>0</v>
      </c>
      <c r="N24" s="132">
        <f>IF(SER_hh_fech_in!N24=0,0,SER_hh_fech_in!N24/SER_summary!N$27)</f>
        <v>0</v>
      </c>
      <c r="O24" s="132">
        <f>IF(SER_hh_fech_in!O24=0,0,SER_hh_fech_in!O24/SER_summary!O$27)</f>
        <v>0</v>
      </c>
      <c r="P24" s="132">
        <f>IF(SER_hh_fech_in!P24=0,0,SER_hh_fech_in!P24/SER_summary!P$27)</f>
        <v>0</v>
      </c>
      <c r="Q24" s="132">
        <f>IF(SER_hh_fech_in!Q24=0,0,SER_hh_fech_in!Q24/SER_summary!Q$27)</f>
        <v>0</v>
      </c>
      <c r="R24" s="132">
        <f>IF(SER_hh_fech_in!R24=0,0,SER_hh_fech_in!R24/SER_summary!R$27)</f>
        <v>0</v>
      </c>
      <c r="S24" s="132">
        <f>IF(SER_hh_fech_in!S24=0,0,SER_hh_fech_in!S24/SER_summary!S$27)</f>
        <v>0</v>
      </c>
      <c r="T24" s="132">
        <f>IF(SER_hh_fech_in!T24=0,0,SER_hh_fech_in!T24/SER_summary!T$27)</f>
        <v>0</v>
      </c>
      <c r="U24" s="132">
        <f>IF(SER_hh_fech_in!U24=0,0,SER_hh_fech_in!U24/SER_summary!U$27)</f>
        <v>0</v>
      </c>
      <c r="V24" s="132">
        <f>IF(SER_hh_fech_in!V24=0,0,SER_hh_fech_in!V24/SER_summary!V$27)</f>
        <v>0</v>
      </c>
      <c r="W24" s="132">
        <f>IF(SER_hh_fech_in!W24=0,0,SER_hh_fech_in!W24/SER_summary!W$27)</f>
        <v>0</v>
      </c>
      <c r="X24" s="132">
        <f>IF(SER_hh_fech_in!X24=0,0,SER_hh_fech_in!X24/SER_summary!X$27)</f>
        <v>0</v>
      </c>
      <c r="Y24" s="132">
        <f>IF(SER_hh_fech_in!Y24=0,0,SER_hh_fech_in!Y24/SER_summary!Y$27)</f>
        <v>0</v>
      </c>
      <c r="DA24" s="156" t="s">
        <v>838</v>
      </c>
    </row>
    <row r="25" spans="1:105" ht="12" customHeight="1" x14ac:dyDescent="0.25">
      <c r="A25" s="131" t="s">
        <v>162</v>
      </c>
      <c r="B25" s="132"/>
      <c r="C25" s="132">
        <f>IF(SER_hh_fech_in!C25=0,0,SER_hh_fech_in!C25/SER_summary!C$27)</f>
        <v>0</v>
      </c>
      <c r="D25" s="132">
        <f>IF(SER_hh_fech_in!D25=0,0,SER_hh_fech_in!D25/SER_summary!D$27)</f>
        <v>0</v>
      </c>
      <c r="E25" s="132">
        <f>IF(SER_hh_fech_in!E25=0,0,SER_hh_fech_in!E25/SER_summary!E$27)</f>
        <v>0</v>
      </c>
      <c r="F25" s="132">
        <f>IF(SER_hh_fech_in!F25=0,0,SER_hh_fech_in!F25/SER_summary!F$27)</f>
        <v>0</v>
      </c>
      <c r="G25" s="132">
        <f>IF(SER_hh_fech_in!G25=0,0,SER_hh_fech_in!G25/SER_summary!G$27)</f>
        <v>0</v>
      </c>
      <c r="H25" s="132">
        <f>IF(SER_hh_fech_in!H25=0,0,SER_hh_fech_in!H25/SER_summary!H$27)</f>
        <v>0</v>
      </c>
      <c r="I25" s="132">
        <f>IF(SER_hh_fech_in!I25=0,0,SER_hh_fech_in!I25/SER_summary!I$27)</f>
        <v>0</v>
      </c>
      <c r="J25" s="132">
        <f>IF(SER_hh_fech_in!J25=0,0,SER_hh_fech_in!J25/SER_summary!J$27)</f>
        <v>0</v>
      </c>
      <c r="K25" s="132">
        <f>IF(SER_hh_fech_in!K25=0,0,SER_hh_fech_in!K25/SER_summary!K$27)</f>
        <v>0</v>
      </c>
      <c r="L25" s="132">
        <f>IF(SER_hh_fech_in!L25=0,0,SER_hh_fech_in!L25/SER_summary!L$27)</f>
        <v>0</v>
      </c>
      <c r="M25" s="132">
        <f>IF(SER_hh_fech_in!M25=0,0,SER_hh_fech_in!M25/SER_summary!M$27)</f>
        <v>0</v>
      </c>
      <c r="N25" s="132">
        <f>IF(SER_hh_fech_in!N25=0,0,SER_hh_fech_in!N25/SER_summary!N$27)</f>
        <v>0</v>
      </c>
      <c r="O25" s="132">
        <f>IF(SER_hh_fech_in!O25=0,0,SER_hh_fech_in!O25/SER_summary!O$27)</f>
        <v>0</v>
      </c>
      <c r="P25" s="132">
        <f>IF(SER_hh_fech_in!P25=0,0,SER_hh_fech_in!P25/SER_summary!P$27)</f>
        <v>0</v>
      </c>
      <c r="Q25" s="132">
        <f>IF(SER_hh_fech_in!Q25=0,0,SER_hh_fech_in!Q25/SER_summary!Q$27)</f>
        <v>0</v>
      </c>
      <c r="R25" s="132">
        <f>IF(SER_hh_fech_in!R25=0,0,SER_hh_fech_in!R25/SER_summary!R$27)</f>
        <v>0</v>
      </c>
      <c r="S25" s="132">
        <f>IF(SER_hh_fech_in!S25=0,0,SER_hh_fech_in!S25/SER_summary!S$27)</f>
        <v>0</v>
      </c>
      <c r="T25" s="132">
        <f>IF(SER_hh_fech_in!T25=0,0,SER_hh_fech_in!T25/SER_summary!T$27)</f>
        <v>0</v>
      </c>
      <c r="U25" s="132">
        <f>IF(SER_hh_fech_in!U25=0,0,SER_hh_fech_in!U25/SER_summary!U$27)</f>
        <v>0</v>
      </c>
      <c r="V25" s="132">
        <f>IF(SER_hh_fech_in!V25=0,0,SER_hh_fech_in!V25/SER_summary!V$27)</f>
        <v>0</v>
      </c>
      <c r="W25" s="132">
        <f>IF(SER_hh_fech_in!W25=0,0,SER_hh_fech_in!W25/SER_summary!W$27)</f>
        <v>0</v>
      </c>
      <c r="X25" s="132">
        <f>IF(SER_hh_fech_in!X25=0,0,SER_hh_fech_in!X25/SER_summary!X$27)</f>
        <v>0</v>
      </c>
      <c r="Y25" s="132">
        <f>IF(SER_hh_fech_in!Y25=0,0,SER_hh_fech_in!Y25/SER_summary!Y$27)</f>
        <v>0</v>
      </c>
      <c r="DA25" s="156" t="s">
        <v>839</v>
      </c>
    </row>
    <row r="26" spans="1:105" ht="12" customHeight="1" x14ac:dyDescent="0.25">
      <c r="A26" s="131" t="s">
        <v>24</v>
      </c>
      <c r="B26" s="65"/>
      <c r="C26" s="65">
        <f>IF(SER_hh_fech_in!C26=0,0,SER_hh_fech_in!C26/SER_summary!C$27)</f>
        <v>4.9336561460238588</v>
      </c>
      <c r="D26" s="65">
        <f>IF(SER_hh_fech_in!D26=0,0,SER_hh_fech_in!D26/SER_summary!D$27)</f>
        <v>6.0662878813246515</v>
      </c>
      <c r="E26" s="65">
        <f>IF(SER_hh_fech_in!E26=0,0,SER_hh_fech_in!E26/SER_summary!E$27)</f>
        <v>5.4805378554834183</v>
      </c>
      <c r="F26" s="65">
        <f>IF(SER_hh_fech_in!F26=0,0,SER_hh_fech_in!F26/SER_summary!F$27)</f>
        <v>5.7404743904894309</v>
      </c>
      <c r="G26" s="65">
        <f>IF(SER_hh_fech_in!G26=0,0,SER_hh_fech_in!G26/SER_summary!G$27)</f>
        <v>4.808617503015749</v>
      </c>
      <c r="H26" s="65">
        <f>IF(SER_hh_fech_in!H26=0,0,SER_hh_fech_in!H26/SER_summary!H$27)</f>
        <v>3.8418163471705986</v>
      </c>
      <c r="I26" s="65">
        <f>IF(SER_hh_fech_in!I26=0,0,SER_hh_fech_in!I26/SER_summary!I$27)</f>
        <v>5.3210104788084847</v>
      </c>
      <c r="J26" s="65">
        <f>IF(SER_hh_fech_in!J26=0,0,SER_hh_fech_in!J26/SER_summary!J$27)</f>
        <v>4.560063491257826</v>
      </c>
      <c r="K26" s="65">
        <f>IF(SER_hh_fech_in!K26=0,0,SER_hh_fech_in!K26/SER_summary!K$27)</f>
        <v>0.39859420592639533</v>
      </c>
      <c r="L26" s="65">
        <f>IF(SER_hh_fech_in!L26=0,0,SER_hh_fech_in!L26/SER_summary!L$27)</f>
        <v>3.5442371271970869</v>
      </c>
      <c r="M26" s="65">
        <f>IF(SER_hh_fech_in!M26=0,0,SER_hh_fech_in!M26/SER_summary!M$27)</f>
        <v>0.72625456267806676</v>
      </c>
      <c r="N26" s="65">
        <f>IF(SER_hh_fech_in!N26=0,0,SER_hh_fech_in!N26/SER_summary!N$27)</f>
        <v>0.38405998100175481</v>
      </c>
      <c r="O26" s="65">
        <f>IF(SER_hh_fech_in!O26=0,0,SER_hh_fech_in!O26/SER_summary!O$27)</f>
        <v>5.2328600929145548</v>
      </c>
      <c r="P26" s="65">
        <f>IF(SER_hh_fech_in!P26=0,0,SER_hh_fech_in!P26/SER_summary!P$27)</f>
        <v>0</v>
      </c>
      <c r="Q26" s="65">
        <f>IF(SER_hh_fech_in!Q26=0,0,SER_hh_fech_in!Q26/SER_summary!Q$27)</f>
        <v>5.1644332329018341E-2</v>
      </c>
      <c r="R26" s="65">
        <f>IF(SER_hh_fech_in!R26=0,0,SER_hh_fech_in!R26/SER_summary!R$27)</f>
        <v>0.8687830885661002</v>
      </c>
      <c r="S26" s="65">
        <f>IF(SER_hh_fech_in!S26=0,0,SER_hh_fech_in!S26/SER_summary!S$27)</f>
        <v>4.3907909479496236E-2</v>
      </c>
      <c r="T26" s="65">
        <f>IF(SER_hh_fech_in!T26=0,0,SER_hh_fech_in!T26/SER_summary!T$27)</f>
        <v>4.5593534563837563</v>
      </c>
      <c r="U26" s="65">
        <f>IF(SER_hh_fech_in!U26=0,0,SER_hh_fech_in!U26/SER_summary!U$27)</f>
        <v>0.33644646825615065</v>
      </c>
      <c r="V26" s="65">
        <f>IF(SER_hh_fech_in!V26=0,0,SER_hh_fech_in!V26/SER_summary!V$27)</f>
        <v>3.7852803736237096E-2</v>
      </c>
      <c r="W26" s="65">
        <f>IF(SER_hh_fech_in!W26=0,0,SER_hh_fech_in!W26/SER_summary!W$27)</f>
        <v>4.2011695296202731</v>
      </c>
      <c r="X26" s="65">
        <f>IF(SER_hh_fech_in!X26=0,0,SER_hh_fech_in!X26/SER_summary!X$27)</f>
        <v>3.8030815437467287E-2</v>
      </c>
      <c r="Y26" s="65">
        <f>IF(SER_hh_fech_in!Y26=0,0,SER_hh_fech_in!Y26/SER_summary!Y$27)</f>
        <v>3.4453124107171575</v>
      </c>
      <c r="DA26" s="109" t="s">
        <v>840</v>
      </c>
    </row>
    <row r="27" spans="1:105" ht="12" customHeight="1" x14ac:dyDescent="0.25">
      <c r="A27" s="144" t="s">
        <v>86</v>
      </c>
      <c r="B27" s="147"/>
      <c r="C27" s="145">
        <f>IF(SER_hh_fech_in!C27=0,0,SER_hh_fech_in!C27/SER_summary!C$27)</f>
        <v>0.54539940409716992</v>
      </c>
      <c r="D27" s="145">
        <f>IF(SER_hh_fech_in!D27=0,0,SER_hh_fech_in!D27/SER_summary!D$27)</f>
        <v>0.1169250600789276</v>
      </c>
      <c r="E27" s="145">
        <f>IF(SER_hh_fech_in!E27=0,0,SER_hh_fech_in!E27/SER_summary!E$27)</f>
        <v>0.49203195431684155</v>
      </c>
      <c r="F27" s="145">
        <f>IF(SER_hh_fech_in!F27=0,0,SER_hh_fech_in!F27/SER_summary!F$27)</f>
        <v>0.42910963323726636</v>
      </c>
      <c r="G27" s="145">
        <f>IF(SER_hh_fech_in!G27=0,0,SER_hh_fech_in!G27/SER_summary!G$27)</f>
        <v>0.60835934619954835</v>
      </c>
      <c r="H27" s="145">
        <f>IF(SER_hh_fech_in!H27=0,0,SER_hh_fech_in!H27/SER_summary!H$27)</f>
        <v>0.56982568201086459</v>
      </c>
      <c r="I27" s="145">
        <f>IF(SER_hh_fech_in!I27=0,0,SER_hh_fech_in!I27/SER_summary!I$27)</f>
        <v>0.3445299951167432</v>
      </c>
      <c r="J27" s="145">
        <f>IF(SER_hh_fech_in!J27=0,0,SER_hh_fech_in!J27/SER_summary!J$27)</f>
        <v>0.80961868202483511</v>
      </c>
      <c r="K27" s="145">
        <f>IF(SER_hh_fech_in!K27=0,0,SER_hh_fech_in!K27/SER_summary!K$27)</f>
        <v>2.6327238278024097</v>
      </c>
      <c r="L27" s="145">
        <f>IF(SER_hh_fech_in!L27=0,0,SER_hh_fech_in!L27/SER_summary!L$27)</f>
        <v>1.139116092506546</v>
      </c>
      <c r="M27" s="145">
        <f>IF(SER_hh_fech_in!M27=0,0,SER_hh_fech_in!M27/SER_summary!M$27)</f>
        <v>1.7239580334272908</v>
      </c>
      <c r="N27" s="145">
        <f>IF(SER_hh_fech_in!N27=0,0,SER_hh_fech_in!N27/SER_summary!N$27)</f>
        <v>1.1442188664756738</v>
      </c>
      <c r="O27" s="145">
        <f>IF(SER_hh_fech_in!O27=0,0,SER_hh_fech_in!O27/SER_summary!O$27)</f>
        <v>0.1072965055438031</v>
      </c>
      <c r="P27" s="145">
        <f>IF(SER_hh_fech_in!P27=0,0,SER_hh_fech_in!P27/SER_summary!P$27)</f>
        <v>0.87232526907549035</v>
      </c>
      <c r="Q27" s="145">
        <f>IF(SER_hh_fech_in!Q27=0,0,SER_hh_fech_in!Q27/SER_summary!Q$27)</f>
        <v>1.1927147831561251</v>
      </c>
      <c r="R27" s="145">
        <f>IF(SER_hh_fech_in!R27=0,0,SER_hh_fech_in!R27/SER_summary!R$27)</f>
        <v>1.3218663492844636</v>
      </c>
      <c r="S27" s="145">
        <f>IF(SER_hh_fech_in!S27=0,0,SER_hh_fech_in!S27/SER_summary!S$27)</f>
        <v>1.9448175676467141</v>
      </c>
      <c r="T27" s="145">
        <f>IF(SER_hh_fech_in!T27=0,0,SER_hh_fech_in!T27/SER_summary!T$27)</f>
        <v>0.20432611745925836</v>
      </c>
      <c r="U27" s="145">
        <f>IF(SER_hh_fech_in!U27=0,0,SER_hh_fech_in!U27/SER_summary!U$27)</f>
        <v>1.3003654894899876</v>
      </c>
      <c r="V27" s="145">
        <f>IF(SER_hh_fech_in!V27=0,0,SER_hh_fech_in!V27/SER_summary!V$27)</f>
        <v>0.67168239511063466</v>
      </c>
      <c r="W27" s="145">
        <f>IF(SER_hh_fech_in!W27=0,0,SER_hh_fech_in!W27/SER_summary!W$27)</f>
        <v>2.2240368638455765E-14</v>
      </c>
      <c r="X27" s="145">
        <f>IF(SER_hh_fech_in!X27=0,0,SER_hh_fech_in!X27/SER_summary!X$27)</f>
        <v>0.63690726077776916</v>
      </c>
      <c r="Y27" s="145">
        <f>IF(SER_hh_fech_in!Y27=0,0,SER_hh_fech_in!Y27/SER_summary!Y$27)</f>
        <v>0.16384737718024328</v>
      </c>
      <c r="DA27" s="158" t="s">
        <v>841</v>
      </c>
    </row>
    <row r="28" spans="1:105" ht="12" customHeight="1" x14ac:dyDescent="0.25">
      <c r="A28" s="78" t="s">
        <v>85</v>
      </c>
      <c r="B28" s="68"/>
      <c r="C28" s="146">
        <f>IF(SER_hh_fech_in!C28=0,0,SER_hh_fech_in!C28/SER_summary!C$27)</f>
        <v>2.879587361842145</v>
      </c>
      <c r="D28" s="146">
        <f>IF(SER_hh_fech_in!D28=0,0,SER_hh_fech_in!D28/SER_summary!D$27)</f>
        <v>3.5210178694843082</v>
      </c>
      <c r="E28" s="146">
        <f>IF(SER_hh_fech_in!E28=0,0,SER_hh_fech_in!E28/SER_summary!E$27)</f>
        <v>3.6757718430058675</v>
      </c>
      <c r="F28" s="146">
        <f>IF(SER_hh_fech_in!F28=0,0,SER_hh_fech_in!F28/SER_summary!F$27)</f>
        <v>3.7872875615836019</v>
      </c>
      <c r="G28" s="146">
        <f>IF(SER_hh_fech_in!G28=0,0,SER_hh_fech_in!G28/SER_summary!G$27)</f>
        <v>3.7791665815958781</v>
      </c>
      <c r="H28" s="146">
        <f>IF(SER_hh_fech_in!H28=0,0,SER_hh_fech_in!H28/SER_summary!H$27)</f>
        <v>3.8501311522981978</v>
      </c>
      <c r="I28" s="146">
        <f>IF(SER_hh_fech_in!I28=0,0,SER_hh_fech_in!I28/SER_summary!I$27)</f>
        <v>3.7873961255000252</v>
      </c>
      <c r="J28" s="146">
        <f>IF(SER_hh_fech_in!J28=0,0,SER_hh_fech_in!J28/SER_summary!J$27)</f>
        <v>3.8504506322506584</v>
      </c>
      <c r="K28" s="146">
        <f>IF(SER_hh_fech_in!K28=0,0,SER_hh_fech_in!K28/SER_summary!K$27)</f>
        <v>3.869977032072426</v>
      </c>
      <c r="L28" s="146">
        <f>IF(SER_hh_fech_in!L28=0,0,SER_hh_fech_in!L28/SER_summary!L$27)</f>
        <v>3.9495368075818877</v>
      </c>
      <c r="M28" s="146">
        <f>IF(SER_hh_fech_in!M28=0,0,SER_hh_fech_in!M28/SER_summary!M$27)</f>
        <v>3.8467416432532024</v>
      </c>
      <c r="N28" s="146">
        <f>IF(SER_hh_fech_in!N28=0,0,SER_hh_fech_in!N28/SER_summary!N$27)</f>
        <v>3.8919920425700334</v>
      </c>
      <c r="O28" s="146">
        <f>IF(SER_hh_fech_in!O28=0,0,SER_hh_fech_in!O28/SER_summary!O$27)</f>
        <v>4.1301481897517611</v>
      </c>
      <c r="P28" s="146">
        <f>IF(SER_hh_fech_in!P28=0,0,SER_hh_fech_in!P28/SER_summary!P$27)</f>
        <v>2.8459473541930453</v>
      </c>
      <c r="Q28" s="146">
        <f>IF(SER_hh_fech_in!Q28=0,0,SER_hh_fech_in!Q28/SER_summary!Q$27)</f>
        <v>4.27365777937848</v>
      </c>
      <c r="R28" s="146">
        <f>IF(SER_hh_fech_in!R28=0,0,SER_hh_fech_in!R28/SER_summary!R$27)</f>
        <v>4.0963109645782207</v>
      </c>
      <c r="S28" s="146">
        <f>IF(SER_hh_fech_in!S28=0,0,SER_hh_fech_in!S28/SER_summary!S$27)</f>
        <v>3.7458060149830148</v>
      </c>
      <c r="T28" s="146">
        <f>IF(SER_hh_fech_in!T28=0,0,SER_hh_fech_in!T28/SER_summary!T$27)</f>
        <v>4.007082285415227</v>
      </c>
      <c r="U28" s="146">
        <f>IF(SER_hh_fech_in!U28=0,0,SER_hh_fech_in!U28/SER_summary!U$27)</f>
        <v>3.7677718147570625</v>
      </c>
      <c r="V28" s="146">
        <f>IF(SER_hh_fech_in!V28=0,0,SER_hh_fech_in!V28/SER_summary!V$27)</f>
        <v>3.1165575002577999</v>
      </c>
      <c r="W28" s="146">
        <f>IF(SER_hh_fech_in!W28=0,0,SER_hh_fech_in!W28/SER_summary!W$27)</f>
        <v>3.9756910630572779</v>
      </c>
      <c r="X28" s="146">
        <f>IF(SER_hh_fech_in!X28=0,0,SER_hh_fech_in!X28/SER_summary!X$27)</f>
        <v>3.563118283239922</v>
      </c>
      <c r="Y28" s="146">
        <f>IF(SER_hh_fech_in!Y28=0,0,SER_hh_fech_in!Y28/SER_summary!Y$27)</f>
        <v>3.9469176676378219</v>
      </c>
      <c r="DA28" s="159"/>
    </row>
    <row r="29" spans="1:105" ht="12.95" customHeight="1" x14ac:dyDescent="0.25">
      <c r="A29" s="129" t="s">
        <v>34</v>
      </c>
      <c r="B29" s="130"/>
      <c r="C29" s="130">
        <f>IF(SER_hh_fech_in!C29=0,0,SER_hh_fech_in!C29/SER_summary!C$27)</f>
        <v>7.2918021224257759</v>
      </c>
      <c r="D29" s="130">
        <f>IF(SER_hh_fech_in!D29=0,0,SER_hh_fech_in!D29/SER_summary!D$27)</f>
        <v>6.8896786816491389</v>
      </c>
      <c r="E29" s="130">
        <f>IF(SER_hh_fech_in!E29=0,0,SER_hh_fech_in!E29/SER_summary!E$27)</f>
        <v>6.6050081264198335</v>
      </c>
      <c r="F29" s="130">
        <f>IF(SER_hh_fech_in!F29=0,0,SER_hh_fech_in!F29/SER_summary!F$27)</f>
        <v>7.4032455566422373</v>
      </c>
      <c r="G29" s="130">
        <f>IF(SER_hh_fech_in!G29=0,0,SER_hh_fech_in!G29/SER_summary!G$27)</f>
        <v>7.1615444997326785</v>
      </c>
      <c r="H29" s="130">
        <f>IF(SER_hh_fech_in!H29=0,0,SER_hh_fech_in!H29/SER_summary!H$27)</f>
        <v>7.5123697509925869</v>
      </c>
      <c r="I29" s="130">
        <f>IF(SER_hh_fech_in!I29=0,0,SER_hh_fech_in!I29/SER_summary!I$27)</f>
        <v>7.4889051198543966</v>
      </c>
      <c r="J29" s="130">
        <f>IF(SER_hh_fech_in!J29=0,0,SER_hh_fech_in!J29/SER_summary!J$27)</f>
        <v>7.691707638924421</v>
      </c>
      <c r="K29" s="130">
        <f>IF(SER_hh_fech_in!K29=0,0,SER_hh_fech_in!K29/SER_summary!K$27)</f>
        <v>7.818399931051073</v>
      </c>
      <c r="L29" s="130">
        <f>IF(SER_hh_fech_in!L29=0,0,SER_hh_fech_in!L29/SER_summary!L$27)</f>
        <v>7.9401928176875884</v>
      </c>
      <c r="M29" s="130">
        <f>IF(SER_hh_fech_in!M29=0,0,SER_hh_fech_in!M29/SER_summary!M$27)</f>
        <v>8.2693627208719391</v>
      </c>
      <c r="N29" s="130">
        <f>IF(SER_hh_fech_in!N29=0,0,SER_hh_fech_in!N29/SER_summary!N$27)</f>
        <v>8.2343668140518389</v>
      </c>
      <c r="O29" s="130">
        <f>IF(SER_hh_fech_in!O29=0,0,SER_hh_fech_in!O29/SER_summary!O$27)</f>
        <v>8.0441635113018677</v>
      </c>
      <c r="P29" s="130">
        <f>IF(SER_hh_fech_in!P29=0,0,SER_hh_fech_in!P29/SER_summary!P$27)</f>
        <v>10.290245297175657</v>
      </c>
      <c r="Q29" s="130">
        <f>IF(SER_hh_fech_in!Q29=0,0,SER_hh_fech_in!Q29/SER_summary!Q$27)</f>
        <v>9.7265039363869814</v>
      </c>
      <c r="R29" s="130">
        <f>IF(SER_hh_fech_in!R29=0,0,SER_hh_fech_in!R29/SER_summary!R$27)</f>
        <v>8.8701787997426909</v>
      </c>
      <c r="S29" s="130">
        <f>IF(SER_hh_fech_in!S29=0,0,SER_hh_fech_in!S29/SER_summary!S$27)</f>
        <v>7.5144091831194029</v>
      </c>
      <c r="T29" s="130">
        <f>IF(SER_hh_fech_in!T29=0,0,SER_hh_fech_in!T29/SER_summary!T$27)</f>
        <v>7.5983993006360988</v>
      </c>
      <c r="U29" s="130">
        <f>IF(SER_hh_fech_in!U29=0,0,SER_hh_fech_in!U29/SER_summary!U$27)</f>
        <v>7.906469827102069</v>
      </c>
      <c r="V29" s="130">
        <f>IF(SER_hh_fech_in!V29=0,0,SER_hh_fech_in!V29/SER_summary!V$27)</f>
        <v>6.4064739044467958</v>
      </c>
      <c r="W29" s="130">
        <f>IF(SER_hh_fech_in!W29=0,0,SER_hh_fech_in!W29/SER_summary!W$27)</f>
        <v>7.2584829171307987</v>
      </c>
      <c r="X29" s="130">
        <f>IF(SER_hh_fech_in!X29=0,0,SER_hh_fech_in!X29/SER_summary!X$27)</f>
        <v>6.4130389592048092</v>
      </c>
      <c r="Y29" s="130">
        <f>IF(SER_hh_fech_in!Y29=0,0,SER_hh_fech_in!Y29/SER_summary!Y$27)</f>
        <v>8.0254170743587423</v>
      </c>
      <c r="DA29" s="155" t="s">
        <v>842</v>
      </c>
    </row>
    <row r="30" spans="1:105" s="2" customFormat="1" ht="12" customHeight="1" x14ac:dyDescent="0.25">
      <c r="A30" s="131" t="s">
        <v>52</v>
      </c>
      <c r="B30" s="132"/>
      <c r="C30" s="132">
        <f>IF(SER_hh_fech_in!C30=0,0,SER_hh_fech_in!C30/SER_summary!C$27)</f>
        <v>8.7666917860416547</v>
      </c>
      <c r="D30" s="132">
        <f>IF(SER_hh_fech_in!D30=0,0,SER_hh_fech_in!D30/SER_summary!D$27)</f>
        <v>8.4785045444675262</v>
      </c>
      <c r="E30" s="132">
        <f>IF(SER_hh_fech_in!E30=0,0,SER_hh_fech_in!E30/SER_summary!E$27)</f>
        <v>8.2356257318542649</v>
      </c>
      <c r="F30" s="132">
        <f>IF(SER_hh_fech_in!F30=0,0,SER_hh_fech_in!F30/SER_summary!F$27)</f>
        <v>8.9227206476516496</v>
      </c>
      <c r="G30" s="132">
        <f>IF(SER_hh_fech_in!G30=0,0,SER_hh_fech_in!G30/SER_summary!G$27)</f>
        <v>8.70125030071517</v>
      </c>
      <c r="H30" s="132">
        <f>IF(SER_hh_fech_in!H30=0,0,SER_hh_fech_in!H30/SER_summary!H$27)</f>
        <v>8.4775983322978412</v>
      </c>
      <c r="I30" s="132">
        <f>IF(SER_hh_fech_in!I30=0,0,SER_hh_fech_in!I30/SER_summary!I$27)</f>
        <v>9.1516895017639346</v>
      </c>
      <c r="J30" s="132">
        <f>IF(SER_hh_fech_in!J30=0,0,SER_hh_fech_in!J30/SER_summary!J$27)</f>
        <v>9.8764296832455098</v>
      </c>
      <c r="K30" s="132">
        <f>IF(SER_hh_fech_in!K30=0,0,SER_hh_fech_in!K30/SER_summary!K$27)</f>
        <v>9.2971458059850747</v>
      </c>
      <c r="L30" s="132">
        <f>IF(SER_hh_fech_in!L30=0,0,SER_hh_fech_in!L30/SER_summary!L$27)</f>
        <v>9.7129632881947234</v>
      </c>
      <c r="M30" s="132">
        <f>IF(SER_hh_fech_in!M30=0,0,SER_hh_fech_in!M30/SER_summary!M$27)</f>
        <v>9.5996741069755398</v>
      </c>
      <c r="N30" s="132">
        <f>IF(SER_hh_fech_in!N30=0,0,SER_hh_fech_in!N30/SER_summary!N$27)</f>
        <v>9.7572581496308555</v>
      </c>
      <c r="O30" s="132">
        <f>IF(SER_hh_fech_in!O30=0,0,SER_hh_fech_in!O30/SER_summary!O$27)</f>
        <v>9.7686983132103151</v>
      </c>
      <c r="P30" s="132">
        <f>IF(SER_hh_fech_in!P30=0,0,SER_hh_fech_in!P30/SER_summary!P$27)</f>
        <v>6.7386410695637036</v>
      </c>
      <c r="Q30" s="132">
        <f>IF(SER_hh_fech_in!Q30=0,0,SER_hh_fech_in!Q30/SER_summary!Q$27)</f>
        <v>9.2457138284956653</v>
      </c>
      <c r="R30" s="132">
        <f>IF(SER_hh_fech_in!R30=0,0,SER_hh_fech_in!R30/SER_summary!R$27)</f>
        <v>11.432929323377712</v>
      </c>
      <c r="S30" s="132">
        <f>IF(SER_hh_fech_in!S30=0,0,SER_hh_fech_in!S30/SER_summary!S$27)</f>
        <v>8.8032763769976068</v>
      </c>
      <c r="T30" s="132">
        <f>IF(SER_hh_fech_in!T30=0,0,SER_hh_fech_in!T30/SER_summary!T$27)</f>
        <v>10.250372211456757</v>
      </c>
      <c r="U30" s="132">
        <f>IF(SER_hh_fech_in!U30=0,0,SER_hh_fech_in!U30/SER_summary!U$27)</f>
        <v>0</v>
      </c>
      <c r="V30" s="132">
        <f>IF(SER_hh_fech_in!V30=0,0,SER_hh_fech_in!V30/SER_summary!V$27)</f>
        <v>0</v>
      </c>
      <c r="W30" s="132">
        <f>IF(SER_hh_fech_in!W30=0,0,SER_hh_fech_in!W30/SER_summary!W$27)</f>
        <v>7.643239641002685</v>
      </c>
      <c r="X30" s="132">
        <f>IF(SER_hh_fech_in!X30=0,0,SER_hh_fech_in!X30/SER_summary!X$27)</f>
        <v>8.2394940965796764</v>
      </c>
      <c r="Y30" s="132">
        <f>IF(SER_hh_fech_in!Y30=0,0,SER_hh_fech_in!Y30/SER_summary!Y$27)</f>
        <v>10.607529319909178</v>
      </c>
      <c r="DA30" s="156" t="s">
        <v>843</v>
      </c>
    </row>
    <row r="31" spans="1:105" ht="12" customHeight="1" x14ac:dyDescent="0.25">
      <c r="A31" s="131" t="s">
        <v>149</v>
      </c>
      <c r="B31" s="132"/>
      <c r="C31" s="132">
        <f>IF(SER_hh_fech_in!C31=0,0,SER_hh_fech_in!C31/SER_summary!C$27)</f>
        <v>9.1431526101755818</v>
      </c>
      <c r="D31" s="132">
        <f>IF(SER_hh_fech_in!D31=0,0,SER_hh_fech_in!D31/SER_summary!D$27)</f>
        <v>7.9211814749902985</v>
      </c>
      <c r="E31" s="132">
        <f>IF(SER_hh_fech_in!E31=0,0,SER_hh_fech_in!E31/SER_summary!E$27)</f>
        <v>6.6955260610584437</v>
      </c>
      <c r="F31" s="132">
        <f>IF(SER_hh_fech_in!F31=0,0,SER_hh_fech_in!F31/SER_summary!F$27)</f>
        <v>8.9593380762453272</v>
      </c>
      <c r="G31" s="132">
        <f>IF(SER_hh_fech_in!G31=0,0,SER_hh_fech_in!G31/SER_summary!G$27)</f>
        <v>8.7110305030502637</v>
      </c>
      <c r="H31" s="132">
        <f>IF(SER_hh_fech_in!H31=0,0,SER_hh_fech_in!H31/SER_summary!H$27)</f>
        <v>9.2068001494108831</v>
      </c>
      <c r="I31" s="132">
        <f>IF(SER_hh_fech_in!I31=0,0,SER_hh_fech_in!I31/SER_summary!I$27)</f>
        <v>9.1572350697935789</v>
      </c>
      <c r="J31" s="132">
        <f>IF(SER_hh_fech_in!J31=0,0,SER_hh_fech_in!J31/SER_summary!J$27)</f>
        <v>9.3306293927390556</v>
      </c>
      <c r="K31" s="132">
        <f>IF(SER_hh_fech_in!K31=0,0,SER_hh_fech_in!K31/SER_summary!K$27)</f>
        <v>9.2357753006934225</v>
      </c>
      <c r="L31" s="132">
        <f>IF(SER_hh_fech_in!L31=0,0,SER_hh_fech_in!L31/SER_summary!L$27)</f>
        <v>9.4415708724387617</v>
      </c>
      <c r="M31" s="132">
        <f>IF(SER_hh_fech_in!M31=0,0,SER_hh_fech_in!M31/SER_summary!M$27)</f>
        <v>9.2501785347648404</v>
      </c>
      <c r="N31" s="132">
        <f>IF(SER_hh_fech_in!N31=0,0,SER_hh_fech_in!N31/SER_summary!N$27)</f>
        <v>8.455391951321543</v>
      </c>
      <c r="O31" s="132">
        <f>IF(SER_hh_fech_in!O31=0,0,SER_hh_fech_in!O31/SER_summary!O$27)</f>
        <v>7.9152519940807542</v>
      </c>
      <c r="P31" s="132">
        <f>IF(SER_hh_fech_in!P31=0,0,SER_hh_fech_in!P31/SER_summary!P$27)</f>
        <v>10.543855412406481</v>
      </c>
      <c r="Q31" s="132">
        <f>IF(SER_hh_fech_in!Q31=0,0,SER_hh_fech_in!Q31/SER_summary!Q$27)</f>
        <v>9.8292307716247276</v>
      </c>
      <c r="R31" s="132">
        <f>IF(SER_hh_fech_in!R31=0,0,SER_hh_fech_in!R31/SER_summary!R$27)</f>
        <v>9.663642034975469</v>
      </c>
      <c r="S31" s="132">
        <f>IF(SER_hh_fech_in!S31=0,0,SER_hh_fech_in!S31/SER_summary!S$27)</f>
        <v>9.5791613780750211</v>
      </c>
      <c r="T31" s="132">
        <f>IF(SER_hh_fech_in!T31=0,0,SER_hh_fech_in!T31/SER_summary!T$27)</f>
        <v>8.5409326553626101</v>
      </c>
      <c r="U31" s="132">
        <f>IF(SER_hh_fech_in!U31=0,0,SER_hh_fech_in!U31/SER_summary!U$27)</f>
        <v>8.7397991058481175</v>
      </c>
      <c r="V31" s="132">
        <f>IF(SER_hh_fech_in!V31=0,0,SER_hh_fech_in!V31/SER_summary!V$27)</f>
        <v>9.1551482544076421</v>
      </c>
      <c r="W31" s="132">
        <f>IF(SER_hh_fech_in!W31=0,0,SER_hh_fech_in!W31/SER_summary!W$27)</f>
        <v>9.218746329404107</v>
      </c>
      <c r="X31" s="132">
        <f>IF(SER_hh_fech_in!X31=0,0,SER_hh_fech_in!X31/SER_summary!X$27)</f>
        <v>8.5287531554557141</v>
      </c>
      <c r="Y31" s="132">
        <f>IF(SER_hh_fech_in!Y31=0,0,SER_hh_fech_in!Y31/SER_summary!Y$27)</f>
        <v>8.8447722459817353</v>
      </c>
      <c r="DA31" s="156" t="s">
        <v>844</v>
      </c>
    </row>
    <row r="32" spans="1:105" ht="12" customHeight="1" x14ac:dyDescent="0.25">
      <c r="A32" s="131" t="s">
        <v>128</v>
      </c>
      <c r="B32" s="132"/>
      <c r="C32" s="132">
        <f>IF(SER_hh_fech_in!C32=0,0,SER_hh_fech_in!C32/SER_summary!C$27)</f>
        <v>0</v>
      </c>
      <c r="D32" s="132">
        <f>IF(SER_hh_fech_in!D32=0,0,SER_hh_fech_in!D32/SER_summary!D$27)</f>
        <v>0</v>
      </c>
      <c r="E32" s="132">
        <f>IF(SER_hh_fech_in!E32=0,0,SER_hh_fech_in!E32/SER_summary!E$27)</f>
        <v>0</v>
      </c>
      <c r="F32" s="132">
        <f>IF(SER_hh_fech_in!F32=0,0,SER_hh_fech_in!F32/SER_summary!F$27)</f>
        <v>0</v>
      </c>
      <c r="G32" s="132">
        <f>IF(SER_hh_fech_in!G32=0,0,SER_hh_fech_in!G32/SER_summary!G$27)</f>
        <v>0</v>
      </c>
      <c r="H32" s="132">
        <f>IF(SER_hh_fech_in!H32=0,0,SER_hh_fech_in!H32/SER_summary!H$27)</f>
        <v>0</v>
      </c>
      <c r="I32" s="132">
        <f>IF(SER_hh_fech_in!I32=0,0,SER_hh_fech_in!I32/SER_summary!I$27)</f>
        <v>0</v>
      </c>
      <c r="J32" s="132">
        <f>IF(SER_hh_fech_in!J32=0,0,SER_hh_fech_in!J32/SER_summary!J$27)</f>
        <v>0</v>
      </c>
      <c r="K32" s="132">
        <f>IF(SER_hh_fech_in!K32=0,0,SER_hh_fech_in!K32/SER_summary!K$27)</f>
        <v>0</v>
      </c>
      <c r="L32" s="132">
        <f>IF(SER_hh_fech_in!L32=0,0,SER_hh_fech_in!L32/SER_summary!L$27)</f>
        <v>0</v>
      </c>
      <c r="M32" s="132">
        <f>IF(SER_hh_fech_in!M32=0,0,SER_hh_fech_in!M32/SER_summary!M$27)</f>
        <v>0</v>
      </c>
      <c r="N32" s="132">
        <f>IF(SER_hh_fech_in!N32=0,0,SER_hh_fech_in!N32/SER_summary!N$27)</f>
        <v>0</v>
      </c>
      <c r="O32" s="132">
        <f>IF(SER_hh_fech_in!O32=0,0,SER_hh_fech_in!O32/SER_summary!O$27)</f>
        <v>0</v>
      </c>
      <c r="P32" s="132">
        <f>IF(SER_hh_fech_in!P32=0,0,SER_hh_fech_in!P32/SER_summary!P$27)</f>
        <v>0</v>
      </c>
      <c r="Q32" s="132">
        <f>IF(SER_hh_fech_in!Q32=0,0,SER_hh_fech_in!Q32/SER_summary!Q$27)</f>
        <v>0</v>
      </c>
      <c r="R32" s="132">
        <f>IF(SER_hh_fech_in!R32=0,0,SER_hh_fech_in!R32/SER_summary!R$27)</f>
        <v>0</v>
      </c>
      <c r="S32" s="132">
        <f>IF(SER_hh_fech_in!S32=0,0,SER_hh_fech_in!S32/SER_summary!S$27)</f>
        <v>0</v>
      </c>
      <c r="T32" s="132">
        <f>IF(SER_hh_fech_in!T32=0,0,SER_hh_fech_in!T32/SER_summary!T$27)</f>
        <v>0</v>
      </c>
      <c r="U32" s="132">
        <f>IF(SER_hh_fech_in!U32=0,0,SER_hh_fech_in!U32/SER_summary!U$27)</f>
        <v>0</v>
      </c>
      <c r="V32" s="132">
        <f>IF(SER_hh_fech_in!V32=0,0,SER_hh_fech_in!V32/SER_summary!V$27)</f>
        <v>0</v>
      </c>
      <c r="W32" s="132">
        <f>IF(SER_hh_fech_in!W32=0,0,SER_hh_fech_in!W32/SER_summary!W$27)</f>
        <v>0</v>
      </c>
      <c r="X32" s="132">
        <f>IF(SER_hh_fech_in!X32=0,0,SER_hh_fech_in!X32/SER_summary!X$27)</f>
        <v>0</v>
      </c>
      <c r="Y32" s="132">
        <f>IF(SER_hh_fech_in!Y32=0,0,SER_hh_fech_in!Y32/SER_summary!Y$27)</f>
        <v>0</v>
      </c>
      <c r="DA32" s="156" t="s">
        <v>845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6.4156716699487539</v>
      </c>
      <c r="D33" s="68">
        <f>IF(SER_hh_fech_in!D33=0,0,SER_hh_fech_in!D33/SER_summary!D$27)</f>
        <v>6.3213574356145168</v>
      </c>
      <c r="E33" s="68">
        <f>IF(SER_hh_fech_in!E33=0,0,SER_hh_fech_in!E33/SER_summary!E$27)</f>
        <v>6.2592495843703686</v>
      </c>
      <c r="F33" s="68">
        <f>IF(SER_hh_fech_in!F33=0,0,SER_hh_fech_in!F33/SER_summary!F$27)</f>
        <v>6.2420514899772108</v>
      </c>
      <c r="G33" s="68">
        <f>IF(SER_hh_fech_in!G33=0,0,SER_hh_fech_in!G33/SER_summary!G$27)</f>
        <v>6.3530220065153822</v>
      </c>
      <c r="H33" s="68">
        <f>IF(SER_hh_fech_in!H33=0,0,SER_hh_fech_in!H33/SER_summary!H$27)</f>
        <v>6.8330692295067461</v>
      </c>
      <c r="I33" s="68">
        <f>IF(SER_hh_fech_in!I33=0,0,SER_hh_fech_in!I33/SER_summary!I$27)</f>
        <v>6.8875494774054244</v>
      </c>
      <c r="J33" s="68">
        <f>IF(SER_hh_fech_in!J33=0,0,SER_hh_fech_in!J33/SER_summary!J$27)</f>
        <v>6.9877989878853697</v>
      </c>
      <c r="K33" s="68">
        <f>IF(SER_hh_fech_in!K33=0,0,SER_hh_fech_in!K33/SER_summary!K$27)</f>
        <v>7.0825640332836954</v>
      </c>
      <c r="L33" s="68">
        <f>IF(SER_hh_fech_in!L33=0,0,SER_hh_fech_in!L33/SER_summary!L$27)</f>
        <v>7.2002149393453347</v>
      </c>
      <c r="M33" s="68">
        <f>IF(SER_hh_fech_in!M33=0,0,SER_hh_fech_in!M33/SER_summary!M$27)</f>
        <v>7.3399895536137736</v>
      </c>
      <c r="N33" s="68">
        <f>IF(SER_hh_fech_in!N33=0,0,SER_hh_fech_in!N33/SER_summary!N$27)</f>
        <v>7.3435003690359784</v>
      </c>
      <c r="O33" s="68">
        <f>IF(SER_hh_fech_in!O33=0,0,SER_hh_fech_in!O33/SER_summary!O$27)</f>
        <v>0</v>
      </c>
      <c r="P33" s="68">
        <f>IF(SER_hh_fech_in!P33=0,0,SER_hh_fech_in!P33/SER_summary!P$27)</f>
        <v>0</v>
      </c>
      <c r="Q33" s="68">
        <f>IF(SER_hh_fech_in!Q33=0,0,SER_hh_fech_in!Q33/SER_summary!Q$27)</f>
        <v>0</v>
      </c>
      <c r="R33" s="68">
        <f>IF(SER_hh_fech_in!R33=0,0,SER_hh_fech_in!R33/SER_summary!R$27)</f>
        <v>4.9947557008439398</v>
      </c>
      <c r="S33" s="68">
        <f>IF(SER_hh_fech_in!S33=0,0,SER_hh_fech_in!S33/SER_summary!S$27)</f>
        <v>6.0263322704485223</v>
      </c>
      <c r="T33" s="68">
        <f>IF(SER_hh_fech_in!T33=0,0,SER_hh_fech_in!T33/SER_summary!T$27)</f>
        <v>7.4000667502081274</v>
      </c>
      <c r="U33" s="68">
        <f>IF(SER_hh_fech_in!U33=0,0,SER_hh_fech_in!U33/SER_summary!U$27)</f>
        <v>7.5092966977308215</v>
      </c>
      <c r="V33" s="68">
        <f>IF(SER_hh_fech_in!V33=0,0,SER_hh_fech_in!V33/SER_summary!V$27)</f>
        <v>3.9267834289904746</v>
      </c>
      <c r="W33" s="68">
        <f>IF(SER_hh_fech_in!W33=0,0,SER_hh_fech_in!W33/SER_summary!W$27)</f>
        <v>6.2956126953354223</v>
      </c>
      <c r="X33" s="68">
        <f>IF(SER_hh_fech_in!X33=0,0,SER_hh_fech_in!X33/SER_summary!X$27)</f>
        <v>5.3599148747683607</v>
      </c>
      <c r="Y33" s="68">
        <f>IF(SER_hh_fech_in!Y33=0,0,SER_hh_fech_in!Y33/SER_summary!Y$27)</f>
        <v>6.8813866076673538</v>
      </c>
      <c r="DA33" s="111" t="s">
        <v>846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/>
      <c r="C3" s="125">
        <f>IF(SER_hh_tesh_in!C3=0,0,SER_hh_tesh_in!C3/SER_summary!C$27)</f>
        <v>32.476241835367219</v>
      </c>
      <c r="D3" s="125">
        <f>IF(SER_hh_tesh_in!D3=0,0,SER_hh_tesh_in!D3/SER_summary!D$27)</f>
        <v>29.405655917618176</v>
      </c>
      <c r="E3" s="125">
        <f>IF(SER_hh_tesh_in!E3=0,0,SER_hh_tesh_in!E3/SER_summary!E$27)</f>
        <v>33.908007679689447</v>
      </c>
      <c r="F3" s="125">
        <f>IF(SER_hh_tesh_in!F3=0,0,SER_hh_tesh_in!F3/SER_summary!F$27)</f>
        <v>31.413186989473957</v>
      </c>
      <c r="G3" s="125">
        <f>IF(SER_hh_tesh_in!G3=0,0,SER_hh_tesh_in!G3/SER_summary!G$27)</f>
        <v>31.717763625685485</v>
      </c>
      <c r="H3" s="125">
        <f>IF(SER_hh_tesh_in!H3=0,0,SER_hh_tesh_in!H3/SER_summary!H$27)</f>
        <v>44.411334872866703</v>
      </c>
      <c r="I3" s="125">
        <f>IF(SER_hh_tesh_in!I3=0,0,SER_hh_tesh_in!I3/SER_summary!I$27)</f>
        <v>31.637891722730451</v>
      </c>
      <c r="J3" s="125">
        <f>IF(SER_hh_tesh_in!J3=0,0,SER_hh_tesh_in!J3/SER_summary!J$27)</f>
        <v>32.790721040439642</v>
      </c>
      <c r="K3" s="125">
        <f>IF(SER_hh_tesh_in!K3=0,0,SER_hh_tesh_in!K3/SER_summary!K$27)</f>
        <v>36.964187953873328</v>
      </c>
      <c r="L3" s="125">
        <f>IF(SER_hh_tesh_in!L3=0,0,SER_hh_tesh_in!L3/SER_summary!L$27)</f>
        <v>37.272244089828696</v>
      </c>
      <c r="M3" s="125">
        <f>IF(SER_hh_tesh_in!M3=0,0,SER_hh_tesh_in!M3/SER_summary!M$27)</f>
        <v>34.131343878144705</v>
      </c>
      <c r="N3" s="125">
        <f>IF(SER_hh_tesh_in!N3=0,0,SER_hh_tesh_in!N3/SER_summary!N$27)</f>
        <v>36.138241063258668</v>
      </c>
      <c r="O3" s="125">
        <f>IF(SER_hh_tesh_in!O3=0,0,SER_hh_tesh_in!O3/SER_summary!O$27)</f>
        <v>31.017465468561706</v>
      </c>
      <c r="P3" s="125">
        <f>IF(SER_hh_tesh_in!P3=0,0,SER_hh_tesh_in!P3/SER_summary!P$27)</f>
        <v>29.238361534091826</v>
      </c>
      <c r="Q3" s="125">
        <f>IF(SER_hh_tesh_in!Q3=0,0,SER_hh_tesh_in!Q3/SER_summary!Q$27)</f>
        <v>35.672695866619051</v>
      </c>
      <c r="R3" s="125">
        <f>IF(SER_hh_tesh_in!R3=0,0,SER_hh_tesh_in!R3/SER_summary!R$27)</f>
        <v>35.17397857462187</v>
      </c>
      <c r="S3" s="125">
        <f>IF(SER_hh_tesh_in!S3=0,0,SER_hh_tesh_in!S3/SER_summary!S$27)</f>
        <v>38.757202974344494</v>
      </c>
      <c r="T3" s="125">
        <f>IF(SER_hh_tesh_in!T3=0,0,SER_hh_tesh_in!T3/SER_summary!T$27)</f>
        <v>33.19651917060969</v>
      </c>
      <c r="U3" s="125">
        <f>IF(SER_hh_tesh_in!U3=0,0,SER_hh_tesh_in!U3/SER_summary!U$27)</f>
        <v>33.837496254937349</v>
      </c>
      <c r="V3" s="125">
        <f>IF(SER_hh_tesh_in!V3=0,0,SER_hh_tesh_in!V3/SER_summary!V$27)</f>
        <v>33.298439485470475</v>
      </c>
      <c r="W3" s="125">
        <f>IF(SER_hh_tesh_in!W3=0,0,SER_hh_tesh_in!W3/SER_summary!W$27)</f>
        <v>32.303659660457384</v>
      </c>
      <c r="X3" s="125">
        <f>IF(SER_hh_tesh_in!X3=0,0,SER_hh_tesh_in!X3/SER_summary!X$27)</f>
        <v>36.480630725910927</v>
      </c>
      <c r="Y3" s="125">
        <f>IF(SER_hh_tesh_in!Y3=0,0,SER_hh_tesh_in!Y3/SER_summary!Y$27)</f>
        <v>38.600187120023726</v>
      </c>
      <c r="DA3" s="154" t="s">
        <v>848</v>
      </c>
    </row>
    <row r="4" spans="1:105" ht="12.95" customHeight="1" x14ac:dyDescent="0.25">
      <c r="A4" s="129" t="s">
        <v>32</v>
      </c>
      <c r="B4" s="130"/>
      <c r="C4" s="130">
        <f>IF(SER_hh_tesh_in!C4=0,0,SER_hh_tesh_in!C4/SER_summary!C$27)</f>
        <v>6.2615701141266555</v>
      </c>
      <c r="D4" s="130">
        <f>IF(SER_hh_tesh_in!D4=0,0,SER_hh_tesh_in!D4/SER_summary!D$27)</f>
        <v>5.2705824051714689</v>
      </c>
      <c r="E4" s="130">
        <f>IF(SER_hh_tesh_in!E4=0,0,SER_hh_tesh_in!E4/SER_summary!E$27)</f>
        <v>5.3438873213019313</v>
      </c>
      <c r="F4" s="130">
        <f>IF(SER_hh_tesh_in!F4=0,0,SER_hh_tesh_in!F4/SER_summary!F$27)</f>
        <v>4.6364754619918225</v>
      </c>
      <c r="G4" s="130">
        <f>IF(SER_hh_tesh_in!G4=0,0,SER_hh_tesh_in!G4/SER_summary!G$27)</f>
        <v>4.4590563344165934</v>
      </c>
      <c r="H4" s="130">
        <f>IF(SER_hh_tesh_in!H4=0,0,SER_hh_tesh_in!H4/SER_summary!H$27)</f>
        <v>13.904733081132809</v>
      </c>
      <c r="I4" s="130">
        <f>IF(SER_hh_tesh_in!I4=0,0,SER_hh_tesh_in!I4/SER_summary!I$27)</f>
        <v>6.8964415156496672</v>
      </c>
      <c r="J4" s="130">
        <f>IF(SER_hh_tesh_in!J4=0,0,SER_hh_tesh_in!J4/SER_summary!J$27)</f>
        <v>7.2405283833779839</v>
      </c>
      <c r="K4" s="130">
        <f>IF(SER_hh_tesh_in!K4=0,0,SER_hh_tesh_in!K4/SER_summary!K$27)</f>
        <v>6.9949784257796193</v>
      </c>
      <c r="L4" s="130">
        <f>IF(SER_hh_tesh_in!L4=0,0,SER_hh_tesh_in!L4/SER_summary!L$27)</f>
        <v>8.5070389035262366</v>
      </c>
      <c r="M4" s="130">
        <f>IF(SER_hh_tesh_in!M4=0,0,SER_hh_tesh_in!M4/SER_summary!M$27)</f>
        <v>7.520269242239249</v>
      </c>
      <c r="N4" s="130">
        <f>IF(SER_hh_tesh_in!N4=0,0,SER_hh_tesh_in!N4/SER_summary!N$27)</f>
        <v>6.6686153973608144</v>
      </c>
      <c r="O4" s="130">
        <f>IF(SER_hh_tesh_in!O4=0,0,SER_hh_tesh_in!O4/SER_summary!O$27)</f>
        <v>5.9673462457195861</v>
      </c>
      <c r="P4" s="130">
        <f>IF(SER_hh_tesh_in!P4=0,0,SER_hh_tesh_in!P4/SER_summary!P$27)</f>
        <v>4.1074439512521286</v>
      </c>
      <c r="Q4" s="130">
        <f>IF(SER_hh_tesh_in!Q4=0,0,SER_hh_tesh_in!Q4/SER_summary!Q$27)</f>
        <v>4.2793275816893734</v>
      </c>
      <c r="R4" s="130">
        <f>IF(SER_hh_tesh_in!R4=0,0,SER_hh_tesh_in!R4/SER_summary!R$27)</f>
        <v>4.7021850198956479</v>
      </c>
      <c r="S4" s="130">
        <f>IF(SER_hh_tesh_in!S4=0,0,SER_hh_tesh_in!S4/SER_summary!S$27)</f>
        <v>5.3809715861724694</v>
      </c>
      <c r="T4" s="130">
        <f>IF(SER_hh_tesh_in!T4=0,0,SER_hh_tesh_in!T4/SER_summary!T$27)</f>
        <v>6.0039124561175541</v>
      </c>
      <c r="U4" s="130">
        <f>IF(SER_hh_tesh_in!U4=0,0,SER_hh_tesh_in!U4/SER_summary!U$27)</f>
        <v>6.2954397593481408</v>
      </c>
      <c r="V4" s="130">
        <f>IF(SER_hh_tesh_in!V4=0,0,SER_hh_tesh_in!V4/SER_summary!V$27)</f>
        <v>6.051263937205638</v>
      </c>
      <c r="W4" s="130">
        <f>IF(SER_hh_tesh_in!W4=0,0,SER_hh_tesh_in!W4/SER_summary!W$27)</f>
        <v>6.7770471811801487</v>
      </c>
      <c r="X4" s="130">
        <f>IF(SER_hh_tesh_in!X4=0,0,SER_hh_tesh_in!X4/SER_summary!X$27)</f>
        <v>6.8967272901441401</v>
      </c>
      <c r="Y4" s="130">
        <f>IF(SER_hh_tesh_in!Y4=0,0,SER_hh_tesh_in!Y4/SER_summary!Y$27)</f>
        <v>7.3481481759293477</v>
      </c>
      <c r="DA4" s="155" t="s">
        <v>849</v>
      </c>
    </row>
    <row r="5" spans="1:105" ht="12" customHeight="1" x14ac:dyDescent="0.25">
      <c r="A5" s="131" t="s">
        <v>29</v>
      </c>
      <c r="B5" s="132"/>
      <c r="C5" s="132">
        <f>IF(SER_hh_tesh_in!C5=0,0,SER_hh_tesh_in!C5/SER_summary!C$27)</f>
        <v>0</v>
      </c>
      <c r="D5" s="132">
        <f>IF(SER_hh_tesh_in!D5=0,0,SER_hh_tesh_in!D5/SER_summary!D$27)</f>
        <v>0</v>
      </c>
      <c r="E5" s="132">
        <f>IF(SER_hh_tesh_in!E5=0,0,SER_hh_tesh_in!E5/SER_summary!E$27)</f>
        <v>0</v>
      </c>
      <c r="F5" s="132">
        <f>IF(SER_hh_tesh_in!F5=0,0,SER_hh_tesh_in!F5/SER_summary!F$27)</f>
        <v>0</v>
      </c>
      <c r="G5" s="132">
        <f>IF(SER_hh_tesh_in!G5=0,0,SER_hh_tesh_in!G5/SER_summary!G$27)</f>
        <v>0</v>
      </c>
      <c r="H5" s="132">
        <f>IF(SER_hh_tesh_in!H5=0,0,SER_hh_tesh_in!H5/SER_summary!H$27)</f>
        <v>0</v>
      </c>
      <c r="I5" s="132">
        <f>IF(SER_hh_tesh_in!I5=0,0,SER_hh_tesh_in!I5/SER_summary!I$27)</f>
        <v>0</v>
      </c>
      <c r="J5" s="132">
        <f>IF(SER_hh_tesh_in!J5=0,0,SER_hh_tesh_in!J5/SER_summary!J$27)</f>
        <v>0</v>
      </c>
      <c r="K5" s="132">
        <f>IF(SER_hh_tesh_in!K5=0,0,SER_hh_tesh_in!K5/SER_summary!K$27)</f>
        <v>0</v>
      </c>
      <c r="L5" s="132">
        <f>IF(SER_hh_tesh_in!L5=0,0,SER_hh_tesh_in!L5/SER_summary!L$27)</f>
        <v>0</v>
      </c>
      <c r="M5" s="132">
        <f>IF(SER_hh_tesh_in!M5=0,0,SER_hh_tesh_in!M5/SER_summary!M$27)</f>
        <v>0</v>
      </c>
      <c r="N5" s="132">
        <f>IF(SER_hh_tesh_in!N5=0,0,SER_hh_tesh_in!N5/SER_summary!N$27)</f>
        <v>0</v>
      </c>
      <c r="O5" s="132">
        <f>IF(SER_hh_tesh_in!O5=0,0,SER_hh_tesh_in!O5/SER_summary!O$27)</f>
        <v>0</v>
      </c>
      <c r="P5" s="132">
        <f>IF(SER_hh_tesh_in!P5=0,0,SER_hh_tesh_in!P5/SER_summary!P$27)</f>
        <v>0</v>
      </c>
      <c r="Q5" s="132">
        <f>IF(SER_hh_tesh_in!Q5=0,0,SER_hh_tesh_in!Q5/SER_summary!Q$27)</f>
        <v>0</v>
      </c>
      <c r="R5" s="132">
        <f>IF(SER_hh_tesh_in!R5=0,0,SER_hh_tesh_in!R5/SER_summary!R$27)</f>
        <v>0</v>
      </c>
      <c r="S5" s="132">
        <f>IF(SER_hh_tesh_in!S5=0,0,SER_hh_tesh_in!S5/SER_summary!S$27)</f>
        <v>0</v>
      </c>
      <c r="T5" s="132">
        <f>IF(SER_hh_tesh_in!T5=0,0,SER_hh_tesh_in!T5/SER_summary!T$27)</f>
        <v>0</v>
      </c>
      <c r="U5" s="132">
        <f>IF(SER_hh_tesh_in!U5=0,0,SER_hh_tesh_in!U5/SER_summary!U$27)</f>
        <v>0</v>
      </c>
      <c r="V5" s="132">
        <f>IF(SER_hh_tesh_in!V5=0,0,SER_hh_tesh_in!V5/SER_summary!V$27)</f>
        <v>0</v>
      </c>
      <c r="W5" s="132">
        <f>IF(SER_hh_tesh_in!W5=0,0,SER_hh_tesh_in!W5/SER_summary!W$27)</f>
        <v>0</v>
      </c>
      <c r="X5" s="132">
        <f>IF(SER_hh_tesh_in!X5=0,0,SER_hh_tesh_in!X5/SER_summary!X$27)</f>
        <v>0</v>
      </c>
      <c r="Y5" s="132">
        <f>IF(SER_hh_tesh_in!Y5=0,0,SER_hh_tesh_in!Y5/SER_summary!Y$27)</f>
        <v>0</v>
      </c>
      <c r="DA5" s="156" t="s">
        <v>850</v>
      </c>
    </row>
    <row r="6" spans="1:105" ht="12" customHeight="1" x14ac:dyDescent="0.25">
      <c r="A6" s="131" t="s">
        <v>52</v>
      </c>
      <c r="B6" s="132"/>
      <c r="C6" s="132">
        <f>IF(SER_hh_tesh_in!C6=0,0,SER_hh_tesh_in!C6/SER_summary!C$27)</f>
        <v>0</v>
      </c>
      <c r="D6" s="132">
        <f>IF(SER_hh_tesh_in!D6=0,0,SER_hh_tesh_in!D6/SER_summary!D$27)</f>
        <v>0</v>
      </c>
      <c r="E6" s="132">
        <f>IF(SER_hh_tesh_in!E6=0,0,SER_hh_tesh_in!E6/SER_summary!E$27)</f>
        <v>0</v>
      </c>
      <c r="F6" s="132">
        <f>IF(SER_hh_tesh_in!F6=0,0,SER_hh_tesh_in!F6/SER_summary!F$27)</f>
        <v>0</v>
      </c>
      <c r="G6" s="132">
        <f>IF(SER_hh_tesh_in!G6=0,0,SER_hh_tesh_in!G6/SER_summary!G$27)</f>
        <v>0</v>
      </c>
      <c r="H6" s="132">
        <f>IF(SER_hh_tesh_in!H6=0,0,SER_hh_tesh_in!H6/SER_summary!H$27)</f>
        <v>0</v>
      </c>
      <c r="I6" s="132">
        <f>IF(SER_hh_tesh_in!I6=0,0,SER_hh_tesh_in!I6/SER_summary!I$27)</f>
        <v>0</v>
      </c>
      <c r="J6" s="132">
        <f>IF(SER_hh_tesh_in!J6=0,0,SER_hh_tesh_in!J6/SER_summary!J$27)</f>
        <v>0</v>
      </c>
      <c r="K6" s="132">
        <f>IF(SER_hh_tesh_in!K6=0,0,SER_hh_tesh_in!K6/SER_summary!K$27)</f>
        <v>0</v>
      </c>
      <c r="L6" s="132">
        <f>IF(SER_hh_tesh_in!L6=0,0,SER_hh_tesh_in!L6/SER_summary!L$27)</f>
        <v>0</v>
      </c>
      <c r="M6" s="132">
        <f>IF(SER_hh_tesh_in!M6=0,0,SER_hh_tesh_in!M6/SER_summary!M$27)</f>
        <v>0</v>
      </c>
      <c r="N6" s="132">
        <f>IF(SER_hh_tesh_in!N6=0,0,SER_hh_tesh_in!N6/SER_summary!N$27)</f>
        <v>0</v>
      </c>
      <c r="O6" s="132">
        <f>IF(SER_hh_tesh_in!O6=0,0,SER_hh_tesh_in!O6/SER_summary!O$27)</f>
        <v>0</v>
      </c>
      <c r="P6" s="132">
        <f>IF(SER_hh_tesh_in!P6=0,0,SER_hh_tesh_in!P6/SER_summary!P$27)</f>
        <v>0</v>
      </c>
      <c r="Q6" s="132">
        <f>IF(SER_hh_tesh_in!Q6=0,0,SER_hh_tesh_in!Q6/SER_summary!Q$27)</f>
        <v>0</v>
      </c>
      <c r="R6" s="132">
        <f>IF(SER_hh_tesh_in!R6=0,0,SER_hh_tesh_in!R6/SER_summary!R$27)</f>
        <v>0</v>
      </c>
      <c r="S6" s="132">
        <f>IF(SER_hh_tesh_in!S6=0,0,SER_hh_tesh_in!S6/SER_summary!S$27)</f>
        <v>0</v>
      </c>
      <c r="T6" s="132">
        <f>IF(SER_hh_tesh_in!T6=0,0,SER_hh_tesh_in!T6/SER_summary!T$27)</f>
        <v>0</v>
      </c>
      <c r="U6" s="132">
        <f>IF(SER_hh_tesh_in!U6=0,0,SER_hh_tesh_in!U6/SER_summary!U$27)</f>
        <v>0</v>
      </c>
      <c r="V6" s="132">
        <f>IF(SER_hh_tesh_in!V6=0,0,SER_hh_tesh_in!V6/SER_summary!V$27)</f>
        <v>0</v>
      </c>
      <c r="W6" s="132">
        <f>IF(SER_hh_tesh_in!W6=0,0,SER_hh_tesh_in!W6/SER_summary!W$27)</f>
        <v>0</v>
      </c>
      <c r="X6" s="132">
        <f>IF(SER_hh_tesh_in!X6=0,0,SER_hh_tesh_in!X6/SER_summary!X$27)</f>
        <v>0</v>
      </c>
      <c r="Y6" s="132">
        <f>IF(SER_hh_tesh_in!Y6=0,0,SER_hh_tesh_in!Y6/SER_summary!Y$27)</f>
        <v>0</v>
      </c>
      <c r="DA6" s="156" t="s">
        <v>851</v>
      </c>
    </row>
    <row r="7" spans="1:105" ht="12" customHeight="1" x14ac:dyDescent="0.25">
      <c r="A7" s="131" t="s">
        <v>161</v>
      </c>
      <c r="B7" s="132"/>
      <c r="C7" s="132">
        <f>IF(SER_hh_tesh_in!C7=0,0,SER_hh_tesh_in!C7/SER_summary!C$27)</f>
        <v>6.1450586240518401</v>
      </c>
      <c r="D7" s="132">
        <f>IF(SER_hh_tesh_in!D7=0,0,SER_hh_tesh_in!D7/SER_summary!D$27)</f>
        <v>5.1683780311837229</v>
      </c>
      <c r="E7" s="132">
        <f>IF(SER_hh_tesh_in!E7=0,0,SER_hh_tesh_in!E7/SER_summary!E$27)</f>
        <v>5.2492303761778611</v>
      </c>
      <c r="F7" s="132">
        <f>IF(SER_hh_tesh_in!F7=0,0,SER_hh_tesh_in!F7/SER_summary!F$27)</f>
        <v>5.8361719503661158</v>
      </c>
      <c r="G7" s="132">
        <f>IF(SER_hh_tesh_in!G7=0,0,SER_hh_tesh_in!G7/SER_summary!G$27)</f>
        <v>0</v>
      </c>
      <c r="H7" s="132">
        <f>IF(SER_hh_tesh_in!H7=0,0,SER_hh_tesh_in!H7/SER_summary!H$27)</f>
        <v>0</v>
      </c>
      <c r="I7" s="132">
        <f>IF(SER_hh_tesh_in!I7=0,0,SER_hh_tesh_in!I7/SER_summary!I$27)</f>
        <v>0</v>
      </c>
      <c r="J7" s="132">
        <f>IF(SER_hh_tesh_in!J7=0,0,SER_hh_tesh_in!J7/SER_summary!J$27)</f>
        <v>0</v>
      </c>
      <c r="K7" s="132">
        <f>IF(SER_hh_tesh_in!K7=0,0,SER_hh_tesh_in!K7/SER_summary!K$27)</f>
        <v>0</v>
      </c>
      <c r="L7" s="132">
        <f>IF(SER_hh_tesh_in!L7=0,0,SER_hh_tesh_in!L7/SER_summary!L$27)</f>
        <v>7.6719185257903328</v>
      </c>
      <c r="M7" s="132">
        <f>IF(SER_hh_tesh_in!M7=0,0,SER_hh_tesh_in!M7/SER_summary!M$27)</f>
        <v>6.6095503971829803</v>
      </c>
      <c r="N7" s="132">
        <f>IF(SER_hh_tesh_in!N7=0,0,SER_hh_tesh_in!N7/SER_summary!N$27)</f>
        <v>6.6250329900036125</v>
      </c>
      <c r="O7" s="132">
        <f>IF(SER_hh_tesh_in!O7=0,0,SER_hh_tesh_in!O7/SER_summary!O$27)</f>
        <v>6.5709246891479109</v>
      </c>
      <c r="P7" s="132">
        <f>IF(SER_hh_tesh_in!P7=0,0,SER_hh_tesh_in!P7/SER_summary!P$27)</f>
        <v>4.8385993315827358</v>
      </c>
      <c r="Q7" s="132">
        <f>IF(SER_hh_tesh_in!Q7=0,0,SER_hh_tesh_in!Q7/SER_summary!Q$27)</f>
        <v>3.399048932767621</v>
      </c>
      <c r="R7" s="132">
        <f>IF(SER_hh_tesh_in!R7=0,0,SER_hh_tesh_in!R7/SER_summary!R$27)</f>
        <v>4.4562837805010789</v>
      </c>
      <c r="S7" s="132">
        <f>IF(SER_hh_tesh_in!S7=0,0,SER_hh_tesh_in!S7/SER_summary!S$27)</f>
        <v>5.260856263701764</v>
      </c>
      <c r="T7" s="132">
        <f>IF(SER_hh_tesh_in!T7=0,0,SER_hh_tesh_in!T7/SER_summary!T$27)</f>
        <v>5.9013246434651325</v>
      </c>
      <c r="U7" s="132">
        <f>IF(SER_hh_tesh_in!U7=0,0,SER_hh_tesh_in!U7/SER_summary!U$27)</f>
        <v>5.8921072497384426</v>
      </c>
      <c r="V7" s="132">
        <f>IF(SER_hh_tesh_in!V7=0,0,SER_hh_tesh_in!V7/SER_summary!V$27)</f>
        <v>0</v>
      </c>
      <c r="W7" s="132">
        <f>IF(SER_hh_tesh_in!W7=0,0,SER_hh_tesh_in!W7/SER_summary!W$27)</f>
        <v>0</v>
      </c>
      <c r="X7" s="132">
        <f>IF(SER_hh_tesh_in!X7=0,0,SER_hh_tesh_in!X7/SER_summary!X$27)</f>
        <v>0</v>
      </c>
      <c r="Y7" s="132">
        <f>IF(SER_hh_tesh_in!Y7=0,0,SER_hh_tesh_in!Y7/SER_summary!Y$27)</f>
        <v>0</v>
      </c>
      <c r="DA7" s="156" t="s">
        <v>852</v>
      </c>
    </row>
    <row r="8" spans="1:105" ht="12" customHeight="1" x14ac:dyDescent="0.25">
      <c r="A8" s="131" t="s">
        <v>73</v>
      </c>
      <c r="B8" s="132"/>
      <c r="C8" s="132">
        <f>IF(SER_hh_tesh_in!C8=0,0,SER_hh_tesh_in!C8/SER_summary!C$27)</f>
        <v>5.8369369289623982</v>
      </c>
      <c r="D8" s="132">
        <f>IF(SER_hh_tesh_in!D8=0,0,SER_hh_tesh_in!D8/SER_summary!D$27)</f>
        <v>5.4003535780186835</v>
      </c>
      <c r="E8" s="132">
        <f>IF(SER_hh_tesh_in!E8=0,0,SER_hh_tesh_in!E8/SER_summary!E$27)</f>
        <v>3.7736386621944611</v>
      </c>
      <c r="F8" s="132">
        <f>IF(SER_hh_tesh_in!F8=0,0,SER_hh_tesh_in!F8/SER_summary!F$27)</f>
        <v>4.0298297315876841</v>
      </c>
      <c r="G8" s="132">
        <f>IF(SER_hh_tesh_in!G8=0,0,SER_hh_tesh_in!G8/SER_summary!G$27)</f>
        <v>5.9990991342514262</v>
      </c>
      <c r="H8" s="132">
        <f>IF(SER_hh_tesh_in!H8=0,0,SER_hh_tesh_in!H8/SER_summary!H$27)</f>
        <v>9.1120138295199684</v>
      </c>
      <c r="I8" s="132">
        <f>IF(SER_hh_tesh_in!I8=0,0,SER_hh_tesh_in!I8/SER_summary!I$27)</f>
        <v>7.7932854451924198</v>
      </c>
      <c r="J8" s="132">
        <f>IF(SER_hh_tesh_in!J8=0,0,SER_hh_tesh_in!J8/SER_summary!J$27)</f>
        <v>7.3505537652472785</v>
      </c>
      <c r="K8" s="132">
        <f>IF(SER_hh_tesh_in!K8=0,0,SER_hh_tesh_in!K8/SER_summary!K$27)</f>
        <v>6.6810786666980002</v>
      </c>
      <c r="L8" s="132">
        <f>IF(SER_hh_tesh_in!L8=0,0,SER_hh_tesh_in!L8/SER_summary!L$27)</f>
        <v>5.7970601503994157</v>
      </c>
      <c r="M8" s="132">
        <f>IF(SER_hh_tesh_in!M8=0,0,SER_hh_tesh_in!M8/SER_summary!M$27)</f>
        <v>5.7732831057542215</v>
      </c>
      <c r="N8" s="132">
        <f>IF(SER_hh_tesh_in!N8=0,0,SER_hh_tesh_in!N8/SER_summary!N$27)</f>
        <v>4.4154370647191277</v>
      </c>
      <c r="O8" s="132">
        <f>IF(SER_hh_tesh_in!O8=0,0,SER_hh_tesh_in!O8/SER_summary!O$27)</f>
        <v>4.284089221824396</v>
      </c>
      <c r="P8" s="132">
        <f>IF(SER_hh_tesh_in!P8=0,0,SER_hh_tesh_in!P8/SER_summary!P$27)</f>
        <v>4.4023466655670864</v>
      </c>
      <c r="Q8" s="132">
        <f>IF(SER_hh_tesh_in!Q8=0,0,SER_hh_tesh_in!Q8/SER_summary!Q$27)</f>
        <v>4.2208041252948592</v>
      </c>
      <c r="R8" s="132">
        <f>IF(SER_hh_tesh_in!R8=0,0,SER_hh_tesh_in!R8/SER_summary!R$27)</f>
        <v>4.8493983201824449</v>
      </c>
      <c r="S8" s="132">
        <f>IF(SER_hh_tesh_in!S8=0,0,SER_hh_tesh_in!S8/SER_summary!S$27)</f>
        <v>5.2839525950047763</v>
      </c>
      <c r="T8" s="132">
        <f>IF(SER_hh_tesh_in!T8=0,0,SER_hh_tesh_in!T8/SER_summary!T$27)</f>
        <v>5.1576285360041378</v>
      </c>
      <c r="U8" s="132">
        <f>IF(SER_hh_tesh_in!U8=0,0,SER_hh_tesh_in!U8/SER_summary!U$27)</f>
        <v>7.3059960385415614</v>
      </c>
      <c r="V8" s="132">
        <f>IF(SER_hh_tesh_in!V8=0,0,SER_hh_tesh_in!V8/SER_summary!V$27)</f>
        <v>5.5584990813003525</v>
      </c>
      <c r="W8" s="132">
        <f>IF(SER_hh_tesh_in!W8=0,0,SER_hh_tesh_in!W8/SER_summary!W$27)</f>
        <v>6.506399811405041</v>
      </c>
      <c r="X8" s="132">
        <f>IF(SER_hh_tesh_in!X8=0,0,SER_hh_tesh_in!X8/SER_summary!X$27)</f>
        <v>6.7880218994296122</v>
      </c>
      <c r="Y8" s="132">
        <f>IF(SER_hh_tesh_in!Y8=0,0,SER_hh_tesh_in!Y8/SER_summary!Y$27)</f>
        <v>7.6354477960916647</v>
      </c>
      <c r="DA8" s="156" t="s">
        <v>853</v>
      </c>
    </row>
    <row r="9" spans="1:105" ht="12" customHeight="1" x14ac:dyDescent="0.25">
      <c r="A9" s="131" t="s">
        <v>78</v>
      </c>
      <c r="B9" s="132"/>
      <c r="C9" s="132">
        <f>IF(SER_hh_tesh_in!C9=0,0,SER_hh_tesh_in!C9/SER_summary!C$27)</f>
        <v>0</v>
      </c>
      <c r="D9" s="132">
        <f>IF(SER_hh_tesh_in!D9=0,0,SER_hh_tesh_in!D9/SER_summary!D$27)</f>
        <v>0</v>
      </c>
      <c r="E9" s="132">
        <f>IF(SER_hh_tesh_in!E9=0,0,SER_hh_tesh_in!E9/SER_summary!E$27)</f>
        <v>0</v>
      </c>
      <c r="F9" s="132">
        <f>IF(SER_hh_tesh_in!F9=0,0,SER_hh_tesh_in!F9/SER_summary!F$27)</f>
        <v>0.88901538416970238</v>
      </c>
      <c r="G9" s="132">
        <f>IF(SER_hh_tesh_in!G9=0,0,SER_hh_tesh_in!G9/SER_summary!G$27)</f>
        <v>4.6643452364477227</v>
      </c>
      <c r="H9" s="132">
        <f>IF(SER_hh_tesh_in!H9=0,0,SER_hh_tesh_in!H9/SER_summary!H$27)</f>
        <v>15.017259892600009</v>
      </c>
      <c r="I9" s="132">
        <f>IF(SER_hh_tesh_in!I9=0,0,SER_hh_tesh_in!I9/SER_summary!I$27)</f>
        <v>7.0101822668499443</v>
      </c>
      <c r="J9" s="132">
        <f>IF(SER_hh_tesh_in!J9=0,0,SER_hh_tesh_in!J9/SER_summary!J$27)</f>
        <v>5.1469199075054961</v>
      </c>
      <c r="K9" s="132">
        <f>IF(SER_hh_tesh_in!K9=0,0,SER_hh_tesh_in!K9/SER_summary!K$27)</f>
        <v>6.6821915413102113</v>
      </c>
      <c r="L9" s="132">
        <f>IF(SER_hh_tesh_in!L9=0,0,SER_hh_tesh_in!L9/SER_summary!L$27)</f>
        <v>8.8120634454697075</v>
      </c>
      <c r="M9" s="132">
        <f>IF(SER_hh_tesh_in!M9=0,0,SER_hh_tesh_in!M9/SER_summary!M$27)</f>
        <v>9.7294024699770105</v>
      </c>
      <c r="N9" s="132">
        <f>IF(SER_hh_tesh_in!N9=0,0,SER_hh_tesh_in!N9/SER_summary!N$27)</f>
        <v>7.0922334829970577</v>
      </c>
      <c r="O9" s="132">
        <f>IF(SER_hh_tesh_in!O9=0,0,SER_hh_tesh_in!O9/SER_summary!O$27)</f>
        <v>0</v>
      </c>
      <c r="P9" s="132">
        <f>IF(SER_hh_tesh_in!P9=0,0,SER_hh_tesh_in!P9/SER_summary!P$27)</f>
        <v>0</v>
      </c>
      <c r="Q9" s="132">
        <f>IF(SER_hh_tesh_in!Q9=0,0,SER_hh_tesh_in!Q9/SER_summary!Q$27)</f>
        <v>0</v>
      </c>
      <c r="R9" s="132">
        <f>IF(SER_hh_tesh_in!R9=0,0,SER_hh_tesh_in!R9/SER_summary!R$27)</f>
        <v>0</v>
      </c>
      <c r="S9" s="132">
        <f>IF(SER_hh_tesh_in!S9=0,0,SER_hh_tesh_in!S9/SER_summary!S$27)</f>
        <v>0</v>
      </c>
      <c r="T9" s="132">
        <f>IF(SER_hh_tesh_in!T9=0,0,SER_hh_tesh_in!T9/SER_summary!T$27)</f>
        <v>6.1855299043610277</v>
      </c>
      <c r="U9" s="132">
        <f>IF(SER_hh_tesh_in!U9=0,0,SER_hh_tesh_in!U9/SER_summary!U$27)</f>
        <v>6.2715526587049988</v>
      </c>
      <c r="V9" s="132">
        <f>IF(SER_hh_tesh_in!V9=0,0,SER_hh_tesh_in!V9/SER_summary!V$27)</f>
        <v>5.470953215889387</v>
      </c>
      <c r="W9" s="132">
        <f>IF(SER_hh_tesh_in!W9=0,0,SER_hh_tesh_in!W9/SER_summary!W$27)</f>
        <v>6.8917520140262658</v>
      </c>
      <c r="X9" s="132">
        <f>IF(SER_hh_tesh_in!X9=0,0,SER_hh_tesh_in!X9/SER_summary!X$27)</f>
        <v>6.6182958744382221</v>
      </c>
      <c r="Y9" s="132">
        <f>IF(SER_hh_tesh_in!Y9=0,0,SER_hh_tesh_in!Y9/SER_summary!Y$27)</f>
        <v>7.2663865415459332</v>
      </c>
      <c r="DA9" s="156" t="s">
        <v>854</v>
      </c>
    </row>
    <row r="10" spans="1:105" ht="12" customHeight="1" x14ac:dyDescent="0.25">
      <c r="A10" s="131" t="s">
        <v>128</v>
      </c>
      <c r="B10" s="132"/>
      <c r="C10" s="132">
        <f>IF(SER_hh_tesh_in!C10=0,0,SER_hh_tesh_in!C10/SER_summary!C$27)</f>
        <v>6.030852032655619</v>
      </c>
      <c r="D10" s="132">
        <f>IF(SER_hh_tesh_in!D10=0,0,SER_hh_tesh_in!D10/SER_summary!D$27)</f>
        <v>5.4998798898029326</v>
      </c>
      <c r="E10" s="132">
        <f>IF(SER_hh_tesh_in!E10=0,0,SER_hh_tesh_in!E10/SER_summary!E$27)</f>
        <v>5.3571048875940566</v>
      </c>
      <c r="F10" s="132">
        <f>IF(SER_hh_tesh_in!F10=0,0,SER_hh_tesh_in!F10/SER_summary!F$27)</f>
        <v>5.3225211981589746</v>
      </c>
      <c r="G10" s="132">
        <f>IF(SER_hh_tesh_in!G10=0,0,SER_hh_tesh_in!G10/SER_summary!G$27)</f>
        <v>5.5063268527494502</v>
      </c>
      <c r="H10" s="132">
        <f>IF(SER_hh_tesh_in!H10=0,0,SER_hh_tesh_in!H10/SER_summary!H$27)</f>
        <v>8.2774799845650264</v>
      </c>
      <c r="I10" s="132">
        <f>IF(SER_hh_tesh_in!I10=0,0,SER_hh_tesh_in!I10/SER_summary!I$27)</f>
        <v>7.525379463928985</v>
      </c>
      <c r="J10" s="132">
        <f>IF(SER_hh_tesh_in!J10=0,0,SER_hh_tesh_in!J10/SER_summary!J$27)</f>
        <v>8.5966985489334409</v>
      </c>
      <c r="K10" s="132">
        <f>IF(SER_hh_tesh_in!K10=0,0,SER_hh_tesh_in!K10/SER_summary!K$27)</f>
        <v>6.6292407219710947</v>
      </c>
      <c r="L10" s="132">
        <f>IF(SER_hh_tesh_in!L10=0,0,SER_hh_tesh_in!L10/SER_summary!L$27)</f>
        <v>0</v>
      </c>
      <c r="M10" s="132">
        <f>IF(SER_hh_tesh_in!M10=0,0,SER_hh_tesh_in!M10/SER_summary!M$27)</f>
        <v>7.5972505165252713</v>
      </c>
      <c r="N10" s="132">
        <f>IF(SER_hh_tesh_in!N10=0,0,SER_hh_tesh_in!N10/SER_summary!N$27)</f>
        <v>6.6145803949078292</v>
      </c>
      <c r="O10" s="132">
        <f>IF(SER_hh_tesh_in!O10=0,0,SER_hh_tesh_in!O10/SER_summary!O$27)</f>
        <v>5.4737877030223379</v>
      </c>
      <c r="P10" s="132">
        <f>IF(SER_hh_tesh_in!P10=0,0,SER_hh_tesh_in!P10/SER_summary!P$27)</f>
        <v>4.2606886392280403</v>
      </c>
      <c r="Q10" s="132">
        <f>IF(SER_hh_tesh_in!Q10=0,0,SER_hh_tesh_in!Q10/SER_summary!Q$27)</f>
        <v>4.1646420174771954</v>
      </c>
      <c r="R10" s="132">
        <f>IF(SER_hh_tesh_in!R10=0,0,SER_hh_tesh_in!R10/SER_summary!R$27)</f>
        <v>4.9673497797806814</v>
      </c>
      <c r="S10" s="132">
        <f>IF(SER_hh_tesh_in!S10=0,0,SER_hh_tesh_in!S10/SER_summary!S$27)</f>
        <v>5.3423729457677602</v>
      </c>
      <c r="T10" s="132">
        <f>IF(SER_hh_tesh_in!T10=0,0,SER_hh_tesh_in!T10/SER_summary!T$27)</f>
        <v>0</v>
      </c>
      <c r="U10" s="132">
        <f>IF(SER_hh_tesh_in!U10=0,0,SER_hh_tesh_in!U10/SER_summary!U$27)</f>
        <v>0</v>
      </c>
      <c r="V10" s="132">
        <f>IF(SER_hh_tesh_in!V10=0,0,SER_hh_tesh_in!V10/SER_summary!V$27)</f>
        <v>0</v>
      </c>
      <c r="W10" s="132">
        <f>IF(SER_hh_tesh_in!W10=0,0,SER_hh_tesh_in!W10/SER_summary!W$27)</f>
        <v>6.4914218917977298</v>
      </c>
      <c r="X10" s="132">
        <f>IF(SER_hh_tesh_in!X10=0,0,SER_hh_tesh_in!X10/SER_summary!X$27)</f>
        <v>6.8006865001208876</v>
      </c>
      <c r="Y10" s="132">
        <f>IF(SER_hh_tesh_in!Y10=0,0,SER_hh_tesh_in!Y10/SER_summary!Y$27)</f>
        <v>7.008855052635476</v>
      </c>
      <c r="DA10" s="156" t="s">
        <v>855</v>
      </c>
    </row>
    <row r="11" spans="1:105" ht="12" customHeight="1" x14ac:dyDescent="0.25">
      <c r="A11" s="131" t="s">
        <v>25</v>
      </c>
      <c r="B11" s="132"/>
      <c r="C11" s="132">
        <f>IF(SER_hh_tesh_in!C11=0,0,SER_hh_tesh_in!C11/SER_summary!C$27)</f>
        <v>0</v>
      </c>
      <c r="D11" s="132">
        <f>IF(SER_hh_tesh_in!D11=0,0,SER_hh_tesh_in!D11/SER_summary!D$27)</f>
        <v>0</v>
      </c>
      <c r="E11" s="132">
        <f>IF(SER_hh_tesh_in!E11=0,0,SER_hh_tesh_in!E11/SER_summary!E$27)</f>
        <v>0</v>
      </c>
      <c r="F11" s="132">
        <f>IF(SER_hh_tesh_in!F11=0,0,SER_hh_tesh_in!F11/SER_summary!F$27)</f>
        <v>0</v>
      </c>
      <c r="G11" s="132">
        <f>IF(SER_hh_tesh_in!G11=0,0,SER_hh_tesh_in!G11/SER_summary!G$27)</f>
        <v>0</v>
      </c>
      <c r="H11" s="132">
        <f>IF(SER_hh_tesh_in!H11=0,0,SER_hh_tesh_in!H11/SER_summary!H$27)</f>
        <v>0</v>
      </c>
      <c r="I11" s="132">
        <f>IF(SER_hh_tesh_in!I11=0,0,SER_hh_tesh_in!I11/SER_summary!I$27)</f>
        <v>7.1998676956253096</v>
      </c>
      <c r="J11" s="132">
        <f>IF(SER_hh_tesh_in!J11=0,0,SER_hh_tesh_in!J11/SER_summary!J$27)</f>
        <v>0</v>
      </c>
      <c r="K11" s="132">
        <f>IF(SER_hh_tesh_in!K11=0,0,SER_hh_tesh_in!K11/SER_summary!K$27)</f>
        <v>0</v>
      </c>
      <c r="L11" s="132">
        <f>IF(SER_hh_tesh_in!L11=0,0,SER_hh_tesh_in!L11/SER_summary!L$27)</f>
        <v>0</v>
      </c>
      <c r="M11" s="132">
        <f>IF(SER_hh_tesh_in!M11=0,0,SER_hh_tesh_in!M11/SER_summary!M$27)</f>
        <v>7.435940805216962</v>
      </c>
      <c r="N11" s="132">
        <f>IF(SER_hh_tesh_in!N11=0,0,SER_hh_tesh_in!N11/SER_summary!N$27)</f>
        <v>6.3307070913319441</v>
      </c>
      <c r="O11" s="132">
        <f>IF(SER_hh_tesh_in!O11=0,0,SER_hh_tesh_in!O11/SER_summary!O$27)</f>
        <v>5.6913868902042521</v>
      </c>
      <c r="P11" s="132">
        <f>IF(SER_hh_tesh_in!P11=0,0,SER_hh_tesh_in!P11/SER_summary!P$27)</f>
        <v>4.5929496087736439</v>
      </c>
      <c r="Q11" s="132">
        <f>IF(SER_hh_tesh_in!Q11=0,0,SER_hh_tesh_in!Q11/SER_summary!Q$27)</f>
        <v>4.3288459777450745</v>
      </c>
      <c r="R11" s="132">
        <f>IF(SER_hh_tesh_in!R11=0,0,SER_hh_tesh_in!R11/SER_summary!R$27)</f>
        <v>0</v>
      </c>
      <c r="S11" s="132">
        <f>IF(SER_hh_tesh_in!S11=0,0,SER_hh_tesh_in!S11/SER_summary!S$27)</f>
        <v>0</v>
      </c>
      <c r="T11" s="132">
        <f>IF(SER_hh_tesh_in!T11=0,0,SER_hh_tesh_in!T11/SER_summary!T$27)</f>
        <v>0</v>
      </c>
      <c r="U11" s="132">
        <f>IF(SER_hh_tesh_in!U11=0,0,SER_hh_tesh_in!U11/SER_summary!U$27)</f>
        <v>0</v>
      </c>
      <c r="V11" s="132">
        <f>IF(SER_hh_tesh_in!V11=0,0,SER_hh_tesh_in!V11/SER_summary!V$27)</f>
        <v>0</v>
      </c>
      <c r="W11" s="132">
        <f>IF(SER_hh_tesh_in!W11=0,0,SER_hh_tesh_in!W11/SER_summary!W$27)</f>
        <v>0</v>
      </c>
      <c r="X11" s="132">
        <f>IF(SER_hh_tesh_in!X11=0,0,SER_hh_tesh_in!X11/SER_summary!X$27)</f>
        <v>0</v>
      </c>
      <c r="Y11" s="132">
        <f>IF(SER_hh_tesh_in!Y11=0,0,SER_hh_tesh_in!Y11/SER_summary!Y$27)</f>
        <v>0</v>
      </c>
      <c r="DA11" s="156" t="s">
        <v>856</v>
      </c>
    </row>
    <row r="12" spans="1:105" ht="12" customHeight="1" x14ac:dyDescent="0.25">
      <c r="A12" s="131" t="s">
        <v>162</v>
      </c>
      <c r="B12" s="132"/>
      <c r="C12" s="132">
        <f>IF(SER_hh_tesh_in!C12=0,0,SER_hh_tesh_in!C12/SER_summary!C$27)</f>
        <v>0</v>
      </c>
      <c r="D12" s="132">
        <f>IF(SER_hh_tesh_in!D12=0,0,SER_hh_tesh_in!D12/SER_summary!D$27)</f>
        <v>0</v>
      </c>
      <c r="E12" s="132">
        <f>IF(SER_hh_tesh_in!E12=0,0,SER_hh_tesh_in!E12/SER_summary!E$27)</f>
        <v>0</v>
      </c>
      <c r="F12" s="132">
        <f>IF(SER_hh_tesh_in!F12=0,0,SER_hh_tesh_in!F12/SER_summary!F$27)</f>
        <v>0</v>
      </c>
      <c r="G12" s="132">
        <f>IF(SER_hh_tesh_in!G12=0,0,SER_hh_tesh_in!G12/SER_summary!G$27)</f>
        <v>0</v>
      </c>
      <c r="H12" s="132">
        <f>IF(SER_hh_tesh_in!H12=0,0,SER_hh_tesh_in!H12/SER_summary!H$27)</f>
        <v>0</v>
      </c>
      <c r="I12" s="132">
        <f>IF(SER_hh_tesh_in!I12=0,0,SER_hh_tesh_in!I12/SER_summary!I$27)</f>
        <v>0</v>
      </c>
      <c r="J12" s="132">
        <f>IF(SER_hh_tesh_in!J12=0,0,SER_hh_tesh_in!J12/SER_summary!J$27)</f>
        <v>0</v>
      </c>
      <c r="K12" s="132">
        <f>IF(SER_hh_tesh_in!K12=0,0,SER_hh_tesh_in!K12/SER_summary!K$27)</f>
        <v>0</v>
      </c>
      <c r="L12" s="132">
        <f>IF(SER_hh_tesh_in!L12=0,0,SER_hh_tesh_in!L12/SER_summary!L$27)</f>
        <v>0</v>
      </c>
      <c r="M12" s="132">
        <f>IF(SER_hh_tesh_in!M12=0,0,SER_hh_tesh_in!M12/SER_summary!M$27)</f>
        <v>0</v>
      </c>
      <c r="N12" s="132">
        <f>IF(SER_hh_tesh_in!N12=0,0,SER_hh_tesh_in!N12/SER_summary!N$27)</f>
        <v>0</v>
      </c>
      <c r="O12" s="132">
        <f>IF(SER_hh_tesh_in!O12=0,0,SER_hh_tesh_in!O12/SER_summary!O$27)</f>
        <v>0</v>
      </c>
      <c r="P12" s="132">
        <f>IF(SER_hh_tesh_in!P12=0,0,SER_hh_tesh_in!P12/SER_summary!P$27)</f>
        <v>0</v>
      </c>
      <c r="Q12" s="132">
        <f>IF(SER_hh_tesh_in!Q12=0,0,SER_hh_tesh_in!Q12/SER_summary!Q$27)</f>
        <v>0</v>
      </c>
      <c r="R12" s="132">
        <f>IF(SER_hh_tesh_in!R12=0,0,SER_hh_tesh_in!R12/SER_summary!R$27)</f>
        <v>0</v>
      </c>
      <c r="S12" s="132">
        <f>IF(SER_hh_tesh_in!S12=0,0,SER_hh_tesh_in!S12/SER_summary!S$27)</f>
        <v>0</v>
      </c>
      <c r="T12" s="132">
        <f>IF(SER_hh_tesh_in!T12=0,0,SER_hh_tesh_in!T12/SER_summary!T$27)</f>
        <v>0</v>
      </c>
      <c r="U12" s="132">
        <f>IF(SER_hh_tesh_in!U12=0,0,SER_hh_tesh_in!U12/SER_summary!U$27)</f>
        <v>0</v>
      </c>
      <c r="V12" s="132">
        <f>IF(SER_hh_tesh_in!V12=0,0,SER_hh_tesh_in!V12/SER_summary!V$27)</f>
        <v>0</v>
      </c>
      <c r="W12" s="132">
        <f>IF(SER_hh_tesh_in!W12=0,0,SER_hh_tesh_in!W12/SER_summary!W$27)</f>
        <v>0</v>
      </c>
      <c r="X12" s="132">
        <f>IF(SER_hh_tesh_in!X12=0,0,SER_hh_tesh_in!X12/SER_summary!X$27)</f>
        <v>0</v>
      </c>
      <c r="Y12" s="132">
        <f>IF(SER_hh_tesh_in!Y12=0,0,SER_hh_tesh_in!Y12/SER_summary!Y$27)</f>
        <v>0</v>
      </c>
      <c r="DA12" s="156" t="s">
        <v>857</v>
      </c>
    </row>
    <row r="13" spans="1:105" ht="12" customHeight="1" x14ac:dyDescent="0.25">
      <c r="A13" s="131" t="s">
        <v>77</v>
      </c>
      <c r="B13" s="132"/>
      <c r="C13" s="132">
        <f>IF(SER_hh_tesh_in!C13=0,0,SER_hh_tesh_in!C13/SER_summary!C$27)</f>
        <v>6.3013422256271792</v>
      </c>
      <c r="D13" s="132">
        <f>IF(SER_hh_tesh_in!D13=0,0,SER_hh_tesh_in!D13/SER_summary!D$27)</f>
        <v>4.9867340766144208</v>
      </c>
      <c r="E13" s="132">
        <f>IF(SER_hh_tesh_in!E13=0,0,SER_hh_tesh_in!E13/SER_summary!E$27)</f>
        <v>5.1428478522995427</v>
      </c>
      <c r="F13" s="132">
        <f>IF(SER_hh_tesh_in!F13=0,0,SER_hh_tesh_in!F13/SER_summary!F$27)</f>
        <v>4.888754141982969</v>
      </c>
      <c r="G13" s="132">
        <f>IF(SER_hh_tesh_in!G13=0,0,SER_hh_tesh_in!G13/SER_summary!G$27)</f>
        <v>6.1917928136799807</v>
      </c>
      <c r="H13" s="132">
        <f>IF(SER_hh_tesh_in!H13=0,0,SER_hh_tesh_in!H13/SER_summary!H$27)</f>
        <v>6.3444486240136708</v>
      </c>
      <c r="I13" s="132">
        <f>IF(SER_hh_tesh_in!I13=0,0,SER_hh_tesh_in!I13/SER_summary!I$27)</f>
        <v>6.8456420180362256</v>
      </c>
      <c r="J13" s="132">
        <f>IF(SER_hh_tesh_in!J13=0,0,SER_hh_tesh_in!J13/SER_summary!J$27)</f>
        <v>7.8948837483610479</v>
      </c>
      <c r="K13" s="132">
        <f>IF(SER_hh_tesh_in!K13=0,0,SER_hh_tesh_in!K13/SER_summary!K$27)</f>
        <v>7.8365134337656528</v>
      </c>
      <c r="L13" s="132">
        <f>IF(SER_hh_tesh_in!L13=0,0,SER_hh_tesh_in!L13/SER_summary!L$27)</f>
        <v>7.6867644052044195</v>
      </c>
      <c r="M13" s="132">
        <f>IF(SER_hh_tesh_in!M13=0,0,SER_hh_tesh_in!M13/SER_summary!M$27)</f>
        <v>6.9452811791000011</v>
      </c>
      <c r="N13" s="132">
        <f>IF(SER_hh_tesh_in!N13=0,0,SER_hh_tesh_in!N13/SER_summary!N$27)</f>
        <v>6.3370559609174339</v>
      </c>
      <c r="O13" s="132">
        <f>IF(SER_hh_tesh_in!O13=0,0,SER_hh_tesh_in!O13/SER_summary!O$27)</f>
        <v>5.0596258743201235</v>
      </c>
      <c r="P13" s="132">
        <f>IF(SER_hh_tesh_in!P13=0,0,SER_hh_tesh_in!P13/SER_summary!P$27)</f>
        <v>4.0236791697214844</v>
      </c>
      <c r="Q13" s="132">
        <f>IF(SER_hh_tesh_in!Q13=0,0,SER_hh_tesh_in!Q13/SER_summary!Q$27)</f>
        <v>4.3365879311092295</v>
      </c>
      <c r="R13" s="132">
        <f>IF(SER_hh_tesh_in!R13=0,0,SER_hh_tesh_in!R13/SER_summary!R$27)</f>
        <v>4.7316989522718194</v>
      </c>
      <c r="S13" s="132">
        <f>IF(SER_hh_tesh_in!S13=0,0,SER_hh_tesh_in!S13/SER_summary!S$27)</f>
        <v>5.2987521884356301</v>
      </c>
      <c r="T13" s="132">
        <f>IF(SER_hh_tesh_in!T13=0,0,SER_hh_tesh_in!T13/SER_summary!T$27)</f>
        <v>5.8783559425152809</v>
      </c>
      <c r="U13" s="132">
        <f>IF(SER_hh_tesh_in!U13=0,0,SER_hh_tesh_in!U13/SER_summary!U$27)</f>
        <v>6.1745708922410678</v>
      </c>
      <c r="V13" s="132">
        <f>IF(SER_hh_tesh_in!V13=0,0,SER_hh_tesh_in!V13/SER_summary!V$27)</f>
        <v>6.3950434028192831</v>
      </c>
      <c r="W13" s="132">
        <f>IF(SER_hh_tesh_in!W13=0,0,SER_hh_tesh_in!W13/SER_summary!W$27)</f>
        <v>6.5135193454372056</v>
      </c>
      <c r="X13" s="132">
        <f>IF(SER_hh_tesh_in!X13=0,0,SER_hh_tesh_in!X13/SER_summary!X$27)</f>
        <v>7.0221425602067811</v>
      </c>
      <c r="Y13" s="132">
        <f>IF(SER_hh_tesh_in!Y13=0,0,SER_hh_tesh_in!Y13/SER_summary!Y$27)</f>
        <v>7.3412449451265651</v>
      </c>
      <c r="DA13" s="156" t="s">
        <v>858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0</v>
      </c>
      <c r="D14" s="65">
        <f>IF(SER_hh_tesh_in!D14=0,0,SER_hh_tesh_in!D14/SER_summary!D$27)</f>
        <v>0</v>
      </c>
      <c r="E14" s="65">
        <f>IF(SER_hh_tesh_in!E14=0,0,SER_hh_tesh_in!E14/SER_summary!E$27)</f>
        <v>0</v>
      </c>
      <c r="F14" s="65">
        <f>IF(SER_hh_tesh_in!F14=0,0,SER_hh_tesh_in!F14/SER_summary!F$27)</f>
        <v>5.6910433447709803</v>
      </c>
      <c r="G14" s="65">
        <f>IF(SER_hh_tesh_in!G14=0,0,SER_hh_tesh_in!G14/SER_summary!G$27)</f>
        <v>3.144867811584227</v>
      </c>
      <c r="H14" s="65">
        <f>IF(SER_hh_tesh_in!H14=0,0,SER_hh_tesh_in!H14/SER_summary!H$27)</f>
        <v>11.774473240128126</v>
      </c>
      <c r="I14" s="65">
        <f>IF(SER_hh_tesh_in!I14=0,0,SER_hh_tesh_in!I14/SER_summary!I$27)</f>
        <v>6.6423074825274311</v>
      </c>
      <c r="J14" s="65">
        <f>IF(SER_hh_tesh_in!J14=0,0,SER_hh_tesh_in!J14/SER_summary!J$27)</f>
        <v>8.9746077922150089</v>
      </c>
      <c r="K14" s="65">
        <f>IF(SER_hh_tesh_in!K14=0,0,SER_hh_tesh_in!K14/SER_summary!K$27)</f>
        <v>7.1120075326589891</v>
      </c>
      <c r="L14" s="65">
        <f>IF(SER_hh_tesh_in!L14=0,0,SER_hh_tesh_in!L14/SER_summary!L$27)</f>
        <v>0</v>
      </c>
      <c r="M14" s="65">
        <f>IF(SER_hh_tesh_in!M14=0,0,SER_hh_tesh_in!M14/SER_summary!M$27)</f>
        <v>0</v>
      </c>
      <c r="N14" s="65">
        <f>IF(SER_hh_tesh_in!N14=0,0,SER_hh_tesh_in!N14/SER_summary!N$27)</f>
        <v>0</v>
      </c>
      <c r="O14" s="65">
        <f>IF(SER_hh_tesh_in!O14=0,0,SER_hh_tesh_in!O14/SER_summary!O$27)</f>
        <v>0</v>
      </c>
      <c r="P14" s="65">
        <f>IF(SER_hh_tesh_in!P14=0,0,SER_hh_tesh_in!P14/SER_summary!P$27)</f>
        <v>0</v>
      </c>
      <c r="Q14" s="65">
        <f>IF(SER_hh_tesh_in!Q14=0,0,SER_hh_tesh_in!Q14/SER_summary!Q$27)</f>
        <v>0</v>
      </c>
      <c r="R14" s="65">
        <f>IF(SER_hh_tesh_in!R14=0,0,SER_hh_tesh_in!R14/SER_summary!R$27)</f>
        <v>0</v>
      </c>
      <c r="S14" s="65">
        <f>IF(SER_hh_tesh_in!S14=0,0,SER_hh_tesh_in!S14/SER_summary!S$27)</f>
        <v>6.0494052052452503</v>
      </c>
      <c r="T14" s="65">
        <f>IF(SER_hh_tesh_in!T14=0,0,SER_hh_tesh_in!T14/SER_summary!T$27)</f>
        <v>6.8855378851876177</v>
      </c>
      <c r="U14" s="65">
        <f>IF(SER_hh_tesh_in!U14=0,0,SER_hh_tesh_in!U14/SER_summary!U$27)</f>
        <v>6.9544631377073154</v>
      </c>
      <c r="V14" s="65">
        <f>IF(SER_hh_tesh_in!V14=0,0,SER_hh_tesh_in!V14/SER_summary!V$27)</f>
        <v>0</v>
      </c>
      <c r="W14" s="65">
        <f>IF(SER_hh_tesh_in!W14=0,0,SER_hh_tesh_in!W14/SER_summary!W$27)</f>
        <v>7.0093624262748246</v>
      </c>
      <c r="X14" s="65">
        <f>IF(SER_hh_tesh_in!X14=0,0,SER_hh_tesh_in!X14/SER_summary!X$27)</f>
        <v>7.1991298583614558</v>
      </c>
      <c r="Y14" s="65">
        <f>IF(SER_hh_tesh_in!Y14=0,0,SER_hh_tesh_in!Y14/SER_summary!Y$27)</f>
        <v>6.7175754432706922</v>
      </c>
      <c r="DA14" s="109" t="s">
        <v>859</v>
      </c>
    </row>
    <row r="15" spans="1:105" ht="12" customHeight="1" x14ac:dyDescent="0.25">
      <c r="A15" s="133" t="s">
        <v>80</v>
      </c>
      <c r="B15" s="134"/>
      <c r="C15" s="134">
        <f>IF(SER_hh_tesh_in!C15=0,0,SER_hh_tesh_in!C15/SER_summary!C$27)</f>
        <v>0.11885432176443701</v>
      </c>
      <c r="D15" s="134">
        <f>IF(SER_hh_tesh_in!D15=0,0,SER_hh_tesh_in!D15/SER_summary!D$27)</f>
        <v>9.7959328902742379E-2</v>
      </c>
      <c r="E15" s="134">
        <f>IF(SER_hh_tesh_in!E15=0,0,SER_hh_tesh_in!E15/SER_summary!E$27)</f>
        <v>9.7960608736531826E-2</v>
      </c>
      <c r="F15" s="134">
        <f>IF(SER_hh_tesh_in!F15=0,0,SER_hh_tesh_in!F15/SER_summary!F$27)</f>
        <v>7.5845029498746677E-2</v>
      </c>
      <c r="G15" s="134">
        <f>IF(SER_hh_tesh_in!G15=0,0,SER_hh_tesh_in!G15/SER_summary!G$27)</f>
        <v>8.4437924490256111E-2</v>
      </c>
      <c r="H15" s="134">
        <f>IF(SER_hh_tesh_in!H15=0,0,SER_hh_tesh_in!H15/SER_summary!H$27)</f>
        <v>0.26599138444429948</v>
      </c>
      <c r="I15" s="134">
        <f>IF(SER_hh_tesh_in!I15=0,0,SER_hh_tesh_in!I15/SER_summary!I$27)</f>
        <v>0.11795687461563505</v>
      </c>
      <c r="J15" s="134">
        <f>IF(SER_hh_tesh_in!J15=0,0,SER_hh_tesh_in!J15/SER_summary!J$27)</f>
        <v>8.8936158492849096E-2</v>
      </c>
      <c r="K15" s="134">
        <f>IF(SER_hh_tesh_in!K15=0,0,SER_hh_tesh_in!K15/SER_summary!K$27)</f>
        <v>0.11439247385524656</v>
      </c>
      <c r="L15" s="134">
        <f>IF(SER_hh_tesh_in!L15=0,0,SER_hh_tesh_in!L15/SER_summary!L$27)</f>
        <v>0.14302505170334315</v>
      </c>
      <c r="M15" s="134">
        <f>IF(SER_hh_tesh_in!M15=0,0,SER_hh_tesh_in!M15/SER_summary!M$27)</f>
        <v>0.12334422530163688</v>
      </c>
      <c r="N15" s="134">
        <f>IF(SER_hh_tesh_in!N15=0,0,SER_hh_tesh_in!N15/SER_summary!N$27)</f>
        <v>0.10591307680549165</v>
      </c>
      <c r="O15" s="134">
        <f>IF(SER_hh_tesh_in!O15=0,0,SER_hh_tesh_in!O15/SER_summary!O$27)</f>
        <v>9.9037021158144528E-2</v>
      </c>
      <c r="P15" s="134">
        <f>IF(SER_hh_tesh_in!P15=0,0,SER_hh_tesh_in!P15/SER_summary!P$27)</f>
        <v>3.9503659083622043E-2</v>
      </c>
      <c r="Q15" s="134">
        <f>IF(SER_hh_tesh_in!Q15=0,0,SER_hh_tesh_in!Q15/SER_summary!Q$27)</f>
        <v>3.5582736824763345E-2</v>
      </c>
      <c r="R15" s="134">
        <f>IF(SER_hh_tesh_in!R15=0,0,SER_hh_tesh_in!R15/SER_summary!R$27)</f>
        <v>6.1363547393375059E-2</v>
      </c>
      <c r="S15" s="134">
        <f>IF(SER_hh_tesh_in!S15=0,0,SER_hh_tesh_in!S15/SER_summary!S$27)</f>
        <v>7.8409828904041731E-2</v>
      </c>
      <c r="T15" s="134">
        <f>IF(SER_hh_tesh_in!T15=0,0,SER_hh_tesh_in!T15/SER_summary!T$27)</f>
        <v>9.2125480025245648E-2</v>
      </c>
      <c r="U15" s="134">
        <f>IF(SER_hh_tesh_in!U15=0,0,SER_hh_tesh_in!U15/SER_summary!U$27)</f>
        <v>9.2404650447852441E-2</v>
      </c>
      <c r="V15" s="134">
        <f>IF(SER_hh_tesh_in!V15=0,0,SER_hh_tesh_in!V15/SER_summary!V$27)</f>
        <v>8.4124903584515215E-2</v>
      </c>
      <c r="W15" s="134">
        <f>IF(SER_hh_tesh_in!W15=0,0,SER_hh_tesh_in!W15/SER_summary!W$27)</f>
        <v>0.10377487052922885</v>
      </c>
      <c r="X15" s="134">
        <f>IF(SER_hh_tesh_in!X15=0,0,SER_hh_tesh_in!X15/SER_summary!X$27)</f>
        <v>9.7309486704115697E-2</v>
      </c>
      <c r="Y15" s="134">
        <f>IF(SER_hh_tesh_in!Y15=0,0,SER_hh_tesh_in!Y15/SER_summary!Y$27)</f>
        <v>0.10023653054492017</v>
      </c>
      <c r="DA15" s="157" t="s">
        <v>860</v>
      </c>
    </row>
    <row r="16" spans="1:105" ht="12.95" customHeight="1" x14ac:dyDescent="0.25">
      <c r="A16" s="129" t="s">
        <v>74</v>
      </c>
      <c r="B16" s="130"/>
      <c r="C16" s="130">
        <f>IF(SER_hh_tesh_in!C16=0,0,SER_hh_tesh_in!C16/SER_summary!C$27)</f>
        <v>17.910016288378078</v>
      </c>
      <c r="D16" s="130">
        <f>IF(SER_hh_tesh_in!D16=0,0,SER_hh_tesh_in!D16/SER_summary!D$27)</f>
        <v>15.828943806756469</v>
      </c>
      <c r="E16" s="130">
        <f>IF(SER_hh_tesh_in!E16=0,0,SER_hh_tesh_in!E16/SER_summary!E$27)</f>
        <v>20.340352614675901</v>
      </c>
      <c r="F16" s="130">
        <f>IF(SER_hh_tesh_in!F16=0,0,SER_hh_tesh_in!F16/SER_summary!F$27)</f>
        <v>18.177069091073207</v>
      </c>
      <c r="G16" s="130">
        <f>IF(SER_hh_tesh_in!G16=0,0,SER_hh_tesh_in!G16/SER_summary!G$27)</f>
        <v>18.916238211612516</v>
      </c>
      <c r="H16" s="130">
        <f>IF(SER_hh_tesh_in!H16=0,0,SER_hh_tesh_in!H16/SER_summary!H$27)</f>
        <v>21.078227318242842</v>
      </c>
      <c r="I16" s="130">
        <f>IF(SER_hh_tesh_in!I16=0,0,SER_hh_tesh_in!I16/SER_summary!I$27)</f>
        <v>15.653720389179952</v>
      </c>
      <c r="J16" s="130">
        <f>IF(SER_hh_tesh_in!J16=0,0,SER_hh_tesh_in!J16/SER_summary!J$27)</f>
        <v>16.372024067408002</v>
      </c>
      <c r="K16" s="130">
        <f>IF(SER_hh_tesh_in!K16=0,0,SER_hh_tesh_in!K16/SER_summary!K$27)</f>
        <v>20.744002673369714</v>
      </c>
      <c r="L16" s="130">
        <f>IF(SER_hh_tesh_in!L16=0,0,SER_hh_tesh_in!L16/SER_summary!L$27)</f>
        <v>19.395108853298751</v>
      </c>
      <c r="M16" s="130">
        <f>IF(SER_hh_tesh_in!M16=0,0,SER_hh_tesh_in!M16/SER_summary!M$27)</f>
        <v>17.228367421536792</v>
      </c>
      <c r="N16" s="130">
        <f>IF(SER_hh_tesh_in!N16=0,0,SER_hh_tesh_in!N16/SER_summary!N$27)</f>
        <v>20.539061243505088</v>
      </c>
      <c r="O16" s="130">
        <f>IF(SER_hh_tesh_in!O16=0,0,SER_hh_tesh_in!O16/SER_summary!O$27)</f>
        <v>16.499650412953809</v>
      </c>
      <c r="P16" s="130">
        <f>IF(SER_hh_tesh_in!P16=0,0,SER_hh_tesh_in!P16/SER_summary!P$27)</f>
        <v>15.151614003751222</v>
      </c>
      <c r="Q16" s="130">
        <f>IF(SER_hh_tesh_in!Q16=0,0,SER_hh_tesh_in!Q16/SER_summary!Q$27)</f>
        <v>22.016681059022869</v>
      </c>
      <c r="R16" s="130">
        <f>IF(SER_hh_tesh_in!R16=0,0,SER_hh_tesh_in!R16/SER_summary!R$27)</f>
        <v>21.353772212355992</v>
      </c>
      <c r="S16" s="130">
        <f>IF(SER_hh_tesh_in!S16=0,0,SER_hh_tesh_in!S16/SER_summary!S$27)</f>
        <v>24.587263268495349</v>
      </c>
      <c r="T16" s="130">
        <f>IF(SER_hh_tesh_in!T16=0,0,SER_hh_tesh_in!T16/SER_summary!T$27)</f>
        <v>17.352127810759885</v>
      </c>
      <c r="U16" s="130">
        <f>IF(SER_hh_tesh_in!U16=0,0,SER_hh_tesh_in!U16/SER_summary!U$27)</f>
        <v>17.770884351321691</v>
      </c>
      <c r="V16" s="130">
        <f>IF(SER_hh_tesh_in!V16=0,0,SER_hh_tesh_in!V16/SER_summary!V$27)</f>
        <v>19.388675072724784</v>
      </c>
      <c r="W16" s="130">
        <f>IF(SER_hh_tesh_in!W16=0,0,SER_hh_tesh_in!W16/SER_summary!W$27)</f>
        <v>16.454278226477449</v>
      </c>
      <c r="X16" s="130">
        <f>IF(SER_hh_tesh_in!X16=0,0,SER_hh_tesh_in!X16/SER_summary!X$27)</f>
        <v>21.1932561856914</v>
      </c>
      <c r="Y16" s="130">
        <f>IF(SER_hh_tesh_in!Y16=0,0,SER_hh_tesh_in!Y16/SER_summary!Y$27)</f>
        <v>21.651363937751768</v>
      </c>
      <c r="DA16" s="155" t="s">
        <v>861</v>
      </c>
    </row>
    <row r="17" spans="1:105" ht="12.95" customHeight="1" x14ac:dyDescent="0.25">
      <c r="A17" s="131" t="s">
        <v>73</v>
      </c>
      <c r="B17" s="132"/>
      <c r="C17" s="132">
        <f>IF(SER_hh_tesh_in!C17=0,0,SER_hh_tesh_in!C17/SER_summary!C$27)</f>
        <v>17.909434162327351</v>
      </c>
      <c r="D17" s="132">
        <f>IF(SER_hh_tesh_in!D17=0,0,SER_hh_tesh_in!D17/SER_summary!D$27)</f>
        <v>15.817369410501314</v>
      </c>
      <c r="E17" s="132">
        <f>IF(SER_hh_tesh_in!E17=0,0,SER_hh_tesh_in!E17/SER_summary!E$27)</f>
        <v>24.101558108008401</v>
      </c>
      <c r="F17" s="132">
        <f>IF(SER_hh_tesh_in!F17=0,0,SER_hh_tesh_in!F17/SER_summary!F$27)</f>
        <v>18.249964455667978</v>
      </c>
      <c r="G17" s="132">
        <f>IF(SER_hh_tesh_in!G17=0,0,SER_hh_tesh_in!G17/SER_summary!G$27)</f>
        <v>18.982649142241531</v>
      </c>
      <c r="H17" s="132">
        <f>IF(SER_hh_tesh_in!H17=0,0,SER_hh_tesh_in!H17/SER_summary!H$27)</f>
        <v>18.776457388421846</v>
      </c>
      <c r="I17" s="132">
        <f>IF(SER_hh_tesh_in!I17=0,0,SER_hh_tesh_in!I17/SER_summary!I$27)</f>
        <v>15.690863288902079</v>
      </c>
      <c r="J17" s="132">
        <f>IF(SER_hh_tesh_in!J17=0,0,SER_hh_tesh_in!J17/SER_summary!J$27)</f>
        <v>16.405343744761179</v>
      </c>
      <c r="K17" s="132">
        <f>IF(SER_hh_tesh_in!K17=0,0,SER_hh_tesh_in!K17/SER_summary!K$27)</f>
        <v>20.761106180453954</v>
      </c>
      <c r="L17" s="132">
        <f>IF(SER_hh_tesh_in!L17=0,0,SER_hh_tesh_in!L17/SER_summary!L$27)</f>
        <v>19.418547859687489</v>
      </c>
      <c r="M17" s="132">
        <f>IF(SER_hh_tesh_in!M17=0,0,SER_hh_tesh_in!M17/SER_summary!M$27)</f>
        <v>17.233367848317876</v>
      </c>
      <c r="N17" s="132">
        <f>IF(SER_hh_tesh_in!N17=0,0,SER_hh_tesh_in!N17/SER_summary!N$27)</f>
        <v>20.554272901027876</v>
      </c>
      <c r="O17" s="132">
        <f>IF(SER_hh_tesh_in!O17=0,0,SER_hh_tesh_in!O17/SER_summary!O$27)</f>
        <v>16.511800492804969</v>
      </c>
      <c r="P17" s="132">
        <f>IF(SER_hh_tesh_in!P17=0,0,SER_hh_tesh_in!P17/SER_summary!P$27)</f>
        <v>15.180041832613929</v>
      </c>
      <c r="Q17" s="132">
        <f>IF(SER_hh_tesh_in!Q17=0,0,SER_hh_tesh_in!Q17/SER_summary!Q$27)</f>
        <v>22.09210455622609</v>
      </c>
      <c r="R17" s="132">
        <f>IF(SER_hh_tesh_in!R17=0,0,SER_hh_tesh_in!R17/SER_summary!R$27)</f>
        <v>21.454135962548268</v>
      </c>
      <c r="S17" s="132">
        <f>IF(SER_hh_tesh_in!S17=0,0,SER_hh_tesh_in!S17/SER_summary!S$27)</f>
        <v>24.679575965033052</v>
      </c>
      <c r="T17" s="132">
        <f>IF(SER_hh_tesh_in!T17=0,0,SER_hh_tesh_in!T17/SER_summary!T$27)</f>
        <v>17.434088632418245</v>
      </c>
      <c r="U17" s="132">
        <f>IF(SER_hh_tesh_in!U17=0,0,SER_hh_tesh_in!U17/SER_summary!U$27)</f>
        <v>17.826914980265904</v>
      </c>
      <c r="V17" s="132">
        <f>IF(SER_hh_tesh_in!V17=0,0,SER_hh_tesh_in!V17/SER_summary!V$27)</f>
        <v>17.943638016822565</v>
      </c>
      <c r="W17" s="132">
        <f>IF(SER_hh_tesh_in!W17=0,0,SER_hh_tesh_in!W17/SER_summary!W$27)</f>
        <v>15.573187797514054</v>
      </c>
      <c r="X17" s="132">
        <f>IF(SER_hh_tesh_in!X17=0,0,SER_hh_tesh_in!X17/SER_summary!X$27)</f>
        <v>24.602352495021815</v>
      </c>
      <c r="Y17" s="132">
        <f>IF(SER_hh_tesh_in!Y17=0,0,SER_hh_tesh_in!Y17/SER_summary!Y$27)</f>
        <v>22.826311865478218</v>
      </c>
      <c r="DA17" s="156" t="s">
        <v>862</v>
      </c>
    </row>
    <row r="18" spans="1:105" ht="12" customHeight="1" x14ac:dyDescent="0.25">
      <c r="A18" s="131" t="s">
        <v>72</v>
      </c>
      <c r="B18" s="132"/>
      <c r="C18" s="132">
        <f>IF(SER_hh_tesh_in!C18=0,0,SER_hh_tesh_in!C18/SER_summary!C$27)</f>
        <v>17.910016712245564</v>
      </c>
      <c r="D18" s="132">
        <f>IF(SER_hh_tesh_in!D18=0,0,SER_hh_tesh_in!D18/SER_summary!D$27)</f>
        <v>15.828948857347605</v>
      </c>
      <c r="E18" s="132">
        <f>IF(SER_hh_tesh_in!E18=0,0,SER_hh_tesh_in!E18/SER_summary!E$27)</f>
        <v>20.335869119359803</v>
      </c>
      <c r="F18" s="132">
        <f>IF(SER_hh_tesh_in!F18=0,0,SER_hh_tesh_in!F18/SER_summary!F$27)</f>
        <v>18.176930514720741</v>
      </c>
      <c r="G18" s="132">
        <f>IF(SER_hh_tesh_in!G18=0,0,SER_hh_tesh_in!G18/SER_summary!G$27)</f>
        <v>18.916161143700194</v>
      </c>
      <c r="H18" s="132">
        <f>IF(SER_hh_tesh_in!H18=0,0,SER_hh_tesh_in!H18/SER_summary!H$27)</f>
        <v>21.081835817429585</v>
      </c>
      <c r="I18" s="132">
        <f>IF(SER_hh_tesh_in!I18=0,0,SER_hh_tesh_in!I18/SER_summary!I$27)</f>
        <v>15.653676141350202</v>
      </c>
      <c r="J18" s="132">
        <f>IF(SER_hh_tesh_in!J18=0,0,SER_hh_tesh_in!J18/SER_summary!J$27)</f>
        <v>16.371958911260112</v>
      </c>
      <c r="K18" s="132">
        <f>IF(SER_hh_tesh_in!K18=0,0,SER_hh_tesh_in!K18/SER_summary!K$27)</f>
        <v>20.743970415986688</v>
      </c>
      <c r="L18" s="132">
        <f>IF(SER_hh_tesh_in!L18=0,0,SER_hh_tesh_in!L18/SER_summary!L$27)</f>
        <v>19.395049141743495</v>
      </c>
      <c r="M18" s="132">
        <f>IF(SER_hh_tesh_in!M18=0,0,SER_hh_tesh_in!M18/SER_summary!M$27)</f>
        <v>17.228352413804153</v>
      </c>
      <c r="N18" s="132">
        <f>IF(SER_hh_tesh_in!N18=0,0,SER_hh_tesh_in!N18/SER_summary!N$27)</f>
        <v>20.539016601050854</v>
      </c>
      <c r="O18" s="132">
        <f>IF(SER_hh_tesh_in!O18=0,0,SER_hh_tesh_in!O18/SER_summary!O$27)</f>
        <v>16.499577909406465</v>
      </c>
      <c r="P18" s="132">
        <f>IF(SER_hh_tesh_in!P18=0,0,SER_hh_tesh_in!P18/SER_summary!P$27)</f>
        <v>15.151482716449525</v>
      </c>
      <c r="Q18" s="132">
        <f>IF(SER_hh_tesh_in!Q18=0,0,SER_hh_tesh_in!Q18/SER_summary!Q$27)</f>
        <v>22.016262432046773</v>
      </c>
      <c r="R18" s="132">
        <f>IF(SER_hh_tesh_in!R18=0,0,SER_hh_tesh_in!R18/SER_summary!R$27)</f>
        <v>21.353138500514635</v>
      </c>
      <c r="S18" s="132">
        <f>IF(SER_hh_tesh_in!S18=0,0,SER_hh_tesh_in!S18/SER_summary!S$27)</f>
        <v>24.586827066478868</v>
      </c>
      <c r="T18" s="132">
        <f>IF(SER_hh_tesh_in!T18=0,0,SER_hh_tesh_in!T18/SER_summary!T$27)</f>
        <v>17.351391237468619</v>
      </c>
      <c r="U18" s="132">
        <f>IF(SER_hh_tesh_in!U18=0,0,SER_hh_tesh_in!U18/SER_summary!U$27)</f>
        <v>17.770571225022739</v>
      </c>
      <c r="V18" s="132">
        <f>IF(SER_hh_tesh_in!V18=0,0,SER_hh_tesh_in!V18/SER_summary!V$27)</f>
        <v>19.397283764606794</v>
      </c>
      <c r="W18" s="132">
        <f>IF(SER_hh_tesh_in!W18=0,0,SER_hh_tesh_in!W18/SER_summary!W$27)</f>
        <v>16.459172666844829</v>
      </c>
      <c r="X18" s="132">
        <f>IF(SER_hh_tesh_in!X18=0,0,SER_hh_tesh_in!X18/SER_summary!X$27)</f>
        <v>21.17620987934772</v>
      </c>
      <c r="Y18" s="132">
        <f>IF(SER_hh_tesh_in!Y18=0,0,SER_hh_tesh_in!Y18/SER_summary!Y$27)</f>
        <v>21.644553950789579</v>
      </c>
      <c r="DA18" s="156" t="s">
        <v>863</v>
      </c>
    </row>
    <row r="19" spans="1:105" ht="12.95" customHeight="1" x14ac:dyDescent="0.25">
      <c r="A19" s="129" t="s">
        <v>35</v>
      </c>
      <c r="B19" s="130"/>
      <c r="C19" s="130">
        <f>IF(SER_hh_tesh_in!C19=0,0,SER_hh_tesh_in!C19/SER_summary!C$27)</f>
        <v>3.6815191261877054</v>
      </c>
      <c r="D19" s="130">
        <f>IF(SER_hh_tesh_in!D19=0,0,SER_hh_tesh_in!D19/SER_summary!D$27)</f>
        <v>3.8516468681076108</v>
      </c>
      <c r="E19" s="130">
        <f>IF(SER_hh_tesh_in!E19=0,0,SER_hh_tesh_in!E19/SER_summary!E$27)</f>
        <v>3.9618179111855309</v>
      </c>
      <c r="F19" s="130">
        <f>IF(SER_hh_tesh_in!F19=0,0,SER_hh_tesh_in!F19/SER_summary!F$27)</f>
        <v>3.9934430725609</v>
      </c>
      <c r="G19" s="130">
        <f>IF(SER_hh_tesh_in!G19=0,0,SER_hh_tesh_in!G19/SER_summary!G$27)</f>
        <v>3.7508521514974422</v>
      </c>
      <c r="H19" s="130">
        <f>IF(SER_hh_tesh_in!H19=0,0,SER_hh_tesh_in!H19/SER_summary!H$27)</f>
        <v>4.527572612016268</v>
      </c>
      <c r="I19" s="130">
        <f>IF(SER_hh_tesh_in!I19=0,0,SER_hh_tesh_in!I19/SER_summary!I$27)</f>
        <v>4.1459296853499703</v>
      </c>
      <c r="J19" s="130">
        <f>IF(SER_hh_tesh_in!J19=0,0,SER_hh_tesh_in!J19/SER_summary!J$27)</f>
        <v>4.1192631110822537</v>
      </c>
      <c r="K19" s="130">
        <f>IF(SER_hh_tesh_in!K19=0,0,SER_hh_tesh_in!K19/SER_summary!K$27)</f>
        <v>4.1484422772186251</v>
      </c>
      <c r="L19" s="130">
        <f>IF(SER_hh_tesh_in!L19=0,0,SER_hh_tesh_in!L19/SER_summary!L$27)</f>
        <v>4.1756693261435318</v>
      </c>
      <c r="M19" s="130">
        <f>IF(SER_hh_tesh_in!M19=0,0,SER_hh_tesh_in!M19/SER_summary!M$27)</f>
        <v>4.1852068775233375</v>
      </c>
      <c r="N19" s="130">
        <f>IF(SER_hh_tesh_in!N19=0,0,SER_hh_tesh_in!N19/SER_summary!N$27)</f>
        <v>4.111682570370907</v>
      </c>
      <c r="O19" s="130">
        <f>IF(SER_hh_tesh_in!O19=0,0,SER_hh_tesh_in!O19/SER_summary!O$27)</f>
        <v>4.1639838329575136</v>
      </c>
      <c r="P19" s="130">
        <f>IF(SER_hh_tesh_in!P19=0,0,SER_hh_tesh_in!P19/SER_summary!P$27)</f>
        <v>4.3595850102226734</v>
      </c>
      <c r="Q19" s="130">
        <f>IF(SER_hh_tesh_in!Q19=0,0,SER_hh_tesh_in!Q19/SER_summary!Q$27)</f>
        <v>4.0508586756657445</v>
      </c>
      <c r="R19" s="130">
        <f>IF(SER_hh_tesh_in!R19=0,0,SER_hh_tesh_in!R19/SER_summary!R$27)</f>
        <v>3.9527119958511396</v>
      </c>
      <c r="S19" s="130">
        <f>IF(SER_hh_tesh_in!S19=0,0,SER_hh_tesh_in!S19/SER_summary!S$27)</f>
        <v>3.7963541968119086</v>
      </c>
      <c r="T19" s="130">
        <f>IF(SER_hh_tesh_in!T19=0,0,SER_hh_tesh_in!T19/SER_summary!T$27)</f>
        <v>3.9603364755958261</v>
      </c>
      <c r="U19" s="130">
        <f>IF(SER_hh_tesh_in!U19=0,0,SER_hh_tesh_in!U19/SER_summary!U$27)</f>
        <v>3.9152457172046709</v>
      </c>
      <c r="V19" s="130">
        <f>IF(SER_hh_tesh_in!V19=0,0,SER_hh_tesh_in!V19/SER_summary!V$27)</f>
        <v>3.5674084207739982</v>
      </c>
      <c r="W19" s="130">
        <f>IF(SER_hh_tesh_in!W19=0,0,SER_hh_tesh_in!W19/SER_summary!W$27)</f>
        <v>3.7355057886827723</v>
      </c>
      <c r="X19" s="130">
        <f>IF(SER_hh_tesh_in!X19=0,0,SER_hh_tesh_in!X19/SER_summary!X$27)</f>
        <v>3.6596253870030893</v>
      </c>
      <c r="Y19" s="130">
        <f>IF(SER_hh_tesh_in!Y19=0,0,SER_hh_tesh_in!Y19/SER_summary!Y$27)</f>
        <v>3.6776978115574366</v>
      </c>
      <c r="DA19" s="155" t="s">
        <v>864</v>
      </c>
    </row>
    <row r="20" spans="1:105" ht="12" customHeight="1" x14ac:dyDescent="0.25">
      <c r="A20" s="131" t="s">
        <v>29</v>
      </c>
      <c r="B20" s="132"/>
      <c r="C20" s="132">
        <f>IF(SER_hh_tesh_in!C20=0,0,SER_hh_tesh_in!C20/SER_summary!C$27)</f>
        <v>0</v>
      </c>
      <c r="D20" s="132">
        <f>IF(SER_hh_tesh_in!D20=0,0,SER_hh_tesh_in!D20/SER_summary!D$27)</f>
        <v>0</v>
      </c>
      <c r="E20" s="132">
        <f>IF(SER_hh_tesh_in!E20=0,0,SER_hh_tesh_in!E20/SER_summary!E$27)</f>
        <v>0</v>
      </c>
      <c r="F20" s="132">
        <f>IF(SER_hh_tesh_in!F20=0,0,SER_hh_tesh_in!F20/SER_summary!F$27)</f>
        <v>0</v>
      </c>
      <c r="G20" s="132">
        <f>IF(SER_hh_tesh_in!G20=0,0,SER_hh_tesh_in!G20/SER_summary!G$27)</f>
        <v>0</v>
      </c>
      <c r="H20" s="132">
        <f>IF(SER_hh_tesh_in!H20=0,0,SER_hh_tesh_in!H20/SER_summary!H$27)</f>
        <v>0</v>
      </c>
      <c r="I20" s="132">
        <f>IF(SER_hh_tesh_in!I20=0,0,SER_hh_tesh_in!I20/SER_summary!I$27)</f>
        <v>0</v>
      </c>
      <c r="J20" s="132">
        <f>IF(SER_hh_tesh_in!J20=0,0,SER_hh_tesh_in!J20/SER_summary!J$27)</f>
        <v>0</v>
      </c>
      <c r="K20" s="132">
        <f>IF(SER_hh_tesh_in!K20=0,0,SER_hh_tesh_in!K20/SER_summary!K$27)</f>
        <v>0</v>
      </c>
      <c r="L20" s="132">
        <f>IF(SER_hh_tesh_in!L20=0,0,SER_hh_tesh_in!L20/SER_summary!L$27)</f>
        <v>0</v>
      </c>
      <c r="M20" s="132">
        <f>IF(SER_hh_tesh_in!M20=0,0,SER_hh_tesh_in!M20/SER_summary!M$27)</f>
        <v>0</v>
      </c>
      <c r="N20" s="132">
        <f>IF(SER_hh_tesh_in!N20=0,0,SER_hh_tesh_in!N20/SER_summary!N$27)</f>
        <v>0</v>
      </c>
      <c r="O20" s="132">
        <f>IF(SER_hh_tesh_in!O20=0,0,SER_hh_tesh_in!O20/SER_summary!O$27)</f>
        <v>0</v>
      </c>
      <c r="P20" s="132">
        <f>IF(SER_hh_tesh_in!P20=0,0,SER_hh_tesh_in!P20/SER_summary!P$27)</f>
        <v>0</v>
      </c>
      <c r="Q20" s="132">
        <f>IF(SER_hh_tesh_in!Q20=0,0,SER_hh_tesh_in!Q20/SER_summary!Q$27)</f>
        <v>0</v>
      </c>
      <c r="R20" s="132">
        <f>IF(SER_hh_tesh_in!R20=0,0,SER_hh_tesh_in!R20/SER_summary!R$27)</f>
        <v>0</v>
      </c>
      <c r="S20" s="132">
        <f>IF(SER_hh_tesh_in!S20=0,0,SER_hh_tesh_in!S20/SER_summary!S$27)</f>
        <v>0</v>
      </c>
      <c r="T20" s="132">
        <f>IF(SER_hh_tesh_in!T20=0,0,SER_hh_tesh_in!T20/SER_summary!T$27)</f>
        <v>0</v>
      </c>
      <c r="U20" s="132">
        <f>IF(SER_hh_tesh_in!U20=0,0,SER_hh_tesh_in!U20/SER_summary!U$27)</f>
        <v>0</v>
      </c>
      <c r="V20" s="132">
        <f>IF(SER_hh_tesh_in!V20=0,0,SER_hh_tesh_in!V20/SER_summary!V$27)</f>
        <v>0</v>
      </c>
      <c r="W20" s="132">
        <f>IF(SER_hh_tesh_in!W20=0,0,SER_hh_tesh_in!W20/SER_summary!W$27)</f>
        <v>0</v>
      </c>
      <c r="X20" s="132">
        <f>IF(SER_hh_tesh_in!X20=0,0,SER_hh_tesh_in!X20/SER_summary!X$27)</f>
        <v>0</v>
      </c>
      <c r="Y20" s="132">
        <f>IF(SER_hh_tesh_in!Y20=0,0,SER_hh_tesh_in!Y20/SER_summary!Y$27)</f>
        <v>0</v>
      </c>
      <c r="DA20" s="156" t="s">
        <v>865</v>
      </c>
    </row>
    <row r="21" spans="1:105" s="2" customFormat="1" ht="12" customHeight="1" x14ac:dyDescent="0.25">
      <c r="A21" s="131" t="s">
        <v>52</v>
      </c>
      <c r="B21" s="132"/>
      <c r="C21" s="132">
        <f>IF(SER_hh_tesh_in!C21=0,0,SER_hh_tesh_in!C21/SER_summary!C$27)</f>
        <v>3.5193760862994865</v>
      </c>
      <c r="D21" s="132">
        <f>IF(SER_hh_tesh_in!D21=0,0,SER_hh_tesh_in!D21/SER_summary!D$27)</f>
        <v>3.8378626042865056</v>
      </c>
      <c r="E21" s="132">
        <f>IF(SER_hh_tesh_in!E21=0,0,SER_hh_tesh_in!E21/SER_summary!E$27)</f>
        <v>3.9162812545890238</v>
      </c>
      <c r="F21" s="132">
        <f>IF(SER_hh_tesh_in!F21=0,0,SER_hh_tesh_in!F21/SER_summary!F$27)</f>
        <v>3.8374897976821272</v>
      </c>
      <c r="G21" s="132">
        <f>IF(SER_hh_tesh_in!G21=0,0,SER_hh_tesh_in!G21/SER_summary!G$27)</f>
        <v>3.8466775886041651</v>
      </c>
      <c r="H21" s="132">
        <f>IF(SER_hh_tesh_in!H21=0,0,SER_hh_tesh_in!H21/SER_summary!H$27)</f>
        <v>3.9433829751373781</v>
      </c>
      <c r="I21" s="132">
        <f>IF(SER_hh_tesh_in!I21=0,0,SER_hh_tesh_in!I21/SER_summary!I$27)</f>
        <v>4.05363377745799</v>
      </c>
      <c r="J21" s="132">
        <f>IF(SER_hh_tesh_in!J21=0,0,SER_hh_tesh_in!J21/SER_summary!J$27)</f>
        <v>4.00208069648642</v>
      </c>
      <c r="K21" s="132">
        <f>IF(SER_hh_tesh_in!K21=0,0,SER_hh_tesh_in!K21/SER_summary!K$27)</f>
        <v>3.192422093207461</v>
      </c>
      <c r="L21" s="132">
        <f>IF(SER_hh_tesh_in!L21=0,0,SER_hh_tesh_in!L21/SER_summary!L$27)</f>
        <v>4.1690494552220487</v>
      </c>
      <c r="M21" s="132">
        <f>IF(SER_hh_tesh_in!M21=0,0,SER_hh_tesh_in!M21/SER_summary!M$27)</f>
        <v>4.0609916190683748</v>
      </c>
      <c r="N21" s="132">
        <f>IF(SER_hh_tesh_in!N21=0,0,SER_hh_tesh_in!N21/SER_summary!N$27)</f>
        <v>4.1409489534155339</v>
      </c>
      <c r="O21" s="132">
        <f>IF(SER_hh_tesh_in!O21=0,0,SER_hh_tesh_in!O21/SER_summary!O$27)</f>
        <v>4.1784157223014935</v>
      </c>
      <c r="P21" s="132">
        <f>IF(SER_hh_tesh_in!P21=0,0,SER_hh_tesh_in!P21/SER_summary!P$27)</f>
        <v>3.6120923037465755</v>
      </c>
      <c r="Q21" s="132">
        <f>IF(SER_hh_tesh_in!Q21=0,0,SER_hh_tesh_in!Q21/SER_summary!Q$27)</f>
        <v>3.8821795860034758</v>
      </c>
      <c r="R21" s="132">
        <f>IF(SER_hh_tesh_in!R21=0,0,SER_hh_tesh_in!R21/SER_summary!R$27)</f>
        <v>3.8959803299105564</v>
      </c>
      <c r="S21" s="132">
        <f>IF(SER_hh_tesh_in!S21=0,0,SER_hh_tesh_in!S21/SER_summary!S$27)</f>
        <v>3.837640279288439</v>
      </c>
      <c r="T21" s="132">
        <f>IF(SER_hh_tesh_in!T21=0,0,SER_hh_tesh_in!T21/SER_summary!T$27)</f>
        <v>0</v>
      </c>
      <c r="U21" s="132">
        <f>IF(SER_hh_tesh_in!U21=0,0,SER_hh_tesh_in!U21/SER_summary!U$27)</f>
        <v>0</v>
      </c>
      <c r="V21" s="132">
        <f>IF(SER_hh_tesh_in!V21=0,0,SER_hh_tesh_in!V21/SER_summary!V$27)</f>
        <v>0</v>
      </c>
      <c r="W21" s="132">
        <f>IF(SER_hh_tesh_in!W21=0,0,SER_hh_tesh_in!W21/SER_summary!W$27)</f>
        <v>3.1311539411691705</v>
      </c>
      <c r="X21" s="132">
        <f>IF(SER_hh_tesh_in!X21=0,0,SER_hh_tesh_in!X21/SER_summary!X$27)</f>
        <v>3.2541117575554437</v>
      </c>
      <c r="Y21" s="132">
        <f>IF(SER_hh_tesh_in!Y21=0,0,SER_hh_tesh_in!Y21/SER_summary!Y$27)</f>
        <v>4.0645016280683208</v>
      </c>
      <c r="DA21" s="156" t="s">
        <v>866</v>
      </c>
    </row>
    <row r="22" spans="1:105" ht="12" customHeight="1" x14ac:dyDescent="0.25">
      <c r="A22" s="131" t="s">
        <v>161</v>
      </c>
      <c r="B22" s="132"/>
      <c r="C22" s="132">
        <f>IF(SER_hh_tesh_in!C22=0,0,SER_hh_tesh_in!C22/SER_summary!C$27)</f>
        <v>3.6038778270852232</v>
      </c>
      <c r="D22" s="132">
        <f>IF(SER_hh_tesh_in!D22=0,0,SER_hh_tesh_in!D22/SER_summary!D$27)</f>
        <v>3.8284942379722677</v>
      </c>
      <c r="E22" s="132">
        <f>IF(SER_hh_tesh_in!E22=0,0,SER_hh_tesh_in!E22/SER_summary!E$27)</f>
        <v>3.8326486722703859</v>
      </c>
      <c r="F22" s="132">
        <f>IF(SER_hh_tesh_in!F22=0,0,SER_hh_tesh_in!F22/SER_summary!F$27)</f>
        <v>3.9535717533506332</v>
      </c>
      <c r="G22" s="132">
        <f>IF(SER_hh_tesh_in!G22=0,0,SER_hh_tesh_in!G22/SER_summary!G$27)</f>
        <v>3.9743273049794534</v>
      </c>
      <c r="H22" s="132">
        <f>IF(SER_hh_tesh_in!H22=0,0,SER_hh_tesh_in!H22/SER_summary!H$27)</f>
        <v>3.9185083028202974</v>
      </c>
      <c r="I22" s="132">
        <f>IF(SER_hh_tesh_in!I22=0,0,SER_hh_tesh_in!I22/SER_summary!I$27)</f>
        <v>4.0333453143706741</v>
      </c>
      <c r="J22" s="132">
        <f>IF(SER_hh_tesh_in!J22=0,0,SER_hh_tesh_in!J22/SER_summary!J$27)</f>
        <v>3.9337327090366876</v>
      </c>
      <c r="K22" s="132">
        <f>IF(SER_hh_tesh_in!K22=0,0,SER_hh_tesh_in!K22/SER_summary!K$27)</f>
        <v>3.0286071542546833</v>
      </c>
      <c r="L22" s="132">
        <f>IF(SER_hh_tesh_in!L22=0,0,SER_hh_tesh_in!L22/SER_summary!L$27)</f>
        <v>4.1023263144201945</v>
      </c>
      <c r="M22" s="132">
        <f>IF(SER_hh_tesh_in!M22=0,0,SER_hh_tesh_in!M22/SER_summary!M$27)</f>
        <v>4.0069089646707212</v>
      </c>
      <c r="N22" s="132">
        <f>IF(SER_hh_tesh_in!N22=0,0,SER_hh_tesh_in!N22/SER_summary!N$27)</f>
        <v>4.1412630187695134</v>
      </c>
      <c r="O22" s="132">
        <f>IF(SER_hh_tesh_in!O22=0,0,SER_hh_tesh_in!O22/SER_summary!O$27)</f>
        <v>4.1184095354245205</v>
      </c>
      <c r="P22" s="132">
        <f>IF(SER_hh_tesh_in!P22=0,0,SER_hh_tesh_in!P22/SER_summary!P$27)</f>
        <v>3.500866912634141</v>
      </c>
      <c r="Q22" s="132">
        <f>IF(SER_hh_tesh_in!Q22=0,0,SER_hh_tesh_in!Q22/SER_summary!Q$27)</f>
        <v>3.9294876119790079</v>
      </c>
      <c r="R22" s="132">
        <f>IF(SER_hh_tesh_in!R22=0,0,SER_hh_tesh_in!R22/SER_summary!R$27)</f>
        <v>3.9499307126265801</v>
      </c>
      <c r="S22" s="132">
        <f>IF(SER_hh_tesh_in!S22=0,0,SER_hh_tesh_in!S22/SER_summary!S$27)</f>
        <v>3.8017283199520282</v>
      </c>
      <c r="T22" s="132">
        <f>IF(SER_hh_tesh_in!T22=0,0,SER_hh_tesh_in!T22/SER_summary!T$27)</f>
        <v>3.8615255901434384</v>
      </c>
      <c r="U22" s="132">
        <f>IF(SER_hh_tesh_in!U22=0,0,SER_hh_tesh_in!U22/SER_summary!U$27)</f>
        <v>3.701679864376231</v>
      </c>
      <c r="V22" s="132">
        <f>IF(SER_hh_tesh_in!V22=0,0,SER_hh_tesh_in!V22/SER_summary!V$27)</f>
        <v>3.3107626203180827</v>
      </c>
      <c r="W22" s="132">
        <f>IF(SER_hh_tesh_in!W22=0,0,SER_hh_tesh_in!W22/SER_summary!W$27)</f>
        <v>3.7697295505062942</v>
      </c>
      <c r="X22" s="132">
        <f>IF(SER_hh_tesh_in!X22=0,0,SER_hh_tesh_in!X22/SER_summary!X$27)</f>
        <v>3.5874734415173877</v>
      </c>
      <c r="Y22" s="132">
        <f>IF(SER_hh_tesh_in!Y22=0,0,SER_hh_tesh_in!Y22/SER_summary!Y$27)</f>
        <v>3.5893345676334087</v>
      </c>
      <c r="DA22" s="156" t="s">
        <v>867</v>
      </c>
    </row>
    <row r="23" spans="1:105" ht="12" customHeight="1" x14ac:dyDescent="0.25">
      <c r="A23" s="131" t="s">
        <v>149</v>
      </c>
      <c r="B23" s="132"/>
      <c r="C23" s="132">
        <f>IF(SER_hh_tesh_in!C23=0,0,SER_hh_tesh_in!C23/SER_summary!C$27)</f>
        <v>0</v>
      </c>
      <c r="D23" s="132">
        <f>IF(SER_hh_tesh_in!D23=0,0,SER_hh_tesh_in!D23/SER_summary!D$27)</f>
        <v>0</v>
      </c>
      <c r="E23" s="132">
        <f>IF(SER_hh_tesh_in!E23=0,0,SER_hh_tesh_in!E23/SER_summary!E$27)</f>
        <v>0</v>
      </c>
      <c r="F23" s="132">
        <f>IF(SER_hh_tesh_in!F23=0,0,SER_hh_tesh_in!F23/SER_summary!F$27)</f>
        <v>3.2294264232647469</v>
      </c>
      <c r="G23" s="132">
        <f>IF(SER_hh_tesh_in!G23=0,0,SER_hh_tesh_in!G23/SER_summary!G$27)</f>
        <v>2.8920423676144793</v>
      </c>
      <c r="H23" s="132">
        <f>IF(SER_hh_tesh_in!H23=0,0,SER_hh_tesh_in!H23/SER_summary!H$27)</f>
        <v>4.8123234723604877</v>
      </c>
      <c r="I23" s="132">
        <f>IF(SER_hh_tesh_in!I23=0,0,SER_hh_tesh_in!I23/SER_summary!I$27)</f>
        <v>4.3699795996487376</v>
      </c>
      <c r="J23" s="132">
        <f>IF(SER_hh_tesh_in!J23=0,0,SER_hh_tesh_in!J23/SER_summary!J$27)</f>
        <v>4.0325334748379982</v>
      </c>
      <c r="K23" s="132">
        <f>IF(SER_hh_tesh_in!K23=0,0,SER_hh_tesh_in!K23/SER_summary!K$27)</f>
        <v>2.8002698765773135</v>
      </c>
      <c r="L23" s="132">
        <f>IF(SER_hh_tesh_in!L23=0,0,SER_hh_tesh_in!L23/SER_summary!L$27)</f>
        <v>4.1349644772333969</v>
      </c>
      <c r="M23" s="132">
        <f>IF(SER_hh_tesh_in!M23=0,0,SER_hh_tesh_in!M23/SER_summary!M$27)</f>
        <v>3.8672224492394509</v>
      </c>
      <c r="N23" s="132">
        <f>IF(SER_hh_tesh_in!N23=0,0,SER_hh_tesh_in!N23/SER_summary!N$27)</f>
        <v>3.9843996388392351</v>
      </c>
      <c r="O23" s="132">
        <f>IF(SER_hh_tesh_in!O23=0,0,SER_hh_tesh_in!O23/SER_summary!O$27)</f>
        <v>4.1546953491561096</v>
      </c>
      <c r="P23" s="132">
        <f>IF(SER_hh_tesh_in!P23=0,0,SER_hh_tesh_in!P23/SER_summary!P$27)</f>
        <v>3.4669311131830041</v>
      </c>
      <c r="Q23" s="132">
        <f>IF(SER_hh_tesh_in!Q23=0,0,SER_hh_tesh_in!Q23/SER_summary!Q$27)</f>
        <v>3.6792357785211207</v>
      </c>
      <c r="R23" s="132">
        <f>IF(SER_hh_tesh_in!R23=0,0,SER_hh_tesh_in!R23/SER_summary!R$27)</f>
        <v>3.7549220288422283</v>
      </c>
      <c r="S23" s="132">
        <f>IF(SER_hh_tesh_in!S23=0,0,SER_hh_tesh_in!S23/SER_summary!S$27)</f>
        <v>3.7512092600340985</v>
      </c>
      <c r="T23" s="132">
        <f>IF(SER_hh_tesh_in!T23=0,0,SER_hh_tesh_in!T23/SER_summary!T$27)</f>
        <v>3.8002723038043307</v>
      </c>
      <c r="U23" s="132">
        <f>IF(SER_hh_tesh_in!U23=0,0,SER_hh_tesh_in!U23/SER_summary!U$27)</f>
        <v>3.7814178271386139</v>
      </c>
      <c r="V23" s="132">
        <f>IF(SER_hh_tesh_in!V23=0,0,SER_hh_tesh_in!V23/SER_summary!V$27)</f>
        <v>3.2809800058426899</v>
      </c>
      <c r="W23" s="132">
        <f>IF(SER_hh_tesh_in!W23=0,0,SER_hh_tesh_in!W23/SER_summary!W$27)</f>
        <v>3.7883640826087559</v>
      </c>
      <c r="X23" s="132">
        <f>IF(SER_hh_tesh_in!X23=0,0,SER_hh_tesh_in!X23/SER_summary!X$27)</f>
        <v>3.5808456311299532</v>
      </c>
      <c r="Y23" s="132">
        <f>IF(SER_hh_tesh_in!Y23=0,0,SER_hh_tesh_in!Y23/SER_summary!Y$27)</f>
        <v>3.6467287275581728</v>
      </c>
      <c r="DA23" s="156" t="s">
        <v>868</v>
      </c>
    </row>
    <row r="24" spans="1:105" ht="12" customHeight="1" x14ac:dyDescent="0.25">
      <c r="A24" s="131" t="s">
        <v>128</v>
      </c>
      <c r="B24" s="132"/>
      <c r="C24" s="132">
        <f>IF(SER_hh_tesh_in!C24=0,0,SER_hh_tesh_in!C24/SER_summary!C$27)</f>
        <v>0</v>
      </c>
      <c r="D24" s="132">
        <f>IF(SER_hh_tesh_in!D24=0,0,SER_hh_tesh_in!D24/SER_summary!D$27)</f>
        <v>0</v>
      </c>
      <c r="E24" s="132">
        <f>IF(SER_hh_tesh_in!E24=0,0,SER_hh_tesh_in!E24/SER_summary!E$27)</f>
        <v>0</v>
      </c>
      <c r="F24" s="132">
        <f>IF(SER_hh_tesh_in!F24=0,0,SER_hh_tesh_in!F24/SER_summary!F$27)</f>
        <v>0</v>
      </c>
      <c r="G24" s="132">
        <f>IF(SER_hh_tesh_in!G24=0,0,SER_hh_tesh_in!G24/SER_summary!G$27)</f>
        <v>0</v>
      </c>
      <c r="H24" s="132">
        <f>IF(SER_hh_tesh_in!H24=0,0,SER_hh_tesh_in!H24/SER_summary!H$27)</f>
        <v>0</v>
      </c>
      <c r="I24" s="132">
        <f>IF(SER_hh_tesh_in!I24=0,0,SER_hh_tesh_in!I24/SER_summary!I$27)</f>
        <v>0</v>
      </c>
      <c r="J24" s="132">
        <f>IF(SER_hh_tesh_in!J24=0,0,SER_hh_tesh_in!J24/SER_summary!J$27)</f>
        <v>0</v>
      </c>
      <c r="K24" s="132">
        <f>IF(SER_hh_tesh_in!K24=0,0,SER_hh_tesh_in!K24/SER_summary!K$27)</f>
        <v>0</v>
      </c>
      <c r="L24" s="132">
        <f>IF(SER_hh_tesh_in!L24=0,0,SER_hh_tesh_in!L24/SER_summary!L$27)</f>
        <v>0</v>
      </c>
      <c r="M24" s="132">
        <f>IF(SER_hh_tesh_in!M24=0,0,SER_hh_tesh_in!M24/SER_summary!M$27)</f>
        <v>0</v>
      </c>
      <c r="N24" s="132">
        <f>IF(SER_hh_tesh_in!N24=0,0,SER_hh_tesh_in!N24/SER_summary!N$27)</f>
        <v>0</v>
      </c>
      <c r="O24" s="132">
        <f>IF(SER_hh_tesh_in!O24=0,0,SER_hh_tesh_in!O24/SER_summary!O$27)</f>
        <v>0</v>
      </c>
      <c r="P24" s="132">
        <f>IF(SER_hh_tesh_in!P24=0,0,SER_hh_tesh_in!P24/SER_summary!P$27)</f>
        <v>0</v>
      </c>
      <c r="Q24" s="132">
        <f>IF(SER_hh_tesh_in!Q24=0,0,SER_hh_tesh_in!Q24/SER_summary!Q$27)</f>
        <v>0</v>
      </c>
      <c r="R24" s="132">
        <f>IF(SER_hh_tesh_in!R24=0,0,SER_hh_tesh_in!R24/SER_summary!R$27)</f>
        <v>0</v>
      </c>
      <c r="S24" s="132">
        <f>IF(SER_hh_tesh_in!S24=0,0,SER_hh_tesh_in!S24/SER_summary!S$27)</f>
        <v>0</v>
      </c>
      <c r="T24" s="132">
        <f>IF(SER_hh_tesh_in!T24=0,0,SER_hh_tesh_in!T24/SER_summary!T$27)</f>
        <v>0</v>
      </c>
      <c r="U24" s="132">
        <f>IF(SER_hh_tesh_in!U24=0,0,SER_hh_tesh_in!U24/SER_summary!U$27)</f>
        <v>0</v>
      </c>
      <c r="V24" s="132">
        <f>IF(SER_hh_tesh_in!V24=0,0,SER_hh_tesh_in!V24/SER_summary!V$27)</f>
        <v>0</v>
      </c>
      <c r="W24" s="132">
        <f>IF(SER_hh_tesh_in!W24=0,0,SER_hh_tesh_in!W24/SER_summary!W$27)</f>
        <v>0</v>
      </c>
      <c r="X24" s="132">
        <f>IF(SER_hh_tesh_in!X24=0,0,SER_hh_tesh_in!X24/SER_summary!X$27)</f>
        <v>0</v>
      </c>
      <c r="Y24" s="132">
        <f>IF(SER_hh_tesh_in!Y24=0,0,SER_hh_tesh_in!Y24/SER_summary!Y$27)</f>
        <v>0</v>
      </c>
      <c r="DA24" s="156" t="s">
        <v>869</v>
      </c>
    </row>
    <row r="25" spans="1:105" ht="12" customHeight="1" x14ac:dyDescent="0.25">
      <c r="A25" s="131" t="s">
        <v>162</v>
      </c>
      <c r="B25" s="132"/>
      <c r="C25" s="132">
        <f>IF(SER_hh_tesh_in!C25=0,0,SER_hh_tesh_in!C25/SER_summary!C$27)</f>
        <v>0</v>
      </c>
      <c r="D25" s="132">
        <f>IF(SER_hh_tesh_in!D25=0,0,SER_hh_tesh_in!D25/SER_summary!D$27)</f>
        <v>0</v>
      </c>
      <c r="E25" s="132">
        <f>IF(SER_hh_tesh_in!E25=0,0,SER_hh_tesh_in!E25/SER_summary!E$27)</f>
        <v>0</v>
      </c>
      <c r="F25" s="132">
        <f>IF(SER_hh_tesh_in!F25=0,0,SER_hh_tesh_in!F25/SER_summary!F$27)</f>
        <v>0</v>
      </c>
      <c r="G25" s="132">
        <f>IF(SER_hh_tesh_in!G25=0,0,SER_hh_tesh_in!G25/SER_summary!G$27)</f>
        <v>0</v>
      </c>
      <c r="H25" s="132">
        <f>IF(SER_hh_tesh_in!H25=0,0,SER_hh_tesh_in!H25/SER_summary!H$27)</f>
        <v>0</v>
      </c>
      <c r="I25" s="132">
        <f>IF(SER_hh_tesh_in!I25=0,0,SER_hh_tesh_in!I25/SER_summary!I$27)</f>
        <v>0</v>
      </c>
      <c r="J25" s="132">
        <f>IF(SER_hh_tesh_in!J25=0,0,SER_hh_tesh_in!J25/SER_summary!J$27)</f>
        <v>0</v>
      </c>
      <c r="K25" s="132">
        <f>IF(SER_hh_tesh_in!K25=0,0,SER_hh_tesh_in!K25/SER_summary!K$27)</f>
        <v>0</v>
      </c>
      <c r="L25" s="132">
        <f>IF(SER_hh_tesh_in!L25=0,0,SER_hh_tesh_in!L25/SER_summary!L$27)</f>
        <v>0</v>
      </c>
      <c r="M25" s="132">
        <f>IF(SER_hh_tesh_in!M25=0,0,SER_hh_tesh_in!M25/SER_summary!M$27)</f>
        <v>0</v>
      </c>
      <c r="N25" s="132">
        <f>IF(SER_hh_tesh_in!N25=0,0,SER_hh_tesh_in!N25/SER_summary!N$27)</f>
        <v>0</v>
      </c>
      <c r="O25" s="132">
        <f>IF(SER_hh_tesh_in!O25=0,0,SER_hh_tesh_in!O25/SER_summary!O$27)</f>
        <v>0</v>
      </c>
      <c r="P25" s="132">
        <f>IF(SER_hh_tesh_in!P25=0,0,SER_hh_tesh_in!P25/SER_summary!P$27)</f>
        <v>0</v>
      </c>
      <c r="Q25" s="132">
        <f>IF(SER_hh_tesh_in!Q25=0,0,SER_hh_tesh_in!Q25/SER_summary!Q$27)</f>
        <v>0</v>
      </c>
      <c r="R25" s="132">
        <f>IF(SER_hh_tesh_in!R25=0,0,SER_hh_tesh_in!R25/SER_summary!R$27)</f>
        <v>0</v>
      </c>
      <c r="S25" s="132">
        <f>IF(SER_hh_tesh_in!S25=0,0,SER_hh_tesh_in!S25/SER_summary!S$27)</f>
        <v>0</v>
      </c>
      <c r="T25" s="132">
        <f>IF(SER_hh_tesh_in!T25=0,0,SER_hh_tesh_in!T25/SER_summary!T$27)</f>
        <v>0</v>
      </c>
      <c r="U25" s="132">
        <f>IF(SER_hh_tesh_in!U25=0,0,SER_hh_tesh_in!U25/SER_summary!U$27)</f>
        <v>0</v>
      </c>
      <c r="V25" s="132">
        <f>IF(SER_hh_tesh_in!V25=0,0,SER_hh_tesh_in!V25/SER_summary!V$27)</f>
        <v>0</v>
      </c>
      <c r="W25" s="132">
        <f>IF(SER_hh_tesh_in!W25=0,0,SER_hh_tesh_in!W25/SER_summary!W$27)</f>
        <v>0</v>
      </c>
      <c r="X25" s="132">
        <f>IF(SER_hh_tesh_in!X25=0,0,SER_hh_tesh_in!X25/SER_summary!X$27)</f>
        <v>0</v>
      </c>
      <c r="Y25" s="132">
        <f>IF(SER_hh_tesh_in!Y25=0,0,SER_hh_tesh_in!Y25/SER_summary!Y$27)</f>
        <v>0</v>
      </c>
      <c r="DA25" s="156" t="s">
        <v>870</v>
      </c>
    </row>
    <row r="26" spans="1:105" ht="12" customHeight="1" x14ac:dyDescent="0.25">
      <c r="A26" s="131" t="s">
        <v>24</v>
      </c>
      <c r="B26" s="65"/>
      <c r="C26" s="65">
        <f>IF(SER_hh_tesh_in!C26=0,0,SER_hh_tesh_in!C26/SER_summary!C$27)</f>
        <v>3.007064438765219</v>
      </c>
      <c r="D26" s="65">
        <f>IF(SER_hh_tesh_in!D26=0,0,SER_hh_tesh_in!D26/SER_summary!D$27)</f>
        <v>3.7121519271408867</v>
      </c>
      <c r="E26" s="65">
        <f>IF(SER_hh_tesh_in!E26=0,0,SER_hh_tesh_in!E26/SER_summary!E$27)</f>
        <v>3.368299749434883</v>
      </c>
      <c r="F26" s="65">
        <f>IF(SER_hh_tesh_in!F26=0,0,SER_hh_tesh_in!F26/SER_summary!F$27)</f>
        <v>3.5435177203451698</v>
      </c>
      <c r="G26" s="65">
        <f>IF(SER_hh_tesh_in!G26=0,0,SER_hh_tesh_in!G26/SER_summary!G$27)</f>
        <v>2.9822764860820206</v>
      </c>
      <c r="H26" s="65">
        <f>IF(SER_hh_tesh_in!H26=0,0,SER_hh_tesh_in!H26/SER_summary!H$27)</f>
        <v>2.394585580229136</v>
      </c>
      <c r="I26" s="65">
        <f>IF(SER_hh_tesh_in!I26=0,0,SER_hh_tesh_in!I26/SER_summary!I$27)</f>
        <v>3.3343407827592739</v>
      </c>
      <c r="J26" s="65">
        <f>IF(SER_hh_tesh_in!J26=0,0,SER_hh_tesh_in!J26/SER_summary!J$27)</f>
        <v>2.8747006012058254</v>
      </c>
      <c r="K26" s="65">
        <f>IF(SER_hh_tesh_in!K26=0,0,SER_hh_tesh_in!K26/SER_summary!K$27)</f>
        <v>0.25301803140378065</v>
      </c>
      <c r="L26" s="65">
        <f>IF(SER_hh_tesh_in!L26=0,0,SER_hh_tesh_in!L26/SER_summary!L$27)</f>
        <v>2.2675961823558191</v>
      </c>
      <c r="M26" s="65">
        <f>IF(SER_hh_tesh_in!M26=0,0,SER_hh_tesh_in!M26/SER_summary!M$27)</f>
        <v>0.47159030590433426</v>
      </c>
      <c r="N26" s="65">
        <f>IF(SER_hh_tesh_in!N26=0,0,SER_hh_tesh_in!N26/SER_summary!N$27)</f>
        <v>0.25543404390665087</v>
      </c>
      <c r="O26" s="65">
        <f>IF(SER_hh_tesh_in!O26=0,0,SER_hh_tesh_in!O26/SER_summary!O$27)</f>
        <v>3.6059391024655967</v>
      </c>
      <c r="P26" s="65">
        <f>IF(SER_hh_tesh_in!P26=0,0,SER_hh_tesh_in!P26/SER_summary!P$27)</f>
        <v>0</v>
      </c>
      <c r="Q26" s="65">
        <f>IF(SER_hh_tesh_in!Q26=0,0,SER_hh_tesh_in!Q26/SER_summary!Q$27)</f>
        <v>3.8746762933844263E-2</v>
      </c>
      <c r="R26" s="65">
        <f>IF(SER_hh_tesh_in!R26=0,0,SER_hh_tesh_in!R26/SER_summary!R$27)</f>
        <v>0.66947347318989625</v>
      </c>
      <c r="S26" s="65">
        <f>IF(SER_hh_tesh_in!S26=0,0,SER_hh_tesh_in!S26/SER_summary!S$27)</f>
        <v>3.4699539182120279E-2</v>
      </c>
      <c r="T26" s="65">
        <f>IF(SER_hh_tesh_in!T26=0,0,SER_hh_tesh_in!T26/SER_summary!T$27)</f>
        <v>3.6922529665820489</v>
      </c>
      <c r="U26" s="65">
        <f>IF(SER_hh_tesh_in!U26=0,0,SER_hh_tesh_in!U26/SER_summary!U$27)</f>
        <v>0.27904954868965021</v>
      </c>
      <c r="V26" s="65">
        <f>IF(SER_hh_tesh_in!V26=0,0,SER_hh_tesh_in!V26/SER_summary!V$27)</f>
        <v>3.212342786020933E-2</v>
      </c>
      <c r="W26" s="65">
        <f>IF(SER_hh_tesh_in!W26=0,0,SER_hh_tesh_in!W26/SER_summary!W$27)</f>
        <v>3.6391011050570845</v>
      </c>
      <c r="X26" s="65">
        <f>IF(SER_hh_tesh_in!X26=0,0,SER_hh_tesh_in!X26/SER_summary!X$27)</f>
        <v>3.3445098352812959E-2</v>
      </c>
      <c r="Y26" s="65">
        <f>IF(SER_hh_tesh_in!Y26=0,0,SER_hh_tesh_in!Y26/SER_summary!Y$27)</f>
        <v>3.0723392483144916</v>
      </c>
      <c r="DA26" s="109" t="s">
        <v>871</v>
      </c>
    </row>
    <row r="27" spans="1:105" ht="12" customHeight="1" x14ac:dyDescent="0.25">
      <c r="A27" s="144" t="s">
        <v>86</v>
      </c>
      <c r="B27" s="147"/>
      <c r="C27" s="145">
        <f>IF(SER_hh_tesh_in!C27=0,0,SER_hh_tesh_in!C27/SER_summary!C$27)</f>
        <v>0.54539940409716992</v>
      </c>
      <c r="D27" s="145">
        <f>IF(SER_hh_tesh_in!D27=0,0,SER_hh_tesh_in!D27/SER_summary!D$27)</f>
        <v>0.1169250600789276</v>
      </c>
      <c r="E27" s="145">
        <f>IF(SER_hh_tesh_in!E27=0,0,SER_hh_tesh_in!E27/SER_summary!E$27)</f>
        <v>0.49203195431684155</v>
      </c>
      <c r="F27" s="145">
        <f>IF(SER_hh_tesh_in!F27=0,0,SER_hh_tesh_in!F27/SER_summary!F$27)</f>
        <v>0.42910963323726636</v>
      </c>
      <c r="G27" s="145">
        <f>IF(SER_hh_tesh_in!G27=0,0,SER_hh_tesh_in!G27/SER_summary!G$27)</f>
        <v>0.60835934619954835</v>
      </c>
      <c r="H27" s="145">
        <f>IF(SER_hh_tesh_in!H27=0,0,SER_hh_tesh_in!H27/SER_summary!H$27)</f>
        <v>0.56982568201086459</v>
      </c>
      <c r="I27" s="145">
        <f>IF(SER_hh_tesh_in!I27=0,0,SER_hh_tesh_in!I27/SER_summary!I$27)</f>
        <v>0.3445299951167432</v>
      </c>
      <c r="J27" s="145">
        <f>IF(SER_hh_tesh_in!J27=0,0,SER_hh_tesh_in!J27/SER_summary!J$27)</f>
        <v>0.80961868202483511</v>
      </c>
      <c r="K27" s="145">
        <f>IF(SER_hh_tesh_in!K27=0,0,SER_hh_tesh_in!K27/SER_summary!K$27)</f>
        <v>2.6327238278024097</v>
      </c>
      <c r="L27" s="145">
        <f>IF(SER_hh_tesh_in!L27=0,0,SER_hh_tesh_in!L27/SER_summary!L$27)</f>
        <v>1.139116092506546</v>
      </c>
      <c r="M27" s="145">
        <f>IF(SER_hh_tesh_in!M27=0,0,SER_hh_tesh_in!M27/SER_summary!M$27)</f>
        <v>1.7239580334272908</v>
      </c>
      <c r="N27" s="145">
        <f>IF(SER_hh_tesh_in!N27=0,0,SER_hh_tesh_in!N27/SER_summary!N$27)</f>
        <v>1.1442188664756738</v>
      </c>
      <c r="O27" s="145">
        <f>IF(SER_hh_tesh_in!O27=0,0,SER_hh_tesh_in!O27/SER_summary!O$27)</f>
        <v>0.1072965055438031</v>
      </c>
      <c r="P27" s="145">
        <f>IF(SER_hh_tesh_in!P27=0,0,SER_hh_tesh_in!P27/SER_summary!P$27)</f>
        <v>0.87232526907549035</v>
      </c>
      <c r="Q27" s="145">
        <f>IF(SER_hh_tesh_in!Q27=0,0,SER_hh_tesh_in!Q27/SER_summary!Q$27)</f>
        <v>1.1927147831561251</v>
      </c>
      <c r="R27" s="145">
        <f>IF(SER_hh_tesh_in!R27=0,0,SER_hh_tesh_in!R27/SER_summary!R$27)</f>
        <v>1.3218663492844636</v>
      </c>
      <c r="S27" s="145">
        <f>IF(SER_hh_tesh_in!S27=0,0,SER_hh_tesh_in!S27/SER_summary!S$27)</f>
        <v>1.9448175676467141</v>
      </c>
      <c r="T27" s="145">
        <f>IF(SER_hh_tesh_in!T27=0,0,SER_hh_tesh_in!T27/SER_summary!T$27)</f>
        <v>0.20432611745925836</v>
      </c>
      <c r="U27" s="145">
        <f>IF(SER_hh_tesh_in!U27=0,0,SER_hh_tesh_in!U27/SER_summary!U$27)</f>
        <v>1.3003654894899876</v>
      </c>
      <c r="V27" s="145">
        <f>IF(SER_hh_tesh_in!V27=0,0,SER_hh_tesh_in!V27/SER_summary!V$27)</f>
        <v>0.67168239511063466</v>
      </c>
      <c r="W27" s="145">
        <f>IF(SER_hh_tesh_in!W27=0,0,SER_hh_tesh_in!W27/SER_summary!W$27)</f>
        <v>2.2240368638455765E-14</v>
      </c>
      <c r="X27" s="145">
        <f>IF(SER_hh_tesh_in!X27=0,0,SER_hh_tesh_in!X27/SER_summary!X$27)</f>
        <v>0.63690726077776916</v>
      </c>
      <c r="Y27" s="145">
        <f>IF(SER_hh_tesh_in!Y27=0,0,SER_hh_tesh_in!Y27/SER_summary!Y$27)</f>
        <v>0.16384737718024328</v>
      </c>
      <c r="DA27" s="158" t="s">
        <v>872</v>
      </c>
    </row>
    <row r="28" spans="1:105" ht="12" customHeight="1" x14ac:dyDescent="0.25">
      <c r="A28" s="78" t="s">
        <v>85</v>
      </c>
      <c r="B28" s="68"/>
      <c r="C28" s="146">
        <f>IF(SER_hh_tesh_in!C28=0,0,SER_hh_tesh_in!C28/SER_summary!C$27)</f>
        <v>2.879587361842145</v>
      </c>
      <c r="D28" s="146">
        <f>IF(SER_hh_tesh_in!D28=0,0,SER_hh_tesh_in!D28/SER_summary!D$27)</f>
        <v>3.5210178694843082</v>
      </c>
      <c r="E28" s="146">
        <f>IF(SER_hh_tesh_in!E28=0,0,SER_hh_tesh_in!E28/SER_summary!E$27)</f>
        <v>3.6757718430058675</v>
      </c>
      <c r="F28" s="146">
        <f>IF(SER_hh_tesh_in!F28=0,0,SER_hh_tesh_in!F28/SER_summary!F$27)</f>
        <v>3.7872875615836019</v>
      </c>
      <c r="G28" s="146">
        <f>IF(SER_hh_tesh_in!G28=0,0,SER_hh_tesh_in!G28/SER_summary!G$27)</f>
        <v>3.7791665815958781</v>
      </c>
      <c r="H28" s="146">
        <f>IF(SER_hh_tesh_in!H28=0,0,SER_hh_tesh_in!H28/SER_summary!H$27)</f>
        <v>3.8501311522981978</v>
      </c>
      <c r="I28" s="146">
        <f>IF(SER_hh_tesh_in!I28=0,0,SER_hh_tesh_in!I28/SER_summary!I$27)</f>
        <v>3.7873961255000252</v>
      </c>
      <c r="J28" s="146">
        <f>IF(SER_hh_tesh_in!J28=0,0,SER_hh_tesh_in!J28/SER_summary!J$27)</f>
        <v>3.8504506322506584</v>
      </c>
      <c r="K28" s="146">
        <f>IF(SER_hh_tesh_in!K28=0,0,SER_hh_tesh_in!K28/SER_summary!K$27)</f>
        <v>3.869977032072426</v>
      </c>
      <c r="L28" s="146">
        <f>IF(SER_hh_tesh_in!L28=0,0,SER_hh_tesh_in!L28/SER_summary!L$27)</f>
        <v>3.9495368075818877</v>
      </c>
      <c r="M28" s="146">
        <f>IF(SER_hh_tesh_in!M28=0,0,SER_hh_tesh_in!M28/SER_summary!M$27)</f>
        <v>3.8467416432532024</v>
      </c>
      <c r="N28" s="146">
        <f>IF(SER_hh_tesh_in!N28=0,0,SER_hh_tesh_in!N28/SER_summary!N$27)</f>
        <v>3.8919920425700334</v>
      </c>
      <c r="O28" s="146">
        <f>IF(SER_hh_tesh_in!O28=0,0,SER_hh_tesh_in!O28/SER_summary!O$27)</f>
        <v>4.1301481897517611</v>
      </c>
      <c r="P28" s="146">
        <f>IF(SER_hh_tesh_in!P28=0,0,SER_hh_tesh_in!P28/SER_summary!P$27)</f>
        <v>2.8459473541930453</v>
      </c>
      <c r="Q28" s="146">
        <f>IF(SER_hh_tesh_in!Q28=0,0,SER_hh_tesh_in!Q28/SER_summary!Q$27)</f>
        <v>4.27365777937848</v>
      </c>
      <c r="R28" s="146">
        <f>IF(SER_hh_tesh_in!R28=0,0,SER_hh_tesh_in!R28/SER_summary!R$27)</f>
        <v>4.0963109645782207</v>
      </c>
      <c r="S28" s="146">
        <f>IF(SER_hh_tesh_in!S28=0,0,SER_hh_tesh_in!S28/SER_summary!S$27)</f>
        <v>3.7458060149830148</v>
      </c>
      <c r="T28" s="146">
        <f>IF(SER_hh_tesh_in!T28=0,0,SER_hh_tesh_in!T28/SER_summary!T$27)</f>
        <v>4.007082285415227</v>
      </c>
      <c r="U28" s="146">
        <f>IF(SER_hh_tesh_in!U28=0,0,SER_hh_tesh_in!U28/SER_summary!U$27)</f>
        <v>3.7677718147570625</v>
      </c>
      <c r="V28" s="146">
        <f>IF(SER_hh_tesh_in!V28=0,0,SER_hh_tesh_in!V28/SER_summary!V$27)</f>
        <v>3.1165575002577999</v>
      </c>
      <c r="W28" s="146">
        <f>IF(SER_hh_tesh_in!W28=0,0,SER_hh_tesh_in!W28/SER_summary!W$27)</f>
        <v>3.9756910630572779</v>
      </c>
      <c r="X28" s="146">
        <f>IF(SER_hh_tesh_in!X28=0,0,SER_hh_tesh_in!X28/SER_summary!X$27)</f>
        <v>3.563118283239922</v>
      </c>
      <c r="Y28" s="146">
        <f>IF(SER_hh_tesh_in!Y28=0,0,SER_hh_tesh_in!Y28/SER_summary!Y$27)</f>
        <v>3.9469176676378219</v>
      </c>
      <c r="DA28" s="159"/>
    </row>
    <row r="29" spans="1:105" ht="12.95" customHeight="1" x14ac:dyDescent="0.25">
      <c r="A29" s="129" t="s">
        <v>34</v>
      </c>
      <c r="B29" s="130"/>
      <c r="C29" s="130">
        <f>IF(SER_hh_tesh_in!C29=0,0,SER_hh_tesh_in!C29/SER_summary!C$27)</f>
        <v>4.623136306674783</v>
      </c>
      <c r="D29" s="130">
        <f>IF(SER_hh_tesh_in!D29=0,0,SER_hh_tesh_in!D29/SER_summary!D$27)</f>
        <v>4.4544828375826242</v>
      </c>
      <c r="E29" s="130">
        <f>IF(SER_hh_tesh_in!E29=0,0,SER_hh_tesh_in!E29/SER_summary!E$27)</f>
        <v>4.2619498325260832</v>
      </c>
      <c r="F29" s="130">
        <f>IF(SER_hh_tesh_in!F29=0,0,SER_hh_tesh_in!F29/SER_summary!F$27)</f>
        <v>4.6061993638480283</v>
      </c>
      <c r="G29" s="130">
        <f>IF(SER_hh_tesh_in!G29=0,0,SER_hh_tesh_in!G29/SER_summary!G$27)</f>
        <v>4.591616928158933</v>
      </c>
      <c r="H29" s="130">
        <f>IF(SER_hh_tesh_in!H29=0,0,SER_hh_tesh_in!H29/SER_summary!H$27)</f>
        <v>4.9008018614747835</v>
      </c>
      <c r="I29" s="130">
        <f>IF(SER_hh_tesh_in!I29=0,0,SER_hh_tesh_in!I29/SER_summary!I$27)</f>
        <v>4.9418001325508714</v>
      </c>
      <c r="J29" s="130">
        <f>IF(SER_hh_tesh_in!J29=0,0,SER_hh_tesh_in!J29/SER_summary!J$27)</f>
        <v>5.058905478571404</v>
      </c>
      <c r="K29" s="130">
        <f>IF(SER_hh_tesh_in!K29=0,0,SER_hh_tesh_in!K29/SER_summary!K$27)</f>
        <v>5.0767645775053616</v>
      </c>
      <c r="L29" s="130">
        <f>IF(SER_hh_tesh_in!L29=0,0,SER_hh_tesh_in!L29/SER_summary!L$27)</f>
        <v>5.1944270068601757</v>
      </c>
      <c r="M29" s="130">
        <f>IF(SER_hh_tesh_in!M29=0,0,SER_hh_tesh_in!M29/SER_summary!M$27)</f>
        <v>5.1975003368453203</v>
      </c>
      <c r="N29" s="130">
        <f>IF(SER_hh_tesh_in!N29=0,0,SER_hh_tesh_in!N29/SER_summary!N$27)</f>
        <v>4.8188818520218568</v>
      </c>
      <c r="O29" s="130">
        <f>IF(SER_hh_tesh_in!O29=0,0,SER_hh_tesh_in!O29/SER_summary!O$27)</f>
        <v>4.386484976930797</v>
      </c>
      <c r="P29" s="130">
        <f>IF(SER_hh_tesh_in!P29=0,0,SER_hh_tesh_in!P29/SER_summary!P$27)</f>
        <v>5.6197185688658005</v>
      </c>
      <c r="Q29" s="130">
        <f>IF(SER_hh_tesh_in!Q29=0,0,SER_hh_tesh_in!Q29/SER_summary!Q$27)</f>
        <v>5.3258285502410541</v>
      </c>
      <c r="R29" s="130">
        <f>IF(SER_hh_tesh_in!R29=0,0,SER_hh_tesh_in!R29/SER_summary!R$27)</f>
        <v>5.1653093465190993</v>
      </c>
      <c r="S29" s="130">
        <f>IF(SER_hh_tesh_in!S29=0,0,SER_hh_tesh_in!S29/SER_summary!S$27)</f>
        <v>4.9926139228647672</v>
      </c>
      <c r="T29" s="130">
        <f>IF(SER_hh_tesh_in!T29=0,0,SER_hh_tesh_in!T29/SER_summary!T$27)</f>
        <v>5.8801424281364261</v>
      </c>
      <c r="U29" s="130">
        <f>IF(SER_hh_tesh_in!U29=0,0,SER_hh_tesh_in!U29/SER_summary!U$27)</f>
        <v>5.8559264270628413</v>
      </c>
      <c r="V29" s="130">
        <f>IF(SER_hh_tesh_in!V29=0,0,SER_hh_tesh_in!V29/SER_summary!V$27)</f>
        <v>4.2910920547660556</v>
      </c>
      <c r="W29" s="130">
        <f>IF(SER_hh_tesh_in!W29=0,0,SER_hh_tesh_in!W29/SER_summary!W$27)</f>
        <v>5.3368284641170201</v>
      </c>
      <c r="X29" s="130">
        <f>IF(SER_hh_tesh_in!X29=0,0,SER_hh_tesh_in!X29/SER_summary!X$27)</f>
        <v>4.7310218630722982</v>
      </c>
      <c r="Y29" s="130">
        <f>IF(SER_hh_tesh_in!Y29=0,0,SER_hh_tesh_in!Y29/SER_summary!Y$27)</f>
        <v>5.9229771947851804</v>
      </c>
      <c r="DA29" s="155" t="s">
        <v>873</v>
      </c>
    </row>
    <row r="30" spans="1:105" s="2" customFormat="1" ht="12" customHeight="1" x14ac:dyDescent="0.25">
      <c r="A30" s="131" t="s">
        <v>52</v>
      </c>
      <c r="B30" s="132"/>
      <c r="C30" s="132">
        <f>IF(SER_hh_tesh_in!C30=0,0,SER_hh_tesh_in!C30/SER_summary!C$27)</f>
        <v>4.6564331871906575</v>
      </c>
      <c r="D30" s="132">
        <f>IF(SER_hh_tesh_in!D30=0,0,SER_hh_tesh_in!D30/SER_summary!D$27)</f>
        <v>4.5099716414139799</v>
      </c>
      <c r="E30" s="132">
        <f>IF(SER_hh_tesh_in!E30=0,0,SER_hh_tesh_in!E30/SER_summary!E$27)</f>
        <v>4.3871976073341594</v>
      </c>
      <c r="F30" s="132">
        <f>IF(SER_hh_tesh_in!F30=0,0,SER_hh_tesh_in!F30/SER_summary!F$27)</f>
        <v>4.7601759845635598</v>
      </c>
      <c r="G30" s="132">
        <f>IF(SER_hh_tesh_in!G30=0,0,SER_hh_tesh_in!G30/SER_summary!G$27)</f>
        <v>4.6488080857363068</v>
      </c>
      <c r="H30" s="132">
        <f>IF(SER_hh_tesh_in!H30=0,0,SER_hh_tesh_in!H30/SER_summary!H$27)</f>
        <v>4.5359280538431141</v>
      </c>
      <c r="I30" s="132">
        <f>IF(SER_hh_tesh_in!I30=0,0,SER_hh_tesh_in!I30/SER_summary!I$27)</f>
        <v>4.9037362073696009</v>
      </c>
      <c r="J30" s="132">
        <f>IF(SER_hh_tesh_in!J30=0,0,SER_hh_tesh_in!J30/SER_summary!J$27)</f>
        <v>5.2997756183874394</v>
      </c>
      <c r="K30" s="132">
        <f>IF(SER_hh_tesh_in!K30=0,0,SER_hh_tesh_in!K30/SER_summary!K$27)</f>
        <v>4.9961797687712446</v>
      </c>
      <c r="L30" s="132">
        <f>IF(SER_hh_tesh_in!L30=0,0,SER_hh_tesh_in!L30/SER_summary!L$27)</f>
        <v>5.2272142981726262</v>
      </c>
      <c r="M30" s="132">
        <f>IF(SER_hh_tesh_in!M30=0,0,SER_hh_tesh_in!M30/SER_summary!M$27)</f>
        <v>5.1719342528547969</v>
      </c>
      <c r="N30" s="132">
        <f>IF(SER_hh_tesh_in!N30=0,0,SER_hh_tesh_in!N30/SER_summary!N$27)</f>
        <v>5.2600663503638598</v>
      </c>
      <c r="O30" s="132">
        <f>IF(SER_hh_tesh_in!O30=0,0,SER_hh_tesh_in!O30/SER_summary!O$27)</f>
        <v>5.2681675402113068</v>
      </c>
      <c r="P30" s="132">
        <f>IF(SER_hh_tesh_in!P30=0,0,SER_hh_tesh_in!P30/SER_summary!P$27)</f>
        <v>3.6378084270965747</v>
      </c>
      <c r="Q30" s="132">
        <f>IF(SER_hh_tesh_in!Q30=0,0,SER_hh_tesh_in!Q30/SER_summary!Q$27)</f>
        <v>5.0120220211793063</v>
      </c>
      <c r="R30" s="132">
        <f>IF(SER_hh_tesh_in!R30=0,0,SER_hh_tesh_in!R30/SER_summary!R$27)</f>
        <v>6.2652147352270902</v>
      </c>
      <c r="S30" s="132">
        <f>IF(SER_hh_tesh_in!S30=0,0,SER_hh_tesh_in!S30/SER_summary!S$27)</f>
        <v>4.8975118435253737</v>
      </c>
      <c r="T30" s="132">
        <f>IF(SER_hh_tesh_in!T30=0,0,SER_hh_tesh_in!T30/SER_summary!T$27)</f>
        <v>5.7962679615189332</v>
      </c>
      <c r="U30" s="132">
        <f>IF(SER_hh_tesh_in!U30=0,0,SER_hh_tesh_in!U30/SER_summary!U$27)</f>
        <v>0</v>
      </c>
      <c r="V30" s="132">
        <f>IF(SER_hh_tesh_in!V30=0,0,SER_hh_tesh_in!V30/SER_summary!V$27)</f>
        <v>0</v>
      </c>
      <c r="W30" s="132">
        <f>IF(SER_hh_tesh_in!W30=0,0,SER_hh_tesh_in!W30/SER_summary!W$27)</f>
        <v>4.4526520212563216</v>
      </c>
      <c r="X30" s="132">
        <f>IF(SER_hh_tesh_in!X30=0,0,SER_hh_tesh_in!X30/SER_summary!X$27)</f>
        <v>4.8031801019995601</v>
      </c>
      <c r="Y30" s="132">
        <f>IF(SER_hh_tesh_in!Y30=0,0,SER_hh_tesh_in!Y30/SER_summary!Y$27)</f>
        <v>6.1840253247697277</v>
      </c>
      <c r="DA30" s="156" t="s">
        <v>874</v>
      </c>
    </row>
    <row r="31" spans="1:105" ht="12" customHeight="1" x14ac:dyDescent="0.25">
      <c r="A31" s="131" t="s">
        <v>149</v>
      </c>
      <c r="B31" s="132"/>
      <c r="C31" s="132">
        <f>IF(SER_hh_tesh_in!C31=0,0,SER_hh_tesh_in!C31/SER_summary!C$27)</f>
        <v>4.9163652932591555</v>
      </c>
      <c r="D31" s="132">
        <f>IF(SER_hh_tesh_in!D31=0,0,SER_hh_tesh_in!D31/SER_summary!D$27)</f>
        <v>4.2654773970919724</v>
      </c>
      <c r="E31" s="132">
        <f>IF(SER_hh_tesh_in!E31=0,0,SER_hh_tesh_in!E31/SER_summary!E$27)</f>
        <v>3.6106969446047521</v>
      </c>
      <c r="F31" s="132">
        <f>IF(SER_hh_tesh_in!F31=0,0,SER_hh_tesh_in!F31/SER_summary!F$27)</f>
        <v>4.8384917997509209</v>
      </c>
      <c r="G31" s="132">
        <f>IF(SER_hh_tesh_in!G31=0,0,SER_hh_tesh_in!G31/SER_summary!G$27)</f>
        <v>4.7111888754908167</v>
      </c>
      <c r="H31" s="132">
        <f>IF(SER_hh_tesh_in!H31=0,0,SER_hh_tesh_in!H31/SER_summary!H$27)</f>
        <v>4.98649900872143</v>
      </c>
      <c r="I31" s="132">
        <f>IF(SER_hh_tesh_in!I31=0,0,SER_hh_tesh_in!I31/SER_summary!I$27)</f>
        <v>4.9667989376606929</v>
      </c>
      <c r="J31" s="132">
        <f>IF(SER_hh_tesh_in!J31=0,0,SER_hh_tesh_in!J31/SER_summary!J$27)</f>
        <v>5.0681277720374407</v>
      </c>
      <c r="K31" s="132">
        <f>IF(SER_hh_tesh_in!K31=0,0,SER_hh_tesh_in!K31/SER_summary!K$27)</f>
        <v>5.0238147352086671</v>
      </c>
      <c r="L31" s="132">
        <f>IF(SER_hh_tesh_in!L31=0,0,SER_hh_tesh_in!L31/SER_summary!L$27)</f>
        <v>5.1431289255662094</v>
      </c>
      <c r="M31" s="132">
        <f>IF(SER_hh_tesh_in!M31=0,0,SER_hh_tesh_in!M31/SER_summary!M$27)</f>
        <v>5.0443559773977906</v>
      </c>
      <c r="N31" s="132">
        <f>IF(SER_hh_tesh_in!N31=0,0,SER_hh_tesh_in!N31/SER_summary!N$27)</f>
        <v>4.6137410344929499</v>
      </c>
      <c r="O31" s="132">
        <f>IF(SER_hh_tesh_in!O31=0,0,SER_hh_tesh_in!O31/SER_summary!O$27)</f>
        <v>4.3205779063317511</v>
      </c>
      <c r="P31" s="132">
        <f>IF(SER_hh_tesh_in!P31=0,0,SER_hh_tesh_in!P31/SER_summary!P$27)</f>
        <v>5.761241223761723</v>
      </c>
      <c r="Q31" s="132">
        <f>IF(SER_hh_tesh_in!Q31=0,0,SER_hh_tesh_in!Q31/SER_summary!Q$27)</f>
        <v>5.3928772500340676</v>
      </c>
      <c r="R31" s="132">
        <f>IF(SER_hh_tesh_in!R31=0,0,SER_hh_tesh_in!R31/SER_summary!R$27)</f>
        <v>5.3591307067872425</v>
      </c>
      <c r="S31" s="132">
        <f>IF(SER_hh_tesh_in!S31=0,0,SER_hh_tesh_in!S31/SER_summary!S$27)</f>
        <v>5.3921293504584176</v>
      </c>
      <c r="T31" s="132">
        <f>IF(SER_hh_tesh_in!T31=0,0,SER_hh_tesh_in!T31/SER_summary!T$27)</f>
        <v>4.8858225546062215</v>
      </c>
      <c r="U31" s="132">
        <f>IF(SER_hh_tesh_in!U31=0,0,SER_hh_tesh_in!U31/SER_summary!U$27)</f>
        <v>5.072472181946611</v>
      </c>
      <c r="V31" s="132">
        <f>IF(SER_hh_tesh_in!V31=0,0,SER_hh_tesh_in!V31/SER_summary!V$27)</f>
        <v>5.3677120048812768</v>
      </c>
      <c r="W31" s="132">
        <f>IF(SER_hh_tesh_in!W31=0,0,SER_hh_tesh_in!W31/SER_summary!W$27)</f>
        <v>5.4312182965895266</v>
      </c>
      <c r="X31" s="132">
        <f>IF(SER_hh_tesh_in!X31=0,0,SER_hh_tesh_in!X31/SER_summary!X$27)</f>
        <v>5.0280314311492891</v>
      </c>
      <c r="Y31" s="132">
        <f>IF(SER_hh_tesh_in!Y31=0,0,SER_hh_tesh_in!Y31/SER_summary!Y$27)</f>
        <v>5.2146814915349236</v>
      </c>
      <c r="DA31" s="156" t="s">
        <v>875</v>
      </c>
    </row>
    <row r="32" spans="1:105" ht="12" customHeight="1" x14ac:dyDescent="0.25">
      <c r="A32" s="131" t="s">
        <v>128</v>
      </c>
      <c r="B32" s="132"/>
      <c r="C32" s="132">
        <f>IF(SER_hh_tesh_in!C32=0,0,SER_hh_tesh_in!C32/SER_summary!C$27)</f>
        <v>0</v>
      </c>
      <c r="D32" s="132">
        <f>IF(SER_hh_tesh_in!D32=0,0,SER_hh_tesh_in!D32/SER_summary!D$27)</f>
        <v>0</v>
      </c>
      <c r="E32" s="132">
        <f>IF(SER_hh_tesh_in!E32=0,0,SER_hh_tesh_in!E32/SER_summary!E$27)</f>
        <v>0</v>
      </c>
      <c r="F32" s="132">
        <f>IF(SER_hh_tesh_in!F32=0,0,SER_hh_tesh_in!F32/SER_summary!F$27)</f>
        <v>0</v>
      </c>
      <c r="G32" s="132">
        <f>IF(SER_hh_tesh_in!G32=0,0,SER_hh_tesh_in!G32/SER_summary!G$27)</f>
        <v>0</v>
      </c>
      <c r="H32" s="132">
        <f>IF(SER_hh_tesh_in!H32=0,0,SER_hh_tesh_in!H32/SER_summary!H$27)</f>
        <v>0</v>
      </c>
      <c r="I32" s="132">
        <f>IF(SER_hh_tesh_in!I32=0,0,SER_hh_tesh_in!I32/SER_summary!I$27)</f>
        <v>0</v>
      </c>
      <c r="J32" s="132">
        <f>IF(SER_hh_tesh_in!J32=0,0,SER_hh_tesh_in!J32/SER_summary!J$27)</f>
        <v>0</v>
      </c>
      <c r="K32" s="132">
        <f>IF(SER_hh_tesh_in!K32=0,0,SER_hh_tesh_in!K32/SER_summary!K$27)</f>
        <v>0</v>
      </c>
      <c r="L32" s="132">
        <f>IF(SER_hh_tesh_in!L32=0,0,SER_hh_tesh_in!L32/SER_summary!L$27)</f>
        <v>0</v>
      </c>
      <c r="M32" s="132">
        <f>IF(SER_hh_tesh_in!M32=0,0,SER_hh_tesh_in!M32/SER_summary!M$27)</f>
        <v>0</v>
      </c>
      <c r="N32" s="132">
        <f>IF(SER_hh_tesh_in!N32=0,0,SER_hh_tesh_in!N32/SER_summary!N$27)</f>
        <v>0</v>
      </c>
      <c r="O32" s="132">
        <f>IF(SER_hh_tesh_in!O32=0,0,SER_hh_tesh_in!O32/SER_summary!O$27)</f>
        <v>0</v>
      </c>
      <c r="P32" s="132">
        <f>IF(SER_hh_tesh_in!P32=0,0,SER_hh_tesh_in!P32/SER_summary!P$27)</f>
        <v>0</v>
      </c>
      <c r="Q32" s="132">
        <f>IF(SER_hh_tesh_in!Q32=0,0,SER_hh_tesh_in!Q32/SER_summary!Q$27)</f>
        <v>0</v>
      </c>
      <c r="R32" s="132">
        <f>IF(SER_hh_tesh_in!R32=0,0,SER_hh_tesh_in!R32/SER_summary!R$27)</f>
        <v>0</v>
      </c>
      <c r="S32" s="132">
        <f>IF(SER_hh_tesh_in!S32=0,0,SER_hh_tesh_in!S32/SER_summary!S$27)</f>
        <v>0</v>
      </c>
      <c r="T32" s="132">
        <f>IF(SER_hh_tesh_in!T32=0,0,SER_hh_tesh_in!T32/SER_summary!T$27)</f>
        <v>0</v>
      </c>
      <c r="U32" s="132">
        <f>IF(SER_hh_tesh_in!U32=0,0,SER_hh_tesh_in!U32/SER_summary!U$27)</f>
        <v>0</v>
      </c>
      <c r="V32" s="132">
        <f>IF(SER_hh_tesh_in!V32=0,0,SER_hh_tesh_in!V32/SER_summary!V$27)</f>
        <v>0</v>
      </c>
      <c r="W32" s="132">
        <f>IF(SER_hh_tesh_in!W32=0,0,SER_hh_tesh_in!W32/SER_summary!W$27)</f>
        <v>0</v>
      </c>
      <c r="X32" s="132">
        <f>IF(SER_hh_tesh_in!X32=0,0,SER_hh_tesh_in!X32/SER_summary!X$27)</f>
        <v>0</v>
      </c>
      <c r="Y32" s="132">
        <f>IF(SER_hh_tesh_in!Y32=0,0,SER_hh_tesh_in!Y32/SER_summary!Y$27)</f>
        <v>0</v>
      </c>
      <c r="DA32" s="156" t="s">
        <v>876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4.536232151694767</v>
      </c>
      <c r="D33" s="68">
        <f>IF(SER_hh_tesh_in!D33=0,0,SER_hh_tesh_in!D33/SER_summary!D$27)</f>
        <v>4.4793230785333158</v>
      </c>
      <c r="E33" s="68">
        <f>IF(SER_hh_tesh_in!E33=0,0,SER_hh_tesh_in!E33/SER_summary!E$27)</f>
        <v>4.4454500058221713</v>
      </c>
      <c r="F33" s="68">
        <f>IF(SER_hh_tesh_in!F33=0,0,SER_hh_tesh_in!F33/SER_summary!F$27)</f>
        <v>4.443406417406873</v>
      </c>
      <c r="G33" s="68">
        <f>IF(SER_hh_tesh_in!G33=0,0,SER_hh_tesh_in!G33/SER_summary!G$27)</f>
        <v>4.5331791281088014</v>
      </c>
      <c r="H33" s="68">
        <f>IF(SER_hh_tesh_in!H33=0,0,SER_hh_tesh_in!H33/SER_summary!H$27)</f>
        <v>4.8877191067054326</v>
      </c>
      <c r="I33" s="68">
        <f>IF(SER_hh_tesh_in!I33=0,0,SER_hh_tesh_in!I33/SER_summary!I$27)</f>
        <v>4.939299904670591</v>
      </c>
      <c r="J33" s="68">
        <f>IF(SER_hh_tesh_in!J33=0,0,SER_hh_tesh_in!J33/SER_summary!J$27)</f>
        <v>5.0249091178122649</v>
      </c>
      <c r="K33" s="68">
        <f>IF(SER_hh_tesh_in!K33=0,0,SER_hh_tesh_in!K33/SER_summary!K$27)</f>
        <v>5.1082399436740413</v>
      </c>
      <c r="L33" s="68">
        <f>IF(SER_hh_tesh_in!L33=0,0,SER_hh_tesh_in!L33/SER_summary!L$27)</f>
        <v>5.2099310062302946</v>
      </c>
      <c r="M33" s="68">
        <f>IF(SER_hh_tesh_in!M33=0,0,SER_hh_tesh_in!M33/SER_summary!M$27)</f>
        <v>5.3356086505845957</v>
      </c>
      <c r="N33" s="68">
        <f>IF(SER_hh_tesh_in!N33=0,0,SER_hh_tesh_in!N33/SER_summary!N$27)</f>
        <v>5.3717868233914885</v>
      </c>
      <c r="O33" s="68">
        <f>IF(SER_hh_tesh_in!O33=0,0,SER_hh_tesh_in!O33/SER_summary!O$27)</f>
        <v>0</v>
      </c>
      <c r="P33" s="68">
        <f>IF(SER_hh_tesh_in!P33=0,0,SER_hh_tesh_in!P33/SER_summary!P$27)</f>
        <v>0</v>
      </c>
      <c r="Q33" s="68">
        <f>IF(SER_hh_tesh_in!Q33=0,0,SER_hh_tesh_in!Q33/SER_summary!Q$27)</f>
        <v>0</v>
      </c>
      <c r="R33" s="68">
        <f>IF(SER_hh_tesh_in!R33=0,0,SER_hh_tesh_in!R33/SER_summary!R$27)</f>
        <v>3.8558526489794427</v>
      </c>
      <c r="S33" s="68">
        <f>IF(SER_hh_tesh_in!S33=0,0,SER_hh_tesh_in!S33/SER_summary!S$27)</f>
        <v>4.7639279674584385</v>
      </c>
      <c r="T33" s="68">
        <f>IF(SER_hh_tesh_in!T33=0,0,SER_hh_tesh_in!T33/SER_summary!T$27)</f>
        <v>5.9975783468092958</v>
      </c>
      <c r="U33" s="68">
        <f>IF(SER_hh_tesh_in!U33=0,0,SER_hh_tesh_in!U33/SER_summary!U$27)</f>
        <v>6.2293286129553538</v>
      </c>
      <c r="V33" s="68">
        <f>IF(SER_hh_tesh_in!V33=0,0,SER_hh_tesh_in!V33/SER_summary!V$27)</f>
        <v>3.3198295856325264</v>
      </c>
      <c r="W33" s="68">
        <f>IF(SER_hh_tesh_in!W33=0,0,SER_hh_tesh_in!W33/SER_summary!W$27)</f>
        <v>5.3973923103451167</v>
      </c>
      <c r="X33" s="68">
        <f>IF(SER_hh_tesh_in!X33=0,0,SER_hh_tesh_in!X33/SER_summary!X$27)</f>
        <v>4.6355117254127371</v>
      </c>
      <c r="Y33" s="68">
        <f>IF(SER_hh_tesh_in!Y33=0,0,SER_hh_tesh_in!Y33/SER_summary!Y$27)</f>
        <v>5.9972558785724601</v>
      </c>
      <c r="DA33" s="111" t="s">
        <v>877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/>
      <c r="C3" s="125">
        <f>IF(SER_hh_emih_in!C3=0,0,SER_hh_emih_in!C3/SER_summary!C$27)</f>
        <v>4.5484465438274189</v>
      </c>
      <c r="D3" s="125">
        <f>IF(SER_hh_emih_in!D3=0,0,SER_hh_emih_in!D3/SER_summary!D$27)</f>
        <v>3.7850083542185904</v>
      </c>
      <c r="E3" s="125">
        <f>IF(SER_hh_emih_in!E3=0,0,SER_hh_emih_in!E3/SER_summary!E$27)</f>
        <v>3.8282043033359821</v>
      </c>
      <c r="F3" s="125">
        <f>IF(SER_hh_emih_in!F3=0,0,SER_hh_emih_in!F3/SER_summary!F$27)</f>
        <v>2.9208644727874193</v>
      </c>
      <c r="G3" s="125">
        <f>IF(SER_hh_emih_in!G3=0,0,SER_hh_emih_in!G3/SER_summary!G$27)</f>
        <v>2.7110781276150862</v>
      </c>
      <c r="H3" s="125">
        <f>IF(SER_hh_emih_in!H3=0,0,SER_hh_emih_in!H3/SER_summary!H$27)</f>
        <v>5.5558835810735392</v>
      </c>
      <c r="I3" s="125">
        <f>IF(SER_hh_emih_in!I3=0,0,SER_hh_emih_in!I3/SER_summary!I$27)</f>
        <v>2.3635723489356839</v>
      </c>
      <c r="J3" s="125">
        <f>IF(SER_hh_emih_in!J3=0,0,SER_hh_emih_in!J3/SER_summary!J$27)</f>
        <v>2.0440141551708879</v>
      </c>
      <c r="K3" s="125">
        <f>IF(SER_hh_emih_in!K3=0,0,SER_hh_emih_in!K3/SER_summary!K$27)</f>
        <v>2.9082624470436009</v>
      </c>
      <c r="L3" s="125">
        <f>IF(SER_hh_emih_in!L3=0,0,SER_hh_emih_in!L3/SER_summary!L$27)</f>
        <v>4.586541224133148</v>
      </c>
      <c r="M3" s="125">
        <f>IF(SER_hh_emih_in!M3=0,0,SER_hh_emih_in!M3/SER_summary!M$27)</f>
        <v>4.7833940442976699</v>
      </c>
      <c r="N3" s="125">
        <f>IF(SER_hh_emih_in!N3=0,0,SER_hh_emih_in!N3/SER_summary!N$27)</f>
        <v>4.5261640904377662</v>
      </c>
      <c r="O3" s="125">
        <f>IF(SER_hh_emih_in!O3=0,0,SER_hh_emih_in!O3/SER_summary!O$27)</f>
        <v>4.5997254343115435</v>
      </c>
      <c r="P3" s="125">
        <f>IF(SER_hh_emih_in!P3=0,0,SER_hh_emih_in!P3/SER_summary!P$27)</f>
        <v>3.377581706994591</v>
      </c>
      <c r="Q3" s="125">
        <f>IF(SER_hh_emih_in!Q3=0,0,SER_hh_emih_in!Q3/SER_summary!Q$27)</f>
        <v>3.1909074037372696</v>
      </c>
      <c r="R3" s="125">
        <f>IF(SER_hh_emih_in!R3=0,0,SER_hh_emih_in!R3/SER_summary!R$27)</f>
        <v>2.8656491783968243</v>
      </c>
      <c r="S3" s="125">
        <f>IF(SER_hh_emih_in!S3=0,0,SER_hh_emih_in!S3/SER_summary!S$27)</f>
        <v>2.2270644570137432</v>
      </c>
      <c r="T3" s="125">
        <f>IF(SER_hh_emih_in!T3=0,0,SER_hh_emih_in!T3/SER_summary!T$27)</f>
        <v>1.7754759823977331</v>
      </c>
      <c r="U3" s="125">
        <f>IF(SER_hh_emih_in!U3=0,0,SER_hh_emih_in!U3/SER_summary!U$27)</f>
        <v>2.0581581031812037</v>
      </c>
      <c r="V3" s="125">
        <f>IF(SER_hh_emih_in!V3=0,0,SER_hh_emih_in!V3/SER_summary!V$27)</f>
        <v>2.3148155424072852</v>
      </c>
      <c r="W3" s="125">
        <f>IF(SER_hh_emih_in!W3=0,0,SER_hh_emih_in!W3/SER_summary!W$27)</f>
        <v>2.5902900510839304</v>
      </c>
      <c r="X3" s="125">
        <f>IF(SER_hh_emih_in!X3=0,0,SER_hh_emih_in!X3/SER_summary!X$27)</f>
        <v>2.246416046583652</v>
      </c>
      <c r="Y3" s="125">
        <f>IF(SER_hh_emih_in!Y3=0,0,SER_hh_emih_in!Y3/SER_summary!Y$27)</f>
        <v>2.1811981572846233</v>
      </c>
      <c r="DA3" s="154" t="s">
        <v>879</v>
      </c>
    </row>
    <row r="4" spans="1:105" ht="12.95" customHeight="1" x14ac:dyDescent="0.25">
      <c r="A4" s="129" t="s">
        <v>32</v>
      </c>
      <c r="B4" s="130"/>
      <c r="C4" s="130">
        <f>IF(SER_hh_emih_in!C4=0,0,SER_hh_emih_in!C4/SER_summary!C$27)</f>
        <v>3.4610647759726239</v>
      </c>
      <c r="D4" s="130">
        <f>IF(SER_hh_emih_in!D4=0,0,SER_hh_emih_in!D4/SER_summary!D$27)</f>
        <v>2.8577546887020837</v>
      </c>
      <c r="E4" s="130">
        <f>IF(SER_hh_emih_in!E4=0,0,SER_hh_emih_in!E4/SER_summary!E$27)</f>
        <v>2.8719464553759626</v>
      </c>
      <c r="F4" s="130">
        <f>IF(SER_hh_emih_in!F4=0,0,SER_hh_emih_in!F4/SER_summary!F$27)</f>
        <v>1.6040540680695328</v>
      </c>
      <c r="G4" s="130">
        <f>IF(SER_hh_emih_in!G4=0,0,SER_hh_emih_in!G4/SER_summary!G$27)</f>
        <v>1.3545915492023686</v>
      </c>
      <c r="H4" s="130">
        <f>IF(SER_hh_emih_in!H4=0,0,SER_hh_emih_in!H4/SER_summary!H$27)</f>
        <v>3.7576974971790893</v>
      </c>
      <c r="I4" s="130">
        <f>IF(SER_hh_emih_in!I4=0,0,SER_hh_emih_in!I4/SER_summary!I$27)</f>
        <v>1.0407959766423307</v>
      </c>
      <c r="J4" s="130">
        <f>IF(SER_hh_emih_in!J4=0,0,SER_hh_emih_in!J4/SER_summary!J$27)</f>
        <v>0.85128985000389834</v>
      </c>
      <c r="K4" s="130">
        <f>IF(SER_hh_emih_in!K4=0,0,SER_hh_emih_in!K4/SER_summary!K$27)</f>
        <v>1.6342166903659987</v>
      </c>
      <c r="L4" s="130">
        <f>IF(SER_hh_emih_in!L4=0,0,SER_hh_emih_in!L4/SER_summary!L$27)</f>
        <v>3.1903106582534049</v>
      </c>
      <c r="M4" s="130">
        <f>IF(SER_hh_emih_in!M4=0,0,SER_hh_emih_in!M4/SER_summary!M$27)</f>
        <v>2.9052696707695422</v>
      </c>
      <c r="N4" s="130">
        <f>IF(SER_hh_emih_in!N4=0,0,SER_hh_emih_in!N4/SER_summary!N$27)</f>
        <v>2.0611673328281443</v>
      </c>
      <c r="O4" s="130">
        <f>IF(SER_hh_emih_in!O4=0,0,SER_hh_emih_in!O4/SER_summary!O$27)</f>
        <v>1.6744808814740197</v>
      </c>
      <c r="P4" s="130">
        <f>IF(SER_hh_emih_in!P4=0,0,SER_hh_emih_in!P4/SER_summary!P$27)</f>
        <v>9.5540358195207287E-2</v>
      </c>
      <c r="Q4" s="130">
        <f>IF(SER_hh_emih_in!Q4=0,0,SER_hh_emih_in!Q4/SER_summary!Q$27)</f>
        <v>8.4364588162590834E-2</v>
      </c>
      <c r="R4" s="130">
        <f>IF(SER_hh_emih_in!R4=0,0,SER_hh_emih_in!R4/SER_summary!R$27)</f>
        <v>0.4299734312525258</v>
      </c>
      <c r="S4" s="130">
        <f>IF(SER_hh_emih_in!S4=0,0,SER_hh_emih_in!S4/SER_summary!S$27)</f>
        <v>0.75882136981195636</v>
      </c>
      <c r="T4" s="130">
        <f>IF(SER_hh_emih_in!T4=0,0,SER_hh_emih_in!T4/SER_summary!T$27)</f>
        <v>0.95343929316754161</v>
      </c>
      <c r="U4" s="130">
        <f>IF(SER_hh_emih_in!U4=0,0,SER_hh_emih_in!U4/SER_summary!U$27)</f>
        <v>0.7480824641400301</v>
      </c>
      <c r="V4" s="130">
        <f>IF(SER_hh_emih_in!V4=0,0,SER_hh_emih_in!V4/SER_summary!V$27)</f>
        <v>0.60117357523330739</v>
      </c>
      <c r="W4" s="130">
        <f>IF(SER_hh_emih_in!W4=0,0,SER_hh_emih_in!W4/SER_summary!W$27)</f>
        <v>1.0100402329282057</v>
      </c>
      <c r="X4" s="130">
        <f>IF(SER_hh_emih_in!X4=0,0,SER_hh_emih_in!X4/SER_summary!X$27)</f>
        <v>0.75947739587277341</v>
      </c>
      <c r="Y4" s="130">
        <f>IF(SER_hh_emih_in!Y4=0,0,SER_hh_emih_in!Y4/SER_summary!Y$27)</f>
        <v>0.61613562348674589</v>
      </c>
      <c r="DA4" s="155" t="s">
        <v>880</v>
      </c>
    </row>
    <row r="5" spans="1:105" ht="12" customHeight="1" x14ac:dyDescent="0.25">
      <c r="A5" s="131" t="s">
        <v>29</v>
      </c>
      <c r="B5" s="132"/>
      <c r="C5" s="132">
        <f>IF(SER_hh_emih_in!C5=0,0,SER_hh_emih_in!C5/SER_summary!C$27)</f>
        <v>0</v>
      </c>
      <c r="D5" s="132">
        <f>IF(SER_hh_emih_in!D5=0,0,SER_hh_emih_in!D5/SER_summary!D$27)</f>
        <v>0</v>
      </c>
      <c r="E5" s="132">
        <f>IF(SER_hh_emih_in!E5=0,0,SER_hh_emih_in!E5/SER_summary!E$27)</f>
        <v>0</v>
      </c>
      <c r="F5" s="132">
        <f>IF(SER_hh_emih_in!F5=0,0,SER_hh_emih_in!F5/SER_summary!F$27)</f>
        <v>0</v>
      </c>
      <c r="G5" s="132">
        <f>IF(SER_hh_emih_in!G5=0,0,SER_hh_emih_in!G5/SER_summary!G$27)</f>
        <v>0</v>
      </c>
      <c r="H5" s="132">
        <f>IF(SER_hh_emih_in!H5=0,0,SER_hh_emih_in!H5/SER_summary!H$27)</f>
        <v>0</v>
      </c>
      <c r="I5" s="132">
        <f>IF(SER_hh_emih_in!I5=0,0,SER_hh_emih_in!I5/SER_summary!I$27)</f>
        <v>0</v>
      </c>
      <c r="J5" s="132">
        <f>IF(SER_hh_emih_in!J5=0,0,SER_hh_emih_in!J5/SER_summary!J$27)</f>
        <v>0</v>
      </c>
      <c r="K5" s="132">
        <f>IF(SER_hh_emih_in!K5=0,0,SER_hh_emih_in!K5/SER_summary!K$27)</f>
        <v>0</v>
      </c>
      <c r="L5" s="132">
        <f>IF(SER_hh_emih_in!L5=0,0,SER_hh_emih_in!L5/SER_summary!L$27)</f>
        <v>0</v>
      </c>
      <c r="M5" s="132">
        <f>IF(SER_hh_emih_in!M5=0,0,SER_hh_emih_in!M5/SER_summary!M$27)</f>
        <v>0</v>
      </c>
      <c r="N5" s="132">
        <f>IF(SER_hh_emih_in!N5=0,0,SER_hh_emih_in!N5/SER_summary!N$27)</f>
        <v>0</v>
      </c>
      <c r="O5" s="132">
        <f>IF(SER_hh_emih_in!O5=0,0,SER_hh_emih_in!O5/SER_summary!O$27)</f>
        <v>0</v>
      </c>
      <c r="P5" s="132">
        <f>IF(SER_hh_emih_in!P5=0,0,SER_hh_emih_in!P5/SER_summary!P$27)</f>
        <v>0</v>
      </c>
      <c r="Q5" s="132">
        <f>IF(SER_hh_emih_in!Q5=0,0,SER_hh_emih_in!Q5/SER_summary!Q$27)</f>
        <v>0</v>
      </c>
      <c r="R5" s="132">
        <f>IF(SER_hh_emih_in!R5=0,0,SER_hh_emih_in!R5/SER_summary!R$27)</f>
        <v>0</v>
      </c>
      <c r="S5" s="132">
        <f>IF(SER_hh_emih_in!S5=0,0,SER_hh_emih_in!S5/SER_summary!S$27)</f>
        <v>0</v>
      </c>
      <c r="T5" s="132">
        <f>IF(SER_hh_emih_in!T5=0,0,SER_hh_emih_in!T5/SER_summary!T$27)</f>
        <v>0</v>
      </c>
      <c r="U5" s="132">
        <f>IF(SER_hh_emih_in!U5=0,0,SER_hh_emih_in!U5/SER_summary!U$27)</f>
        <v>0</v>
      </c>
      <c r="V5" s="132">
        <f>IF(SER_hh_emih_in!V5=0,0,SER_hh_emih_in!V5/SER_summary!V$27)</f>
        <v>0</v>
      </c>
      <c r="W5" s="132">
        <f>IF(SER_hh_emih_in!W5=0,0,SER_hh_emih_in!W5/SER_summary!W$27)</f>
        <v>0</v>
      </c>
      <c r="X5" s="132">
        <f>IF(SER_hh_emih_in!X5=0,0,SER_hh_emih_in!X5/SER_summary!X$27)</f>
        <v>0</v>
      </c>
      <c r="Y5" s="132">
        <f>IF(SER_hh_emih_in!Y5=0,0,SER_hh_emih_in!Y5/SER_summary!Y$27)</f>
        <v>0</v>
      </c>
      <c r="DA5" s="156" t="s">
        <v>881</v>
      </c>
    </row>
    <row r="6" spans="1:105" ht="12" customHeight="1" x14ac:dyDescent="0.25">
      <c r="A6" s="131" t="s">
        <v>52</v>
      </c>
      <c r="B6" s="132"/>
      <c r="C6" s="132">
        <f>IF(SER_hh_emih_in!C6=0,0,SER_hh_emih_in!C6/SER_summary!C$27)</f>
        <v>0</v>
      </c>
      <c r="D6" s="132">
        <f>IF(SER_hh_emih_in!D6=0,0,SER_hh_emih_in!D6/SER_summary!D$27)</f>
        <v>0</v>
      </c>
      <c r="E6" s="132">
        <f>IF(SER_hh_emih_in!E6=0,0,SER_hh_emih_in!E6/SER_summary!E$27)</f>
        <v>0</v>
      </c>
      <c r="F6" s="132">
        <f>IF(SER_hh_emih_in!F6=0,0,SER_hh_emih_in!F6/SER_summary!F$27)</f>
        <v>0</v>
      </c>
      <c r="G6" s="132">
        <f>IF(SER_hh_emih_in!G6=0,0,SER_hh_emih_in!G6/SER_summary!G$27)</f>
        <v>0</v>
      </c>
      <c r="H6" s="132">
        <f>IF(SER_hh_emih_in!H6=0,0,SER_hh_emih_in!H6/SER_summary!H$27)</f>
        <v>0</v>
      </c>
      <c r="I6" s="132">
        <f>IF(SER_hh_emih_in!I6=0,0,SER_hh_emih_in!I6/SER_summary!I$27)</f>
        <v>0</v>
      </c>
      <c r="J6" s="132">
        <f>IF(SER_hh_emih_in!J6=0,0,SER_hh_emih_in!J6/SER_summary!J$27)</f>
        <v>0</v>
      </c>
      <c r="K6" s="132">
        <f>IF(SER_hh_emih_in!K6=0,0,SER_hh_emih_in!K6/SER_summary!K$27)</f>
        <v>0</v>
      </c>
      <c r="L6" s="132">
        <f>IF(SER_hh_emih_in!L6=0,0,SER_hh_emih_in!L6/SER_summary!L$27)</f>
        <v>0</v>
      </c>
      <c r="M6" s="132">
        <f>IF(SER_hh_emih_in!M6=0,0,SER_hh_emih_in!M6/SER_summary!M$27)</f>
        <v>0</v>
      </c>
      <c r="N6" s="132">
        <f>IF(SER_hh_emih_in!N6=0,0,SER_hh_emih_in!N6/SER_summary!N$27)</f>
        <v>0</v>
      </c>
      <c r="O6" s="132">
        <f>IF(SER_hh_emih_in!O6=0,0,SER_hh_emih_in!O6/SER_summary!O$27)</f>
        <v>0</v>
      </c>
      <c r="P6" s="132">
        <f>IF(SER_hh_emih_in!P6=0,0,SER_hh_emih_in!P6/SER_summary!P$27)</f>
        <v>0</v>
      </c>
      <c r="Q6" s="132">
        <f>IF(SER_hh_emih_in!Q6=0,0,SER_hh_emih_in!Q6/SER_summary!Q$27)</f>
        <v>0</v>
      </c>
      <c r="R6" s="132">
        <f>IF(SER_hh_emih_in!R6=0,0,SER_hh_emih_in!R6/SER_summary!R$27)</f>
        <v>0</v>
      </c>
      <c r="S6" s="132">
        <f>IF(SER_hh_emih_in!S6=0,0,SER_hh_emih_in!S6/SER_summary!S$27)</f>
        <v>0</v>
      </c>
      <c r="T6" s="132">
        <f>IF(SER_hh_emih_in!T6=0,0,SER_hh_emih_in!T6/SER_summary!T$27)</f>
        <v>0</v>
      </c>
      <c r="U6" s="132">
        <f>IF(SER_hh_emih_in!U6=0,0,SER_hh_emih_in!U6/SER_summary!U$27)</f>
        <v>0</v>
      </c>
      <c r="V6" s="132">
        <f>IF(SER_hh_emih_in!V6=0,0,SER_hh_emih_in!V6/SER_summary!V$27)</f>
        <v>0</v>
      </c>
      <c r="W6" s="132">
        <f>IF(SER_hh_emih_in!W6=0,0,SER_hh_emih_in!W6/SER_summary!W$27)</f>
        <v>0</v>
      </c>
      <c r="X6" s="132">
        <f>IF(SER_hh_emih_in!X6=0,0,SER_hh_emih_in!X6/SER_summary!X$27)</f>
        <v>0</v>
      </c>
      <c r="Y6" s="132">
        <f>IF(SER_hh_emih_in!Y6=0,0,SER_hh_emih_in!Y6/SER_summary!Y$27)</f>
        <v>0</v>
      </c>
      <c r="DA6" s="156" t="s">
        <v>882</v>
      </c>
    </row>
    <row r="7" spans="1:105" ht="12" customHeight="1" x14ac:dyDescent="0.25">
      <c r="A7" s="131" t="s">
        <v>161</v>
      </c>
      <c r="B7" s="132"/>
      <c r="C7" s="132">
        <f>IF(SER_hh_emih_in!C7=0,0,SER_hh_emih_in!C7/SER_summary!C$27)</f>
        <v>3.5871182681522149</v>
      </c>
      <c r="D7" s="132">
        <f>IF(SER_hh_emih_in!D7=0,0,SER_hh_emih_in!D7/SER_summary!D$27)</f>
        <v>2.9851501481149914</v>
      </c>
      <c r="E7" s="132">
        <f>IF(SER_hh_emih_in!E7=0,0,SER_hh_emih_in!E7/SER_summary!E$27)</f>
        <v>2.9983203513841699</v>
      </c>
      <c r="F7" s="132">
        <f>IF(SER_hh_emih_in!F7=0,0,SER_hh_emih_in!F7/SER_summary!F$27)</f>
        <v>3.292360770662941</v>
      </c>
      <c r="G7" s="132">
        <f>IF(SER_hh_emih_in!G7=0,0,SER_hh_emih_in!G7/SER_summary!G$27)</f>
        <v>0</v>
      </c>
      <c r="H7" s="132">
        <f>IF(SER_hh_emih_in!H7=0,0,SER_hh_emih_in!H7/SER_summary!H$27)</f>
        <v>0</v>
      </c>
      <c r="I7" s="132">
        <f>IF(SER_hh_emih_in!I7=0,0,SER_hh_emih_in!I7/SER_summary!I$27)</f>
        <v>0</v>
      </c>
      <c r="J7" s="132">
        <f>IF(SER_hh_emih_in!J7=0,0,SER_hh_emih_in!J7/SER_summary!J$27)</f>
        <v>0</v>
      </c>
      <c r="K7" s="132">
        <f>IF(SER_hh_emih_in!K7=0,0,SER_hh_emih_in!K7/SER_summary!K$27)</f>
        <v>0</v>
      </c>
      <c r="L7" s="132">
        <f>IF(SER_hh_emih_in!L7=0,0,SER_hh_emih_in!L7/SER_summary!L$27)</f>
        <v>4.0004083127645229</v>
      </c>
      <c r="M7" s="132">
        <f>IF(SER_hh_emih_in!M7=0,0,SER_hh_emih_in!M7/SER_summary!M$27)</f>
        <v>3.3510312518371874</v>
      </c>
      <c r="N7" s="132">
        <f>IF(SER_hh_emih_in!N7=0,0,SER_hh_emih_in!N7/SER_summary!N$27)</f>
        <v>3.2019714453825459</v>
      </c>
      <c r="O7" s="132">
        <f>IF(SER_hh_emih_in!O7=0,0,SER_hh_emih_in!O7/SER_summary!O$27)</f>
        <v>3.0227545803409499</v>
      </c>
      <c r="P7" s="132">
        <f>IF(SER_hh_emih_in!P7=0,0,SER_hh_emih_in!P7/SER_summary!P$27)</f>
        <v>2.0984281730411931</v>
      </c>
      <c r="Q7" s="132">
        <f>IF(SER_hh_emih_in!Q7=0,0,SER_hh_emih_in!Q7/SER_summary!Q$27)</f>
        <v>1.4059047798091189</v>
      </c>
      <c r="R7" s="132">
        <f>IF(SER_hh_emih_in!R7=0,0,SER_hh_emih_in!R7/SER_summary!R$27)</f>
        <v>1.8124061041844952</v>
      </c>
      <c r="S7" s="132">
        <f>IF(SER_hh_emih_in!S7=0,0,SER_hh_emih_in!S7/SER_summary!S$27)</f>
        <v>2.1230045492154845</v>
      </c>
      <c r="T7" s="132">
        <f>IF(SER_hh_emih_in!T7=0,0,SER_hh_emih_in!T7/SER_summary!T$27)</f>
        <v>2.3717655933764279</v>
      </c>
      <c r="U7" s="132">
        <f>IF(SER_hh_emih_in!U7=0,0,SER_hh_emih_in!U7/SER_summary!U$27)</f>
        <v>2.364103393201995</v>
      </c>
      <c r="V7" s="132">
        <f>IF(SER_hh_emih_in!V7=0,0,SER_hh_emih_in!V7/SER_summary!V$27)</f>
        <v>0</v>
      </c>
      <c r="W7" s="132">
        <f>IF(SER_hh_emih_in!W7=0,0,SER_hh_emih_in!W7/SER_summary!W$27)</f>
        <v>0</v>
      </c>
      <c r="X7" s="132">
        <f>IF(SER_hh_emih_in!X7=0,0,SER_hh_emih_in!X7/SER_summary!X$27)</f>
        <v>0</v>
      </c>
      <c r="Y7" s="132">
        <f>IF(SER_hh_emih_in!Y7=0,0,SER_hh_emih_in!Y7/SER_summary!Y$27)</f>
        <v>0</v>
      </c>
      <c r="DA7" s="156" t="s">
        <v>883</v>
      </c>
    </row>
    <row r="8" spans="1:105" ht="12" customHeight="1" x14ac:dyDescent="0.25">
      <c r="A8" s="131" t="s">
        <v>73</v>
      </c>
      <c r="B8" s="132"/>
      <c r="C8" s="132">
        <f>IF(SER_hh_emih_in!C8=0,0,SER_hh_emih_in!C8/SER_summary!C$27)</f>
        <v>0.80204292130615962</v>
      </c>
      <c r="D8" s="132">
        <f>IF(SER_hh_emih_in!D8=0,0,SER_hh_emih_in!D8/SER_summary!D$27)</f>
        <v>0.70136627267332408</v>
      </c>
      <c r="E8" s="132">
        <f>IF(SER_hh_emih_in!E8=0,0,SER_hh_emih_in!E8/SER_summary!E$27)</f>
        <v>0.44386717695422556</v>
      </c>
      <c r="F8" s="132">
        <f>IF(SER_hh_emih_in!F8=0,0,SER_hh_emih_in!F8/SER_summary!F$27)</f>
        <v>0.46493177063557301</v>
      </c>
      <c r="G8" s="132">
        <f>IF(SER_hh_emih_in!G8=0,0,SER_hh_emih_in!G8/SER_summary!G$27)</f>
        <v>0.6746215627992499</v>
      </c>
      <c r="H8" s="132">
        <f>IF(SER_hh_emih_in!H8=0,0,SER_hh_emih_in!H8/SER_summary!H$27)</f>
        <v>0.98461452167851016</v>
      </c>
      <c r="I8" s="132">
        <f>IF(SER_hh_emih_in!I8=0,0,SER_hh_emih_in!I8/SER_summary!I$27)</f>
        <v>0.79672333964730124</v>
      </c>
      <c r="J8" s="132">
        <f>IF(SER_hh_emih_in!J8=0,0,SER_hh_emih_in!J8/SER_summary!J$27)</f>
        <v>0.73538713662635824</v>
      </c>
      <c r="K8" s="132">
        <f>IF(SER_hh_emih_in!K8=0,0,SER_hh_emih_in!K8/SER_summary!K$27)</f>
        <v>0.64601918278563475</v>
      </c>
      <c r="L8" s="132">
        <f>IF(SER_hh_emih_in!L8=0,0,SER_hh_emih_in!L8/SER_summary!L$27)</f>
        <v>0.53737751256466437</v>
      </c>
      <c r="M8" s="132">
        <f>IF(SER_hh_emih_in!M8=0,0,SER_hh_emih_in!M8/SER_summary!M$27)</f>
        <v>0.5074574687249227</v>
      </c>
      <c r="N8" s="132">
        <f>IF(SER_hh_emih_in!N8=0,0,SER_hh_emih_in!N8/SER_summary!N$27)</f>
        <v>0.36546724567950412</v>
      </c>
      <c r="O8" s="132">
        <f>IF(SER_hh_emih_in!O8=0,0,SER_hh_emih_in!O8/SER_summary!O$27)</f>
        <v>0.32504218922665823</v>
      </c>
      <c r="P8" s="132">
        <f>IF(SER_hh_emih_in!P8=0,0,SER_hh_emih_in!P8/SER_summary!P$27)</f>
        <v>0.31350298184471165</v>
      </c>
      <c r="Q8" s="132">
        <f>IF(SER_hh_emih_in!Q8=0,0,SER_hh_emih_in!Q8/SER_summary!Q$27)</f>
        <v>0.29147867480997935</v>
      </c>
      <c r="R8" s="132">
        <f>IF(SER_hh_emih_in!R8=0,0,SER_hh_emih_in!R8/SER_summary!R$27)</f>
        <v>0.31364421884698002</v>
      </c>
      <c r="S8" s="132">
        <f>IF(SER_hh_emih_in!S8=0,0,SER_hh_emih_in!S8/SER_summary!S$27)</f>
        <v>0.33249219219355036</v>
      </c>
      <c r="T8" s="132">
        <f>IF(SER_hh_emih_in!T8=0,0,SER_hh_emih_in!T8/SER_summary!T$27)</f>
        <v>0.31944133321219731</v>
      </c>
      <c r="U8" s="132">
        <f>IF(SER_hh_emih_in!U8=0,0,SER_hh_emih_in!U8/SER_summary!U$27)</f>
        <v>0.44773413161591674</v>
      </c>
      <c r="V8" s="132">
        <f>IF(SER_hh_emih_in!V8=0,0,SER_hh_emih_in!V8/SER_summary!V$27)</f>
        <v>0.3368251138411868</v>
      </c>
      <c r="W8" s="132">
        <f>IF(SER_hh_emih_in!W8=0,0,SER_hh_emih_in!W8/SER_summary!W$27)</f>
        <v>0.39023563209650036</v>
      </c>
      <c r="X8" s="132">
        <f>IF(SER_hh_emih_in!X8=0,0,SER_hh_emih_in!X8/SER_summary!X$27)</f>
        <v>0.40220581533772265</v>
      </c>
      <c r="Y8" s="132">
        <f>IF(SER_hh_emih_in!Y8=0,0,SER_hh_emih_in!Y8/SER_summary!Y$27)</f>
        <v>0.44809246215940857</v>
      </c>
      <c r="DA8" s="156" t="s">
        <v>884</v>
      </c>
    </row>
    <row r="9" spans="1:105" ht="12" customHeight="1" x14ac:dyDescent="0.25">
      <c r="A9" s="131" t="s">
        <v>78</v>
      </c>
      <c r="B9" s="132"/>
      <c r="C9" s="132">
        <f>IF(SER_hh_emih_in!C9=0,0,SER_hh_emih_in!C9/SER_summary!C$27)</f>
        <v>0</v>
      </c>
      <c r="D9" s="132">
        <f>IF(SER_hh_emih_in!D9=0,0,SER_hh_emih_in!D9/SER_summary!D$27)</f>
        <v>0</v>
      </c>
      <c r="E9" s="132">
        <f>IF(SER_hh_emih_in!E9=0,0,SER_hh_emih_in!E9/SER_summary!E$27)</f>
        <v>0</v>
      </c>
      <c r="F9" s="132">
        <f>IF(SER_hh_emih_in!F9=0,0,SER_hh_emih_in!F9/SER_summary!F$27)</f>
        <v>0.34033986472807448</v>
      </c>
      <c r="G9" s="132">
        <f>IF(SER_hh_emih_in!G9=0,0,SER_hh_emih_in!G9/SER_summary!G$27)</f>
        <v>1.8061626666683321</v>
      </c>
      <c r="H9" s="132">
        <f>IF(SER_hh_emih_in!H9=0,0,SER_hh_emih_in!H9/SER_summary!H$27)</f>
        <v>5.7880061575894324</v>
      </c>
      <c r="I9" s="132">
        <f>IF(SER_hh_emih_in!I9=0,0,SER_hh_emih_in!I9/SER_summary!I$27)</f>
        <v>2.6433014829854304</v>
      </c>
      <c r="J9" s="132">
        <f>IF(SER_hh_emih_in!J9=0,0,SER_hh_emih_in!J9/SER_summary!J$27)</f>
        <v>1.960527105645544</v>
      </c>
      <c r="K9" s="132">
        <f>IF(SER_hh_emih_in!K9=0,0,SER_hh_emih_in!K9/SER_summary!K$27)</f>
        <v>2.5350943601466969</v>
      </c>
      <c r="L9" s="132">
        <f>IF(SER_hh_emih_in!L9=0,0,SER_hh_emih_in!L9/SER_summary!L$27)</f>
        <v>3.2970963764523367</v>
      </c>
      <c r="M9" s="132">
        <f>IF(SER_hh_emih_in!M9=0,0,SER_hh_emih_in!M9/SER_summary!M$27)</f>
        <v>3.5403310246045647</v>
      </c>
      <c r="N9" s="132">
        <f>IF(SER_hh_emih_in!N9=0,0,SER_hh_emih_in!N9/SER_summary!N$27)</f>
        <v>2.4834819022617292</v>
      </c>
      <c r="O9" s="132">
        <f>IF(SER_hh_emih_in!O9=0,0,SER_hh_emih_in!O9/SER_summary!O$27)</f>
        <v>0</v>
      </c>
      <c r="P9" s="132">
        <f>IF(SER_hh_emih_in!P9=0,0,SER_hh_emih_in!P9/SER_summary!P$27)</f>
        <v>0</v>
      </c>
      <c r="Q9" s="132">
        <f>IF(SER_hh_emih_in!Q9=0,0,SER_hh_emih_in!Q9/SER_summary!Q$27)</f>
        <v>0</v>
      </c>
      <c r="R9" s="132">
        <f>IF(SER_hh_emih_in!R9=0,0,SER_hh_emih_in!R9/SER_summary!R$27)</f>
        <v>0</v>
      </c>
      <c r="S9" s="132">
        <f>IF(SER_hh_emih_in!S9=0,0,SER_hh_emih_in!S9/SER_summary!S$27)</f>
        <v>0</v>
      </c>
      <c r="T9" s="132">
        <f>IF(SER_hh_emih_in!T9=0,0,SER_hh_emih_in!T9/SER_summary!T$27)</f>
        <v>1.7391118028239891</v>
      </c>
      <c r="U9" s="132">
        <f>IF(SER_hh_emih_in!U9=0,0,SER_hh_emih_in!U9/SER_summary!U$27)</f>
        <v>1.7452833721721448</v>
      </c>
      <c r="V9" s="132">
        <f>IF(SER_hh_emih_in!V9=0,0,SER_hh_emih_in!V9/SER_summary!V$27)</f>
        <v>1.5060639965940856</v>
      </c>
      <c r="W9" s="132">
        <f>IF(SER_hh_emih_in!W9=0,0,SER_hh_emih_in!W9/SER_summary!W$27)</f>
        <v>1.8828992123813979</v>
      </c>
      <c r="X9" s="132">
        <f>IF(SER_hh_emih_in!X9=0,0,SER_hh_emih_in!X9/SER_summary!X$27)</f>
        <v>1.7927869930225913</v>
      </c>
      <c r="Y9" s="132">
        <f>IF(SER_hh_emih_in!Y9=0,0,SER_hh_emih_in!Y9/SER_summary!Y$27)</f>
        <v>1.9569205481911442</v>
      </c>
      <c r="DA9" s="156" t="s">
        <v>885</v>
      </c>
    </row>
    <row r="10" spans="1:105" ht="12" customHeight="1" x14ac:dyDescent="0.25">
      <c r="A10" s="131" t="s">
        <v>128</v>
      </c>
      <c r="B10" s="132"/>
      <c r="C10" s="132">
        <f>IF(SER_hh_emih_in!C10=0,0,SER_hh_emih_in!C10/SER_summary!C$27)</f>
        <v>0</v>
      </c>
      <c r="D10" s="132">
        <f>IF(SER_hh_emih_in!D10=0,0,SER_hh_emih_in!D10/SER_summary!D$27)</f>
        <v>0</v>
      </c>
      <c r="E10" s="132">
        <f>IF(SER_hh_emih_in!E10=0,0,SER_hh_emih_in!E10/SER_summary!E$27)</f>
        <v>0</v>
      </c>
      <c r="F10" s="132">
        <f>IF(SER_hh_emih_in!F10=0,0,SER_hh_emih_in!F10/SER_summary!F$27)</f>
        <v>0</v>
      </c>
      <c r="G10" s="132">
        <f>IF(SER_hh_emih_in!G10=0,0,SER_hh_emih_in!G10/SER_summary!G$27)</f>
        <v>0</v>
      </c>
      <c r="H10" s="132">
        <f>IF(SER_hh_emih_in!H10=0,0,SER_hh_emih_in!H10/SER_summary!H$27)</f>
        <v>0</v>
      </c>
      <c r="I10" s="132">
        <f>IF(SER_hh_emih_in!I10=0,0,SER_hh_emih_in!I10/SER_summary!I$27)</f>
        <v>0</v>
      </c>
      <c r="J10" s="132">
        <f>IF(SER_hh_emih_in!J10=0,0,SER_hh_emih_in!J10/SER_summary!J$27)</f>
        <v>0</v>
      </c>
      <c r="K10" s="132">
        <f>IF(SER_hh_emih_in!K10=0,0,SER_hh_emih_in!K10/SER_summary!K$27)</f>
        <v>0</v>
      </c>
      <c r="L10" s="132">
        <f>IF(SER_hh_emih_in!L10=0,0,SER_hh_emih_in!L10/SER_summary!L$27)</f>
        <v>0</v>
      </c>
      <c r="M10" s="132">
        <f>IF(SER_hh_emih_in!M10=0,0,SER_hh_emih_in!M10/SER_summary!M$27)</f>
        <v>0</v>
      </c>
      <c r="N10" s="132">
        <f>IF(SER_hh_emih_in!N10=0,0,SER_hh_emih_in!N10/SER_summary!N$27)</f>
        <v>0</v>
      </c>
      <c r="O10" s="132">
        <f>IF(SER_hh_emih_in!O10=0,0,SER_hh_emih_in!O10/SER_summary!O$27)</f>
        <v>0</v>
      </c>
      <c r="P10" s="132">
        <f>IF(SER_hh_emih_in!P10=0,0,SER_hh_emih_in!P10/SER_summary!P$27)</f>
        <v>0</v>
      </c>
      <c r="Q10" s="132">
        <f>IF(SER_hh_emih_in!Q10=0,0,SER_hh_emih_in!Q10/SER_summary!Q$27)</f>
        <v>7.7884310301419957E-2</v>
      </c>
      <c r="R10" s="132">
        <f>IF(SER_hh_emih_in!R10=0,0,SER_hh_emih_in!R10/SER_summary!R$27)</f>
        <v>0.17095477971313455</v>
      </c>
      <c r="S10" s="132">
        <f>IF(SER_hh_emih_in!S10=0,0,SER_hh_emih_in!S10/SER_summary!S$27)</f>
        <v>0.21020215752596388</v>
      </c>
      <c r="T10" s="132">
        <f>IF(SER_hh_emih_in!T10=0,0,SER_hh_emih_in!T10/SER_summary!T$27)</f>
        <v>0</v>
      </c>
      <c r="U10" s="132">
        <f>IF(SER_hh_emih_in!U10=0,0,SER_hh_emih_in!U10/SER_summary!U$27)</f>
        <v>0</v>
      </c>
      <c r="V10" s="132">
        <f>IF(SER_hh_emih_in!V10=0,0,SER_hh_emih_in!V10/SER_summary!V$27)</f>
        <v>0</v>
      </c>
      <c r="W10" s="132">
        <f>IF(SER_hh_emih_in!W10=0,0,SER_hh_emih_in!W10/SER_summary!W$27)</f>
        <v>0.18741009733666888</v>
      </c>
      <c r="X10" s="132">
        <f>IF(SER_hh_emih_in!X10=0,0,SER_hh_emih_in!X10/SER_summary!X$27)</f>
        <v>0.23921810203244076</v>
      </c>
      <c r="Y10" s="132">
        <f>IF(SER_hh_emih_in!Y10=0,0,SER_hh_emih_in!Y10/SER_summary!Y$27)</f>
        <v>0.2053924647350531</v>
      </c>
      <c r="DA10" s="156" t="s">
        <v>886</v>
      </c>
    </row>
    <row r="11" spans="1:105" ht="12" customHeight="1" x14ac:dyDescent="0.25">
      <c r="A11" s="131" t="s">
        <v>25</v>
      </c>
      <c r="B11" s="132"/>
      <c r="C11" s="132">
        <f>IF(SER_hh_emih_in!C11=0,0,SER_hh_emih_in!C11/SER_summary!C$27)</f>
        <v>0</v>
      </c>
      <c r="D11" s="132">
        <f>IF(SER_hh_emih_in!D11=0,0,SER_hh_emih_in!D11/SER_summary!D$27)</f>
        <v>0</v>
      </c>
      <c r="E11" s="132">
        <f>IF(SER_hh_emih_in!E11=0,0,SER_hh_emih_in!E11/SER_summary!E$27)</f>
        <v>0</v>
      </c>
      <c r="F11" s="132">
        <f>IF(SER_hh_emih_in!F11=0,0,SER_hh_emih_in!F11/SER_summary!F$27)</f>
        <v>0</v>
      </c>
      <c r="G11" s="132">
        <f>IF(SER_hh_emih_in!G11=0,0,SER_hh_emih_in!G11/SER_summary!G$27)</f>
        <v>0</v>
      </c>
      <c r="H11" s="132">
        <f>IF(SER_hh_emih_in!H11=0,0,SER_hh_emih_in!H11/SER_summary!H$27)</f>
        <v>0</v>
      </c>
      <c r="I11" s="132">
        <f>IF(SER_hh_emih_in!I11=0,0,SER_hh_emih_in!I11/SER_summary!I$27)</f>
        <v>0</v>
      </c>
      <c r="J11" s="132">
        <f>IF(SER_hh_emih_in!J11=0,0,SER_hh_emih_in!J11/SER_summary!J$27)</f>
        <v>0</v>
      </c>
      <c r="K11" s="132">
        <f>IF(SER_hh_emih_in!K11=0,0,SER_hh_emih_in!K11/SER_summary!K$27)</f>
        <v>0</v>
      </c>
      <c r="L11" s="132">
        <f>IF(SER_hh_emih_in!L11=0,0,SER_hh_emih_in!L11/SER_summary!L$27)</f>
        <v>0</v>
      </c>
      <c r="M11" s="132">
        <f>IF(SER_hh_emih_in!M11=0,0,SER_hh_emih_in!M11/SER_summary!M$27)</f>
        <v>0</v>
      </c>
      <c r="N11" s="132">
        <f>IF(SER_hh_emih_in!N11=0,0,SER_hh_emih_in!N11/SER_summary!N$27)</f>
        <v>0</v>
      </c>
      <c r="O11" s="132">
        <f>IF(SER_hh_emih_in!O11=0,0,SER_hh_emih_in!O11/SER_summary!O$27)</f>
        <v>0</v>
      </c>
      <c r="P11" s="132">
        <f>IF(SER_hh_emih_in!P11=0,0,SER_hh_emih_in!P11/SER_summary!P$27)</f>
        <v>0</v>
      </c>
      <c r="Q11" s="132">
        <f>IF(SER_hh_emih_in!Q11=0,0,SER_hh_emih_in!Q11/SER_summary!Q$27)</f>
        <v>0</v>
      </c>
      <c r="R11" s="132">
        <f>IF(SER_hh_emih_in!R11=0,0,SER_hh_emih_in!R11/SER_summary!R$27)</f>
        <v>0</v>
      </c>
      <c r="S11" s="132">
        <f>IF(SER_hh_emih_in!S11=0,0,SER_hh_emih_in!S11/SER_summary!S$27)</f>
        <v>0</v>
      </c>
      <c r="T11" s="132">
        <f>IF(SER_hh_emih_in!T11=0,0,SER_hh_emih_in!T11/SER_summary!T$27)</f>
        <v>0</v>
      </c>
      <c r="U11" s="132">
        <f>IF(SER_hh_emih_in!U11=0,0,SER_hh_emih_in!U11/SER_summary!U$27)</f>
        <v>0</v>
      </c>
      <c r="V11" s="132">
        <f>IF(SER_hh_emih_in!V11=0,0,SER_hh_emih_in!V11/SER_summary!V$27)</f>
        <v>0</v>
      </c>
      <c r="W11" s="132">
        <f>IF(SER_hh_emih_in!W11=0,0,SER_hh_emih_in!W11/SER_summary!W$27)</f>
        <v>0</v>
      </c>
      <c r="X11" s="132">
        <f>IF(SER_hh_emih_in!X11=0,0,SER_hh_emih_in!X11/SER_summary!X$27)</f>
        <v>0</v>
      </c>
      <c r="Y11" s="132">
        <f>IF(SER_hh_emih_in!Y11=0,0,SER_hh_emih_in!Y11/SER_summary!Y$27)</f>
        <v>0</v>
      </c>
      <c r="DA11" s="156" t="s">
        <v>887</v>
      </c>
    </row>
    <row r="12" spans="1:105" ht="12" customHeight="1" x14ac:dyDescent="0.25">
      <c r="A12" s="131" t="s">
        <v>162</v>
      </c>
      <c r="B12" s="132"/>
      <c r="C12" s="132">
        <f>IF(SER_hh_emih_in!C12=0,0,SER_hh_emih_in!C12/SER_summary!C$27)</f>
        <v>0</v>
      </c>
      <c r="D12" s="132">
        <f>IF(SER_hh_emih_in!D12=0,0,SER_hh_emih_in!D12/SER_summary!D$27)</f>
        <v>0</v>
      </c>
      <c r="E12" s="132">
        <f>IF(SER_hh_emih_in!E12=0,0,SER_hh_emih_in!E12/SER_summary!E$27)</f>
        <v>0</v>
      </c>
      <c r="F12" s="132">
        <f>IF(SER_hh_emih_in!F12=0,0,SER_hh_emih_in!F12/SER_summary!F$27)</f>
        <v>0</v>
      </c>
      <c r="G12" s="132">
        <f>IF(SER_hh_emih_in!G12=0,0,SER_hh_emih_in!G12/SER_summary!G$27)</f>
        <v>0</v>
      </c>
      <c r="H12" s="132">
        <f>IF(SER_hh_emih_in!H12=0,0,SER_hh_emih_in!H12/SER_summary!H$27)</f>
        <v>0</v>
      </c>
      <c r="I12" s="132">
        <f>IF(SER_hh_emih_in!I12=0,0,SER_hh_emih_in!I12/SER_summary!I$27)</f>
        <v>0</v>
      </c>
      <c r="J12" s="132">
        <f>IF(SER_hh_emih_in!J12=0,0,SER_hh_emih_in!J12/SER_summary!J$27)</f>
        <v>0</v>
      </c>
      <c r="K12" s="132">
        <f>IF(SER_hh_emih_in!K12=0,0,SER_hh_emih_in!K12/SER_summary!K$27)</f>
        <v>0</v>
      </c>
      <c r="L12" s="132">
        <f>IF(SER_hh_emih_in!L12=0,0,SER_hh_emih_in!L12/SER_summary!L$27)</f>
        <v>0</v>
      </c>
      <c r="M12" s="132">
        <f>IF(SER_hh_emih_in!M12=0,0,SER_hh_emih_in!M12/SER_summary!M$27)</f>
        <v>0</v>
      </c>
      <c r="N12" s="132">
        <f>IF(SER_hh_emih_in!N12=0,0,SER_hh_emih_in!N12/SER_summary!N$27)</f>
        <v>0</v>
      </c>
      <c r="O12" s="132">
        <f>IF(SER_hh_emih_in!O12=0,0,SER_hh_emih_in!O12/SER_summary!O$27)</f>
        <v>0</v>
      </c>
      <c r="P12" s="132">
        <f>IF(SER_hh_emih_in!P12=0,0,SER_hh_emih_in!P12/SER_summary!P$27)</f>
        <v>0</v>
      </c>
      <c r="Q12" s="132">
        <f>IF(SER_hh_emih_in!Q12=0,0,SER_hh_emih_in!Q12/SER_summary!Q$27)</f>
        <v>0</v>
      </c>
      <c r="R12" s="132">
        <f>IF(SER_hh_emih_in!R12=0,0,SER_hh_emih_in!R12/SER_summary!R$27)</f>
        <v>0</v>
      </c>
      <c r="S12" s="132">
        <f>IF(SER_hh_emih_in!S12=0,0,SER_hh_emih_in!S12/SER_summary!S$27)</f>
        <v>0</v>
      </c>
      <c r="T12" s="132">
        <f>IF(SER_hh_emih_in!T12=0,0,SER_hh_emih_in!T12/SER_summary!T$27)</f>
        <v>0</v>
      </c>
      <c r="U12" s="132">
        <f>IF(SER_hh_emih_in!U12=0,0,SER_hh_emih_in!U12/SER_summary!U$27)</f>
        <v>0</v>
      </c>
      <c r="V12" s="132">
        <f>IF(SER_hh_emih_in!V12=0,0,SER_hh_emih_in!V12/SER_summary!V$27)</f>
        <v>0</v>
      </c>
      <c r="W12" s="132">
        <f>IF(SER_hh_emih_in!W12=0,0,SER_hh_emih_in!W12/SER_summary!W$27)</f>
        <v>0</v>
      </c>
      <c r="X12" s="132">
        <f>IF(SER_hh_emih_in!X12=0,0,SER_hh_emih_in!X12/SER_summary!X$27)</f>
        <v>0</v>
      </c>
      <c r="Y12" s="132">
        <f>IF(SER_hh_emih_in!Y12=0,0,SER_hh_emih_in!Y12/SER_summary!Y$27)</f>
        <v>0</v>
      </c>
      <c r="DA12" s="156" t="s">
        <v>888</v>
      </c>
    </row>
    <row r="13" spans="1:105" ht="12" customHeight="1" x14ac:dyDescent="0.25">
      <c r="A13" s="131" t="s">
        <v>77</v>
      </c>
      <c r="B13" s="132"/>
      <c r="C13" s="132">
        <f>IF(SER_hh_emih_in!C13=0,0,SER_hh_emih_in!C13/SER_summary!C$27)</f>
        <v>0</v>
      </c>
      <c r="D13" s="132">
        <f>IF(SER_hh_emih_in!D13=0,0,SER_hh_emih_in!D13/SER_summary!D$27)</f>
        <v>0</v>
      </c>
      <c r="E13" s="132">
        <f>IF(SER_hh_emih_in!E13=0,0,SER_hh_emih_in!E13/SER_summary!E$27)</f>
        <v>0</v>
      </c>
      <c r="F13" s="132">
        <f>IF(SER_hh_emih_in!F13=0,0,SER_hh_emih_in!F13/SER_summary!F$27)</f>
        <v>0</v>
      </c>
      <c r="G13" s="132">
        <f>IF(SER_hh_emih_in!G13=0,0,SER_hh_emih_in!G13/SER_summary!G$27)</f>
        <v>0</v>
      </c>
      <c r="H13" s="132">
        <f>IF(SER_hh_emih_in!H13=0,0,SER_hh_emih_in!H13/SER_summary!H$27)</f>
        <v>0</v>
      </c>
      <c r="I13" s="132">
        <f>IF(SER_hh_emih_in!I13=0,0,SER_hh_emih_in!I13/SER_summary!I$27)</f>
        <v>0</v>
      </c>
      <c r="J13" s="132">
        <f>IF(SER_hh_emih_in!J13=0,0,SER_hh_emih_in!J13/SER_summary!J$27)</f>
        <v>0</v>
      </c>
      <c r="K13" s="132">
        <f>IF(SER_hh_emih_in!K13=0,0,SER_hh_emih_in!K13/SER_summary!K$27)</f>
        <v>0</v>
      </c>
      <c r="L13" s="132">
        <f>IF(SER_hh_emih_in!L13=0,0,SER_hh_emih_in!L13/SER_summary!L$27)</f>
        <v>0</v>
      </c>
      <c r="M13" s="132">
        <f>IF(SER_hh_emih_in!M13=0,0,SER_hh_emih_in!M13/SER_summary!M$27)</f>
        <v>0</v>
      </c>
      <c r="N13" s="132">
        <f>IF(SER_hh_emih_in!N13=0,0,SER_hh_emih_in!N13/SER_summary!N$27)</f>
        <v>0</v>
      </c>
      <c r="O13" s="132">
        <f>IF(SER_hh_emih_in!O13=0,0,SER_hh_emih_in!O13/SER_summary!O$27)</f>
        <v>0</v>
      </c>
      <c r="P13" s="132">
        <f>IF(SER_hh_emih_in!P13=0,0,SER_hh_emih_in!P13/SER_summary!P$27)</f>
        <v>0</v>
      </c>
      <c r="Q13" s="132">
        <f>IF(SER_hh_emih_in!Q13=0,0,SER_hh_emih_in!Q13/SER_summary!Q$27)</f>
        <v>0</v>
      </c>
      <c r="R13" s="132">
        <f>IF(SER_hh_emih_in!R13=0,0,SER_hh_emih_in!R13/SER_summary!R$27)</f>
        <v>0</v>
      </c>
      <c r="S13" s="132">
        <f>IF(SER_hh_emih_in!S13=0,0,SER_hh_emih_in!S13/SER_summary!S$27)</f>
        <v>0</v>
      </c>
      <c r="T13" s="132">
        <f>IF(SER_hh_emih_in!T13=0,0,SER_hh_emih_in!T13/SER_summary!T$27)</f>
        <v>0</v>
      </c>
      <c r="U13" s="132">
        <f>IF(SER_hh_emih_in!U13=0,0,SER_hh_emih_in!U13/SER_summary!U$27)</f>
        <v>0</v>
      </c>
      <c r="V13" s="132">
        <f>IF(SER_hh_emih_in!V13=0,0,SER_hh_emih_in!V13/SER_summary!V$27)</f>
        <v>0</v>
      </c>
      <c r="W13" s="132">
        <f>IF(SER_hh_emih_in!W13=0,0,SER_hh_emih_in!W13/SER_summary!W$27)</f>
        <v>0</v>
      </c>
      <c r="X13" s="132">
        <f>IF(SER_hh_emih_in!X13=0,0,SER_hh_emih_in!X13/SER_summary!X$27)</f>
        <v>0</v>
      </c>
      <c r="Y13" s="132">
        <f>IF(SER_hh_emih_in!Y13=0,0,SER_hh_emih_in!Y13/SER_summary!Y$27)</f>
        <v>0</v>
      </c>
      <c r="DA13" s="156" t="s">
        <v>889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X14" s="65">
        <f>IF(SER_hh_emih_in!X14=0,0,SER_hh_emih_in!X14/SER_summary!X$27)</f>
        <v>0</v>
      </c>
      <c r="Y14" s="65">
        <f>IF(SER_hh_emih_in!Y14=0,0,SER_hh_emih_in!Y14/SER_summary!Y$27)</f>
        <v>0</v>
      </c>
      <c r="DA14" s="109" t="s">
        <v>890</v>
      </c>
    </row>
    <row r="15" spans="1:105" ht="12" customHeight="1" x14ac:dyDescent="0.25">
      <c r="A15" s="133" t="s">
        <v>80</v>
      </c>
      <c r="B15" s="134"/>
      <c r="C15" s="134">
        <f>IF(SER_hh_emih_in!C15=0,0,SER_hh_emih_in!C15/SER_summary!C$27)</f>
        <v>0</v>
      </c>
      <c r="D15" s="134">
        <f>IF(SER_hh_emih_in!D15=0,0,SER_hh_emih_in!D15/SER_summary!D$27)</f>
        <v>0</v>
      </c>
      <c r="E15" s="134">
        <f>IF(SER_hh_emih_in!E15=0,0,SER_hh_emih_in!E15/SER_summary!E$27)</f>
        <v>0</v>
      </c>
      <c r="F15" s="134">
        <f>IF(SER_hh_emih_in!F15=0,0,SER_hh_emih_in!F15/SER_summary!F$27)</f>
        <v>0</v>
      </c>
      <c r="G15" s="134">
        <f>IF(SER_hh_emih_in!G15=0,0,SER_hh_emih_in!G15/SER_summary!G$27)</f>
        <v>0</v>
      </c>
      <c r="H15" s="134">
        <f>IF(SER_hh_emih_in!H15=0,0,SER_hh_emih_in!H15/SER_summary!H$27)</f>
        <v>0</v>
      </c>
      <c r="I15" s="134">
        <f>IF(SER_hh_emih_in!I15=0,0,SER_hh_emih_in!I15/SER_summary!I$27)</f>
        <v>0</v>
      </c>
      <c r="J15" s="134">
        <f>IF(SER_hh_emih_in!J15=0,0,SER_hh_emih_in!J15/SER_summary!J$27)</f>
        <v>0</v>
      </c>
      <c r="K15" s="134">
        <f>IF(SER_hh_emih_in!K15=0,0,SER_hh_emih_in!K15/SER_summary!K$27)</f>
        <v>0</v>
      </c>
      <c r="L15" s="134">
        <f>IF(SER_hh_emih_in!L15=0,0,SER_hh_emih_in!L15/SER_summary!L$27)</f>
        <v>0</v>
      </c>
      <c r="M15" s="134">
        <f>IF(SER_hh_emih_in!M15=0,0,SER_hh_emih_in!M15/SER_summary!M$27)</f>
        <v>0</v>
      </c>
      <c r="N15" s="134">
        <f>IF(SER_hh_emih_in!N15=0,0,SER_hh_emih_in!N15/SER_summary!N$27)</f>
        <v>0</v>
      </c>
      <c r="O15" s="134">
        <f>IF(SER_hh_emih_in!O15=0,0,SER_hh_emih_in!O15/SER_summary!O$27)</f>
        <v>0</v>
      </c>
      <c r="P15" s="134">
        <f>IF(SER_hh_emih_in!P15=0,0,SER_hh_emih_in!P15/SER_summary!P$27)</f>
        <v>0</v>
      </c>
      <c r="Q15" s="134">
        <f>IF(SER_hh_emih_in!Q15=0,0,SER_hh_emih_in!Q15/SER_summary!Q$27)</f>
        <v>0</v>
      </c>
      <c r="R15" s="134">
        <f>IF(SER_hh_emih_in!R15=0,0,SER_hh_emih_in!R15/SER_summary!R$27)</f>
        <v>0</v>
      </c>
      <c r="S15" s="134">
        <f>IF(SER_hh_emih_in!S15=0,0,SER_hh_emih_in!S15/SER_summary!S$27)</f>
        <v>0</v>
      </c>
      <c r="T15" s="134">
        <f>IF(SER_hh_emih_in!T15=0,0,SER_hh_emih_in!T15/SER_summary!T$27)</f>
        <v>0</v>
      </c>
      <c r="U15" s="134">
        <f>IF(SER_hh_emih_in!U15=0,0,SER_hh_emih_in!U15/SER_summary!U$27)</f>
        <v>0</v>
      </c>
      <c r="V15" s="134">
        <f>IF(SER_hh_emih_in!V15=0,0,SER_hh_emih_in!V15/SER_summary!V$27)</f>
        <v>0</v>
      </c>
      <c r="W15" s="134">
        <f>IF(SER_hh_emih_in!W15=0,0,SER_hh_emih_in!W15/SER_summary!W$27)</f>
        <v>0</v>
      </c>
      <c r="X15" s="134">
        <f>IF(SER_hh_emih_in!X15=0,0,SER_hh_emih_in!X15/SER_summary!X$27)</f>
        <v>0</v>
      </c>
      <c r="Y15" s="134">
        <f>IF(SER_hh_emih_in!Y15=0,0,SER_hh_emih_in!Y15/SER_summary!Y$27)</f>
        <v>0</v>
      </c>
      <c r="DA15" s="157" t="s">
        <v>891</v>
      </c>
    </row>
    <row r="16" spans="1:105" ht="12.95" customHeight="1" x14ac:dyDescent="0.25">
      <c r="A16" s="129" t="s">
        <v>74</v>
      </c>
      <c r="B16" s="130"/>
      <c r="C16" s="130">
        <f>IF(SER_hh_emih_in!C16=0,0,SER_hh_emih_in!C16/SER_summary!C$27)</f>
        <v>2.2680639874491904E-3</v>
      </c>
      <c r="D16" s="130">
        <f>IF(SER_hh_emih_in!D16=0,0,SER_hh_emih_in!D16/SER_summary!D$27)</f>
        <v>1.1775140233557548E-3</v>
      </c>
      <c r="E16" s="130">
        <f>IF(SER_hh_emih_in!E16=0,0,SER_hh_emih_in!E16/SER_summary!E$27)</f>
        <v>4.595370616573123E-3</v>
      </c>
      <c r="F16" s="130">
        <f>IF(SER_hh_emih_in!F16=0,0,SER_hh_emih_in!F16/SER_summary!F$27)</f>
        <v>5.6254091729366421E-3</v>
      </c>
      <c r="G16" s="130">
        <f>IF(SER_hh_emih_in!G16=0,0,SER_hh_emih_in!G16/SER_summary!G$27)</f>
        <v>3.5989113301536737E-3</v>
      </c>
      <c r="H16" s="130">
        <f>IF(SER_hh_emih_in!H16=0,0,SER_hh_emih_in!H16/SER_summary!H$27)</f>
        <v>4.7658397738101748E-3</v>
      </c>
      <c r="I16" s="130">
        <f>IF(SER_hh_emih_in!I16=0,0,SER_hh_emih_in!I16/SER_summary!I$27)</f>
        <v>2.9523528018639456E-3</v>
      </c>
      <c r="J16" s="130">
        <f>IF(SER_hh_emih_in!J16=0,0,SER_hh_emih_in!J16/SER_summary!J$27)</f>
        <v>5.1037588544495935E-3</v>
      </c>
      <c r="K16" s="130">
        <f>IF(SER_hh_emih_in!K16=0,0,SER_hh_emih_in!K16/SER_summary!K$27)</f>
        <v>6.1998224019403437E-3</v>
      </c>
      <c r="L16" s="130">
        <f>IF(SER_hh_emih_in!L16=0,0,SER_hh_emih_in!L16/SER_summary!L$27)</f>
        <v>7.7244356903630323E-3</v>
      </c>
      <c r="M16" s="130">
        <f>IF(SER_hh_emih_in!M16=0,0,SER_hh_emih_in!M16/SER_summary!M$27)</f>
        <v>7.9248950408526541E-3</v>
      </c>
      <c r="N16" s="130">
        <f>IF(SER_hh_emih_in!N16=0,0,SER_hh_emih_in!N16/SER_summary!N$27)</f>
        <v>9.0778457816700023E-3</v>
      </c>
      <c r="O16" s="130">
        <f>IF(SER_hh_emih_in!O16=0,0,SER_hh_emih_in!O16/SER_summary!O$27)</f>
        <v>1.4233520404463912E-2</v>
      </c>
      <c r="P16" s="130">
        <f>IF(SER_hh_emih_in!P16=0,0,SER_hh_emih_in!P16/SER_summary!P$27)</f>
        <v>1.0007161206972905E-2</v>
      </c>
      <c r="Q16" s="130">
        <f>IF(SER_hh_emih_in!Q16=0,0,SER_hh_emih_in!Q16/SER_summary!Q$27)</f>
        <v>1.7595242388191192E-2</v>
      </c>
      <c r="R16" s="130">
        <f>IF(SER_hh_emih_in!R16=0,0,SER_hh_emih_in!R16/SER_summary!R$27)</f>
        <v>1.8725264598347013E-2</v>
      </c>
      <c r="S16" s="130">
        <f>IF(SER_hh_emih_in!S16=0,0,SER_hh_emih_in!S16/SER_summary!S$27)</f>
        <v>1.5847676078121944E-2</v>
      </c>
      <c r="T16" s="130">
        <f>IF(SER_hh_emih_in!T16=0,0,SER_hh_emih_in!T16/SER_summary!T$27)</f>
        <v>2.0853171823228382E-2</v>
      </c>
      <c r="U16" s="130">
        <f>IF(SER_hh_emih_in!U16=0,0,SER_hh_emih_in!U16/SER_summary!U$27)</f>
        <v>1.308188070302805E-2</v>
      </c>
      <c r="V16" s="130">
        <f>IF(SER_hh_emih_in!V16=0,0,SER_hh_emih_in!V16/SER_summary!V$27)</f>
        <v>1.3810083036775694E-2</v>
      </c>
      <c r="W16" s="130">
        <f>IF(SER_hh_emih_in!W16=0,0,SER_hh_emih_in!W16/SER_summary!W$27)</f>
        <v>1.1003734709209134E-2</v>
      </c>
      <c r="X16" s="130">
        <f>IF(SER_hh_emih_in!X16=0,0,SER_hh_emih_in!X16/SER_summary!X$27)</f>
        <v>1.5539399456415593E-2</v>
      </c>
      <c r="Y16" s="130">
        <f>IF(SER_hh_emih_in!Y16=0,0,SER_hh_emih_in!Y16/SER_summary!Y$27)</f>
        <v>1.6606716943973972E-2</v>
      </c>
      <c r="DA16" s="155" t="s">
        <v>892</v>
      </c>
    </row>
    <row r="17" spans="1:105" ht="12.95" customHeight="1" x14ac:dyDescent="0.25">
      <c r="A17" s="131" t="s">
        <v>73</v>
      </c>
      <c r="B17" s="132"/>
      <c r="C17" s="132">
        <f>IF(SER_hh_emih_in!C17=0,0,SER_hh_emih_in!C17/SER_summary!C$27)</f>
        <v>3.1171546045469452</v>
      </c>
      <c r="D17" s="132">
        <f>IF(SER_hh_emih_in!D17=0,0,SER_hh_emih_in!D17/SER_summary!D$27)</f>
        <v>2.6996762723435763</v>
      </c>
      <c r="E17" s="132">
        <f>IF(SER_hh_emih_in!E17=0,0,SER_hh_emih_in!E17/SER_summary!E$27)</f>
        <v>3.8596530852722393</v>
      </c>
      <c r="F17" s="132">
        <f>IF(SER_hh_emih_in!F17=0,0,SER_hh_emih_in!F17/SER_summary!F$27)</f>
        <v>2.9647612600037547</v>
      </c>
      <c r="G17" s="132">
        <f>IF(SER_hh_emih_in!G17=0,0,SER_hh_emih_in!G17/SER_summary!G$27)</f>
        <v>3.1048513457521039</v>
      </c>
      <c r="H17" s="132">
        <f>IF(SER_hh_emih_in!H17=0,0,SER_hh_emih_in!H17/SER_summary!H$27)</f>
        <v>3.0447739190346153</v>
      </c>
      <c r="I17" s="132">
        <f>IF(SER_hh_emih_in!I17=0,0,SER_hh_emih_in!I17/SER_summary!I$27)</f>
        <v>2.4812421285723532</v>
      </c>
      <c r="J17" s="132">
        <f>IF(SER_hh_emih_in!J17=0,0,SER_hh_emih_in!J17/SER_summary!J$27)</f>
        <v>2.615073866479007</v>
      </c>
      <c r="K17" s="132">
        <f>IF(SER_hh_emih_in!K17=0,0,SER_hh_emih_in!K17/SER_summary!K$27)</f>
        <v>3.293469167138058</v>
      </c>
      <c r="L17" s="132">
        <f>IF(SER_hh_emih_in!L17=0,0,SER_hh_emih_in!L17/SER_summary!L$27)</f>
        <v>3.0398527518939145</v>
      </c>
      <c r="M17" s="132">
        <f>IF(SER_hh_emih_in!M17=0,0,SER_hh_emih_in!M17/SER_summary!M$27)</f>
        <v>2.6484208557631255</v>
      </c>
      <c r="N17" s="132">
        <f>IF(SER_hh_emih_in!N17=0,0,SER_hh_emih_in!N17/SER_summary!N$27)</f>
        <v>3.1023011791309574</v>
      </c>
      <c r="O17" s="132">
        <f>IF(SER_hh_emih_in!O17=0,0,SER_hh_emih_in!O17/SER_summary!O$27)</f>
        <v>2.3994741854046464</v>
      </c>
      <c r="P17" s="132">
        <f>IF(SER_hh_emih_in!P17=0,0,SER_hh_emih_in!P17/SER_summary!P$27)</f>
        <v>2.1768722160678595</v>
      </c>
      <c r="Q17" s="132">
        <f>IF(SER_hh_emih_in!Q17=0,0,SER_hh_emih_in!Q17/SER_summary!Q$27)</f>
        <v>3.1877079939420576</v>
      </c>
      <c r="R17" s="132">
        <f>IF(SER_hh_emih_in!R17=0,0,SER_hh_emih_in!R17/SER_summary!R$27)</f>
        <v>2.9843283286216571</v>
      </c>
      <c r="S17" s="132">
        <f>IF(SER_hh_emih_in!S17=0,0,SER_hh_emih_in!S17/SER_summary!S$27)</f>
        <v>3.369664617220542</v>
      </c>
      <c r="T17" s="132">
        <f>IF(SER_hh_emih_in!T17=0,0,SER_hh_emih_in!T17/SER_summary!T$27)</f>
        <v>2.3412510427253923</v>
      </c>
      <c r="U17" s="132">
        <f>IF(SER_hh_emih_in!U17=0,0,SER_hh_emih_in!U17/SER_summary!U$27)</f>
        <v>2.3539456344766045</v>
      </c>
      <c r="V17" s="132">
        <f>IF(SER_hh_emih_in!V17=0,0,SER_hh_emih_in!V17/SER_summary!V$27)</f>
        <v>2.3319418046447851</v>
      </c>
      <c r="W17" s="132">
        <f>IF(SER_hh_emih_in!W17=0,0,SER_hh_emih_in!W17/SER_summary!W$27)</f>
        <v>1.9918809356567477</v>
      </c>
      <c r="X17" s="132">
        <f>IF(SER_hh_emih_in!X17=0,0,SER_hh_emih_in!X17/SER_summary!X$27)</f>
        <v>3.1232689138756289</v>
      </c>
      <c r="Y17" s="132">
        <f>IF(SER_hh_emih_in!Y17=0,0,SER_hh_emih_in!Y17/SER_summary!Y$27)</f>
        <v>2.8818145019216206</v>
      </c>
      <c r="DA17" s="156" t="s">
        <v>893</v>
      </c>
    </row>
    <row r="18" spans="1:105" ht="12" customHeight="1" x14ac:dyDescent="0.25">
      <c r="A18" s="131" t="s">
        <v>72</v>
      </c>
      <c r="B18" s="132"/>
      <c r="C18" s="132">
        <f>IF(SER_hh_emih_in!C18=0,0,SER_hh_emih_in!C18/SER_summary!C$27)</f>
        <v>0</v>
      </c>
      <c r="D18" s="132">
        <f>IF(SER_hh_emih_in!D18=0,0,SER_hh_emih_in!D18/SER_summary!D$27)</f>
        <v>0</v>
      </c>
      <c r="E18" s="132">
        <f>IF(SER_hh_emih_in!E18=0,0,SER_hh_emih_in!E18/SER_summary!E$27)</f>
        <v>0</v>
      </c>
      <c r="F18" s="132">
        <f>IF(SER_hh_emih_in!F18=0,0,SER_hh_emih_in!F18/SER_summary!F$27)</f>
        <v>0</v>
      </c>
      <c r="G18" s="132">
        <f>IF(SER_hh_emih_in!G18=0,0,SER_hh_emih_in!G18/SER_summary!G$27)</f>
        <v>0</v>
      </c>
      <c r="H18" s="132">
        <f>IF(SER_hh_emih_in!H18=0,0,SER_hh_emih_in!H18/SER_summary!H$27)</f>
        <v>0</v>
      </c>
      <c r="I18" s="132">
        <f>IF(SER_hh_emih_in!I18=0,0,SER_hh_emih_in!I18/SER_summary!I$27)</f>
        <v>0</v>
      </c>
      <c r="J18" s="132">
        <f>IF(SER_hh_emih_in!J18=0,0,SER_hh_emih_in!J18/SER_summary!J$27)</f>
        <v>0</v>
      </c>
      <c r="K18" s="132">
        <f>IF(SER_hh_emih_in!K18=0,0,SER_hh_emih_in!K18/SER_summary!K$27)</f>
        <v>0</v>
      </c>
      <c r="L18" s="132">
        <f>IF(SER_hh_emih_in!L18=0,0,SER_hh_emih_in!L18/SER_summary!L$27)</f>
        <v>0</v>
      </c>
      <c r="M18" s="132">
        <f>IF(SER_hh_emih_in!M18=0,0,SER_hh_emih_in!M18/SER_summary!M$27)</f>
        <v>0</v>
      </c>
      <c r="N18" s="132">
        <f>IF(SER_hh_emih_in!N18=0,0,SER_hh_emih_in!N18/SER_summary!N$27)</f>
        <v>0</v>
      </c>
      <c r="O18" s="132">
        <f>IF(SER_hh_emih_in!O18=0,0,SER_hh_emih_in!O18/SER_summary!O$27)</f>
        <v>0</v>
      </c>
      <c r="P18" s="132">
        <f>IF(SER_hh_emih_in!P18=0,0,SER_hh_emih_in!P18/SER_summary!P$27)</f>
        <v>0</v>
      </c>
      <c r="Q18" s="132">
        <f>IF(SER_hh_emih_in!Q18=0,0,SER_hh_emih_in!Q18/SER_summary!Q$27)</f>
        <v>0</v>
      </c>
      <c r="R18" s="132">
        <f>IF(SER_hh_emih_in!R18=0,0,SER_hh_emih_in!R18/SER_summary!R$27)</f>
        <v>0</v>
      </c>
      <c r="S18" s="132">
        <f>IF(SER_hh_emih_in!S18=0,0,SER_hh_emih_in!S18/SER_summary!S$27)</f>
        <v>0</v>
      </c>
      <c r="T18" s="132">
        <f>IF(SER_hh_emih_in!T18=0,0,SER_hh_emih_in!T18/SER_summary!T$27)</f>
        <v>0</v>
      </c>
      <c r="U18" s="132">
        <f>IF(SER_hh_emih_in!U18=0,0,SER_hh_emih_in!U18/SER_summary!U$27)</f>
        <v>0</v>
      </c>
      <c r="V18" s="132">
        <f>IF(SER_hh_emih_in!V18=0,0,SER_hh_emih_in!V18/SER_summary!V$27)</f>
        <v>0</v>
      </c>
      <c r="W18" s="132">
        <f>IF(SER_hh_emih_in!W18=0,0,SER_hh_emih_in!W18/SER_summary!W$27)</f>
        <v>0</v>
      </c>
      <c r="X18" s="132">
        <f>IF(SER_hh_emih_in!X18=0,0,SER_hh_emih_in!X18/SER_summary!X$27)</f>
        <v>0</v>
      </c>
      <c r="Y18" s="132">
        <f>IF(SER_hh_emih_in!Y18=0,0,SER_hh_emih_in!Y18/SER_summary!Y$27)</f>
        <v>0</v>
      </c>
      <c r="DA18" s="156" t="s">
        <v>894</v>
      </c>
    </row>
    <row r="19" spans="1:105" ht="12.95" customHeight="1" x14ac:dyDescent="0.25">
      <c r="A19" s="129" t="s">
        <v>35</v>
      </c>
      <c r="B19" s="130"/>
      <c r="C19" s="130">
        <f>IF(SER_hh_emih_in!C19=0,0,SER_hh_emih_in!C19/SER_summary!C$27)</f>
        <v>0.4299730120739339</v>
      </c>
      <c r="D19" s="130">
        <f>IF(SER_hh_emih_in!D19=0,0,SER_hh_emih_in!D19/SER_summary!D$27)</f>
        <v>0.39984774169467402</v>
      </c>
      <c r="E19" s="130">
        <f>IF(SER_hh_emih_in!E19=0,0,SER_hh_emih_in!E19/SER_summary!E$27)</f>
        <v>0.44614289155922499</v>
      </c>
      <c r="F19" s="130">
        <f>IF(SER_hh_emih_in!F19=0,0,SER_hh_emih_in!F19/SER_summary!F$27)</f>
        <v>0.54470004240310066</v>
      </c>
      <c r="G19" s="130">
        <f>IF(SER_hh_emih_in!G19=0,0,SER_hh_emih_in!G19/SER_summary!G$27)</f>
        <v>0.75238255697628642</v>
      </c>
      <c r="H19" s="130">
        <f>IF(SER_hh_emih_in!H19=0,0,SER_hh_emih_in!H19/SER_summary!H$27)</f>
        <v>1.2472425651980477</v>
      </c>
      <c r="I19" s="130">
        <f>IF(SER_hh_emih_in!I19=0,0,SER_hh_emih_in!I19/SER_summary!I$27)</f>
        <v>0.82267683589070795</v>
      </c>
      <c r="J19" s="130">
        <f>IF(SER_hh_emih_in!J19=0,0,SER_hh_emih_in!J19/SER_summary!J$27)</f>
        <v>0.63249998514460137</v>
      </c>
      <c r="K19" s="130">
        <f>IF(SER_hh_emih_in!K19=0,0,SER_hh_emih_in!K19/SER_summary!K$27)</f>
        <v>0.61130225114474845</v>
      </c>
      <c r="L19" s="130">
        <f>IF(SER_hh_emih_in!L19=0,0,SER_hh_emih_in!L19/SER_summary!L$27)</f>
        <v>0.75556026608832394</v>
      </c>
      <c r="M19" s="130">
        <f>IF(SER_hh_emih_in!M19=0,0,SER_hh_emih_in!M19/SER_summary!M$27)</f>
        <v>0.96799997761151069</v>
      </c>
      <c r="N19" s="130">
        <f>IF(SER_hh_emih_in!N19=0,0,SER_hh_emih_in!N19/SER_summary!N$27)</f>
        <v>1.1516701267445226</v>
      </c>
      <c r="O19" s="130">
        <f>IF(SER_hh_emih_in!O19=0,0,SER_hh_emih_in!O19/SER_summary!O$27)</f>
        <v>1.3121965678140777</v>
      </c>
      <c r="P19" s="130">
        <f>IF(SER_hh_emih_in!P19=0,0,SER_hh_emih_in!P19/SER_summary!P$27)</f>
        <v>1.2323599976192809</v>
      </c>
      <c r="Q19" s="130">
        <f>IF(SER_hh_emih_in!Q19=0,0,SER_hh_emih_in!Q19/SER_summary!Q$27)</f>
        <v>1.0941271663285692</v>
      </c>
      <c r="R19" s="130">
        <f>IF(SER_hh_emih_in!R19=0,0,SER_hh_emih_in!R19/SER_summary!R$27)</f>
        <v>0.84576089156654699</v>
      </c>
      <c r="S19" s="130">
        <f>IF(SER_hh_emih_in!S19=0,0,SER_hh_emih_in!S19/SER_summary!S$27)</f>
        <v>0.61371846129494034</v>
      </c>
      <c r="T19" s="130">
        <f>IF(SER_hh_emih_in!T19=0,0,SER_hh_emih_in!T19/SER_summary!T$27)</f>
        <v>0.56426785912630473</v>
      </c>
      <c r="U19" s="130">
        <f>IF(SER_hh_emih_in!U19=0,0,SER_hh_emih_in!U19/SER_summary!U$27)</f>
        <v>0.74200707200040172</v>
      </c>
      <c r="V19" s="130">
        <f>IF(SER_hh_emih_in!V19=0,0,SER_hh_emih_in!V19/SER_summary!V$27)</f>
        <v>0.8462455794439584</v>
      </c>
      <c r="W19" s="130">
        <f>IF(SER_hh_emih_in!W19=0,0,SER_hh_emih_in!W19/SER_summary!W$27)</f>
        <v>0.90510331296779689</v>
      </c>
      <c r="X19" s="130">
        <f>IF(SER_hh_emih_in!X19=0,0,SER_hh_emih_in!X19/SER_summary!X$27)</f>
        <v>0.8509548918903852</v>
      </c>
      <c r="Y19" s="130">
        <f>IF(SER_hh_emih_in!Y19=0,0,SER_hh_emih_in!Y19/SER_summary!Y$27)</f>
        <v>0.74028423198656912</v>
      </c>
      <c r="DA19" s="155" t="s">
        <v>895</v>
      </c>
    </row>
    <row r="20" spans="1:105" ht="12" customHeight="1" x14ac:dyDescent="0.25">
      <c r="A20" s="131" t="s">
        <v>29</v>
      </c>
      <c r="B20" s="132"/>
      <c r="C20" s="132">
        <f>IF(SER_hh_emih_in!C20=0,0,SER_hh_emih_in!C20/SER_summary!C$27)</f>
        <v>0</v>
      </c>
      <c r="D20" s="132">
        <f>IF(SER_hh_emih_in!D20=0,0,SER_hh_emih_in!D20/SER_summary!D$27)</f>
        <v>0</v>
      </c>
      <c r="E20" s="132">
        <f>IF(SER_hh_emih_in!E20=0,0,SER_hh_emih_in!E20/SER_summary!E$27)</f>
        <v>0</v>
      </c>
      <c r="F20" s="132">
        <f>IF(SER_hh_emih_in!F20=0,0,SER_hh_emih_in!F20/SER_summary!F$27)</f>
        <v>0</v>
      </c>
      <c r="G20" s="132">
        <f>IF(SER_hh_emih_in!G20=0,0,SER_hh_emih_in!G20/SER_summary!G$27)</f>
        <v>0</v>
      </c>
      <c r="H20" s="132">
        <f>IF(SER_hh_emih_in!H20=0,0,SER_hh_emih_in!H20/SER_summary!H$27)</f>
        <v>0</v>
      </c>
      <c r="I20" s="132">
        <f>IF(SER_hh_emih_in!I20=0,0,SER_hh_emih_in!I20/SER_summary!I$27)</f>
        <v>0</v>
      </c>
      <c r="J20" s="132">
        <f>IF(SER_hh_emih_in!J20=0,0,SER_hh_emih_in!J20/SER_summary!J$27)</f>
        <v>0</v>
      </c>
      <c r="K20" s="132">
        <f>IF(SER_hh_emih_in!K20=0,0,SER_hh_emih_in!K20/SER_summary!K$27)</f>
        <v>0</v>
      </c>
      <c r="L20" s="132">
        <f>IF(SER_hh_emih_in!L20=0,0,SER_hh_emih_in!L20/SER_summary!L$27)</f>
        <v>0</v>
      </c>
      <c r="M20" s="132">
        <f>IF(SER_hh_emih_in!M20=0,0,SER_hh_emih_in!M20/SER_summary!M$27)</f>
        <v>0</v>
      </c>
      <c r="N20" s="132">
        <f>IF(SER_hh_emih_in!N20=0,0,SER_hh_emih_in!N20/SER_summary!N$27)</f>
        <v>0</v>
      </c>
      <c r="O20" s="132">
        <f>IF(SER_hh_emih_in!O20=0,0,SER_hh_emih_in!O20/SER_summary!O$27)</f>
        <v>0</v>
      </c>
      <c r="P20" s="132">
        <f>IF(SER_hh_emih_in!P20=0,0,SER_hh_emih_in!P20/SER_summary!P$27)</f>
        <v>0</v>
      </c>
      <c r="Q20" s="132">
        <f>IF(SER_hh_emih_in!Q20=0,0,SER_hh_emih_in!Q20/SER_summary!Q$27)</f>
        <v>0</v>
      </c>
      <c r="R20" s="132">
        <f>IF(SER_hh_emih_in!R20=0,0,SER_hh_emih_in!R20/SER_summary!R$27)</f>
        <v>0</v>
      </c>
      <c r="S20" s="132">
        <f>IF(SER_hh_emih_in!S20=0,0,SER_hh_emih_in!S20/SER_summary!S$27)</f>
        <v>0</v>
      </c>
      <c r="T20" s="132">
        <f>IF(SER_hh_emih_in!T20=0,0,SER_hh_emih_in!T20/SER_summary!T$27)</f>
        <v>0</v>
      </c>
      <c r="U20" s="132">
        <f>IF(SER_hh_emih_in!U20=0,0,SER_hh_emih_in!U20/SER_summary!U$27)</f>
        <v>0</v>
      </c>
      <c r="V20" s="132">
        <f>IF(SER_hh_emih_in!V20=0,0,SER_hh_emih_in!V20/SER_summary!V$27)</f>
        <v>0</v>
      </c>
      <c r="W20" s="132">
        <f>IF(SER_hh_emih_in!W20=0,0,SER_hh_emih_in!W20/SER_summary!W$27)</f>
        <v>0</v>
      </c>
      <c r="X20" s="132">
        <f>IF(SER_hh_emih_in!X20=0,0,SER_hh_emih_in!X20/SER_summary!X$27)</f>
        <v>0</v>
      </c>
      <c r="Y20" s="132">
        <f>IF(SER_hh_emih_in!Y20=0,0,SER_hh_emih_in!Y20/SER_summary!Y$27)</f>
        <v>0</v>
      </c>
      <c r="DA20" s="156" t="s">
        <v>896</v>
      </c>
    </row>
    <row r="21" spans="1:105" s="2" customFormat="1" ht="12" customHeight="1" x14ac:dyDescent="0.25">
      <c r="A21" s="131" t="s">
        <v>52</v>
      </c>
      <c r="B21" s="132"/>
      <c r="C21" s="132">
        <f>IF(SER_hh_emih_in!C21=0,0,SER_hh_emih_in!C21/SER_summary!C$27)</f>
        <v>1.5584827344524148</v>
      </c>
      <c r="D21" s="132">
        <f>IF(SER_hh_emih_in!D21=0,0,SER_hh_emih_in!D21/SER_summary!D$27)</f>
        <v>1.6921849193517808</v>
      </c>
      <c r="E21" s="132">
        <f>IF(SER_hh_emih_in!E21=0,0,SER_hh_emih_in!E21/SER_summary!E$27)</f>
        <v>1.718316491930479</v>
      </c>
      <c r="F21" s="132">
        <f>IF(SER_hh_emih_in!F21=0,0,SER_hh_emih_in!F21/SER_summary!F$27)</f>
        <v>1.675415851874521</v>
      </c>
      <c r="G21" s="132">
        <f>IF(SER_hh_emih_in!G21=0,0,SER_hh_emih_in!G21/SER_summary!G$27)</f>
        <v>1.6702504985546227</v>
      </c>
      <c r="H21" s="132">
        <f>IF(SER_hh_emih_in!H21=0,0,SER_hh_emih_in!H21/SER_summary!H$27)</f>
        <v>1.7021106318149133</v>
      </c>
      <c r="I21" s="132">
        <f>IF(SER_hh_emih_in!I21=0,0,SER_hh_emih_in!I21/SER_summary!I$27)</f>
        <v>1.7383751434959052</v>
      </c>
      <c r="J21" s="132">
        <f>IF(SER_hh_emih_in!J21=0,0,SER_hh_emih_in!J21/SER_summary!J$27)</f>
        <v>1.7034436782742644</v>
      </c>
      <c r="K21" s="132">
        <f>IF(SER_hh_emih_in!K21=0,0,SER_hh_emih_in!K21/SER_summary!K$27)</f>
        <v>1.3468214153050606</v>
      </c>
      <c r="L21" s="132">
        <f>IF(SER_hh_emih_in!L21=0,0,SER_hh_emih_in!L21/SER_summary!L$27)</f>
        <v>1.740807783805248</v>
      </c>
      <c r="M21" s="132">
        <f>IF(SER_hh_emih_in!M21=0,0,SER_hh_emih_in!M21/SER_summary!M$27)</f>
        <v>1.6609701220039799</v>
      </c>
      <c r="N21" s="132">
        <f>IF(SER_hh_emih_in!N21=0,0,SER_hh_emih_in!N21/SER_summary!N$27)</f>
        <v>1.6383792619679096</v>
      </c>
      <c r="O21" s="132">
        <f>IF(SER_hh_emih_in!O21=0,0,SER_hh_emih_in!O21/SER_summary!O$27)</f>
        <v>1.5778927194644765</v>
      </c>
      <c r="P21" s="132">
        <f>IF(SER_hh_emih_in!P21=0,0,SER_hh_emih_in!P21/SER_summary!P$27)</f>
        <v>1.292628306506856</v>
      </c>
      <c r="Q21" s="132">
        <f>IF(SER_hh_emih_in!Q21=0,0,SER_hh_emih_in!Q21/SER_summary!Q$27)</f>
        <v>1.3267498629917192</v>
      </c>
      <c r="R21" s="132">
        <f>IF(SER_hh_emih_in!R21=0,0,SER_hh_emih_in!R21/SER_summary!R$27)</f>
        <v>1.2936882893789949</v>
      </c>
      <c r="S21" s="132">
        <f>IF(SER_hh_emih_in!S21=0,0,SER_hh_emih_in!S21/SER_summary!S$27)</f>
        <v>1.2415173974555527</v>
      </c>
      <c r="T21" s="132">
        <f>IF(SER_hh_emih_in!T21=0,0,SER_hh_emih_in!T21/SER_summary!T$27)</f>
        <v>0</v>
      </c>
      <c r="U21" s="132">
        <f>IF(SER_hh_emih_in!U21=0,0,SER_hh_emih_in!U21/SER_summary!U$27)</f>
        <v>0</v>
      </c>
      <c r="V21" s="132">
        <f>IF(SER_hh_emih_in!V21=0,0,SER_hh_emih_in!V21/SER_summary!V$27)</f>
        <v>0</v>
      </c>
      <c r="W21" s="132">
        <f>IF(SER_hh_emih_in!W21=0,0,SER_hh_emih_in!W21/SER_summary!W$27)</f>
        <v>0.94872681011938442</v>
      </c>
      <c r="X21" s="132">
        <f>IF(SER_hh_emih_in!X21=0,0,SER_hh_emih_in!X21/SER_summary!X$27)</f>
        <v>0.98171187823183981</v>
      </c>
      <c r="Y21" s="132">
        <f>IF(SER_hh_emih_in!Y21=0,0,SER_hh_emih_in!Y21/SER_summary!Y$27)</f>
        <v>1.2235096263376095</v>
      </c>
      <c r="DA21" s="156" t="s">
        <v>897</v>
      </c>
    </row>
    <row r="22" spans="1:105" ht="12" customHeight="1" x14ac:dyDescent="0.25">
      <c r="A22" s="131" t="s">
        <v>161</v>
      </c>
      <c r="B22" s="132"/>
      <c r="C22" s="132">
        <f>IF(SER_hh_emih_in!C22=0,0,SER_hh_emih_in!C22/SER_summary!C$27)</f>
        <v>2.0048892784283807</v>
      </c>
      <c r="D22" s="132">
        <f>IF(SER_hh_emih_in!D22=0,0,SER_hh_emih_in!D22/SER_summary!D$27)</f>
        <v>2.1189492901830147</v>
      </c>
      <c r="E22" s="132">
        <f>IF(SER_hh_emih_in!E22=0,0,SER_hh_emih_in!E22/SER_summary!E$27)</f>
        <v>2.1088553131165191</v>
      </c>
      <c r="F22" s="132">
        <f>IF(SER_hh_emih_in!F22=0,0,SER_hh_emih_in!F22/SER_summary!F$27)</f>
        <v>2.159316659662311</v>
      </c>
      <c r="G22" s="132">
        <f>IF(SER_hh_emih_in!G22=0,0,SER_hh_emih_in!G22/SER_summary!G$27)</f>
        <v>2.1544578799974943</v>
      </c>
      <c r="H22" s="132">
        <f>IF(SER_hh_emih_in!H22=0,0,SER_hh_emih_in!H22/SER_summary!H$27)</f>
        <v>2.1070885488138167</v>
      </c>
      <c r="I22" s="132">
        <f>IF(SER_hh_emih_in!I22=0,0,SER_hh_emih_in!I22/SER_summary!I$27)</f>
        <v>2.1523481004908365</v>
      </c>
      <c r="J22" s="132">
        <f>IF(SER_hh_emih_in!J22=0,0,SER_hh_emih_in!J22/SER_summary!J$27)</f>
        <v>2.0816381535416779</v>
      </c>
      <c r="K22" s="132">
        <f>IF(SER_hh_emih_in!K22=0,0,SER_hh_emih_in!K22/SER_summary!K$27)</f>
        <v>1.5861776896800093</v>
      </c>
      <c r="L22" s="132">
        <f>IF(SER_hh_emih_in!L22=0,0,SER_hh_emih_in!L22/SER_summary!L$27)</f>
        <v>2.1230272785554889</v>
      </c>
      <c r="M22" s="132">
        <f>IF(SER_hh_emih_in!M22=0,0,SER_hh_emih_in!M22/SER_summary!M$27)</f>
        <v>2.0229352714175919</v>
      </c>
      <c r="N22" s="132">
        <f>IF(SER_hh_emih_in!N22=0,0,SER_hh_emih_in!N22/SER_summary!N$27)</f>
        <v>1.9991029722177744</v>
      </c>
      <c r="O22" s="132">
        <f>IF(SER_hh_emih_in!O22=0,0,SER_hh_emih_in!O22/SER_summary!O$27)</f>
        <v>1.8953808390198781</v>
      </c>
      <c r="P22" s="132">
        <f>IF(SER_hh_emih_in!P22=0,0,SER_hh_emih_in!P22/SER_summary!P$27)</f>
        <v>1.5171291227704484</v>
      </c>
      <c r="Q22" s="132">
        <f>IF(SER_hh_emih_in!Q22=0,0,SER_hh_emih_in!Q22/SER_summary!Q$27)</f>
        <v>1.6135295174053335</v>
      </c>
      <c r="R22" s="132">
        <f>IF(SER_hh_emih_in!R22=0,0,SER_hh_emih_in!R22/SER_summary!R$27)</f>
        <v>1.5705396906656452</v>
      </c>
      <c r="S22" s="132">
        <f>IF(SER_hh_emih_in!S22=0,0,SER_hh_emih_in!S22/SER_summary!S$27)</f>
        <v>1.4685565996331902</v>
      </c>
      <c r="T22" s="132">
        <f>IF(SER_hh_emih_in!T22=0,0,SER_hh_emih_in!T22/SER_summary!T$27)</f>
        <v>1.4524241871240386</v>
      </c>
      <c r="U22" s="132">
        <f>IF(SER_hh_emih_in!U22=0,0,SER_hh_emih_in!U22/SER_summary!U$27)</f>
        <v>1.3622410927443394</v>
      </c>
      <c r="V22" s="132">
        <f>IF(SER_hh_emih_in!V22=0,0,SER_hh_emih_in!V22/SER_summary!V$27)</f>
        <v>1.2053243101804865</v>
      </c>
      <c r="W22" s="132">
        <f>IF(SER_hh_emih_in!W22=0,0,SER_hh_emih_in!W22/SER_summary!W$27)</f>
        <v>1.3573762551300168</v>
      </c>
      <c r="X22" s="132">
        <f>IF(SER_hh_emih_in!X22=0,0,SER_hh_emih_in!X22/SER_summary!X$27)</f>
        <v>1.2864262377317006</v>
      </c>
      <c r="Y22" s="132">
        <f>IF(SER_hh_emih_in!Y22=0,0,SER_hh_emih_in!Y22/SER_summary!Y$27)</f>
        <v>1.2878145829014938</v>
      </c>
      <c r="DA22" s="156" t="s">
        <v>898</v>
      </c>
    </row>
    <row r="23" spans="1:105" ht="12" customHeight="1" x14ac:dyDescent="0.25">
      <c r="A23" s="131" t="s">
        <v>149</v>
      </c>
      <c r="B23" s="132"/>
      <c r="C23" s="132">
        <f>IF(SER_hh_emih_in!C23=0,0,SER_hh_emih_in!C23/SER_summary!C$27)</f>
        <v>0</v>
      </c>
      <c r="D23" s="132">
        <f>IF(SER_hh_emih_in!D23=0,0,SER_hh_emih_in!D23/SER_summary!D$27)</f>
        <v>0</v>
      </c>
      <c r="E23" s="132">
        <f>IF(SER_hh_emih_in!E23=0,0,SER_hh_emih_in!E23/SER_summary!E$27)</f>
        <v>0</v>
      </c>
      <c r="F23" s="132">
        <f>IF(SER_hh_emih_in!F23=0,0,SER_hh_emih_in!F23/SER_summary!F$27)</f>
        <v>1.1470355644370649</v>
      </c>
      <c r="G23" s="132">
        <f>IF(SER_hh_emih_in!G23=0,0,SER_hh_emih_in!G23/SER_summary!G$27)</f>
        <v>1.0354601405783774</v>
      </c>
      <c r="H23" s="132">
        <f>IF(SER_hh_emih_in!H23=0,0,SER_hh_emih_in!H23/SER_summary!H$27)</f>
        <v>1.70919266245255</v>
      </c>
      <c r="I23" s="132">
        <f>IF(SER_hh_emih_in!I23=0,0,SER_hh_emih_in!I23/SER_summary!I$27)</f>
        <v>1.5134358247725384</v>
      </c>
      <c r="J23" s="132">
        <f>IF(SER_hh_emih_in!J23=0,0,SER_hh_emih_in!J23/SER_summary!J$27)</f>
        <v>1.4064466948905872</v>
      </c>
      <c r="K23" s="132">
        <f>IF(SER_hh_emih_in!K23=0,0,SER_hh_emih_in!K23/SER_summary!K$27)</f>
        <v>0.97000316217784732</v>
      </c>
      <c r="L23" s="132">
        <f>IF(SER_hh_emih_in!L23=0,0,SER_hh_emih_in!L23/SER_summary!L$27)</f>
        <v>1.4090909702042891</v>
      </c>
      <c r="M23" s="132">
        <f>IF(SER_hh_emih_in!M23=0,0,SER_hh_emih_in!M23/SER_summary!M$27)</f>
        <v>1.2818982628023574</v>
      </c>
      <c r="N23" s="132">
        <f>IF(SER_hh_emih_in!N23=0,0,SER_hh_emih_in!N23/SER_summary!N$27)</f>
        <v>1.2753192449925694</v>
      </c>
      <c r="O23" s="132">
        <f>IF(SER_hh_emih_in!O23=0,0,SER_hh_emih_in!O23/SER_summary!O$27)</f>
        <v>1.2479638616308559</v>
      </c>
      <c r="P23" s="132">
        <f>IF(SER_hh_emih_in!P23=0,0,SER_hh_emih_in!P23/SER_summary!P$27)</f>
        <v>0.99639633769466152</v>
      </c>
      <c r="Q23" s="132">
        <f>IF(SER_hh_emih_in!Q23=0,0,SER_hh_emih_in!Q23/SER_summary!Q$27)</f>
        <v>1.0351295626433932</v>
      </c>
      <c r="R23" s="132">
        <f>IF(SER_hh_emih_in!R23=0,0,SER_hh_emih_in!R23/SER_summary!R$27)</f>
        <v>1.0091994326473008</v>
      </c>
      <c r="S23" s="132">
        <f>IF(SER_hh_emih_in!S23=0,0,SER_hh_emih_in!S23/SER_summary!S$27)</f>
        <v>0.9884099858309201</v>
      </c>
      <c r="T23" s="132">
        <f>IF(SER_hh_emih_in!T23=0,0,SER_hh_emih_in!T23/SER_summary!T$27)</f>
        <v>0.98623695083854668</v>
      </c>
      <c r="U23" s="132">
        <f>IF(SER_hh_emih_in!U23=0,0,SER_hh_emih_in!U23/SER_summary!U$27)</f>
        <v>0.96921803932212558</v>
      </c>
      <c r="V23" s="132">
        <f>IF(SER_hh_emih_in!V23=0,0,SER_hh_emih_in!V23/SER_summary!V$27)</f>
        <v>0.83131000715256886</v>
      </c>
      <c r="W23" s="132">
        <f>IF(SER_hh_emih_in!W23=0,0,SER_hh_emih_in!W23/SER_summary!W$27)</f>
        <v>0.95299261150533177</v>
      </c>
      <c r="X23" s="132">
        <f>IF(SER_hh_emih_in!X23=0,0,SER_hh_emih_in!X23/SER_summary!X$27)</f>
        <v>0.89438073343205804</v>
      </c>
      <c r="Y23" s="132">
        <f>IF(SER_hh_emih_in!Y23=0,0,SER_hh_emih_in!Y23/SER_summary!Y$27)</f>
        <v>0.90670113575807532</v>
      </c>
      <c r="DA23" s="156" t="s">
        <v>899</v>
      </c>
    </row>
    <row r="24" spans="1:105" ht="12" customHeight="1" x14ac:dyDescent="0.25">
      <c r="A24" s="131" t="s">
        <v>128</v>
      </c>
      <c r="B24" s="132"/>
      <c r="C24" s="132">
        <f>IF(SER_hh_emih_in!C24=0,0,SER_hh_emih_in!C24/SER_summary!C$27)</f>
        <v>0</v>
      </c>
      <c r="D24" s="132">
        <f>IF(SER_hh_emih_in!D24=0,0,SER_hh_emih_in!D24/SER_summary!D$27)</f>
        <v>0</v>
      </c>
      <c r="E24" s="132">
        <f>IF(SER_hh_emih_in!E24=0,0,SER_hh_emih_in!E24/SER_summary!E$27)</f>
        <v>0</v>
      </c>
      <c r="F24" s="132">
        <f>IF(SER_hh_emih_in!F24=0,0,SER_hh_emih_in!F24/SER_summary!F$27)</f>
        <v>0</v>
      </c>
      <c r="G24" s="132">
        <f>IF(SER_hh_emih_in!G24=0,0,SER_hh_emih_in!G24/SER_summary!G$27)</f>
        <v>0</v>
      </c>
      <c r="H24" s="132">
        <f>IF(SER_hh_emih_in!H24=0,0,SER_hh_emih_in!H24/SER_summary!H$27)</f>
        <v>0</v>
      </c>
      <c r="I24" s="132">
        <f>IF(SER_hh_emih_in!I24=0,0,SER_hh_emih_in!I24/SER_summary!I$27)</f>
        <v>0</v>
      </c>
      <c r="J24" s="132">
        <f>IF(SER_hh_emih_in!J24=0,0,SER_hh_emih_in!J24/SER_summary!J$27)</f>
        <v>0</v>
      </c>
      <c r="K24" s="132">
        <f>IF(SER_hh_emih_in!K24=0,0,SER_hh_emih_in!K24/SER_summary!K$27)</f>
        <v>0</v>
      </c>
      <c r="L24" s="132">
        <f>IF(SER_hh_emih_in!L24=0,0,SER_hh_emih_in!L24/SER_summary!L$27)</f>
        <v>0</v>
      </c>
      <c r="M24" s="132">
        <f>IF(SER_hh_emih_in!M24=0,0,SER_hh_emih_in!M24/SER_summary!M$27)</f>
        <v>0</v>
      </c>
      <c r="N24" s="132">
        <f>IF(SER_hh_emih_in!N24=0,0,SER_hh_emih_in!N24/SER_summary!N$27)</f>
        <v>0</v>
      </c>
      <c r="O24" s="132">
        <f>IF(SER_hh_emih_in!O24=0,0,SER_hh_emih_in!O24/SER_summary!O$27)</f>
        <v>0</v>
      </c>
      <c r="P24" s="132">
        <f>IF(SER_hh_emih_in!P24=0,0,SER_hh_emih_in!P24/SER_summary!P$27)</f>
        <v>0</v>
      </c>
      <c r="Q24" s="132">
        <f>IF(SER_hh_emih_in!Q24=0,0,SER_hh_emih_in!Q24/SER_summary!Q$27)</f>
        <v>0</v>
      </c>
      <c r="R24" s="132">
        <f>IF(SER_hh_emih_in!R24=0,0,SER_hh_emih_in!R24/SER_summary!R$27)</f>
        <v>0</v>
      </c>
      <c r="S24" s="132">
        <f>IF(SER_hh_emih_in!S24=0,0,SER_hh_emih_in!S24/SER_summary!S$27)</f>
        <v>0</v>
      </c>
      <c r="T24" s="132">
        <f>IF(SER_hh_emih_in!T24=0,0,SER_hh_emih_in!T24/SER_summary!T$27)</f>
        <v>0</v>
      </c>
      <c r="U24" s="132">
        <f>IF(SER_hh_emih_in!U24=0,0,SER_hh_emih_in!U24/SER_summary!U$27)</f>
        <v>0</v>
      </c>
      <c r="V24" s="132">
        <f>IF(SER_hh_emih_in!V24=0,0,SER_hh_emih_in!V24/SER_summary!V$27)</f>
        <v>0</v>
      </c>
      <c r="W24" s="132">
        <f>IF(SER_hh_emih_in!W24=0,0,SER_hh_emih_in!W24/SER_summary!W$27)</f>
        <v>0</v>
      </c>
      <c r="X24" s="132">
        <f>IF(SER_hh_emih_in!X24=0,0,SER_hh_emih_in!X24/SER_summary!X$27)</f>
        <v>0</v>
      </c>
      <c r="Y24" s="132">
        <f>IF(SER_hh_emih_in!Y24=0,0,SER_hh_emih_in!Y24/SER_summary!Y$27)</f>
        <v>0</v>
      </c>
      <c r="DA24" s="156" t="s">
        <v>900</v>
      </c>
    </row>
    <row r="25" spans="1:105" ht="12" customHeight="1" x14ac:dyDescent="0.25">
      <c r="A25" s="131" t="s">
        <v>162</v>
      </c>
      <c r="B25" s="132"/>
      <c r="C25" s="132">
        <f>IF(SER_hh_emih_in!C25=0,0,SER_hh_emih_in!C25/SER_summary!C$27)</f>
        <v>0</v>
      </c>
      <c r="D25" s="132">
        <f>IF(SER_hh_emih_in!D25=0,0,SER_hh_emih_in!D25/SER_summary!D$27)</f>
        <v>0</v>
      </c>
      <c r="E25" s="132">
        <f>IF(SER_hh_emih_in!E25=0,0,SER_hh_emih_in!E25/SER_summary!E$27)</f>
        <v>0</v>
      </c>
      <c r="F25" s="132">
        <f>IF(SER_hh_emih_in!F25=0,0,SER_hh_emih_in!F25/SER_summary!F$27)</f>
        <v>0</v>
      </c>
      <c r="G25" s="132">
        <f>IF(SER_hh_emih_in!G25=0,0,SER_hh_emih_in!G25/SER_summary!G$27)</f>
        <v>0</v>
      </c>
      <c r="H25" s="132">
        <f>IF(SER_hh_emih_in!H25=0,0,SER_hh_emih_in!H25/SER_summary!H$27)</f>
        <v>0</v>
      </c>
      <c r="I25" s="132">
        <f>IF(SER_hh_emih_in!I25=0,0,SER_hh_emih_in!I25/SER_summary!I$27)</f>
        <v>0</v>
      </c>
      <c r="J25" s="132">
        <f>IF(SER_hh_emih_in!J25=0,0,SER_hh_emih_in!J25/SER_summary!J$27)</f>
        <v>0</v>
      </c>
      <c r="K25" s="132">
        <f>IF(SER_hh_emih_in!K25=0,0,SER_hh_emih_in!K25/SER_summary!K$27)</f>
        <v>0</v>
      </c>
      <c r="L25" s="132">
        <f>IF(SER_hh_emih_in!L25=0,0,SER_hh_emih_in!L25/SER_summary!L$27)</f>
        <v>0</v>
      </c>
      <c r="M25" s="132">
        <f>IF(SER_hh_emih_in!M25=0,0,SER_hh_emih_in!M25/SER_summary!M$27)</f>
        <v>0</v>
      </c>
      <c r="N25" s="132">
        <f>IF(SER_hh_emih_in!N25=0,0,SER_hh_emih_in!N25/SER_summary!N$27)</f>
        <v>0</v>
      </c>
      <c r="O25" s="132">
        <f>IF(SER_hh_emih_in!O25=0,0,SER_hh_emih_in!O25/SER_summary!O$27)</f>
        <v>0</v>
      </c>
      <c r="P25" s="132">
        <f>IF(SER_hh_emih_in!P25=0,0,SER_hh_emih_in!P25/SER_summary!P$27)</f>
        <v>0</v>
      </c>
      <c r="Q25" s="132">
        <f>IF(SER_hh_emih_in!Q25=0,0,SER_hh_emih_in!Q25/SER_summary!Q$27)</f>
        <v>0</v>
      </c>
      <c r="R25" s="132">
        <f>IF(SER_hh_emih_in!R25=0,0,SER_hh_emih_in!R25/SER_summary!R$27)</f>
        <v>0</v>
      </c>
      <c r="S25" s="132">
        <f>IF(SER_hh_emih_in!S25=0,0,SER_hh_emih_in!S25/SER_summary!S$27)</f>
        <v>0</v>
      </c>
      <c r="T25" s="132">
        <f>IF(SER_hh_emih_in!T25=0,0,SER_hh_emih_in!T25/SER_summary!T$27)</f>
        <v>0</v>
      </c>
      <c r="U25" s="132">
        <f>IF(SER_hh_emih_in!U25=0,0,SER_hh_emih_in!U25/SER_summary!U$27)</f>
        <v>0</v>
      </c>
      <c r="V25" s="132">
        <f>IF(SER_hh_emih_in!V25=0,0,SER_hh_emih_in!V25/SER_summary!V$27)</f>
        <v>0</v>
      </c>
      <c r="W25" s="132">
        <f>IF(SER_hh_emih_in!W25=0,0,SER_hh_emih_in!W25/SER_summary!W$27)</f>
        <v>0</v>
      </c>
      <c r="X25" s="132">
        <f>IF(SER_hh_emih_in!X25=0,0,SER_hh_emih_in!X25/SER_summary!X$27)</f>
        <v>0</v>
      </c>
      <c r="Y25" s="132">
        <f>IF(SER_hh_emih_in!Y25=0,0,SER_hh_emih_in!Y25/SER_summary!Y$27)</f>
        <v>0</v>
      </c>
      <c r="DA25" s="156" t="s">
        <v>901</v>
      </c>
    </row>
    <row r="26" spans="1:105" ht="12" customHeight="1" x14ac:dyDescent="0.25">
      <c r="A26" s="131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X26" s="65">
        <f>IF(SER_hh_emih_in!X26=0,0,SER_hh_emih_in!X26/SER_summary!X$27)</f>
        <v>0</v>
      </c>
      <c r="Y26" s="65">
        <f>IF(SER_hh_emih_in!Y26=0,0,SER_hh_emih_in!Y26/SER_summary!Y$27)</f>
        <v>0</v>
      </c>
      <c r="DA26" s="109" t="s">
        <v>902</v>
      </c>
    </row>
    <row r="27" spans="1:105" ht="12" customHeight="1" x14ac:dyDescent="0.25">
      <c r="A27" s="144" t="s">
        <v>86</v>
      </c>
      <c r="B27" s="147"/>
      <c r="C27" s="145">
        <f>IF(SER_hh_emih_in!C27=0,0,SER_hh_emih_in!C27/SER_summary!C$27)</f>
        <v>0</v>
      </c>
      <c r="D27" s="145">
        <f>IF(SER_hh_emih_in!D27=0,0,SER_hh_emih_in!D27/SER_summary!D$27)</f>
        <v>0</v>
      </c>
      <c r="E27" s="145">
        <f>IF(SER_hh_emih_in!E27=0,0,SER_hh_emih_in!E27/SER_summary!E$27)</f>
        <v>0</v>
      </c>
      <c r="F27" s="145">
        <f>IF(SER_hh_emih_in!F27=0,0,SER_hh_emih_in!F27/SER_summary!F$27)</f>
        <v>0</v>
      </c>
      <c r="G27" s="145">
        <f>IF(SER_hh_emih_in!G27=0,0,SER_hh_emih_in!G27/SER_summary!G$27)</f>
        <v>0</v>
      </c>
      <c r="H27" s="145">
        <f>IF(SER_hh_emih_in!H27=0,0,SER_hh_emih_in!H27/SER_summary!H$27)</f>
        <v>0</v>
      </c>
      <c r="I27" s="145">
        <f>IF(SER_hh_emih_in!I27=0,0,SER_hh_emih_in!I27/SER_summary!I$27)</f>
        <v>0</v>
      </c>
      <c r="J27" s="145">
        <f>IF(SER_hh_emih_in!J27=0,0,SER_hh_emih_in!J27/SER_summary!J$27)</f>
        <v>0</v>
      </c>
      <c r="K27" s="145">
        <f>IF(SER_hh_emih_in!K27=0,0,SER_hh_emih_in!K27/SER_summary!K$27)</f>
        <v>0</v>
      </c>
      <c r="L27" s="145">
        <f>IF(SER_hh_emih_in!L27=0,0,SER_hh_emih_in!L27/SER_summary!L$27)</f>
        <v>0</v>
      </c>
      <c r="M27" s="145">
        <f>IF(SER_hh_emih_in!M27=0,0,SER_hh_emih_in!M27/SER_summary!M$27)</f>
        <v>0</v>
      </c>
      <c r="N27" s="145">
        <f>IF(SER_hh_emih_in!N27=0,0,SER_hh_emih_in!N27/SER_summary!N$27)</f>
        <v>0</v>
      </c>
      <c r="O27" s="145">
        <f>IF(SER_hh_emih_in!O27=0,0,SER_hh_emih_in!O27/SER_summary!O$27)</f>
        <v>0</v>
      </c>
      <c r="P27" s="145">
        <f>IF(SER_hh_emih_in!P27=0,0,SER_hh_emih_in!P27/SER_summary!P$27)</f>
        <v>0</v>
      </c>
      <c r="Q27" s="145">
        <f>IF(SER_hh_emih_in!Q27=0,0,SER_hh_emih_in!Q27/SER_summary!Q$27)</f>
        <v>0</v>
      </c>
      <c r="R27" s="145">
        <f>IF(SER_hh_emih_in!R27=0,0,SER_hh_emih_in!R27/SER_summary!R$27)</f>
        <v>0</v>
      </c>
      <c r="S27" s="145">
        <f>IF(SER_hh_emih_in!S27=0,0,SER_hh_emih_in!S27/SER_summary!S$27)</f>
        <v>0</v>
      </c>
      <c r="T27" s="145">
        <f>IF(SER_hh_emih_in!T27=0,0,SER_hh_emih_in!T27/SER_summary!T$27)</f>
        <v>0</v>
      </c>
      <c r="U27" s="145">
        <f>IF(SER_hh_emih_in!U27=0,0,SER_hh_emih_in!U27/SER_summary!U$27)</f>
        <v>0</v>
      </c>
      <c r="V27" s="145">
        <f>IF(SER_hh_emih_in!V27=0,0,SER_hh_emih_in!V27/SER_summary!V$27)</f>
        <v>0</v>
      </c>
      <c r="W27" s="145">
        <f>IF(SER_hh_emih_in!W27=0,0,SER_hh_emih_in!W27/SER_summary!W$27)</f>
        <v>0</v>
      </c>
      <c r="X27" s="145">
        <f>IF(SER_hh_emih_in!X27=0,0,SER_hh_emih_in!X27/SER_summary!X$27)</f>
        <v>0</v>
      </c>
      <c r="Y27" s="145">
        <f>IF(SER_hh_emih_in!Y27=0,0,SER_hh_emih_in!Y27/SER_summary!Y$27)</f>
        <v>0</v>
      </c>
      <c r="DA27" s="158" t="s">
        <v>903</v>
      </c>
    </row>
    <row r="28" spans="1:105" ht="12" customHeight="1" x14ac:dyDescent="0.25">
      <c r="A28" s="78" t="s">
        <v>85</v>
      </c>
      <c r="B28" s="68"/>
      <c r="C28" s="146">
        <f>IF(SER_hh_emih_in!C28=0,0,SER_hh_emih_in!C28/SER_summary!C$27)</f>
        <v>0</v>
      </c>
      <c r="D28" s="146">
        <f>IF(SER_hh_emih_in!D28=0,0,SER_hh_emih_in!D28/SER_summary!D$27)</f>
        <v>0</v>
      </c>
      <c r="E28" s="146">
        <f>IF(SER_hh_emih_in!E28=0,0,SER_hh_emih_in!E28/SER_summary!E$27)</f>
        <v>0</v>
      </c>
      <c r="F28" s="146">
        <f>IF(SER_hh_emih_in!F28=0,0,SER_hh_emih_in!F28/SER_summary!F$27)</f>
        <v>0</v>
      </c>
      <c r="G28" s="146">
        <f>IF(SER_hh_emih_in!G28=0,0,SER_hh_emih_in!G28/SER_summary!G$27)</f>
        <v>0</v>
      </c>
      <c r="H28" s="146">
        <f>IF(SER_hh_emih_in!H28=0,0,SER_hh_emih_in!H28/SER_summary!H$27)</f>
        <v>0</v>
      </c>
      <c r="I28" s="146">
        <f>IF(SER_hh_emih_in!I28=0,0,SER_hh_emih_in!I28/SER_summary!I$27)</f>
        <v>0</v>
      </c>
      <c r="J28" s="146">
        <f>IF(SER_hh_emih_in!J28=0,0,SER_hh_emih_in!J28/SER_summary!J$27)</f>
        <v>0</v>
      </c>
      <c r="K28" s="146">
        <f>IF(SER_hh_emih_in!K28=0,0,SER_hh_emih_in!K28/SER_summary!K$27)</f>
        <v>0</v>
      </c>
      <c r="L28" s="146">
        <f>IF(SER_hh_emih_in!L28=0,0,SER_hh_emih_in!L28/SER_summary!L$27)</f>
        <v>0</v>
      </c>
      <c r="M28" s="146">
        <f>IF(SER_hh_emih_in!M28=0,0,SER_hh_emih_in!M28/SER_summary!M$27)</f>
        <v>0</v>
      </c>
      <c r="N28" s="146">
        <f>IF(SER_hh_emih_in!N28=0,0,SER_hh_emih_in!N28/SER_summary!N$27)</f>
        <v>0</v>
      </c>
      <c r="O28" s="146">
        <f>IF(SER_hh_emih_in!O28=0,0,SER_hh_emih_in!O28/SER_summary!O$27)</f>
        <v>0</v>
      </c>
      <c r="P28" s="146">
        <f>IF(SER_hh_emih_in!P28=0,0,SER_hh_emih_in!P28/SER_summary!P$27)</f>
        <v>0</v>
      </c>
      <c r="Q28" s="146">
        <f>IF(SER_hh_emih_in!Q28=0,0,SER_hh_emih_in!Q28/SER_summary!Q$27)</f>
        <v>0</v>
      </c>
      <c r="R28" s="146">
        <f>IF(SER_hh_emih_in!R28=0,0,SER_hh_emih_in!R28/SER_summary!R$27)</f>
        <v>0</v>
      </c>
      <c r="S28" s="146">
        <f>IF(SER_hh_emih_in!S28=0,0,SER_hh_emih_in!S28/SER_summary!S$27)</f>
        <v>0</v>
      </c>
      <c r="T28" s="146">
        <f>IF(SER_hh_emih_in!T28=0,0,SER_hh_emih_in!T28/SER_summary!T$27)</f>
        <v>0</v>
      </c>
      <c r="U28" s="146">
        <f>IF(SER_hh_emih_in!U28=0,0,SER_hh_emih_in!U28/SER_summary!U$27)</f>
        <v>0</v>
      </c>
      <c r="V28" s="146">
        <f>IF(SER_hh_emih_in!V28=0,0,SER_hh_emih_in!V28/SER_summary!V$27)</f>
        <v>0</v>
      </c>
      <c r="W28" s="146">
        <f>IF(SER_hh_emih_in!W28=0,0,SER_hh_emih_in!W28/SER_summary!W$27)</f>
        <v>0</v>
      </c>
      <c r="X28" s="146">
        <f>IF(SER_hh_emih_in!X28=0,0,SER_hh_emih_in!X28/SER_summary!X$27)</f>
        <v>0</v>
      </c>
      <c r="Y28" s="146">
        <f>IF(SER_hh_emih_in!Y28=0,0,SER_hh_emih_in!Y28/SER_summary!Y$27)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IF(SER_hh_emih_in!C29=0,0,SER_hh_emih_in!C29/SER_summary!C$27)</f>
        <v>0.65514069179341206</v>
      </c>
      <c r="D29" s="130">
        <f>IF(SER_hh_emih_in!D29=0,0,SER_hh_emih_in!D29/SER_summary!D$27)</f>
        <v>0.5262284097984764</v>
      </c>
      <c r="E29" s="130">
        <f>IF(SER_hh_emih_in!E29=0,0,SER_hh_emih_in!E29/SER_summary!E$27)</f>
        <v>0.50551958578422174</v>
      </c>
      <c r="F29" s="130">
        <f>IF(SER_hh_emih_in!F29=0,0,SER_hh_emih_in!F29/SER_summary!F$27)</f>
        <v>0.76648495314184895</v>
      </c>
      <c r="G29" s="130">
        <f>IF(SER_hh_emih_in!G29=0,0,SER_hh_emih_in!G29/SER_summary!G$27)</f>
        <v>0.60050511010627683</v>
      </c>
      <c r="H29" s="130">
        <f>IF(SER_hh_emih_in!H29=0,0,SER_hh_emih_in!H29/SER_summary!H$27)</f>
        <v>0.54617767892259095</v>
      </c>
      <c r="I29" s="130">
        <f>IF(SER_hh_emih_in!I29=0,0,SER_hh_emih_in!I29/SER_summary!I$27)</f>
        <v>0.49714718360078164</v>
      </c>
      <c r="J29" s="130">
        <f>IF(SER_hh_emih_in!J29=0,0,SER_hh_emih_in!J29/SER_summary!J$27)</f>
        <v>0.55512056116793862</v>
      </c>
      <c r="K29" s="130">
        <f>IF(SER_hh_emih_in!K29=0,0,SER_hh_emih_in!K29/SER_summary!K$27)</f>
        <v>0.65654368313091316</v>
      </c>
      <c r="L29" s="130">
        <f>IF(SER_hh_emih_in!L29=0,0,SER_hh_emih_in!L29/SER_summary!L$27)</f>
        <v>0.63294586410105613</v>
      </c>
      <c r="M29" s="130">
        <f>IF(SER_hh_emih_in!M29=0,0,SER_hh_emih_in!M29/SER_summary!M$27)</f>
        <v>0.90219950087576284</v>
      </c>
      <c r="N29" s="130">
        <f>IF(SER_hh_emih_in!N29=0,0,SER_hh_emih_in!N29/SER_summary!N$27)</f>
        <v>1.3042487850834292</v>
      </c>
      <c r="O29" s="130">
        <f>IF(SER_hh_emih_in!O29=0,0,SER_hh_emih_in!O29/SER_summary!O$27)</f>
        <v>1.5988144646189817</v>
      </c>
      <c r="P29" s="130">
        <f>IF(SER_hh_emih_in!P29=0,0,SER_hh_emih_in!P29/SER_summary!P$27)</f>
        <v>2.0396741899731294</v>
      </c>
      <c r="Q29" s="130">
        <f>IF(SER_hh_emih_in!Q29=0,0,SER_hh_emih_in!Q29/SER_summary!Q$27)</f>
        <v>1.9948204068579174</v>
      </c>
      <c r="R29" s="130">
        <f>IF(SER_hh_emih_in!R29=0,0,SER_hh_emih_in!R29/SER_summary!R$27)</f>
        <v>1.5711895909794045</v>
      </c>
      <c r="S29" s="130">
        <f>IF(SER_hh_emih_in!S29=0,0,SER_hh_emih_in!S29/SER_summary!S$27)</f>
        <v>0.83867694982872432</v>
      </c>
      <c r="T29" s="130">
        <f>IF(SER_hh_emih_in!T29=0,0,SER_hh_emih_in!T29/SER_summary!T$27)</f>
        <v>0.23691565828065869</v>
      </c>
      <c r="U29" s="130">
        <f>IF(SER_hh_emih_in!U29=0,0,SER_hh_emih_in!U29/SER_summary!U$27)</f>
        <v>0.55498668633774351</v>
      </c>
      <c r="V29" s="130">
        <f>IF(SER_hh_emih_in!V29=0,0,SER_hh_emih_in!V29/SER_summary!V$27)</f>
        <v>0.85358630469324359</v>
      </c>
      <c r="W29" s="130">
        <f>IF(SER_hh_emih_in!W29=0,0,SER_hh_emih_in!W29/SER_summary!W$27)</f>
        <v>0.66414277047871895</v>
      </c>
      <c r="X29" s="130">
        <f>IF(SER_hh_emih_in!X29=0,0,SER_hh_emih_in!X29/SER_summary!X$27)</f>
        <v>0.62044435936407827</v>
      </c>
      <c r="Y29" s="130">
        <f>IF(SER_hh_emih_in!Y29=0,0,SER_hh_emih_in!Y29/SER_summary!Y$27)</f>
        <v>0.80817158486733454</v>
      </c>
      <c r="DA29" s="155" t="s">
        <v>904</v>
      </c>
    </row>
    <row r="30" spans="1:105" s="2" customFormat="1" ht="12" customHeight="1" x14ac:dyDescent="0.25">
      <c r="A30" s="131" t="s">
        <v>52</v>
      </c>
      <c r="B30" s="132"/>
      <c r="C30" s="132">
        <f>IF(SER_hh_emih_in!C30=0,0,SER_hh_emih_in!C30/SER_summary!C$27)</f>
        <v>1.9914417061172225</v>
      </c>
      <c r="D30" s="132">
        <f>IF(SER_hh_emih_in!D30=0,0,SER_hh_emih_in!D30/SER_summary!D$27)</f>
        <v>1.9259770923212436</v>
      </c>
      <c r="E30" s="132">
        <f>IF(SER_hh_emih_in!E30=0,0,SER_hh_emih_in!E30/SER_summary!E$27)</f>
        <v>1.8708047412480149</v>
      </c>
      <c r="F30" s="132">
        <f>IF(SER_hh_emih_in!F30=0,0,SER_hh_emih_in!F30/SER_summary!F$27)</f>
        <v>2.0268852223205491</v>
      </c>
      <c r="G30" s="132">
        <f>IF(SER_hh_emih_in!G30=0,0,SER_hh_emih_in!G30/SER_summary!G$27)</f>
        <v>1.9765760183104579</v>
      </c>
      <c r="H30" s="132">
        <f>IF(SER_hh_emih_in!H30=0,0,SER_hh_emih_in!H30/SER_summary!H$27)</f>
        <v>1.9257712371647782</v>
      </c>
      <c r="I30" s="132">
        <f>IF(SER_hh_emih_in!I30=0,0,SER_hh_emih_in!I30/SER_summary!I$27)</f>
        <v>2.0788977872206962</v>
      </c>
      <c r="J30" s="132">
        <f>IF(SER_hh_emih_in!J30=0,0,SER_hh_emih_in!J30/SER_summary!J$27)</f>
        <v>2.2435297668460503</v>
      </c>
      <c r="K30" s="132">
        <f>IF(SER_hh_emih_in!K30=0,0,SER_hh_emih_in!K30/SER_summary!K$27)</f>
        <v>2.1119396412875697</v>
      </c>
      <c r="L30" s="132">
        <f>IF(SER_hh_emih_in!L30=0,0,SER_hh_emih_in!L30/SER_summary!L$27)</f>
        <v>2.2063967405463134</v>
      </c>
      <c r="M30" s="132">
        <f>IF(SER_hh_emih_in!M30=0,0,SER_hh_emih_in!M30/SER_summary!M$27)</f>
        <v>2.1806619701405645</v>
      </c>
      <c r="N30" s="132">
        <f>IF(SER_hh_emih_in!N30=0,0,SER_hh_emih_in!N30/SER_summary!N$27)</f>
        <v>2.216458761270145</v>
      </c>
      <c r="O30" s="132">
        <f>IF(SER_hh_emih_in!O30=0,0,SER_hh_emih_in!O30/SER_summary!O$27)</f>
        <v>2.2190575088288553</v>
      </c>
      <c r="P30" s="132">
        <f>IF(SER_hh_emih_in!P30=0,0,SER_hh_emih_in!P30/SER_summary!P$27)</f>
        <v>1.5307497053620913</v>
      </c>
      <c r="Q30" s="132">
        <f>IF(SER_hh_emih_in!Q30=0,0,SER_hh_emih_in!Q30/SER_summary!Q$27)</f>
        <v>2.1002563532810754</v>
      </c>
      <c r="R30" s="132">
        <f>IF(SER_hh_emih_in!R30=0,0,SER_hh_emih_in!R30/SER_summary!R$27)</f>
        <v>2.5971042250984815</v>
      </c>
      <c r="S30" s="132">
        <f>IF(SER_hh_emih_in!S30=0,0,SER_hh_emih_in!S30/SER_summary!S$27)</f>
        <v>1.9997522617987769</v>
      </c>
      <c r="T30" s="132">
        <f>IF(SER_hh_emih_in!T30=0,0,SER_hh_emih_in!T30/SER_summary!T$27)</f>
        <v>2.3284745515545171</v>
      </c>
      <c r="U30" s="132">
        <f>IF(SER_hh_emih_in!U30=0,0,SER_hh_emih_in!U30/SER_summary!U$27)</f>
        <v>0</v>
      </c>
      <c r="V30" s="132">
        <f>IF(SER_hh_emih_in!V30=0,0,SER_hh_emih_in!V30/SER_summary!V$27)</f>
        <v>0</v>
      </c>
      <c r="W30" s="132">
        <f>IF(SER_hh_emih_in!W30=0,0,SER_hh_emih_in!W30/SER_summary!W$27)</f>
        <v>1.7362383168501705</v>
      </c>
      <c r="X30" s="132">
        <f>IF(SER_hh_emih_in!X30=0,0,SER_hh_emih_in!X30/SER_summary!X$27)</f>
        <v>1.8716834789790391</v>
      </c>
      <c r="Y30" s="132">
        <f>IF(SER_hh_emih_in!Y30=0,0,SER_hh_emih_in!Y30/SER_summary!Y$27)</f>
        <v>2.4096063603105691</v>
      </c>
      <c r="DA30" s="156" t="s">
        <v>905</v>
      </c>
    </row>
    <row r="31" spans="1:105" ht="12" customHeight="1" x14ac:dyDescent="0.25">
      <c r="A31" s="131" t="s">
        <v>149</v>
      </c>
      <c r="B31" s="132"/>
      <c r="C31" s="132">
        <f>IF(SER_hh_emih_in!C31=0,0,SER_hh_emih_in!C31/SER_summary!C$27)</f>
        <v>1.8131271701626317</v>
      </c>
      <c r="D31" s="132">
        <f>IF(SER_hh_emih_in!D31=0,0,SER_hh_emih_in!D31/SER_summary!D$27)</f>
        <v>1.5635844319616286</v>
      </c>
      <c r="E31" s="132">
        <f>IF(SER_hh_emih_in!E31=0,0,SER_hh_emih_in!E31/SER_summary!E$27)</f>
        <v>1.2582039658504733</v>
      </c>
      <c r="F31" s="132">
        <f>IF(SER_hh_emih_in!F31=0,0,SER_hh_emih_in!F31/SER_summary!F$27)</f>
        <v>1.7320030769147325</v>
      </c>
      <c r="G31" s="132">
        <f>IF(SER_hh_emih_in!G31=0,0,SER_hh_emih_in!G31/SER_summary!G$27)</f>
        <v>1.7187615496024842</v>
      </c>
      <c r="H31" s="132">
        <f>IF(SER_hh_emih_in!H31=0,0,SER_hh_emih_in!H31/SER_summary!H$27)</f>
        <v>1.8250341715003082</v>
      </c>
      <c r="I31" s="132">
        <f>IF(SER_hh_emih_in!I31=0,0,SER_hh_emih_in!I31/SER_summary!I$27)</f>
        <v>1.7932003335230353</v>
      </c>
      <c r="J31" s="132">
        <f>IF(SER_hh_emih_in!J31=0,0,SER_hh_emih_in!J31/SER_summary!J$27)</f>
        <v>1.8654510423480775</v>
      </c>
      <c r="K31" s="132">
        <f>IF(SER_hh_emih_in!K31=0,0,SER_hh_emih_in!K31/SER_summary!K$27)</f>
        <v>1.8609348775237637</v>
      </c>
      <c r="L31" s="132">
        <f>IF(SER_hh_emih_in!L31=0,0,SER_hh_emih_in!L31/SER_summary!L$27)</f>
        <v>1.9009610402806709</v>
      </c>
      <c r="M31" s="132">
        <f>IF(SER_hh_emih_in!M31=0,0,SER_hh_emih_in!M31/SER_summary!M$27)</f>
        <v>1.8548937437523927</v>
      </c>
      <c r="N31" s="132">
        <f>IF(SER_hh_emih_in!N31=0,0,SER_hh_emih_in!N31/SER_summary!N$27)</f>
        <v>1.6924158398313642</v>
      </c>
      <c r="O31" s="132">
        <f>IF(SER_hh_emih_in!O31=0,0,SER_hh_emih_in!O31/SER_summary!O$27)</f>
        <v>1.552450383252544</v>
      </c>
      <c r="P31" s="132">
        <f>IF(SER_hh_emih_in!P31=0,0,SER_hh_emih_in!P31/SER_summary!P$27)</f>
        <v>2.0760150626927163</v>
      </c>
      <c r="Q31" s="132">
        <f>IF(SER_hh_emih_in!Q31=0,0,SER_hh_emih_in!Q31/SER_summary!Q$27)</f>
        <v>1.9722926948302066</v>
      </c>
      <c r="R31" s="132">
        <f>IF(SER_hh_emih_in!R31=0,0,SER_hh_emih_in!R31/SER_summary!R$27)</f>
        <v>1.8970328716299767</v>
      </c>
      <c r="S31" s="132">
        <f>IF(SER_hh_emih_in!S31=0,0,SER_hh_emih_in!S31/SER_summary!S$27)</f>
        <v>1.8804835356188025</v>
      </c>
      <c r="T31" s="132">
        <f>IF(SER_hh_emih_in!T31=0,0,SER_hh_emih_in!T31/SER_summary!T$27)</f>
        <v>1.678687073191053</v>
      </c>
      <c r="U31" s="132">
        <f>IF(SER_hh_emih_in!U31=0,0,SER_hh_emih_in!U31/SER_summary!U$27)</f>
        <v>1.7194326693065212</v>
      </c>
      <c r="V31" s="132">
        <f>IF(SER_hh_emih_in!V31=0,0,SER_hh_emih_in!V31/SER_summary!V$27)</f>
        <v>1.7997651945227982</v>
      </c>
      <c r="W31" s="132">
        <f>IF(SER_hh_emih_in!W31=0,0,SER_hh_emih_in!W31/SER_summary!W$27)</f>
        <v>1.8120353636117343</v>
      </c>
      <c r="X31" s="132">
        <f>IF(SER_hh_emih_in!X31=0,0,SER_hh_emih_in!X31/SER_summary!X$27)</f>
        <v>1.6699006178540663</v>
      </c>
      <c r="Y31" s="132">
        <f>IF(SER_hh_emih_in!Y31=0,0,SER_hh_emih_in!Y31/SER_summary!Y$27)</f>
        <v>1.7271932647268646</v>
      </c>
      <c r="DA31" s="156" t="s">
        <v>906</v>
      </c>
    </row>
    <row r="32" spans="1:105" ht="12" customHeight="1" x14ac:dyDescent="0.25">
      <c r="A32" s="131" t="s">
        <v>128</v>
      </c>
      <c r="B32" s="132"/>
      <c r="C32" s="132">
        <f>IF(SER_hh_emih_in!C32=0,0,SER_hh_emih_in!C32/SER_summary!C$27)</f>
        <v>0</v>
      </c>
      <c r="D32" s="132">
        <f>IF(SER_hh_emih_in!D32=0,0,SER_hh_emih_in!D32/SER_summary!D$27)</f>
        <v>0</v>
      </c>
      <c r="E32" s="132">
        <f>IF(SER_hh_emih_in!E32=0,0,SER_hh_emih_in!E32/SER_summary!E$27)</f>
        <v>0</v>
      </c>
      <c r="F32" s="132">
        <f>IF(SER_hh_emih_in!F32=0,0,SER_hh_emih_in!F32/SER_summary!F$27)</f>
        <v>0</v>
      </c>
      <c r="G32" s="132">
        <f>IF(SER_hh_emih_in!G32=0,0,SER_hh_emih_in!G32/SER_summary!G$27)</f>
        <v>0</v>
      </c>
      <c r="H32" s="132">
        <f>IF(SER_hh_emih_in!H32=0,0,SER_hh_emih_in!H32/SER_summary!H$27)</f>
        <v>0</v>
      </c>
      <c r="I32" s="132">
        <f>IF(SER_hh_emih_in!I32=0,0,SER_hh_emih_in!I32/SER_summary!I$27)</f>
        <v>0</v>
      </c>
      <c r="J32" s="132">
        <f>IF(SER_hh_emih_in!J32=0,0,SER_hh_emih_in!J32/SER_summary!J$27)</f>
        <v>0</v>
      </c>
      <c r="K32" s="132">
        <f>IF(SER_hh_emih_in!K32=0,0,SER_hh_emih_in!K32/SER_summary!K$27)</f>
        <v>0</v>
      </c>
      <c r="L32" s="132">
        <f>IF(SER_hh_emih_in!L32=0,0,SER_hh_emih_in!L32/SER_summary!L$27)</f>
        <v>0</v>
      </c>
      <c r="M32" s="132">
        <f>IF(SER_hh_emih_in!M32=0,0,SER_hh_emih_in!M32/SER_summary!M$27)</f>
        <v>0</v>
      </c>
      <c r="N32" s="132">
        <f>IF(SER_hh_emih_in!N32=0,0,SER_hh_emih_in!N32/SER_summary!N$27)</f>
        <v>0</v>
      </c>
      <c r="O32" s="132">
        <f>IF(SER_hh_emih_in!O32=0,0,SER_hh_emih_in!O32/SER_summary!O$27)</f>
        <v>0</v>
      </c>
      <c r="P32" s="132">
        <f>IF(SER_hh_emih_in!P32=0,0,SER_hh_emih_in!P32/SER_summary!P$27)</f>
        <v>0</v>
      </c>
      <c r="Q32" s="132">
        <f>IF(SER_hh_emih_in!Q32=0,0,SER_hh_emih_in!Q32/SER_summary!Q$27)</f>
        <v>0</v>
      </c>
      <c r="R32" s="132">
        <f>IF(SER_hh_emih_in!R32=0,0,SER_hh_emih_in!R32/SER_summary!R$27)</f>
        <v>0</v>
      </c>
      <c r="S32" s="132">
        <f>IF(SER_hh_emih_in!S32=0,0,SER_hh_emih_in!S32/SER_summary!S$27)</f>
        <v>0</v>
      </c>
      <c r="T32" s="132">
        <f>IF(SER_hh_emih_in!T32=0,0,SER_hh_emih_in!T32/SER_summary!T$27)</f>
        <v>0</v>
      </c>
      <c r="U32" s="132">
        <f>IF(SER_hh_emih_in!U32=0,0,SER_hh_emih_in!U32/SER_summary!U$27)</f>
        <v>0</v>
      </c>
      <c r="V32" s="132">
        <f>IF(SER_hh_emih_in!V32=0,0,SER_hh_emih_in!V32/SER_summary!V$27)</f>
        <v>0</v>
      </c>
      <c r="W32" s="132">
        <f>IF(SER_hh_emih_in!W32=0,0,SER_hh_emih_in!W32/SER_summary!W$27)</f>
        <v>0</v>
      </c>
      <c r="X32" s="132">
        <f>IF(SER_hh_emih_in!X32=0,0,SER_hh_emih_in!X32/SER_summary!X$27)</f>
        <v>0</v>
      </c>
      <c r="Y32" s="132">
        <f>IF(SER_hh_emih_in!Y32=0,0,SER_hh_emih_in!Y32/SER_summary!Y$27)</f>
        <v>0</v>
      </c>
      <c r="DA32" s="156" t="s">
        <v>907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X33" s="68">
        <f>IF(SER_hh_emih_in!X33=0,0,SER_hh_emih_in!X33/SER_summary!X$27)</f>
        <v>0</v>
      </c>
      <c r="Y33" s="68">
        <f>IF(SER_hh_emih_in!Y33=0,0,SER_hh_emih_in!Y33/SER_summary!Y$27)</f>
        <v>0</v>
      </c>
      <c r="DA33" s="111" t="s">
        <v>908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78" t="s">
        <v>81</v>
      </c>
      <c r="B3" s="179">
        <f t="shared" ref="B3" si="0">SUM(B4:B9)</f>
        <v>2793.7026077624037</v>
      </c>
      <c r="C3" s="179">
        <f t="shared" ref="C3:W3" si="1">SUM(C4:C9)</f>
        <v>2981.8714345935355</v>
      </c>
      <c r="D3" s="179">
        <f t="shared" si="1"/>
        <v>3146.314751452318</v>
      </c>
      <c r="E3" s="179">
        <f t="shared" si="1"/>
        <v>3332.8832811881457</v>
      </c>
      <c r="F3" s="179">
        <f t="shared" si="1"/>
        <v>3527.0020507984618</v>
      </c>
      <c r="G3" s="179">
        <f t="shared" si="1"/>
        <v>3717.5454882833019</v>
      </c>
      <c r="H3" s="179">
        <f t="shared" si="1"/>
        <v>3880.5125700594854</v>
      </c>
      <c r="I3" s="179">
        <f t="shared" si="1"/>
        <v>4022.4470228620798</v>
      </c>
      <c r="J3" s="179">
        <f t="shared" si="1"/>
        <v>4136.3612866618678</v>
      </c>
      <c r="K3" s="179">
        <f t="shared" si="1"/>
        <v>4147.2371856830423</v>
      </c>
      <c r="L3" s="179">
        <f t="shared" si="1"/>
        <v>4224.8436191357923</v>
      </c>
      <c r="M3" s="179">
        <f t="shared" si="1"/>
        <v>4248.5530473147501</v>
      </c>
      <c r="N3" s="179">
        <f t="shared" si="1"/>
        <v>4302.0878525090193</v>
      </c>
      <c r="O3" s="179">
        <f t="shared" si="1"/>
        <v>4306.1688188885746</v>
      </c>
      <c r="P3" s="179">
        <f t="shared" si="1"/>
        <v>4348.5140159568473</v>
      </c>
      <c r="Q3" s="179">
        <f t="shared" si="1"/>
        <v>4451.0523722971293</v>
      </c>
      <c r="R3" s="179">
        <f t="shared" si="1"/>
        <v>4533.4966528801187</v>
      </c>
      <c r="S3" s="179">
        <f t="shared" si="1"/>
        <v>4480.3053370771413</v>
      </c>
      <c r="T3" s="179">
        <f t="shared" si="1"/>
        <v>4467.2729683357275</v>
      </c>
      <c r="U3" s="179">
        <f t="shared" si="1"/>
        <v>4419.4710957305751</v>
      </c>
      <c r="V3" s="179">
        <f t="shared" si="1"/>
        <v>4087.1846522556198</v>
      </c>
      <c r="W3" s="179">
        <f t="shared" si="1"/>
        <v>4085.311840752649</v>
      </c>
      <c r="X3" s="179">
        <f t="shared" ref="X3:Y3" si="2">SUM(X4:X9)</f>
        <v>4085.5495234614536</v>
      </c>
      <c r="Y3" s="179">
        <f t="shared" si="2"/>
        <v>4045.7378765361891</v>
      </c>
      <c r="DA3" s="188" t="s">
        <v>218</v>
      </c>
    </row>
    <row r="4" spans="1:105" ht="12" customHeight="1" x14ac:dyDescent="0.25">
      <c r="A4" s="131" t="s">
        <v>7</v>
      </c>
      <c r="B4" s="180">
        <f t="shared" ref="B4:B9" si="3">B12*B44/11630</f>
        <v>231.49948577188124</v>
      </c>
      <c r="C4" s="180">
        <f t="shared" ref="C4:R9" si="4">C12*C44/11630</f>
        <v>240.86196508868633</v>
      </c>
      <c r="D4" s="180">
        <f t="shared" si="4"/>
        <v>248.63226619213961</v>
      </c>
      <c r="E4" s="180">
        <f t="shared" si="4"/>
        <v>258.76966382941151</v>
      </c>
      <c r="F4" s="180">
        <f t="shared" si="4"/>
        <v>269.87337398582991</v>
      </c>
      <c r="G4" s="180">
        <f t="shared" si="4"/>
        <v>281.37987873084472</v>
      </c>
      <c r="H4" s="180">
        <f t="shared" si="4"/>
        <v>292.31663773197465</v>
      </c>
      <c r="I4" s="180">
        <f t="shared" si="4"/>
        <v>302.86830878142661</v>
      </c>
      <c r="J4" s="180">
        <f t="shared" si="4"/>
        <v>312.36019905901941</v>
      </c>
      <c r="K4" s="180">
        <f t="shared" si="4"/>
        <v>313.10562269584165</v>
      </c>
      <c r="L4" s="180">
        <f t="shared" si="4"/>
        <v>320.12977543795517</v>
      </c>
      <c r="M4" s="180">
        <f t="shared" si="4"/>
        <v>324.35103474518377</v>
      </c>
      <c r="N4" s="180">
        <f t="shared" si="4"/>
        <v>330.89498652896589</v>
      </c>
      <c r="O4" s="180">
        <f t="shared" si="4"/>
        <v>332.86994184500202</v>
      </c>
      <c r="P4" s="180">
        <f t="shared" si="4"/>
        <v>337.87411390954679</v>
      </c>
      <c r="Q4" s="180">
        <f t="shared" si="4"/>
        <v>345.10353468721917</v>
      </c>
      <c r="R4" s="180">
        <f t="shared" si="4"/>
        <v>350.98592561350495</v>
      </c>
      <c r="S4" s="180">
        <f t="shared" ref="D4:W9" si="5">S12*S44/11630</f>
        <v>356.62979474441096</v>
      </c>
      <c r="T4" s="180">
        <f t="shared" si="5"/>
        <v>361.94472047763571</v>
      </c>
      <c r="U4" s="180">
        <f t="shared" si="5"/>
        <v>367.1550874431033</v>
      </c>
      <c r="V4" s="180">
        <f t="shared" si="5"/>
        <v>372.02098069407378</v>
      </c>
      <c r="W4" s="180">
        <f t="shared" si="5"/>
        <v>375.67820167604452</v>
      </c>
      <c r="X4" s="180">
        <f t="shared" ref="X4:Y4" si="6">X12*X44/11630</f>
        <v>376.28652562424514</v>
      </c>
      <c r="Y4" s="180">
        <f t="shared" si="6"/>
        <v>375.39171317947853</v>
      </c>
      <c r="DA4" s="189" t="s">
        <v>909</v>
      </c>
    </row>
    <row r="5" spans="1:105" ht="12" customHeight="1" x14ac:dyDescent="0.25">
      <c r="A5" s="131" t="s">
        <v>6</v>
      </c>
      <c r="B5" s="180">
        <f t="shared" si="3"/>
        <v>282.53462391933249</v>
      </c>
      <c r="C5" s="180">
        <f t="shared" si="4"/>
        <v>285.25159397703663</v>
      </c>
      <c r="D5" s="180">
        <f t="shared" si="5"/>
        <v>291.21837069062332</v>
      </c>
      <c r="E5" s="180">
        <f t="shared" si="5"/>
        <v>299.00769934338473</v>
      </c>
      <c r="F5" s="180">
        <f t="shared" si="5"/>
        <v>306.85280266982113</v>
      </c>
      <c r="G5" s="180">
        <f t="shared" si="5"/>
        <v>311.80489568140638</v>
      </c>
      <c r="H5" s="180">
        <f t="shared" si="5"/>
        <v>314.67216502572455</v>
      </c>
      <c r="I5" s="180">
        <f t="shared" si="5"/>
        <v>314.94128970760465</v>
      </c>
      <c r="J5" s="180">
        <f t="shared" si="5"/>
        <v>317.43224567331498</v>
      </c>
      <c r="K5" s="180">
        <f t="shared" si="5"/>
        <v>319.43122978154264</v>
      </c>
      <c r="L5" s="180">
        <f t="shared" si="5"/>
        <v>320.08036965241729</v>
      </c>
      <c r="M5" s="180">
        <f t="shared" si="5"/>
        <v>320.21342827530481</v>
      </c>
      <c r="N5" s="180">
        <f t="shared" si="5"/>
        <v>321.17508772265461</v>
      </c>
      <c r="O5" s="180">
        <f t="shared" si="5"/>
        <v>321.30335263766187</v>
      </c>
      <c r="P5" s="180">
        <f t="shared" si="5"/>
        <v>321.72443541110783</v>
      </c>
      <c r="Q5" s="180">
        <f t="shared" si="5"/>
        <v>324.67624068409378</v>
      </c>
      <c r="R5" s="180">
        <f t="shared" si="5"/>
        <v>331.3365371207442</v>
      </c>
      <c r="S5" s="180">
        <f t="shared" si="5"/>
        <v>323.65354269877633</v>
      </c>
      <c r="T5" s="180">
        <f t="shared" si="5"/>
        <v>319.18427678660373</v>
      </c>
      <c r="U5" s="180">
        <f t="shared" si="5"/>
        <v>312.69361780194203</v>
      </c>
      <c r="V5" s="180">
        <f t="shared" si="5"/>
        <v>303.46974404245628</v>
      </c>
      <c r="W5" s="180">
        <f t="shared" si="5"/>
        <v>295.14388675573264</v>
      </c>
      <c r="X5" s="180">
        <f t="shared" ref="X5:Y5" si="7">X13*X45/11630</f>
        <v>287.25706433213639</v>
      </c>
      <c r="Y5" s="180">
        <f t="shared" si="7"/>
        <v>282.10552190024862</v>
      </c>
      <c r="DA5" s="189" t="s">
        <v>910</v>
      </c>
    </row>
    <row r="6" spans="1:105" ht="12" customHeight="1" x14ac:dyDescent="0.25">
      <c r="A6" s="131" t="s">
        <v>5</v>
      </c>
      <c r="B6" s="180">
        <f t="shared" si="3"/>
        <v>1383.2406086147012</v>
      </c>
      <c r="C6" s="180">
        <f t="shared" si="4"/>
        <v>1462.5097468929459</v>
      </c>
      <c r="D6" s="180">
        <f t="shared" si="5"/>
        <v>1514.4715292868996</v>
      </c>
      <c r="E6" s="180">
        <f t="shared" si="5"/>
        <v>1572.2562748957073</v>
      </c>
      <c r="F6" s="180">
        <f t="shared" si="5"/>
        <v>1630.9932747007451</v>
      </c>
      <c r="G6" s="180">
        <f t="shared" si="5"/>
        <v>1689.8613251534139</v>
      </c>
      <c r="H6" s="180">
        <f t="shared" si="5"/>
        <v>1748.4881056491993</v>
      </c>
      <c r="I6" s="180">
        <f t="shared" si="5"/>
        <v>1806.878200173682</v>
      </c>
      <c r="J6" s="180">
        <f t="shared" si="5"/>
        <v>1841.7460672206782</v>
      </c>
      <c r="K6" s="180">
        <f t="shared" si="5"/>
        <v>1818.3418518099636</v>
      </c>
      <c r="L6" s="180">
        <f t="shared" si="5"/>
        <v>1847.8296050539348</v>
      </c>
      <c r="M6" s="180">
        <f t="shared" si="5"/>
        <v>1862.0307746563653</v>
      </c>
      <c r="N6" s="180">
        <f t="shared" si="5"/>
        <v>1886.652746897696</v>
      </c>
      <c r="O6" s="180">
        <f t="shared" si="5"/>
        <v>1874.7737439012969</v>
      </c>
      <c r="P6" s="180">
        <f t="shared" si="5"/>
        <v>1887.9342336967318</v>
      </c>
      <c r="Q6" s="180">
        <f t="shared" si="5"/>
        <v>1924.718149814923</v>
      </c>
      <c r="R6" s="180">
        <f t="shared" si="5"/>
        <v>1926.9284997878462</v>
      </c>
      <c r="S6" s="180">
        <f t="shared" si="5"/>
        <v>1851.3960016879985</v>
      </c>
      <c r="T6" s="180">
        <f t="shared" si="5"/>
        <v>1790.6394388504418</v>
      </c>
      <c r="U6" s="180">
        <f t="shared" si="5"/>
        <v>1706.4802518436409</v>
      </c>
      <c r="V6" s="180">
        <f t="shared" si="5"/>
        <v>1458.9740630626861</v>
      </c>
      <c r="W6" s="180">
        <f t="shared" si="5"/>
        <v>1418.9544660178062</v>
      </c>
      <c r="X6" s="180">
        <f t="shared" ref="X6:Y6" si="8">X14*X46/11630</f>
        <v>1382.4558135954242</v>
      </c>
      <c r="Y6" s="180">
        <f t="shared" si="8"/>
        <v>1322.0429494033376</v>
      </c>
      <c r="DA6" s="189" t="s">
        <v>911</v>
      </c>
    </row>
    <row r="7" spans="1:105" ht="12" customHeight="1" x14ac:dyDescent="0.25">
      <c r="A7" s="131" t="s">
        <v>171</v>
      </c>
      <c r="B7" s="180">
        <f t="shared" si="3"/>
        <v>312.85588680738954</v>
      </c>
      <c r="C7" s="180">
        <f t="shared" si="4"/>
        <v>334.3643316077551</v>
      </c>
      <c r="D7" s="180">
        <f t="shared" si="5"/>
        <v>355.60739218908873</v>
      </c>
      <c r="E7" s="180">
        <f t="shared" si="5"/>
        <v>388.61844309072279</v>
      </c>
      <c r="F7" s="180">
        <f t="shared" si="5"/>
        <v>421.25517871002415</v>
      </c>
      <c r="G7" s="180">
        <f t="shared" si="5"/>
        <v>448.81076536957818</v>
      </c>
      <c r="H7" s="180">
        <f t="shared" si="5"/>
        <v>474.57166488206485</v>
      </c>
      <c r="I7" s="180">
        <f t="shared" si="5"/>
        <v>492.26116271106349</v>
      </c>
      <c r="J7" s="180">
        <f t="shared" si="5"/>
        <v>505.71628995408679</v>
      </c>
      <c r="K7" s="180">
        <f t="shared" si="5"/>
        <v>514.22483995641994</v>
      </c>
      <c r="L7" s="180">
        <f t="shared" si="5"/>
        <v>518.02985651608481</v>
      </c>
      <c r="M7" s="180">
        <f t="shared" si="5"/>
        <v>518.95851432234565</v>
      </c>
      <c r="N7" s="180">
        <f t="shared" si="5"/>
        <v>520.9788117915873</v>
      </c>
      <c r="O7" s="180">
        <f t="shared" si="5"/>
        <v>522.12804699551396</v>
      </c>
      <c r="P7" s="180">
        <f t="shared" si="5"/>
        <v>523.44555247640938</v>
      </c>
      <c r="Q7" s="180">
        <f t="shared" si="5"/>
        <v>529.30420619576557</v>
      </c>
      <c r="R7" s="180">
        <f t="shared" si="5"/>
        <v>529.53500658583584</v>
      </c>
      <c r="S7" s="180">
        <f t="shared" si="5"/>
        <v>530.94028551313818</v>
      </c>
      <c r="T7" s="180">
        <f t="shared" si="5"/>
        <v>532.75122015810064</v>
      </c>
      <c r="U7" s="180">
        <f t="shared" si="5"/>
        <v>534.45462912240816</v>
      </c>
      <c r="V7" s="180">
        <f t="shared" si="5"/>
        <v>535.61891267137776</v>
      </c>
      <c r="W7" s="180">
        <f t="shared" si="5"/>
        <v>533.18504914063624</v>
      </c>
      <c r="X7" s="180">
        <f t="shared" ref="X7:Y7" si="9">X15*X47/11630</f>
        <v>528.38051237033596</v>
      </c>
      <c r="Y7" s="180">
        <f t="shared" si="9"/>
        <v>525.51171046466391</v>
      </c>
      <c r="DA7" s="189" t="s">
        <v>912</v>
      </c>
    </row>
    <row r="8" spans="1:105" ht="12" customHeight="1" x14ac:dyDescent="0.25">
      <c r="A8" s="60" t="s">
        <v>4</v>
      </c>
      <c r="B8" s="55">
        <f t="shared" si="3"/>
        <v>270.59336688532233</v>
      </c>
      <c r="C8" s="55">
        <f t="shared" si="4"/>
        <v>301.56321325145626</v>
      </c>
      <c r="D8" s="55">
        <f t="shared" si="5"/>
        <v>332.06016080334803</v>
      </c>
      <c r="E8" s="55">
        <f t="shared" si="5"/>
        <v>366.37826400016741</v>
      </c>
      <c r="F8" s="55">
        <f t="shared" si="5"/>
        <v>402.50457241897192</v>
      </c>
      <c r="G8" s="55">
        <f t="shared" si="5"/>
        <v>448.36408636426114</v>
      </c>
      <c r="H8" s="55">
        <f t="shared" si="5"/>
        <v>486.0833374743342</v>
      </c>
      <c r="I8" s="55">
        <f t="shared" si="5"/>
        <v>522.26813645829088</v>
      </c>
      <c r="J8" s="55">
        <f t="shared" si="5"/>
        <v>558.58089164694059</v>
      </c>
      <c r="K8" s="55">
        <f t="shared" si="5"/>
        <v>574.26749865843192</v>
      </c>
      <c r="L8" s="55">
        <f t="shared" si="5"/>
        <v>596.68442737628845</v>
      </c>
      <c r="M8" s="55">
        <f t="shared" si="5"/>
        <v>604.20726279940573</v>
      </c>
      <c r="N8" s="55">
        <f t="shared" si="5"/>
        <v>614.83260958642609</v>
      </c>
      <c r="O8" s="55">
        <f t="shared" si="5"/>
        <v>614.44191231167974</v>
      </c>
      <c r="P8" s="55">
        <f t="shared" si="5"/>
        <v>614.43091644667732</v>
      </c>
      <c r="Q8" s="55">
        <f t="shared" si="5"/>
        <v>615.38179356812861</v>
      </c>
      <c r="R8" s="55">
        <f t="shared" si="5"/>
        <v>655.41096991751169</v>
      </c>
      <c r="S8" s="55">
        <f t="shared" si="5"/>
        <v>669.09636243533066</v>
      </c>
      <c r="T8" s="55">
        <f t="shared" si="5"/>
        <v>695.32337041468679</v>
      </c>
      <c r="U8" s="55">
        <f t="shared" si="5"/>
        <v>716.19217125748912</v>
      </c>
      <c r="V8" s="55">
        <f t="shared" si="5"/>
        <v>659.13923697053849</v>
      </c>
      <c r="W8" s="55">
        <f t="shared" si="5"/>
        <v>689.53785085503239</v>
      </c>
      <c r="X8" s="55">
        <f t="shared" ref="X8:Y8" si="10">X16*X48/11630</f>
        <v>724.33551989291243</v>
      </c>
      <c r="Y8" s="55">
        <f t="shared" si="10"/>
        <v>743.05813887434613</v>
      </c>
      <c r="DA8" s="101" t="s">
        <v>913</v>
      </c>
    </row>
    <row r="9" spans="1:105" ht="12" customHeight="1" x14ac:dyDescent="0.25">
      <c r="A9" s="62" t="s">
        <v>3</v>
      </c>
      <c r="B9" s="63">
        <f t="shared" si="3"/>
        <v>312.97863576377682</v>
      </c>
      <c r="C9" s="63">
        <f t="shared" si="4"/>
        <v>357.32058377565556</v>
      </c>
      <c r="D9" s="63">
        <f t="shared" si="5"/>
        <v>404.32503229021881</v>
      </c>
      <c r="E9" s="63">
        <f t="shared" si="5"/>
        <v>447.85293602875225</v>
      </c>
      <c r="F9" s="63">
        <f t="shared" si="5"/>
        <v>495.52284831306957</v>
      </c>
      <c r="G9" s="63">
        <f t="shared" si="5"/>
        <v>537.32453698379754</v>
      </c>
      <c r="H9" s="63">
        <f t="shared" si="5"/>
        <v>564.38065929618756</v>
      </c>
      <c r="I9" s="63">
        <f t="shared" si="5"/>
        <v>583.22992503001205</v>
      </c>
      <c r="J9" s="63">
        <f t="shared" si="5"/>
        <v>600.52559310782783</v>
      </c>
      <c r="K9" s="63">
        <f t="shared" si="5"/>
        <v>607.86614278084232</v>
      </c>
      <c r="L9" s="63">
        <f t="shared" si="5"/>
        <v>622.08958509911167</v>
      </c>
      <c r="M9" s="63">
        <f t="shared" si="5"/>
        <v>618.7920325161449</v>
      </c>
      <c r="N9" s="63">
        <f t="shared" si="5"/>
        <v>627.55360998168953</v>
      </c>
      <c r="O9" s="63">
        <f t="shared" si="5"/>
        <v>640.65182119741996</v>
      </c>
      <c r="P9" s="63">
        <f t="shared" si="5"/>
        <v>663.10476401637413</v>
      </c>
      <c r="Q9" s="63">
        <f t="shared" si="5"/>
        <v>711.86844734699855</v>
      </c>
      <c r="R9" s="63">
        <f t="shared" si="5"/>
        <v>739.29971385467604</v>
      </c>
      <c r="S9" s="63">
        <f t="shared" si="5"/>
        <v>748.58934999748601</v>
      </c>
      <c r="T9" s="63">
        <f t="shared" si="5"/>
        <v>767.42994164825893</v>
      </c>
      <c r="U9" s="63">
        <f t="shared" si="5"/>
        <v>782.49533826199138</v>
      </c>
      <c r="V9" s="63">
        <f t="shared" si="5"/>
        <v>757.96171481448766</v>
      </c>
      <c r="W9" s="63">
        <f t="shared" si="5"/>
        <v>772.81238630739711</v>
      </c>
      <c r="X9" s="63">
        <f t="shared" ref="X9:Y9" si="11">X17*X49/11630</f>
        <v>786.83408764639933</v>
      </c>
      <c r="Y9" s="63">
        <f t="shared" si="11"/>
        <v>797.62784271411408</v>
      </c>
      <c r="DA9" s="105" t="s">
        <v>914</v>
      </c>
    </row>
    <row r="10" spans="1:105" s="2" customFormat="1" ht="12" customHeight="1" x14ac:dyDescent="0.25">
      <c r="DA10" s="7"/>
    </row>
    <row r="11" spans="1:105" ht="12.95" customHeight="1" x14ac:dyDescent="0.25">
      <c r="A11" s="178" t="s">
        <v>108</v>
      </c>
      <c r="B11" s="179">
        <f t="shared" ref="B11" si="12">SUM(B12:B17)</f>
        <v>14692.280095025582</v>
      </c>
      <c r="C11" s="179">
        <f t="shared" ref="C11:W11" si="13">SUM(C12:C17)</f>
        <v>15717.857944479449</v>
      </c>
      <c r="D11" s="179">
        <f t="shared" si="13"/>
        <v>16601.115305886648</v>
      </c>
      <c r="E11" s="179">
        <f t="shared" si="13"/>
        <v>17567.258213285284</v>
      </c>
      <c r="F11" s="179">
        <f t="shared" si="13"/>
        <v>18586.210141692442</v>
      </c>
      <c r="G11" s="179">
        <f t="shared" si="13"/>
        <v>19686.126000039272</v>
      </c>
      <c r="H11" s="179">
        <f t="shared" si="13"/>
        <v>20560.332974069999</v>
      </c>
      <c r="I11" s="179">
        <f t="shared" si="13"/>
        <v>21345.828408163776</v>
      </c>
      <c r="J11" s="179">
        <f t="shared" si="13"/>
        <v>22037.310450851703</v>
      </c>
      <c r="K11" s="179">
        <f t="shared" si="13"/>
        <v>22105.584413389613</v>
      </c>
      <c r="L11" s="179">
        <f t="shared" si="13"/>
        <v>22568.061085076093</v>
      </c>
      <c r="M11" s="179">
        <f t="shared" si="13"/>
        <v>22643.113585482424</v>
      </c>
      <c r="N11" s="179">
        <f t="shared" si="13"/>
        <v>22900.638005666598</v>
      </c>
      <c r="O11" s="179">
        <f t="shared" si="13"/>
        <v>22853.771869458469</v>
      </c>
      <c r="P11" s="179">
        <f t="shared" si="13"/>
        <v>22982.242836019541</v>
      </c>
      <c r="Q11" s="179">
        <f t="shared" si="13"/>
        <v>23409.680065291523</v>
      </c>
      <c r="R11" s="179">
        <f t="shared" si="13"/>
        <v>23645.558201560107</v>
      </c>
      <c r="S11" s="179">
        <f t="shared" si="13"/>
        <v>23867.975695175068</v>
      </c>
      <c r="T11" s="179">
        <f t="shared" si="13"/>
        <v>23946.312795432044</v>
      </c>
      <c r="U11" s="179">
        <f t="shared" si="13"/>
        <v>23882.363176153427</v>
      </c>
      <c r="V11" s="179">
        <f t="shared" si="13"/>
        <v>23659.654613926381</v>
      </c>
      <c r="W11" s="179">
        <f t="shared" si="13"/>
        <v>23396.622314597582</v>
      </c>
      <c r="X11" s="179">
        <f t="shared" ref="X11:Y11" si="14">SUM(X12:X17)</f>
        <v>23063.343555135838</v>
      </c>
      <c r="Y11" s="179">
        <f t="shared" si="14"/>
        <v>22718.621875904271</v>
      </c>
      <c r="DA11" s="188" t="s">
        <v>915</v>
      </c>
    </row>
    <row r="12" spans="1:105" ht="12" customHeight="1" x14ac:dyDescent="0.25">
      <c r="A12" s="131" t="s">
        <v>7</v>
      </c>
      <c r="B12" s="180">
        <f>B20*B52</f>
        <v>307.34463693230367</v>
      </c>
      <c r="C12" s="180">
        <f t="shared" ref="C12:W12" si="15">C20*C52</f>
        <v>319.77450387915792</v>
      </c>
      <c r="D12" s="180">
        <f t="shared" si="15"/>
        <v>330.09055431673323</v>
      </c>
      <c r="E12" s="180">
        <f t="shared" si="15"/>
        <v>343.5492226411024</v>
      </c>
      <c r="F12" s="180">
        <f t="shared" si="15"/>
        <v>358.2907921752514</v>
      </c>
      <c r="G12" s="180">
        <f t="shared" si="15"/>
        <v>373.56712210499148</v>
      </c>
      <c r="H12" s="180">
        <f t="shared" si="15"/>
        <v>388.08704301630866</v>
      </c>
      <c r="I12" s="180">
        <f t="shared" si="15"/>
        <v>402.09571131598079</v>
      </c>
      <c r="J12" s="180">
        <f t="shared" si="15"/>
        <v>414.69738756351546</v>
      </c>
      <c r="K12" s="180">
        <f t="shared" si="15"/>
        <v>415.68703104482171</v>
      </c>
      <c r="L12" s="180">
        <f t="shared" si="15"/>
        <v>425.01247583828979</v>
      </c>
      <c r="M12" s="180">
        <f t="shared" si="15"/>
        <v>430.61672763544374</v>
      </c>
      <c r="N12" s="180">
        <f t="shared" si="15"/>
        <v>439.30464535751975</v>
      </c>
      <c r="O12" s="180">
        <f t="shared" si="15"/>
        <v>441.92664653622995</v>
      </c>
      <c r="P12" s="180">
        <f t="shared" si="15"/>
        <v>448.57031332968387</v>
      </c>
      <c r="Q12" s="180">
        <f t="shared" si="15"/>
        <v>458.16827721602289</v>
      </c>
      <c r="R12" s="180">
        <f t="shared" si="15"/>
        <v>465.97788982706214</v>
      </c>
      <c r="S12" s="180">
        <f t="shared" si="15"/>
        <v>473.47083480336772</v>
      </c>
      <c r="T12" s="180">
        <f t="shared" si="15"/>
        <v>480.52706611357377</v>
      </c>
      <c r="U12" s="180">
        <f t="shared" si="15"/>
        <v>487.44448253005618</v>
      </c>
      <c r="V12" s="180">
        <f t="shared" si="15"/>
        <v>493.90456683471234</v>
      </c>
      <c r="W12" s="180">
        <f t="shared" si="15"/>
        <v>498.75998692835611</v>
      </c>
      <c r="X12" s="180">
        <f t="shared" ref="X12:Y12" si="16">X20*X52</f>
        <v>499.56761335730289</v>
      </c>
      <c r="Y12" s="180">
        <f t="shared" si="16"/>
        <v>498.3796374745819</v>
      </c>
      <c r="DA12" s="189" t="s">
        <v>916</v>
      </c>
    </row>
    <row r="13" spans="1:105" ht="12" customHeight="1" x14ac:dyDescent="0.25">
      <c r="A13" s="131" t="s">
        <v>6</v>
      </c>
      <c r="B13" s="180">
        <f>B21*B53/1000</f>
        <v>884.55993973108411</v>
      </c>
      <c r="C13" s="180">
        <f t="shared" ref="C13:W13" si="17">C21*C53/1000</f>
        <v>895.6883020201102</v>
      </c>
      <c r="D13" s="180">
        <f t="shared" si="17"/>
        <v>915.83903612804863</v>
      </c>
      <c r="E13" s="180">
        <f t="shared" si="17"/>
        <v>942.19604583169371</v>
      </c>
      <c r="F13" s="180">
        <f t="shared" si="17"/>
        <v>968.41888884405819</v>
      </c>
      <c r="G13" s="180">
        <f t="shared" si="17"/>
        <v>986.1549294020723</v>
      </c>
      <c r="H13" s="180">
        <f t="shared" si="17"/>
        <v>996.63820317372586</v>
      </c>
      <c r="I13" s="180">
        <f t="shared" si="17"/>
        <v>999.77204708842555</v>
      </c>
      <c r="J13" s="180">
        <f t="shared" si="17"/>
        <v>1010.3284007392004</v>
      </c>
      <c r="K13" s="180">
        <f t="shared" si="17"/>
        <v>1019.8997316494645</v>
      </c>
      <c r="L13" s="180">
        <f t="shared" si="17"/>
        <v>1024.6036008201729</v>
      </c>
      <c r="M13" s="180">
        <f t="shared" si="17"/>
        <v>1027.7707984849715</v>
      </c>
      <c r="N13" s="180">
        <f t="shared" si="17"/>
        <v>1035.364990889826</v>
      </c>
      <c r="O13" s="180">
        <f t="shared" si="17"/>
        <v>1039.6537997881846</v>
      </c>
      <c r="P13" s="180">
        <f t="shared" si="17"/>
        <v>1045.4111714923738</v>
      </c>
      <c r="Q13" s="180">
        <f t="shared" si="17"/>
        <v>1059.195530442013</v>
      </c>
      <c r="R13" s="180">
        <f t="shared" si="17"/>
        <v>1061.2323073040145</v>
      </c>
      <c r="S13" s="180">
        <f t="shared" si="17"/>
        <v>1057.3324170953717</v>
      </c>
      <c r="T13" s="180">
        <f t="shared" si="17"/>
        <v>1046.6033194138724</v>
      </c>
      <c r="U13" s="180">
        <f t="shared" si="17"/>
        <v>1028.9261769480497</v>
      </c>
      <c r="V13" s="180">
        <f t="shared" si="17"/>
        <v>1004.7360682458417</v>
      </c>
      <c r="W13" s="180">
        <f t="shared" si="17"/>
        <v>975.90010503265785</v>
      </c>
      <c r="X13" s="180">
        <f t="shared" ref="X13:Y13" si="18">X21*X53/1000</f>
        <v>947.5938441157939</v>
      </c>
      <c r="Y13" s="180">
        <f t="shared" si="18"/>
        <v>928.42201634653145</v>
      </c>
      <c r="DA13" s="189" t="s">
        <v>917</v>
      </c>
    </row>
    <row r="14" spans="1:105" ht="12" customHeight="1" x14ac:dyDescent="0.25">
      <c r="A14" s="131" t="s">
        <v>5</v>
      </c>
      <c r="B14" s="180">
        <f>B22*B54</f>
        <v>7460.0638525724289</v>
      </c>
      <c r="C14" s="180">
        <f t="shared" ref="C14:W14" si="19">C22*C54</f>
        <v>7811.1068242493702</v>
      </c>
      <c r="D14" s="180">
        <f t="shared" si="19"/>
        <v>8024.0282041789887</v>
      </c>
      <c r="E14" s="180">
        <f t="shared" si="19"/>
        <v>8267.2129732162321</v>
      </c>
      <c r="F14" s="180">
        <f t="shared" si="19"/>
        <v>8513.6388098749885</v>
      </c>
      <c r="G14" s="180">
        <f t="shared" si="19"/>
        <v>8754.0568429238938</v>
      </c>
      <c r="H14" s="180">
        <f t="shared" si="19"/>
        <v>8984.4880045532936</v>
      </c>
      <c r="I14" s="180">
        <f t="shared" si="19"/>
        <v>9212.7048856131623</v>
      </c>
      <c r="J14" s="180">
        <f t="shared" si="19"/>
        <v>9345.9011417020956</v>
      </c>
      <c r="K14" s="180">
        <f t="shared" si="19"/>
        <v>9209.7537006000057</v>
      </c>
      <c r="L14" s="180">
        <f t="shared" si="19"/>
        <v>9349.5913399595502</v>
      </c>
      <c r="M14" s="180">
        <f t="shared" si="19"/>
        <v>9396.3222641280463</v>
      </c>
      <c r="N14" s="180">
        <f t="shared" si="19"/>
        <v>9498.8902610595887</v>
      </c>
      <c r="O14" s="180">
        <f t="shared" si="19"/>
        <v>9421.2902018301684</v>
      </c>
      <c r="P14" s="180">
        <f t="shared" si="19"/>
        <v>9456.7453862868097</v>
      </c>
      <c r="Q14" s="180">
        <f t="shared" si="19"/>
        <v>9611.2727286927038</v>
      </c>
      <c r="R14" s="180">
        <f t="shared" si="19"/>
        <v>9404.2357774579177</v>
      </c>
      <c r="S14" s="180">
        <f t="shared" si="19"/>
        <v>9186.8047978111608</v>
      </c>
      <c r="T14" s="180">
        <f t="shared" si="19"/>
        <v>8861.389533791491</v>
      </c>
      <c r="U14" s="180">
        <f t="shared" si="19"/>
        <v>8458.4126637001118</v>
      </c>
      <c r="V14" s="180">
        <f t="shared" si="19"/>
        <v>8026.5119161423045</v>
      </c>
      <c r="W14" s="180">
        <f t="shared" si="19"/>
        <v>7591.4397242127861</v>
      </c>
      <c r="X14" s="180">
        <f t="shared" ref="X14:Y14" si="20">X22*X54</f>
        <v>7159.6023004122626</v>
      </c>
      <c r="Y14" s="180">
        <f t="shared" si="20"/>
        <v>6738.9562553043716</v>
      </c>
      <c r="DA14" s="189" t="s">
        <v>918</v>
      </c>
    </row>
    <row r="15" spans="1:105" ht="12" customHeight="1" x14ac:dyDescent="0.25">
      <c r="A15" s="131" t="s">
        <v>171</v>
      </c>
      <c r="B15" s="180">
        <f>B23*B55/1000</f>
        <v>415.35547529337219</v>
      </c>
      <c r="C15" s="180">
        <f t="shared" ref="C15:W15" si="21">C23*C55/1000</f>
        <v>443.91063659796714</v>
      </c>
      <c r="D15" s="180">
        <f t="shared" si="21"/>
        <v>472.11346702729475</v>
      </c>
      <c r="E15" s="180">
        <f t="shared" si="21"/>
        <v>515.93978232250061</v>
      </c>
      <c r="F15" s="180">
        <f t="shared" si="21"/>
        <v>559.26914707734954</v>
      </c>
      <c r="G15" s="180">
        <f t="shared" si="21"/>
        <v>595.85264854431443</v>
      </c>
      <c r="H15" s="180">
        <f t="shared" si="21"/>
        <v>630.05347746328937</v>
      </c>
      <c r="I15" s="180">
        <f t="shared" si="21"/>
        <v>653.53850711525922</v>
      </c>
      <c r="J15" s="180">
        <f t="shared" si="21"/>
        <v>671.40187810114458</v>
      </c>
      <c r="K15" s="180">
        <f t="shared" si="21"/>
        <v>682.69804665447066</v>
      </c>
      <c r="L15" s="180">
        <f t="shared" si="21"/>
        <v>687.749683936309</v>
      </c>
      <c r="M15" s="180">
        <f t="shared" si="21"/>
        <v>688.98259378640205</v>
      </c>
      <c r="N15" s="180">
        <f t="shared" si="21"/>
        <v>691.66479236714144</v>
      </c>
      <c r="O15" s="180">
        <f t="shared" si="21"/>
        <v>693.19054641071079</v>
      </c>
      <c r="P15" s="180">
        <f t="shared" si="21"/>
        <v>694.93970037678537</v>
      </c>
      <c r="Q15" s="180">
        <f t="shared" si="21"/>
        <v>702.71779886492629</v>
      </c>
      <c r="R15" s="180">
        <f t="shared" si="21"/>
        <v>703.02421536452891</v>
      </c>
      <c r="S15" s="180">
        <f t="shared" si="21"/>
        <v>704.88989960248841</v>
      </c>
      <c r="T15" s="180">
        <f t="shared" si="21"/>
        <v>707.29414274414512</v>
      </c>
      <c r="U15" s="180">
        <f t="shared" si="21"/>
        <v>709.55563204264934</v>
      </c>
      <c r="V15" s="180">
        <f t="shared" si="21"/>
        <v>711.10136465389553</v>
      </c>
      <c r="W15" s="180">
        <f t="shared" si="21"/>
        <v>707.87010519470311</v>
      </c>
      <c r="X15" s="180">
        <f t="shared" ref="X15:Y15" si="22">X23*X55/1000</f>
        <v>701.49147932271774</v>
      </c>
      <c r="Y15" s="180">
        <f t="shared" si="22"/>
        <v>697.68278455525592</v>
      </c>
      <c r="DA15" s="189" t="s">
        <v>919</v>
      </c>
    </row>
    <row r="16" spans="1:105" ht="12" customHeight="1" x14ac:dyDescent="0.25">
      <c r="A16" s="60" t="s">
        <v>4</v>
      </c>
      <c r="B16" s="55">
        <f>B24*B56</f>
        <v>3894.5423615792292</v>
      </c>
      <c r="C16" s="55">
        <f t="shared" ref="C16:W16" si="23">C24*C56</f>
        <v>4319.6445704438293</v>
      </c>
      <c r="D16" s="55">
        <f t="shared" si="23"/>
        <v>4735.8397369573868</v>
      </c>
      <c r="E16" s="55">
        <f t="shared" si="23"/>
        <v>5204.4137854881683</v>
      </c>
      <c r="F16" s="55">
        <f t="shared" si="23"/>
        <v>5696.4422926889129</v>
      </c>
      <c r="G16" s="55">
        <f t="shared" si="23"/>
        <v>6323.6167529814311</v>
      </c>
      <c r="H16" s="55">
        <f t="shared" si="23"/>
        <v>6833.5129316201628</v>
      </c>
      <c r="I16" s="55">
        <f t="shared" si="23"/>
        <v>7319.988014482562</v>
      </c>
      <c r="J16" s="55">
        <f t="shared" si="23"/>
        <v>7806.5965505146005</v>
      </c>
      <c r="K16" s="55">
        <f t="shared" si="23"/>
        <v>8004.1615067828261</v>
      </c>
      <c r="L16" s="55">
        <f t="shared" si="23"/>
        <v>8295.307496291296</v>
      </c>
      <c r="M16" s="55">
        <f t="shared" si="23"/>
        <v>8386.2425149252158</v>
      </c>
      <c r="N16" s="55">
        <f t="shared" si="23"/>
        <v>8520.4969106582666</v>
      </c>
      <c r="O16" s="55">
        <f t="shared" si="23"/>
        <v>8502.4748632864921</v>
      </c>
      <c r="P16" s="55">
        <f t="shared" si="23"/>
        <v>8490.2694048086432</v>
      </c>
      <c r="Q16" s="55">
        <f t="shared" si="23"/>
        <v>8491.8457210935594</v>
      </c>
      <c r="R16" s="55">
        <f t="shared" si="23"/>
        <v>8863.3848219968822</v>
      </c>
      <c r="S16" s="55">
        <f t="shared" si="23"/>
        <v>9233.579141633445</v>
      </c>
      <c r="T16" s="55">
        <f t="shared" si="23"/>
        <v>9574.9758623878806</v>
      </c>
      <c r="U16" s="55">
        <f t="shared" si="23"/>
        <v>9873.4253365865443</v>
      </c>
      <c r="V16" s="55">
        <f t="shared" si="23"/>
        <v>10085.725008156727</v>
      </c>
      <c r="W16" s="55">
        <f t="shared" si="23"/>
        <v>10260.404302211209</v>
      </c>
      <c r="X16" s="55">
        <f t="shared" ref="X16:Y16" si="24">X24*X56</f>
        <v>10384.956130292761</v>
      </c>
      <c r="Y16" s="55">
        <f t="shared" si="24"/>
        <v>10462.524266132474</v>
      </c>
      <c r="DA16" s="101" t="s">
        <v>920</v>
      </c>
    </row>
    <row r="17" spans="1:105" ht="12" customHeight="1" x14ac:dyDescent="0.25">
      <c r="A17" s="62" t="s">
        <v>3</v>
      </c>
      <c r="B17" s="63">
        <f>B25*B57/1000</f>
        <v>1730.4138289171647</v>
      </c>
      <c r="C17" s="63">
        <f t="shared" ref="C17:W17" si="25">C25*C57/1000</f>
        <v>1927.7331072890117</v>
      </c>
      <c r="D17" s="63">
        <f t="shared" si="25"/>
        <v>2123.2043072781962</v>
      </c>
      <c r="E17" s="63">
        <f t="shared" si="25"/>
        <v>2293.9464037855878</v>
      </c>
      <c r="F17" s="63">
        <f t="shared" si="25"/>
        <v>2490.1502110318834</v>
      </c>
      <c r="G17" s="63">
        <f t="shared" si="25"/>
        <v>2652.877704082568</v>
      </c>
      <c r="H17" s="63">
        <f t="shared" si="25"/>
        <v>2727.5533142432168</v>
      </c>
      <c r="I17" s="63">
        <f t="shared" si="25"/>
        <v>2757.7292425483884</v>
      </c>
      <c r="J17" s="63">
        <f t="shared" si="25"/>
        <v>2788.3850922311453</v>
      </c>
      <c r="K17" s="63">
        <f t="shared" si="25"/>
        <v>2773.3843966580293</v>
      </c>
      <c r="L17" s="63">
        <f t="shared" si="25"/>
        <v>2785.7964882304746</v>
      </c>
      <c r="M17" s="63">
        <f t="shared" si="25"/>
        <v>2713.1786865223426</v>
      </c>
      <c r="N17" s="63">
        <f t="shared" si="25"/>
        <v>2714.9164053342561</v>
      </c>
      <c r="O17" s="63">
        <f t="shared" si="25"/>
        <v>2755.2358116066816</v>
      </c>
      <c r="P17" s="63">
        <f t="shared" si="25"/>
        <v>2846.3068597252427</v>
      </c>
      <c r="Q17" s="63">
        <f t="shared" si="25"/>
        <v>3086.4800089823011</v>
      </c>
      <c r="R17" s="63">
        <f t="shared" si="25"/>
        <v>3147.7031896096987</v>
      </c>
      <c r="S17" s="63">
        <f t="shared" si="25"/>
        <v>3211.8986042292327</v>
      </c>
      <c r="T17" s="63">
        <f t="shared" si="25"/>
        <v>3275.5228709810835</v>
      </c>
      <c r="U17" s="63">
        <f t="shared" si="25"/>
        <v>3324.5988843460136</v>
      </c>
      <c r="V17" s="63">
        <f t="shared" si="25"/>
        <v>3337.6756898929029</v>
      </c>
      <c r="W17" s="63">
        <f t="shared" si="25"/>
        <v>3362.248091017871</v>
      </c>
      <c r="X17" s="63">
        <f t="shared" ref="X17:Y17" si="26">X25*X57/1000</f>
        <v>3370.1321876350025</v>
      </c>
      <c r="Y17" s="63">
        <f t="shared" si="26"/>
        <v>3392.6569160910553</v>
      </c>
      <c r="DA17" s="105" t="s">
        <v>921</v>
      </c>
    </row>
    <row r="18" spans="1:105" s="2" customFormat="1" ht="12" customHeight="1" x14ac:dyDescent="0.25">
      <c r="DA18" s="7"/>
    </row>
    <row r="19" spans="1:105" ht="12.95" customHeight="1" x14ac:dyDescent="0.25">
      <c r="A19" s="178" t="s">
        <v>107</v>
      </c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DA19" s="188"/>
    </row>
    <row r="20" spans="1:105" ht="12" customHeight="1" x14ac:dyDescent="0.25">
      <c r="A20" s="131" t="s">
        <v>158</v>
      </c>
      <c r="B20" s="181">
        <v>453.06841839776814</v>
      </c>
      <c r="C20" s="181">
        <v>476.00243707258755</v>
      </c>
      <c r="D20" s="181">
        <v>496.03195062668345</v>
      </c>
      <c r="E20" s="181">
        <v>522.02563726984965</v>
      </c>
      <c r="F20" s="181">
        <v>551.0176508682415</v>
      </c>
      <c r="G20" s="181">
        <v>581.82414778720283</v>
      </c>
      <c r="H20" s="181">
        <v>612.20396921755548</v>
      </c>
      <c r="I20" s="181">
        <v>641.97565320440287</v>
      </c>
      <c r="J20" s="181">
        <v>670.08842705343477</v>
      </c>
      <c r="K20" s="181">
        <v>677.91983880010696</v>
      </c>
      <c r="L20" s="181">
        <v>702.09267976794172</v>
      </c>
      <c r="M20" s="181">
        <v>719.98936637214706</v>
      </c>
      <c r="N20" s="181">
        <v>745.17143530953967</v>
      </c>
      <c r="O20" s="181">
        <v>759.87090316053775</v>
      </c>
      <c r="P20" s="181">
        <v>784.35759074149769</v>
      </c>
      <c r="Q20" s="181">
        <v>816.28906345020516</v>
      </c>
      <c r="R20" s="181">
        <v>845.23514929017108</v>
      </c>
      <c r="S20" s="181">
        <v>874.4957300626287</v>
      </c>
      <c r="T20" s="181">
        <v>903.82658675055552</v>
      </c>
      <c r="U20" s="181">
        <v>931.79222504494112</v>
      </c>
      <c r="V20" s="181">
        <v>957.9812445648829</v>
      </c>
      <c r="W20" s="181">
        <v>982.25695983682351</v>
      </c>
      <c r="X20" s="181">
        <v>998.15940847909724</v>
      </c>
      <c r="Y20" s="181">
        <v>1009.7160046479188</v>
      </c>
      <c r="DA20" s="190" t="s">
        <v>922</v>
      </c>
    </row>
    <row r="21" spans="1:105" ht="12" customHeight="1" x14ac:dyDescent="0.25">
      <c r="A21" s="131" t="s">
        <v>156</v>
      </c>
      <c r="B21" s="181">
        <v>4500.5526942955985</v>
      </c>
      <c r="C21" s="181">
        <v>4604.2076450944824</v>
      </c>
      <c r="D21" s="181">
        <v>4773.0252838662436</v>
      </c>
      <c r="E21" s="181">
        <v>4992.3674680430959</v>
      </c>
      <c r="F21" s="181">
        <v>5231.2141665432555</v>
      </c>
      <c r="G21" s="181">
        <v>5442.6741450683667</v>
      </c>
      <c r="H21" s="181">
        <v>5631.1021044793915</v>
      </c>
      <c r="I21" s="181">
        <v>5790.1298388832192</v>
      </c>
      <c r="J21" s="181">
        <v>5939.8793689234435</v>
      </c>
      <c r="K21" s="181">
        <v>6094.7190769900544</v>
      </c>
      <c r="L21" s="181">
        <v>6230.1192166099027</v>
      </c>
      <c r="M21" s="181">
        <v>6364.5672703760229</v>
      </c>
      <c r="N21" s="181">
        <v>6543.846444178268</v>
      </c>
      <c r="O21" s="181">
        <v>6726.1753508469965</v>
      </c>
      <c r="P21" s="181">
        <v>6964.4951943253782</v>
      </c>
      <c r="Q21" s="181">
        <v>7293.6109682040997</v>
      </c>
      <c r="R21" s="181">
        <v>7605.8881926000604</v>
      </c>
      <c r="S21" s="181">
        <v>7924.5017976610825</v>
      </c>
      <c r="T21" s="181">
        <v>8233.7210949970304</v>
      </c>
      <c r="U21" s="181">
        <v>8515.4486395796594</v>
      </c>
      <c r="V21" s="181">
        <v>8748.4262128363225</v>
      </c>
      <c r="W21" s="181">
        <v>8909.2186592200815</v>
      </c>
      <c r="X21" s="181">
        <v>9028.8590254950614</v>
      </c>
      <c r="Y21" s="181">
        <v>9216.7197349699964</v>
      </c>
      <c r="DA21" s="190" t="s">
        <v>923</v>
      </c>
    </row>
    <row r="22" spans="1:105" ht="12" customHeight="1" x14ac:dyDescent="0.25">
      <c r="A22" s="131" t="s">
        <v>160</v>
      </c>
      <c r="B22" s="181">
        <v>196.14687767596473</v>
      </c>
      <c r="C22" s="181">
        <v>207.31507975719549</v>
      </c>
      <c r="D22" s="181">
        <v>215.64824831314777</v>
      </c>
      <c r="E22" s="181">
        <v>225.68152001490452</v>
      </c>
      <c r="F22" s="181">
        <v>236.68198840313977</v>
      </c>
      <c r="G22" s="181">
        <v>248.51707838746634</v>
      </c>
      <c r="H22" s="181">
        <v>261.62051033995346</v>
      </c>
      <c r="I22" s="181">
        <v>274.85076560081188</v>
      </c>
      <c r="J22" s="181">
        <v>284.80152507221567</v>
      </c>
      <c r="K22" s="181">
        <v>286.98510548586955</v>
      </c>
      <c r="L22" s="181">
        <v>298.91184591392079</v>
      </c>
      <c r="M22" s="181">
        <v>309.25302400223069</v>
      </c>
      <c r="N22" s="181">
        <v>323.51563969993572</v>
      </c>
      <c r="O22" s="181">
        <v>334.70815591593191</v>
      </c>
      <c r="P22" s="181">
        <v>351.61493479592241</v>
      </c>
      <c r="Q22" s="181">
        <v>374.43802697535034</v>
      </c>
      <c r="R22" s="181">
        <v>388.57036755213244</v>
      </c>
      <c r="S22" s="181">
        <v>402.97753446078394</v>
      </c>
      <c r="T22" s="181">
        <v>417.10762107670286</v>
      </c>
      <c r="U22" s="181">
        <v>430.01357606434897</v>
      </c>
      <c r="V22" s="181">
        <v>440.97333600355739</v>
      </c>
      <c r="W22" s="181">
        <v>448.77961762462149</v>
      </c>
      <c r="X22" s="181">
        <v>454.34343500481452</v>
      </c>
      <c r="Y22" s="181">
        <v>458.74544393945575</v>
      </c>
      <c r="DA22" s="190" t="s">
        <v>924</v>
      </c>
    </row>
    <row r="23" spans="1:105" ht="12" customHeight="1" x14ac:dyDescent="0.25">
      <c r="A23" s="131" t="s">
        <v>172</v>
      </c>
      <c r="B23" s="181">
        <v>636.45376042957309</v>
      </c>
      <c r="C23" s="181">
        <v>690.97465013694159</v>
      </c>
      <c r="D23" s="181">
        <v>748.67005463973794</v>
      </c>
      <c r="E23" s="181">
        <v>836.34754961228998</v>
      </c>
      <c r="F23" s="181">
        <v>925.816322723996</v>
      </c>
      <c r="G23" s="181">
        <v>1005.4919677288934</v>
      </c>
      <c r="H23" s="181">
        <v>1083.5468657985871</v>
      </c>
      <c r="I23" s="181">
        <v>1143.6686745622271</v>
      </c>
      <c r="J23" s="181">
        <v>1195.4726555442369</v>
      </c>
      <c r="K23" s="181">
        <v>1236.7198728970905</v>
      </c>
      <c r="L23" s="181">
        <v>1267.7981606053888</v>
      </c>
      <c r="M23" s="181">
        <v>1293.986985238668</v>
      </c>
      <c r="N23" s="181">
        <v>1321.2238133435594</v>
      </c>
      <c r="O23" s="181">
        <v>1353.1546557896295</v>
      </c>
      <c r="P23" s="181">
        <v>1389.3569270775652</v>
      </c>
      <c r="Q23" s="181">
        <v>1437.376852290824</v>
      </c>
      <c r="R23" s="181">
        <v>1468.2075442386667</v>
      </c>
      <c r="S23" s="181">
        <v>1499.8160679381656</v>
      </c>
      <c r="T23" s="181">
        <v>1531.4756107608787</v>
      </c>
      <c r="U23" s="181">
        <v>1561.1410887850479</v>
      </c>
      <c r="V23" s="181">
        <v>1587.390719317176</v>
      </c>
      <c r="W23" s="181">
        <v>1608.8142653982916</v>
      </c>
      <c r="X23" s="181">
        <v>1624.9418853999523</v>
      </c>
      <c r="Y23" s="181">
        <v>1654.8491545527836</v>
      </c>
      <c r="DA23" s="190" t="s">
        <v>925</v>
      </c>
    </row>
    <row r="24" spans="1:105" ht="12" customHeight="1" x14ac:dyDescent="0.25">
      <c r="A24" s="60" t="s">
        <v>159</v>
      </c>
      <c r="B24" s="36">
        <v>84.602979328701636</v>
      </c>
      <c r="C24" s="36">
        <v>94.602350738779194</v>
      </c>
      <c r="D24" s="36">
        <v>104.52674230304422</v>
      </c>
      <c r="E24" s="36">
        <v>115.82278217320871</v>
      </c>
      <c r="F24" s="36">
        <v>127.8408361906403</v>
      </c>
      <c r="G24" s="36">
        <v>143.29348097008307</v>
      </c>
      <c r="H24" s="36">
        <v>156.1429081639653</v>
      </c>
      <c r="I24" s="36">
        <v>168.62708127819923</v>
      </c>
      <c r="J24" s="36">
        <v>181.36804049705631</v>
      </c>
      <c r="K24" s="36">
        <v>187.17348094573194</v>
      </c>
      <c r="L24" s="36">
        <v>195.58223363472453</v>
      </c>
      <c r="M24" s="36">
        <v>199.27564462604914</v>
      </c>
      <c r="N24" s="36">
        <v>204.56201188647071</v>
      </c>
      <c r="O24" s="36">
        <v>206.29483163933639</v>
      </c>
      <c r="P24" s="36">
        <v>208.81385788087405</v>
      </c>
      <c r="Q24" s="36">
        <v>212.52538617933118</v>
      </c>
      <c r="R24" s="36">
        <v>226.91177103810244</v>
      </c>
      <c r="S24" s="36">
        <v>241.59184412292657</v>
      </c>
      <c r="T24" s="36">
        <v>256.14681346149752</v>
      </c>
      <c r="U24" s="36">
        <v>269.94251241392311</v>
      </c>
      <c r="V24" s="36">
        <v>282.43300511336105</v>
      </c>
      <c r="W24" s="36">
        <v>293.1326722132103</v>
      </c>
      <c r="X24" s="36">
        <v>302.3459531706817</v>
      </c>
      <c r="Y24" s="36">
        <v>310.31010097029377</v>
      </c>
      <c r="DA24" s="89" t="s">
        <v>926</v>
      </c>
    </row>
    <row r="25" spans="1:105" ht="12" customHeight="1" x14ac:dyDescent="0.25">
      <c r="A25" s="62" t="s">
        <v>157</v>
      </c>
      <c r="B25" s="38">
        <v>4500.7244392335042</v>
      </c>
      <c r="C25" s="38">
        <v>5170.1045972822112</v>
      </c>
      <c r="D25" s="38">
        <v>5918.6820118587239</v>
      </c>
      <c r="E25" s="38">
        <v>6670.9110339958388</v>
      </c>
      <c r="F25" s="38">
        <v>7593.540804807305</v>
      </c>
      <c r="G25" s="38">
        <v>8483.0501812023413</v>
      </c>
      <c r="H25" s="38">
        <v>9219.8549345953052</v>
      </c>
      <c r="I25" s="38">
        <v>9847.483622468455</v>
      </c>
      <c r="J25" s="38">
        <v>10541.234846679381</v>
      </c>
      <c r="K25" s="38">
        <v>11160.36581914516</v>
      </c>
      <c r="L25" s="38">
        <v>12016.41303209282</v>
      </c>
      <c r="M25" s="38">
        <v>12667.521390931695</v>
      </c>
      <c r="N25" s="38">
        <v>13644.14852208123</v>
      </c>
      <c r="O25" s="38">
        <v>14767.033243094973</v>
      </c>
      <c r="P25" s="38">
        <v>16042.54778910399</v>
      </c>
      <c r="Q25" s="38">
        <v>18026.078227486669</v>
      </c>
      <c r="R25" s="38">
        <v>18841.199056345744</v>
      </c>
      <c r="S25" s="38">
        <v>19661.462015339137</v>
      </c>
      <c r="T25" s="38">
        <v>20467.899107819834</v>
      </c>
      <c r="U25" s="38">
        <v>21248.706949368647</v>
      </c>
      <c r="V25" s="38">
        <v>21981.568562775254</v>
      </c>
      <c r="W25" s="38">
        <v>22659.646173987021</v>
      </c>
      <c r="X25" s="38">
        <v>23222.789212439053</v>
      </c>
      <c r="Y25" s="38">
        <v>23879.812380821058</v>
      </c>
      <c r="DA25" s="90" t="s">
        <v>927</v>
      </c>
    </row>
    <row r="26" spans="1:105" s="2" customFormat="1" ht="12" customHeight="1" x14ac:dyDescent="0.25">
      <c r="DA26" s="7"/>
    </row>
    <row r="27" spans="1:105" ht="12.95" customHeight="1" x14ac:dyDescent="0.25">
      <c r="A27" s="178" t="s">
        <v>106</v>
      </c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DA27" s="188"/>
    </row>
    <row r="28" spans="1:105" ht="12" customHeight="1" x14ac:dyDescent="0.25">
      <c r="A28" s="131" t="s">
        <v>158</v>
      </c>
      <c r="B28" s="182"/>
      <c r="C28" s="182">
        <v>42.585103405617815</v>
      </c>
      <c r="D28" s="182">
        <v>40.236440895103158</v>
      </c>
      <c r="E28" s="182">
        <v>46.772178932948123</v>
      </c>
      <c r="F28" s="182">
        <v>50.35823789120434</v>
      </c>
      <c r="G28" s="182">
        <v>52.777077563798002</v>
      </c>
      <c r="H28" s="182">
        <v>52.971853005798266</v>
      </c>
      <c r="I28" s="182">
        <v>53.002744601801169</v>
      </c>
      <c r="J28" s="182">
        <v>52.000938819649946</v>
      </c>
      <c r="K28" s="182">
        <v>32.395267660170248</v>
      </c>
      <c r="L28" s="182">
        <v>49.431500144093775</v>
      </c>
      <c r="M28" s="182">
        <v>43.86980196643276</v>
      </c>
      <c r="N28" s="182">
        <v>51.889849303408255</v>
      </c>
      <c r="O28" s="182">
        <v>42.162693657043974</v>
      </c>
      <c r="P28" s="182">
        <v>52.726727050266959</v>
      </c>
      <c r="Q28" s="182">
        <v>60.970298477399751</v>
      </c>
      <c r="R28" s="182">
        <v>58.806292053238508</v>
      </c>
      <c r="S28" s="182">
        <v>59.965400664330105</v>
      </c>
      <c r="T28" s="182">
        <v>60.904180658250652</v>
      </c>
      <c r="U28" s="182">
        <v>70.550741700003414</v>
      </c>
      <c r="V28" s="182">
        <v>66.425460415044881</v>
      </c>
      <c r="W28" s="182">
        <v>71.047894204888735</v>
      </c>
      <c r="X28" s="182">
        <v>66.260686533478065</v>
      </c>
      <c r="Y28" s="182">
        <v>64.333673732619559</v>
      </c>
      <c r="DA28" s="191" t="s">
        <v>928</v>
      </c>
    </row>
    <row r="29" spans="1:105" ht="12" customHeight="1" x14ac:dyDescent="0.25">
      <c r="A29" s="131" t="s">
        <v>156</v>
      </c>
      <c r="B29" s="182"/>
      <c r="C29" s="182">
        <v>668.22421623070659</v>
      </c>
      <c r="D29" s="182">
        <v>757.6887213386417</v>
      </c>
      <c r="E29" s="182">
        <v>833.56115271786166</v>
      </c>
      <c r="F29" s="182">
        <v>879.50464976359945</v>
      </c>
      <c r="G29" s="182">
        <v>879.69497538953055</v>
      </c>
      <c r="H29" s="182">
        <v>885.42705253673103</v>
      </c>
      <c r="I29" s="182">
        <v>886.02907090614826</v>
      </c>
      <c r="J29" s="182">
        <v>817.97374627093086</v>
      </c>
      <c r="K29" s="182">
        <v>912.52842940525261</v>
      </c>
      <c r="L29" s="182">
        <v>968.96129233770989</v>
      </c>
      <c r="M29" s="182">
        <v>1013.9527035297197</v>
      </c>
      <c r="N29" s="182">
        <v>1058.9741491917757</v>
      </c>
      <c r="O29" s="182">
        <v>1067.7559592054595</v>
      </c>
      <c r="P29" s="182">
        <v>1124.34891438453</v>
      </c>
      <c r="Q29" s="182">
        <v>1147.0895201496523</v>
      </c>
      <c r="R29" s="182">
        <v>1224.8056538012133</v>
      </c>
      <c r="S29" s="182">
        <v>1287.574897398732</v>
      </c>
      <c r="T29" s="182">
        <v>1323.1720008656675</v>
      </c>
      <c r="U29" s="182">
        <v>1340.7016937744047</v>
      </c>
      <c r="V29" s="182">
        <v>1300.7335324621226</v>
      </c>
      <c r="W29" s="182">
        <v>1285.1413607682889</v>
      </c>
      <c r="X29" s="182">
        <v>1266.7298864246322</v>
      </c>
      <c r="Y29" s="182">
        <v>1412.6663632761483</v>
      </c>
      <c r="DA29" s="191" t="s">
        <v>929</v>
      </c>
    </row>
    <row r="30" spans="1:105" ht="12" customHeight="1" x14ac:dyDescent="0.25">
      <c r="A30" s="131" t="s">
        <v>160</v>
      </c>
      <c r="B30" s="182"/>
      <c r="C30" s="182">
        <v>41.799694453909638</v>
      </c>
      <c r="D30" s="182">
        <v>39.760416622382309</v>
      </c>
      <c r="E30" s="182">
        <v>42.276947883523974</v>
      </c>
      <c r="F30" s="182">
        <v>44.081782142372134</v>
      </c>
      <c r="G30" s="182">
        <v>45.775801754607869</v>
      </c>
      <c r="H30" s="182">
        <v>47.925867483157532</v>
      </c>
      <c r="I30" s="182">
        <v>55.029949714768065</v>
      </c>
      <c r="J30" s="182">
        <v>49.711176093786094</v>
      </c>
      <c r="K30" s="182">
        <v>44.460528297177859</v>
      </c>
      <c r="L30" s="182">
        <v>56.008522570423366</v>
      </c>
      <c r="M30" s="182">
        <v>56.116979842917772</v>
      </c>
      <c r="N30" s="182">
        <v>62.18848318086259</v>
      </c>
      <c r="O30" s="182">
        <v>66.222465930764258</v>
      </c>
      <c r="P30" s="182">
        <v>66.617954973776591</v>
      </c>
      <c r="Q30" s="182">
        <v>67.28362047660579</v>
      </c>
      <c r="R30" s="182">
        <v>70.140863147205437</v>
      </c>
      <c r="S30" s="182">
        <v>70.524146751569276</v>
      </c>
      <c r="T30" s="182">
        <v>76.318569796781503</v>
      </c>
      <c r="U30" s="182">
        <v>79.12842091841037</v>
      </c>
      <c r="V30" s="182">
        <v>77.577714912985016</v>
      </c>
      <c r="W30" s="182">
        <v>75.089902097669892</v>
      </c>
      <c r="X30" s="182">
        <v>75.704680527398466</v>
      </c>
      <c r="Y30" s="182">
        <v>74.926155686210507</v>
      </c>
      <c r="DA30" s="191" t="s">
        <v>930</v>
      </c>
    </row>
    <row r="31" spans="1:105" ht="12" customHeight="1" x14ac:dyDescent="0.25">
      <c r="A31" s="131" t="s">
        <v>172</v>
      </c>
      <c r="B31" s="182"/>
      <c r="C31" s="182">
        <v>112.36378197710121</v>
      </c>
      <c r="D31" s="182">
        <v>116.75671016744081</v>
      </c>
      <c r="E31" s="182">
        <v>147.98287891750113</v>
      </c>
      <c r="F31" s="182">
        <v>151.04444083225167</v>
      </c>
      <c r="G31" s="182">
        <v>142.54835399373735</v>
      </c>
      <c r="H31" s="182">
        <v>142.25196944430718</v>
      </c>
      <c r="I31" s="182">
        <v>125.67113913858464</v>
      </c>
      <c r="J31" s="182">
        <v>118.73405459129845</v>
      </c>
      <c r="K31" s="182">
        <v>109.58711842767957</v>
      </c>
      <c r="L31" s="182">
        <v>100.85771311548683</v>
      </c>
      <c r="M31" s="182">
        <v>138.55260661038051</v>
      </c>
      <c r="N31" s="182">
        <v>143.99353827233222</v>
      </c>
      <c r="O31" s="182">
        <v>179.91372136357131</v>
      </c>
      <c r="P31" s="182">
        <v>187.24671212018734</v>
      </c>
      <c r="Q31" s="182">
        <v>190.56827920699607</v>
      </c>
      <c r="R31" s="182">
        <v>173.08266139214993</v>
      </c>
      <c r="S31" s="182">
        <v>157.2796628380836</v>
      </c>
      <c r="T31" s="182">
        <v>150.39359741401154</v>
      </c>
      <c r="U31" s="182">
        <v>139.25259645184883</v>
      </c>
      <c r="V31" s="182">
        <v>127.10734364761493</v>
      </c>
      <c r="W31" s="182">
        <v>159.97615269149605</v>
      </c>
      <c r="X31" s="182">
        <v>160.12115827399293</v>
      </c>
      <c r="Y31" s="182">
        <v>209.82099051640262</v>
      </c>
      <c r="DA31" s="191" t="s">
        <v>931</v>
      </c>
    </row>
    <row r="32" spans="1:105" ht="12" customHeight="1" x14ac:dyDescent="0.25">
      <c r="A32" s="60" t="s">
        <v>159</v>
      </c>
      <c r="B32" s="41"/>
      <c r="C32" s="41">
        <v>12.409071923179582</v>
      </c>
      <c r="D32" s="41">
        <v>12.60525923305687</v>
      </c>
      <c r="E32" s="41">
        <v>14.278589534944842</v>
      </c>
      <c r="F32" s="41">
        <v>15.336234398520759</v>
      </c>
      <c r="G32" s="41">
        <v>19.144224896770297</v>
      </c>
      <c r="H32" s="41">
        <v>16.95642627094108</v>
      </c>
      <c r="I32" s="41">
        <v>17.053338859761112</v>
      </c>
      <c r="J32" s="41">
        <v>17.824299930257951</v>
      </c>
      <c r="K32" s="41">
        <v>11.460816993831799</v>
      </c>
      <c r="L32" s="41">
        <v>14.700537104656632</v>
      </c>
      <c r="M32" s="41">
        <v>10.693219194564193</v>
      </c>
      <c r="N32" s="41">
        <v>13.073874213164004</v>
      </c>
      <c r="O32" s="41">
        <v>10.396666358111872</v>
      </c>
      <c r="P32" s="41">
        <v>12.157828293945727</v>
      </c>
      <c r="Q32" s="41">
        <v>14.434998973624516</v>
      </c>
      <c r="R32" s="41">
        <v>26.795456781950833</v>
      </c>
      <c r="S32" s="41">
        <v>27.285332317881</v>
      </c>
      <c r="T32" s="41">
        <v>28.833558873515784</v>
      </c>
      <c r="U32" s="41">
        <v>29.131933350946355</v>
      </c>
      <c r="V32" s="41">
        <v>31.634717596208247</v>
      </c>
      <c r="W32" s="41">
        <v>27.656093370790359</v>
      </c>
      <c r="X32" s="41">
        <v>26.266619817232481</v>
      </c>
      <c r="Y32" s="41">
        <v>25.788447729870029</v>
      </c>
      <c r="DA32" s="92" t="s">
        <v>932</v>
      </c>
    </row>
    <row r="33" spans="1:105" ht="12" customHeight="1" x14ac:dyDescent="0.25">
      <c r="A33" s="62" t="s">
        <v>157</v>
      </c>
      <c r="B33" s="42"/>
      <c r="C33" s="42">
        <v>1569.5250458954079</v>
      </c>
      <c r="D33" s="42">
        <v>1648.7223024232135</v>
      </c>
      <c r="E33" s="42">
        <v>1652.3739099838158</v>
      </c>
      <c r="F33" s="42">
        <v>1822.774658658167</v>
      </c>
      <c r="G33" s="42">
        <v>1789.6542642417371</v>
      </c>
      <c r="H33" s="42">
        <v>2306.3297992883718</v>
      </c>
      <c r="I33" s="42">
        <v>2276.3509902963633</v>
      </c>
      <c r="J33" s="42">
        <v>2346.1251341947427</v>
      </c>
      <c r="K33" s="42">
        <v>2441.9056311239456</v>
      </c>
      <c r="L33" s="42">
        <v>2645.7014771893973</v>
      </c>
      <c r="M33" s="42">
        <v>2957.4381581272464</v>
      </c>
      <c r="N33" s="42">
        <v>3252.9781214458981</v>
      </c>
      <c r="O33" s="42">
        <v>3469.0098552084855</v>
      </c>
      <c r="P33" s="42">
        <v>3717.4201771329626</v>
      </c>
      <c r="Q33" s="42">
        <v>4629.2319155720761</v>
      </c>
      <c r="R33" s="42">
        <v>3772.5589869863215</v>
      </c>
      <c r="S33" s="42">
        <v>4073.2410804392912</v>
      </c>
      <c r="T33" s="42">
        <v>4275.4469476891827</v>
      </c>
      <c r="U33" s="42">
        <v>4498.228018681777</v>
      </c>
      <c r="V33" s="42">
        <v>5362.093528978683</v>
      </c>
      <c r="W33" s="42">
        <v>4450.6365981980889</v>
      </c>
      <c r="X33" s="42">
        <v>4636.3841188913248</v>
      </c>
      <c r="Y33" s="42">
        <v>4932.4701160711884</v>
      </c>
      <c r="DA33" s="93" t="s">
        <v>933</v>
      </c>
    </row>
    <row r="34" spans="1:105" s="2" customFormat="1" ht="12" customHeight="1" x14ac:dyDescent="0.25">
      <c r="DA34" s="7"/>
    </row>
    <row r="35" spans="1:105" ht="12.95" customHeight="1" x14ac:dyDescent="0.25">
      <c r="A35" s="178" t="s">
        <v>105</v>
      </c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DA35" s="188"/>
    </row>
    <row r="36" spans="1:105" ht="12" customHeight="1" x14ac:dyDescent="0.25">
      <c r="A36" s="131" t="s">
        <v>158</v>
      </c>
      <c r="B36" s="182"/>
      <c r="C36" s="182">
        <v>19.651084730798402</v>
      </c>
      <c r="D36" s="182">
        <v>20.206927341007315</v>
      </c>
      <c r="E36" s="182">
        <v>20.778492289781866</v>
      </c>
      <c r="F36" s="182">
        <v>21.36622429281249</v>
      </c>
      <c r="G36" s="182">
        <v>21.970580644836673</v>
      </c>
      <c r="H36" s="182">
        <v>22.592031575445617</v>
      </c>
      <c r="I36" s="182">
        <v>23.231060614953776</v>
      </c>
      <c r="J36" s="182">
        <v>23.88816497061805</v>
      </c>
      <c r="K36" s="182">
        <v>24.56385591349806</v>
      </c>
      <c r="L36" s="182">
        <v>25.258659176259016</v>
      </c>
      <c r="M36" s="182">
        <v>25.973115362227418</v>
      </c>
      <c r="N36" s="182">
        <v>26.707780366015641</v>
      </c>
      <c r="O36" s="182">
        <v>27.463225806045898</v>
      </c>
      <c r="P36" s="182">
        <v>28.240039469307021</v>
      </c>
      <c r="Q36" s="182">
        <v>29.038825768692277</v>
      </c>
      <c r="R36" s="182">
        <v>29.860206213272591</v>
      </c>
      <c r="S36" s="182">
        <v>30.704819891872489</v>
      </c>
      <c r="T36" s="182">
        <v>31.573323970323827</v>
      </c>
      <c r="U36" s="182">
        <v>42.585103405617815</v>
      </c>
      <c r="V36" s="182">
        <v>40.236440895103101</v>
      </c>
      <c r="W36" s="182">
        <v>46.772178932948123</v>
      </c>
      <c r="X36" s="182">
        <v>50.358237891204226</v>
      </c>
      <c r="Y36" s="182">
        <v>52.777077563797889</v>
      </c>
      <c r="DA36" s="191" t="s">
        <v>934</v>
      </c>
    </row>
    <row r="37" spans="1:105" ht="12" customHeight="1" x14ac:dyDescent="0.25">
      <c r="A37" s="131" t="s">
        <v>156</v>
      </c>
      <c r="B37" s="182"/>
      <c r="C37" s="182">
        <v>564.56926543182271</v>
      </c>
      <c r="D37" s="182">
        <v>588.87108256688043</v>
      </c>
      <c r="E37" s="182">
        <v>614.21896854100942</v>
      </c>
      <c r="F37" s="182">
        <v>640.65795126343983</v>
      </c>
      <c r="G37" s="182">
        <v>668.23499686441937</v>
      </c>
      <c r="H37" s="182">
        <v>696.99909312570617</v>
      </c>
      <c r="I37" s="182">
        <v>727.00133650232056</v>
      </c>
      <c r="J37" s="182">
        <v>668.22421623070659</v>
      </c>
      <c r="K37" s="182">
        <v>757.6887213386417</v>
      </c>
      <c r="L37" s="182">
        <v>833.56115271786166</v>
      </c>
      <c r="M37" s="182">
        <v>879.50464976359945</v>
      </c>
      <c r="N37" s="182">
        <v>879.69497538953055</v>
      </c>
      <c r="O37" s="182">
        <v>885.42705253673103</v>
      </c>
      <c r="P37" s="182">
        <v>886.02907090614826</v>
      </c>
      <c r="Q37" s="182">
        <v>817.97374627093086</v>
      </c>
      <c r="R37" s="182">
        <v>912.5284294052517</v>
      </c>
      <c r="S37" s="182">
        <v>968.9612923377108</v>
      </c>
      <c r="T37" s="182">
        <v>1013.9527035297197</v>
      </c>
      <c r="U37" s="182">
        <v>1058.9741491917757</v>
      </c>
      <c r="V37" s="182">
        <v>1067.7559592054604</v>
      </c>
      <c r="W37" s="182">
        <v>1124.3489143845291</v>
      </c>
      <c r="X37" s="182">
        <v>1147.0895201496533</v>
      </c>
      <c r="Y37" s="182">
        <v>1224.8056538012133</v>
      </c>
      <c r="DA37" s="191" t="s">
        <v>935</v>
      </c>
    </row>
    <row r="38" spans="1:105" ht="12" customHeight="1" x14ac:dyDescent="0.25">
      <c r="A38" s="131" t="s">
        <v>160</v>
      </c>
      <c r="B38" s="182"/>
      <c r="C38" s="182">
        <v>30.631492372678878</v>
      </c>
      <c r="D38" s="182">
        <v>31.427248066430025</v>
      </c>
      <c r="E38" s="182">
        <v>32.243676181767256</v>
      </c>
      <c r="F38" s="182">
        <v>33.081313754136886</v>
      </c>
      <c r="G38" s="182">
        <v>33.940711770281297</v>
      </c>
      <c r="H38" s="182">
        <v>34.822435530670418</v>
      </c>
      <c r="I38" s="182">
        <v>41.799694453909638</v>
      </c>
      <c r="J38" s="182">
        <v>39.760416622382309</v>
      </c>
      <c r="K38" s="182">
        <v>42.276947883523974</v>
      </c>
      <c r="L38" s="182">
        <v>44.081782142372106</v>
      </c>
      <c r="M38" s="182">
        <v>45.775801754607869</v>
      </c>
      <c r="N38" s="182">
        <v>47.92586748315756</v>
      </c>
      <c r="O38" s="182">
        <v>55.029949714768065</v>
      </c>
      <c r="P38" s="182">
        <v>49.711176093786094</v>
      </c>
      <c r="Q38" s="182">
        <v>44.460528297177859</v>
      </c>
      <c r="R38" s="182">
        <v>56.008522570423338</v>
      </c>
      <c r="S38" s="182">
        <v>56.116979842917772</v>
      </c>
      <c r="T38" s="182">
        <v>62.18848318086259</v>
      </c>
      <c r="U38" s="182">
        <v>66.222465930764258</v>
      </c>
      <c r="V38" s="182">
        <v>66.617954973776591</v>
      </c>
      <c r="W38" s="182">
        <v>67.28362047660579</v>
      </c>
      <c r="X38" s="182">
        <v>70.140863147205437</v>
      </c>
      <c r="Y38" s="182">
        <v>70.524146751569333</v>
      </c>
      <c r="DA38" s="191" t="s">
        <v>936</v>
      </c>
    </row>
    <row r="39" spans="1:105" ht="12" customHeight="1" x14ac:dyDescent="0.25">
      <c r="A39" s="131" t="s">
        <v>172</v>
      </c>
      <c r="B39" s="182"/>
      <c r="C39" s="182">
        <v>57.842892269732715</v>
      </c>
      <c r="D39" s="182">
        <v>59.061305664644465</v>
      </c>
      <c r="E39" s="182">
        <v>60.305383944949085</v>
      </c>
      <c r="F39" s="182">
        <v>61.575667720545653</v>
      </c>
      <c r="G39" s="182">
        <v>62.872708988839918</v>
      </c>
      <c r="H39" s="182">
        <v>64.197071374613643</v>
      </c>
      <c r="I39" s="182">
        <v>65.549330374944702</v>
      </c>
      <c r="J39" s="182">
        <v>66.930073609288684</v>
      </c>
      <c r="K39" s="182">
        <v>68.339901074826003</v>
      </c>
      <c r="L39" s="182">
        <v>69.779425407188455</v>
      </c>
      <c r="M39" s="182">
        <v>112.36378197710133</v>
      </c>
      <c r="N39" s="182">
        <v>116.75671016744081</v>
      </c>
      <c r="O39" s="182">
        <v>147.98287891750124</v>
      </c>
      <c r="P39" s="182">
        <v>151.04444083225167</v>
      </c>
      <c r="Q39" s="182">
        <v>142.54835399373724</v>
      </c>
      <c r="R39" s="182">
        <v>142.25196944430718</v>
      </c>
      <c r="S39" s="182">
        <v>125.67113913858475</v>
      </c>
      <c r="T39" s="182">
        <v>118.73405459129845</v>
      </c>
      <c r="U39" s="182">
        <v>109.58711842767957</v>
      </c>
      <c r="V39" s="182">
        <v>100.85771311548683</v>
      </c>
      <c r="W39" s="182">
        <v>138.55260661038051</v>
      </c>
      <c r="X39" s="182">
        <v>143.99353827233222</v>
      </c>
      <c r="Y39" s="182">
        <v>179.91372136357131</v>
      </c>
      <c r="DA39" s="191" t="s">
        <v>937</v>
      </c>
    </row>
    <row r="40" spans="1:105" ht="12" customHeight="1" x14ac:dyDescent="0.25">
      <c r="A40" s="60" t="s">
        <v>159</v>
      </c>
      <c r="B40" s="41"/>
      <c r="C40" s="41">
        <v>2.4097005131020239</v>
      </c>
      <c r="D40" s="41">
        <v>2.6808676687918478</v>
      </c>
      <c r="E40" s="41">
        <v>2.9825496647803504</v>
      </c>
      <c r="F40" s="41">
        <v>3.3181803810891637</v>
      </c>
      <c r="G40" s="41">
        <v>3.6915801173275327</v>
      </c>
      <c r="H40" s="41">
        <v>4.1069990770588447</v>
      </c>
      <c r="I40" s="41">
        <v>4.5691657455271866</v>
      </c>
      <c r="J40" s="41">
        <v>5.0833407114008651</v>
      </c>
      <c r="K40" s="41">
        <v>5.6553765451561731</v>
      </c>
      <c r="L40" s="41">
        <v>6.2917844156640399</v>
      </c>
      <c r="M40" s="41">
        <v>6.9998082032395814</v>
      </c>
      <c r="N40" s="41">
        <v>7.787506952742433</v>
      </c>
      <c r="O40" s="41">
        <v>8.6638466052461922</v>
      </c>
      <c r="P40" s="41">
        <v>9.6388020524080673</v>
      </c>
      <c r="Q40" s="41">
        <v>10.723470675167391</v>
      </c>
      <c r="R40" s="41">
        <v>12.409071923179567</v>
      </c>
      <c r="S40" s="41">
        <v>12.60525923305687</v>
      </c>
      <c r="T40" s="41">
        <v>14.278589534944842</v>
      </c>
      <c r="U40" s="41">
        <v>15.33623439852073</v>
      </c>
      <c r="V40" s="41">
        <v>19.144224896770311</v>
      </c>
      <c r="W40" s="41">
        <v>16.956426270941108</v>
      </c>
      <c r="X40" s="41">
        <v>17.053338859761084</v>
      </c>
      <c r="Y40" s="41">
        <v>17.824299930257951</v>
      </c>
      <c r="DA40" s="92" t="s">
        <v>938</v>
      </c>
    </row>
    <row r="41" spans="1:105" ht="12" customHeight="1" x14ac:dyDescent="0.25">
      <c r="A41" s="62" t="s">
        <v>157</v>
      </c>
      <c r="B41" s="42"/>
      <c r="C41" s="42">
        <v>900.14488784670084</v>
      </c>
      <c r="D41" s="42">
        <v>900.14488784670084</v>
      </c>
      <c r="E41" s="42">
        <v>900.14488784670084</v>
      </c>
      <c r="F41" s="42">
        <v>900.14488784670084</v>
      </c>
      <c r="G41" s="42">
        <v>900.14488784669993</v>
      </c>
      <c r="H41" s="42">
        <v>1569.5250458954088</v>
      </c>
      <c r="I41" s="42">
        <v>1648.7223024232135</v>
      </c>
      <c r="J41" s="42">
        <v>1652.3739099838167</v>
      </c>
      <c r="K41" s="42">
        <v>1822.774658658167</v>
      </c>
      <c r="L41" s="42">
        <v>1789.6542642417371</v>
      </c>
      <c r="M41" s="42">
        <v>2306.3297992883709</v>
      </c>
      <c r="N41" s="42">
        <v>2276.3509902963633</v>
      </c>
      <c r="O41" s="42">
        <v>2346.1251341947409</v>
      </c>
      <c r="P41" s="42">
        <v>2441.9056311239456</v>
      </c>
      <c r="Q41" s="42">
        <v>2645.7014771893992</v>
      </c>
      <c r="R41" s="42">
        <v>2957.4381581272464</v>
      </c>
      <c r="S41" s="42">
        <v>3252.9781214458999</v>
      </c>
      <c r="T41" s="42">
        <v>3469.0098552084855</v>
      </c>
      <c r="U41" s="42">
        <v>3717.4201771329645</v>
      </c>
      <c r="V41" s="42">
        <v>4629.2319155720761</v>
      </c>
      <c r="W41" s="42">
        <v>3772.5589869863215</v>
      </c>
      <c r="X41" s="42">
        <v>4073.241080439293</v>
      </c>
      <c r="Y41" s="42">
        <v>4275.4469476891827</v>
      </c>
      <c r="DA41" s="93" t="s">
        <v>939</v>
      </c>
    </row>
    <row r="42" spans="1:105" s="2" customFormat="1" ht="12" customHeight="1" x14ac:dyDescent="0.25">
      <c r="DA42" s="7"/>
    </row>
    <row r="43" spans="1:105" ht="12.95" customHeight="1" x14ac:dyDescent="0.25">
      <c r="A43" s="178" t="s">
        <v>104</v>
      </c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DA43" s="192"/>
    </row>
    <row r="44" spans="1:105" ht="12" customHeight="1" x14ac:dyDescent="0.25">
      <c r="A44" s="131" t="s">
        <v>7</v>
      </c>
      <c r="B44" s="184">
        <v>8759.9999999999964</v>
      </c>
      <c r="C44" s="184">
        <v>8759.9999999999964</v>
      </c>
      <c r="D44" s="184">
        <v>8760.0000000000018</v>
      </c>
      <c r="E44" s="184">
        <v>8759.9999999999964</v>
      </c>
      <c r="F44" s="184">
        <v>8759.9999999999982</v>
      </c>
      <c r="G44" s="184">
        <v>8759.9999999999964</v>
      </c>
      <c r="H44" s="184">
        <v>8760.0000000000036</v>
      </c>
      <c r="I44" s="184">
        <v>8760</v>
      </c>
      <c r="J44" s="184">
        <v>8760</v>
      </c>
      <c r="K44" s="184">
        <v>8760</v>
      </c>
      <c r="L44" s="184">
        <v>8760</v>
      </c>
      <c r="M44" s="184">
        <v>8760</v>
      </c>
      <c r="N44" s="184">
        <v>8760</v>
      </c>
      <c r="O44" s="184">
        <v>8759.9999999999982</v>
      </c>
      <c r="P44" s="184">
        <v>8759.9999999999964</v>
      </c>
      <c r="Q44" s="184">
        <v>8759.9999999999964</v>
      </c>
      <c r="R44" s="184">
        <v>8759.9999999999964</v>
      </c>
      <c r="S44" s="184">
        <v>8759.9999999999964</v>
      </c>
      <c r="T44" s="184">
        <v>8759.9999999999945</v>
      </c>
      <c r="U44" s="184">
        <v>8759.9999999999982</v>
      </c>
      <c r="V44" s="184">
        <v>8759.9999999999964</v>
      </c>
      <c r="W44" s="184">
        <v>8759.9999999999964</v>
      </c>
      <c r="X44" s="184">
        <v>8759.9999999999964</v>
      </c>
      <c r="Y44" s="184">
        <v>8759.9999999999964</v>
      </c>
      <c r="DA44" s="193" t="s">
        <v>940</v>
      </c>
    </row>
    <row r="45" spans="1:105" ht="12" customHeight="1" x14ac:dyDescent="0.25">
      <c r="A45" s="131" t="s">
        <v>6</v>
      </c>
      <c r="B45" s="184">
        <v>3714.7032423611449</v>
      </c>
      <c r="C45" s="184">
        <v>3703.828698522459</v>
      </c>
      <c r="D45" s="184">
        <v>3698.1057997383855</v>
      </c>
      <c r="E45" s="184">
        <v>3690.8025232624987</v>
      </c>
      <c r="F45" s="184">
        <v>3685.07691884217</v>
      </c>
      <c r="G45" s="184">
        <v>3677.2020588828341</v>
      </c>
      <c r="H45" s="184">
        <v>3671.9817357947081</v>
      </c>
      <c r="I45" s="184">
        <v>3663.6023281169873</v>
      </c>
      <c r="J45" s="184">
        <v>3653.9970711301562</v>
      </c>
      <c r="K45" s="184">
        <v>3642.5004214396313</v>
      </c>
      <c r="L45" s="184">
        <v>3633.1462197456704</v>
      </c>
      <c r="M45" s="184">
        <v>3623.4559070285263</v>
      </c>
      <c r="N45" s="184">
        <v>3607.6806759752085</v>
      </c>
      <c r="O45" s="184">
        <v>3594.2329955772984</v>
      </c>
      <c r="P45" s="184">
        <v>3579.1230148131999</v>
      </c>
      <c r="Q45" s="184">
        <v>3564.9552614522972</v>
      </c>
      <c r="R45" s="184">
        <v>3631.1031055053877</v>
      </c>
      <c r="S45" s="184">
        <v>3559.9879855449913</v>
      </c>
      <c r="T45" s="184">
        <v>3546.8195735391801</v>
      </c>
      <c r="U45" s="184">
        <v>3534.3903736839211</v>
      </c>
      <c r="V45" s="184">
        <v>3512.716657396034</v>
      </c>
      <c r="W45" s="184">
        <v>3517.2897156869385</v>
      </c>
      <c r="X45" s="184">
        <v>3525.5607441182447</v>
      </c>
      <c r="Y45" s="184">
        <v>3533.8317725495508</v>
      </c>
      <c r="DA45" s="193" t="s">
        <v>941</v>
      </c>
    </row>
    <row r="46" spans="1:105" ht="12" customHeight="1" x14ac:dyDescent="0.25">
      <c r="A46" s="131" t="s">
        <v>5</v>
      </c>
      <c r="B46" s="184">
        <v>2156.4276923235338</v>
      </c>
      <c r="C46" s="184">
        <v>2177.5388224830081</v>
      </c>
      <c r="D46" s="184">
        <v>2195.0700368218386</v>
      </c>
      <c r="E46" s="184">
        <v>2211.7901808356878</v>
      </c>
      <c r="F46" s="184">
        <v>2228.0075780015609</v>
      </c>
      <c r="G46" s="184">
        <v>2245.0262277449392</v>
      </c>
      <c r="H46" s="184">
        <v>2263.3361698957751</v>
      </c>
      <c r="I46" s="184">
        <v>2280.9797696696014</v>
      </c>
      <c r="J46" s="184">
        <v>2291.8610455016565</v>
      </c>
      <c r="K46" s="184">
        <v>2296.1868931600366</v>
      </c>
      <c r="L46" s="184">
        <v>2298.5238097978981</v>
      </c>
      <c r="M46" s="184">
        <v>2304.6695611884802</v>
      </c>
      <c r="N46" s="184">
        <v>2309.9299858605409</v>
      </c>
      <c r="O46" s="184">
        <v>2314.292222665696</v>
      </c>
      <c r="P46" s="184">
        <v>2321.8003912564127</v>
      </c>
      <c r="Q46" s="184">
        <v>2328.9810532087795</v>
      </c>
      <c r="R46" s="184">
        <v>2382.9877283861979</v>
      </c>
      <c r="S46" s="184">
        <v>2343.7676072927502</v>
      </c>
      <c r="T46" s="184">
        <v>2350.0983219863333</v>
      </c>
      <c r="U46" s="184">
        <v>2346.34630846443</v>
      </c>
      <c r="V46" s="184">
        <v>2113.9778437623154</v>
      </c>
      <c r="W46" s="184">
        <v>2173.822231263036</v>
      </c>
      <c r="X46" s="184">
        <v>2245.6500287996423</v>
      </c>
      <c r="Y46" s="184">
        <v>2281.5639275679455</v>
      </c>
      <c r="DA46" s="193" t="s">
        <v>942</v>
      </c>
    </row>
    <row r="47" spans="1:105" ht="12" customHeight="1" x14ac:dyDescent="0.25">
      <c r="A47" s="131" t="s">
        <v>171</v>
      </c>
      <c r="B47" s="184">
        <v>8760</v>
      </c>
      <c r="C47" s="184">
        <v>8760</v>
      </c>
      <c r="D47" s="184">
        <v>8760</v>
      </c>
      <c r="E47" s="184">
        <v>8760.0000000000018</v>
      </c>
      <c r="F47" s="184">
        <v>8759.9999999999982</v>
      </c>
      <c r="G47" s="184">
        <v>8760</v>
      </c>
      <c r="H47" s="184">
        <v>8759.9999999999982</v>
      </c>
      <c r="I47" s="184">
        <v>8759.9999999999964</v>
      </c>
      <c r="J47" s="184">
        <v>8760.0000000000036</v>
      </c>
      <c r="K47" s="184">
        <v>8760.0000000000018</v>
      </c>
      <c r="L47" s="184">
        <v>8760</v>
      </c>
      <c r="M47" s="184">
        <v>8759.9999999999964</v>
      </c>
      <c r="N47" s="184">
        <v>8760.0000000000018</v>
      </c>
      <c r="O47" s="184">
        <v>8760.0000000000018</v>
      </c>
      <c r="P47" s="184">
        <v>8760.0000000000018</v>
      </c>
      <c r="Q47" s="184">
        <v>8759.9999999999982</v>
      </c>
      <c r="R47" s="184">
        <v>8759.9999999999964</v>
      </c>
      <c r="S47" s="184">
        <v>8759.9999999999982</v>
      </c>
      <c r="T47" s="184">
        <v>8759.9999999999982</v>
      </c>
      <c r="U47" s="184">
        <v>8759.9999999999982</v>
      </c>
      <c r="V47" s="184">
        <v>8759.9999999999982</v>
      </c>
      <c r="W47" s="184">
        <v>8760</v>
      </c>
      <c r="X47" s="184">
        <v>8760</v>
      </c>
      <c r="Y47" s="184">
        <v>8760</v>
      </c>
      <c r="DA47" s="193" t="s">
        <v>943</v>
      </c>
    </row>
    <row r="48" spans="1:105" ht="12" customHeight="1" x14ac:dyDescent="0.25">
      <c r="A48" s="60" t="s">
        <v>4</v>
      </c>
      <c r="B48" s="44">
        <v>808.0540830476923</v>
      </c>
      <c r="C48" s="44">
        <v>811.9140621224966</v>
      </c>
      <c r="D48" s="44">
        <v>815.45404503574878</v>
      </c>
      <c r="E48" s="44">
        <v>818.72414184343563</v>
      </c>
      <c r="F48" s="44">
        <v>821.76346861981347</v>
      </c>
      <c r="G48" s="44">
        <v>824.60315482557655</v>
      </c>
      <c r="H48" s="44">
        <v>827.26838617194176</v>
      </c>
      <c r="I48" s="44">
        <v>829.77983228832966</v>
      </c>
      <c r="J48" s="44">
        <v>832.15466917214928</v>
      </c>
      <c r="K48" s="44">
        <v>834.40732720571953</v>
      </c>
      <c r="L48" s="44">
        <v>836.55004874608346</v>
      </c>
      <c r="M48" s="44">
        <v>837.91166948142461</v>
      </c>
      <c r="N48" s="44">
        <v>839.21199954260771</v>
      </c>
      <c r="O48" s="44">
        <v>840.45640299872434</v>
      </c>
      <c r="P48" s="44">
        <v>841.64956582268928</v>
      </c>
      <c r="Q48" s="44">
        <v>842.79560583864316</v>
      </c>
      <c r="R48" s="44">
        <v>859.99081989800823</v>
      </c>
      <c r="S48" s="44">
        <v>842.74911989830105</v>
      </c>
      <c r="T48" s="44">
        <v>844.55678156729118</v>
      </c>
      <c r="U48" s="44">
        <v>843.60945343454853</v>
      </c>
      <c r="V48" s="44">
        <v>760.06328942815048</v>
      </c>
      <c r="W48" s="44">
        <v>781.57984512518578</v>
      </c>
      <c r="X48" s="44">
        <v>811.17551106275982</v>
      </c>
      <c r="Y48" s="44">
        <v>825.97334403154684</v>
      </c>
      <c r="DA48" s="95" t="s">
        <v>944</v>
      </c>
    </row>
    <row r="49" spans="1:105" ht="12" customHeight="1" x14ac:dyDescent="0.25">
      <c r="A49" s="62" t="s">
        <v>3</v>
      </c>
      <c r="B49" s="185">
        <v>2103.50927223604</v>
      </c>
      <c r="C49" s="185">
        <v>2155.7125172555579</v>
      </c>
      <c r="D49" s="185">
        <v>2214.7186257187254</v>
      </c>
      <c r="E49" s="185">
        <v>2270.5542018850165</v>
      </c>
      <c r="F49" s="185">
        <v>2314.290399169503</v>
      </c>
      <c r="G49" s="185">
        <v>2355.5870500568949</v>
      </c>
      <c r="H49" s="185">
        <v>2406.4596770075709</v>
      </c>
      <c r="I49" s="185">
        <v>2459.6192851155229</v>
      </c>
      <c r="J49" s="185">
        <v>2504.7159616879362</v>
      </c>
      <c r="K49" s="185">
        <v>2549.045580937151</v>
      </c>
      <c r="L49" s="185">
        <v>2597.0676268955476</v>
      </c>
      <c r="M49" s="185">
        <v>2652.4428243194898</v>
      </c>
      <c r="N49" s="185">
        <v>2688.2774253185435</v>
      </c>
      <c r="O49" s="185">
        <v>2704.2261316214394</v>
      </c>
      <c r="P49" s="185">
        <v>2709.4437759444077</v>
      </c>
      <c r="Q49" s="185">
        <v>2682.353366473098</v>
      </c>
      <c r="R49" s="185">
        <v>2731.5331701258669</v>
      </c>
      <c r="S49" s="185">
        <v>2710.5756480005648</v>
      </c>
      <c r="T49" s="185">
        <v>2724.8199975767457</v>
      </c>
      <c r="U49" s="185">
        <v>2737.2988744105637</v>
      </c>
      <c r="V49" s="185">
        <v>2641.0878594305082</v>
      </c>
      <c r="W49" s="185">
        <v>2673.1543328898438</v>
      </c>
      <c r="X49" s="185">
        <v>2715.2882824306289</v>
      </c>
      <c r="Y49" s="185">
        <v>2734.2616834516898</v>
      </c>
      <c r="DA49" s="194" t="s">
        <v>945</v>
      </c>
    </row>
    <row r="50" spans="1:105" s="2" customFormat="1" ht="12" customHeight="1" x14ac:dyDescent="0.25">
      <c r="DA50" s="7"/>
    </row>
    <row r="51" spans="1:105" ht="12.95" customHeight="1" x14ac:dyDescent="0.25">
      <c r="A51" s="178" t="s">
        <v>103</v>
      </c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DA51" s="188"/>
    </row>
    <row r="52" spans="1:105" ht="12" customHeight="1" x14ac:dyDescent="0.25">
      <c r="A52" s="131" t="s">
        <v>101</v>
      </c>
      <c r="B52" s="180">
        <v>0.67836252639104211</v>
      </c>
      <c r="C52" s="180">
        <v>0.67179173670994086</v>
      </c>
      <c r="D52" s="180">
        <v>0.66546228302370247</v>
      </c>
      <c r="E52" s="180">
        <v>0.65810795124514587</v>
      </c>
      <c r="F52" s="180">
        <v>0.65023469141268098</v>
      </c>
      <c r="G52" s="180">
        <v>0.64206190740921332</v>
      </c>
      <c r="H52" s="180">
        <v>0.63391788117988557</v>
      </c>
      <c r="I52" s="180">
        <v>0.62634106030179137</v>
      </c>
      <c r="J52" s="180">
        <v>0.61886964588696936</v>
      </c>
      <c r="K52" s="180">
        <v>0.61318021284134772</v>
      </c>
      <c r="L52" s="180">
        <v>0.60535095733908872</v>
      </c>
      <c r="M52" s="180">
        <v>0.59808762149532524</v>
      </c>
      <c r="N52" s="180">
        <v>0.58953500435109307</v>
      </c>
      <c r="O52" s="180">
        <v>0.58158121951784247</v>
      </c>
      <c r="P52" s="180">
        <v>0.57189516443083688</v>
      </c>
      <c r="Q52" s="180">
        <v>0.56128190089854346</v>
      </c>
      <c r="R52" s="180">
        <v>0.55129970661820038</v>
      </c>
      <c r="S52" s="180">
        <v>0.54142155133159908</v>
      </c>
      <c r="T52" s="180">
        <v>0.53165847647961817</v>
      </c>
      <c r="U52" s="180">
        <v>0.5231257241994548</v>
      </c>
      <c r="V52" s="180">
        <v>0.51556809659571656</v>
      </c>
      <c r="W52" s="180">
        <v>0.50776935905978426</v>
      </c>
      <c r="X52" s="180">
        <v>0.50048880881511471</v>
      </c>
      <c r="Y52" s="180">
        <v>0.4935839732959007</v>
      </c>
      <c r="DA52" s="189" t="s">
        <v>946</v>
      </c>
    </row>
    <row r="53" spans="1:105" ht="12" customHeight="1" x14ac:dyDescent="0.25">
      <c r="A53" s="131" t="s">
        <v>100</v>
      </c>
      <c r="B53" s="180">
        <v>196.54473568374263</v>
      </c>
      <c r="C53" s="180">
        <v>194.5369042976188</v>
      </c>
      <c r="D53" s="180">
        <v>191.87810280908488</v>
      </c>
      <c r="E53" s="180">
        <v>188.72730259998568</v>
      </c>
      <c r="F53" s="180">
        <v>185.12315841275938</v>
      </c>
      <c r="G53" s="180">
        <v>181.1894122479539</v>
      </c>
      <c r="H53" s="180">
        <v>176.98812500326122</v>
      </c>
      <c r="I53" s="180">
        <v>172.66832953805718</v>
      </c>
      <c r="J53" s="180">
        <v>170.09241063464805</v>
      </c>
      <c r="K53" s="180">
        <v>167.34154909616498</v>
      </c>
      <c r="L53" s="180">
        <v>164.4597101911811</v>
      </c>
      <c r="M53" s="180">
        <v>161.48321713382566</v>
      </c>
      <c r="N53" s="180">
        <v>158.21963423529573</v>
      </c>
      <c r="O53" s="180">
        <v>154.56834613407244</v>
      </c>
      <c r="P53" s="180">
        <v>150.10580700007768</v>
      </c>
      <c r="Q53" s="180">
        <v>145.22237819640904</v>
      </c>
      <c r="R53" s="180">
        <v>139.52772910026619</v>
      </c>
      <c r="S53" s="180">
        <v>133.4257274580269</v>
      </c>
      <c r="T53" s="180">
        <v>127.11182554505145</v>
      </c>
      <c r="U53" s="180">
        <v>120.83053054487564</v>
      </c>
      <c r="V53" s="180">
        <v>114.84763588353987</v>
      </c>
      <c r="W53" s="180">
        <v>109.53823700608206</v>
      </c>
      <c r="X53" s="180">
        <v>104.95167123997004</v>
      </c>
      <c r="Y53" s="180">
        <v>100.73236932917911</v>
      </c>
      <c r="DA53" s="189" t="s">
        <v>947</v>
      </c>
    </row>
    <row r="54" spans="1:105" ht="12" customHeight="1" x14ac:dyDescent="0.25">
      <c r="A54" s="131" t="s">
        <v>140</v>
      </c>
      <c r="B54" s="180">
        <v>38.033049217823788</v>
      </c>
      <c r="C54" s="180">
        <v>37.677465784918439</v>
      </c>
      <c r="D54" s="180">
        <v>37.208872629130347</v>
      </c>
      <c r="E54" s="180">
        <v>36.632210615518041</v>
      </c>
      <c r="F54" s="180">
        <v>35.970792992383231</v>
      </c>
      <c r="G54" s="180">
        <v>35.225172047432991</v>
      </c>
      <c r="H54" s="180">
        <v>34.34168060018964</v>
      </c>
      <c r="I54" s="180">
        <v>33.518934777112911</v>
      </c>
      <c r="J54" s="180">
        <v>32.815488397866915</v>
      </c>
      <c r="K54" s="180">
        <v>32.091399604198173</v>
      </c>
      <c r="L54" s="180">
        <v>31.278758161535027</v>
      </c>
      <c r="M54" s="180">
        <v>30.38393009880566</v>
      </c>
      <c r="N54" s="180">
        <v>29.361456125799396</v>
      </c>
      <c r="O54" s="180">
        <v>28.147776011160296</v>
      </c>
      <c r="P54" s="180">
        <v>26.895175518569804</v>
      </c>
      <c r="Q54" s="180">
        <v>25.66852732969193</v>
      </c>
      <c r="R54" s="180">
        <v>24.20214345396835</v>
      </c>
      <c r="S54" s="180">
        <v>22.797312535310034</v>
      </c>
      <c r="T54" s="180">
        <v>21.244851654633159</v>
      </c>
      <c r="U54" s="180">
        <v>19.67010609552095</v>
      </c>
      <c r="V54" s="180">
        <v>18.201807821046017</v>
      </c>
      <c r="W54" s="180">
        <v>16.915740880555301</v>
      </c>
      <c r="X54" s="180">
        <v>15.758128650711976</v>
      </c>
      <c r="Y54" s="180">
        <v>14.689968792788195</v>
      </c>
      <c r="DA54" s="189" t="s">
        <v>948</v>
      </c>
    </row>
    <row r="55" spans="1:105" ht="12" customHeight="1" x14ac:dyDescent="0.25">
      <c r="A55" s="131" t="s">
        <v>173</v>
      </c>
      <c r="B55" s="180">
        <v>652.60903637843057</v>
      </c>
      <c r="C55" s="180">
        <v>642.44127698460454</v>
      </c>
      <c r="D55" s="180">
        <v>630.6028458083274</v>
      </c>
      <c r="E55" s="180">
        <v>616.89638782546501</v>
      </c>
      <c r="F55" s="180">
        <v>604.08218493257084</v>
      </c>
      <c r="G55" s="180">
        <v>592.59811879966378</v>
      </c>
      <c r="H55" s="180">
        <v>581.47321297351766</v>
      </c>
      <c r="I55" s="180">
        <v>571.44041946013806</v>
      </c>
      <c r="J55" s="180">
        <v>561.62043940309957</v>
      </c>
      <c r="K55" s="180">
        <v>552.0231878017853</v>
      </c>
      <c r="L55" s="180">
        <v>542.47569156268548</v>
      </c>
      <c r="M55" s="180">
        <v>532.44939991365015</v>
      </c>
      <c r="N55" s="180">
        <v>523.50312292417561</v>
      </c>
      <c r="O55" s="180">
        <v>512.27739818565044</v>
      </c>
      <c r="P55" s="180">
        <v>500.18802716056001</v>
      </c>
      <c r="Q55" s="180">
        <v>488.88904656073146</v>
      </c>
      <c r="R55" s="180">
        <v>478.83163257349923</v>
      </c>
      <c r="S55" s="180">
        <v>469.98422984727591</v>
      </c>
      <c r="T55" s="180">
        <v>461.83833276505277</v>
      </c>
      <c r="U55" s="180">
        <v>454.51089407611346</v>
      </c>
      <c r="V55" s="180">
        <v>447.96870486919516</v>
      </c>
      <c r="W55" s="180">
        <v>439.99492074335677</v>
      </c>
      <c r="X55" s="180">
        <v>431.70250310216932</v>
      </c>
      <c r="Y55" s="180">
        <v>421.59902166055849</v>
      </c>
      <c r="DA55" s="189" t="s">
        <v>949</v>
      </c>
    </row>
    <row r="56" spans="1:105" ht="12" customHeight="1" x14ac:dyDescent="0.25">
      <c r="A56" s="60" t="s">
        <v>99</v>
      </c>
      <c r="B56" s="55">
        <v>46.033158554003812</v>
      </c>
      <c r="C56" s="55">
        <v>45.66107011834675</v>
      </c>
      <c r="D56" s="55">
        <v>45.307446043111412</v>
      </c>
      <c r="E56" s="55">
        <v>44.934283979685091</v>
      </c>
      <c r="F56" s="55">
        <v>44.558862898817381</v>
      </c>
      <c r="G56" s="55">
        <v>44.130526456410678</v>
      </c>
      <c r="H56" s="55">
        <v>43.764478399776614</v>
      </c>
      <c r="I56" s="55">
        <v>43.409326420150279</v>
      </c>
      <c r="J56" s="55">
        <v>43.04284552625635</v>
      </c>
      <c r="K56" s="55">
        <v>42.763330928826981</v>
      </c>
      <c r="L56" s="55">
        <v>42.413399939914122</v>
      </c>
      <c r="M56" s="55">
        <v>42.083630092691081</v>
      </c>
      <c r="N56" s="55">
        <v>41.652391038210133</v>
      </c>
      <c r="O56" s="55">
        <v>41.215161794025462</v>
      </c>
      <c r="P56" s="55">
        <v>40.659511255485</v>
      </c>
      <c r="Q56" s="55">
        <v>39.956853502329601</v>
      </c>
      <c r="R56" s="55">
        <v>39.06093007624785</v>
      </c>
      <c r="S56" s="55">
        <v>38.219746925460043</v>
      </c>
      <c r="T56" s="55">
        <v>37.380811937475592</v>
      </c>
      <c r="U56" s="55">
        <v>36.576029645330117</v>
      </c>
      <c r="V56" s="55">
        <v>35.710150108372027</v>
      </c>
      <c r="W56" s="55">
        <v>35.002595325669787</v>
      </c>
      <c r="X56" s="55">
        <v>34.347925022268115</v>
      </c>
      <c r="Y56" s="55">
        <v>33.716350945127822</v>
      </c>
      <c r="DA56" s="101" t="s">
        <v>950</v>
      </c>
    </row>
    <row r="57" spans="1:105" ht="12" customHeight="1" x14ac:dyDescent="0.25">
      <c r="A57" s="62" t="s">
        <v>98</v>
      </c>
      <c r="B57" s="63">
        <v>384.47451122154519</v>
      </c>
      <c r="C57" s="63">
        <v>372.86152939775548</v>
      </c>
      <c r="D57" s="63">
        <v>358.72924124393325</v>
      </c>
      <c r="E57" s="63">
        <v>343.8730320484467</v>
      </c>
      <c r="F57" s="63">
        <v>327.93004937241187</v>
      </c>
      <c r="G57" s="63">
        <v>312.72686680094159</v>
      </c>
      <c r="H57" s="63">
        <v>295.834732063812</v>
      </c>
      <c r="I57" s="63">
        <v>280.04405473254417</v>
      </c>
      <c r="J57" s="63">
        <v>264.52167443262312</v>
      </c>
      <c r="K57" s="63">
        <v>248.50300085149539</v>
      </c>
      <c r="L57" s="63">
        <v>231.83261766970827</v>
      </c>
      <c r="M57" s="63">
        <v>214.18386460863823</v>
      </c>
      <c r="N57" s="63">
        <v>198.98027355393612</v>
      </c>
      <c r="O57" s="63">
        <v>186.58018616535739</v>
      </c>
      <c r="P57" s="63">
        <v>177.42237063232801</v>
      </c>
      <c r="Q57" s="63">
        <v>171.22304530310703</v>
      </c>
      <c r="R57" s="63">
        <v>167.06490814073467</v>
      </c>
      <c r="S57" s="63">
        <v>163.36011033784922</v>
      </c>
      <c r="T57" s="63">
        <v>160.03219742907851</v>
      </c>
      <c r="U57" s="63">
        <v>156.4612327831457</v>
      </c>
      <c r="V57" s="63">
        <v>151.83974157081306</v>
      </c>
      <c r="W57" s="63">
        <v>148.38043212156103</v>
      </c>
      <c r="X57" s="63">
        <v>145.12176624459156</v>
      </c>
      <c r="Y57" s="63">
        <v>142.07217636332223</v>
      </c>
      <c r="DA57" s="105" t="s">
        <v>951</v>
      </c>
    </row>
    <row r="58" spans="1:105" s="2" customFormat="1" ht="12" customHeight="1" x14ac:dyDescent="0.25">
      <c r="DA58" s="7"/>
    </row>
    <row r="59" spans="1:105" ht="12.95" customHeight="1" x14ac:dyDescent="0.25">
      <c r="A59" s="178" t="s">
        <v>102</v>
      </c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DA59" s="188"/>
    </row>
    <row r="60" spans="1:105" ht="12" customHeight="1" x14ac:dyDescent="0.25">
      <c r="A60" s="131" t="s">
        <v>101</v>
      </c>
      <c r="B60" s="180"/>
      <c r="C60" s="180">
        <v>0.60491637617497884</v>
      </c>
      <c r="D60" s="180">
        <v>0.59706256778155897</v>
      </c>
      <c r="E60" s="180">
        <v>0.58911129387757255</v>
      </c>
      <c r="F60" s="180">
        <v>0.58055278836444935</v>
      </c>
      <c r="G60" s="180">
        <v>0.57184576932603026</v>
      </c>
      <c r="H60" s="180">
        <v>0.56342202195335223</v>
      </c>
      <c r="I60" s="180">
        <v>0.56162656279056289</v>
      </c>
      <c r="J60" s="180">
        <v>0.55396138688487995</v>
      </c>
      <c r="K60" s="180">
        <v>0.54492041929927848</v>
      </c>
      <c r="L60" s="180">
        <v>0.53528564919927568</v>
      </c>
      <c r="M60" s="180">
        <v>0.52937188935318424</v>
      </c>
      <c r="N60" s="180">
        <v>0.51658417677660817</v>
      </c>
      <c r="O60" s="180">
        <v>0.50404807131663443</v>
      </c>
      <c r="P60" s="180">
        <v>0.48932776139582335</v>
      </c>
      <c r="Q60" s="180">
        <v>0.48050962238733547</v>
      </c>
      <c r="R60" s="180">
        <v>0.47725603088567048</v>
      </c>
      <c r="S60" s="180">
        <v>0.47230476002447969</v>
      </c>
      <c r="T60" s="180">
        <v>0.46752769378928299</v>
      </c>
      <c r="U60" s="180">
        <v>0.46318213048132822</v>
      </c>
      <c r="V60" s="180">
        <v>0.45891675922765662</v>
      </c>
      <c r="W60" s="180">
        <v>0.45616325867229068</v>
      </c>
      <c r="X60" s="180">
        <v>0.45340975811692474</v>
      </c>
      <c r="Y60" s="180">
        <v>0.4506562575615588</v>
      </c>
      <c r="DA60" s="189" t="s">
        <v>952</v>
      </c>
    </row>
    <row r="61" spans="1:105" ht="12" customHeight="1" x14ac:dyDescent="0.25">
      <c r="A61" s="131" t="s">
        <v>100</v>
      </c>
      <c r="B61" s="180"/>
      <c r="C61" s="180">
        <v>182.71034837255269</v>
      </c>
      <c r="D61" s="180">
        <v>179.34838087963377</v>
      </c>
      <c r="E61" s="180">
        <v>176.44598005547996</v>
      </c>
      <c r="F61" s="180">
        <v>172.98463487148015</v>
      </c>
      <c r="G61" s="180">
        <v>169.46113773737093</v>
      </c>
      <c r="H61" s="180">
        <v>166.55779364244799</v>
      </c>
      <c r="I61" s="180">
        <v>164.80512235330841</v>
      </c>
      <c r="J61" s="180">
        <v>162.16636975696684</v>
      </c>
      <c r="K61" s="180">
        <v>159.40498027871325</v>
      </c>
      <c r="L61" s="180">
        <v>156.64442418746953</v>
      </c>
      <c r="M61" s="180">
        <v>153.17084103752956</v>
      </c>
      <c r="N61" s="180">
        <v>147.94346388510473</v>
      </c>
      <c r="O61" s="180">
        <v>142.13321301727316</v>
      </c>
      <c r="P61" s="180">
        <v>134.99323848820484</v>
      </c>
      <c r="Q61" s="180">
        <v>127.65541779145391</v>
      </c>
      <c r="R61" s="180">
        <v>120.42592447001395</v>
      </c>
      <c r="S61" s="180">
        <v>114.85350777520516</v>
      </c>
      <c r="T61" s="180">
        <v>109.26689092259812</v>
      </c>
      <c r="U61" s="180">
        <v>103.67046001045627</v>
      </c>
      <c r="V61" s="180">
        <v>98.078102327787263</v>
      </c>
      <c r="W61" s="180">
        <v>95.665381010523703</v>
      </c>
      <c r="X61" s="180">
        <v>93.252659693260142</v>
      </c>
      <c r="Y61" s="180">
        <v>90.839938375996581</v>
      </c>
      <c r="DA61" s="189" t="s">
        <v>953</v>
      </c>
    </row>
    <row r="62" spans="1:105" ht="12" customHeight="1" x14ac:dyDescent="0.25">
      <c r="A62" s="131" t="s">
        <v>140</v>
      </c>
      <c r="B62" s="180"/>
      <c r="C62" s="180">
        <v>36.269452408895063</v>
      </c>
      <c r="D62" s="180">
        <v>35.417019539684496</v>
      </c>
      <c r="E62" s="180">
        <v>34.75913389657584</v>
      </c>
      <c r="F62" s="180">
        <v>34.132219654836994</v>
      </c>
      <c r="G62" s="180">
        <v>33.451883650335844</v>
      </c>
      <c r="H62" s="180">
        <v>32.442491867221726</v>
      </c>
      <c r="I62" s="180">
        <v>31.696720037056512</v>
      </c>
      <c r="J62" s="180">
        <v>31.006945110327383</v>
      </c>
      <c r="K62" s="180">
        <v>29.989806738407829</v>
      </c>
      <c r="L62" s="180">
        <v>29.360651464283606</v>
      </c>
      <c r="M62" s="180">
        <v>28.120146930245571</v>
      </c>
      <c r="N62" s="180">
        <v>26.651278150058872</v>
      </c>
      <c r="O62" s="180">
        <v>25.167725591423721</v>
      </c>
      <c r="P62" s="180">
        <v>23.669998479947239</v>
      </c>
      <c r="Q62" s="180">
        <v>22.113702904009227</v>
      </c>
      <c r="R62" s="180">
        <v>20.493186061428506</v>
      </c>
      <c r="S62" s="180">
        <v>19.292494861519824</v>
      </c>
      <c r="T62" s="180">
        <v>17.452990831858216</v>
      </c>
      <c r="U62" s="180">
        <v>15.970140257752629</v>
      </c>
      <c r="V62" s="180">
        <v>14.758699024493106</v>
      </c>
      <c r="W62" s="180">
        <v>14.020764073268451</v>
      </c>
      <c r="X62" s="180">
        <v>13.282829122043795</v>
      </c>
      <c r="Y62" s="180">
        <v>12.544894170819138</v>
      </c>
      <c r="DA62" s="189" t="s">
        <v>954</v>
      </c>
    </row>
    <row r="63" spans="1:105" ht="12" customHeight="1" x14ac:dyDescent="0.25">
      <c r="A63" s="131" t="s">
        <v>173</v>
      </c>
      <c r="B63" s="180"/>
      <c r="C63" s="180">
        <v>590.0829815749604</v>
      </c>
      <c r="D63" s="180">
        <v>571.67397154871514</v>
      </c>
      <c r="E63" s="180">
        <v>562.10660590218379</v>
      </c>
      <c r="F63" s="180">
        <v>552.9114575164183</v>
      </c>
      <c r="G63" s="180">
        <v>544.4805030725438</v>
      </c>
      <c r="H63" s="180">
        <v>534.94104935307325</v>
      </c>
      <c r="I63" s="180">
        <v>527.27392651499429</v>
      </c>
      <c r="J63" s="180">
        <v>518.32258268800786</v>
      </c>
      <c r="K63" s="180">
        <v>510.05452412595918</v>
      </c>
      <c r="L63" s="180">
        <v>501.60091175115195</v>
      </c>
      <c r="M63" s="180">
        <v>487.44564965203449</v>
      </c>
      <c r="N63" s="180">
        <v>482.16726681035357</v>
      </c>
      <c r="O63" s="180">
        <v>470.82516664941431</v>
      </c>
      <c r="P63" s="180">
        <v>455.35302025308494</v>
      </c>
      <c r="Q63" s="180">
        <v>448.09607526581021</v>
      </c>
      <c r="R63" s="180">
        <v>441.4239629328157</v>
      </c>
      <c r="S63" s="180">
        <v>433.16979444005068</v>
      </c>
      <c r="T63" s="180">
        <v>425.19619232460656</v>
      </c>
      <c r="U63" s="180">
        <v>417.63598180791689</v>
      </c>
      <c r="V63" s="180">
        <v>410.17341697934779</v>
      </c>
      <c r="W63" s="180">
        <v>401.96994863976084</v>
      </c>
      <c r="X63" s="180">
        <v>393.76648030017384</v>
      </c>
      <c r="Y63" s="180">
        <v>385.56301196058689</v>
      </c>
      <c r="DA63" s="189" t="s">
        <v>955</v>
      </c>
    </row>
    <row r="64" spans="1:105" ht="12" customHeight="1" x14ac:dyDescent="0.25">
      <c r="A64" s="60" t="s">
        <v>99</v>
      </c>
      <c r="B64" s="55"/>
      <c r="C64" s="55">
        <v>43.196488663315229</v>
      </c>
      <c r="D64" s="55">
        <v>42.807844170174754</v>
      </c>
      <c r="E64" s="55">
        <v>42.432078368946925</v>
      </c>
      <c r="F64" s="55">
        <v>42.042577991400407</v>
      </c>
      <c r="G64" s="55">
        <v>41.637076321786182</v>
      </c>
      <c r="H64" s="55">
        <v>41.220614955402226</v>
      </c>
      <c r="I64" s="55">
        <v>40.860515340485961</v>
      </c>
      <c r="J64" s="55">
        <v>40.428559203084973</v>
      </c>
      <c r="K64" s="55">
        <v>39.95350433572365</v>
      </c>
      <c r="L64" s="55">
        <v>39.507175483974088</v>
      </c>
      <c r="M64" s="55">
        <v>38.637410491995603</v>
      </c>
      <c r="N64" s="55">
        <v>37.688747038189874</v>
      </c>
      <c r="O64" s="55">
        <v>36.627334568448063</v>
      </c>
      <c r="P64" s="55">
        <v>35.491457375342577</v>
      </c>
      <c r="Q64" s="55">
        <v>34.306309479408597</v>
      </c>
      <c r="R64" s="55">
        <v>33.870198330283394</v>
      </c>
      <c r="S64" s="55">
        <v>33.34385969760374</v>
      </c>
      <c r="T64" s="55">
        <v>32.852932066229414</v>
      </c>
      <c r="U64" s="55">
        <v>32.377676195741707</v>
      </c>
      <c r="V64" s="55">
        <v>31.908273612641167</v>
      </c>
      <c r="W64" s="55">
        <v>31.589190876514756</v>
      </c>
      <c r="X64" s="55">
        <v>31.270108140388345</v>
      </c>
      <c r="Y64" s="55">
        <v>30.95102540426193</v>
      </c>
      <c r="DA64" s="101" t="s">
        <v>956</v>
      </c>
    </row>
    <row r="65" spans="1:105" ht="12" customHeight="1" x14ac:dyDescent="0.25">
      <c r="A65" s="62" t="s">
        <v>98</v>
      </c>
      <c r="B65" s="63"/>
      <c r="C65" s="63">
        <v>346.2206898681705</v>
      </c>
      <c r="D65" s="63">
        <v>328.4688785835354</v>
      </c>
      <c r="E65" s="63">
        <v>312.77718630638907</v>
      </c>
      <c r="F65" s="63">
        <v>297.50609624391655</v>
      </c>
      <c r="G65" s="63">
        <v>284.30645460434602</v>
      </c>
      <c r="H65" s="63">
        <v>267.99187805084898</v>
      </c>
      <c r="I65" s="63">
        <v>251.16069380994469</v>
      </c>
      <c r="J65" s="63">
        <v>233.35529038671356</v>
      </c>
      <c r="K65" s="63">
        <v>215.93212724355661</v>
      </c>
      <c r="L65" s="63">
        <v>197.00724170902001</v>
      </c>
      <c r="M65" s="63">
        <v>184.43660473806855</v>
      </c>
      <c r="N65" s="63">
        <v>176.29003069802556</v>
      </c>
      <c r="O65" s="63">
        <v>169.44319641048705</v>
      </c>
      <c r="P65" s="63">
        <v>166.3403371453366</v>
      </c>
      <c r="Q65" s="63">
        <v>164.47555740346382</v>
      </c>
      <c r="R65" s="63">
        <v>160.81472425692613</v>
      </c>
      <c r="S65" s="63">
        <v>156.54929696438828</v>
      </c>
      <c r="T65" s="63">
        <v>152.36404356506955</v>
      </c>
      <c r="U65" s="63">
        <v>148.37685776891703</v>
      </c>
      <c r="V65" s="63">
        <v>144.43468787423876</v>
      </c>
      <c r="W65" s="63">
        <v>141.83486349250245</v>
      </c>
      <c r="X65" s="63">
        <v>139.23503911076617</v>
      </c>
      <c r="Y65" s="63">
        <v>136.63521472902985</v>
      </c>
      <c r="DA65" s="105" t="s">
        <v>957</v>
      </c>
    </row>
    <row r="66" spans="1:105" s="2" customFormat="1" ht="12" customHeight="1" x14ac:dyDescent="0.25">
      <c r="DA66" s="7"/>
    </row>
    <row r="67" spans="1:105" ht="12.95" customHeight="1" x14ac:dyDescent="0.25">
      <c r="A67" s="178" t="s">
        <v>97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DA67" s="195"/>
    </row>
    <row r="68" spans="1:105" ht="12" customHeight="1" x14ac:dyDescent="0.25">
      <c r="A68" s="131" t="s">
        <v>96</v>
      </c>
      <c r="B68" s="187">
        <f>1000000*B20/SER_summary!B$8</f>
        <v>260.38760523727802</v>
      </c>
      <c r="C68" s="187">
        <f>1000000*C20/SER_summary!C$8</f>
        <v>265.35008858810033</v>
      </c>
      <c r="D68" s="187">
        <f>1000000*D20/SER_summary!D$8</f>
        <v>268.40797571252318</v>
      </c>
      <c r="E68" s="187">
        <f>1000000*E20/SER_summary!E$8</f>
        <v>272.78449584492955</v>
      </c>
      <c r="F68" s="187">
        <f>1000000*F20/SER_summary!F$8</f>
        <v>278.28340603412846</v>
      </c>
      <c r="G68" s="187">
        <f>1000000*G20/SER_summary!G$8</f>
        <v>283.7311138189196</v>
      </c>
      <c r="H68" s="187">
        <f>1000000*H20/SER_summary!H$8</f>
        <v>288.17028750354064</v>
      </c>
      <c r="I68" s="187">
        <f>1000000*I20/SER_summary!I$8</f>
        <v>292.46798356654222</v>
      </c>
      <c r="J68" s="187">
        <f>1000000*J20/SER_summary!J$8</f>
        <v>297.24457902160941</v>
      </c>
      <c r="K68" s="187">
        <f>1000000*K20/SER_summary!K$8</f>
        <v>302.42051244186052</v>
      </c>
      <c r="L68" s="187">
        <f>1000000*L20/SER_summary!L$8</f>
        <v>308.40941529588815</v>
      </c>
      <c r="M68" s="187">
        <f>1000000*M20/SER_summary!M$8</f>
        <v>315.12018114613693</v>
      </c>
      <c r="N68" s="187">
        <f>1000000*N20/SER_summary!N$8</f>
        <v>322.91274609058621</v>
      </c>
      <c r="O68" s="187">
        <f>1000000*O20/SER_summary!O$8</f>
        <v>329.74199512360201</v>
      </c>
      <c r="P68" s="187">
        <f>1000000*P20/SER_summary!P$8</f>
        <v>338.44807237350778</v>
      </c>
      <c r="Q68" s="187">
        <f>1000000*Q20/SER_summary!Q$8</f>
        <v>348.68747876988266</v>
      </c>
      <c r="R68" s="187">
        <f>1000000*R20/SER_summary!R$8</f>
        <v>357.14963129581969</v>
      </c>
      <c r="S68" s="187">
        <f>1000000*S20/SER_summary!S$8</f>
        <v>365.65116802890816</v>
      </c>
      <c r="T68" s="187">
        <f>1000000*T20/SER_summary!T$8</f>
        <v>373.983796671427</v>
      </c>
      <c r="U68" s="187">
        <f>1000000*U20/SER_summary!U$8</f>
        <v>382.02118506181387</v>
      </c>
      <c r="V68" s="187">
        <f>1000000*V20/SER_summary!V$8</f>
        <v>389.52818377624476</v>
      </c>
      <c r="W68" s="187">
        <f>1000000*W20/SER_summary!W$8</f>
        <v>396.28494243506759</v>
      </c>
      <c r="X68" s="187">
        <f>1000000*X20/SER_summary!X$8</f>
        <v>399.70714656536126</v>
      </c>
      <c r="Y68" s="187">
        <f>1000000*Y20/SER_summary!Y$8</f>
        <v>401.42931517446328</v>
      </c>
      <c r="DA68" s="196" t="s">
        <v>958</v>
      </c>
    </row>
    <row r="69" spans="1:105" ht="12" customHeight="1" x14ac:dyDescent="0.25">
      <c r="A69" s="131" t="s">
        <v>95</v>
      </c>
      <c r="B69" s="187">
        <f>1000*B21/SER_summary!B$3</f>
        <v>0.11120663342447035</v>
      </c>
      <c r="C69" s="187">
        <f>1000*C21/SER_summary!C$3</f>
        <v>0.1132213436484002</v>
      </c>
      <c r="D69" s="187">
        <f>1000*D21/SER_summary!D$3</f>
        <v>0.1163151687157144</v>
      </c>
      <c r="E69" s="187">
        <f>1000*E21/SER_summary!E$3</f>
        <v>0.11935514018303063</v>
      </c>
      <c r="F69" s="187">
        <f>1000*F21/SER_summary!F$3</f>
        <v>0.12295011906925413</v>
      </c>
      <c r="G69" s="187">
        <f>1000*G21/SER_summary!G$3</f>
        <v>0.12570749390094763</v>
      </c>
      <c r="H69" s="187">
        <f>1000*H21/SER_summary!H$3</f>
        <v>0.12795059793334995</v>
      </c>
      <c r="I69" s="187">
        <f>1000*I21/SER_summary!I$3</f>
        <v>0.1292882219749773</v>
      </c>
      <c r="J69" s="187">
        <f>1000*J21/SER_summary!J$3</f>
        <v>0.13006387927960059</v>
      </c>
      <c r="K69" s="187">
        <f>1000*K21/SER_summary!K$3</f>
        <v>0.13180828074416426</v>
      </c>
      <c r="L69" s="187">
        <f>1000*L21/SER_summary!L$3</f>
        <v>0.13401962436996984</v>
      </c>
      <c r="M69" s="187">
        <f>1000*M21/SER_summary!M$3</f>
        <v>0.13638210169692347</v>
      </c>
      <c r="N69" s="187">
        <f>1000*N21/SER_summary!N$3</f>
        <v>0.13977136644557683</v>
      </c>
      <c r="O69" s="187">
        <f>1000*O21/SER_summary!O$3</f>
        <v>0.14399044693133436</v>
      </c>
      <c r="P69" s="187">
        <f>1000*P21/SER_summary!P$3</f>
        <v>0.14978779981078222</v>
      </c>
      <c r="Q69" s="187">
        <f>1000*Q21/SER_summary!Q$3</f>
        <v>0.15710280107661223</v>
      </c>
      <c r="R69" s="187">
        <f>1000*R21/SER_summary!R$3</f>
        <v>0.16385331867521977</v>
      </c>
      <c r="S69" s="187">
        <f>1000*S21/SER_summary!S$3</f>
        <v>0.17042894851462065</v>
      </c>
      <c r="T69" s="187">
        <f>1000*T21/SER_summary!T$3</f>
        <v>0.17651857087998862</v>
      </c>
      <c r="U69" s="187">
        <f>1000*U21/SER_summary!U$3</f>
        <v>0.18149273285286491</v>
      </c>
      <c r="V69" s="187">
        <f>1000*V21/SER_summary!V$3</f>
        <v>0.18488560312262073</v>
      </c>
      <c r="W69" s="187">
        <f>1000*W21/SER_summary!W$3</f>
        <v>0.18795503525531534</v>
      </c>
      <c r="X69" s="187">
        <f>1000*X21/SER_summary!X$3</f>
        <v>0.19013390773303379</v>
      </c>
      <c r="Y69" s="187">
        <f>1000*Y21/SER_summary!Y$3</f>
        <v>0.19167412999083017</v>
      </c>
      <c r="DA69" s="196" t="s">
        <v>959</v>
      </c>
    </row>
    <row r="70" spans="1:105" ht="12" customHeight="1" x14ac:dyDescent="0.25">
      <c r="A70" s="131" t="s">
        <v>141</v>
      </c>
      <c r="B70" s="187">
        <f>1000000*B22/SER_summary!B$8</f>
        <v>112.72958714145801</v>
      </c>
      <c r="C70" s="187">
        <f>1000000*C22/SER_summary!C$8</f>
        <v>115.56889312907455</v>
      </c>
      <c r="D70" s="187">
        <f>1000000*D22/SER_summary!D$8</f>
        <v>116.68947881795954</v>
      </c>
      <c r="E70" s="187">
        <f>1000000*E22/SER_summary!E$8</f>
        <v>117.92987789019216</v>
      </c>
      <c r="F70" s="187">
        <f>1000000*F22/SER_summary!F$8</f>
        <v>119.53277681027549</v>
      </c>
      <c r="G70" s="187">
        <f>1000000*G22/SER_summary!G$8</f>
        <v>121.19130448963206</v>
      </c>
      <c r="H70" s="187">
        <f>1000000*H22/SER_summary!H$8</f>
        <v>123.14728664344226</v>
      </c>
      <c r="I70" s="187">
        <f>1000000*I22/SER_summary!I$8</f>
        <v>125.21510558188641</v>
      </c>
      <c r="J70" s="187">
        <f>1000000*J22/SER_summary!J$8</f>
        <v>126.33513131551577</v>
      </c>
      <c r="K70" s="187">
        <f>1000000*K22/SER_summary!K$8</f>
        <v>128.02425551940397</v>
      </c>
      <c r="L70" s="187">
        <f>1000000*L22/SER_summary!L$8</f>
        <v>131.30350205872674</v>
      </c>
      <c r="M70" s="187">
        <f>1000000*M22/SER_summary!M$8</f>
        <v>135.35181697836742</v>
      </c>
      <c r="N70" s="187">
        <f>1000000*N22/SER_summary!N$8</f>
        <v>140.19233517098496</v>
      </c>
      <c r="O70" s="187">
        <f>1000000*O22/SER_summary!O$8</f>
        <v>145.24484969329558</v>
      </c>
      <c r="P70" s="187">
        <f>1000000*P22/SER_summary!P$8</f>
        <v>151.72084557365719</v>
      </c>
      <c r="Q70" s="187">
        <f>1000000*Q22/SER_summary!Q$8</f>
        <v>159.94560925483805</v>
      </c>
      <c r="R70" s="187">
        <f>1000000*R22/SER_summary!R$8</f>
        <v>164.18834879296122</v>
      </c>
      <c r="S70" s="187">
        <f>1000000*S22/SER_summary!S$8</f>
        <v>168.49619855141262</v>
      </c>
      <c r="T70" s="187">
        <f>1000000*T22/SER_summary!T$8</f>
        <v>172.59006764967393</v>
      </c>
      <c r="U70" s="187">
        <f>1000000*U22/SER_summary!U$8</f>
        <v>176.29927735536532</v>
      </c>
      <c r="V70" s="187">
        <f>1000000*V22/SER_summary!V$8</f>
        <v>179.30574699845656</v>
      </c>
      <c r="W70" s="187">
        <f>1000000*W22/SER_summary!W$8</f>
        <v>181.05710848406616</v>
      </c>
      <c r="X70" s="187">
        <f>1000000*X22/SER_summary!X$8</f>
        <v>181.93919370373004</v>
      </c>
      <c r="Y70" s="187">
        <f>1000000*Y22/SER_summary!Y$8</f>
        <v>182.38184653142554</v>
      </c>
      <c r="DA70" s="196" t="s">
        <v>960</v>
      </c>
    </row>
    <row r="71" spans="1:105" ht="12" customHeight="1" x14ac:dyDescent="0.25">
      <c r="A71" s="131" t="s">
        <v>174</v>
      </c>
      <c r="B71" s="187">
        <f>1000*B23/SER_summary!B$3</f>
        <v>1.5726486241884781E-2</v>
      </c>
      <c r="C71" s="187">
        <f>1000*C23/SER_summary!C$3</f>
        <v>1.6991648584494357E-2</v>
      </c>
      <c r="D71" s="187">
        <f>1000*D23/SER_summary!D$3</f>
        <v>1.8244546914967602E-2</v>
      </c>
      <c r="E71" s="187">
        <f>1000*E23/SER_summary!E$3</f>
        <v>1.9994998297839107E-2</v>
      </c>
      <c r="F71" s="187">
        <f>1000*F23/SER_summary!F$3</f>
        <v>2.1759618989254985E-2</v>
      </c>
      <c r="G71" s="187">
        <f>1000*G23/SER_summary!G$3</f>
        <v>2.322348757830035E-2</v>
      </c>
      <c r="H71" s="187">
        <f>1000*H23/SER_summary!H$3</f>
        <v>2.4620485793971258E-2</v>
      </c>
      <c r="I71" s="187">
        <f>1000*I23/SER_summary!I$3</f>
        <v>2.553705937121932E-2</v>
      </c>
      <c r="J71" s="187">
        <f>1000*J23/SER_summary!J$3</f>
        <v>2.6176930791937975E-2</v>
      </c>
      <c r="K71" s="187">
        <f>1000*K23/SER_summary!K$3</f>
        <v>2.6746092502299732E-2</v>
      </c>
      <c r="L71" s="187">
        <f>1000*L23/SER_summary!L$3</f>
        <v>2.72723245501117E-2</v>
      </c>
      <c r="M71" s="187">
        <f>1000*M23/SER_summary!M$3</f>
        <v>2.7727991097953951E-2</v>
      </c>
      <c r="N71" s="187">
        <f>1000*N23/SER_summary!N$3</f>
        <v>2.8220292047921758E-2</v>
      </c>
      <c r="O71" s="187">
        <f>1000*O23/SER_summary!O$3</f>
        <v>2.8967627736590187E-2</v>
      </c>
      <c r="P71" s="187">
        <f>1000*P23/SER_summary!P$3</f>
        <v>2.9881378542465416E-2</v>
      </c>
      <c r="Q71" s="187">
        <f>1000*Q23/SER_summary!Q$3</f>
        <v>3.0960786184236921E-2</v>
      </c>
      <c r="R71" s="187">
        <f>1000*R23/SER_summary!R$3</f>
        <v>3.162953129675989E-2</v>
      </c>
      <c r="S71" s="187">
        <f>1000*S23/SER_summary!S$3</f>
        <v>3.2255917400318884E-2</v>
      </c>
      <c r="T71" s="187">
        <f>1000*T23/SER_summary!T$3</f>
        <v>3.2832528941662616E-2</v>
      </c>
      <c r="U71" s="187">
        <f>1000*U23/SER_summary!U$3</f>
        <v>3.3273145616257445E-2</v>
      </c>
      <c r="V71" s="187">
        <f>1000*V23/SER_summary!V$3</f>
        <v>3.3547255631142366E-2</v>
      </c>
      <c r="W71" s="187">
        <f>1000*W23/SER_summary!W$3</f>
        <v>3.3940657821800627E-2</v>
      </c>
      <c r="X71" s="187">
        <f>1000*X23/SER_summary!X$3</f>
        <v>3.421878109269029E-2</v>
      </c>
      <c r="Y71" s="187">
        <f>1000*Y23/SER_summary!Y$3</f>
        <v>3.4414822310531966E-2</v>
      </c>
      <c r="DA71" s="196" t="s">
        <v>961</v>
      </c>
    </row>
    <row r="72" spans="1:105" ht="12" customHeight="1" x14ac:dyDescent="0.25">
      <c r="A72" s="60" t="s">
        <v>94</v>
      </c>
      <c r="B72" s="187">
        <f>1000000*B24/SER_summary!B$8</f>
        <v>48.623047400313062</v>
      </c>
      <c r="C72" s="187">
        <f>1000000*C24/SER_summary!C$8</f>
        <v>52.736583248521427</v>
      </c>
      <c r="D72" s="187">
        <f>1000000*D24/SER_summary!D$8</f>
        <v>56.56049227058687</v>
      </c>
      <c r="E72" s="187">
        <f>1000000*E24/SER_summary!E$8</f>
        <v>60.523194622611364</v>
      </c>
      <c r="F72" s="187">
        <f>1000000*F24/SER_summary!F$8</f>
        <v>64.564144668188362</v>
      </c>
      <c r="G72" s="187">
        <f>1000000*G24/SER_summary!G$8</f>
        <v>69.878191053530671</v>
      </c>
      <c r="H72" s="187">
        <f>1000000*H24/SER_summary!H$8</f>
        <v>73.497966363656388</v>
      </c>
      <c r="I72" s="187">
        <f>1000000*I24/SER_summary!I$8</f>
        <v>76.822262947164532</v>
      </c>
      <c r="J72" s="187">
        <f>1000000*J24/SER_summary!J$8</f>
        <v>80.453063609204406</v>
      </c>
      <c r="K72" s="187">
        <f>1000000*K24/SER_summary!K$8</f>
        <v>83.49822026646099</v>
      </c>
      <c r="L72" s="187">
        <f>1000000*L24/SER_summary!L$8</f>
        <v>85.913731984053967</v>
      </c>
      <c r="M72" s="187">
        <f>1000000*M24/SER_summary!M$8</f>
        <v>87.217645378551353</v>
      </c>
      <c r="N72" s="187">
        <f>1000000*N24/SER_summary!N$8</f>
        <v>88.644945141564989</v>
      </c>
      <c r="O72" s="187">
        <f>1000000*O24/SER_summary!O$8</f>
        <v>89.520560776191402</v>
      </c>
      <c r="P72" s="187">
        <f>1000000*P24/SER_summary!P$8</f>
        <v>90.102586522872272</v>
      </c>
      <c r="Q72" s="187">
        <f>1000000*Q24/SER_summary!Q$8</f>
        <v>90.782719504102687</v>
      </c>
      <c r="R72" s="187">
        <f>1000000*R24/SER_summary!R$8</f>
        <v>95.880365873329353</v>
      </c>
      <c r="S72" s="187">
        <f>1000000*S24/SER_summary!S$8</f>
        <v>101.01631940899183</v>
      </c>
      <c r="T72" s="187">
        <f>1000000*T24/SER_summary!T$8</f>
        <v>105.98798398708396</v>
      </c>
      <c r="U72" s="187">
        <f>1000000*U24/SER_summary!U$8</f>
        <v>110.67248225424564</v>
      </c>
      <c r="V72" s="187">
        <f>1000000*V24/SER_summary!V$8</f>
        <v>114.84109542274359</v>
      </c>
      <c r="W72" s="187">
        <f>1000000*W24/SER_summary!W$8</f>
        <v>118.26239862240041</v>
      </c>
      <c r="X72" s="187">
        <f>1000000*X24/SER_summary!X$8</f>
        <v>121.07268357223353</v>
      </c>
      <c r="Y72" s="187">
        <f>1000000*Y24/SER_summary!Y$8</f>
        <v>123.36891834022128</v>
      </c>
      <c r="DA72" s="196" t="s">
        <v>962</v>
      </c>
    </row>
    <row r="73" spans="1:105" ht="12" customHeight="1" x14ac:dyDescent="0.25">
      <c r="A73" s="62" t="s">
        <v>93</v>
      </c>
      <c r="B73" s="52">
        <f>1000*B25/SER_summary!B$3</f>
        <v>0.11121087716466173</v>
      </c>
      <c r="C73" s="52">
        <f>1000*C25/SER_summary!C$3</f>
        <v>0.12713722630010765</v>
      </c>
      <c r="D73" s="52">
        <f>1000*D25/SER_summary!D$3</f>
        <v>0.1442339932937392</v>
      </c>
      <c r="E73" s="52">
        <f>1000*E25/SER_summary!E$3</f>
        <v>0.15948495913166344</v>
      </c>
      <c r="F73" s="52">
        <f>1000*F25/SER_summary!F$3</f>
        <v>0.17847228509193899</v>
      </c>
      <c r="G73" s="52">
        <f>1000*G25/SER_summary!G$3</f>
        <v>0.19592996943996374</v>
      </c>
      <c r="H73" s="52">
        <f>1000*H25/SER_summary!H$3</f>
        <v>0.20949468325246806</v>
      </c>
      <c r="I73" s="52">
        <f>1000*I25/SER_summary!I$3</f>
        <v>0.21988516387435947</v>
      </c>
      <c r="J73" s="52">
        <f>1000*J25/SER_summary!J$3</f>
        <v>0.23081847482113346</v>
      </c>
      <c r="K73" s="52">
        <f>1000*K25/SER_summary!K$3</f>
        <v>0.24136118703996837</v>
      </c>
      <c r="L73" s="52">
        <f>1000*L25/SER_summary!L$3</f>
        <v>0.25849186907081412</v>
      </c>
      <c r="M73" s="52">
        <f>1000*M25/SER_summary!M$3</f>
        <v>0.27144393596517535</v>
      </c>
      <c r="N73" s="52">
        <f>1000*N25/SER_summary!N$3</f>
        <v>0.29142818358983774</v>
      </c>
      <c r="O73" s="52">
        <f>1000*O25/SER_summary!O$3</f>
        <v>0.31612493067926939</v>
      </c>
      <c r="P73" s="52">
        <f>1000*P25/SER_summary!P$3</f>
        <v>0.34503260748132109</v>
      </c>
      <c r="Q73" s="52">
        <f>1000*Q25/SER_summary!Q$3</f>
        <v>0.3882778220979885</v>
      </c>
      <c r="R73" s="52">
        <f>1000*R25/SER_summary!R$3</f>
        <v>0.40589513216960887</v>
      </c>
      <c r="S73" s="52">
        <f>1000*S25/SER_summary!S$3</f>
        <v>0.42285084704295434</v>
      </c>
      <c r="T73" s="52">
        <f>1000*T25/SER_summary!T$3</f>
        <v>0.43880090881672668</v>
      </c>
      <c r="U73" s="52">
        <f>1000*U25/SER_summary!U$3</f>
        <v>0.45288111725619457</v>
      </c>
      <c r="V73" s="52">
        <f>1000*V25/SER_summary!V$3</f>
        <v>0.46454933292422773</v>
      </c>
      <c r="W73" s="52">
        <f>1000*W25/SER_summary!W$3</f>
        <v>0.47804355897103296</v>
      </c>
      <c r="X73" s="52">
        <f>1000*X25/SER_summary!X$3</f>
        <v>0.48903628342779182</v>
      </c>
      <c r="Y73" s="52">
        <f>1000*Y25/SER_summary!Y$3</f>
        <v>0.49661293758033875</v>
      </c>
      <c r="DA73" s="98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V15 B69:V71 B16:V16 B72:Q72 R72:V72 W13:Y17 W69:Y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'SER_se-appl'!B4</f>
        <v>231.49948577188124</v>
      </c>
      <c r="C3" s="198">
        <f>'SER_se-appl'!C4</f>
        <v>240.86196508868633</v>
      </c>
      <c r="D3" s="198">
        <f>'SER_se-appl'!D4</f>
        <v>248.63226619213961</v>
      </c>
      <c r="E3" s="198">
        <f>'SER_se-appl'!E4</f>
        <v>258.76966382941151</v>
      </c>
      <c r="F3" s="198">
        <f>'SER_se-appl'!F4</f>
        <v>269.87337398582991</v>
      </c>
      <c r="G3" s="198">
        <f>'SER_se-appl'!G4</f>
        <v>281.37987873084472</v>
      </c>
      <c r="H3" s="198">
        <f>'SER_se-appl'!H4</f>
        <v>292.31663773197465</v>
      </c>
      <c r="I3" s="198">
        <f>'SER_se-appl'!I4</f>
        <v>302.86830878142661</v>
      </c>
      <c r="J3" s="198">
        <f>'SER_se-appl'!J4</f>
        <v>312.36019905901941</v>
      </c>
      <c r="K3" s="198">
        <f>'SER_se-appl'!K4</f>
        <v>313.10562269584165</v>
      </c>
      <c r="L3" s="198">
        <f>'SER_se-appl'!L4</f>
        <v>320.12977543795517</v>
      </c>
      <c r="M3" s="198">
        <f>'SER_se-appl'!M4</f>
        <v>324.35103474518377</v>
      </c>
      <c r="N3" s="198">
        <f>'SER_se-appl'!N4</f>
        <v>330.89498652896589</v>
      </c>
      <c r="O3" s="198">
        <f>'SER_se-appl'!O4</f>
        <v>332.86994184500202</v>
      </c>
      <c r="P3" s="198">
        <f>'SER_se-appl'!P4</f>
        <v>337.87411390954679</v>
      </c>
      <c r="Q3" s="198">
        <f>'SER_se-appl'!Q4</f>
        <v>345.10353468721917</v>
      </c>
      <c r="R3" s="198">
        <f>'SER_se-appl'!R4</f>
        <v>350.98592561350495</v>
      </c>
      <c r="S3" s="198">
        <f>'SER_se-appl'!S4</f>
        <v>356.62979474441096</v>
      </c>
      <c r="T3" s="198">
        <f>'SER_se-appl'!T4</f>
        <v>361.94472047763571</v>
      </c>
      <c r="U3" s="198">
        <f>'SER_se-appl'!U4</f>
        <v>367.1550874431033</v>
      </c>
      <c r="V3" s="198">
        <f>'SER_se-appl'!V4</f>
        <v>372.02098069407378</v>
      </c>
      <c r="W3" s="198">
        <f>'SER_se-appl'!W4</f>
        <v>375.67820167604452</v>
      </c>
      <c r="X3" s="198">
        <f>'SER_se-appl'!X4</f>
        <v>376.28652562424514</v>
      </c>
      <c r="Y3" s="198">
        <f>'SER_se-appl'!Y4</f>
        <v>375.39171317947853</v>
      </c>
      <c r="DA3" s="205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'SER_se-appl'!B12</f>
        <v>307.34463693230367</v>
      </c>
      <c r="C5" s="59">
        <f>'SER_se-appl'!C12</f>
        <v>319.77450387915792</v>
      </c>
      <c r="D5" s="59">
        <f>'SER_se-appl'!D12</f>
        <v>330.09055431673323</v>
      </c>
      <c r="E5" s="59">
        <f>'SER_se-appl'!E12</f>
        <v>343.5492226411024</v>
      </c>
      <c r="F5" s="59">
        <f>'SER_se-appl'!F12</f>
        <v>358.2907921752514</v>
      </c>
      <c r="G5" s="59">
        <f>'SER_se-appl'!G12</f>
        <v>373.56712210499148</v>
      </c>
      <c r="H5" s="59">
        <f>'SER_se-appl'!H12</f>
        <v>388.08704301630866</v>
      </c>
      <c r="I5" s="59">
        <f>'SER_se-appl'!I12</f>
        <v>402.09571131598079</v>
      </c>
      <c r="J5" s="59">
        <f>'SER_se-appl'!J12</f>
        <v>414.69738756351546</v>
      </c>
      <c r="K5" s="59">
        <f>'SER_se-appl'!K12</f>
        <v>415.68703104482171</v>
      </c>
      <c r="L5" s="59">
        <f>'SER_se-appl'!L12</f>
        <v>425.01247583828979</v>
      </c>
      <c r="M5" s="59">
        <f>'SER_se-appl'!M12</f>
        <v>430.61672763544374</v>
      </c>
      <c r="N5" s="59">
        <f>'SER_se-appl'!N12</f>
        <v>439.30464535751975</v>
      </c>
      <c r="O5" s="59">
        <f>'SER_se-appl'!O12</f>
        <v>441.92664653622995</v>
      </c>
      <c r="P5" s="59">
        <f>'SER_se-appl'!P12</f>
        <v>448.57031332968387</v>
      </c>
      <c r="Q5" s="59">
        <f>'SER_se-appl'!Q12</f>
        <v>458.16827721602289</v>
      </c>
      <c r="R5" s="59">
        <f>'SER_se-appl'!R12</f>
        <v>465.97788982706214</v>
      </c>
      <c r="S5" s="59">
        <f>'SER_se-appl'!S12</f>
        <v>473.47083480336772</v>
      </c>
      <c r="T5" s="59">
        <f>'SER_se-appl'!T12</f>
        <v>480.52706611357377</v>
      </c>
      <c r="U5" s="59">
        <f>'SER_se-appl'!U12</f>
        <v>487.44448253005618</v>
      </c>
      <c r="V5" s="59">
        <f>'SER_se-appl'!V12</f>
        <v>493.90456683471234</v>
      </c>
      <c r="W5" s="59">
        <f>'SER_se-appl'!W12</f>
        <v>498.75998692835611</v>
      </c>
      <c r="X5" s="59">
        <f>'SER_se-appl'!X12</f>
        <v>499.56761335730289</v>
      </c>
      <c r="Y5" s="59">
        <f>'SER_se-appl'!Y12</f>
        <v>498.3796374745819</v>
      </c>
      <c r="DA5" s="104" t="s">
        <v>916</v>
      </c>
    </row>
    <row r="6" spans="1:105" ht="12" customHeight="1" x14ac:dyDescent="0.25">
      <c r="A6" s="200" t="str">
        <f>"Penetration factor "&amp;MID('SER_se-appl'!A68,FIND("(",'SER_se-appl'!A68),100)</f>
        <v>Penetration factor (sqm per building cell)</v>
      </c>
      <c r="B6" s="201">
        <f>'SER_se-appl'!B68</f>
        <v>260.38760523727802</v>
      </c>
      <c r="C6" s="201">
        <f>'SER_se-appl'!C68</f>
        <v>265.35008858810033</v>
      </c>
      <c r="D6" s="201">
        <f>'SER_se-appl'!D68</f>
        <v>268.40797571252318</v>
      </c>
      <c r="E6" s="201">
        <f>'SER_se-appl'!E68</f>
        <v>272.78449584492955</v>
      </c>
      <c r="F6" s="201">
        <f>'SER_se-appl'!F68</f>
        <v>278.28340603412846</v>
      </c>
      <c r="G6" s="201">
        <f>'SER_se-appl'!G68</f>
        <v>283.7311138189196</v>
      </c>
      <c r="H6" s="201">
        <f>'SER_se-appl'!H68</f>
        <v>288.17028750354064</v>
      </c>
      <c r="I6" s="201">
        <f>'SER_se-appl'!I68</f>
        <v>292.46798356654222</v>
      </c>
      <c r="J6" s="201">
        <f>'SER_se-appl'!J68</f>
        <v>297.24457902160941</v>
      </c>
      <c r="K6" s="201">
        <f>'SER_se-appl'!K68</f>
        <v>302.42051244186052</v>
      </c>
      <c r="L6" s="201">
        <f>'SER_se-appl'!L68</f>
        <v>308.40941529588815</v>
      </c>
      <c r="M6" s="201">
        <f>'SER_se-appl'!M68</f>
        <v>315.12018114613693</v>
      </c>
      <c r="N6" s="201">
        <f>'SER_se-appl'!N68</f>
        <v>322.91274609058621</v>
      </c>
      <c r="O6" s="201">
        <f>'SER_se-appl'!O68</f>
        <v>329.74199512360201</v>
      </c>
      <c r="P6" s="201">
        <f>'SER_se-appl'!P68</f>
        <v>338.44807237350778</v>
      </c>
      <c r="Q6" s="201">
        <f>'SER_se-appl'!Q68</f>
        <v>348.68747876988266</v>
      </c>
      <c r="R6" s="201">
        <f>'SER_se-appl'!R68</f>
        <v>357.14963129581969</v>
      </c>
      <c r="S6" s="201">
        <f>'SER_se-appl'!S68</f>
        <v>365.65116802890816</v>
      </c>
      <c r="T6" s="201">
        <f>'SER_se-appl'!T68</f>
        <v>373.983796671427</v>
      </c>
      <c r="U6" s="201">
        <f>'SER_se-appl'!U68</f>
        <v>382.02118506181387</v>
      </c>
      <c r="V6" s="201">
        <f>'SER_se-appl'!V68</f>
        <v>389.52818377624476</v>
      </c>
      <c r="W6" s="201">
        <f>'SER_se-appl'!W68</f>
        <v>396.28494243506759</v>
      </c>
      <c r="X6" s="201">
        <f>'SER_se-appl'!X68</f>
        <v>399.70714656536126</v>
      </c>
      <c r="Y6" s="201">
        <f>'SER_se-appl'!Y68</f>
        <v>401.42931517446328</v>
      </c>
      <c r="DA6" s="206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"&amp;MID('SER_se-appl'!A20,FIND("(",'SER_se-appl'!A20),100)</f>
        <v>Stock of appliances (serviced million m2)</v>
      </c>
      <c r="B8" s="34">
        <f>'SER_se-appl'!B20</f>
        <v>453.06841839776814</v>
      </c>
      <c r="C8" s="34">
        <f>'SER_se-appl'!C20</f>
        <v>476.00243707258755</v>
      </c>
      <c r="D8" s="34">
        <f>'SER_se-appl'!D20</f>
        <v>496.03195062668345</v>
      </c>
      <c r="E8" s="34">
        <f>'SER_se-appl'!E20</f>
        <v>522.02563726984965</v>
      </c>
      <c r="F8" s="34">
        <f>'SER_se-appl'!F20</f>
        <v>551.0176508682415</v>
      </c>
      <c r="G8" s="34">
        <f>'SER_se-appl'!G20</f>
        <v>581.82414778720283</v>
      </c>
      <c r="H8" s="34">
        <f>'SER_se-appl'!H20</f>
        <v>612.20396921755548</v>
      </c>
      <c r="I8" s="34">
        <f>'SER_se-appl'!I20</f>
        <v>641.97565320440287</v>
      </c>
      <c r="J8" s="34">
        <f>'SER_se-appl'!J20</f>
        <v>670.08842705343477</v>
      </c>
      <c r="K8" s="34">
        <f>'SER_se-appl'!K20</f>
        <v>677.91983880010696</v>
      </c>
      <c r="L8" s="34">
        <f>'SER_se-appl'!L20</f>
        <v>702.09267976794172</v>
      </c>
      <c r="M8" s="34">
        <f>'SER_se-appl'!M20</f>
        <v>719.98936637214706</v>
      </c>
      <c r="N8" s="34">
        <f>'SER_se-appl'!N20</f>
        <v>745.17143530953967</v>
      </c>
      <c r="O8" s="34">
        <f>'SER_se-appl'!O20</f>
        <v>759.87090316053775</v>
      </c>
      <c r="P8" s="34">
        <f>'SER_se-appl'!P20</f>
        <v>784.35759074149769</v>
      </c>
      <c r="Q8" s="34">
        <f>'SER_se-appl'!Q20</f>
        <v>816.28906345020516</v>
      </c>
      <c r="R8" s="34">
        <f>'SER_se-appl'!R20</f>
        <v>845.23514929017108</v>
      </c>
      <c r="S8" s="34">
        <f>'SER_se-appl'!S20</f>
        <v>874.4957300626287</v>
      </c>
      <c r="T8" s="34">
        <f>'SER_se-appl'!T20</f>
        <v>903.82658675055552</v>
      </c>
      <c r="U8" s="34">
        <f>'SER_se-appl'!U20</f>
        <v>931.79222504494112</v>
      </c>
      <c r="V8" s="34">
        <f>'SER_se-appl'!V20</f>
        <v>957.9812445648829</v>
      </c>
      <c r="W8" s="34">
        <f>'SER_se-appl'!W20</f>
        <v>982.25695983682351</v>
      </c>
      <c r="X8" s="34">
        <f>'SER_se-appl'!X20</f>
        <v>998.15940847909724</v>
      </c>
      <c r="Y8" s="34">
        <f>'SER_se-appl'!Y20</f>
        <v>1009.7160046479188</v>
      </c>
      <c r="DA8" s="88" t="s">
        <v>922</v>
      </c>
    </row>
    <row r="9" spans="1:105" ht="12.95" customHeight="1" x14ac:dyDescent="0.25">
      <c r="A9" s="202" t="str">
        <f>"Number of new appliances "&amp;MID('SER_se-appl'!A28,FIND("(",'SER_se-appl'!A28),100)</f>
        <v>Number of new appliances (serviced million m2)</v>
      </c>
      <c r="B9" s="36"/>
      <c r="C9" s="36">
        <f>'SER_se-appl'!C28</f>
        <v>42.585103405617815</v>
      </c>
      <c r="D9" s="36">
        <f>'SER_se-appl'!D28</f>
        <v>40.236440895103158</v>
      </c>
      <c r="E9" s="36">
        <f>'SER_se-appl'!E28</f>
        <v>46.772178932948123</v>
      </c>
      <c r="F9" s="36">
        <f>'SER_se-appl'!F28</f>
        <v>50.35823789120434</v>
      </c>
      <c r="G9" s="36">
        <f>'SER_se-appl'!G28</f>
        <v>52.777077563798002</v>
      </c>
      <c r="H9" s="36">
        <f>'SER_se-appl'!H28</f>
        <v>52.971853005798266</v>
      </c>
      <c r="I9" s="36">
        <f>'SER_se-appl'!I28</f>
        <v>53.002744601801169</v>
      </c>
      <c r="J9" s="36">
        <f>'SER_se-appl'!J28</f>
        <v>52.000938819649946</v>
      </c>
      <c r="K9" s="36">
        <f>'SER_se-appl'!K28</f>
        <v>32.395267660170248</v>
      </c>
      <c r="L9" s="36">
        <f>'SER_se-appl'!L28</f>
        <v>49.431500144093775</v>
      </c>
      <c r="M9" s="36">
        <f>'SER_se-appl'!M28</f>
        <v>43.86980196643276</v>
      </c>
      <c r="N9" s="36">
        <f>'SER_se-appl'!N28</f>
        <v>51.889849303408255</v>
      </c>
      <c r="O9" s="36">
        <f>'SER_se-appl'!O28</f>
        <v>42.162693657043974</v>
      </c>
      <c r="P9" s="36">
        <f>'SER_se-appl'!P28</f>
        <v>52.726727050266959</v>
      </c>
      <c r="Q9" s="36">
        <f>'SER_se-appl'!Q28</f>
        <v>60.970298477399751</v>
      </c>
      <c r="R9" s="36">
        <f>'SER_se-appl'!R28</f>
        <v>58.806292053238508</v>
      </c>
      <c r="S9" s="36">
        <f>'SER_se-appl'!S28</f>
        <v>59.965400664330105</v>
      </c>
      <c r="T9" s="36">
        <f>'SER_se-appl'!T28</f>
        <v>60.904180658250652</v>
      </c>
      <c r="U9" s="36">
        <f>'SER_se-appl'!U28</f>
        <v>70.550741700003414</v>
      </c>
      <c r="V9" s="36">
        <f>'SER_se-appl'!V28</f>
        <v>66.425460415044881</v>
      </c>
      <c r="W9" s="36">
        <f>'SER_se-appl'!W28</f>
        <v>71.047894204888735</v>
      </c>
      <c r="X9" s="36">
        <f>'SER_se-appl'!X28</f>
        <v>66.260686533478065</v>
      </c>
      <c r="Y9" s="36">
        <f>'SER_se-appl'!Y28</f>
        <v>64.333673732619559</v>
      </c>
      <c r="DA9" s="89" t="s">
        <v>928</v>
      </c>
    </row>
    <row r="10" spans="1:105" ht="12" customHeight="1" x14ac:dyDescent="0.25">
      <c r="A10" s="203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19.651084730798402</v>
      </c>
      <c r="D10" s="38">
        <f>'SER_se-appl'!D36</f>
        <v>20.206927341007315</v>
      </c>
      <c r="E10" s="38">
        <f>'SER_se-appl'!E36</f>
        <v>20.778492289781866</v>
      </c>
      <c r="F10" s="38">
        <f>'SER_se-appl'!F36</f>
        <v>21.36622429281249</v>
      </c>
      <c r="G10" s="38">
        <f>'SER_se-appl'!G36</f>
        <v>21.970580644836673</v>
      </c>
      <c r="H10" s="38">
        <f>'SER_se-appl'!H36</f>
        <v>22.592031575445617</v>
      </c>
      <c r="I10" s="38">
        <f>'SER_se-appl'!I36</f>
        <v>23.231060614953776</v>
      </c>
      <c r="J10" s="38">
        <f>'SER_se-appl'!J36</f>
        <v>23.88816497061805</v>
      </c>
      <c r="K10" s="38">
        <f>'SER_se-appl'!K36</f>
        <v>24.56385591349806</v>
      </c>
      <c r="L10" s="38">
        <f>'SER_se-appl'!L36</f>
        <v>25.258659176259016</v>
      </c>
      <c r="M10" s="38">
        <f>'SER_se-appl'!M36</f>
        <v>25.973115362227418</v>
      </c>
      <c r="N10" s="38">
        <f>'SER_se-appl'!N36</f>
        <v>26.707780366015641</v>
      </c>
      <c r="O10" s="38">
        <f>'SER_se-appl'!O36</f>
        <v>27.463225806045898</v>
      </c>
      <c r="P10" s="38">
        <f>'SER_se-appl'!P36</f>
        <v>28.240039469307021</v>
      </c>
      <c r="Q10" s="38">
        <f>'SER_se-appl'!Q36</f>
        <v>29.038825768692277</v>
      </c>
      <c r="R10" s="38">
        <f>'SER_se-appl'!R36</f>
        <v>29.860206213272591</v>
      </c>
      <c r="S10" s="38">
        <f>'SER_se-appl'!S36</f>
        <v>30.704819891872489</v>
      </c>
      <c r="T10" s="38">
        <f>'SER_se-appl'!T36</f>
        <v>31.573323970323827</v>
      </c>
      <c r="U10" s="38">
        <f>'SER_se-appl'!U36</f>
        <v>42.585103405617815</v>
      </c>
      <c r="V10" s="38">
        <f>'SER_se-appl'!V36</f>
        <v>40.236440895103101</v>
      </c>
      <c r="W10" s="38">
        <f>'SER_se-appl'!W36</f>
        <v>46.772178932948123</v>
      </c>
      <c r="X10" s="38">
        <f>'SER_se-appl'!X36</f>
        <v>50.358237891204226</v>
      </c>
      <c r="Y10" s="38">
        <f>'SER_se-appl'!Y36</f>
        <v>52.777077563797889</v>
      </c>
      <c r="DA10" s="90" t="s">
        <v>934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'SER_se-appl'!B44</f>
        <v>8759.9999999999964</v>
      </c>
      <c r="C12" s="204">
        <f>'SER_se-appl'!C44</f>
        <v>8759.9999999999964</v>
      </c>
      <c r="D12" s="204">
        <f>'SER_se-appl'!D44</f>
        <v>8760.0000000000018</v>
      </c>
      <c r="E12" s="204">
        <f>'SER_se-appl'!E44</f>
        <v>8759.9999999999964</v>
      </c>
      <c r="F12" s="204">
        <f>'SER_se-appl'!F44</f>
        <v>8759.9999999999982</v>
      </c>
      <c r="G12" s="204">
        <f>'SER_se-appl'!G44</f>
        <v>8759.9999999999964</v>
      </c>
      <c r="H12" s="204">
        <f>'SER_se-appl'!H44</f>
        <v>8760.0000000000036</v>
      </c>
      <c r="I12" s="204">
        <f>'SER_se-appl'!I44</f>
        <v>8760</v>
      </c>
      <c r="J12" s="204">
        <f>'SER_se-appl'!J44</f>
        <v>8760</v>
      </c>
      <c r="K12" s="204">
        <f>'SER_se-appl'!K44</f>
        <v>8760</v>
      </c>
      <c r="L12" s="204">
        <f>'SER_se-appl'!L44</f>
        <v>8760</v>
      </c>
      <c r="M12" s="204">
        <f>'SER_se-appl'!M44</f>
        <v>8760</v>
      </c>
      <c r="N12" s="204">
        <f>'SER_se-appl'!N44</f>
        <v>8760</v>
      </c>
      <c r="O12" s="204">
        <f>'SER_se-appl'!O44</f>
        <v>8759.9999999999982</v>
      </c>
      <c r="P12" s="204">
        <f>'SER_se-appl'!P44</f>
        <v>8759.9999999999964</v>
      </c>
      <c r="Q12" s="204">
        <f>'SER_se-appl'!Q44</f>
        <v>8759.9999999999964</v>
      </c>
      <c r="R12" s="204">
        <f>'SER_se-appl'!R44</f>
        <v>8759.9999999999964</v>
      </c>
      <c r="S12" s="204">
        <f>'SER_se-appl'!S44</f>
        <v>8759.9999999999964</v>
      </c>
      <c r="T12" s="204">
        <f>'SER_se-appl'!T44</f>
        <v>8759.9999999999945</v>
      </c>
      <c r="U12" s="204">
        <f>'SER_se-appl'!U44</f>
        <v>8759.9999999999982</v>
      </c>
      <c r="V12" s="204">
        <f>'SER_se-appl'!V44</f>
        <v>8759.9999999999964</v>
      </c>
      <c r="W12" s="204">
        <f>'SER_se-appl'!W44</f>
        <v>8759.9999999999964</v>
      </c>
      <c r="X12" s="204">
        <f>'SER_se-appl'!X44</f>
        <v>8759.9999999999964</v>
      </c>
      <c r="Y12" s="204">
        <f>'SER_se-appl'!Y44</f>
        <v>8759.9999999999964</v>
      </c>
      <c r="DA12" s="208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0.67836252639104211</v>
      </c>
      <c r="C14" s="59">
        <f>'SER_se-appl'!C52</f>
        <v>0.67179173670994086</v>
      </c>
      <c r="D14" s="59">
        <f>'SER_se-appl'!D52</f>
        <v>0.66546228302370247</v>
      </c>
      <c r="E14" s="59">
        <f>'SER_se-appl'!E52</f>
        <v>0.65810795124514587</v>
      </c>
      <c r="F14" s="59">
        <f>'SER_se-appl'!F52</f>
        <v>0.65023469141268098</v>
      </c>
      <c r="G14" s="59">
        <f>'SER_se-appl'!G52</f>
        <v>0.64206190740921332</v>
      </c>
      <c r="H14" s="59">
        <f>'SER_se-appl'!H52</f>
        <v>0.63391788117988557</v>
      </c>
      <c r="I14" s="59">
        <f>'SER_se-appl'!I52</f>
        <v>0.62634106030179137</v>
      </c>
      <c r="J14" s="59">
        <f>'SER_se-appl'!J52</f>
        <v>0.61886964588696936</v>
      </c>
      <c r="K14" s="59">
        <f>'SER_se-appl'!K52</f>
        <v>0.61318021284134772</v>
      </c>
      <c r="L14" s="59">
        <f>'SER_se-appl'!L52</f>
        <v>0.60535095733908872</v>
      </c>
      <c r="M14" s="59">
        <f>'SER_se-appl'!M52</f>
        <v>0.59808762149532524</v>
      </c>
      <c r="N14" s="59">
        <f>'SER_se-appl'!N52</f>
        <v>0.58953500435109307</v>
      </c>
      <c r="O14" s="59">
        <f>'SER_se-appl'!O52</f>
        <v>0.58158121951784247</v>
      </c>
      <c r="P14" s="59">
        <f>'SER_se-appl'!P52</f>
        <v>0.57189516443083688</v>
      </c>
      <c r="Q14" s="59">
        <f>'SER_se-appl'!Q52</f>
        <v>0.56128190089854346</v>
      </c>
      <c r="R14" s="59">
        <f>'SER_se-appl'!R52</f>
        <v>0.55129970661820038</v>
      </c>
      <c r="S14" s="59">
        <f>'SER_se-appl'!S52</f>
        <v>0.54142155133159908</v>
      </c>
      <c r="T14" s="59">
        <f>'SER_se-appl'!T52</f>
        <v>0.53165847647961817</v>
      </c>
      <c r="U14" s="59">
        <f>'SER_se-appl'!U52</f>
        <v>0.5231257241994548</v>
      </c>
      <c r="V14" s="59">
        <f>'SER_se-appl'!V52</f>
        <v>0.51556809659571656</v>
      </c>
      <c r="W14" s="59">
        <f>'SER_se-appl'!W52</f>
        <v>0.50776935905978426</v>
      </c>
      <c r="X14" s="59">
        <f>'SER_se-appl'!X52</f>
        <v>0.50048880881511471</v>
      </c>
      <c r="Y14" s="59">
        <f>'SER_se-appl'!Y52</f>
        <v>0.4935839732959007</v>
      </c>
      <c r="DA14" s="104" t="s">
        <v>946</v>
      </c>
    </row>
    <row r="15" spans="1:105" ht="12" customHeight="1" x14ac:dyDescent="0.25">
      <c r="A15" s="203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0.60491637617497884</v>
      </c>
      <c r="D15" s="63">
        <f>'SER_se-appl'!D60</f>
        <v>0.59706256778155897</v>
      </c>
      <c r="E15" s="63">
        <f>'SER_se-appl'!E60</f>
        <v>0.58911129387757255</v>
      </c>
      <c r="F15" s="63">
        <f>'SER_se-appl'!F60</f>
        <v>0.58055278836444935</v>
      </c>
      <c r="G15" s="63">
        <f>'SER_se-appl'!G60</f>
        <v>0.57184576932603026</v>
      </c>
      <c r="H15" s="63">
        <f>'SER_se-appl'!H60</f>
        <v>0.56342202195335223</v>
      </c>
      <c r="I15" s="63">
        <f>'SER_se-appl'!I60</f>
        <v>0.56162656279056289</v>
      </c>
      <c r="J15" s="63">
        <f>'SER_se-appl'!J60</f>
        <v>0.55396138688487995</v>
      </c>
      <c r="K15" s="63">
        <f>'SER_se-appl'!K60</f>
        <v>0.54492041929927848</v>
      </c>
      <c r="L15" s="63">
        <f>'SER_se-appl'!L60</f>
        <v>0.53528564919927568</v>
      </c>
      <c r="M15" s="63">
        <f>'SER_se-appl'!M60</f>
        <v>0.52937188935318424</v>
      </c>
      <c r="N15" s="63">
        <f>'SER_se-appl'!N60</f>
        <v>0.51658417677660817</v>
      </c>
      <c r="O15" s="63">
        <f>'SER_se-appl'!O60</f>
        <v>0.50404807131663443</v>
      </c>
      <c r="P15" s="63">
        <f>'SER_se-appl'!P60</f>
        <v>0.48932776139582335</v>
      </c>
      <c r="Q15" s="63">
        <f>'SER_se-appl'!Q60</f>
        <v>0.48050962238733547</v>
      </c>
      <c r="R15" s="63">
        <f>'SER_se-appl'!R60</f>
        <v>0.47725603088567048</v>
      </c>
      <c r="S15" s="63">
        <f>'SER_se-appl'!S60</f>
        <v>0.47230476002447969</v>
      </c>
      <c r="T15" s="63">
        <f>'SER_se-appl'!T60</f>
        <v>0.46752769378928299</v>
      </c>
      <c r="U15" s="63">
        <f>'SER_se-appl'!U60</f>
        <v>0.46318213048132822</v>
      </c>
      <c r="V15" s="63">
        <f>'SER_se-appl'!V60</f>
        <v>0.45891675922765662</v>
      </c>
      <c r="W15" s="63">
        <f>'SER_se-appl'!W60</f>
        <v>0.45616325867229068</v>
      </c>
      <c r="X15" s="63">
        <f>'SER_se-appl'!X60</f>
        <v>0.45340975811692474</v>
      </c>
      <c r="Y15" s="63">
        <f>'SER_se-appl'!Y60</f>
        <v>0.4506562575615588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'SER_se-appl'!B5</f>
        <v>282.53462391933249</v>
      </c>
      <c r="C3" s="198">
        <f>'SER_se-appl'!C5</f>
        <v>285.25159397703663</v>
      </c>
      <c r="D3" s="198">
        <f>'SER_se-appl'!D5</f>
        <v>291.21837069062332</v>
      </c>
      <c r="E3" s="198">
        <f>'SER_se-appl'!E5</f>
        <v>299.00769934338473</v>
      </c>
      <c r="F3" s="198">
        <f>'SER_se-appl'!F5</f>
        <v>306.85280266982113</v>
      </c>
      <c r="G3" s="198">
        <f>'SER_se-appl'!G5</f>
        <v>311.80489568140638</v>
      </c>
      <c r="H3" s="198">
        <f>'SER_se-appl'!H5</f>
        <v>314.67216502572455</v>
      </c>
      <c r="I3" s="198">
        <f>'SER_se-appl'!I5</f>
        <v>314.94128970760465</v>
      </c>
      <c r="J3" s="198">
        <f>'SER_se-appl'!J5</f>
        <v>317.43224567331498</v>
      </c>
      <c r="K3" s="198">
        <f>'SER_se-appl'!K5</f>
        <v>319.43122978154264</v>
      </c>
      <c r="L3" s="198">
        <f>'SER_se-appl'!L5</f>
        <v>320.08036965241729</v>
      </c>
      <c r="M3" s="198">
        <f>'SER_se-appl'!M5</f>
        <v>320.21342827530481</v>
      </c>
      <c r="N3" s="198">
        <f>'SER_se-appl'!N5</f>
        <v>321.17508772265461</v>
      </c>
      <c r="O3" s="198">
        <f>'SER_se-appl'!O5</f>
        <v>321.30335263766187</v>
      </c>
      <c r="P3" s="198">
        <f>'SER_se-appl'!P5</f>
        <v>321.72443541110783</v>
      </c>
      <c r="Q3" s="198">
        <f>'SER_se-appl'!Q5</f>
        <v>324.67624068409378</v>
      </c>
      <c r="R3" s="198">
        <f>'SER_se-appl'!R5</f>
        <v>331.3365371207442</v>
      </c>
      <c r="S3" s="198">
        <f>'SER_se-appl'!S5</f>
        <v>323.65354269877633</v>
      </c>
      <c r="T3" s="198">
        <f>'SER_se-appl'!T5</f>
        <v>319.18427678660373</v>
      </c>
      <c r="U3" s="198">
        <f>'SER_se-appl'!U5</f>
        <v>312.69361780194203</v>
      </c>
      <c r="V3" s="198">
        <f>'SER_se-appl'!V5</f>
        <v>303.46974404245628</v>
      </c>
      <c r="W3" s="198">
        <f>'SER_se-appl'!W5</f>
        <v>295.14388675573264</v>
      </c>
      <c r="X3" s="198">
        <f>'SER_se-appl'!X5</f>
        <v>287.25706433213639</v>
      </c>
      <c r="Y3" s="198">
        <f>'SER_se-appl'!Y5</f>
        <v>282.10552190024862</v>
      </c>
      <c r="DA3" s="205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'SER_se-appl'!B13</f>
        <v>884.55993973108411</v>
      </c>
      <c r="C5" s="59">
        <f>'SER_se-appl'!C13</f>
        <v>895.6883020201102</v>
      </c>
      <c r="D5" s="59">
        <f>'SER_se-appl'!D13</f>
        <v>915.83903612804863</v>
      </c>
      <c r="E5" s="59">
        <f>'SER_se-appl'!E13</f>
        <v>942.19604583169371</v>
      </c>
      <c r="F5" s="59">
        <f>'SER_se-appl'!F13</f>
        <v>968.41888884405819</v>
      </c>
      <c r="G5" s="59">
        <f>'SER_se-appl'!G13</f>
        <v>986.1549294020723</v>
      </c>
      <c r="H5" s="59">
        <f>'SER_se-appl'!H13</f>
        <v>996.63820317372586</v>
      </c>
      <c r="I5" s="59">
        <f>'SER_se-appl'!I13</f>
        <v>999.77204708842555</v>
      </c>
      <c r="J5" s="59">
        <f>'SER_se-appl'!J13</f>
        <v>1010.3284007392004</v>
      </c>
      <c r="K5" s="59">
        <f>'SER_se-appl'!K13</f>
        <v>1019.8997316494645</v>
      </c>
      <c r="L5" s="59">
        <f>'SER_se-appl'!L13</f>
        <v>1024.6036008201729</v>
      </c>
      <c r="M5" s="59">
        <f>'SER_se-appl'!M13</f>
        <v>1027.7707984849715</v>
      </c>
      <c r="N5" s="59">
        <f>'SER_se-appl'!N13</f>
        <v>1035.364990889826</v>
      </c>
      <c r="O5" s="59">
        <f>'SER_se-appl'!O13</f>
        <v>1039.6537997881846</v>
      </c>
      <c r="P5" s="59">
        <f>'SER_se-appl'!P13</f>
        <v>1045.4111714923738</v>
      </c>
      <c r="Q5" s="59">
        <f>'SER_se-appl'!Q13</f>
        <v>1059.195530442013</v>
      </c>
      <c r="R5" s="59">
        <f>'SER_se-appl'!R13</f>
        <v>1061.2323073040145</v>
      </c>
      <c r="S5" s="59">
        <f>'SER_se-appl'!S13</f>
        <v>1057.3324170953717</v>
      </c>
      <c r="T5" s="59">
        <f>'SER_se-appl'!T13</f>
        <v>1046.6033194138724</v>
      </c>
      <c r="U5" s="59">
        <f>'SER_se-appl'!U13</f>
        <v>1028.9261769480497</v>
      </c>
      <c r="V5" s="59">
        <f>'SER_se-appl'!V13</f>
        <v>1004.7360682458417</v>
      </c>
      <c r="W5" s="59">
        <f>'SER_se-appl'!W13</f>
        <v>975.90010503265785</v>
      </c>
      <c r="X5" s="59">
        <f>'SER_se-appl'!X13</f>
        <v>947.5938441157939</v>
      </c>
      <c r="Y5" s="59">
        <f>'SER_se-appl'!Y13</f>
        <v>928.42201634653145</v>
      </c>
      <c r="DA5" s="104" t="s">
        <v>917</v>
      </c>
    </row>
    <row r="6" spans="1:105" ht="12" customHeight="1" x14ac:dyDescent="0.25">
      <c r="A6" s="200" t="str">
        <f>"Penetration factor "&amp;MID('SER_se-appl'!A69,FIND("(",'SER_se-appl'!A69),100)</f>
        <v>Penetration factor (unit per capita)</v>
      </c>
      <c r="B6" s="201">
        <f>'SER_se-appl'!B69</f>
        <v>0.11120663342447035</v>
      </c>
      <c r="C6" s="201">
        <f>'SER_se-appl'!C69</f>
        <v>0.1132213436484002</v>
      </c>
      <c r="D6" s="201">
        <f>'SER_se-appl'!D69</f>
        <v>0.1163151687157144</v>
      </c>
      <c r="E6" s="201">
        <f>'SER_se-appl'!E69</f>
        <v>0.11935514018303063</v>
      </c>
      <c r="F6" s="201">
        <f>'SER_se-appl'!F69</f>
        <v>0.12295011906925413</v>
      </c>
      <c r="G6" s="201">
        <f>'SER_se-appl'!G69</f>
        <v>0.12570749390094763</v>
      </c>
      <c r="H6" s="201">
        <f>'SER_se-appl'!H69</f>
        <v>0.12795059793334995</v>
      </c>
      <c r="I6" s="201">
        <f>'SER_se-appl'!I69</f>
        <v>0.1292882219749773</v>
      </c>
      <c r="J6" s="201">
        <f>'SER_se-appl'!J69</f>
        <v>0.13006387927960059</v>
      </c>
      <c r="K6" s="201">
        <f>'SER_se-appl'!K69</f>
        <v>0.13180828074416426</v>
      </c>
      <c r="L6" s="201">
        <f>'SER_se-appl'!L69</f>
        <v>0.13401962436996984</v>
      </c>
      <c r="M6" s="201">
        <f>'SER_se-appl'!M69</f>
        <v>0.13638210169692347</v>
      </c>
      <c r="N6" s="201">
        <f>'SER_se-appl'!N69</f>
        <v>0.13977136644557683</v>
      </c>
      <c r="O6" s="201">
        <f>'SER_se-appl'!O69</f>
        <v>0.14399044693133436</v>
      </c>
      <c r="P6" s="201">
        <f>'SER_se-appl'!P69</f>
        <v>0.14978779981078222</v>
      </c>
      <c r="Q6" s="201">
        <f>'SER_se-appl'!Q69</f>
        <v>0.15710280107661223</v>
      </c>
      <c r="R6" s="201">
        <f>'SER_se-appl'!R69</f>
        <v>0.16385331867521977</v>
      </c>
      <c r="S6" s="201">
        <f>'SER_se-appl'!S69</f>
        <v>0.17042894851462065</v>
      </c>
      <c r="T6" s="201">
        <f>'SER_se-appl'!T69</f>
        <v>0.17651857087998862</v>
      </c>
      <c r="U6" s="201">
        <f>'SER_se-appl'!U69</f>
        <v>0.18149273285286491</v>
      </c>
      <c r="V6" s="201">
        <f>'SER_se-appl'!V69</f>
        <v>0.18488560312262073</v>
      </c>
      <c r="W6" s="201">
        <f>'SER_se-appl'!W69</f>
        <v>0.18795503525531534</v>
      </c>
      <c r="X6" s="201">
        <f>'SER_se-appl'!X69</f>
        <v>0.19013390773303379</v>
      </c>
      <c r="Y6" s="201">
        <f>'SER_se-appl'!Y69</f>
        <v>0.19167412999083017</v>
      </c>
      <c r="DA6" s="206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"&amp;MID('SER_se-appl'!A21,FIND("(",'SER_se-appl'!A21),100)</f>
        <v>Stock of appliances (thousand units)</v>
      </c>
      <c r="B8" s="34">
        <f>'SER_se-appl'!B21</f>
        <v>4500.5526942955985</v>
      </c>
      <c r="C8" s="34">
        <f>'SER_se-appl'!C21</f>
        <v>4604.2076450944824</v>
      </c>
      <c r="D8" s="34">
        <f>'SER_se-appl'!D21</f>
        <v>4773.0252838662436</v>
      </c>
      <c r="E8" s="34">
        <f>'SER_se-appl'!E21</f>
        <v>4992.3674680430959</v>
      </c>
      <c r="F8" s="34">
        <f>'SER_se-appl'!F21</f>
        <v>5231.2141665432555</v>
      </c>
      <c r="G8" s="34">
        <f>'SER_se-appl'!G21</f>
        <v>5442.6741450683667</v>
      </c>
      <c r="H8" s="34">
        <f>'SER_se-appl'!H21</f>
        <v>5631.1021044793915</v>
      </c>
      <c r="I8" s="34">
        <f>'SER_se-appl'!I21</f>
        <v>5790.1298388832192</v>
      </c>
      <c r="J8" s="34">
        <f>'SER_se-appl'!J21</f>
        <v>5939.8793689234435</v>
      </c>
      <c r="K8" s="34">
        <f>'SER_se-appl'!K21</f>
        <v>6094.7190769900544</v>
      </c>
      <c r="L8" s="34">
        <f>'SER_se-appl'!L21</f>
        <v>6230.1192166099027</v>
      </c>
      <c r="M8" s="34">
        <f>'SER_se-appl'!M21</f>
        <v>6364.5672703760229</v>
      </c>
      <c r="N8" s="34">
        <f>'SER_se-appl'!N21</f>
        <v>6543.846444178268</v>
      </c>
      <c r="O8" s="34">
        <f>'SER_se-appl'!O21</f>
        <v>6726.1753508469965</v>
      </c>
      <c r="P8" s="34">
        <f>'SER_se-appl'!P21</f>
        <v>6964.4951943253782</v>
      </c>
      <c r="Q8" s="34">
        <f>'SER_se-appl'!Q21</f>
        <v>7293.6109682040997</v>
      </c>
      <c r="R8" s="34">
        <f>'SER_se-appl'!R21</f>
        <v>7605.8881926000604</v>
      </c>
      <c r="S8" s="34">
        <f>'SER_se-appl'!S21</f>
        <v>7924.5017976610825</v>
      </c>
      <c r="T8" s="34">
        <f>'SER_se-appl'!T21</f>
        <v>8233.7210949970304</v>
      </c>
      <c r="U8" s="34">
        <f>'SER_se-appl'!U21</f>
        <v>8515.4486395796594</v>
      </c>
      <c r="V8" s="34">
        <f>'SER_se-appl'!V21</f>
        <v>8748.4262128363225</v>
      </c>
      <c r="W8" s="34">
        <f>'SER_se-appl'!W21</f>
        <v>8909.2186592200815</v>
      </c>
      <c r="X8" s="34">
        <f>'SER_se-appl'!X21</f>
        <v>9028.8590254950614</v>
      </c>
      <c r="Y8" s="34">
        <f>'SER_se-appl'!Y21</f>
        <v>9216.7197349699964</v>
      </c>
      <c r="DA8" s="88" t="s">
        <v>923</v>
      </c>
    </row>
    <row r="9" spans="1:105" ht="12.95" customHeight="1" x14ac:dyDescent="0.25">
      <c r="A9" s="202" t="str">
        <f>"Number of new appliances "&amp;MID('SER_se-appl'!A29,FIND("(",'SER_se-appl'!A29),100)</f>
        <v>Number of new appliances (thousand units)</v>
      </c>
      <c r="B9" s="36"/>
      <c r="C9" s="36">
        <f>'SER_se-appl'!C29</f>
        <v>668.22421623070659</v>
      </c>
      <c r="D9" s="36">
        <f>'SER_se-appl'!D29</f>
        <v>757.6887213386417</v>
      </c>
      <c r="E9" s="36">
        <f>'SER_se-appl'!E29</f>
        <v>833.56115271786166</v>
      </c>
      <c r="F9" s="36">
        <f>'SER_se-appl'!F29</f>
        <v>879.50464976359945</v>
      </c>
      <c r="G9" s="36">
        <f>'SER_se-appl'!G29</f>
        <v>879.69497538953055</v>
      </c>
      <c r="H9" s="36">
        <f>'SER_se-appl'!H29</f>
        <v>885.42705253673103</v>
      </c>
      <c r="I9" s="36">
        <f>'SER_se-appl'!I29</f>
        <v>886.02907090614826</v>
      </c>
      <c r="J9" s="36">
        <f>'SER_se-appl'!J29</f>
        <v>817.97374627093086</v>
      </c>
      <c r="K9" s="36">
        <f>'SER_se-appl'!K29</f>
        <v>912.52842940525261</v>
      </c>
      <c r="L9" s="36">
        <f>'SER_se-appl'!L29</f>
        <v>968.96129233770989</v>
      </c>
      <c r="M9" s="36">
        <f>'SER_se-appl'!M29</f>
        <v>1013.9527035297197</v>
      </c>
      <c r="N9" s="36">
        <f>'SER_se-appl'!N29</f>
        <v>1058.9741491917757</v>
      </c>
      <c r="O9" s="36">
        <f>'SER_se-appl'!O29</f>
        <v>1067.7559592054595</v>
      </c>
      <c r="P9" s="36">
        <f>'SER_se-appl'!P29</f>
        <v>1124.34891438453</v>
      </c>
      <c r="Q9" s="36">
        <f>'SER_se-appl'!Q29</f>
        <v>1147.0895201496523</v>
      </c>
      <c r="R9" s="36">
        <f>'SER_se-appl'!R29</f>
        <v>1224.8056538012133</v>
      </c>
      <c r="S9" s="36">
        <f>'SER_se-appl'!S29</f>
        <v>1287.574897398732</v>
      </c>
      <c r="T9" s="36">
        <f>'SER_se-appl'!T29</f>
        <v>1323.1720008656675</v>
      </c>
      <c r="U9" s="36">
        <f>'SER_se-appl'!U29</f>
        <v>1340.7016937744047</v>
      </c>
      <c r="V9" s="36">
        <f>'SER_se-appl'!V29</f>
        <v>1300.7335324621226</v>
      </c>
      <c r="W9" s="36">
        <f>'SER_se-appl'!W29</f>
        <v>1285.1413607682889</v>
      </c>
      <c r="X9" s="36">
        <f>'SER_se-appl'!X29</f>
        <v>1266.7298864246322</v>
      </c>
      <c r="Y9" s="36">
        <f>'SER_se-appl'!Y29</f>
        <v>1412.6663632761483</v>
      </c>
      <c r="DA9" s="89" t="s">
        <v>929</v>
      </c>
    </row>
    <row r="10" spans="1:105" ht="12" customHeight="1" x14ac:dyDescent="0.25">
      <c r="A10" s="203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564.56926543182271</v>
      </c>
      <c r="D10" s="38">
        <f>'SER_se-appl'!D37</f>
        <v>588.87108256688043</v>
      </c>
      <c r="E10" s="38">
        <f>'SER_se-appl'!E37</f>
        <v>614.21896854100942</v>
      </c>
      <c r="F10" s="38">
        <f>'SER_se-appl'!F37</f>
        <v>640.65795126343983</v>
      </c>
      <c r="G10" s="38">
        <f>'SER_se-appl'!G37</f>
        <v>668.23499686441937</v>
      </c>
      <c r="H10" s="38">
        <f>'SER_se-appl'!H37</f>
        <v>696.99909312570617</v>
      </c>
      <c r="I10" s="38">
        <f>'SER_se-appl'!I37</f>
        <v>727.00133650232056</v>
      </c>
      <c r="J10" s="38">
        <f>'SER_se-appl'!J37</f>
        <v>668.22421623070659</v>
      </c>
      <c r="K10" s="38">
        <f>'SER_se-appl'!K37</f>
        <v>757.6887213386417</v>
      </c>
      <c r="L10" s="38">
        <f>'SER_se-appl'!L37</f>
        <v>833.56115271786166</v>
      </c>
      <c r="M10" s="38">
        <f>'SER_se-appl'!M37</f>
        <v>879.50464976359945</v>
      </c>
      <c r="N10" s="38">
        <f>'SER_se-appl'!N37</f>
        <v>879.69497538953055</v>
      </c>
      <c r="O10" s="38">
        <f>'SER_se-appl'!O37</f>
        <v>885.42705253673103</v>
      </c>
      <c r="P10" s="38">
        <f>'SER_se-appl'!P37</f>
        <v>886.02907090614826</v>
      </c>
      <c r="Q10" s="38">
        <f>'SER_se-appl'!Q37</f>
        <v>817.97374627093086</v>
      </c>
      <c r="R10" s="38">
        <f>'SER_se-appl'!R37</f>
        <v>912.5284294052517</v>
      </c>
      <c r="S10" s="38">
        <f>'SER_se-appl'!S37</f>
        <v>968.9612923377108</v>
      </c>
      <c r="T10" s="38">
        <f>'SER_se-appl'!T37</f>
        <v>1013.9527035297197</v>
      </c>
      <c r="U10" s="38">
        <f>'SER_se-appl'!U37</f>
        <v>1058.9741491917757</v>
      </c>
      <c r="V10" s="38">
        <f>'SER_se-appl'!V37</f>
        <v>1067.7559592054604</v>
      </c>
      <c r="W10" s="38">
        <f>'SER_se-appl'!W37</f>
        <v>1124.3489143845291</v>
      </c>
      <c r="X10" s="38">
        <f>'SER_se-appl'!X37</f>
        <v>1147.0895201496533</v>
      </c>
      <c r="Y10" s="38">
        <f>'SER_se-appl'!Y37</f>
        <v>1224.8056538012133</v>
      </c>
      <c r="DA10" s="90" t="s">
        <v>935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'SER_se-appl'!B45</f>
        <v>3714.7032423611449</v>
      </c>
      <c r="C12" s="204">
        <f>'SER_se-appl'!C45</f>
        <v>3703.828698522459</v>
      </c>
      <c r="D12" s="204">
        <f>'SER_se-appl'!D45</f>
        <v>3698.1057997383855</v>
      </c>
      <c r="E12" s="204">
        <f>'SER_se-appl'!E45</f>
        <v>3690.8025232624987</v>
      </c>
      <c r="F12" s="204">
        <f>'SER_se-appl'!F45</f>
        <v>3685.07691884217</v>
      </c>
      <c r="G12" s="204">
        <f>'SER_se-appl'!G45</f>
        <v>3677.2020588828341</v>
      </c>
      <c r="H12" s="204">
        <f>'SER_se-appl'!H45</f>
        <v>3671.9817357947081</v>
      </c>
      <c r="I12" s="204">
        <f>'SER_se-appl'!I45</f>
        <v>3663.6023281169873</v>
      </c>
      <c r="J12" s="204">
        <f>'SER_se-appl'!J45</f>
        <v>3653.9970711301562</v>
      </c>
      <c r="K12" s="204">
        <f>'SER_se-appl'!K45</f>
        <v>3642.5004214396313</v>
      </c>
      <c r="L12" s="204">
        <f>'SER_se-appl'!L45</f>
        <v>3633.1462197456704</v>
      </c>
      <c r="M12" s="204">
        <f>'SER_se-appl'!M45</f>
        <v>3623.4559070285263</v>
      </c>
      <c r="N12" s="204">
        <f>'SER_se-appl'!N45</f>
        <v>3607.6806759752085</v>
      </c>
      <c r="O12" s="204">
        <f>'SER_se-appl'!O45</f>
        <v>3594.2329955772984</v>
      </c>
      <c r="P12" s="204">
        <f>'SER_se-appl'!P45</f>
        <v>3579.1230148131999</v>
      </c>
      <c r="Q12" s="204">
        <f>'SER_se-appl'!Q45</f>
        <v>3564.9552614522972</v>
      </c>
      <c r="R12" s="204">
        <f>'SER_se-appl'!R45</f>
        <v>3631.1031055053877</v>
      </c>
      <c r="S12" s="204">
        <f>'SER_se-appl'!S45</f>
        <v>3559.9879855449913</v>
      </c>
      <c r="T12" s="204">
        <f>'SER_se-appl'!T45</f>
        <v>3546.8195735391801</v>
      </c>
      <c r="U12" s="204">
        <f>'SER_se-appl'!U45</f>
        <v>3534.3903736839211</v>
      </c>
      <c r="V12" s="204">
        <f>'SER_se-appl'!V45</f>
        <v>3512.716657396034</v>
      </c>
      <c r="W12" s="204">
        <f>'SER_se-appl'!W45</f>
        <v>3517.2897156869385</v>
      </c>
      <c r="X12" s="204">
        <f>'SER_se-appl'!X45</f>
        <v>3525.5607441182447</v>
      </c>
      <c r="Y12" s="204">
        <f>'SER_se-appl'!Y45</f>
        <v>3533.8317725495508</v>
      </c>
      <c r="DA12" s="208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196.54473568374263</v>
      </c>
      <c r="C14" s="59">
        <f>'SER_se-appl'!C53</f>
        <v>194.5369042976188</v>
      </c>
      <c r="D14" s="59">
        <f>'SER_se-appl'!D53</f>
        <v>191.87810280908488</v>
      </c>
      <c r="E14" s="59">
        <f>'SER_se-appl'!E53</f>
        <v>188.72730259998568</v>
      </c>
      <c r="F14" s="59">
        <f>'SER_se-appl'!F53</f>
        <v>185.12315841275938</v>
      </c>
      <c r="G14" s="59">
        <f>'SER_se-appl'!G53</f>
        <v>181.1894122479539</v>
      </c>
      <c r="H14" s="59">
        <f>'SER_se-appl'!H53</f>
        <v>176.98812500326122</v>
      </c>
      <c r="I14" s="59">
        <f>'SER_se-appl'!I53</f>
        <v>172.66832953805718</v>
      </c>
      <c r="J14" s="59">
        <f>'SER_se-appl'!J53</f>
        <v>170.09241063464805</v>
      </c>
      <c r="K14" s="59">
        <f>'SER_se-appl'!K53</f>
        <v>167.34154909616498</v>
      </c>
      <c r="L14" s="59">
        <f>'SER_se-appl'!L53</f>
        <v>164.4597101911811</v>
      </c>
      <c r="M14" s="59">
        <f>'SER_se-appl'!M53</f>
        <v>161.48321713382566</v>
      </c>
      <c r="N14" s="59">
        <f>'SER_se-appl'!N53</f>
        <v>158.21963423529573</v>
      </c>
      <c r="O14" s="59">
        <f>'SER_se-appl'!O53</f>
        <v>154.56834613407244</v>
      </c>
      <c r="P14" s="59">
        <f>'SER_se-appl'!P53</f>
        <v>150.10580700007768</v>
      </c>
      <c r="Q14" s="59">
        <f>'SER_se-appl'!Q53</f>
        <v>145.22237819640904</v>
      </c>
      <c r="R14" s="59">
        <f>'SER_se-appl'!R53</f>
        <v>139.52772910026619</v>
      </c>
      <c r="S14" s="59">
        <f>'SER_se-appl'!S53</f>
        <v>133.4257274580269</v>
      </c>
      <c r="T14" s="59">
        <f>'SER_se-appl'!T53</f>
        <v>127.11182554505145</v>
      </c>
      <c r="U14" s="59">
        <f>'SER_se-appl'!U53</f>
        <v>120.83053054487564</v>
      </c>
      <c r="V14" s="59">
        <f>'SER_se-appl'!V53</f>
        <v>114.84763588353987</v>
      </c>
      <c r="W14" s="59">
        <f>'SER_se-appl'!W53</f>
        <v>109.53823700608206</v>
      </c>
      <c r="X14" s="59">
        <f>'SER_se-appl'!X53</f>
        <v>104.95167123997004</v>
      </c>
      <c r="Y14" s="59">
        <f>'SER_se-appl'!Y53</f>
        <v>100.73236932917911</v>
      </c>
      <c r="DA14" s="104" t="s">
        <v>947</v>
      </c>
    </row>
    <row r="15" spans="1:105" ht="12" customHeight="1" x14ac:dyDescent="0.25">
      <c r="A15" s="203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182.71034837255269</v>
      </c>
      <c r="D15" s="63">
        <f>'SER_se-appl'!D61</f>
        <v>179.34838087963377</v>
      </c>
      <c r="E15" s="63">
        <f>'SER_se-appl'!E61</f>
        <v>176.44598005547996</v>
      </c>
      <c r="F15" s="63">
        <f>'SER_se-appl'!F61</f>
        <v>172.98463487148015</v>
      </c>
      <c r="G15" s="63">
        <f>'SER_se-appl'!G61</f>
        <v>169.46113773737093</v>
      </c>
      <c r="H15" s="63">
        <f>'SER_se-appl'!H61</f>
        <v>166.55779364244799</v>
      </c>
      <c r="I15" s="63">
        <f>'SER_se-appl'!I61</f>
        <v>164.80512235330841</v>
      </c>
      <c r="J15" s="63">
        <f>'SER_se-appl'!J61</f>
        <v>162.16636975696684</v>
      </c>
      <c r="K15" s="63">
        <f>'SER_se-appl'!K61</f>
        <v>159.40498027871325</v>
      </c>
      <c r="L15" s="63">
        <f>'SER_se-appl'!L61</f>
        <v>156.64442418746953</v>
      </c>
      <c r="M15" s="63">
        <f>'SER_se-appl'!M61</f>
        <v>153.17084103752956</v>
      </c>
      <c r="N15" s="63">
        <f>'SER_se-appl'!N61</f>
        <v>147.94346388510473</v>
      </c>
      <c r="O15" s="63">
        <f>'SER_se-appl'!O61</f>
        <v>142.13321301727316</v>
      </c>
      <c r="P15" s="63">
        <f>'SER_se-appl'!P61</f>
        <v>134.99323848820484</v>
      </c>
      <c r="Q15" s="63">
        <f>'SER_se-appl'!Q61</f>
        <v>127.65541779145391</v>
      </c>
      <c r="R15" s="63">
        <f>'SER_se-appl'!R61</f>
        <v>120.42592447001395</v>
      </c>
      <c r="S15" s="63">
        <f>'SER_se-appl'!S61</f>
        <v>114.85350777520516</v>
      </c>
      <c r="T15" s="63">
        <f>'SER_se-appl'!T61</f>
        <v>109.26689092259812</v>
      </c>
      <c r="U15" s="63">
        <f>'SER_se-appl'!U61</f>
        <v>103.67046001045627</v>
      </c>
      <c r="V15" s="63">
        <f>'SER_se-appl'!V61</f>
        <v>98.078102327787263</v>
      </c>
      <c r="W15" s="63">
        <f>'SER_se-appl'!W61</f>
        <v>95.665381010523703</v>
      </c>
      <c r="X15" s="63">
        <f>'SER_se-appl'!X61</f>
        <v>93.252659693260142</v>
      </c>
      <c r="Y15" s="63">
        <f>'SER_se-appl'!Y61</f>
        <v>90.839938375996581</v>
      </c>
      <c r="DA15" s="105" t="s">
        <v>953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'SER_se-appl'!B6</f>
        <v>1383.2406086147012</v>
      </c>
      <c r="C3" s="198">
        <f>'SER_se-appl'!C6</f>
        <v>1462.5097468929459</v>
      </c>
      <c r="D3" s="198">
        <f>'SER_se-appl'!D6</f>
        <v>1514.4715292868996</v>
      </c>
      <c r="E3" s="198">
        <f>'SER_se-appl'!E6</f>
        <v>1572.2562748957073</v>
      </c>
      <c r="F3" s="198">
        <f>'SER_se-appl'!F6</f>
        <v>1630.9932747007451</v>
      </c>
      <c r="G3" s="198">
        <f>'SER_se-appl'!G6</f>
        <v>1689.8613251534139</v>
      </c>
      <c r="H3" s="198">
        <f>'SER_se-appl'!H6</f>
        <v>1748.4881056491993</v>
      </c>
      <c r="I3" s="198">
        <f>'SER_se-appl'!I6</f>
        <v>1806.878200173682</v>
      </c>
      <c r="J3" s="198">
        <f>'SER_se-appl'!J6</f>
        <v>1841.7460672206782</v>
      </c>
      <c r="K3" s="198">
        <f>'SER_se-appl'!K6</f>
        <v>1818.3418518099636</v>
      </c>
      <c r="L3" s="198">
        <f>'SER_se-appl'!L6</f>
        <v>1847.8296050539348</v>
      </c>
      <c r="M3" s="198">
        <f>'SER_se-appl'!M6</f>
        <v>1862.0307746563653</v>
      </c>
      <c r="N3" s="198">
        <f>'SER_se-appl'!N6</f>
        <v>1886.652746897696</v>
      </c>
      <c r="O3" s="198">
        <f>'SER_se-appl'!O6</f>
        <v>1874.7737439012969</v>
      </c>
      <c r="P3" s="198">
        <f>'SER_se-appl'!P6</f>
        <v>1887.9342336967318</v>
      </c>
      <c r="Q3" s="198">
        <f>'SER_se-appl'!Q6</f>
        <v>1924.718149814923</v>
      </c>
      <c r="R3" s="198">
        <f>'SER_se-appl'!R6</f>
        <v>1926.9284997878462</v>
      </c>
      <c r="S3" s="198">
        <f>'SER_se-appl'!S6</f>
        <v>1851.3960016879985</v>
      </c>
      <c r="T3" s="198">
        <f>'SER_se-appl'!T6</f>
        <v>1790.6394388504418</v>
      </c>
      <c r="U3" s="198">
        <f>'SER_se-appl'!U6</f>
        <v>1706.4802518436409</v>
      </c>
      <c r="V3" s="198">
        <f>'SER_se-appl'!V6</f>
        <v>1458.9740630626861</v>
      </c>
      <c r="W3" s="198">
        <f>'SER_se-appl'!W6</f>
        <v>1418.9544660178062</v>
      </c>
      <c r="X3" s="198">
        <f>'SER_se-appl'!X6</f>
        <v>1382.4558135954242</v>
      </c>
      <c r="Y3" s="198">
        <f>'SER_se-appl'!Y6</f>
        <v>1322.0429494033376</v>
      </c>
      <c r="DA3" s="205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'SER_se-appl'!B14</f>
        <v>7460.0638525724289</v>
      </c>
      <c r="C5" s="59">
        <f>'SER_se-appl'!C14</f>
        <v>7811.1068242493702</v>
      </c>
      <c r="D5" s="59">
        <f>'SER_se-appl'!D14</f>
        <v>8024.0282041789887</v>
      </c>
      <c r="E5" s="59">
        <f>'SER_se-appl'!E14</f>
        <v>8267.2129732162321</v>
      </c>
      <c r="F5" s="59">
        <f>'SER_se-appl'!F14</f>
        <v>8513.6388098749885</v>
      </c>
      <c r="G5" s="59">
        <f>'SER_se-appl'!G14</f>
        <v>8754.0568429238938</v>
      </c>
      <c r="H5" s="59">
        <f>'SER_se-appl'!H14</f>
        <v>8984.4880045532936</v>
      </c>
      <c r="I5" s="59">
        <f>'SER_se-appl'!I14</f>
        <v>9212.7048856131623</v>
      </c>
      <c r="J5" s="59">
        <f>'SER_se-appl'!J14</f>
        <v>9345.9011417020956</v>
      </c>
      <c r="K5" s="59">
        <f>'SER_se-appl'!K14</f>
        <v>9209.7537006000057</v>
      </c>
      <c r="L5" s="59">
        <f>'SER_se-appl'!L14</f>
        <v>9349.5913399595502</v>
      </c>
      <c r="M5" s="59">
        <f>'SER_se-appl'!M14</f>
        <v>9396.3222641280463</v>
      </c>
      <c r="N5" s="59">
        <f>'SER_se-appl'!N14</f>
        <v>9498.8902610595887</v>
      </c>
      <c r="O5" s="59">
        <f>'SER_se-appl'!O14</f>
        <v>9421.2902018301684</v>
      </c>
      <c r="P5" s="59">
        <f>'SER_se-appl'!P14</f>
        <v>9456.7453862868097</v>
      </c>
      <c r="Q5" s="59">
        <f>'SER_se-appl'!Q14</f>
        <v>9611.2727286927038</v>
      </c>
      <c r="R5" s="59">
        <f>'SER_se-appl'!R14</f>
        <v>9404.2357774579177</v>
      </c>
      <c r="S5" s="59">
        <f>'SER_se-appl'!S14</f>
        <v>9186.8047978111608</v>
      </c>
      <c r="T5" s="59">
        <f>'SER_se-appl'!T14</f>
        <v>8861.389533791491</v>
      </c>
      <c r="U5" s="59">
        <f>'SER_se-appl'!U14</f>
        <v>8458.4126637001118</v>
      </c>
      <c r="V5" s="59">
        <f>'SER_se-appl'!V14</f>
        <v>8026.5119161423045</v>
      </c>
      <c r="W5" s="59">
        <f>'SER_se-appl'!W14</f>
        <v>7591.4397242127861</v>
      </c>
      <c r="X5" s="59">
        <f>'SER_se-appl'!X14</f>
        <v>7159.6023004122626</v>
      </c>
      <c r="Y5" s="59">
        <f>'SER_se-appl'!Y14</f>
        <v>6738.9562553043716</v>
      </c>
      <c r="DA5" s="104" t="s">
        <v>918</v>
      </c>
    </row>
    <row r="6" spans="1:105" ht="12" customHeight="1" x14ac:dyDescent="0.25">
      <c r="A6" s="200" t="str">
        <f>"Penetration factor "&amp;MID('SER_se-appl'!A70,FIND("(",'SER_se-appl'!A70),100)</f>
        <v>Penetration factor (unit per building cell)</v>
      </c>
      <c r="B6" s="201">
        <f>'SER_se-appl'!B70</f>
        <v>112.72958714145801</v>
      </c>
      <c r="C6" s="201">
        <f>'SER_se-appl'!C70</f>
        <v>115.56889312907455</v>
      </c>
      <c r="D6" s="201">
        <f>'SER_se-appl'!D70</f>
        <v>116.68947881795954</v>
      </c>
      <c r="E6" s="201">
        <f>'SER_se-appl'!E70</f>
        <v>117.92987789019216</v>
      </c>
      <c r="F6" s="201">
        <f>'SER_se-appl'!F70</f>
        <v>119.53277681027549</v>
      </c>
      <c r="G6" s="201">
        <f>'SER_se-appl'!G70</f>
        <v>121.19130448963206</v>
      </c>
      <c r="H6" s="201">
        <f>'SER_se-appl'!H70</f>
        <v>123.14728664344226</v>
      </c>
      <c r="I6" s="201">
        <f>'SER_se-appl'!I70</f>
        <v>125.21510558188641</v>
      </c>
      <c r="J6" s="201">
        <f>'SER_se-appl'!J70</f>
        <v>126.33513131551577</v>
      </c>
      <c r="K6" s="201">
        <f>'SER_se-appl'!K70</f>
        <v>128.02425551940397</v>
      </c>
      <c r="L6" s="201">
        <f>'SER_se-appl'!L70</f>
        <v>131.30350205872674</v>
      </c>
      <c r="M6" s="201">
        <f>'SER_se-appl'!M70</f>
        <v>135.35181697836742</v>
      </c>
      <c r="N6" s="201">
        <f>'SER_se-appl'!N70</f>
        <v>140.19233517098496</v>
      </c>
      <c r="O6" s="201">
        <f>'SER_se-appl'!O70</f>
        <v>145.24484969329558</v>
      </c>
      <c r="P6" s="201">
        <f>'SER_se-appl'!P70</f>
        <v>151.72084557365719</v>
      </c>
      <c r="Q6" s="201">
        <f>'SER_se-appl'!Q70</f>
        <v>159.94560925483805</v>
      </c>
      <c r="R6" s="201">
        <f>'SER_se-appl'!R70</f>
        <v>164.18834879296122</v>
      </c>
      <c r="S6" s="201">
        <f>'SER_se-appl'!S70</f>
        <v>168.49619855141262</v>
      </c>
      <c r="T6" s="201">
        <f>'SER_se-appl'!T70</f>
        <v>172.59006764967393</v>
      </c>
      <c r="U6" s="201">
        <f>'SER_se-appl'!U70</f>
        <v>176.29927735536532</v>
      </c>
      <c r="V6" s="201">
        <f>'SER_se-appl'!V70</f>
        <v>179.30574699845656</v>
      </c>
      <c r="W6" s="201">
        <f>'SER_se-appl'!W70</f>
        <v>181.05710848406616</v>
      </c>
      <c r="X6" s="201">
        <f>'SER_se-appl'!X70</f>
        <v>181.93919370373004</v>
      </c>
      <c r="Y6" s="201">
        <f>'SER_se-appl'!Y70</f>
        <v>182.38184653142554</v>
      </c>
      <c r="DA6" s="206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"&amp;MID('SER_se-appl'!A22,FIND("(",'SER_se-appl'!A22),1000)</f>
        <v>Stock of appliances (million units)</v>
      </c>
      <c r="B8" s="34">
        <f>'SER_se-appl'!B22</f>
        <v>196.14687767596473</v>
      </c>
      <c r="C8" s="34">
        <f>'SER_se-appl'!C22</f>
        <v>207.31507975719549</v>
      </c>
      <c r="D8" s="34">
        <f>'SER_se-appl'!D22</f>
        <v>215.64824831314777</v>
      </c>
      <c r="E8" s="34">
        <f>'SER_se-appl'!E22</f>
        <v>225.68152001490452</v>
      </c>
      <c r="F8" s="34">
        <f>'SER_se-appl'!F22</f>
        <v>236.68198840313977</v>
      </c>
      <c r="G8" s="34">
        <f>'SER_se-appl'!G22</f>
        <v>248.51707838746634</v>
      </c>
      <c r="H8" s="34">
        <f>'SER_se-appl'!H22</f>
        <v>261.62051033995346</v>
      </c>
      <c r="I8" s="34">
        <f>'SER_se-appl'!I22</f>
        <v>274.85076560081188</v>
      </c>
      <c r="J8" s="34">
        <f>'SER_se-appl'!J22</f>
        <v>284.80152507221567</v>
      </c>
      <c r="K8" s="34">
        <f>'SER_se-appl'!K22</f>
        <v>286.98510548586955</v>
      </c>
      <c r="L8" s="34">
        <f>'SER_se-appl'!L22</f>
        <v>298.91184591392079</v>
      </c>
      <c r="M8" s="34">
        <f>'SER_se-appl'!M22</f>
        <v>309.25302400223069</v>
      </c>
      <c r="N8" s="34">
        <f>'SER_se-appl'!N22</f>
        <v>323.51563969993572</v>
      </c>
      <c r="O8" s="34">
        <f>'SER_se-appl'!O22</f>
        <v>334.70815591593191</v>
      </c>
      <c r="P8" s="34">
        <f>'SER_se-appl'!P22</f>
        <v>351.61493479592241</v>
      </c>
      <c r="Q8" s="34">
        <f>'SER_se-appl'!Q22</f>
        <v>374.43802697535034</v>
      </c>
      <c r="R8" s="34">
        <f>'SER_se-appl'!R22</f>
        <v>388.57036755213244</v>
      </c>
      <c r="S8" s="34">
        <f>'SER_se-appl'!S22</f>
        <v>402.97753446078394</v>
      </c>
      <c r="T8" s="34">
        <f>'SER_se-appl'!T22</f>
        <v>417.10762107670286</v>
      </c>
      <c r="U8" s="34">
        <f>'SER_se-appl'!U22</f>
        <v>430.01357606434897</v>
      </c>
      <c r="V8" s="34">
        <f>'SER_se-appl'!V22</f>
        <v>440.97333600355739</v>
      </c>
      <c r="W8" s="34">
        <f>'SER_se-appl'!W22</f>
        <v>448.77961762462149</v>
      </c>
      <c r="X8" s="34">
        <f>'SER_se-appl'!X22</f>
        <v>454.34343500481452</v>
      </c>
      <c r="Y8" s="34">
        <f>'SER_se-appl'!Y22</f>
        <v>458.74544393945575</v>
      </c>
      <c r="DA8" s="88" t="s">
        <v>924</v>
      </c>
    </row>
    <row r="9" spans="1:105" ht="12.95" customHeight="1" x14ac:dyDescent="0.25">
      <c r="A9" s="202" t="str">
        <f>"Number of new appliances "&amp;MID('SER_se-appl'!A30,FIND("(",'SER_se-appl'!A30),100)</f>
        <v>Number of new appliances (million units)</v>
      </c>
      <c r="B9" s="36"/>
      <c r="C9" s="36">
        <f>'SER_se-appl'!C30</f>
        <v>41.799694453909638</v>
      </c>
      <c r="D9" s="36">
        <f>'SER_se-appl'!D30</f>
        <v>39.760416622382309</v>
      </c>
      <c r="E9" s="36">
        <f>'SER_se-appl'!E30</f>
        <v>42.276947883523974</v>
      </c>
      <c r="F9" s="36">
        <f>'SER_se-appl'!F30</f>
        <v>44.081782142372134</v>
      </c>
      <c r="G9" s="36">
        <f>'SER_se-appl'!G30</f>
        <v>45.775801754607869</v>
      </c>
      <c r="H9" s="36">
        <f>'SER_se-appl'!H30</f>
        <v>47.925867483157532</v>
      </c>
      <c r="I9" s="36">
        <f>'SER_se-appl'!I30</f>
        <v>55.029949714768065</v>
      </c>
      <c r="J9" s="36">
        <f>'SER_se-appl'!J30</f>
        <v>49.711176093786094</v>
      </c>
      <c r="K9" s="36">
        <f>'SER_se-appl'!K30</f>
        <v>44.460528297177859</v>
      </c>
      <c r="L9" s="36">
        <f>'SER_se-appl'!L30</f>
        <v>56.008522570423366</v>
      </c>
      <c r="M9" s="36">
        <f>'SER_se-appl'!M30</f>
        <v>56.116979842917772</v>
      </c>
      <c r="N9" s="36">
        <f>'SER_se-appl'!N30</f>
        <v>62.18848318086259</v>
      </c>
      <c r="O9" s="36">
        <f>'SER_se-appl'!O30</f>
        <v>66.222465930764258</v>
      </c>
      <c r="P9" s="36">
        <f>'SER_se-appl'!P30</f>
        <v>66.617954973776591</v>
      </c>
      <c r="Q9" s="36">
        <f>'SER_se-appl'!Q30</f>
        <v>67.28362047660579</v>
      </c>
      <c r="R9" s="36">
        <f>'SER_se-appl'!R30</f>
        <v>70.140863147205437</v>
      </c>
      <c r="S9" s="36">
        <f>'SER_se-appl'!S30</f>
        <v>70.524146751569276</v>
      </c>
      <c r="T9" s="36">
        <f>'SER_se-appl'!T30</f>
        <v>76.318569796781503</v>
      </c>
      <c r="U9" s="36">
        <f>'SER_se-appl'!U30</f>
        <v>79.12842091841037</v>
      </c>
      <c r="V9" s="36">
        <f>'SER_se-appl'!V30</f>
        <v>77.577714912985016</v>
      </c>
      <c r="W9" s="36">
        <f>'SER_se-appl'!W30</f>
        <v>75.089902097669892</v>
      </c>
      <c r="X9" s="36">
        <f>'SER_se-appl'!X30</f>
        <v>75.704680527398466</v>
      </c>
      <c r="Y9" s="36">
        <f>'SER_se-appl'!Y30</f>
        <v>74.926155686210507</v>
      </c>
      <c r="DA9" s="89" t="s">
        <v>930</v>
      </c>
    </row>
    <row r="10" spans="1:105" ht="12" customHeight="1" x14ac:dyDescent="0.25">
      <c r="A10" s="203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30.631492372678878</v>
      </c>
      <c r="D10" s="38">
        <f>'SER_se-appl'!D38</f>
        <v>31.427248066430025</v>
      </c>
      <c r="E10" s="38">
        <f>'SER_se-appl'!E38</f>
        <v>32.243676181767256</v>
      </c>
      <c r="F10" s="38">
        <f>'SER_se-appl'!F38</f>
        <v>33.081313754136886</v>
      </c>
      <c r="G10" s="38">
        <f>'SER_se-appl'!G38</f>
        <v>33.940711770281297</v>
      </c>
      <c r="H10" s="38">
        <f>'SER_se-appl'!H38</f>
        <v>34.822435530670418</v>
      </c>
      <c r="I10" s="38">
        <f>'SER_se-appl'!I38</f>
        <v>41.799694453909638</v>
      </c>
      <c r="J10" s="38">
        <f>'SER_se-appl'!J38</f>
        <v>39.760416622382309</v>
      </c>
      <c r="K10" s="38">
        <f>'SER_se-appl'!K38</f>
        <v>42.276947883523974</v>
      </c>
      <c r="L10" s="38">
        <f>'SER_se-appl'!L38</f>
        <v>44.081782142372106</v>
      </c>
      <c r="M10" s="38">
        <f>'SER_se-appl'!M38</f>
        <v>45.775801754607869</v>
      </c>
      <c r="N10" s="38">
        <f>'SER_se-appl'!N38</f>
        <v>47.92586748315756</v>
      </c>
      <c r="O10" s="38">
        <f>'SER_se-appl'!O38</f>
        <v>55.029949714768065</v>
      </c>
      <c r="P10" s="38">
        <f>'SER_se-appl'!P38</f>
        <v>49.711176093786094</v>
      </c>
      <c r="Q10" s="38">
        <f>'SER_se-appl'!Q38</f>
        <v>44.460528297177859</v>
      </c>
      <c r="R10" s="38">
        <f>'SER_se-appl'!R38</f>
        <v>56.008522570423338</v>
      </c>
      <c r="S10" s="38">
        <f>'SER_se-appl'!S38</f>
        <v>56.116979842917772</v>
      </c>
      <c r="T10" s="38">
        <f>'SER_se-appl'!T38</f>
        <v>62.18848318086259</v>
      </c>
      <c r="U10" s="38">
        <f>'SER_se-appl'!U38</f>
        <v>66.222465930764258</v>
      </c>
      <c r="V10" s="38">
        <f>'SER_se-appl'!V38</f>
        <v>66.617954973776591</v>
      </c>
      <c r="W10" s="38">
        <f>'SER_se-appl'!W38</f>
        <v>67.28362047660579</v>
      </c>
      <c r="X10" s="38">
        <f>'SER_se-appl'!X38</f>
        <v>70.140863147205437</v>
      </c>
      <c r="Y10" s="38">
        <f>'SER_se-appl'!Y38</f>
        <v>70.524146751569333</v>
      </c>
      <c r="DA10" s="90" t="s">
        <v>936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'SER_se-appl'!B46</f>
        <v>2156.4276923235338</v>
      </c>
      <c r="C12" s="204">
        <f>'SER_se-appl'!C46</f>
        <v>2177.5388224830081</v>
      </c>
      <c r="D12" s="204">
        <f>'SER_se-appl'!D46</f>
        <v>2195.0700368218386</v>
      </c>
      <c r="E12" s="204">
        <f>'SER_se-appl'!E46</f>
        <v>2211.7901808356878</v>
      </c>
      <c r="F12" s="204">
        <f>'SER_se-appl'!F46</f>
        <v>2228.0075780015609</v>
      </c>
      <c r="G12" s="204">
        <f>'SER_se-appl'!G46</f>
        <v>2245.0262277449392</v>
      </c>
      <c r="H12" s="204">
        <f>'SER_se-appl'!H46</f>
        <v>2263.3361698957751</v>
      </c>
      <c r="I12" s="204">
        <f>'SER_se-appl'!I46</f>
        <v>2280.9797696696014</v>
      </c>
      <c r="J12" s="204">
        <f>'SER_se-appl'!J46</f>
        <v>2291.8610455016565</v>
      </c>
      <c r="K12" s="204">
        <f>'SER_se-appl'!K46</f>
        <v>2296.1868931600366</v>
      </c>
      <c r="L12" s="204">
        <f>'SER_se-appl'!L46</f>
        <v>2298.5238097978981</v>
      </c>
      <c r="M12" s="204">
        <f>'SER_se-appl'!M46</f>
        <v>2304.6695611884802</v>
      </c>
      <c r="N12" s="204">
        <f>'SER_se-appl'!N46</f>
        <v>2309.9299858605409</v>
      </c>
      <c r="O12" s="204">
        <f>'SER_se-appl'!O46</f>
        <v>2314.292222665696</v>
      </c>
      <c r="P12" s="204">
        <f>'SER_se-appl'!P46</f>
        <v>2321.8003912564127</v>
      </c>
      <c r="Q12" s="204">
        <f>'SER_se-appl'!Q46</f>
        <v>2328.9810532087795</v>
      </c>
      <c r="R12" s="204">
        <f>'SER_se-appl'!R46</f>
        <v>2382.9877283861979</v>
      </c>
      <c r="S12" s="204">
        <f>'SER_se-appl'!S46</f>
        <v>2343.7676072927502</v>
      </c>
      <c r="T12" s="204">
        <f>'SER_se-appl'!T46</f>
        <v>2350.0983219863333</v>
      </c>
      <c r="U12" s="204">
        <f>'SER_se-appl'!U46</f>
        <v>2346.34630846443</v>
      </c>
      <c r="V12" s="204">
        <f>'SER_se-appl'!V46</f>
        <v>2113.9778437623154</v>
      </c>
      <c r="W12" s="204">
        <f>'SER_se-appl'!W46</f>
        <v>2173.822231263036</v>
      </c>
      <c r="X12" s="204">
        <f>'SER_se-appl'!X46</f>
        <v>2245.6500287996423</v>
      </c>
      <c r="Y12" s="204">
        <f>'SER_se-appl'!Y46</f>
        <v>2281.5639275679455</v>
      </c>
      <c r="DA12" s="208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38.033049217823788</v>
      </c>
      <c r="C14" s="59">
        <f>'SER_se-appl'!C54</f>
        <v>37.677465784918439</v>
      </c>
      <c r="D14" s="59">
        <f>'SER_se-appl'!D54</f>
        <v>37.208872629130347</v>
      </c>
      <c r="E14" s="59">
        <f>'SER_se-appl'!E54</f>
        <v>36.632210615518041</v>
      </c>
      <c r="F14" s="59">
        <f>'SER_se-appl'!F54</f>
        <v>35.970792992383231</v>
      </c>
      <c r="G14" s="59">
        <f>'SER_se-appl'!G54</f>
        <v>35.225172047432991</v>
      </c>
      <c r="H14" s="59">
        <f>'SER_se-appl'!H54</f>
        <v>34.34168060018964</v>
      </c>
      <c r="I14" s="59">
        <f>'SER_se-appl'!I54</f>
        <v>33.518934777112911</v>
      </c>
      <c r="J14" s="59">
        <f>'SER_se-appl'!J54</f>
        <v>32.815488397866915</v>
      </c>
      <c r="K14" s="59">
        <f>'SER_se-appl'!K54</f>
        <v>32.091399604198173</v>
      </c>
      <c r="L14" s="59">
        <f>'SER_se-appl'!L54</f>
        <v>31.278758161535027</v>
      </c>
      <c r="M14" s="59">
        <f>'SER_se-appl'!M54</f>
        <v>30.38393009880566</v>
      </c>
      <c r="N14" s="59">
        <f>'SER_se-appl'!N54</f>
        <v>29.361456125799396</v>
      </c>
      <c r="O14" s="59">
        <f>'SER_se-appl'!O54</f>
        <v>28.147776011160296</v>
      </c>
      <c r="P14" s="59">
        <f>'SER_se-appl'!P54</f>
        <v>26.895175518569804</v>
      </c>
      <c r="Q14" s="59">
        <f>'SER_se-appl'!Q54</f>
        <v>25.66852732969193</v>
      </c>
      <c r="R14" s="59">
        <f>'SER_se-appl'!R54</f>
        <v>24.20214345396835</v>
      </c>
      <c r="S14" s="59">
        <f>'SER_se-appl'!S54</f>
        <v>22.797312535310034</v>
      </c>
      <c r="T14" s="59">
        <f>'SER_se-appl'!T54</f>
        <v>21.244851654633159</v>
      </c>
      <c r="U14" s="59">
        <f>'SER_se-appl'!U54</f>
        <v>19.67010609552095</v>
      </c>
      <c r="V14" s="59">
        <f>'SER_se-appl'!V54</f>
        <v>18.201807821046017</v>
      </c>
      <c r="W14" s="59">
        <f>'SER_se-appl'!W54</f>
        <v>16.915740880555301</v>
      </c>
      <c r="X14" s="59">
        <f>'SER_se-appl'!X54</f>
        <v>15.758128650711976</v>
      </c>
      <c r="Y14" s="59">
        <f>'SER_se-appl'!Y54</f>
        <v>14.689968792788195</v>
      </c>
      <c r="DA14" s="104" t="s">
        <v>948</v>
      </c>
    </row>
    <row r="15" spans="1:105" ht="12" customHeight="1" x14ac:dyDescent="0.25">
      <c r="A15" s="203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36.269452408895063</v>
      </c>
      <c r="D15" s="63">
        <f>'SER_se-appl'!D62</f>
        <v>35.417019539684496</v>
      </c>
      <c r="E15" s="63">
        <f>'SER_se-appl'!E62</f>
        <v>34.75913389657584</v>
      </c>
      <c r="F15" s="63">
        <f>'SER_se-appl'!F62</f>
        <v>34.132219654836994</v>
      </c>
      <c r="G15" s="63">
        <f>'SER_se-appl'!G62</f>
        <v>33.451883650335844</v>
      </c>
      <c r="H15" s="63">
        <f>'SER_se-appl'!H62</f>
        <v>32.442491867221726</v>
      </c>
      <c r="I15" s="63">
        <f>'SER_se-appl'!I62</f>
        <v>31.696720037056512</v>
      </c>
      <c r="J15" s="63">
        <f>'SER_se-appl'!J62</f>
        <v>31.006945110327383</v>
      </c>
      <c r="K15" s="63">
        <f>'SER_se-appl'!K62</f>
        <v>29.989806738407829</v>
      </c>
      <c r="L15" s="63">
        <f>'SER_se-appl'!L62</f>
        <v>29.360651464283606</v>
      </c>
      <c r="M15" s="63">
        <f>'SER_se-appl'!M62</f>
        <v>28.120146930245571</v>
      </c>
      <c r="N15" s="63">
        <f>'SER_se-appl'!N62</f>
        <v>26.651278150058872</v>
      </c>
      <c r="O15" s="63">
        <f>'SER_se-appl'!O62</f>
        <v>25.167725591423721</v>
      </c>
      <c r="P15" s="63">
        <f>'SER_se-appl'!P62</f>
        <v>23.669998479947239</v>
      </c>
      <c r="Q15" s="63">
        <f>'SER_se-appl'!Q62</f>
        <v>22.113702904009227</v>
      </c>
      <c r="R15" s="63">
        <f>'SER_se-appl'!R62</f>
        <v>20.493186061428506</v>
      </c>
      <c r="S15" s="63">
        <f>'SER_se-appl'!S62</f>
        <v>19.292494861519824</v>
      </c>
      <c r="T15" s="63">
        <f>'SER_se-appl'!T62</f>
        <v>17.452990831858216</v>
      </c>
      <c r="U15" s="63">
        <f>'SER_se-appl'!U62</f>
        <v>15.970140257752629</v>
      </c>
      <c r="V15" s="63">
        <f>'SER_se-appl'!V62</f>
        <v>14.758699024493106</v>
      </c>
      <c r="W15" s="63">
        <f>'SER_se-appl'!W62</f>
        <v>14.020764073268451</v>
      </c>
      <c r="X15" s="63">
        <f>'SER_se-appl'!X62</f>
        <v>13.282829122043795</v>
      </c>
      <c r="Y15" s="63">
        <f>'SER_se-appl'!Y62</f>
        <v>12.544894170819138</v>
      </c>
      <c r="DA15" s="105" t="s">
        <v>954</v>
      </c>
    </row>
    <row r="16" spans="1:105" ht="12.95" customHeight="1" x14ac:dyDescent="0.25">
      <c r="A16" s="203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DA16" s="105" t="s">
        <v>964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'SER_se-appl'!B7</f>
        <v>312.85588680738954</v>
      </c>
      <c r="C3" s="198">
        <f>'SER_se-appl'!C7</f>
        <v>334.3643316077551</v>
      </c>
      <c r="D3" s="198">
        <f>'SER_se-appl'!D7</f>
        <v>355.60739218908873</v>
      </c>
      <c r="E3" s="198">
        <f>'SER_se-appl'!E7</f>
        <v>388.61844309072279</v>
      </c>
      <c r="F3" s="198">
        <f>'SER_se-appl'!F7</f>
        <v>421.25517871002415</v>
      </c>
      <c r="G3" s="198">
        <f>'SER_se-appl'!G7</f>
        <v>448.81076536957818</v>
      </c>
      <c r="H3" s="198">
        <f>'SER_se-appl'!H7</f>
        <v>474.57166488206485</v>
      </c>
      <c r="I3" s="198">
        <f>'SER_se-appl'!I7</f>
        <v>492.26116271106349</v>
      </c>
      <c r="J3" s="198">
        <f>'SER_se-appl'!J7</f>
        <v>505.71628995408679</v>
      </c>
      <c r="K3" s="198">
        <f>'SER_se-appl'!K7</f>
        <v>514.22483995641994</v>
      </c>
      <c r="L3" s="198">
        <f>'SER_se-appl'!L7</f>
        <v>518.02985651608481</v>
      </c>
      <c r="M3" s="198">
        <f>'SER_se-appl'!M7</f>
        <v>518.95851432234565</v>
      </c>
      <c r="N3" s="198">
        <f>'SER_se-appl'!N7</f>
        <v>520.9788117915873</v>
      </c>
      <c r="O3" s="198">
        <f>'SER_se-appl'!O7</f>
        <v>522.12804699551396</v>
      </c>
      <c r="P3" s="198">
        <f>'SER_se-appl'!P7</f>
        <v>523.44555247640938</v>
      </c>
      <c r="Q3" s="198">
        <f>'SER_se-appl'!Q7</f>
        <v>529.30420619576557</v>
      </c>
      <c r="R3" s="198">
        <f>'SER_se-appl'!R7</f>
        <v>529.53500658583584</v>
      </c>
      <c r="S3" s="198">
        <f>'SER_se-appl'!S7</f>
        <v>530.94028551313818</v>
      </c>
      <c r="T3" s="198">
        <f>'SER_se-appl'!T7</f>
        <v>532.75122015810064</v>
      </c>
      <c r="U3" s="198">
        <f>'SER_se-appl'!U7</f>
        <v>534.45462912240816</v>
      </c>
      <c r="V3" s="198">
        <f>'SER_se-appl'!V7</f>
        <v>535.61891267137776</v>
      </c>
      <c r="W3" s="198">
        <f>'SER_se-appl'!W7</f>
        <v>533.18504914063624</v>
      </c>
      <c r="X3" s="198">
        <f>'SER_se-appl'!X7</f>
        <v>528.38051237033596</v>
      </c>
      <c r="Y3" s="198">
        <f>'SER_se-appl'!Y7</f>
        <v>525.51171046466391</v>
      </c>
      <c r="DA3" s="205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'SER_se-appl'!B15</f>
        <v>415.35547529337219</v>
      </c>
      <c r="C5" s="59">
        <f>'SER_se-appl'!C15</f>
        <v>443.91063659796714</v>
      </c>
      <c r="D5" s="59">
        <f>'SER_se-appl'!D15</f>
        <v>472.11346702729475</v>
      </c>
      <c r="E5" s="59">
        <f>'SER_se-appl'!E15</f>
        <v>515.93978232250061</v>
      </c>
      <c r="F5" s="59">
        <f>'SER_se-appl'!F15</f>
        <v>559.26914707734954</v>
      </c>
      <c r="G5" s="59">
        <f>'SER_se-appl'!G15</f>
        <v>595.85264854431443</v>
      </c>
      <c r="H5" s="59">
        <f>'SER_se-appl'!H15</f>
        <v>630.05347746328937</v>
      </c>
      <c r="I5" s="59">
        <f>'SER_se-appl'!I15</f>
        <v>653.53850711525922</v>
      </c>
      <c r="J5" s="59">
        <f>'SER_se-appl'!J15</f>
        <v>671.40187810114458</v>
      </c>
      <c r="K5" s="59">
        <f>'SER_se-appl'!K15</f>
        <v>682.69804665447066</v>
      </c>
      <c r="L5" s="59">
        <f>'SER_se-appl'!L15</f>
        <v>687.749683936309</v>
      </c>
      <c r="M5" s="59">
        <f>'SER_se-appl'!M15</f>
        <v>688.98259378640205</v>
      </c>
      <c r="N5" s="59">
        <f>'SER_se-appl'!N15</f>
        <v>691.66479236714144</v>
      </c>
      <c r="O5" s="59">
        <f>'SER_se-appl'!O15</f>
        <v>693.19054641071079</v>
      </c>
      <c r="P5" s="59">
        <f>'SER_se-appl'!P15</f>
        <v>694.93970037678537</v>
      </c>
      <c r="Q5" s="59">
        <f>'SER_se-appl'!Q15</f>
        <v>702.71779886492629</v>
      </c>
      <c r="R5" s="59">
        <f>'SER_se-appl'!R15</f>
        <v>703.02421536452891</v>
      </c>
      <c r="S5" s="59">
        <f>'SER_se-appl'!S15</f>
        <v>704.88989960248841</v>
      </c>
      <c r="T5" s="59">
        <f>'SER_se-appl'!T15</f>
        <v>707.29414274414512</v>
      </c>
      <c r="U5" s="59">
        <f>'SER_se-appl'!U15</f>
        <v>709.55563204264934</v>
      </c>
      <c r="V5" s="59">
        <f>'SER_se-appl'!V15</f>
        <v>711.10136465389553</v>
      </c>
      <c r="W5" s="59">
        <f>'SER_se-appl'!W15</f>
        <v>707.87010519470311</v>
      </c>
      <c r="X5" s="59">
        <f>'SER_se-appl'!X15</f>
        <v>701.49147932271774</v>
      </c>
      <c r="Y5" s="59">
        <f>'SER_se-appl'!Y15</f>
        <v>697.68278455525592</v>
      </c>
      <c r="DA5" s="104" t="s">
        <v>919</v>
      </c>
    </row>
    <row r="6" spans="1:105" ht="12" customHeight="1" x14ac:dyDescent="0.25">
      <c r="A6" s="200" t="str">
        <f>"Penetration factor "&amp;MID('SER_se-appl'!A71,FIND("(",'SER_se-appl'!A71),100)</f>
        <v>Penetration factor (unit per capita)</v>
      </c>
      <c r="B6" s="201">
        <f>'SER_se-appl'!B71</f>
        <v>1.5726486241884781E-2</v>
      </c>
      <c r="C6" s="201">
        <f>'SER_se-appl'!C71</f>
        <v>1.6991648584494357E-2</v>
      </c>
      <c r="D6" s="201">
        <f>'SER_se-appl'!D71</f>
        <v>1.8244546914967602E-2</v>
      </c>
      <c r="E6" s="201">
        <f>'SER_se-appl'!E71</f>
        <v>1.9994998297839107E-2</v>
      </c>
      <c r="F6" s="201">
        <f>'SER_se-appl'!F71</f>
        <v>2.1759618989254985E-2</v>
      </c>
      <c r="G6" s="201">
        <f>'SER_se-appl'!G71</f>
        <v>2.322348757830035E-2</v>
      </c>
      <c r="H6" s="201">
        <f>'SER_se-appl'!H71</f>
        <v>2.4620485793971258E-2</v>
      </c>
      <c r="I6" s="201">
        <f>'SER_se-appl'!I71</f>
        <v>2.553705937121932E-2</v>
      </c>
      <c r="J6" s="201">
        <f>'SER_se-appl'!J71</f>
        <v>2.6176930791937975E-2</v>
      </c>
      <c r="K6" s="201">
        <f>'SER_se-appl'!K71</f>
        <v>2.6746092502299732E-2</v>
      </c>
      <c r="L6" s="201">
        <f>'SER_se-appl'!L71</f>
        <v>2.72723245501117E-2</v>
      </c>
      <c r="M6" s="201">
        <f>'SER_se-appl'!M71</f>
        <v>2.7727991097953951E-2</v>
      </c>
      <c r="N6" s="201">
        <f>'SER_se-appl'!N71</f>
        <v>2.8220292047921758E-2</v>
      </c>
      <c r="O6" s="201">
        <f>'SER_se-appl'!O71</f>
        <v>2.8967627736590187E-2</v>
      </c>
      <c r="P6" s="201">
        <f>'SER_se-appl'!P71</f>
        <v>2.9881378542465416E-2</v>
      </c>
      <c r="Q6" s="201">
        <f>'SER_se-appl'!Q71</f>
        <v>3.0960786184236921E-2</v>
      </c>
      <c r="R6" s="201">
        <f>'SER_se-appl'!R71</f>
        <v>3.162953129675989E-2</v>
      </c>
      <c r="S6" s="201">
        <f>'SER_se-appl'!S71</f>
        <v>3.2255917400318884E-2</v>
      </c>
      <c r="T6" s="201">
        <f>'SER_se-appl'!T71</f>
        <v>3.2832528941662616E-2</v>
      </c>
      <c r="U6" s="201">
        <f>'SER_se-appl'!U71</f>
        <v>3.3273145616257445E-2</v>
      </c>
      <c r="V6" s="201">
        <f>'SER_se-appl'!V71</f>
        <v>3.3547255631142366E-2</v>
      </c>
      <c r="W6" s="201">
        <f>'SER_se-appl'!W71</f>
        <v>3.3940657821800627E-2</v>
      </c>
      <c r="X6" s="201">
        <f>'SER_se-appl'!X71</f>
        <v>3.421878109269029E-2</v>
      </c>
      <c r="Y6" s="201">
        <f>'SER_se-appl'!Y71</f>
        <v>3.4414822310531966E-2</v>
      </c>
      <c r="DA6" s="206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"&amp;MID('SER_se-appl'!A23,FIND("(",'SER_se-appl'!A23),100)</f>
        <v>Stock of appliances (thousand units)</v>
      </c>
      <c r="B8" s="34">
        <f>'SER_se-appl'!B23</f>
        <v>636.45376042957309</v>
      </c>
      <c r="C8" s="34">
        <f>'SER_se-appl'!C23</f>
        <v>690.97465013694159</v>
      </c>
      <c r="D8" s="34">
        <f>'SER_se-appl'!D23</f>
        <v>748.67005463973794</v>
      </c>
      <c r="E8" s="34">
        <f>'SER_se-appl'!E23</f>
        <v>836.34754961228998</v>
      </c>
      <c r="F8" s="34">
        <f>'SER_se-appl'!F23</f>
        <v>925.816322723996</v>
      </c>
      <c r="G8" s="34">
        <f>'SER_se-appl'!G23</f>
        <v>1005.4919677288934</v>
      </c>
      <c r="H8" s="34">
        <f>'SER_se-appl'!H23</f>
        <v>1083.5468657985871</v>
      </c>
      <c r="I8" s="34">
        <f>'SER_se-appl'!I23</f>
        <v>1143.6686745622271</v>
      </c>
      <c r="J8" s="34">
        <f>'SER_se-appl'!J23</f>
        <v>1195.4726555442369</v>
      </c>
      <c r="K8" s="34">
        <f>'SER_se-appl'!K23</f>
        <v>1236.7198728970905</v>
      </c>
      <c r="L8" s="34">
        <f>'SER_se-appl'!L23</f>
        <v>1267.7981606053888</v>
      </c>
      <c r="M8" s="34">
        <f>'SER_se-appl'!M23</f>
        <v>1293.986985238668</v>
      </c>
      <c r="N8" s="34">
        <f>'SER_se-appl'!N23</f>
        <v>1321.2238133435594</v>
      </c>
      <c r="O8" s="34">
        <f>'SER_se-appl'!O23</f>
        <v>1353.1546557896295</v>
      </c>
      <c r="P8" s="34">
        <f>'SER_se-appl'!P23</f>
        <v>1389.3569270775652</v>
      </c>
      <c r="Q8" s="34">
        <f>'SER_se-appl'!Q23</f>
        <v>1437.376852290824</v>
      </c>
      <c r="R8" s="34">
        <f>'SER_se-appl'!R23</f>
        <v>1468.2075442386667</v>
      </c>
      <c r="S8" s="34">
        <f>'SER_se-appl'!S23</f>
        <v>1499.8160679381656</v>
      </c>
      <c r="T8" s="34">
        <f>'SER_se-appl'!T23</f>
        <v>1531.4756107608787</v>
      </c>
      <c r="U8" s="34">
        <f>'SER_se-appl'!U23</f>
        <v>1561.1410887850479</v>
      </c>
      <c r="V8" s="34">
        <f>'SER_se-appl'!V23</f>
        <v>1587.390719317176</v>
      </c>
      <c r="W8" s="34">
        <f>'SER_se-appl'!W23</f>
        <v>1608.8142653982916</v>
      </c>
      <c r="X8" s="34">
        <f>'SER_se-appl'!X23</f>
        <v>1624.9418853999523</v>
      </c>
      <c r="Y8" s="34">
        <f>'SER_se-appl'!Y23</f>
        <v>1654.8491545527836</v>
      </c>
      <c r="DA8" s="88" t="s">
        <v>925</v>
      </c>
    </row>
    <row r="9" spans="1:105" ht="12.95" customHeight="1" x14ac:dyDescent="0.25">
      <c r="A9" s="202" t="str">
        <f>"Number of new appliances "&amp;MID('SER_se-appl'!A31,FIND("(",'SER_se-appl'!A31),100)</f>
        <v>Number of new appliances (thousand units)</v>
      </c>
      <c r="B9" s="36"/>
      <c r="C9" s="36">
        <f>'SER_se-appl'!C31</f>
        <v>112.36378197710121</v>
      </c>
      <c r="D9" s="36">
        <f>'SER_se-appl'!D31</f>
        <v>116.75671016744081</v>
      </c>
      <c r="E9" s="36">
        <f>'SER_se-appl'!E31</f>
        <v>147.98287891750113</v>
      </c>
      <c r="F9" s="36">
        <f>'SER_se-appl'!F31</f>
        <v>151.04444083225167</v>
      </c>
      <c r="G9" s="36">
        <f>'SER_se-appl'!G31</f>
        <v>142.54835399373735</v>
      </c>
      <c r="H9" s="36">
        <f>'SER_se-appl'!H31</f>
        <v>142.25196944430718</v>
      </c>
      <c r="I9" s="36">
        <f>'SER_se-appl'!I31</f>
        <v>125.67113913858464</v>
      </c>
      <c r="J9" s="36">
        <f>'SER_se-appl'!J31</f>
        <v>118.73405459129845</v>
      </c>
      <c r="K9" s="36">
        <f>'SER_se-appl'!K31</f>
        <v>109.58711842767957</v>
      </c>
      <c r="L9" s="36">
        <f>'SER_se-appl'!L31</f>
        <v>100.85771311548683</v>
      </c>
      <c r="M9" s="36">
        <f>'SER_se-appl'!M31</f>
        <v>138.55260661038051</v>
      </c>
      <c r="N9" s="36">
        <f>'SER_se-appl'!N31</f>
        <v>143.99353827233222</v>
      </c>
      <c r="O9" s="36">
        <f>'SER_se-appl'!O31</f>
        <v>179.91372136357131</v>
      </c>
      <c r="P9" s="36">
        <f>'SER_se-appl'!P31</f>
        <v>187.24671212018734</v>
      </c>
      <c r="Q9" s="36">
        <f>'SER_se-appl'!Q31</f>
        <v>190.56827920699607</v>
      </c>
      <c r="R9" s="36">
        <f>'SER_se-appl'!R31</f>
        <v>173.08266139214993</v>
      </c>
      <c r="S9" s="36">
        <f>'SER_se-appl'!S31</f>
        <v>157.2796628380836</v>
      </c>
      <c r="T9" s="36">
        <f>'SER_se-appl'!T31</f>
        <v>150.39359741401154</v>
      </c>
      <c r="U9" s="36">
        <f>'SER_se-appl'!U31</f>
        <v>139.25259645184883</v>
      </c>
      <c r="V9" s="36">
        <f>'SER_se-appl'!V31</f>
        <v>127.10734364761493</v>
      </c>
      <c r="W9" s="36">
        <f>'SER_se-appl'!W31</f>
        <v>159.97615269149605</v>
      </c>
      <c r="X9" s="36">
        <f>'SER_se-appl'!X31</f>
        <v>160.12115827399293</v>
      </c>
      <c r="Y9" s="36">
        <f>'SER_se-appl'!Y31</f>
        <v>209.82099051640262</v>
      </c>
      <c r="DA9" s="89" t="s">
        <v>931</v>
      </c>
    </row>
    <row r="10" spans="1:105" ht="12" customHeight="1" x14ac:dyDescent="0.25">
      <c r="A10" s="203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57.842892269732715</v>
      </c>
      <c r="D10" s="38">
        <f>'SER_se-appl'!D39</f>
        <v>59.061305664644465</v>
      </c>
      <c r="E10" s="38">
        <f>'SER_se-appl'!E39</f>
        <v>60.305383944949085</v>
      </c>
      <c r="F10" s="38">
        <f>'SER_se-appl'!F39</f>
        <v>61.575667720545653</v>
      </c>
      <c r="G10" s="38">
        <f>'SER_se-appl'!G39</f>
        <v>62.872708988839918</v>
      </c>
      <c r="H10" s="38">
        <f>'SER_se-appl'!H39</f>
        <v>64.197071374613643</v>
      </c>
      <c r="I10" s="38">
        <f>'SER_se-appl'!I39</f>
        <v>65.549330374944702</v>
      </c>
      <c r="J10" s="38">
        <f>'SER_se-appl'!J39</f>
        <v>66.930073609288684</v>
      </c>
      <c r="K10" s="38">
        <f>'SER_se-appl'!K39</f>
        <v>68.339901074826003</v>
      </c>
      <c r="L10" s="38">
        <f>'SER_se-appl'!L39</f>
        <v>69.779425407188455</v>
      </c>
      <c r="M10" s="38">
        <f>'SER_se-appl'!M39</f>
        <v>112.36378197710133</v>
      </c>
      <c r="N10" s="38">
        <f>'SER_se-appl'!N39</f>
        <v>116.75671016744081</v>
      </c>
      <c r="O10" s="38">
        <f>'SER_se-appl'!O39</f>
        <v>147.98287891750124</v>
      </c>
      <c r="P10" s="38">
        <f>'SER_se-appl'!P39</f>
        <v>151.04444083225167</v>
      </c>
      <c r="Q10" s="38">
        <f>'SER_se-appl'!Q39</f>
        <v>142.54835399373724</v>
      </c>
      <c r="R10" s="38">
        <f>'SER_se-appl'!R39</f>
        <v>142.25196944430718</v>
      </c>
      <c r="S10" s="38">
        <f>'SER_se-appl'!S39</f>
        <v>125.67113913858475</v>
      </c>
      <c r="T10" s="38">
        <f>'SER_se-appl'!T39</f>
        <v>118.73405459129845</v>
      </c>
      <c r="U10" s="38">
        <f>'SER_se-appl'!U39</f>
        <v>109.58711842767957</v>
      </c>
      <c r="V10" s="38">
        <f>'SER_se-appl'!V39</f>
        <v>100.85771311548683</v>
      </c>
      <c r="W10" s="38">
        <f>'SER_se-appl'!W39</f>
        <v>138.55260661038051</v>
      </c>
      <c r="X10" s="38">
        <f>'SER_se-appl'!X39</f>
        <v>143.99353827233222</v>
      </c>
      <c r="Y10" s="38">
        <f>'SER_se-appl'!Y39</f>
        <v>179.91372136357131</v>
      </c>
      <c r="DA10" s="90" t="s">
        <v>937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'SER_se-appl'!B47</f>
        <v>8760</v>
      </c>
      <c r="C12" s="204">
        <f>'SER_se-appl'!C47</f>
        <v>8760</v>
      </c>
      <c r="D12" s="204">
        <f>'SER_se-appl'!D47</f>
        <v>8760</v>
      </c>
      <c r="E12" s="204">
        <f>'SER_se-appl'!E47</f>
        <v>8760.0000000000018</v>
      </c>
      <c r="F12" s="204">
        <f>'SER_se-appl'!F47</f>
        <v>8759.9999999999982</v>
      </c>
      <c r="G12" s="204">
        <f>'SER_se-appl'!G47</f>
        <v>8760</v>
      </c>
      <c r="H12" s="204">
        <f>'SER_se-appl'!H47</f>
        <v>8759.9999999999982</v>
      </c>
      <c r="I12" s="204">
        <f>'SER_se-appl'!I47</f>
        <v>8759.9999999999964</v>
      </c>
      <c r="J12" s="204">
        <f>'SER_se-appl'!J47</f>
        <v>8760.0000000000036</v>
      </c>
      <c r="K12" s="204">
        <f>'SER_se-appl'!K47</f>
        <v>8760.0000000000018</v>
      </c>
      <c r="L12" s="204">
        <f>'SER_se-appl'!L47</f>
        <v>8760</v>
      </c>
      <c r="M12" s="204">
        <f>'SER_se-appl'!M47</f>
        <v>8759.9999999999964</v>
      </c>
      <c r="N12" s="204">
        <f>'SER_se-appl'!N47</f>
        <v>8760.0000000000018</v>
      </c>
      <c r="O12" s="204">
        <f>'SER_se-appl'!O47</f>
        <v>8760.0000000000018</v>
      </c>
      <c r="P12" s="204">
        <f>'SER_se-appl'!P47</f>
        <v>8760.0000000000018</v>
      </c>
      <c r="Q12" s="204">
        <f>'SER_se-appl'!Q47</f>
        <v>8759.9999999999982</v>
      </c>
      <c r="R12" s="204">
        <f>'SER_se-appl'!R47</f>
        <v>8759.9999999999964</v>
      </c>
      <c r="S12" s="204">
        <f>'SER_se-appl'!S47</f>
        <v>8759.9999999999982</v>
      </c>
      <c r="T12" s="204">
        <f>'SER_se-appl'!T47</f>
        <v>8759.9999999999982</v>
      </c>
      <c r="U12" s="204">
        <f>'SER_se-appl'!U47</f>
        <v>8759.9999999999982</v>
      </c>
      <c r="V12" s="204">
        <f>'SER_se-appl'!V47</f>
        <v>8759.9999999999982</v>
      </c>
      <c r="W12" s="204">
        <f>'SER_se-appl'!W47</f>
        <v>8760</v>
      </c>
      <c r="X12" s="204">
        <f>'SER_se-appl'!X47</f>
        <v>8760</v>
      </c>
      <c r="Y12" s="204">
        <f>'SER_se-appl'!Y47</f>
        <v>8760</v>
      </c>
      <c r="DA12" s="208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652.60903637843057</v>
      </c>
      <c r="C14" s="59">
        <f>'SER_se-appl'!C55</f>
        <v>642.44127698460454</v>
      </c>
      <c r="D14" s="59">
        <f>'SER_se-appl'!D55</f>
        <v>630.6028458083274</v>
      </c>
      <c r="E14" s="59">
        <f>'SER_se-appl'!E55</f>
        <v>616.89638782546501</v>
      </c>
      <c r="F14" s="59">
        <f>'SER_se-appl'!F55</f>
        <v>604.08218493257084</v>
      </c>
      <c r="G14" s="59">
        <f>'SER_se-appl'!G55</f>
        <v>592.59811879966378</v>
      </c>
      <c r="H14" s="59">
        <f>'SER_se-appl'!H55</f>
        <v>581.47321297351766</v>
      </c>
      <c r="I14" s="59">
        <f>'SER_se-appl'!I55</f>
        <v>571.44041946013806</v>
      </c>
      <c r="J14" s="59">
        <f>'SER_se-appl'!J55</f>
        <v>561.62043940309957</v>
      </c>
      <c r="K14" s="59">
        <f>'SER_se-appl'!K55</f>
        <v>552.0231878017853</v>
      </c>
      <c r="L14" s="59">
        <f>'SER_se-appl'!L55</f>
        <v>542.47569156268548</v>
      </c>
      <c r="M14" s="59">
        <f>'SER_se-appl'!M55</f>
        <v>532.44939991365015</v>
      </c>
      <c r="N14" s="59">
        <f>'SER_se-appl'!N55</f>
        <v>523.50312292417561</v>
      </c>
      <c r="O14" s="59">
        <f>'SER_se-appl'!O55</f>
        <v>512.27739818565044</v>
      </c>
      <c r="P14" s="59">
        <f>'SER_se-appl'!P55</f>
        <v>500.18802716056001</v>
      </c>
      <c r="Q14" s="59">
        <f>'SER_se-appl'!Q55</f>
        <v>488.88904656073146</v>
      </c>
      <c r="R14" s="59">
        <f>'SER_se-appl'!R55</f>
        <v>478.83163257349923</v>
      </c>
      <c r="S14" s="59">
        <f>'SER_se-appl'!S55</f>
        <v>469.98422984727591</v>
      </c>
      <c r="T14" s="59">
        <f>'SER_se-appl'!T55</f>
        <v>461.83833276505277</v>
      </c>
      <c r="U14" s="59">
        <f>'SER_se-appl'!U55</f>
        <v>454.51089407611346</v>
      </c>
      <c r="V14" s="59">
        <f>'SER_se-appl'!V55</f>
        <v>447.96870486919516</v>
      </c>
      <c r="W14" s="59">
        <f>'SER_se-appl'!W55</f>
        <v>439.99492074335677</v>
      </c>
      <c r="X14" s="59">
        <f>'SER_se-appl'!X55</f>
        <v>431.70250310216932</v>
      </c>
      <c r="Y14" s="59">
        <f>'SER_se-appl'!Y55</f>
        <v>421.59902166055849</v>
      </c>
      <c r="DA14" s="104" t="s">
        <v>949</v>
      </c>
    </row>
    <row r="15" spans="1:105" ht="12" customHeight="1" x14ac:dyDescent="0.25">
      <c r="A15" s="203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590.0829815749604</v>
      </c>
      <c r="D15" s="63">
        <f>'SER_se-appl'!D63</f>
        <v>571.67397154871514</v>
      </c>
      <c r="E15" s="63">
        <f>'SER_se-appl'!E63</f>
        <v>562.10660590218379</v>
      </c>
      <c r="F15" s="63">
        <f>'SER_se-appl'!F63</f>
        <v>552.9114575164183</v>
      </c>
      <c r="G15" s="63">
        <f>'SER_se-appl'!G63</f>
        <v>544.4805030725438</v>
      </c>
      <c r="H15" s="63">
        <f>'SER_se-appl'!H63</f>
        <v>534.94104935307325</v>
      </c>
      <c r="I15" s="63">
        <f>'SER_se-appl'!I63</f>
        <v>527.27392651499429</v>
      </c>
      <c r="J15" s="63">
        <f>'SER_se-appl'!J63</f>
        <v>518.32258268800786</v>
      </c>
      <c r="K15" s="63">
        <f>'SER_se-appl'!K63</f>
        <v>510.05452412595918</v>
      </c>
      <c r="L15" s="63">
        <f>'SER_se-appl'!L63</f>
        <v>501.60091175115195</v>
      </c>
      <c r="M15" s="63">
        <f>'SER_se-appl'!M63</f>
        <v>487.44564965203449</v>
      </c>
      <c r="N15" s="63">
        <f>'SER_se-appl'!N63</f>
        <v>482.16726681035357</v>
      </c>
      <c r="O15" s="63">
        <f>'SER_se-appl'!O63</f>
        <v>470.82516664941431</v>
      </c>
      <c r="P15" s="63">
        <f>'SER_se-appl'!P63</f>
        <v>455.35302025308494</v>
      </c>
      <c r="Q15" s="63">
        <f>'SER_se-appl'!Q63</f>
        <v>448.09607526581021</v>
      </c>
      <c r="R15" s="63">
        <f>'SER_se-appl'!R63</f>
        <v>441.4239629328157</v>
      </c>
      <c r="S15" s="63">
        <f>'SER_se-appl'!S63</f>
        <v>433.16979444005068</v>
      </c>
      <c r="T15" s="63">
        <f>'SER_se-appl'!T63</f>
        <v>425.19619232460656</v>
      </c>
      <c r="U15" s="63">
        <f>'SER_se-appl'!U63</f>
        <v>417.63598180791689</v>
      </c>
      <c r="V15" s="63">
        <f>'SER_se-appl'!V63</f>
        <v>410.17341697934779</v>
      </c>
      <c r="W15" s="63">
        <f>'SER_se-appl'!W63</f>
        <v>401.96994863976084</v>
      </c>
      <c r="X15" s="63">
        <f>'SER_se-appl'!X63</f>
        <v>393.76648030017384</v>
      </c>
      <c r="Y15" s="63">
        <f>'SER_se-appl'!Y63</f>
        <v>385.56301196058689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'SER_se-appl'!B8</f>
        <v>270.59336688532233</v>
      </c>
      <c r="C3" s="198">
        <f>'SER_se-appl'!C8</f>
        <v>301.56321325145626</v>
      </c>
      <c r="D3" s="198">
        <f>'SER_se-appl'!D8</f>
        <v>332.06016080334803</v>
      </c>
      <c r="E3" s="198">
        <f>'SER_se-appl'!E8</f>
        <v>366.37826400016741</v>
      </c>
      <c r="F3" s="198">
        <f>'SER_se-appl'!F8</f>
        <v>402.50457241897192</v>
      </c>
      <c r="G3" s="198">
        <f>'SER_se-appl'!G8</f>
        <v>448.36408636426114</v>
      </c>
      <c r="H3" s="198">
        <f>'SER_se-appl'!H8</f>
        <v>486.0833374743342</v>
      </c>
      <c r="I3" s="198">
        <f>'SER_se-appl'!I8</f>
        <v>522.26813645829088</v>
      </c>
      <c r="J3" s="198">
        <f>'SER_se-appl'!J8</f>
        <v>558.58089164694059</v>
      </c>
      <c r="K3" s="198">
        <f>'SER_se-appl'!K8</f>
        <v>574.26749865843192</v>
      </c>
      <c r="L3" s="198">
        <f>'SER_se-appl'!L8</f>
        <v>596.68442737628845</v>
      </c>
      <c r="M3" s="198">
        <f>'SER_se-appl'!M8</f>
        <v>604.20726279940573</v>
      </c>
      <c r="N3" s="198">
        <f>'SER_se-appl'!N8</f>
        <v>614.83260958642609</v>
      </c>
      <c r="O3" s="198">
        <f>'SER_se-appl'!O8</f>
        <v>614.44191231167974</v>
      </c>
      <c r="P3" s="198">
        <f>'SER_se-appl'!P8</f>
        <v>614.43091644667732</v>
      </c>
      <c r="Q3" s="198">
        <f>'SER_se-appl'!Q8</f>
        <v>615.38179356812861</v>
      </c>
      <c r="R3" s="198">
        <f>'SER_se-appl'!R8</f>
        <v>655.41096991751169</v>
      </c>
      <c r="S3" s="198">
        <f>'SER_se-appl'!S8</f>
        <v>669.09636243533066</v>
      </c>
      <c r="T3" s="198">
        <f>'SER_se-appl'!T8</f>
        <v>695.32337041468679</v>
      </c>
      <c r="U3" s="198">
        <f>'SER_se-appl'!U8</f>
        <v>716.19217125748912</v>
      </c>
      <c r="V3" s="198">
        <f>'SER_se-appl'!V8</f>
        <v>659.13923697053849</v>
      </c>
      <c r="W3" s="198">
        <f>'SER_se-appl'!W8</f>
        <v>689.53785085503239</v>
      </c>
      <c r="X3" s="198">
        <f>'SER_se-appl'!X8</f>
        <v>724.33551989291243</v>
      </c>
      <c r="Y3" s="198">
        <f>'SER_se-appl'!Y8</f>
        <v>743.05813887434613</v>
      </c>
      <c r="DA3" s="205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'SER_se-appl'!B16</f>
        <v>3894.5423615792292</v>
      </c>
      <c r="C5" s="59">
        <f>'SER_se-appl'!C16</f>
        <v>4319.6445704438293</v>
      </c>
      <c r="D5" s="59">
        <f>'SER_se-appl'!D16</f>
        <v>4735.8397369573868</v>
      </c>
      <c r="E5" s="59">
        <f>'SER_se-appl'!E16</f>
        <v>5204.4137854881683</v>
      </c>
      <c r="F5" s="59">
        <f>'SER_se-appl'!F16</f>
        <v>5696.4422926889129</v>
      </c>
      <c r="G5" s="59">
        <f>'SER_se-appl'!G16</f>
        <v>6323.6167529814311</v>
      </c>
      <c r="H5" s="59">
        <f>'SER_se-appl'!H16</f>
        <v>6833.5129316201628</v>
      </c>
      <c r="I5" s="59">
        <f>'SER_se-appl'!I16</f>
        <v>7319.988014482562</v>
      </c>
      <c r="J5" s="59">
        <f>'SER_se-appl'!J16</f>
        <v>7806.5965505146005</v>
      </c>
      <c r="K5" s="59">
        <f>'SER_se-appl'!K16</f>
        <v>8004.1615067828261</v>
      </c>
      <c r="L5" s="59">
        <f>'SER_se-appl'!L16</f>
        <v>8295.307496291296</v>
      </c>
      <c r="M5" s="59">
        <f>'SER_se-appl'!M16</f>
        <v>8386.2425149252158</v>
      </c>
      <c r="N5" s="59">
        <f>'SER_se-appl'!N16</f>
        <v>8520.4969106582666</v>
      </c>
      <c r="O5" s="59">
        <f>'SER_se-appl'!O16</f>
        <v>8502.4748632864921</v>
      </c>
      <c r="P5" s="59">
        <f>'SER_se-appl'!P16</f>
        <v>8490.2694048086432</v>
      </c>
      <c r="Q5" s="59">
        <f>'SER_se-appl'!Q16</f>
        <v>8491.8457210935594</v>
      </c>
      <c r="R5" s="59">
        <f>'SER_se-appl'!R16</f>
        <v>8863.3848219968822</v>
      </c>
      <c r="S5" s="59">
        <f>'SER_se-appl'!S16</f>
        <v>9233.579141633445</v>
      </c>
      <c r="T5" s="59">
        <f>'SER_se-appl'!T16</f>
        <v>9574.9758623878806</v>
      </c>
      <c r="U5" s="59">
        <f>'SER_se-appl'!U16</f>
        <v>9873.4253365865443</v>
      </c>
      <c r="V5" s="59">
        <f>'SER_se-appl'!V16</f>
        <v>10085.725008156727</v>
      </c>
      <c r="W5" s="59">
        <f>'SER_se-appl'!W16</f>
        <v>10260.404302211209</v>
      </c>
      <c r="X5" s="59">
        <f>'SER_se-appl'!X16</f>
        <v>10384.956130292761</v>
      </c>
      <c r="Y5" s="59">
        <f>'SER_se-appl'!Y16</f>
        <v>10462.524266132474</v>
      </c>
      <c r="DA5" s="104" t="s">
        <v>920</v>
      </c>
    </row>
    <row r="6" spans="1:105" ht="12" customHeight="1" x14ac:dyDescent="0.25">
      <c r="A6" s="200" t="str">
        <f>"Penetration factor "&amp;MID('SER_se-appl'!A72,FIND("(",'SER_se-appl'!A72),100)</f>
        <v>Penetration factor (sqm per building cell)</v>
      </c>
      <c r="B6" s="201">
        <f>'SER_se-appl'!B72</f>
        <v>48.623047400313062</v>
      </c>
      <c r="C6" s="201">
        <f>'SER_se-appl'!C72</f>
        <v>52.736583248521427</v>
      </c>
      <c r="D6" s="201">
        <f>'SER_se-appl'!D72</f>
        <v>56.56049227058687</v>
      </c>
      <c r="E6" s="201">
        <f>'SER_se-appl'!E72</f>
        <v>60.523194622611364</v>
      </c>
      <c r="F6" s="201">
        <f>'SER_se-appl'!F72</f>
        <v>64.564144668188362</v>
      </c>
      <c r="G6" s="201">
        <f>'SER_se-appl'!G72</f>
        <v>69.878191053530671</v>
      </c>
      <c r="H6" s="201">
        <f>'SER_se-appl'!H72</f>
        <v>73.497966363656388</v>
      </c>
      <c r="I6" s="201">
        <f>'SER_se-appl'!I72</f>
        <v>76.822262947164532</v>
      </c>
      <c r="J6" s="201">
        <f>'SER_se-appl'!J72</f>
        <v>80.453063609204406</v>
      </c>
      <c r="K6" s="201">
        <f>'SER_se-appl'!K72</f>
        <v>83.49822026646099</v>
      </c>
      <c r="L6" s="201">
        <f>'SER_se-appl'!L72</f>
        <v>85.913731984053967</v>
      </c>
      <c r="M6" s="201">
        <f>'SER_se-appl'!M72</f>
        <v>87.217645378551353</v>
      </c>
      <c r="N6" s="201">
        <f>'SER_se-appl'!N72</f>
        <v>88.644945141564989</v>
      </c>
      <c r="O6" s="201">
        <f>'SER_se-appl'!O72</f>
        <v>89.520560776191402</v>
      </c>
      <c r="P6" s="201">
        <f>'SER_se-appl'!P72</f>
        <v>90.102586522872272</v>
      </c>
      <c r="Q6" s="201">
        <f>'SER_se-appl'!Q72</f>
        <v>90.782719504102687</v>
      </c>
      <c r="R6" s="201">
        <f>'SER_se-appl'!R72</f>
        <v>95.880365873329353</v>
      </c>
      <c r="S6" s="201">
        <f>'SER_se-appl'!S72</f>
        <v>101.01631940899183</v>
      </c>
      <c r="T6" s="201">
        <f>'SER_se-appl'!T72</f>
        <v>105.98798398708396</v>
      </c>
      <c r="U6" s="201">
        <f>'SER_se-appl'!U72</f>
        <v>110.67248225424564</v>
      </c>
      <c r="V6" s="201">
        <f>'SER_se-appl'!V72</f>
        <v>114.84109542274359</v>
      </c>
      <c r="W6" s="201">
        <f>'SER_se-appl'!W72</f>
        <v>118.26239862240041</v>
      </c>
      <c r="X6" s="201">
        <f>'SER_se-appl'!X72</f>
        <v>121.07268357223353</v>
      </c>
      <c r="Y6" s="201">
        <f>'SER_se-appl'!Y72</f>
        <v>123.36891834022128</v>
      </c>
      <c r="DA6" s="206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"&amp;MID('SER_se-appl'!A24,FIND("(",'SER_se-appl'!A24),100)</f>
        <v>Stock of appliances (serviced million m2)</v>
      </c>
      <c r="B8" s="34">
        <f>'SER_se-appl'!B24</f>
        <v>84.602979328701636</v>
      </c>
      <c r="C8" s="34">
        <f>'SER_se-appl'!C24</f>
        <v>94.602350738779194</v>
      </c>
      <c r="D8" s="34">
        <f>'SER_se-appl'!D24</f>
        <v>104.52674230304422</v>
      </c>
      <c r="E8" s="34">
        <f>'SER_se-appl'!E24</f>
        <v>115.82278217320871</v>
      </c>
      <c r="F8" s="34">
        <f>'SER_se-appl'!F24</f>
        <v>127.8408361906403</v>
      </c>
      <c r="G8" s="34">
        <f>'SER_se-appl'!G24</f>
        <v>143.29348097008307</v>
      </c>
      <c r="H8" s="34">
        <f>'SER_se-appl'!H24</f>
        <v>156.1429081639653</v>
      </c>
      <c r="I8" s="34">
        <f>'SER_se-appl'!I24</f>
        <v>168.62708127819923</v>
      </c>
      <c r="J8" s="34">
        <f>'SER_se-appl'!J24</f>
        <v>181.36804049705631</v>
      </c>
      <c r="K8" s="34">
        <f>'SER_se-appl'!K24</f>
        <v>187.17348094573194</v>
      </c>
      <c r="L8" s="34">
        <f>'SER_se-appl'!L24</f>
        <v>195.58223363472453</v>
      </c>
      <c r="M8" s="34">
        <f>'SER_se-appl'!M24</f>
        <v>199.27564462604914</v>
      </c>
      <c r="N8" s="34">
        <f>'SER_se-appl'!N24</f>
        <v>204.56201188647071</v>
      </c>
      <c r="O8" s="34">
        <f>'SER_se-appl'!O24</f>
        <v>206.29483163933639</v>
      </c>
      <c r="P8" s="34">
        <f>'SER_se-appl'!P24</f>
        <v>208.81385788087405</v>
      </c>
      <c r="Q8" s="34">
        <f>'SER_se-appl'!Q24</f>
        <v>212.52538617933118</v>
      </c>
      <c r="R8" s="34">
        <f>'SER_se-appl'!R24</f>
        <v>226.91177103810244</v>
      </c>
      <c r="S8" s="34">
        <f>'SER_se-appl'!S24</f>
        <v>241.59184412292657</v>
      </c>
      <c r="T8" s="34">
        <f>'SER_se-appl'!T24</f>
        <v>256.14681346149752</v>
      </c>
      <c r="U8" s="34">
        <f>'SER_se-appl'!U24</f>
        <v>269.94251241392311</v>
      </c>
      <c r="V8" s="34">
        <f>'SER_se-appl'!V24</f>
        <v>282.43300511336105</v>
      </c>
      <c r="W8" s="34">
        <f>'SER_se-appl'!W24</f>
        <v>293.1326722132103</v>
      </c>
      <c r="X8" s="34">
        <f>'SER_se-appl'!X24</f>
        <v>302.3459531706817</v>
      </c>
      <c r="Y8" s="34">
        <f>'SER_se-appl'!Y24</f>
        <v>310.31010097029377</v>
      </c>
      <c r="DA8" s="88" t="s">
        <v>926</v>
      </c>
    </row>
    <row r="9" spans="1:105" ht="12.95" customHeight="1" x14ac:dyDescent="0.25">
      <c r="A9" s="202" t="str">
        <f>"Number of new appliances "&amp;MID('SER_se-appl'!A32,FIND("(",'SER_se-appl'!A32),100)</f>
        <v>Number of new appliances (serviced million m2)</v>
      </c>
      <c r="B9" s="36"/>
      <c r="C9" s="36">
        <f>'SER_se-appl'!C32</f>
        <v>12.409071923179582</v>
      </c>
      <c r="D9" s="36">
        <f>'SER_se-appl'!D32</f>
        <v>12.60525923305687</v>
      </c>
      <c r="E9" s="36">
        <f>'SER_se-appl'!E32</f>
        <v>14.278589534944842</v>
      </c>
      <c r="F9" s="36">
        <f>'SER_se-appl'!F32</f>
        <v>15.336234398520759</v>
      </c>
      <c r="G9" s="36">
        <f>'SER_se-appl'!G32</f>
        <v>19.144224896770297</v>
      </c>
      <c r="H9" s="36">
        <f>'SER_se-appl'!H32</f>
        <v>16.95642627094108</v>
      </c>
      <c r="I9" s="36">
        <f>'SER_se-appl'!I32</f>
        <v>17.053338859761112</v>
      </c>
      <c r="J9" s="36">
        <f>'SER_se-appl'!J32</f>
        <v>17.824299930257951</v>
      </c>
      <c r="K9" s="36">
        <f>'SER_se-appl'!K32</f>
        <v>11.460816993831799</v>
      </c>
      <c r="L9" s="36">
        <f>'SER_se-appl'!L32</f>
        <v>14.700537104656632</v>
      </c>
      <c r="M9" s="36">
        <f>'SER_se-appl'!M32</f>
        <v>10.693219194564193</v>
      </c>
      <c r="N9" s="36">
        <f>'SER_se-appl'!N32</f>
        <v>13.073874213164004</v>
      </c>
      <c r="O9" s="36">
        <f>'SER_se-appl'!O32</f>
        <v>10.396666358111872</v>
      </c>
      <c r="P9" s="36">
        <f>'SER_se-appl'!P32</f>
        <v>12.157828293945727</v>
      </c>
      <c r="Q9" s="36">
        <f>'SER_se-appl'!Q32</f>
        <v>14.434998973624516</v>
      </c>
      <c r="R9" s="36">
        <f>'SER_se-appl'!R32</f>
        <v>26.795456781950833</v>
      </c>
      <c r="S9" s="36">
        <f>'SER_se-appl'!S32</f>
        <v>27.285332317881</v>
      </c>
      <c r="T9" s="36">
        <f>'SER_se-appl'!T32</f>
        <v>28.833558873515784</v>
      </c>
      <c r="U9" s="36">
        <f>'SER_se-appl'!U32</f>
        <v>29.131933350946355</v>
      </c>
      <c r="V9" s="36">
        <f>'SER_se-appl'!V32</f>
        <v>31.634717596208247</v>
      </c>
      <c r="W9" s="36">
        <f>'SER_se-appl'!W32</f>
        <v>27.656093370790359</v>
      </c>
      <c r="X9" s="36">
        <f>'SER_se-appl'!X32</f>
        <v>26.266619817232481</v>
      </c>
      <c r="Y9" s="36">
        <f>'SER_se-appl'!Y32</f>
        <v>25.788447729870029</v>
      </c>
      <c r="DA9" s="89" t="s">
        <v>932</v>
      </c>
    </row>
    <row r="10" spans="1:105" ht="12" customHeight="1" x14ac:dyDescent="0.25">
      <c r="A10" s="203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2.4097005131020239</v>
      </c>
      <c r="D10" s="38">
        <f>'SER_se-appl'!D40</f>
        <v>2.6808676687918478</v>
      </c>
      <c r="E10" s="38">
        <f>'SER_se-appl'!E40</f>
        <v>2.9825496647803504</v>
      </c>
      <c r="F10" s="38">
        <f>'SER_se-appl'!F40</f>
        <v>3.3181803810891637</v>
      </c>
      <c r="G10" s="38">
        <f>'SER_se-appl'!G40</f>
        <v>3.6915801173275327</v>
      </c>
      <c r="H10" s="38">
        <f>'SER_se-appl'!H40</f>
        <v>4.1069990770588447</v>
      </c>
      <c r="I10" s="38">
        <f>'SER_se-appl'!I40</f>
        <v>4.5691657455271866</v>
      </c>
      <c r="J10" s="38">
        <f>'SER_se-appl'!J40</f>
        <v>5.0833407114008651</v>
      </c>
      <c r="K10" s="38">
        <f>'SER_se-appl'!K40</f>
        <v>5.6553765451561731</v>
      </c>
      <c r="L10" s="38">
        <f>'SER_se-appl'!L40</f>
        <v>6.2917844156640399</v>
      </c>
      <c r="M10" s="38">
        <f>'SER_se-appl'!M40</f>
        <v>6.9998082032395814</v>
      </c>
      <c r="N10" s="38">
        <f>'SER_se-appl'!N40</f>
        <v>7.787506952742433</v>
      </c>
      <c r="O10" s="38">
        <f>'SER_se-appl'!O40</f>
        <v>8.6638466052461922</v>
      </c>
      <c r="P10" s="38">
        <f>'SER_se-appl'!P40</f>
        <v>9.6388020524080673</v>
      </c>
      <c r="Q10" s="38">
        <f>'SER_se-appl'!Q40</f>
        <v>10.723470675167391</v>
      </c>
      <c r="R10" s="38">
        <f>'SER_se-appl'!R40</f>
        <v>12.409071923179567</v>
      </c>
      <c r="S10" s="38">
        <f>'SER_se-appl'!S40</f>
        <v>12.60525923305687</v>
      </c>
      <c r="T10" s="38">
        <f>'SER_se-appl'!T40</f>
        <v>14.278589534944842</v>
      </c>
      <c r="U10" s="38">
        <f>'SER_se-appl'!U40</f>
        <v>15.33623439852073</v>
      </c>
      <c r="V10" s="38">
        <f>'SER_se-appl'!V40</f>
        <v>19.144224896770311</v>
      </c>
      <c r="W10" s="38">
        <f>'SER_se-appl'!W40</f>
        <v>16.956426270941108</v>
      </c>
      <c r="X10" s="38">
        <f>'SER_se-appl'!X40</f>
        <v>17.053338859761084</v>
      </c>
      <c r="Y10" s="38">
        <f>'SER_se-appl'!Y40</f>
        <v>17.824299930257951</v>
      </c>
      <c r="DA10" s="90" t="s">
        <v>938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'SER_se-appl'!B48</f>
        <v>808.0540830476923</v>
      </c>
      <c r="C12" s="204">
        <f>'SER_se-appl'!C48</f>
        <v>811.9140621224966</v>
      </c>
      <c r="D12" s="204">
        <f>'SER_se-appl'!D48</f>
        <v>815.45404503574878</v>
      </c>
      <c r="E12" s="204">
        <f>'SER_se-appl'!E48</f>
        <v>818.72414184343563</v>
      </c>
      <c r="F12" s="204">
        <f>'SER_se-appl'!F48</f>
        <v>821.76346861981347</v>
      </c>
      <c r="G12" s="204">
        <f>'SER_se-appl'!G48</f>
        <v>824.60315482557655</v>
      </c>
      <c r="H12" s="204">
        <f>'SER_se-appl'!H48</f>
        <v>827.26838617194176</v>
      </c>
      <c r="I12" s="204">
        <f>'SER_se-appl'!I48</f>
        <v>829.77983228832966</v>
      </c>
      <c r="J12" s="204">
        <f>'SER_se-appl'!J48</f>
        <v>832.15466917214928</v>
      </c>
      <c r="K12" s="204">
        <f>'SER_se-appl'!K48</f>
        <v>834.40732720571953</v>
      </c>
      <c r="L12" s="204">
        <f>'SER_se-appl'!L48</f>
        <v>836.55004874608346</v>
      </c>
      <c r="M12" s="204">
        <f>'SER_se-appl'!M48</f>
        <v>837.91166948142461</v>
      </c>
      <c r="N12" s="204">
        <f>'SER_se-appl'!N48</f>
        <v>839.21199954260771</v>
      </c>
      <c r="O12" s="204">
        <f>'SER_se-appl'!O48</f>
        <v>840.45640299872434</v>
      </c>
      <c r="P12" s="204">
        <f>'SER_se-appl'!P48</f>
        <v>841.64956582268928</v>
      </c>
      <c r="Q12" s="204">
        <f>'SER_se-appl'!Q48</f>
        <v>842.79560583864316</v>
      </c>
      <c r="R12" s="204">
        <f>'SER_se-appl'!R48</f>
        <v>859.99081989800823</v>
      </c>
      <c r="S12" s="204">
        <f>'SER_se-appl'!S48</f>
        <v>842.74911989830105</v>
      </c>
      <c r="T12" s="204">
        <f>'SER_se-appl'!T48</f>
        <v>844.55678156729118</v>
      </c>
      <c r="U12" s="204">
        <f>'SER_se-appl'!U48</f>
        <v>843.60945343454853</v>
      </c>
      <c r="V12" s="204">
        <f>'SER_se-appl'!V48</f>
        <v>760.06328942815048</v>
      </c>
      <c r="W12" s="204">
        <f>'SER_se-appl'!W48</f>
        <v>781.57984512518578</v>
      </c>
      <c r="X12" s="204">
        <f>'SER_se-appl'!X48</f>
        <v>811.17551106275982</v>
      </c>
      <c r="Y12" s="204">
        <f>'SER_se-appl'!Y48</f>
        <v>825.97334403154684</v>
      </c>
      <c r="DA12" s="208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46.033158554003812</v>
      </c>
      <c r="C14" s="59">
        <f>'SER_se-appl'!C56</f>
        <v>45.66107011834675</v>
      </c>
      <c r="D14" s="59">
        <f>'SER_se-appl'!D56</f>
        <v>45.307446043111412</v>
      </c>
      <c r="E14" s="59">
        <f>'SER_se-appl'!E56</f>
        <v>44.934283979685091</v>
      </c>
      <c r="F14" s="59">
        <f>'SER_se-appl'!F56</f>
        <v>44.558862898817381</v>
      </c>
      <c r="G14" s="59">
        <f>'SER_se-appl'!G56</f>
        <v>44.130526456410678</v>
      </c>
      <c r="H14" s="59">
        <f>'SER_se-appl'!H56</f>
        <v>43.764478399776614</v>
      </c>
      <c r="I14" s="59">
        <f>'SER_se-appl'!I56</f>
        <v>43.409326420150279</v>
      </c>
      <c r="J14" s="59">
        <f>'SER_se-appl'!J56</f>
        <v>43.04284552625635</v>
      </c>
      <c r="K14" s="59">
        <f>'SER_se-appl'!K56</f>
        <v>42.763330928826981</v>
      </c>
      <c r="L14" s="59">
        <f>'SER_se-appl'!L56</f>
        <v>42.413399939914122</v>
      </c>
      <c r="M14" s="59">
        <f>'SER_se-appl'!M56</f>
        <v>42.083630092691081</v>
      </c>
      <c r="N14" s="59">
        <f>'SER_se-appl'!N56</f>
        <v>41.652391038210133</v>
      </c>
      <c r="O14" s="59">
        <f>'SER_se-appl'!O56</f>
        <v>41.215161794025462</v>
      </c>
      <c r="P14" s="59">
        <f>'SER_se-appl'!P56</f>
        <v>40.659511255485</v>
      </c>
      <c r="Q14" s="59">
        <f>'SER_se-appl'!Q56</f>
        <v>39.956853502329601</v>
      </c>
      <c r="R14" s="59">
        <f>'SER_se-appl'!R56</f>
        <v>39.06093007624785</v>
      </c>
      <c r="S14" s="59">
        <f>'SER_se-appl'!S56</f>
        <v>38.219746925460043</v>
      </c>
      <c r="T14" s="59">
        <f>'SER_se-appl'!T56</f>
        <v>37.380811937475592</v>
      </c>
      <c r="U14" s="59">
        <f>'SER_se-appl'!U56</f>
        <v>36.576029645330117</v>
      </c>
      <c r="V14" s="59">
        <f>'SER_se-appl'!V56</f>
        <v>35.710150108372027</v>
      </c>
      <c r="W14" s="59">
        <f>'SER_se-appl'!W56</f>
        <v>35.002595325669787</v>
      </c>
      <c r="X14" s="59">
        <f>'SER_se-appl'!X56</f>
        <v>34.347925022268115</v>
      </c>
      <c r="Y14" s="59">
        <f>'SER_se-appl'!Y56</f>
        <v>33.716350945127822</v>
      </c>
      <c r="DA14" s="104" t="s">
        <v>950</v>
      </c>
    </row>
    <row r="15" spans="1:105" ht="12" customHeight="1" x14ac:dyDescent="0.25">
      <c r="A15" s="203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43.196488663315229</v>
      </c>
      <c r="D15" s="63">
        <f>'SER_se-appl'!D64</f>
        <v>42.807844170174754</v>
      </c>
      <c r="E15" s="63">
        <f>'SER_se-appl'!E64</f>
        <v>42.432078368946925</v>
      </c>
      <c r="F15" s="63">
        <f>'SER_se-appl'!F64</f>
        <v>42.042577991400407</v>
      </c>
      <c r="G15" s="63">
        <f>'SER_se-appl'!G64</f>
        <v>41.637076321786182</v>
      </c>
      <c r="H15" s="63">
        <f>'SER_se-appl'!H64</f>
        <v>41.220614955402226</v>
      </c>
      <c r="I15" s="63">
        <f>'SER_se-appl'!I64</f>
        <v>40.860515340485961</v>
      </c>
      <c r="J15" s="63">
        <f>'SER_se-appl'!J64</f>
        <v>40.428559203084973</v>
      </c>
      <c r="K15" s="63">
        <f>'SER_se-appl'!K64</f>
        <v>39.95350433572365</v>
      </c>
      <c r="L15" s="63">
        <f>'SER_se-appl'!L64</f>
        <v>39.507175483974088</v>
      </c>
      <c r="M15" s="63">
        <f>'SER_se-appl'!M64</f>
        <v>38.637410491995603</v>
      </c>
      <c r="N15" s="63">
        <f>'SER_se-appl'!N64</f>
        <v>37.688747038189874</v>
      </c>
      <c r="O15" s="63">
        <f>'SER_se-appl'!O64</f>
        <v>36.627334568448063</v>
      </c>
      <c r="P15" s="63">
        <f>'SER_se-appl'!P64</f>
        <v>35.491457375342577</v>
      </c>
      <c r="Q15" s="63">
        <f>'SER_se-appl'!Q64</f>
        <v>34.306309479408597</v>
      </c>
      <c r="R15" s="63">
        <f>'SER_se-appl'!R64</f>
        <v>33.870198330283394</v>
      </c>
      <c r="S15" s="63">
        <f>'SER_se-appl'!S64</f>
        <v>33.34385969760374</v>
      </c>
      <c r="T15" s="63">
        <f>'SER_se-appl'!T64</f>
        <v>32.852932066229414</v>
      </c>
      <c r="U15" s="63">
        <f>'SER_se-appl'!U64</f>
        <v>32.377676195741707</v>
      </c>
      <c r="V15" s="63">
        <f>'SER_se-appl'!V64</f>
        <v>31.908273612641167</v>
      </c>
      <c r="W15" s="63">
        <f>'SER_se-appl'!W64</f>
        <v>31.589190876514756</v>
      </c>
      <c r="X15" s="63">
        <f>'SER_se-appl'!X64</f>
        <v>31.270108140388345</v>
      </c>
      <c r="Y15" s="63">
        <f>'SER_se-appl'!Y64</f>
        <v>30.95102540426193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7"/>
  <sheetViews>
    <sheetView showGridLines="0" zoomScaleNormal="100" workbookViewId="0">
      <pane xSplit="1" ySplit="1" topLeftCell="I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'SER_se-appl'!B9</f>
        <v>312.97863576377682</v>
      </c>
      <c r="C3" s="198">
        <f>'SER_se-appl'!C9</f>
        <v>357.32058377565556</v>
      </c>
      <c r="D3" s="198">
        <f>'SER_se-appl'!D9</f>
        <v>404.32503229021881</v>
      </c>
      <c r="E3" s="198">
        <f>'SER_se-appl'!E9</f>
        <v>447.85293602875225</v>
      </c>
      <c r="F3" s="198">
        <f>'SER_se-appl'!F9</f>
        <v>495.52284831306957</v>
      </c>
      <c r="G3" s="198">
        <f>'SER_se-appl'!G9</f>
        <v>537.32453698379754</v>
      </c>
      <c r="H3" s="198">
        <f>'SER_se-appl'!H9</f>
        <v>564.38065929618756</v>
      </c>
      <c r="I3" s="198">
        <f>'SER_se-appl'!I9</f>
        <v>583.22992503001205</v>
      </c>
      <c r="J3" s="198">
        <f>'SER_se-appl'!J9</f>
        <v>600.52559310782783</v>
      </c>
      <c r="K3" s="198">
        <f>'SER_se-appl'!K9</f>
        <v>607.86614278084232</v>
      </c>
      <c r="L3" s="198">
        <f>'SER_se-appl'!L9</f>
        <v>622.08958509911167</v>
      </c>
      <c r="M3" s="198">
        <f>'SER_se-appl'!M9</f>
        <v>618.7920325161449</v>
      </c>
      <c r="N3" s="198">
        <f>'SER_se-appl'!N9</f>
        <v>627.55360998168953</v>
      </c>
      <c r="O3" s="198">
        <f>'SER_se-appl'!O9</f>
        <v>640.65182119741996</v>
      </c>
      <c r="P3" s="198">
        <f>'SER_se-appl'!P9</f>
        <v>663.10476401637413</v>
      </c>
      <c r="Q3" s="198">
        <f>'SER_se-appl'!Q9</f>
        <v>711.86844734699855</v>
      </c>
      <c r="R3" s="198">
        <f>'SER_se-appl'!R9</f>
        <v>739.29971385467604</v>
      </c>
      <c r="S3" s="198">
        <f>'SER_se-appl'!S9</f>
        <v>748.58934999748601</v>
      </c>
      <c r="T3" s="198">
        <f>'SER_se-appl'!T9</f>
        <v>767.42994164825893</v>
      </c>
      <c r="U3" s="198">
        <f>'SER_se-appl'!U9</f>
        <v>782.49533826199138</v>
      </c>
      <c r="V3" s="198">
        <f>'SER_se-appl'!V9</f>
        <v>757.96171481448766</v>
      </c>
      <c r="W3" s="198">
        <f>'SER_se-appl'!W9</f>
        <v>772.81238630739711</v>
      </c>
      <c r="X3" s="198">
        <f>'SER_se-appl'!X9</f>
        <v>786.83408764639933</v>
      </c>
      <c r="Y3" s="198">
        <f>'SER_se-appl'!Y9</f>
        <v>797.62784271411408</v>
      </c>
      <c r="DA3" s="205" t="s">
        <v>914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'SER_se-appl'!B17</f>
        <v>1730.4138289171647</v>
      </c>
      <c r="C5" s="59">
        <f>'SER_se-appl'!C17</f>
        <v>1927.7331072890117</v>
      </c>
      <c r="D5" s="59">
        <f>'SER_se-appl'!D17</f>
        <v>2123.2043072781962</v>
      </c>
      <c r="E5" s="59">
        <f>'SER_se-appl'!E17</f>
        <v>2293.9464037855878</v>
      </c>
      <c r="F5" s="59">
        <f>'SER_se-appl'!F17</f>
        <v>2490.1502110318834</v>
      </c>
      <c r="G5" s="59">
        <f>'SER_se-appl'!G17</f>
        <v>2652.877704082568</v>
      </c>
      <c r="H5" s="59">
        <f>'SER_se-appl'!H17</f>
        <v>2727.5533142432168</v>
      </c>
      <c r="I5" s="59">
        <f>'SER_se-appl'!I17</f>
        <v>2757.7292425483884</v>
      </c>
      <c r="J5" s="59">
        <f>'SER_se-appl'!J17</f>
        <v>2788.3850922311453</v>
      </c>
      <c r="K5" s="59">
        <f>'SER_se-appl'!K17</f>
        <v>2773.3843966580293</v>
      </c>
      <c r="L5" s="59">
        <f>'SER_se-appl'!L17</f>
        <v>2785.7964882304746</v>
      </c>
      <c r="M5" s="59">
        <f>'SER_se-appl'!M17</f>
        <v>2713.1786865223426</v>
      </c>
      <c r="N5" s="59">
        <f>'SER_se-appl'!N17</f>
        <v>2714.9164053342561</v>
      </c>
      <c r="O5" s="59">
        <f>'SER_se-appl'!O17</f>
        <v>2755.2358116066816</v>
      </c>
      <c r="P5" s="59">
        <f>'SER_se-appl'!P17</f>
        <v>2846.3068597252427</v>
      </c>
      <c r="Q5" s="59">
        <f>'SER_se-appl'!Q17</f>
        <v>3086.4800089823011</v>
      </c>
      <c r="R5" s="59">
        <f>'SER_se-appl'!R17</f>
        <v>3147.7031896096987</v>
      </c>
      <c r="S5" s="59">
        <f>'SER_se-appl'!S17</f>
        <v>3211.8986042292327</v>
      </c>
      <c r="T5" s="59">
        <f>'SER_se-appl'!T17</f>
        <v>3275.5228709810835</v>
      </c>
      <c r="U5" s="59">
        <f>'SER_se-appl'!U17</f>
        <v>3324.5988843460136</v>
      </c>
      <c r="V5" s="59">
        <f>'SER_se-appl'!V17</f>
        <v>3337.6756898929029</v>
      </c>
      <c r="W5" s="59">
        <f>'SER_se-appl'!W17</f>
        <v>3362.248091017871</v>
      </c>
      <c r="X5" s="59">
        <f>'SER_se-appl'!X17</f>
        <v>3370.1321876350025</v>
      </c>
      <c r="Y5" s="59">
        <f>'SER_se-appl'!Y17</f>
        <v>3392.6569160910553</v>
      </c>
      <c r="DA5" s="104" t="s">
        <v>921</v>
      </c>
    </row>
    <row r="6" spans="1:105" ht="12" customHeight="1" x14ac:dyDescent="0.25">
      <c r="A6" s="200" t="str">
        <f>"Penetration factor "&amp;MID('SER_se-appl'!A73,FIND("(",'SER_se-appl'!A73),100)</f>
        <v>Penetration factor (unit per capita)</v>
      </c>
      <c r="B6" s="201">
        <f>'SER_se-appl'!B73</f>
        <v>0.11121087716466173</v>
      </c>
      <c r="C6" s="201">
        <f>'SER_se-appl'!C73</f>
        <v>0.12713722630010765</v>
      </c>
      <c r="D6" s="201">
        <f>'SER_se-appl'!D73</f>
        <v>0.1442339932937392</v>
      </c>
      <c r="E6" s="201">
        <f>'SER_se-appl'!E73</f>
        <v>0.15948495913166344</v>
      </c>
      <c r="F6" s="201">
        <f>'SER_se-appl'!F73</f>
        <v>0.17847228509193899</v>
      </c>
      <c r="G6" s="201">
        <f>'SER_se-appl'!G73</f>
        <v>0.19592996943996374</v>
      </c>
      <c r="H6" s="201">
        <f>'SER_se-appl'!H73</f>
        <v>0.20949468325246806</v>
      </c>
      <c r="I6" s="201">
        <f>'SER_se-appl'!I73</f>
        <v>0.21988516387435947</v>
      </c>
      <c r="J6" s="201">
        <f>'SER_se-appl'!J73</f>
        <v>0.23081847482113346</v>
      </c>
      <c r="K6" s="201">
        <f>'SER_se-appl'!K73</f>
        <v>0.24136118703996837</v>
      </c>
      <c r="L6" s="201">
        <f>'SER_se-appl'!L73</f>
        <v>0.25849186907081412</v>
      </c>
      <c r="M6" s="201">
        <f>'SER_se-appl'!M73</f>
        <v>0.27144393596517535</v>
      </c>
      <c r="N6" s="201">
        <f>'SER_se-appl'!N73</f>
        <v>0.29142818358983774</v>
      </c>
      <c r="O6" s="201">
        <f>'SER_se-appl'!O73</f>
        <v>0.31612493067926939</v>
      </c>
      <c r="P6" s="201">
        <f>'SER_se-appl'!P73</f>
        <v>0.34503260748132109</v>
      </c>
      <c r="Q6" s="201">
        <f>'SER_se-appl'!Q73</f>
        <v>0.3882778220979885</v>
      </c>
      <c r="R6" s="201">
        <f>'SER_se-appl'!R73</f>
        <v>0.40589513216960887</v>
      </c>
      <c r="S6" s="201">
        <f>'SER_se-appl'!S73</f>
        <v>0.42285084704295434</v>
      </c>
      <c r="T6" s="201">
        <f>'SER_se-appl'!T73</f>
        <v>0.43880090881672668</v>
      </c>
      <c r="U6" s="201">
        <f>'SER_se-appl'!U73</f>
        <v>0.45288111725619457</v>
      </c>
      <c r="V6" s="201">
        <f>'SER_se-appl'!V73</f>
        <v>0.46454933292422773</v>
      </c>
      <c r="W6" s="201">
        <f>'SER_se-appl'!W73</f>
        <v>0.47804355897103296</v>
      </c>
      <c r="X6" s="201">
        <f>'SER_se-appl'!X73</f>
        <v>0.48903628342779182</v>
      </c>
      <c r="Y6" s="201">
        <f>'SER_se-appl'!Y73</f>
        <v>0.49661293758033875</v>
      </c>
      <c r="DA6" s="206" t="s">
        <v>963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"&amp;MID('SER_se-appl'!A25,FIND("(",'SER_se-appl'!A25),100)</f>
        <v>Stock of appliances (thousand units)</v>
      </c>
      <c r="B8" s="34">
        <f>'SER_se-appl'!B25</f>
        <v>4500.7244392335042</v>
      </c>
      <c r="C8" s="34">
        <f>'SER_se-appl'!C25</f>
        <v>5170.1045972822112</v>
      </c>
      <c r="D8" s="34">
        <f>'SER_se-appl'!D25</f>
        <v>5918.6820118587239</v>
      </c>
      <c r="E8" s="34">
        <f>'SER_se-appl'!E25</f>
        <v>6670.9110339958388</v>
      </c>
      <c r="F8" s="34">
        <f>'SER_se-appl'!F25</f>
        <v>7593.540804807305</v>
      </c>
      <c r="G8" s="34">
        <f>'SER_se-appl'!G25</f>
        <v>8483.0501812023413</v>
      </c>
      <c r="H8" s="34">
        <f>'SER_se-appl'!H25</f>
        <v>9219.8549345953052</v>
      </c>
      <c r="I8" s="34">
        <f>'SER_se-appl'!I25</f>
        <v>9847.483622468455</v>
      </c>
      <c r="J8" s="34">
        <f>'SER_se-appl'!J25</f>
        <v>10541.234846679381</v>
      </c>
      <c r="K8" s="34">
        <f>'SER_se-appl'!K25</f>
        <v>11160.36581914516</v>
      </c>
      <c r="L8" s="34">
        <f>'SER_se-appl'!L25</f>
        <v>12016.41303209282</v>
      </c>
      <c r="M8" s="34">
        <f>'SER_se-appl'!M25</f>
        <v>12667.521390931695</v>
      </c>
      <c r="N8" s="34">
        <f>'SER_se-appl'!N25</f>
        <v>13644.14852208123</v>
      </c>
      <c r="O8" s="34">
        <f>'SER_se-appl'!O25</f>
        <v>14767.033243094973</v>
      </c>
      <c r="P8" s="34">
        <f>'SER_se-appl'!P25</f>
        <v>16042.54778910399</v>
      </c>
      <c r="Q8" s="34">
        <f>'SER_se-appl'!Q25</f>
        <v>18026.078227486669</v>
      </c>
      <c r="R8" s="34">
        <f>'SER_se-appl'!R25</f>
        <v>18841.199056345744</v>
      </c>
      <c r="S8" s="34">
        <f>'SER_se-appl'!S25</f>
        <v>19661.462015339137</v>
      </c>
      <c r="T8" s="34">
        <f>'SER_se-appl'!T25</f>
        <v>20467.899107819834</v>
      </c>
      <c r="U8" s="34">
        <f>'SER_se-appl'!U25</f>
        <v>21248.706949368647</v>
      </c>
      <c r="V8" s="34">
        <f>'SER_se-appl'!V25</f>
        <v>21981.568562775254</v>
      </c>
      <c r="W8" s="34">
        <f>'SER_se-appl'!W25</f>
        <v>22659.646173987021</v>
      </c>
      <c r="X8" s="34">
        <f>'SER_se-appl'!X25</f>
        <v>23222.789212439053</v>
      </c>
      <c r="Y8" s="34">
        <f>'SER_se-appl'!Y25</f>
        <v>23879.812380821058</v>
      </c>
      <c r="DA8" s="88" t="s">
        <v>927</v>
      </c>
    </row>
    <row r="9" spans="1:105" ht="12.95" customHeight="1" x14ac:dyDescent="0.25">
      <c r="A9" s="202" t="str">
        <f>"Number of new appliances "&amp;MID('SER_se-appl'!A33,FIND("(",'SER_se-appl'!A33),100)</f>
        <v>Number of new appliances (thousand units)</v>
      </c>
      <c r="B9" s="36"/>
      <c r="C9" s="36">
        <f>'SER_se-appl'!C33</f>
        <v>1569.5250458954079</v>
      </c>
      <c r="D9" s="36">
        <f>'SER_se-appl'!D33</f>
        <v>1648.7223024232135</v>
      </c>
      <c r="E9" s="36">
        <f>'SER_se-appl'!E33</f>
        <v>1652.3739099838158</v>
      </c>
      <c r="F9" s="36">
        <f>'SER_se-appl'!F33</f>
        <v>1822.774658658167</v>
      </c>
      <c r="G9" s="36">
        <f>'SER_se-appl'!G33</f>
        <v>1789.6542642417371</v>
      </c>
      <c r="H9" s="36">
        <f>'SER_se-appl'!H33</f>
        <v>2306.3297992883718</v>
      </c>
      <c r="I9" s="36">
        <f>'SER_se-appl'!I33</f>
        <v>2276.3509902963633</v>
      </c>
      <c r="J9" s="36">
        <f>'SER_se-appl'!J33</f>
        <v>2346.1251341947427</v>
      </c>
      <c r="K9" s="36">
        <f>'SER_se-appl'!K33</f>
        <v>2441.9056311239456</v>
      </c>
      <c r="L9" s="36">
        <f>'SER_se-appl'!L33</f>
        <v>2645.7014771893973</v>
      </c>
      <c r="M9" s="36">
        <f>'SER_se-appl'!M33</f>
        <v>2957.4381581272464</v>
      </c>
      <c r="N9" s="36">
        <f>'SER_se-appl'!N33</f>
        <v>3252.9781214458981</v>
      </c>
      <c r="O9" s="36">
        <f>'SER_se-appl'!O33</f>
        <v>3469.0098552084855</v>
      </c>
      <c r="P9" s="36">
        <f>'SER_se-appl'!P33</f>
        <v>3717.4201771329626</v>
      </c>
      <c r="Q9" s="36">
        <f>'SER_se-appl'!Q33</f>
        <v>4629.2319155720761</v>
      </c>
      <c r="R9" s="36">
        <f>'SER_se-appl'!R33</f>
        <v>3772.5589869863215</v>
      </c>
      <c r="S9" s="36">
        <f>'SER_se-appl'!S33</f>
        <v>4073.2410804392912</v>
      </c>
      <c r="T9" s="36">
        <f>'SER_se-appl'!T33</f>
        <v>4275.4469476891827</v>
      </c>
      <c r="U9" s="36">
        <f>'SER_se-appl'!U33</f>
        <v>4498.228018681777</v>
      </c>
      <c r="V9" s="36">
        <f>'SER_se-appl'!V33</f>
        <v>5362.093528978683</v>
      </c>
      <c r="W9" s="36">
        <f>'SER_se-appl'!W33</f>
        <v>4450.6365981980889</v>
      </c>
      <c r="X9" s="36">
        <f>'SER_se-appl'!X33</f>
        <v>4636.3841188913248</v>
      </c>
      <c r="Y9" s="36">
        <f>'SER_se-appl'!Y33</f>
        <v>4932.4701160711884</v>
      </c>
      <c r="DA9" s="89" t="s">
        <v>933</v>
      </c>
    </row>
    <row r="10" spans="1:105" ht="12" customHeight="1" x14ac:dyDescent="0.25">
      <c r="A10" s="203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900.14488784670084</v>
      </c>
      <c r="D10" s="38">
        <f>'SER_se-appl'!D41</f>
        <v>900.14488784670084</v>
      </c>
      <c r="E10" s="38">
        <f>'SER_se-appl'!E41</f>
        <v>900.14488784670084</v>
      </c>
      <c r="F10" s="38">
        <f>'SER_se-appl'!F41</f>
        <v>900.14488784670084</v>
      </c>
      <c r="G10" s="38">
        <f>'SER_se-appl'!G41</f>
        <v>900.14488784669993</v>
      </c>
      <c r="H10" s="38">
        <f>'SER_se-appl'!H41</f>
        <v>1569.5250458954088</v>
      </c>
      <c r="I10" s="38">
        <f>'SER_se-appl'!I41</f>
        <v>1648.7223024232135</v>
      </c>
      <c r="J10" s="38">
        <f>'SER_se-appl'!J41</f>
        <v>1652.3739099838167</v>
      </c>
      <c r="K10" s="38">
        <f>'SER_se-appl'!K41</f>
        <v>1822.774658658167</v>
      </c>
      <c r="L10" s="38">
        <f>'SER_se-appl'!L41</f>
        <v>1789.6542642417371</v>
      </c>
      <c r="M10" s="38">
        <f>'SER_se-appl'!M41</f>
        <v>2306.3297992883709</v>
      </c>
      <c r="N10" s="38">
        <f>'SER_se-appl'!N41</f>
        <v>2276.3509902963633</v>
      </c>
      <c r="O10" s="38">
        <f>'SER_se-appl'!O41</f>
        <v>2346.1251341947409</v>
      </c>
      <c r="P10" s="38">
        <f>'SER_se-appl'!P41</f>
        <v>2441.9056311239456</v>
      </c>
      <c r="Q10" s="38">
        <f>'SER_se-appl'!Q41</f>
        <v>2645.7014771893992</v>
      </c>
      <c r="R10" s="38">
        <f>'SER_se-appl'!R41</f>
        <v>2957.4381581272464</v>
      </c>
      <c r="S10" s="38">
        <f>'SER_se-appl'!S41</f>
        <v>3252.9781214458999</v>
      </c>
      <c r="T10" s="38">
        <f>'SER_se-appl'!T41</f>
        <v>3469.0098552084855</v>
      </c>
      <c r="U10" s="38">
        <f>'SER_se-appl'!U41</f>
        <v>3717.4201771329645</v>
      </c>
      <c r="V10" s="38">
        <f>'SER_se-appl'!V41</f>
        <v>4629.2319155720761</v>
      </c>
      <c r="W10" s="38">
        <f>'SER_se-appl'!W41</f>
        <v>3772.5589869863215</v>
      </c>
      <c r="X10" s="38">
        <f>'SER_se-appl'!X41</f>
        <v>4073.241080439293</v>
      </c>
      <c r="Y10" s="38">
        <f>'SER_se-appl'!Y41</f>
        <v>4275.4469476891827</v>
      </c>
      <c r="DA10" s="90" t="s">
        <v>939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'SER_se-appl'!B49</f>
        <v>2103.50927223604</v>
      </c>
      <c r="C12" s="204">
        <f>'SER_se-appl'!C49</f>
        <v>2155.7125172555579</v>
      </c>
      <c r="D12" s="204">
        <f>'SER_se-appl'!D49</f>
        <v>2214.7186257187254</v>
      </c>
      <c r="E12" s="204">
        <f>'SER_se-appl'!E49</f>
        <v>2270.5542018850165</v>
      </c>
      <c r="F12" s="204">
        <f>'SER_se-appl'!F49</f>
        <v>2314.290399169503</v>
      </c>
      <c r="G12" s="204">
        <f>'SER_se-appl'!G49</f>
        <v>2355.5870500568949</v>
      </c>
      <c r="H12" s="204">
        <f>'SER_se-appl'!H49</f>
        <v>2406.4596770075709</v>
      </c>
      <c r="I12" s="204">
        <f>'SER_se-appl'!I49</f>
        <v>2459.6192851155229</v>
      </c>
      <c r="J12" s="204">
        <f>'SER_se-appl'!J49</f>
        <v>2504.7159616879362</v>
      </c>
      <c r="K12" s="204">
        <f>'SER_se-appl'!K49</f>
        <v>2549.045580937151</v>
      </c>
      <c r="L12" s="204">
        <f>'SER_se-appl'!L49</f>
        <v>2597.0676268955476</v>
      </c>
      <c r="M12" s="204">
        <f>'SER_se-appl'!M49</f>
        <v>2652.4428243194898</v>
      </c>
      <c r="N12" s="204">
        <f>'SER_se-appl'!N49</f>
        <v>2688.2774253185435</v>
      </c>
      <c r="O12" s="204">
        <f>'SER_se-appl'!O49</f>
        <v>2704.2261316214394</v>
      </c>
      <c r="P12" s="204">
        <f>'SER_se-appl'!P49</f>
        <v>2709.4437759444077</v>
      </c>
      <c r="Q12" s="204">
        <f>'SER_se-appl'!Q49</f>
        <v>2682.353366473098</v>
      </c>
      <c r="R12" s="204">
        <f>'SER_se-appl'!R49</f>
        <v>2731.5331701258669</v>
      </c>
      <c r="S12" s="204">
        <f>'SER_se-appl'!S49</f>
        <v>2710.5756480005648</v>
      </c>
      <c r="T12" s="204">
        <f>'SER_se-appl'!T49</f>
        <v>2724.8199975767457</v>
      </c>
      <c r="U12" s="204">
        <f>'SER_se-appl'!U49</f>
        <v>2737.2988744105637</v>
      </c>
      <c r="V12" s="204">
        <f>'SER_se-appl'!V49</f>
        <v>2641.0878594305082</v>
      </c>
      <c r="W12" s="204">
        <f>'SER_se-appl'!W49</f>
        <v>2673.1543328898438</v>
      </c>
      <c r="X12" s="204">
        <f>'SER_se-appl'!X49</f>
        <v>2715.2882824306289</v>
      </c>
      <c r="Y12" s="204">
        <f>'SER_se-appl'!Y49</f>
        <v>2734.2616834516898</v>
      </c>
      <c r="DA12" s="208" t="s">
        <v>945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384.47451122154519</v>
      </c>
      <c r="C14" s="59">
        <f>'SER_se-appl'!C57</f>
        <v>372.86152939775548</v>
      </c>
      <c r="D14" s="59">
        <f>'SER_se-appl'!D57</f>
        <v>358.72924124393325</v>
      </c>
      <c r="E14" s="59">
        <f>'SER_se-appl'!E57</f>
        <v>343.8730320484467</v>
      </c>
      <c r="F14" s="59">
        <f>'SER_se-appl'!F57</f>
        <v>327.93004937241187</v>
      </c>
      <c r="G14" s="59">
        <f>'SER_se-appl'!G57</f>
        <v>312.72686680094159</v>
      </c>
      <c r="H14" s="59">
        <f>'SER_se-appl'!H57</f>
        <v>295.834732063812</v>
      </c>
      <c r="I14" s="59">
        <f>'SER_se-appl'!I57</f>
        <v>280.04405473254417</v>
      </c>
      <c r="J14" s="59">
        <f>'SER_se-appl'!J57</f>
        <v>264.52167443262312</v>
      </c>
      <c r="K14" s="59">
        <f>'SER_se-appl'!K57</f>
        <v>248.50300085149539</v>
      </c>
      <c r="L14" s="59">
        <f>'SER_se-appl'!L57</f>
        <v>231.83261766970827</v>
      </c>
      <c r="M14" s="59">
        <f>'SER_se-appl'!M57</f>
        <v>214.18386460863823</v>
      </c>
      <c r="N14" s="59">
        <f>'SER_se-appl'!N57</f>
        <v>198.98027355393612</v>
      </c>
      <c r="O14" s="59">
        <f>'SER_se-appl'!O57</f>
        <v>186.58018616535739</v>
      </c>
      <c r="P14" s="59">
        <f>'SER_se-appl'!P57</f>
        <v>177.42237063232801</v>
      </c>
      <c r="Q14" s="59">
        <f>'SER_se-appl'!Q57</f>
        <v>171.22304530310703</v>
      </c>
      <c r="R14" s="59">
        <f>'SER_se-appl'!R57</f>
        <v>167.06490814073467</v>
      </c>
      <c r="S14" s="59">
        <f>'SER_se-appl'!S57</f>
        <v>163.36011033784922</v>
      </c>
      <c r="T14" s="59">
        <f>'SER_se-appl'!T57</f>
        <v>160.03219742907851</v>
      </c>
      <c r="U14" s="59">
        <f>'SER_se-appl'!U57</f>
        <v>156.4612327831457</v>
      </c>
      <c r="V14" s="59">
        <f>'SER_se-appl'!V57</f>
        <v>151.83974157081306</v>
      </c>
      <c r="W14" s="59">
        <f>'SER_se-appl'!W57</f>
        <v>148.38043212156103</v>
      </c>
      <c r="X14" s="59">
        <f>'SER_se-appl'!X57</f>
        <v>145.12176624459156</v>
      </c>
      <c r="Y14" s="59">
        <f>'SER_se-appl'!Y57</f>
        <v>142.07217636332223</v>
      </c>
      <c r="DA14" s="104" t="s">
        <v>951</v>
      </c>
    </row>
    <row r="15" spans="1:105" ht="12" customHeight="1" x14ac:dyDescent="0.25">
      <c r="A15" s="203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346.2206898681705</v>
      </c>
      <c r="D15" s="63">
        <f>'SER_se-appl'!D65</f>
        <v>328.4688785835354</v>
      </c>
      <c r="E15" s="63">
        <f>'SER_se-appl'!E65</f>
        <v>312.77718630638907</v>
      </c>
      <c r="F15" s="63">
        <f>'SER_se-appl'!F65</f>
        <v>297.50609624391655</v>
      </c>
      <c r="G15" s="63">
        <f>'SER_se-appl'!G65</f>
        <v>284.30645460434602</v>
      </c>
      <c r="H15" s="63">
        <f>'SER_se-appl'!H65</f>
        <v>267.99187805084898</v>
      </c>
      <c r="I15" s="63">
        <f>'SER_se-appl'!I65</f>
        <v>251.16069380994469</v>
      </c>
      <c r="J15" s="63">
        <f>'SER_se-appl'!J65</f>
        <v>233.35529038671356</v>
      </c>
      <c r="K15" s="63">
        <f>'SER_se-appl'!K65</f>
        <v>215.93212724355661</v>
      </c>
      <c r="L15" s="63">
        <f>'SER_se-appl'!L65</f>
        <v>197.00724170902001</v>
      </c>
      <c r="M15" s="63">
        <f>'SER_se-appl'!M65</f>
        <v>184.43660473806855</v>
      </c>
      <c r="N15" s="63">
        <f>'SER_se-appl'!N65</f>
        <v>176.29003069802556</v>
      </c>
      <c r="O15" s="63">
        <f>'SER_se-appl'!O65</f>
        <v>169.44319641048705</v>
      </c>
      <c r="P15" s="63">
        <f>'SER_se-appl'!P65</f>
        <v>166.3403371453366</v>
      </c>
      <c r="Q15" s="63">
        <f>'SER_se-appl'!Q65</f>
        <v>164.47555740346382</v>
      </c>
      <c r="R15" s="63">
        <f>'SER_se-appl'!R65</f>
        <v>160.81472425692613</v>
      </c>
      <c r="S15" s="63">
        <f>'SER_se-appl'!S65</f>
        <v>156.54929696438828</v>
      </c>
      <c r="T15" s="63">
        <f>'SER_se-appl'!T65</f>
        <v>152.36404356506955</v>
      </c>
      <c r="U15" s="63">
        <f>'SER_se-appl'!U65</f>
        <v>148.37685776891703</v>
      </c>
      <c r="V15" s="63">
        <f>'SER_se-appl'!V65</f>
        <v>144.43468787423876</v>
      </c>
      <c r="W15" s="63">
        <f>'SER_se-appl'!W65</f>
        <v>141.83486349250245</v>
      </c>
      <c r="X15" s="63">
        <f>'SER_se-appl'!X65</f>
        <v>139.23503911076617</v>
      </c>
      <c r="Y15" s="63">
        <f>'SER_se-appl'!Y65</f>
        <v>136.63521472902985</v>
      </c>
      <c r="DA15" s="105" t="s">
        <v>957</v>
      </c>
    </row>
    <row r="17" spans="1:105" ht="12" customHeight="1" x14ac:dyDescent="0.25">
      <c r="A17" s="197" t="s">
        <v>184</v>
      </c>
      <c r="B17" s="198">
        <v>88.902841076899747</v>
      </c>
      <c r="C17" s="198">
        <v>107.46802752202149</v>
      </c>
      <c r="D17" s="198">
        <v>126.13831721754151</v>
      </c>
      <c r="E17" s="198">
        <v>144.35784782405767</v>
      </c>
      <c r="F17" s="198">
        <v>161.78948113899963</v>
      </c>
      <c r="G17" s="198">
        <v>177.80568215379938</v>
      </c>
      <c r="H17" s="198">
        <v>191.49761308054772</v>
      </c>
      <c r="I17" s="198">
        <v>203.78494108111056</v>
      </c>
      <c r="J17" s="198">
        <v>215.244774943652</v>
      </c>
      <c r="K17" s="198">
        <v>226.20025299081829</v>
      </c>
      <c r="L17" s="198">
        <v>237.07424287173259</v>
      </c>
      <c r="M17" s="198">
        <v>243.70040510675835</v>
      </c>
      <c r="N17" s="198">
        <v>251.36912760048193</v>
      </c>
      <c r="O17" s="198">
        <v>255.767048576668</v>
      </c>
      <c r="P17" s="198">
        <v>260.16496955285413</v>
      </c>
      <c r="Q17" s="198">
        <v>264.56289052904032</v>
      </c>
      <c r="R17" s="198">
        <v>268.96081150522645</v>
      </c>
      <c r="S17" s="198">
        <v>273.35873248141257</v>
      </c>
      <c r="T17" s="198">
        <v>277.7566534575987</v>
      </c>
      <c r="U17" s="198">
        <v>282.15457443378466</v>
      </c>
      <c r="V17" s="198">
        <v>286.55249540997119</v>
      </c>
      <c r="W17" s="198">
        <v>290.95041638615726</v>
      </c>
      <c r="X17" s="198">
        <v>295.34833736234339</v>
      </c>
      <c r="Y17" s="198">
        <v>298.30182073596717</v>
      </c>
      <c r="DA17" s="205" t="s">
        <v>965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E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27" t="s">
        <v>150</v>
      </c>
    </row>
    <row r="2" spans="1:105" x14ac:dyDescent="0.25">
      <c r="A2" s="6"/>
    </row>
    <row r="3" spans="1:105" x14ac:dyDescent="0.25">
      <c r="A3" s="218" t="s">
        <v>179</v>
      </c>
      <c r="B3" s="219">
        <v>39701.019495272427</v>
      </c>
      <c r="C3" s="219">
        <v>40387.721924715639</v>
      </c>
      <c r="D3" s="219">
        <v>39305.010920553912</v>
      </c>
      <c r="E3" s="219">
        <v>39827.899486586153</v>
      </c>
      <c r="F3" s="219">
        <v>37527.093454575057</v>
      </c>
      <c r="G3" s="219">
        <v>34489.05005708657</v>
      </c>
      <c r="H3" s="219">
        <v>31403.76958017001</v>
      </c>
      <c r="I3" s="219">
        <v>33652.699030540083</v>
      </c>
      <c r="J3" s="219">
        <v>31385.177849708682</v>
      </c>
      <c r="K3" s="219">
        <v>28538.21676473767</v>
      </c>
      <c r="L3" s="219">
        <v>31222.51806760782</v>
      </c>
      <c r="M3" s="219">
        <v>30343.88959677258</v>
      </c>
      <c r="N3" s="219">
        <v>29994.615886265819</v>
      </c>
      <c r="O3" s="219">
        <v>32429.14411702524</v>
      </c>
      <c r="P3" s="219">
        <v>31854.48631973708</v>
      </c>
      <c r="Q3" s="219">
        <v>35630.801700000004</v>
      </c>
      <c r="R3" s="219">
        <v>37853.390067252978</v>
      </c>
      <c r="S3" s="219">
        <v>38872.077296493597</v>
      </c>
      <c r="T3" s="219">
        <v>38430.052244627317</v>
      </c>
      <c r="U3" s="219">
        <v>36507.433929291583</v>
      </c>
      <c r="V3" s="219">
        <v>35752.709228836218</v>
      </c>
      <c r="W3" s="219">
        <v>38091.699632614909</v>
      </c>
      <c r="X3" s="219">
        <v>33671.058131536724</v>
      </c>
      <c r="Y3" s="219">
        <v>37454</v>
      </c>
      <c r="DA3" s="210" t="s">
        <v>974</v>
      </c>
    </row>
    <row r="5" spans="1:105" x14ac:dyDescent="0.25">
      <c r="A5" s="218" t="s">
        <v>120</v>
      </c>
      <c r="B5" s="219">
        <v>22936.07010261924</v>
      </c>
      <c r="C5" s="219">
        <v>21897.081177383101</v>
      </c>
      <c r="D5" s="219">
        <v>20807.33278190998</v>
      </c>
      <c r="E5" s="219">
        <v>24645.827909598651</v>
      </c>
      <c r="F5" s="219">
        <v>28506.725597483819</v>
      </c>
      <c r="G5" s="219">
        <v>23180.206603158302</v>
      </c>
      <c r="H5" s="219">
        <v>21632.105628621019</v>
      </c>
      <c r="I5" s="219">
        <v>24994.270628515838</v>
      </c>
      <c r="J5" s="219">
        <v>21832.75565814682</v>
      </c>
      <c r="K5" s="219">
        <v>17124.362792750169</v>
      </c>
      <c r="L5" s="219">
        <v>17440.923383222958</v>
      </c>
      <c r="M5" s="219">
        <v>20698.59431964219</v>
      </c>
      <c r="N5" s="219">
        <v>22945.312826442139</v>
      </c>
      <c r="O5" s="219">
        <v>25311.494977714861</v>
      </c>
      <c r="P5" s="219">
        <v>25243.346190708391</v>
      </c>
      <c r="Q5" s="219">
        <v>23381.942468904279</v>
      </c>
      <c r="R5" s="219">
        <v>23156.80704686273</v>
      </c>
      <c r="S5" s="219">
        <v>25260.191741409311</v>
      </c>
      <c r="T5" s="219">
        <v>24151.0057891623</v>
      </c>
      <c r="U5" s="219">
        <v>25620.439878421999</v>
      </c>
      <c r="V5" s="219">
        <v>24912.163830795362</v>
      </c>
      <c r="W5" s="219">
        <v>26729.617944833401</v>
      </c>
      <c r="X5" s="219">
        <v>29578.346981251849</v>
      </c>
      <c r="Y5" s="219">
        <v>26884.723580925511</v>
      </c>
      <c r="DA5" s="210" t="s">
        <v>975</v>
      </c>
    </row>
    <row r="6" spans="1:105" x14ac:dyDescent="0.25">
      <c r="A6" s="220" t="s">
        <v>119</v>
      </c>
      <c r="B6" s="221">
        <v>28670.08762827405</v>
      </c>
      <c r="C6" s="221">
        <v>27236.583246860351</v>
      </c>
      <c r="D6" s="221">
        <v>25803.078865446649</v>
      </c>
      <c r="E6" s="221">
        <v>27236.583246860351</v>
      </c>
      <c r="F6" s="221">
        <v>30103.592009687749</v>
      </c>
      <c r="G6" s="221">
        <v>28670.08762827405</v>
      </c>
      <c r="H6" s="221">
        <v>28670.08762827405</v>
      </c>
      <c r="I6" s="221">
        <v>27236.583246860351</v>
      </c>
      <c r="J6" s="221">
        <v>25803.078865446649</v>
      </c>
      <c r="K6" s="221">
        <v>25803.078865446649</v>
      </c>
      <c r="L6" s="221">
        <v>24369.574484032939</v>
      </c>
      <c r="M6" s="221">
        <v>22936.07010261924</v>
      </c>
      <c r="N6" s="221">
        <v>24369.574484032939</v>
      </c>
      <c r="O6" s="221">
        <v>27236.583246860351</v>
      </c>
      <c r="P6" s="221">
        <v>27236.583246860351</v>
      </c>
      <c r="Q6" s="221">
        <v>27236.583246860351</v>
      </c>
      <c r="R6" s="221">
        <v>25803.078865446649</v>
      </c>
      <c r="S6" s="221">
        <v>27236.583246860351</v>
      </c>
      <c r="T6" s="221">
        <v>27236.583246860351</v>
      </c>
      <c r="U6" s="221">
        <v>27236.583246860351</v>
      </c>
      <c r="V6" s="221">
        <v>27236.583246860351</v>
      </c>
      <c r="W6" s="221">
        <v>28670.08762827405</v>
      </c>
      <c r="X6" s="221">
        <v>31537.096391101459</v>
      </c>
      <c r="Y6" s="221">
        <v>30103.592009687749</v>
      </c>
      <c r="DA6" s="211" t="s">
        <v>976</v>
      </c>
    </row>
    <row r="7" spans="1:105" x14ac:dyDescent="0.25">
      <c r="A7" s="224" t="s">
        <v>118</v>
      </c>
      <c r="B7" s="225"/>
      <c r="C7" s="225">
        <v>0</v>
      </c>
      <c r="D7" s="225">
        <v>0</v>
      </c>
      <c r="E7" s="225">
        <v>1433.504381413703</v>
      </c>
      <c r="F7" s="225">
        <v>4300.5131442411084</v>
      </c>
      <c r="G7" s="225">
        <v>0</v>
      </c>
      <c r="H7" s="225">
        <v>0</v>
      </c>
      <c r="I7" s="225">
        <v>0</v>
      </c>
      <c r="J7" s="225">
        <v>0</v>
      </c>
      <c r="K7" s="225">
        <v>0</v>
      </c>
      <c r="L7" s="225">
        <v>0</v>
      </c>
      <c r="M7" s="225">
        <v>0</v>
      </c>
      <c r="N7" s="225">
        <v>1433.504381413703</v>
      </c>
      <c r="O7" s="225">
        <v>4300.5131442411084</v>
      </c>
      <c r="P7" s="225">
        <v>1433.504381413703</v>
      </c>
      <c r="Q7" s="225">
        <v>0</v>
      </c>
      <c r="R7" s="225">
        <v>0</v>
      </c>
      <c r="S7" s="225">
        <v>2867.008762827405</v>
      </c>
      <c r="T7" s="225">
        <v>0</v>
      </c>
      <c r="U7" s="225">
        <v>1433.504381413703</v>
      </c>
      <c r="V7" s="225">
        <v>1433.504381413703</v>
      </c>
      <c r="W7" s="225">
        <v>1433.504381413703</v>
      </c>
      <c r="X7" s="225">
        <v>4300.5131442411084</v>
      </c>
      <c r="Y7" s="225">
        <v>0</v>
      </c>
      <c r="DA7" s="212" t="s">
        <v>977</v>
      </c>
    </row>
    <row r="8" spans="1:105" x14ac:dyDescent="0.25">
      <c r="A8" s="226" t="s">
        <v>117</v>
      </c>
      <c r="B8" s="227"/>
      <c r="C8" s="227">
        <f t="shared" ref="C8" si="0">IF(B6=0,0,B6+C7-C6)</f>
        <v>1433.5043814136989</v>
      </c>
      <c r="D8" s="227">
        <f t="shared" ref="D8" si="1">IF(C6=0,0,C6+D7-D6)</f>
        <v>1433.5043814137025</v>
      </c>
      <c r="E8" s="227">
        <f t="shared" ref="E8" si="2">IF(D6=0,0,D6+E7-E6)</f>
        <v>0</v>
      </c>
      <c r="F8" s="227">
        <f t="shared" ref="F8" si="3">IF(E6=0,0,E6+F7-F6)</f>
        <v>1433.5043814137098</v>
      </c>
      <c r="G8" s="227">
        <f t="shared" ref="G8" si="4">IF(F6=0,0,F6+G7-G6)</f>
        <v>1433.5043814136989</v>
      </c>
      <c r="H8" s="227">
        <f t="shared" ref="H8" si="5">IF(G6=0,0,G6+H7-H6)</f>
        <v>0</v>
      </c>
      <c r="I8" s="227">
        <f t="shared" ref="I8" si="6">IF(H6=0,0,H6+I7-I6)</f>
        <v>1433.5043814136989</v>
      </c>
      <c r="J8" s="227">
        <f t="shared" ref="J8" si="7">IF(I6=0,0,I6+J7-J6)</f>
        <v>1433.5043814137025</v>
      </c>
      <c r="K8" s="227">
        <f t="shared" ref="K8" si="8">IF(J6=0,0,J6+K7-K6)</f>
        <v>0</v>
      </c>
      <c r="L8" s="227">
        <f t="shared" ref="L8" si="9">IF(K6=0,0,K6+L7-L6)</f>
        <v>1433.5043814137098</v>
      </c>
      <c r="M8" s="227">
        <f t="shared" ref="M8" si="10">IF(L6=0,0,L6+M7-M6)</f>
        <v>1433.5043814136989</v>
      </c>
      <c r="N8" s="227">
        <f t="shared" ref="N8" si="11">IF(M6=0,0,M6+N7-N6)</f>
        <v>3.637978807091713E-12</v>
      </c>
      <c r="O8" s="227">
        <f t="shared" ref="O8" si="12">IF(N6=0,0,N6+O7-O6)</f>
        <v>1433.5043814136952</v>
      </c>
      <c r="P8" s="227">
        <f t="shared" ref="P8" si="13">IF(O6=0,0,O6+P7-P6)</f>
        <v>1433.5043814137025</v>
      </c>
      <c r="Q8" s="227">
        <f t="shared" ref="Q8" si="14">IF(P6=0,0,P6+Q7-Q6)</f>
        <v>0</v>
      </c>
      <c r="R8" s="227">
        <f t="shared" ref="R8" si="15">IF(Q6=0,0,Q6+R7-R6)</f>
        <v>1433.5043814137025</v>
      </c>
      <c r="S8" s="227">
        <f t="shared" ref="S8" si="16">IF(R6=0,0,R6+S7-S6)</f>
        <v>1433.5043814137025</v>
      </c>
      <c r="T8" s="227">
        <f t="shared" ref="T8" si="17">IF(S6=0,0,S6+T7-T6)</f>
        <v>0</v>
      </c>
      <c r="U8" s="227">
        <f t="shared" ref="U8" si="18">IF(T6=0,0,T6+U7-U6)</f>
        <v>1433.5043814137025</v>
      </c>
      <c r="V8" s="227">
        <f t="shared" ref="V8" si="19">IF(U6=0,0,U6+V7-V6)</f>
        <v>1433.5043814137025</v>
      </c>
      <c r="W8" s="227">
        <f t="shared" ref="W8" si="20">IF(V6=0,0,V6+W7-W6)</f>
        <v>3.637978807091713E-12</v>
      </c>
      <c r="X8" s="227">
        <f t="shared" ref="X8" si="21">IF(W6=0,0,W6+X7-X6)</f>
        <v>1433.5043814136989</v>
      </c>
      <c r="Y8" s="227">
        <f t="shared" ref="Y8" si="22">IF(X6=0,0,X6+Y7-Y6)</f>
        <v>1433.5043814137098</v>
      </c>
      <c r="DA8" s="213" t="s">
        <v>978</v>
      </c>
    </row>
    <row r="9" spans="1:105" x14ac:dyDescent="0.25">
      <c r="A9" s="222" t="s">
        <v>116</v>
      </c>
      <c r="B9" s="223">
        <f>B6-B5</f>
        <v>5734.01752565481</v>
      </c>
      <c r="C9" s="223">
        <f t="shared" ref="C9:W9" si="23">C6-C5</f>
        <v>5339.5020694772502</v>
      </c>
      <c r="D9" s="223">
        <f t="shared" si="23"/>
        <v>4995.7460835366692</v>
      </c>
      <c r="E9" s="223">
        <f t="shared" si="23"/>
        <v>2590.7553372617003</v>
      </c>
      <c r="F9" s="223">
        <f t="shared" si="23"/>
        <v>1596.8664122039299</v>
      </c>
      <c r="G9" s="223">
        <f t="shared" si="23"/>
        <v>5489.8810251157483</v>
      </c>
      <c r="H9" s="223">
        <f t="shared" si="23"/>
        <v>7037.9819996530314</v>
      </c>
      <c r="I9" s="223">
        <f t="shared" si="23"/>
        <v>2242.3126183445129</v>
      </c>
      <c r="J9" s="223">
        <f t="shared" si="23"/>
        <v>3970.3232072998289</v>
      </c>
      <c r="K9" s="223">
        <f t="shared" si="23"/>
        <v>8678.7160726964794</v>
      </c>
      <c r="L9" s="223">
        <f t="shared" si="23"/>
        <v>6928.6511008099806</v>
      </c>
      <c r="M9" s="223">
        <f t="shared" si="23"/>
        <v>2237.4757829770497</v>
      </c>
      <c r="N9" s="223">
        <f t="shared" si="23"/>
        <v>1424.2616575907996</v>
      </c>
      <c r="O9" s="223">
        <f t="shared" si="23"/>
        <v>1925.0882691454899</v>
      </c>
      <c r="P9" s="223">
        <f t="shared" si="23"/>
        <v>1993.2370561519601</v>
      </c>
      <c r="Q9" s="223">
        <f t="shared" si="23"/>
        <v>3854.6407779560723</v>
      </c>
      <c r="R9" s="223">
        <f t="shared" si="23"/>
        <v>2646.2718185839185</v>
      </c>
      <c r="S9" s="223">
        <f t="shared" si="23"/>
        <v>1976.3915054510398</v>
      </c>
      <c r="T9" s="223">
        <f t="shared" si="23"/>
        <v>3085.5774576980511</v>
      </c>
      <c r="U9" s="223">
        <f t="shared" si="23"/>
        <v>1616.1433684383519</v>
      </c>
      <c r="V9" s="223">
        <f t="shared" si="23"/>
        <v>2324.4194160649895</v>
      </c>
      <c r="W9" s="223">
        <f t="shared" si="23"/>
        <v>1940.4696834406495</v>
      </c>
      <c r="X9" s="223">
        <f t="shared" ref="X9:Y9" si="24">X6-X5</f>
        <v>1958.7494098496099</v>
      </c>
      <c r="Y9" s="223">
        <f t="shared" si="24"/>
        <v>3218.8684287622382</v>
      </c>
      <c r="DA9" s="214" t="s">
        <v>979</v>
      </c>
    </row>
    <row r="10" spans="1:105" x14ac:dyDescent="0.25"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</row>
    <row r="11" spans="1:105" x14ac:dyDescent="0.25">
      <c r="A11" s="218" t="s">
        <v>115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DA11" s="210"/>
    </row>
    <row r="12" spans="1:105" x14ac:dyDescent="0.25">
      <c r="A12" s="228" t="s">
        <v>114</v>
      </c>
      <c r="B12" s="229">
        <f>SUM(B13,B14,B18,B19,B26,B27)</f>
        <v>2579.659071367154</v>
      </c>
      <c r="C12" s="229">
        <f t="shared" ref="C12:W12" si="25">SUM(C13,C14,C18,C19,C26,C27)</f>
        <v>2404.7248495270851</v>
      </c>
      <c r="D12" s="229">
        <f t="shared" si="25"/>
        <v>2368.0631126397243</v>
      </c>
      <c r="E12" s="229">
        <f t="shared" si="25"/>
        <v>2946.1098022355977</v>
      </c>
      <c r="F12" s="229">
        <f t="shared" si="25"/>
        <v>3344.0145313843504</v>
      </c>
      <c r="G12" s="229">
        <f t="shared" si="25"/>
        <v>3112.9634565778156</v>
      </c>
      <c r="H12" s="229">
        <f t="shared" si="25"/>
        <v>2813.4116938950983</v>
      </c>
      <c r="I12" s="229">
        <f t="shared" si="25"/>
        <v>2944.6923473774723</v>
      </c>
      <c r="J12" s="229">
        <f t="shared" si="25"/>
        <v>2696.2621668099746</v>
      </c>
      <c r="K12" s="229">
        <f t="shared" si="25"/>
        <v>2360.3126397248489</v>
      </c>
      <c r="L12" s="229">
        <f t="shared" si="25"/>
        <v>2240.743078245916</v>
      </c>
      <c r="M12" s="229">
        <f t="shared" si="25"/>
        <v>2401.4780739466896</v>
      </c>
      <c r="N12" s="229">
        <f t="shared" si="25"/>
        <v>2714.7097162510745</v>
      </c>
      <c r="O12" s="229">
        <f t="shared" si="25"/>
        <v>2984.0943250214964</v>
      </c>
      <c r="P12" s="229">
        <f t="shared" si="25"/>
        <v>2883.1095442820292</v>
      </c>
      <c r="Q12" s="229">
        <f t="shared" si="25"/>
        <v>2728.1416165090286</v>
      </c>
      <c r="R12" s="229">
        <f t="shared" si="25"/>
        <v>2742.0553740326741</v>
      </c>
      <c r="S12" s="229">
        <f t="shared" si="25"/>
        <v>2759.9250214961307</v>
      </c>
      <c r="T12" s="229">
        <f t="shared" si="25"/>
        <v>2778.3202063628551</v>
      </c>
      <c r="U12" s="229">
        <f t="shared" si="25"/>
        <v>2928.686242476354</v>
      </c>
      <c r="V12" s="229">
        <f t="shared" si="25"/>
        <v>3014.9393809114358</v>
      </c>
      <c r="W12" s="229">
        <f t="shared" si="25"/>
        <v>3090.28950988822</v>
      </c>
      <c r="X12" s="229">
        <f t="shared" ref="X12:Y12" si="26">SUM(X13,X14,X18,X19,X26,X27)</f>
        <v>2926.0827171109199</v>
      </c>
      <c r="Y12" s="229">
        <f t="shared" si="26"/>
        <v>2725.5441100601888</v>
      </c>
      <c r="DA12" s="210" t="s">
        <v>980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DA13" s="9" t="s">
        <v>981</v>
      </c>
    </row>
    <row r="14" spans="1:105" x14ac:dyDescent="0.25">
      <c r="A14" s="60" t="s">
        <v>28</v>
      </c>
      <c r="B14" s="55">
        <f>SUM(B15:B17)</f>
        <v>2045.1872742906276</v>
      </c>
      <c r="C14" s="55">
        <f t="shared" ref="C14:W14" si="27">SUM(C15:C17)</f>
        <v>1908.8612209802234</v>
      </c>
      <c r="D14" s="55">
        <f t="shared" si="27"/>
        <v>1876.6742906276868</v>
      </c>
      <c r="E14" s="55">
        <f t="shared" si="27"/>
        <v>2070.1133276010319</v>
      </c>
      <c r="F14" s="55">
        <f t="shared" si="27"/>
        <v>2325.2412725709373</v>
      </c>
      <c r="G14" s="55">
        <f t="shared" si="27"/>
        <v>2263.3157351676691</v>
      </c>
      <c r="H14" s="55">
        <f t="shared" si="27"/>
        <v>1951.614617368873</v>
      </c>
      <c r="I14" s="55">
        <f t="shared" si="27"/>
        <v>2087.0617368873604</v>
      </c>
      <c r="J14" s="55">
        <f t="shared" si="27"/>
        <v>1852.6392089423907</v>
      </c>
      <c r="K14" s="55">
        <f t="shared" si="27"/>
        <v>1738.5592433361987</v>
      </c>
      <c r="L14" s="55">
        <f t="shared" si="27"/>
        <v>1682.053138435082</v>
      </c>
      <c r="M14" s="55">
        <f t="shared" si="27"/>
        <v>1519.7836629406709</v>
      </c>
      <c r="N14" s="55">
        <f t="shared" si="27"/>
        <v>1670.043938091143</v>
      </c>
      <c r="O14" s="55">
        <f t="shared" si="27"/>
        <v>1869.4062768701635</v>
      </c>
      <c r="P14" s="55">
        <f t="shared" si="27"/>
        <v>1734.5801375752362</v>
      </c>
      <c r="Q14" s="55">
        <f t="shared" si="27"/>
        <v>1893.6251074806537</v>
      </c>
      <c r="R14" s="55">
        <f t="shared" si="27"/>
        <v>2002.448237317283</v>
      </c>
      <c r="S14" s="55">
        <f t="shared" si="27"/>
        <v>2011.1970765262254</v>
      </c>
      <c r="T14" s="55">
        <f t="shared" si="27"/>
        <v>2113.2558899398109</v>
      </c>
      <c r="U14" s="55">
        <f t="shared" si="27"/>
        <v>2183.9472055030092</v>
      </c>
      <c r="V14" s="55">
        <f t="shared" si="27"/>
        <v>2330.4814273430784</v>
      </c>
      <c r="W14" s="55">
        <f t="shared" si="27"/>
        <v>2377.3808254514183</v>
      </c>
      <c r="X14" s="55">
        <f t="shared" ref="X14:Y14" si="28">SUM(X15:X17)</f>
        <v>2290.185038693035</v>
      </c>
      <c r="Y14" s="55">
        <f t="shared" si="28"/>
        <v>2103.0089423903692</v>
      </c>
      <c r="DA14" s="10"/>
    </row>
    <row r="15" spans="1:105" x14ac:dyDescent="0.25">
      <c r="A15" s="61" t="s">
        <v>52</v>
      </c>
      <c r="B15" s="55">
        <v>80.211607910576092</v>
      </c>
      <c r="C15" s="55">
        <v>74.562940670679282</v>
      </c>
      <c r="D15" s="55">
        <v>74.562940670679282</v>
      </c>
      <c r="E15" s="55">
        <v>73.433190025795355</v>
      </c>
      <c r="F15" s="55">
        <v>74.562940670679282</v>
      </c>
      <c r="G15" s="55">
        <v>64.395270851246778</v>
      </c>
      <c r="H15" s="55">
        <v>58.746517626827163</v>
      </c>
      <c r="I15" s="55">
        <v>55.357351676698187</v>
      </c>
      <c r="J15" s="55">
        <v>50.838349097162506</v>
      </c>
      <c r="K15" s="55">
        <v>45.18968185726569</v>
      </c>
      <c r="L15" s="55">
        <v>42.93018056749785</v>
      </c>
      <c r="M15" s="55">
        <v>39.540928632846082</v>
      </c>
      <c r="N15" s="55">
        <v>36.151676698194322</v>
      </c>
      <c r="O15" s="55">
        <v>33.892261392949273</v>
      </c>
      <c r="P15" s="55">
        <v>41.80042992261393</v>
      </c>
      <c r="Q15" s="55">
        <v>47.449097162510739</v>
      </c>
      <c r="R15" s="55">
        <v>53.097850386930347</v>
      </c>
      <c r="S15" s="55">
        <v>50.838349097162506</v>
      </c>
      <c r="T15" s="55">
        <v>50.838349097162506</v>
      </c>
      <c r="U15" s="55">
        <v>59.876268271711091</v>
      </c>
      <c r="V15" s="55">
        <v>55.357351676698187</v>
      </c>
      <c r="W15" s="55">
        <v>49.620464316423039</v>
      </c>
      <c r="X15" s="55">
        <v>56.613585554600164</v>
      </c>
      <c r="Y15" s="55">
        <v>64.280051590713654</v>
      </c>
      <c r="DA15" s="10" t="s">
        <v>982</v>
      </c>
    </row>
    <row r="16" spans="1:105" x14ac:dyDescent="0.25">
      <c r="A16" s="61" t="s">
        <v>165</v>
      </c>
      <c r="B16" s="55">
        <v>1901.046173688736</v>
      </c>
      <c r="C16" s="55">
        <v>1789.099054170249</v>
      </c>
      <c r="D16" s="55">
        <v>1754.1797936371449</v>
      </c>
      <c r="E16" s="55">
        <v>1949.316938950989</v>
      </c>
      <c r="F16" s="55">
        <v>2225.589939810834</v>
      </c>
      <c r="G16" s="55">
        <v>2183.4814273430779</v>
      </c>
      <c r="H16" s="55">
        <v>1845.5861564918309</v>
      </c>
      <c r="I16" s="55">
        <v>1987.3172828890799</v>
      </c>
      <c r="J16" s="55">
        <v>1775.747549441101</v>
      </c>
      <c r="K16" s="55">
        <v>1674.070851246775</v>
      </c>
      <c r="L16" s="55">
        <v>1622.719002579536</v>
      </c>
      <c r="M16" s="55">
        <v>1468.6634565778161</v>
      </c>
      <c r="N16" s="55">
        <v>1598.0700773860699</v>
      </c>
      <c r="O16" s="55">
        <v>1660.7194325021499</v>
      </c>
      <c r="P16" s="55">
        <v>1550.8263972484951</v>
      </c>
      <c r="Q16" s="55">
        <v>1765.4772141014619</v>
      </c>
      <c r="R16" s="55">
        <v>1890.7758383490973</v>
      </c>
      <c r="S16" s="55">
        <v>1913.3705932932073</v>
      </c>
      <c r="T16" s="55">
        <v>2003.7498710232162</v>
      </c>
      <c r="U16" s="55">
        <v>2064.3451418744626</v>
      </c>
      <c r="V16" s="55">
        <v>2226.6169389509887</v>
      </c>
      <c r="W16" s="55">
        <v>2279.0668099742043</v>
      </c>
      <c r="X16" s="55">
        <v>2185.3619088564055</v>
      </c>
      <c r="Y16" s="55">
        <v>1909.4165090283745</v>
      </c>
      <c r="DA16" s="10" t="s">
        <v>983</v>
      </c>
    </row>
    <row r="17" spans="1:105" x14ac:dyDescent="0.25">
      <c r="A17" s="61" t="s">
        <v>113</v>
      </c>
      <c r="B17" s="55">
        <v>63.929492691315552</v>
      </c>
      <c r="C17" s="55">
        <v>45.199226139294936</v>
      </c>
      <c r="D17" s="55">
        <v>47.931556319862423</v>
      </c>
      <c r="E17" s="55">
        <v>47.363198624247623</v>
      </c>
      <c r="F17" s="55">
        <v>25.088392089423909</v>
      </c>
      <c r="G17" s="55">
        <v>15.4390369733448</v>
      </c>
      <c r="H17" s="55">
        <v>47.281943250214958</v>
      </c>
      <c r="I17" s="55">
        <v>44.387102321582113</v>
      </c>
      <c r="J17" s="55">
        <v>26.053310404127259</v>
      </c>
      <c r="K17" s="55">
        <v>19.298710232158211</v>
      </c>
      <c r="L17" s="55">
        <v>16.403955288048149</v>
      </c>
      <c r="M17" s="55">
        <v>11.5792777300086</v>
      </c>
      <c r="N17" s="55">
        <v>35.822184006878757</v>
      </c>
      <c r="O17" s="55">
        <v>174.79458297506449</v>
      </c>
      <c r="P17" s="55">
        <v>141.95331040412731</v>
      </c>
      <c r="Q17" s="55">
        <v>80.698796216680989</v>
      </c>
      <c r="R17" s="55">
        <v>58.574548581255364</v>
      </c>
      <c r="S17" s="55">
        <v>46.988134135855546</v>
      </c>
      <c r="T17" s="55">
        <v>58.66766981943249</v>
      </c>
      <c r="U17" s="55">
        <v>59.725795356835761</v>
      </c>
      <c r="V17" s="55">
        <v>48.507136715391241</v>
      </c>
      <c r="W17" s="55">
        <v>48.693551160791053</v>
      </c>
      <c r="X17" s="55">
        <v>48.209544282029228</v>
      </c>
      <c r="Y17" s="55">
        <v>129.31238177128117</v>
      </c>
      <c r="DA17" s="10" t="s">
        <v>984</v>
      </c>
    </row>
    <row r="18" spans="1:105" x14ac:dyDescent="0.25">
      <c r="A18" s="60" t="s">
        <v>149</v>
      </c>
      <c r="B18" s="55">
        <v>91.422269991401535</v>
      </c>
      <c r="C18" s="55">
        <v>38.735683576956141</v>
      </c>
      <c r="D18" s="55">
        <v>50.708942390369728</v>
      </c>
      <c r="E18" s="55">
        <v>428.11341358555461</v>
      </c>
      <c r="F18" s="55">
        <v>558.48632846087696</v>
      </c>
      <c r="G18" s="55">
        <v>378.58675838349092</v>
      </c>
      <c r="H18" s="55">
        <v>343.76328460877039</v>
      </c>
      <c r="I18" s="55">
        <v>342.75296646603613</v>
      </c>
      <c r="J18" s="55">
        <v>319.5632846087704</v>
      </c>
      <c r="K18" s="55">
        <v>91.658985382631116</v>
      </c>
      <c r="L18" s="55">
        <v>137.23095442820289</v>
      </c>
      <c r="M18" s="55">
        <v>466.48753224419602</v>
      </c>
      <c r="N18" s="55">
        <v>631.79974204643156</v>
      </c>
      <c r="O18" s="55">
        <v>647.57446259673259</v>
      </c>
      <c r="P18" s="55">
        <v>627.45915735167671</v>
      </c>
      <c r="Q18" s="55">
        <v>257.43981083404992</v>
      </c>
      <c r="R18" s="55">
        <v>151.8069647463457</v>
      </c>
      <c r="S18" s="55">
        <v>168.12084169726319</v>
      </c>
      <c r="T18" s="55">
        <v>156.16928317425553</v>
      </c>
      <c r="U18" s="55">
        <v>195.32812230475469</v>
      </c>
      <c r="V18" s="55">
        <v>161.23654361228239</v>
      </c>
      <c r="W18" s="55">
        <v>145.94087947591734</v>
      </c>
      <c r="X18" s="55">
        <v>97.917530914880189</v>
      </c>
      <c r="Y18" s="55">
        <v>100.46255558673919</v>
      </c>
      <c r="DA18" s="10" t="s">
        <v>985</v>
      </c>
    </row>
    <row r="19" spans="1:105" x14ac:dyDescent="0.25">
      <c r="A19" s="60" t="s">
        <v>51</v>
      </c>
      <c r="B19" s="55">
        <f>SUM(B20:B25)</f>
        <v>11.923129836629405</v>
      </c>
      <c r="C19" s="55">
        <f t="shared" ref="C19:W19" si="29">SUM(C20:C25)</f>
        <v>11.986070507308684</v>
      </c>
      <c r="D19" s="55">
        <f t="shared" si="29"/>
        <v>11.789079965606188</v>
      </c>
      <c r="E19" s="55">
        <f t="shared" si="29"/>
        <v>13.489251934651765</v>
      </c>
      <c r="F19" s="55">
        <f t="shared" si="29"/>
        <v>13.855288048151328</v>
      </c>
      <c r="G19" s="55">
        <f t="shared" si="29"/>
        <v>15.858899398108338</v>
      </c>
      <c r="H19" s="55">
        <f t="shared" si="29"/>
        <v>19.065606190885642</v>
      </c>
      <c r="I19" s="55">
        <f t="shared" si="29"/>
        <v>19.864746345657778</v>
      </c>
      <c r="J19" s="55">
        <f t="shared" si="29"/>
        <v>32.056233877901974</v>
      </c>
      <c r="K19" s="55">
        <f t="shared" si="29"/>
        <v>58.46930352536544</v>
      </c>
      <c r="L19" s="55">
        <f t="shared" si="29"/>
        <v>64.709200343938093</v>
      </c>
      <c r="M19" s="55">
        <f t="shared" si="29"/>
        <v>66.2816852966466</v>
      </c>
      <c r="N19" s="55">
        <f t="shared" si="29"/>
        <v>68.584006878761826</v>
      </c>
      <c r="O19" s="55">
        <f t="shared" si="29"/>
        <v>79.581341358555449</v>
      </c>
      <c r="P19" s="55">
        <f t="shared" si="29"/>
        <v>76.788220120378327</v>
      </c>
      <c r="Q19" s="55">
        <f t="shared" si="29"/>
        <v>76.044883920894236</v>
      </c>
      <c r="R19" s="55">
        <f t="shared" si="29"/>
        <v>73.2687876182287</v>
      </c>
      <c r="S19" s="55">
        <f t="shared" si="29"/>
        <v>73.986295018128033</v>
      </c>
      <c r="T19" s="55">
        <f t="shared" si="29"/>
        <v>77.768636000293085</v>
      </c>
      <c r="U19" s="55">
        <f t="shared" si="29"/>
        <v>77.871791710722491</v>
      </c>
      <c r="V19" s="55">
        <f t="shared" si="29"/>
        <v>71.372742716178465</v>
      </c>
      <c r="W19" s="55">
        <f t="shared" si="29"/>
        <v>71.439000145750754</v>
      </c>
      <c r="X19" s="55">
        <f t="shared" ref="X19:Y19" si="30">SUM(X20:X25)</f>
        <v>73.749708981938383</v>
      </c>
      <c r="Y19" s="55">
        <f t="shared" si="30"/>
        <v>72.003824464851519</v>
      </c>
      <c r="DA19" s="10"/>
    </row>
    <row r="20" spans="1:105" x14ac:dyDescent="0.25">
      <c r="A20" s="61" t="s">
        <v>164</v>
      </c>
      <c r="B20" s="55">
        <v>8.7656061908856397</v>
      </c>
      <c r="C20" s="55">
        <v>8.8134135855545992</v>
      </c>
      <c r="D20" s="55">
        <v>8.8134135855545992</v>
      </c>
      <c r="E20" s="55">
        <v>12.419948409286331</v>
      </c>
      <c r="F20" s="55">
        <v>13.017110920034391</v>
      </c>
      <c r="G20" s="55">
        <v>15.21444539982803</v>
      </c>
      <c r="H20" s="55">
        <v>18.295614789337922</v>
      </c>
      <c r="I20" s="55">
        <v>19.083748925193461</v>
      </c>
      <c r="J20" s="55">
        <v>27.84944110060189</v>
      </c>
      <c r="K20" s="55">
        <v>56.248237317282893</v>
      </c>
      <c r="L20" s="55">
        <v>58.947205503009457</v>
      </c>
      <c r="M20" s="55">
        <v>61.622269991401552</v>
      </c>
      <c r="N20" s="55">
        <v>62.888134135855537</v>
      </c>
      <c r="O20" s="55">
        <v>65.061650902837485</v>
      </c>
      <c r="P20" s="55">
        <v>65.443766122098012</v>
      </c>
      <c r="Q20" s="55">
        <v>68.381599312123811</v>
      </c>
      <c r="R20" s="55">
        <v>65.443766122098012</v>
      </c>
      <c r="S20" s="55">
        <v>65.443766122098012</v>
      </c>
      <c r="T20" s="55">
        <v>67.330696474634564</v>
      </c>
      <c r="U20" s="55">
        <v>67.760619088564056</v>
      </c>
      <c r="V20" s="55">
        <v>67.688907996560616</v>
      </c>
      <c r="W20" s="55">
        <v>66.375236457437651</v>
      </c>
      <c r="X20" s="55">
        <v>66.757437661220976</v>
      </c>
      <c r="Y20" s="55">
        <v>66.781341358555451</v>
      </c>
      <c r="DA20" s="10" t="s">
        <v>986</v>
      </c>
    </row>
    <row r="21" spans="1:105" x14ac:dyDescent="0.25">
      <c r="A21" s="61" t="s">
        <v>50</v>
      </c>
      <c r="B21" s="55">
        <v>7.1625107480653469E-2</v>
      </c>
      <c r="C21" s="55">
        <v>7.1625107480653469E-2</v>
      </c>
      <c r="D21" s="55">
        <v>7.1625107480653469E-2</v>
      </c>
      <c r="E21" s="55">
        <v>7.1625107480653469E-2</v>
      </c>
      <c r="F21" s="55">
        <v>7.1625107480653469E-2</v>
      </c>
      <c r="G21" s="55">
        <v>7.1625107480653469E-2</v>
      </c>
      <c r="H21" s="55">
        <v>7.1625107480653469E-2</v>
      </c>
      <c r="I21" s="55">
        <v>7.1625107480653469E-2</v>
      </c>
      <c r="J21" s="55">
        <v>3.2960447119518479</v>
      </c>
      <c r="K21" s="55">
        <v>0.9792777300085983</v>
      </c>
      <c r="L21" s="55">
        <v>4.5380911435941522</v>
      </c>
      <c r="M21" s="55">
        <v>3.224419604471195</v>
      </c>
      <c r="N21" s="55">
        <v>3.6065348237317281</v>
      </c>
      <c r="O21" s="55">
        <v>10.867497850386931</v>
      </c>
      <c r="P21" s="55">
        <v>7.690799656061909</v>
      </c>
      <c r="Q21" s="55">
        <v>0.90765262252794487</v>
      </c>
      <c r="R21" s="55">
        <v>1.7196904557179711</v>
      </c>
      <c r="S21" s="55">
        <v>1.8126922666233187</v>
      </c>
      <c r="T21" s="55">
        <v>1.6433565505940215</v>
      </c>
      <c r="U21" s="55">
        <v>1.9609576608514665</v>
      </c>
      <c r="V21" s="55">
        <v>1.8874460695748645</v>
      </c>
      <c r="W21" s="55">
        <v>2.5472546599382078</v>
      </c>
      <c r="X21" s="55">
        <v>4.7216780275101815</v>
      </c>
      <c r="Y21" s="55">
        <v>2.2244607503201288</v>
      </c>
      <c r="DA21" s="10" t="s">
        <v>987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0.64488392089423896</v>
      </c>
      <c r="O22" s="55">
        <v>2.1981083404987101</v>
      </c>
      <c r="P22" s="55">
        <v>2.1981083404987101</v>
      </c>
      <c r="Q22" s="55">
        <v>4.9233018056749778</v>
      </c>
      <c r="R22" s="55">
        <v>4.2784178847807386</v>
      </c>
      <c r="S22" s="55">
        <v>4.9233018056749778</v>
      </c>
      <c r="T22" s="55">
        <v>7.0035253654342213</v>
      </c>
      <c r="U22" s="55">
        <v>6.3586414445399821</v>
      </c>
      <c r="V22" s="55">
        <v>0</v>
      </c>
      <c r="W22" s="55">
        <v>0.72364574376612201</v>
      </c>
      <c r="X22" s="55">
        <v>0.48306104901117797</v>
      </c>
      <c r="Y22" s="55">
        <v>1.2150472914875321</v>
      </c>
      <c r="DA22" s="10" t="s">
        <v>988</v>
      </c>
    </row>
    <row r="23" spans="1:105" x14ac:dyDescent="0.25">
      <c r="A23" s="61" t="s">
        <v>26</v>
      </c>
      <c r="B23" s="55">
        <v>0.20154772141014615</v>
      </c>
      <c r="C23" s="55">
        <v>0.21668099742046432</v>
      </c>
      <c r="D23" s="55">
        <v>0.22123817712811689</v>
      </c>
      <c r="E23" s="55">
        <v>0.24067067927773</v>
      </c>
      <c r="F23" s="55">
        <v>0.3183147033533964</v>
      </c>
      <c r="G23" s="55">
        <v>0.40455717970765259</v>
      </c>
      <c r="H23" s="55">
        <v>0.69836629406706785</v>
      </c>
      <c r="I23" s="55">
        <v>0.70937231298366288</v>
      </c>
      <c r="J23" s="55">
        <v>0.91074806534823716</v>
      </c>
      <c r="K23" s="55">
        <v>1.2417884780739468</v>
      </c>
      <c r="L23" s="55">
        <v>1.2239036973344797</v>
      </c>
      <c r="M23" s="55">
        <v>1.4349957007738607</v>
      </c>
      <c r="N23" s="55">
        <v>1.4444539982803093</v>
      </c>
      <c r="O23" s="55">
        <v>1.45408426483233</v>
      </c>
      <c r="P23" s="55">
        <v>1.45554600171969</v>
      </c>
      <c r="Q23" s="55">
        <v>1.8323301805674979</v>
      </c>
      <c r="R23" s="55">
        <v>1.826913155631986</v>
      </c>
      <c r="S23" s="55">
        <v>1.8065348237317278</v>
      </c>
      <c r="T23" s="55">
        <v>1.7910576096302662</v>
      </c>
      <c r="U23" s="55">
        <v>1.7915735167669822</v>
      </c>
      <c r="V23" s="55">
        <v>1.7963886500429922</v>
      </c>
      <c r="W23" s="55">
        <v>1.7928632846087702</v>
      </c>
      <c r="X23" s="55">
        <v>1.7875322441960453</v>
      </c>
      <c r="Y23" s="55">
        <v>1.7829750644883922</v>
      </c>
      <c r="DA23" s="10" t="s">
        <v>989</v>
      </c>
    </row>
    <row r="24" spans="1:105" x14ac:dyDescent="0.25">
      <c r="A24" s="61" t="s">
        <v>25</v>
      </c>
      <c r="B24" s="55">
        <v>2.884350816852967</v>
      </c>
      <c r="C24" s="55">
        <v>2.884350816852967</v>
      </c>
      <c r="D24" s="55">
        <v>2.6828030954428201</v>
      </c>
      <c r="E24" s="55">
        <v>0.75700773860705073</v>
      </c>
      <c r="F24" s="55">
        <v>0.44823731728288913</v>
      </c>
      <c r="G24" s="55">
        <v>0.1682717110920034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" t="s">
        <v>990</v>
      </c>
    </row>
    <row r="25" spans="1:105" x14ac:dyDescent="0.25">
      <c r="A25" s="61" t="s">
        <v>151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DA25" s="10" t="s">
        <v>991</v>
      </c>
    </row>
    <row r="26" spans="1:105" x14ac:dyDescent="0.25">
      <c r="A26" s="60" t="s">
        <v>162</v>
      </c>
      <c r="B26" s="55">
        <v>0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5">
        <v>0</v>
      </c>
      <c r="N26" s="55">
        <v>0</v>
      </c>
      <c r="O26" s="55">
        <v>0</v>
      </c>
      <c r="P26" s="55">
        <v>0</v>
      </c>
      <c r="Q26" s="55">
        <v>0</v>
      </c>
      <c r="R26" s="55">
        <v>0</v>
      </c>
      <c r="S26" s="55">
        <v>0</v>
      </c>
      <c r="T26" s="55">
        <v>0</v>
      </c>
      <c r="U26" s="55">
        <v>0</v>
      </c>
      <c r="V26" s="55">
        <v>0</v>
      </c>
      <c r="W26" s="55">
        <v>0</v>
      </c>
      <c r="X26" s="55">
        <v>0</v>
      </c>
      <c r="Y26" s="55">
        <v>0</v>
      </c>
      <c r="DA26" s="10" t="s">
        <v>992</v>
      </c>
    </row>
    <row r="27" spans="1:105" x14ac:dyDescent="0.25">
      <c r="A27" s="62" t="s">
        <v>24</v>
      </c>
      <c r="B27" s="63">
        <v>431.12639724849532</v>
      </c>
      <c r="C27" s="63">
        <v>445.14187446259672</v>
      </c>
      <c r="D27" s="63">
        <v>428.89079965606192</v>
      </c>
      <c r="E27" s="63">
        <v>434.39380911435939</v>
      </c>
      <c r="F27" s="63">
        <v>446.43164230438521</v>
      </c>
      <c r="G27" s="63">
        <v>455.20206362854691</v>
      </c>
      <c r="H27" s="63">
        <v>498.96818572656917</v>
      </c>
      <c r="I27" s="63">
        <v>495.01289767841791</v>
      </c>
      <c r="J27" s="63">
        <v>492.0034393809114</v>
      </c>
      <c r="K27" s="63">
        <v>471.62510748065353</v>
      </c>
      <c r="L27" s="63">
        <v>356.74978503869301</v>
      </c>
      <c r="M27" s="63">
        <v>348.92519346517622</v>
      </c>
      <c r="N27" s="63">
        <v>344.28202923473771</v>
      </c>
      <c r="O27" s="63">
        <v>387.5322441960447</v>
      </c>
      <c r="P27" s="63">
        <v>444.28202923473771</v>
      </c>
      <c r="Q27" s="63">
        <v>501.03181427343083</v>
      </c>
      <c r="R27" s="63">
        <v>514.53138435081678</v>
      </c>
      <c r="S27" s="63">
        <v>506.62080825451409</v>
      </c>
      <c r="T27" s="63">
        <v>431.12639724849532</v>
      </c>
      <c r="U27" s="63">
        <v>471.53912295786751</v>
      </c>
      <c r="V27" s="63">
        <v>451.84866723989683</v>
      </c>
      <c r="W27" s="63">
        <v>495.52880481513319</v>
      </c>
      <c r="X27" s="63">
        <v>464.23043852106628</v>
      </c>
      <c r="Y27" s="63">
        <v>450.06878761822867</v>
      </c>
      <c r="DA27" s="11" t="s">
        <v>993</v>
      </c>
    </row>
    <row r="29" spans="1:105" x14ac:dyDescent="0.25">
      <c r="A29" s="218" t="s">
        <v>84</v>
      </c>
      <c r="B29" s="219">
        <v>6530.928386040001</v>
      </c>
      <c r="C29" s="219">
        <v>5982.56521488</v>
      </c>
      <c r="D29" s="219">
        <v>5911.6899290399997</v>
      </c>
      <c r="E29" s="219">
        <v>7400.3925578400003</v>
      </c>
      <c r="F29" s="219">
        <v>8494.7685321600002</v>
      </c>
      <c r="G29" s="219">
        <v>7883.4519086399996</v>
      </c>
      <c r="H29" s="219">
        <v>6841.6323847199983</v>
      </c>
      <c r="I29" s="219">
        <v>7260.6339543599997</v>
      </c>
      <c r="J29" s="219">
        <v>6478.4374326000016</v>
      </c>
      <c r="K29" s="219">
        <v>5590.8814067999983</v>
      </c>
      <c r="L29" s="219">
        <v>5523.2556652800013</v>
      </c>
      <c r="M29" s="219">
        <v>5794.0782461999997</v>
      </c>
      <c r="N29" s="219">
        <v>6645.5491445999987</v>
      </c>
      <c r="O29" s="219">
        <v>7288.9923740400018</v>
      </c>
      <c r="P29" s="219">
        <v>6821.0801279999996</v>
      </c>
      <c r="Q29" s="219">
        <v>6448.5442195200012</v>
      </c>
      <c r="R29" s="219">
        <v>6537.6007722000013</v>
      </c>
      <c r="S29" s="219">
        <v>6605.1691135901565</v>
      </c>
      <c r="T29" s="219">
        <v>6892.31336875942</v>
      </c>
      <c r="U29" s="219">
        <v>7199.2284696031711</v>
      </c>
      <c r="V29" s="219">
        <v>7575.645059726503</v>
      </c>
      <c r="W29" s="219">
        <v>7687.7129744204594</v>
      </c>
      <c r="X29" s="219">
        <v>7301.9937726817097</v>
      </c>
      <c r="Y29" s="219">
        <v>6714.190548916843</v>
      </c>
      <c r="DA29" s="8"/>
    </row>
    <row r="31" spans="1:105" x14ac:dyDescent="0.25">
      <c r="A31" s="33" t="s">
        <v>183</v>
      </c>
      <c r="B31" s="59">
        <f t="shared" ref="B31:Y31" si="31">IF(B$12=0,"",B$12/B$3*1000)</f>
        <v>64.977149306564741</v>
      </c>
      <c r="C31" s="59">
        <f t="shared" si="31"/>
        <v>59.540987580571894</v>
      </c>
      <c r="D31" s="59">
        <f t="shared" si="31"/>
        <v>60.248376916272129</v>
      </c>
      <c r="E31" s="59">
        <f t="shared" si="31"/>
        <v>73.971006259766057</v>
      </c>
      <c r="F31" s="59">
        <f t="shared" si="31"/>
        <v>89.109340040739824</v>
      </c>
      <c r="G31" s="59">
        <f t="shared" si="31"/>
        <v>90.259472250619012</v>
      </c>
      <c r="H31" s="59">
        <f t="shared" si="31"/>
        <v>89.588343422046833</v>
      </c>
      <c r="I31" s="59">
        <f t="shared" si="31"/>
        <v>87.502412353468031</v>
      </c>
      <c r="J31" s="59">
        <f t="shared" si="31"/>
        <v>85.908774508824436</v>
      </c>
      <c r="K31" s="59">
        <f t="shared" si="31"/>
        <v>82.707082197276364</v>
      </c>
      <c r="L31" s="59">
        <f t="shared" si="31"/>
        <v>71.766891875726131</v>
      </c>
      <c r="M31" s="59">
        <f t="shared" si="31"/>
        <v>79.142064707555306</v>
      </c>
      <c r="N31" s="59">
        <f t="shared" si="31"/>
        <v>90.506567130073108</v>
      </c>
      <c r="O31" s="59">
        <f t="shared" si="31"/>
        <v>92.018904792952966</v>
      </c>
      <c r="P31" s="59">
        <f t="shared" si="31"/>
        <v>90.508743896951529</v>
      </c>
      <c r="Q31" s="59">
        <f t="shared" si="31"/>
        <v>76.566944507146147</v>
      </c>
      <c r="R31" s="59">
        <f t="shared" si="31"/>
        <v>72.43883227264314</v>
      </c>
      <c r="S31" s="59">
        <f t="shared" si="31"/>
        <v>71.000193800939115</v>
      </c>
      <c r="T31" s="59">
        <f t="shared" si="31"/>
        <v>72.295509479857017</v>
      </c>
      <c r="U31" s="59">
        <f t="shared" si="31"/>
        <v>80.221640560897796</v>
      </c>
      <c r="V31" s="59">
        <f t="shared" si="31"/>
        <v>84.327578131610451</v>
      </c>
      <c r="W31" s="59">
        <f t="shared" si="31"/>
        <v>81.127635146063412</v>
      </c>
      <c r="X31" s="59">
        <f t="shared" si="31"/>
        <v>86.902012573531664</v>
      </c>
      <c r="Y31" s="59">
        <f t="shared" si="31"/>
        <v>72.770441342985777</v>
      </c>
      <c r="DA31" s="211"/>
    </row>
    <row r="32" spans="1:105" x14ac:dyDescent="0.25">
      <c r="A32" s="35" t="s">
        <v>112</v>
      </c>
      <c r="B32" s="55">
        <f t="shared" ref="B32:Y32" si="32">IF(B$12=0,"",B$12/B$5*1000)</f>
        <v>112.47171201628669</v>
      </c>
      <c r="C32" s="55">
        <f t="shared" si="32"/>
        <v>109.81942433546166</v>
      </c>
      <c r="D32" s="55">
        <f t="shared" si="32"/>
        <v>113.80906613357637</v>
      </c>
      <c r="E32" s="55">
        <f t="shared" si="32"/>
        <v>119.53787119840253</v>
      </c>
      <c r="F32" s="55">
        <f t="shared" si="32"/>
        <v>117.3061606093235</v>
      </c>
      <c r="G32" s="55">
        <f t="shared" si="32"/>
        <v>134.29403412451359</v>
      </c>
      <c r="H32" s="55">
        <f t="shared" si="32"/>
        <v>130.05722800154638</v>
      </c>
      <c r="I32" s="55">
        <f t="shared" si="32"/>
        <v>117.81469406104162</v>
      </c>
      <c r="J32" s="55">
        <f t="shared" si="32"/>
        <v>123.49619118298854</v>
      </c>
      <c r="K32" s="55">
        <f t="shared" si="32"/>
        <v>137.83360398812147</v>
      </c>
      <c r="L32" s="55">
        <f t="shared" si="32"/>
        <v>128.47617233393538</v>
      </c>
      <c r="M32" s="55">
        <f t="shared" si="32"/>
        <v>116.02131221383362</v>
      </c>
      <c r="N32" s="55">
        <f t="shared" si="32"/>
        <v>118.3121684496124</v>
      </c>
      <c r="O32" s="55">
        <f t="shared" si="32"/>
        <v>117.89482713876833</v>
      </c>
      <c r="P32" s="55">
        <f t="shared" si="32"/>
        <v>114.21265320772919</v>
      </c>
      <c r="Q32" s="55">
        <f t="shared" si="32"/>
        <v>116.67728719019786</v>
      </c>
      <c r="R32" s="55">
        <f t="shared" si="32"/>
        <v>118.41249825520164</v>
      </c>
      <c r="S32" s="55">
        <f t="shared" si="32"/>
        <v>109.25986032686185</v>
      </c>
      <c r="T32" s="55">
        <f t="shared" si="32"/>
        <v>115.03952384499112</v>
      </c>
      <c r="U32" s="55">
        <f t="shared" si="32"/>
        <v>114.31053707016743</v>
      </c>
      <c r="V32" s="55">
        <f t="shared" si="32"/>
        <v>121.02278233994654</v>
      </c>
      <c r="W32" s="55">
        <f t="shared" si="32"/>
        <v>115.6129323010225</v>
      </c>
      <c r="X32" s="55">
        <f t="shared" si="32"/>
        <v>98.926512660278448</v>
      </c>
      <c r="Y32" s="55">
        <f t="shared" si="32"/>
        <v>101.37891512464498</v>
      </c>
      <c r="DA32" s="216"/>
    </row>
    <row r="33" spans="1:105" x14ac:dyDescent="0.25">
      <c r="A33" s="35" t="s">
        <v>111</v>
      </c>
      <c r="B33" s="55">
        <f>IF(AGR_ued!B$5=0,"",AGR_ued!B$5/B$5*1000)</f>
        <v>44.098795399856165</v>
      </c>
      <c r="C33" s="55">
        <f>IF(AGR_ued!C$5=0,"",AGR_ued!C$5/C$5*1000)</f>
        <v>43.433221183432458</v>
      </c>
      <c r="D33" s="55">
        <f>IF(AGR_ued!D$5=0,"",AGR_ued!D$5/D$5*1000)</f>
        <v>44.925514435921379</v>
      </c>
      <c r="E33" s="55">
        <f>IF(AGR_ued!E$5=0,"",AGR_ued!E$5/E$5*1000)</f>
        <v>47.005481785287401</v>
      </c>
      <c r="F33" s="55">
        <f>IF(AGR_ued!F$5=0,"",AGR_ued!F$5/F$5*1000)</f>
        <v>45.972042203369142</v>
      </c>
      <c r="G33" s="55">
        <f>IF(AGR_ued!G$5=0,"",AGR_ued!G$5/G$5*1000)</f>
        <v>52.69717779429174</v>
      </c>
      <c r="H33" s="55">
        <f>IF(AGR_ued!H$5=0,"",AGR_ued!H$5/H$5*1000)</f>
        <v>51.806765208323668</v>
      </c>
      <c r="I33" s="55">
        <f>IF(AGR_ued!I$5=0,"",AGR_ued!I$5/I$5*1000)</f>
        <v>46.675635667128148</v>
      </c>
      <c r="J33" s="55">
        <f>IF(AGR_ued!J$5=0,"",AGR_ued!J$5/J$5*1000)</f>
        <v>49.330588755369874</v>
      </c>
      <c r="K33" s="55">
        <f>IF(AGR_ued!K$5=0,"",AGR_ued!K$5/K$5*1000)</f>
        <v>55.032354646481146</v>
      </c>
      <c r="L33" s="55">
        <f>IF(AGR_ued!L$5=0,"",AGR_ued!L$5/L$5*1000)</f>
        <v>50.253274947762527</v>
      </c>
      <c r="M33" s="55">
        <f>IF(AGR_ued!M$5=0,"",AGR_ued!M$5/M$5*1000)</f>
        <v>45.758518794303811</v>
      </c>
      <c r="N33" s="55">
        <f>IF(AGR_ued!N$5=0,"",AGR_ued!N$5/N$5*1000)</f>
        <v>46.44052401817833</v>
      </c>
      <c r="O33" s="55">
        <f>IF(AGR_ued!O$5=0,"",AGR_ued!O$5/O$5*1000)</f>
        <v>46.065398165757735</v>
      </c>
      <c r="P33" s="55">
        <f>IF(AGR_ued!P$5=0,"",AGR_ued!P$5/P$5*1000)</f>
        <v>45.201149242622293</v>
      </c>
      <c r="Q33" s="55">
        <f>IF(AGR_ued!Q$5=0,"",AGR_ued!Q$5/Q$5*1000)</f>
        <v>46.316765867527785</v>
      </c>
      <c r="R33" s="55">
        <f>IF(AGR_ued!R$5=0,"",AGR_ued!R$5/R$5*1000)</f>
        <v>46.960811762836421</v>
      </c>
      <c r="S33" s="55">
        <f>IF(AGR_ued!S$5=0,"",AGR_ued!S$5/S$5*1000)</f>
        <v>43.27887818529414</v>
      </c>
      <c r="T33" s="55">
        <f>IF(AGR_ued!T$5=0,"",AGR_ued!T$5/T$5*1000)</f>
        <v>44.813495956240132</v>
      </c>
      <c r="U33" s="55">
        <f>IF(AGR_ued!U$5=0,"",AGR_ued!U$5/U$5*1000)</f>
        <v>44.729698435379774</v>
      </c>
      <c r="V33" s="55">
        <f>IF(AGR_ued!V$5=0,"",AGR_ued!V$5/V$5*1000)</f>
        <v>47.039092974576526</v>
      </c>
      <c r="W33" s="55">
        <f>IF(AGR_ued!W$5=0,"",AGR_ued!W$5/W$5*1000)</f>
        <v>45.168757071468065</v>
      </c>
      <c r="X33" s="55">
        <f>IF(AGR_ued!X$5=0,"",AGR_ued!X$5/X$5*1000)</f>
        <v>38.542989210509035</v>
      </c>
      <c r="Y33" s="55">
        <f>IF(AGR_ued!Y$5=0,"",AGR_ued!Y$5/Y$5*1000)</f>
        <v>39.486144265349715</v>
      </c>
      <c r="DA33" s="216"/>
    </row>
    <row r="34" spans="1:105" x14ac:dyDescent="0.25">
      <c r="A34" s="37" t="s">
        <v>110</v>
      </c>
      <c r="B34" s="217">
        <f t="shared" ref="B34:Y34" si="33">IF(B$12=0,"",B$29/B$12)</f>
        <v>2.5317021379025775</v>
      </c>
      <c r="C34" s="217">
        <f t="shared" si="33"/>
        <v>2.4878377316459033</v>
      </c>
      <c r="D34" s="217">
        <f t="shared" si="33"/>
        <v>2.4964241440550663</v>
      </c>
      <c r="E34" s="217">
        <f t="shared" si="33"/>
        <v>2.5119201437177789</v>
      </c>
      <c r="F34" s="217">
        <f t="shared" si="33"/>
        <v>2.5402905556882698</v>
      </c>
      <c r="G34" s="217">
        <f t="shared" si="33"/>
        <v>2.5324588671228865</v>
      </c>
      <c r="H34" s="217">
        <f t="shared" si="33"/>
        <v>2.431792119001229</v>
      </c>
      <c r="I34" s="217">
        <f t="shared" si="33"/>
        <v>2.465668089512401</v>
      </c>
      <c r="J34" s="217">
        <f t="shared" si="33"/>
        <v>2.4027475934451981</v>
      </c>
      <c r="K34" s="217">
        <f t="shared" si="33"/>
        <v>2.3687037525044774</v>
      </c>
      <c r="L34" s="217">
        <f t="shared" si="33"/>
        <v>2.464921444543156</v>
      </c>
      <c r="M34" s="217">
        <f t="shared" si="33"/>
        <v>2.4127133655972837</v>
      </c>
      <c r="N34" s="217">
        <f t="shared" si="33"/>
        <v>2.447977809493858</v>
      </c>
      <c r="O34" s="217">
        <f t="shared" si="33"/>
        <v>2.4426146026692686</v>
      </c>
      <c r="P34" s="217">
        <f t="shared" si="33"/>
        <v>2.3658761567100393</v>
      </c>
      <c r="Q34" s="217">
        <f t="shared" si="33"/>
        <v>2.3637131520216519</v>
      </c>
      <c r="R34" s="217">
        <f t="shared" si="33"/>
        <v>2.3841972099145874</v>
      </c>
      <c r="S34" s="217">
        <f t="shared" si="33"/>
        <v>2.3932422301854972</v>
      </c>
      <c r="T34" s="217">
        <f t="shared" si="33"/>
        <v>2.4807483863720163</v>
      </c>
      <c r="U34" s="217">
        <f t="shared" si="33"/>
        <v>2.4581767637614385</v>
      </c>
      <c r="V34" s="217">
        <f t="shared" si="33"/>
        <v>2.5127022810774844</v>
      </c>
      <c r="W34" s="217">
        <f t="shared" si="33"/>
        <v>2.4876999225546781</v>
      </c>
      <c r="X34" s="217">
        <f t="shared" si="33"/>
        <v>2.495484399665695</v>
      </c>
      <c r="Y34" s="217">
        <f t="shared" si="33"/>
        <v>2.4634312554818907</v>
      </c>
      <c r="DA34" s="214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Y14 B19:Y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994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130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2579.659071367153</v>
      </c>
      <c r="C5" s="80">
        <f t="shared" ref="C5:W5" si="1">SUM(C6:C9,C16:C17,C25:C27)</f>
        <v>2404.7248495270842</v>
      </c>
      <c r="D5" s="80">
        <f t="shared" si="1"/>
        <v>2368.0631126397229</v>
      </c>
      <c r="E5" s="80">
        <f t="shared" si="1"/>
        <v>2946.1098022355973</v>
      </c>
      <c r="F5" s="80">
        <f t="shared" si="1"/>
        <v>3344.0145313843504</v>
      </c>
      <c r="G5" s="80">
        <f t="shared" si="1"/>
        <v>3112.9634565778147</v>
      </c>
      <c r="H5" s="80">
        <f t="shared" si="1"/>
        <v>2813.4116938950988</v>
      </c>
      <c r="I5" s="80">
        <f t="shared" si="1"/>
        <v>2944.6923473774723</v>
      </c>
      <c r="J5" s="80">
        <f t="shared" si="1"/>
        <v>2696.2621668099746</v>
      </c>
      <c r="K5" s="80">
        <f t="shared" si="1"/>
        <v>2360.3126397248475</v>
      </c>
      <c r="L5" s="80">
        <f t="shared" si="1"/>
        <v>2240.7430782459155</v>
      </c>
      <c r="M5" s="80">
        <f t="shared" si="1"/>
        <v>2401.4780739466896</v>
      </c>
      <c r="N5" s="80">
        <f t="shared" si="1"/>
        <v>2714.7097162510745</v>
      </c>
      <c r="O5" s="80">
        <f t="shared" si="1"/>
        <v>2984.0943250214959</v>
      </c>
      <c r="P5" s="80">
        <f t="shared" si="1"/>
        <v>2883.1095442820283</v>
      </c>
      <c r="Q5" s="80">
        <f t="shared" si="1"/>
        <v>2728.1416165090286</v>
      </c>
      <c r="R5" s="80">
        <f t="shared" si="1"/>
        <v>2742.0553740326736</v>
      </c>
      <c r="S5" s="80">
        <f t="shared" si="1"/>
        <v>2759.9250214961303</v>
      </c>
      <c r="T5" s="80">
        <f t="shared" si="1"/>
        <v>2778.3202063628546</v>
      </c>
      <c r="U5" s="80">
        <f t="shared" si="1"/>
        <v>2928.6862424763535</v>
      </c>
      <c r="V5" s="80">
        <f t="shared" si="1"/>
        <v>3014.9393809114349</v>
      </c>
      <c r="W5" s="80">
        <f t="shared" si="1"/>
        <v>3090.2895098882186</v>
      </c>
      <c r="X5" s="80">
        <f t="shared" ref="X5:Y5" si="2">SUM(X6:X9,X16:X17,X25:X27)</f>
        <v>2926.082717110919</v>
      </c>
      <c r="Y5" s="80">
        <f t="shared" si="2"/>
        <v>2725.5441100601879</v>
      </c>
      <c r="DA5" s="103"/>
    </row>
    <row r="6" spans="1:105" x14ac:dyDescent="0.25">
      <c r="A6" s="238" t="s">
        <v>125</v>
      </c>
      <c r="B6" s="239">
        <v>70.408736074205777</v>
      </c>
      <c r="C6" s="239">
        <v>70.357945128102173</v>
      </c>
      <c r="D6" s="239">
        <v>68.272402138821505</v>
      </c>
      <c r="E6" s="239">
        <v>73.949973758785319</v>
      </c>
      <c r="F6" s="239">
        <v>78.072947787210381</v>
      </c>
      <c r="G6" s="239">
        <v>77.813248760012314</v>
      </c>
      <c r="H6" s="239">
        <v>80.397820335054149</v>
      </c>
      <c r="I6" s="239">
        <v>81.177091838304776</v>
      </c>
      <c r="J6" s="239">
        <v>78.620427676153383</v>
      </c>
      <c r="K6" s="239">
        <v>72.630784678815161</v>
      </c>
      <c r="L6" s="239">
        <v>59.243488953079712</v>
      </c>
      <c r="M6" s="239">
        <v>59.689349573796591</v>
      </c>
      <c r="N6" s="239">
        <v>60.858121082534318</v>
      </c>
      <c r="O6" s="239">
        <v>67.70580141261182</v>
      </c>
      <c r="P6" s="239">
        <v>74.335906276980438</v>
      </c>
      <c r="Q6" s="239">
        <v>79.226941897118934</v>
      </c>
      <c r="R6" s="239">
        <v>80.808984130031163</v>
      </c>
      <c r="S6" s="239">
        <v>80.290849898894777</v>
      </c>
      <c r="T6" s="239">
        <v>71.965739587708171</v>
      </c>
      <c r="U6" s="239">
        <v>77.874686073399388</v>
      </c>
      <c r="V6" s="239">
        <v>76.264584283239842</v>
      </c>
      <c r="W6" s="239">
        <v>82.079790694406654</v>
      </c>
      <c r="X6" s="239">
        <v>77.032471291193502</v>
      </c>
      <c r="Y6" s="239">
        <v>73.185102196320301</v>
      </c>
      <c r="DA6" s="267" t="s">
        <v>995</v>
      </c>
    </row>
    <row r="7" spans="1:105" x14ac:dyDescent="0.25">
      <c r="A7" s="240" t="s">
        <v>124</v>
      </c>
      <c r="B7" s="241">
        <v>45.765678448233743</v>
      </c>
      <c r="C7" s="241">
        <v>45.732664333266392</v>
      </c>
      <c r="D7" s="241">
        <v>44.377061390233962</v>
      </c>
      <c r="E7" s="241">
        <v>48.06748294321045</v>
      </c>
      <c r="F7" s="241">
        <v>50.747416061686756</v>
      </c>
      <c r="G7" s="241">
        <v>50.578611694008011</v>
      </c>
      <c r="H7" s="241">
        <v>52.258583217785187</v>
      </c>
      <c r="I7" s="241">
        <v>52.765109694898101</v>
      </c>
      <c r="J7" s="241">
        <v>51.103277989499688</v>
      </c>
      <c r="K7" s="241">
        <v>47.210010041229857</v>
      </c>
      <c r="L7" s="241">
        <v>38.508267819501803</v>
      </c>
      <c r="M7" s="241">
        <v>38.79807722296777</v>
      </c>
      <c r="N7" s="241">
        <v>39.557778703647301</v>
      </c>
      <c r="O7" s="241">
        <v>44.008770918197683</v>
      </c>
      <c r="P7" s="241">
        <v>48.318339080037248</v>
      </c>
      <c r="Q7" s="241">
        <v>51.497512233127303</v>
      </c>
      <c r="R7" s="241">
        <v>52.525839684520243</v>
      </c>
      <c r="S7" s="241">
        <v>52.189052434281578</v>
      </c>
      <c r="T7" s="241">
        <v>46.777730732010291</v>
      </c>
      <c r="U7" s="241">
        <v>50.618545947709578</v>
      </c>
      <c r="V7" s="241">
        <v>49.571979784105899</v>
      </c>
      <c r="W7" s="241">
        <v>53.351863951364322</v>
      </c>
      <c r="X7" s="241">
        <v>50.071106339275779</v>
      </c>
      <c r="Y7" s="241">
        <v>47.570316427608176</v>
      </c>
      <c r="DA7" s="268" t="s">
        <v>996</v>
      </c>
    </row>
    <row r="8" spans="1:105" x14ac:dyDescent="0.25">
      <c r="A8" s="240" t="s">
        <v>123</v>
      </c>
      <c r="B8" s="241">
        <v>63.367862466785198</v>
      </c>
      <c r="C8" s="241">
        <v>63.32215061529196</v>
      </c>
      <c r="D8" s="241">
        <v>61.445161924939342</v>
      </c>
      <c r="E8" s="241">
        <v>66.554976382906801</v>
      </c>
      <c r="F8" s="241">
        <v>70.265653008489338</v>
      </c>
      <c r="G8" s="241">
        <v>70.031923884011078</v>
      </c>
      <c r="H8" s="241">
        <v>72.358038301548731</v>
      </c>
      <c r="I8" s="241">
        <v>73.059382654474305</v>
      </c>
      <c r="J8" s="241">
        <v>70.758384908538034</v>
      </c>
      <c r="K8" s="241">
        <v>65.367706210933648</v>
      </c>
      <c r="L8" s="241">
        <v>53.319140057771712</v>
      </c>
      <c r="M8" s="241">
        <v>53.720414616416917</v>
      </c>
      <c r="N8" s="241">
        <v>54.772308974280882</v>
      </c>
      <c r="O8" s="241">
        <v>60.935221271350649</v>
      </c>
      <c r="P8" s="241">
        <v>66.902315649282372</v>
      </c>
      <c r="Q8" s="241">
        <v>71.304247707407029</v>
      </c>
      <c r="R8" s="241">
        <v>72.728085717028037</v>
      </c>
      <c r="S8" s="241">
        <v>72.261764909005308</v>
      </c>
      <c r="T8" s="241">
        <v>64.769165628937344</v>
      </c>
      <c r="U8" s="241">
        <v>70.087217466059442</v>
      </c>
      <c r="V8" s="241">
        <v>68.638125854915856</v>
      </c>
      <c r="W8" s="241">
        <v>73.871811624965957</v>
      </c>
      <c r="X8" s="241">
        <v>69.329224162074155</v>
      </c>
      <c r="Y8" s="241">
        <v>65.866591976688255</v>
      </c>
      <c r="DA8" s="268" t="s">
        <v>997</v>
      </c>
    </row>
    <row r="9" spans="1:105" x14ac:dyDescent="0.25">
      <c r="A9" s="242" t="s">
        <v>122</v>
      </c>
      <c r="B9" s="243">
        <f t="shared" ref="B9" si="3">SUM(B10:B15)</f>
        <v>499.04383665072908</v>
      </c>
      <c r="C9" s="243">
        <f t="shared" ref="C9:W9" si="4">SUM(C10:C15)</f>
        <v>464.71609365444408</v>
      </c>
      <c r="D9" s="243">
        <f t="shared" si="4"/>
        <v>457.56811007048032</v>
      </c>
      <c r="E9" s="243">
        <f t="shared" si="4"/>
        <v>585.41870976877158</v>
      </c>
      <c r="F9" s="243">
        <f t="shared" si="4"/>
        <v>673.06050318950986</v>
      </c>
      <c r="G9" s="243">
        <f t="shared" si="4"/>
        <v>618.80760549026786</v>
      </c>
      <c r="H9" s="243">
        <f t="shared" si="4"/>
        <v>554.19984723260711</v>
      </c>
      <c r="I9" s="243">
        <f t="shared" si="4"/>
        <v>580.37515866537569</v>
      </c>
      <c r="J9" s="243">
        <f t="shared" si="4"/>
        <v>531.70436043515747</v>
      </c>
      <c r="K9" s="243">
        <f t="shared" si="4"/>
        <v>458.92976843076104</v>
      </c>
      <c r="L9" s="243">
        <f t="shared" si="4"/>
        <v>436.72260018255173</v>
      </c>
      <c r="M9" s="243">
        <f t="shared" si="4"/>
        <v>482.18361748660453</v>
      </c>
      <c r="N9" s="243">
        <f t="shared" si="4"/>
        <v>553.83260872436313</v>
      </c>
      <c r="O9" s="243">
        <f t="shared" si="4"/>
        <v>599.37435594484293</v>
      </c>
      <c r="P9" s="243">
        <f t="shared" si="4"/>
        <v>575.29582927756474</v>
      </c>
      <c r="Q9" s="243">
        <f t="shared" si="4"/>
        <v>530.68699858697789</v>
      </c>
      <c r="R9" s="243">
        <f t="shared" si="4"/>
        <v>531.29171301171743</v>
      </c>
      <c r="S9" s="243">
        <f t="shared" si="4"/>
        <v>535.93396824174806</v>
      </c>
      <c r="T9" s="243">
        <f t="shared" si="4"/>
        <v>539.44557884642518</v>
      </c>
      <c r="U9" s="243">
        <f t="shared" si="4"/>
        <v>568.91522695245737</v>
      </c>
      <c r="V9" s="243">
        <f t="shared" si="4"/>
        <v>587.2774719652416</v>
      </c>
      <c r="W9" s="243">
        <f t="shared" si="4"/>
        <v>600.66531164521462</v>
      </c>
      <c r="X9" s="243">
        <f t="shared" ref="X9:Y9" si="5">SUM(X10:X15)</f>
        <v>566.79365732333906</v>
      </c>
      <c r="Y9" s="243">
        <f t="shared" si="5"/>
        <v>520.76997524935769</v>
      </c>
      <c r="DA9" s="269"/>
    </row>
    <row r="10" spans="1:105" x14ac:dyDescent="0.25">
      <c r="A10" s="253" t="s">
        <v>166</v>
      </c>
      <c r="B10" s="254">
        <v>387.12228305815017</v>
      </c>
      <c r="C10" s="254">
        <v>357.26055881671391</v>
      </c>
      <c r="D10" s="254">
        <v>351.82569534468502</v>
      </c>
      <c r="E10" s="254">
        <v>371.00352771320422</v>
      </c>
      <c r="F10" s="254">
        <v>421.86376650706899</v>
      </c>
      <c r="G10" s="254">
        <v>422.57834882247141</v>
      </c>
      <c r="H10" s="254">
        <v>341.31541560687327</v>
      </c>
      <c r="I10" s="254">
        <v>374.8925134695242</v>
      </c>
      <c r="J10" s="254">
        <v>325.35565033139329</v>
      </c>
      <c r="K10" s="254">
        <v>319.61614506638813</v>
      </c>
      <c r="L10" s="254">
        <v>326.48036923456078</v>
      </c>
      <c r="M10" s="254">
        <v>266.53156324571478</v>
      </c>
      <c r="N10" s="254">
        <v>285.87222246792851</v>
      </c>
      <c r="O10" s="254">
        <v>302.10237563654738</v>
      </c>
      <c r="P10" s="254">
        <v>270.25584018846422</v>
      </c>
      <c r="Q10" s="254">
        <v>335.83121515249883</v>
      </c>
      <c r="R10" s="254">
        <v>367.9226824148613</v>
      </c>
      <c r="S10" s="254">
        <v>372.39076823945618</v>
      </c>
      <c r="T10" s="254">
        <v>411.62565030746993</v>
      </c>
      <c r="U10" s="254">
        <v>416.68362673457062</v>
      </c>
      <c r="V10" s="254">
        <v>458.51201376364111</v>
      </c>
      <c r="W10" s="254">
        <v>463.33157644470361</v>
      </c>
      <c r="X10" s="254">
        <v>451.1298008630655</v>
      </c>
      <c r="Y10" s="254">
        <v>398.48823835784549</v>
      </c>
      <c r="DA10" s="270" t="s">
        <v>998</v>
      </c>
    </row>
    <row r="11" spans="1:105" x14ac:dyDescent="0.25">
      <c r="A11" s="253" t="s">
        <v>169</v>
      </c>
      <c r="B11" s="255">
        <v>31.7673888466432</v>
      </c>
      <c r="C11" s="255">
        <v>13.059797836431031</v>
      </c>
      <c r="D11" s="255">
        <v>17.228369054502981</v>
      </c>
      <c r="E11" s="255">
        <v>149.42308341027831</v>
      </c>
      <c r="F11" s="255">
        <v>194.8624086495503</v>
      </c>
      <c r="G11" s="255">
        <v>129.89693065242429</v>
      </c>
      <c r="H11" s="255">
        <v>115.6704083280414</v>
      </c>
      <c r="I11" s="255">
        <v>116.1149417830265</v>
      </c>
      <c r="J11" s="255">
        <v>107.1451652368296</v>
      </c>
      <c r="K11" s="255">
        <v>30.434474166607831</v>
      </c>
      <c r="L11" s="255">
        <v>49.284414318107068</v>
      </c>
      <c r="M11" s="255">
        <v>164.67053116560859</v>
      </c>
      <c r="N11" s="255">
        <v>227.45190142822639</v>
      </c>
      <c r="O11" s="255">
        <v>247.72168174630531</v>
      </c>
      <c r="P11" s="255">
        <v>231.9060420769502</v>
      </c>
      <c r="Q11" s="255">
        <v>89.325139816313623</v>
      </c>
      <c r="R11" s="255">
        <v>52.260683162734573</v>
      </c>
      <c r="S11" s="255">
        <v>57.762576998613049</v>
      </c>
      <c r="T11" s="255">
        <v>55.887942112740063</v>
      </c>
      <c r="U11" s="255">
        <v>69.435368082042885</v>
      </c>
      <c r="V11" s="255">
        <v>57.605338630619663</v>
      </c>
      <c r="W11" s="255">
        <v>51.581087706223457</v>
      </c>
      <c r="X11" s="255">
        <v>35.96934359718103</v>
      </c>
      <c r="Y11" s="255">
        <v>37.487556365994642</v>
      </c>
      <c r="DA11" s="271" t="s">
        <v>999</v>
      </c>
    </row>
    <row r="12" spans="1:105" x14ac:dyDescent="0.25">
      <c r="A12" s="253" t="s">
        <v>152</v>
      </c>
      <c r="B12" s="255">
        <v>1.07144786764565</v>
      </c>
      <c r="C12" s="255">
        <v>1.04358817840397</v>
      </c>
      <c r="D12" s="255">
        <v>0.98525670859189418</v>
      </c>
      <c r="E12" s="255">
        <v>0.34815832404434932</v>
      </c>
      <c r="F12" s="255">
        <v>0.26742466406950172</v>
      </c>
      <c r="G12" s="255">
        <v>0.1965061859133041</v>
      </c>
      <c r="H12" s="255">
        <v>0.2349392458838534</v>
      </c>
      <c r="I12" s="255">
        <v>0.24026492512257649</v>
      </c>
      <c r="J12" s="255">
        <v>0.30224386625645078</v>
      </c>
      <c r="K12" s="255">
        <v>0.40796511167723132</v>
      </c>
      <c r="L12" s="255">
        <v>0.42547635600994188</v>
      </c>
      <c r="M12" s="255">
        <v>0.50307747830723382</v>
      </c>
      <c r="N12" s="255">
        <v>0.51706100552354783</v>
      </c>
      <c r="O12" s="255">
        <v>0.54706142852819239</v>
      </c>
      <c r="P12" s="255">
        <v>0.53144916187978319</v>
      </c>
      <c r="Q12" s="255">
        <v>0.63353882936943384</v>
      </c>
      <c r="R12" s="255">
        <v>0.62188373391353235</v>
      </c>
      <c r="S12" s="255">
        <v>0.6140642427800963</v>
      </c>
      <c r="T12" s="255">
        <v>0.63428711529141968</v>
      </c>
      <c r="U12" s="255">
        <v>0.63053954432978299</v>
      </c>
      <c r="V12" s="255">
        <v>0.63437374661905754</v>
      </c>
      <c r="W12" s="255">
        <v>0.62279615045915071</v>
      </c>
      <c r="X12" s="255">
        <v>0.62643079720748929</v>
      </c>
      <c r="Y12" s="255">
        <v>0.6509038884699726</v>
      </c>
      <c r="DA12" s="271" t="s">
        <v>1000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1001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1002</v>
      </c>
    </row>
    <row r="15" spans="1:105" x14ac:dyDescent="0.25">
      <c r="A15" s="253" t="s">
        <v>24</v>
      </c>
      <c r="B15" s="255">
        <v>79.082716878290057</v>
      </c>
      <c r="C15" s="255">
        <v>93.352148822895174</v>
      </c>
      <c r="D15" s="255">
        <v>87.528788962700403</v>
      </c>
      <c r="E15" s="255">
        <v>64.643940321244727</v>
      </c>
      <c r="F15" s="255">
        <v>56.066903368821002</v>
      </c>
      <c r="G15" s="255">
        <v>66.135819829458754</v>
      </c>
      <c r="H15" s="255">
        <v>96.979084051808584</v>
      </c>
      <c r="I15" s="255">
        <v>89.127438487702392</v>
      </c>
      <c r="J15" s="255">
        <v>98.901301000678075</v>
      </c>
      <c r="K15" s="255">
        <v>108.4711840860878</v>
      </c>
      <c r="L15" s="255">
        <v>60.532340273873942</v>
      </c>
      <c r="M15" s="255">
        <v>50.478445596973877</v>
      </c>
      <c r="N15" s="255">
        <v>39.991423822684581</v>
      </c>
      <c r="O15" s="255">
        <v>49.003237133462001</v>
      </c>
      <c r="P15" s="255">
        <v>72.602497850270552</v>
      </c>
      <c r="Q15" s="255">
        <v>104.897104788796</v>
      </c>
      <c r="R15" s="255">
        <v>110.48646370020801</v>
      </c>
      <c r="S15" s="255">
        <v>105.16655876089879</v>
      </c>
      <c r="T15" s="255">
        <v>71.297699310923775</v>
      </c>
      <c r="U15" s="255">
        <v>82.165692591514116</v>
      </c>
      <c r="V15" s="255">
        <v>70.52574582436165</v>
      </c>
      <c r="W15" s="255">
        <v>85.129851343828406</v>
      </c>
      <c r="X15" s="255">
        <v>79.068082065885079</v>
      </c>
      <c r="Y15" s="255">
        <v>84.143276637047506</v>
      </c>
      <c r="DA15" s="271" t="s">
        <v>1003</v>
      </c>
    </row>
    <row r="16" spans="1:105" x14ac:dyDescent="0.25">
      <c r="A16" s="256" t="s">
        <v>168</v>
      </c>
      <c r="B16" s="257">
        <v>659.3817980205306</v>
      </c>
      <c r="C16" s="257">
        <v>610.23440965887016</v>
      </c>
      <c r="D16" s="257">
        <v>601.57662226006448</v>
      </c>
      <c r="E16" s="257">
        <v>743.33546793766777</v>
      </c>
      <c r="F16" s="257">
        <v>852.52957028995354</v>
      </c>
      <c r="G16" s="257">
        <v>798.24699952036258</v>
      </c>
      <c r="H16" s="257">
        <v>697.06550275420818</v>
      </c>
      <c r="I16" s="257">
        <v>738.54497811864655</v>
      </c>
      <c r="J16" s="257">
        <v>667.15718949213772</v>
      </c>
      <c r="K16" s="257">
        <v>588.18044052501273</v>
      </c>
      <c r="L16" s="257">
        <v>573.39878309771018</v>
      </c>
      <c r="M16" s="257">
        <v>594.21599725659144</v>
      </c>
      <c r="N16" s="257">
        <v>671.14116863234619</v>
      </c>
      <c r="O16" s="257">
        <v>721.32381240483619</v>
      </c>
      <c r="P16" s="257">
        <v>681.82317545116166</v>
      </c>
      <c r="Q16" s="257">
        <v>670.30073736855138</v>
      </c>
      <c r="R16" s="257">
        <v>682.96687380497008</v>
      </c>
      <c r="S16" s="257">
        <v>690.13134434227288</v>
      </c>
      <c r="T16" s="257">
        <v>711.67758691487506</v>
      </c>
      <c r="U16" s="257">
        <v>743.83272368360042</v>
      </c>
      <c r="V16" s="257">
        <v>778.60880095676748</v>
      </c>
      <c r="W16" s="257">
        <v>793.50446672661781</v>
      </c>
      <c r="X16" s="257">
        <v>753.70648468260117</v>
      </c>
      <c r="Y16" s="257">
        <v>687.05711075076329</v>
      </c>
      <c r="DA16" s="272" t="s">
        <v>1004</v>
      </c>
    </row>
    <row r="17" spans="1:105" x14ac:dyDescent="0.25">
      <c r="A17" s="256" t="s">
        <v>121</v>
      </c>
      <c r="B17" s="257">
        <f t="shared" ref="B17" si="6">SUM(B18:B24)</f>
        <v>942.48404872850722</v>
      </c>
      <c r="C17" s="257">
        <f t="shared" ref="C17:W17" si="7">SUM(C18:C24)</f>
        <v>860.72299323142443</v>
      </c>
      <c r="D17" s="257">
        <f t="shared" si="7"/>
        <v>851.95840827353754</v>
      </c>
      <c r="E17" s="257">
        <f t="shared" si="7"/>
        <v>1104.7676508174811</v>
      </c>
      <c r="F17" s="257">
        <f t="shared" si="7"/>
        <v>1264.2390572904503</v>
      </c>
      <c r="G17" s="257">
        <f t="shared" si="7"/>
        <v>1153.4527944381425</v>
      </c>
      <c r="H17" s="257">
        <f t="shared" si="7"/>
        <v>1026.2102967264391</v>
      </c>
      <c r="I17" s="257">
        <f t="shared" si="7"/>
        <v>1077.969179025527</v>
      </c>
      <c r="J17" s="257">
        <f t="shared" si="7"/>
        <v>976.09866463631033</v>
      </c>
      <c r="K17" s="257">
        <f t="shared" si="7"/>
        <v>837.02473399395308</v>
      </c>
      <c r="L17" s="257">
        <f t="shared" si="7"/>
        <v>824.22089548013719</v>
      </c>
      <c r="M17" s="257">
        <f t="shared" si="7"/>
        <v>912.44815542882077</v>
      </c>
      <c r="N17" s="257">
        <f t="shared" si="7"/>
        <v>1056.4799648229127</v>
      </c>
      <c r="O17" s="257">
        <f t="shared" si="7"/>
        <v>1186.2587677407296</v>
      </c>
      <c r="P17" s="257">
        <f t="shared" si="7"/>
        <v>1123.2930028784742</v>
      </c>
      <c r="Q17" s="257">
        <f t="shared" si="7"/>
        <v>1002.2152982803854</v>
      </c>
      <c r="R17" s="257">
        <f t="shared" si="7"/>
        <v>992.51409010595262</v>
      </c>
      <c r="S17" s="257">
        <f t="shared" si="7"/>
        <v>999.79097023728605</v>
      </c>
      <c r="T17" s="257">
        <f t="shared" si="7"/>
        <v>1030.6135634118739</v>
      </c>
      <c r="U17" s="257">
        <f t="shared" si="7"/>
        <v>1083.6312047199754</v>
      </c>
      <c r="V17" s="257">
        <f t="shared" si="7"/>
        <v>1118.1140167575916</v>
      </c>
      <c r="W17" s="257">
        <f t="shared" si="7"/>
        <v>1133.2422819146561</v>
      </c>
      <c r="X17" s="257">
        <f t="shared" ref="X17:Y17" si="8">SUM(X18:X24)</f>
        <v>1075.5892364345182</v>
      </c>
      <c r="Y17" s="257">
        <f t="shared" si="8"/>
        <v>1019.7677635025432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1" t="s">
        <v>1005</v>
      </c>
    </row>
    <row r="19" spans="1:105" x14ac:dyDescent="0.25">
      <c r="A19" s="61" t="s">
        <v>27</v>
      </c>
      <c r="B19" s="55">
        <v>80.21160791053758</v>
      </c>
      <c r="C19" s="55">
        <v>74.562940670639648</v>
      </c>
      <c r="D19" s="55">
        <v>74.56294067064249</v>
      </c>
      <c r="E19" s="55">
        <v>73.433190025767303</v>
      </c>
      <c r="F19" s="55">
        <v>74.562940670664901</v>
      </c>
      <c r="G19" s="55">
        <v>64.395270851219024</v>
      </c>
      <c r="H19" s="55">
        <v>58.746517626811091</v>
      </c>
      <c r="I19" s="55">
        <v>55.357351676675862</v>
      </c>
      <c r="J19" s="55">
        <v>50.838349097147173</v>
      </c>
      <c r="K19" s="55">
        <v>45.189681857280952</v>
      </c>
      <c r="L19" s="55">
        <v>42.930180567481678</v>
      </c>
      <c r="M19" s="55">
        <v>39.540928632828518</v>
      </c>
      <c r="N19" s="55">
        <v>36.151676698183678</v>
      </c>
      <c r="O19" s="55">
        <v>33.892261392942103</v>
      </c>
      <c r="P19" s="55">
        <v>41.800429922605012</v>
      </c>
      <c r="Q19" s="55">
        <v>47.449097162484563</v>
      </c>
      <c r="R19" s="55">
        <v>53.09785038694428</v>
      </c>
      <c r="S19" s="55">
        <v>50.838349097137709</v>
      </c>
      <c r="T19" s="55">
        <v>50.838349097136792</v>
      </c>
      <c r="U19" s="55">
        <v>59.8762682716917</v>
      </c>
      <c r="V19" s="55">
        <v>55.357351676680807</v>
      </c>
      <c r="W19" s="55">
        <v>49.620464316405901</v>
      </c>
      <c r="X19" s="55">
        <v>56.613585554577817</v>
      </c>
      <c r="Y19" s="55">
        <v>64.280051590698477</v>
      </c>
      <c r="DA19" s="101" t="s">
        <v>1006</v>
      </c>
    </row>
    <row r="20" spans="1:105" x14ac:dyDescent="0.25">
      <c r="A20" s="61" t="s">
        <v>166</v>
      </c>
      <c r="B20" s="55">
        <v>727.83638501297708</v>
      </c>
      <c r="C20" s="55">
        <v>704.34245835210277</v>
      </c>
      <c r="D20" s="55">
        <v>685.17951469019636</v>
      </c>
      <c r="E20" s="55">
        <v>692.13983838172487</v>
      </c>
      <c r="F20" s="55">
        <v>787.3759413350441</v>
      </c>
      <c r="G20" s="55">
        <v>809.26626567045184</v>
      </c>
      <c r="H20" s="55">
        <v>673.25829262376226</v>
      </c>
      <c r="I20" s="55">
        <v>731.96221892384438</v>
      </c>
      <c r="J20" s="55">
        <v>655.03489575152958</v>
      </c>
      <c r="K20" s="55">
        <v>653.25049227475779</v>
      </c>
      <c r="L20" s="55">
        <v>612.656495526649</v>
      </c>
      <c r="M20" s="55">
        <v>493.7323401692438</v>
      </c>
      <c r="N20" s="55">
        <v>512.73620154747766</v>
      </c>
      <c r="O20" s="55">
        <v>500.88297093292238</v>
      </c>
      <c r="P20" s="55">
        <v>469.9274846591527</v>
      </c>
      <c r="Q20" s="55">
        <v>635.46469059780441</v>
      </c>
      <c r="R20" s="55">
        <v>712.92692355454983</v>
      </c>
      <c r="S20" s="55">
        <v>723.15729333607715</v>
      </c>
      <c r="T20" s="55">
        <v>750.69537991434129</v>
      </c>
      <c r="U20" s="55">
        <v>767.25377614696811</v>
      </c>
      <c r="V20" s="55">
        <v>839.87995441437045</v>
      </c>
      <c r="W20" s="55">
        <v>870.47591641631539</v>
      </c>
      <c r="X20" s="55">
        <v>836.17770214456561</v>
      </c>
      <c r="Y20" s="55">
        <v>693.06245763498691</v>
      </c>
      <c r="DA20" s="101" t="s">
        <v>1007</v>
      </c>
    </row>
    <row r="21" spans="1:105" x14ac:dyDescent="0.25">
      <c r="A21" s="61" t="s">
        <v>129</v>
      </c>
      <c r="B21" s="55">
        <v>63.92949269128485</v>
      </c>
      <c r="C21" s="55">
        <v>45.199226139270912</v>
      </c>
      <c r="D21" s="55">
        <v>47.931556319838784</v>
      </c>
      <c r="E21" s="55">
        <v>47.363198624229533</v>
      </c>
      <c r="F21" s="55">
        <v>25.08839208941907</v>
      </c>
      <c r="G21" s="55">
        <v>15.439036973338149</v>
      </c>
      <c r="H21" s="55">
        <v>47.28194325020204</v>
      </c>
      <c r="I21" s="55">
        <v>44.387102321564193</v>
      </c>
      <c r="J21" s="55">
        <v>26.053310404119401</v>
      </c>
      <c r="K21" s="55">
        <v>19.29871023216473</v>
      </c>
      <c r="L21" s="55">
        <v>16.403955288041971</v>
      </c>
      <c r="M21" s="55">
        <v>11.579277730003451</v>
      </c>
      <c r="N21" s="55">
        <v>35.82218400686822</v>
      </c>
      <c r="O21" s="55">
        <v>174.79458297502751</v>
      </c>
      <c r="P21" s="55">
        <v>141.95331040409701</v>
      </c>
      <c r="Q21" s="55">
        <v>80.698796216636467</v>
      </c>
      <c r="R21" s="55">
        <v>58.574548581270747</v>
      </c>
      <c r="S21" s="55">
        <v>46.988134135832638</v>
      </c>
      <c r="T21" s="55">
        <v>58.667669819402832</v>
      </c>
      <c r="U21" s="55">
        <v>59.725795356816441</v>
      </c>
      <c r="V21" s="55">
        <v>48.507136715376021</v>
      </c>
      <c r="W21" s="55">
        <v>48.69355116077422</v>
      </c>
      <c r="X21" s="55">
        <v>48.209544282010221</v>
      </c>
      <c r="Y21" s="55">
        <v>129.31238177125061</v>
      </c>
      <c r="DA21" s="101" t="s">
        <v>1008</v>
      </c>
    </row>
    <row r="22" spans="1:105" x14ac:dyDescent="0.25">
      <c r="A22" s="61" t="s">
        <v>169</v>
      </c>
      <c r="B22" s="55">
        <v>59.726506252209838</v>
      </c>
      <c r="C22" s="55">
        <v>25.747510847992778</v>
      </c>
      <c r="D22" s="55">
        <v>33.552198443331463</v>
      </c>
      <c r="E22" s="55">
        <v>278.76195528263742</v>
      </c>
      <c r="F22" s="55">
        <v>363.69554491872361</v>
      </c>
      <c r="G22" s="55">
        <v>248.76145283842581</v>
      </c>
      <c r="H22" s="55">
        <v>228.16450138814761</v>
      </c>
      <c r="I22" s="55">
        <v>226.7096497903959</v>
      </c>
      <c r="J22" s="55">
        <v>215.71416408382899</v>
      </c>
      <c r="K22" s="55">
        <v>62.203788946050807</v>
      </c>
      <c r="L22" s="55">
        <v>92.484631253653134</v>
      </c>
      <c r="M22" s="55">
        <v>305.04142068290469</v>
      </c>
      <c r="N22" s="55">
        <v>407.95437544178958</v>
      </c>
      <c r="O22" s="55">
        <v>410.72027870070991</v>
      </c>
      <c r="P22" s="55">
        <v>403.24391493069589</v>
      </c>
      <c r="Q22" s="55">
        <v>169.02232364017641</v>
      </c>
      <c r="R22" s="55">
        <v>101.2659720393538</v>
      </c>
      <c r="S22" s="55">
        <v>112.17095696522139</v>
      </c>
      <c r="T22" s="55">
        <v>101.9246976120544</v>
      </c>
      <c r="U22" s="55">
        <v>127.85371188352021</v>
      </c>
      <c r="V22" s="55">
        <v>105.5186510512012</v>
      </c>
      <c r="W22" s="55">
        <v>96.907046429596861</v>
      </c>
      <c r="X22" s="55">
        <v>66.66986534518162</v>
      </c>
      <c r="Y22" s="55">
        <v>65.199459971049393</v>
      </c>
      <c r="DA22" s="101" t="s">
        <v>1009</v>
      </c>
    </row>
    <row r="23" spans="1:105" x14ac:dyDescent="0.25">
      <c r="A23" s="61" t="s">
        <v>164</v>
      </c>
      <c r="B23" s="55">
        <v>8.7656061908814316</v>
      </c>
      <c r="C23" s="55">
        <v>8.8134135855499132</v>
      </c>
      <c r="D23" s="55">
        <v>8.8134135855502507</v>
      </c>
      <c r="E23" s="55">
        <v>12.41994840928159</v>
      </c>
      <c r="F23" s="55">
        <v>13.017110920031881</v>
      </c>
      <c r="G23" s="55">
        <v>15.21444539982147</v>
      </c>
      <c r="H23" s="55">
        <v>18.29561478933292</v>
      </c>
      <c r="I23" s="55">
        <v>19.083748925185759</v>
      </c>
      <c r="J23" s="55">
        <v>27.849441100593491</v>
      </c>
      <c r="K23" s="55">
        <v>56.2482373173019</v>
      </c>
      <c r="L23" s="55">
        <v>58.947205502987252</v>
      </c>
      <c r="M23" s="55">
        <v>61.622269991374189</v>
      </c>
      <c r="N23" s="55">
        <v>62.888134135837042</v>
      </c>
      <c r="O23" s="55">
        <v>65.0616509028237</v>
      </c>
      <c r="P23" s="55">
        <v>65.443766122084014</v>
      </c>
      <c r="Q23" s="55">
        <v>68.381599312086081</v>
      </c>
      <c r="R23" s="55">
        <v>65.443766122115179</v>
      </c>
      <c r="S23" s="55">
        <v>65.443766122066123</v>
      </c>
      <c r="T23" s="55">
        <v>67.330696474600515</v>
      </c>
      <c r="U23" s="55">
        <v>67.760619088542128</v>
      </c>
      <c r="V23" s="55">
        <v>67.688907996539371</v>
      </c>
      <c r="W23" s="55">
        <v>66.375236457414715</v>
      </c>
      <c r="X23" s="55">
        <v>66.757437661194643</v>
      </c>
      <c r="Y23" s="55">
        <v>66.781341358539692</v>
      </c>
      <c r="DA23" s="101" t="s">
        <v>1010</v>
      </c>
    </row>
    <row r="24" spans="1:105" x14ac:dyDescent="0.25">
      <c r="A24" s="61" t="s">
        <v>152</v>
      </c>
      <c r="B24" s="55">
        <v>2.0144506706164789</v>
      </c>
      <c r="C24" s="55">
        <v>2.0574436358684238</v>
      </c>
      <c r="D24" s="55">
        <v>1.91878456397813</v>
      </c>
      <c r="E24" s="55">
        <v>0.64952009384015286</v>
      </c>
      <c r="F24" s="55">
        <v>0.4991273565666689</v>
      </c>
      <c r="G24" s="55">
        <v>0.37632270488616831</v>
      </c>
      <c r="H24" s="55">
        <v>0.46342704818308872</v>
      </c>
      <c r="I24" s="55">
        <v>0.46910738786089101</v>
      </c>
      <c r="J24" s="55">
        <v>0.60850419909160702</v>
      </c>
      <c r="K24" s="55">
        <v>0.83382336639696941</v>
      </c>
      <c r="L24" s="55">
        <v>0.79842734132421966</v>
      </c>
      <c r="M24" s="55">
        <v>0.93191822246615674</v>
      </c>
      <c r="N24" s="55">
        <v>0.92739299275642684</v>
      </c>
      <c r="O24" s="55">
        <v>0.90702283630390701</v>
      </c>
      <c r="P24" s="55">
        <v>0.92409683983969482</v>
      </c>
      <c r="Q24" s="55">
        <v>1.1987913511974411</v>
      </c>
      <c r="R24" s="55">
        <v>1.2050294217187481</v>
      </c>
      <c r="S24" s="55">
        <v>1.1924705809510769</v>
      </c>
      <c r="T24" s="55">
        <v>1.1567704943382211</v>
      </c>
      <c r="U24" s="55">
        <v>1.1610339724368079</v>
      </c>
      <c r="V24" s="55">
        <v>1.1620149034235341</v>
      </c>
      <c r="W24" s="55">
        <v>1.1700671341491939</v>
      </c>
      <c r="X24" s="55">
        <v>1.1611014469880729</v>
      </c>
      <c r="Y24" s="55">
        <v>1.1320711760181541</v>
      </c>
      <c r="DA24" s="101" t="s">
        <v>1011</v>
      </c>
    </row>
    <row r="25" spans="1:105" x14ac:dyDescent="0.25">
      <c r="A25" s="256" t="s">
        <v>167</v>
      </c>
      <c r="B25" s="257">
        <v>126.7057075963569</v>
      </c>
      <c r="C25" s="257">
        <v>117.2616273418346</v>
      </c>
      <c r="D25" s="257">
        <v>115.59796134153299</v>
      </c>
      <c r="E25" s="257">
        <v>142.83810491775009</v>
      </c>
      <c r="F25" s="257">
        <v>163.82066167838519</v>
      </c>
      <c r="G25" s="257">
        <v>153.38981332898001</v>
      </c>
      <c r="H25" s="257">
        <v>133.9469455065732</v>
      </c>
      <c r="I25" s="257">
        <v>141.91757237639939</v>
      </c>
      <c r="J25" s="257">
        <v>128.19981386560221</v>
      </c>
      <c r="K25" s="257">
        <v>113.0237733810454</v>
      </c>
      <c r="L25" s="257">
        <v>110.183354720118</v>
      </c>
      <c r="M25" s="257">
        <v>114.1835559056894</v>
      </c>
      <c r="N25" s="257">
        <v>128.96536865878059</v>
      </c>
      <c r="O25" s="257">
        <v>138.608381868028</v>
      </c>
      <c r="P25" s="257">
        <v>131.0180052899255</v>
      </c>
      <c r="Q25" s="257">
        <v>128.8038727875192</v>
      </c>
      <c r="R25" s="257">
        <v>131.23777645987761</v>
      </c>
      <c r="S25" s="257">
        <v>132.6144891803491</v>
      </c>
      <c r="T25" s="257">
        <v>136.75477925113941</v>
      </c>
      <c r="U25" s="257">
        <v>142.9336567533239</v>
      </c>
      <c r="V25" s="257">
        <v>149.61616981563469</v>
      </c>
      <c r="W25" s="257">
        <v>152.47849612969679</v>
      </c>
      <c r="X25" s="257">
        <v>144.83098221449279</v>
      </c>
      <c r="Y25" s="257">
        <v>132.02374957592249</v>
      </c>
      <c r="DA25" s="272" t="s">
        <v>1012</v>
      </c>
    </row>
    <row r="26" spans="1:105" x14ac:dyDescent="0.25">
      <c r="A26" s="256" t="s">
        <v>170</v>
      </c>
      <c r="B26" s="257">
        <v>70.408736074205777</v>
      </c>
      <c r="C26" s="257">
        <v>70.357945128102173</v>
      </c>
      <c r="D26" s="257">
        <v>68.272402138821505</v>
      </c>
      <c r="E26" s="257">
        <v>73.949973758785319</v>
      </c>
      <c r="F26" s="257">
        <v>78.072947787210381</v>
      </c>
      <c r="G26" s="257">
        <v>77.813248760012314</v>
      </c>
      <c r="H26" s="257">
        <v>80.397820335054149</v>
      </c>
      <c r="I26" s="257">
        <v>81.177091838304776</v>
      </c>
      <c r="J26" s="257">
        <v>78.620427676153383</v>
      </c>
      <c r="K26" s="257">
        <v>72.630784678815161</v>
      </c>
      <c r="L26" s="257">
        <v>59.243488953079712</v>
      </c>
      <c r="M26" s="257">
        <v>59.689349573796591</v>
      </c>
      <c r="N26" s="257">
        <v>60.858121082534318</v>
      </c>
      <c r="O26" s="257">
        <v>67.70580141261182</v>
      </c>
      <c r="P26" s="257">
        <v>74.335906276980438</v>
      </c>
      <c r="Q26" s="257">
        <v>79.226941897118934</v>
      </c>
      <c r="R26" s="257">
        <v>80.808984130031163</v>
      </c>
      <c r="S26" s="257">
        <v>80.290849898894777</v>
      </c>
      <c r="T26" s="257">
        <v>71.965739587708171</v>
      </c>
      <c r="U26" s="257">
        <v>77.874686073399388</v>
      </c>
      <c r="V26" s="257">
        <v>76.264584283239842</v>
      </c>
      <c r="W26" s="257">
        <v>82.079790694406654</v>
      </c>
      <c r="X26" s="257">
        <v>77.032471291193502</v>
      </c>
      <c r="Y26" s="257">
        <v>73.185102196320301</v>
      </c>
      <c r="DA26" s="272" t="s">
        <v>1013</v>
      </c>
    </row>
    <row r="27" spans="1:105" x14ac:dyDescent="0.25">
      <c r="A27" s="128" t="s">
        <v>33</v>
      </c>
      <c r="B27" s="258">
        <v>102.0926673075984</v>
      </c>
      <c r="C27" s="258">
        <v>102.0190204357482</v>
      </c>
      <c r="D27" s="258">
        <v>98.994983101291226</v>
      </c>
      <c r="E27" s="258">
        <v>107.22746195023871</v>
      </c>
      <c r="F27" s="258">
        <v>113.2057742914551</v>
      </c>
      <c r="G27" s="258">
        <v>112.8292107020179</v>
      </c>
      <c r="H27" s="258">
        <v>116.5768394858285</v>
      </c>
      <c r="I27" s="258">
        <v>117.70678316554191</v>
      </c>
      <c r="J27" s="258">
        <v>113.9996201304224</v>
      </c>
      <c r="K27" s="258">
        <v>105.314637784282</v>
      </c>
      <c r="L27" s="258">
        <v>85.903058981965557</v>
      </c>
      <c r="M27" s="258">
        <v>86.549556882005064</v>
      </c>
      <c r="N27" s="258">
        <v>88.24427556967477</v>
      </c>
      <c r="O27" s="258">
        <v>98.173412048287148</v>
      </c>
      <c r="P27" s="258">
        <v>107.7870641016216</v>
      </c>
      <c r="Q27" s="258">
        <v>114.87906575082241</v>
      </c>
      <c r="R27" s="258">
        <v>117.1730269885452</v>
      </c>
      <c r="S27" s="258">
        <v>116.4217323533974</v>
      </c>
      <c r="T27" s="258">
        <v>104.3503224021768</v>
      </c>
      <c r="U27" s="258">
        <v>112.9182948064291</v>
      </c>
      <c r="V27" s="258">
        <v>110.58364721069781</v>
      </c>
      <c r="W27" s="258">
        <v>119.0156965068896</v>
      </c>
      <c r="X27" s="258">
        <v>111.69708337223059</v>
      </c>
      <c r="Y27" s="258">
        <v>106.1183981846644</v>
      </c>
      <c r="DA27" s="273" t="s">
        <v>1014</v>
      </c>
    </row>
    <row r="29" spans="1:105" ht="12.75" x14ac:dyDescent="0.25">
      <c r="A29" s="178" t="s">
        <v>127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</v>
      </c>
      <c r="C31" s="235">
        <f t="shared" si="9"/>
        <v>0.99999999999999989</v>
      </c>
      <c r="D31" s="235">
        <f t="shared" si="9"/>
        <v>0.99999999999999989</v>
      </c>
      <c r="E31" s="235">
        <f t="shared" si="9"/>
        <v>1</v>
      </c>
      <c r="F31" s="235">
        <f t="shared" si="9"/>
        <v>1.0000000000000002</v>
      </c>
      <c r="G31" s="235">
        <f t="shared" si="9"/>
        <v>0.99999999999999989</v>
      </c>
      <c r="H31" s="235">
        <f t="shared" si="9"/>
        <v>0.99999999999999989</v>
      </c>
      <c r="I31" s="235">
        <f t="shared" si="9"/>
        <v>1</v>
      </c>
      <c r="J31" s="235">
        <f t="shared" si="9"/>
        <v>1.0000000000000002</v>
      </c>
      <c r="K31" s="235">
        <f t="shared" si="9"/>
        <v>1.0000000000000002</v>
      </c>
      <c r="L31" s="235">
        <f t="shared" si="9"/>
        <v>0.99999999999999989</v>
      </c>
      <c r="M31" s="235">
        <f t="shared" si="9"/>
        <v>0.99999999999999956</v>
      </c>
      <c r="N31" s="235">
        <f t="shared" si="9"/>
        <v>1</v>
      </c>
      <c r="O31" s="235">
        <f t="shared" si="9"/>
        <v>1</v>
      </c>
      <c r="P31" s="235">
        <f t="shared" si="9"/>
        <v>1</v>
      </c>
      <c r="Q31" s="235">
        <f t="shared" si="9"/>
        <v>1</v>
      </c>
      <c r="R31" s="235">
        <f t="shared" ref="R31:W31" si="10">SUM(R32:R40)</f>
        <v>1</v>
      </c>
      <c r="S31" s="235">
        <f t="shared" si="10"/>
        <v>0.99999999999999978</v>
      </c>
      <c r="T31" s="235">
        <f t="shared" si="10"/>
        <v>1</v>
      </c>
      <c r="U31" s="235">
        <f t="shared" si="10"/>
        <v>1.0000000000000002</v>
      </c>
      <c r="V31" s="235">
        <f t="shared" si="10"/>
        <v>0.99999999999999978</v>
      </c>
      <c r="W31" s="235">
        <f t="shared" si="10"/>
        <v>0.99999999999999989</v>
      </c>
      <c r="X31" s="235">
        <f t="shared" ref="X31:Y31" si="11">SUM(X32:X40)</f>
        <v>0.99999999999999989</v>
      </c>
      <c r="Y31" s="235">
        <f t="shared" si="11"/>
        <v>1</v>
      </c>
      <c r="DA31" s="274"/>
    </row>
    <row r="32" spans="1:105" x14ac:dyDescent="0.25">
      <c r="A32" s="238" t="s">
        <v>125</v>
      </c>
      <c r="B32" s="244">
        <f t="shared" ref="B32:Y32" si="12">IF(B$6=0,0,B$6/B$5)</f>
        <v>2.7293814463975254E-2</v>
      </c>
      <c r="C32" s="244">
        <f t="shared" si="12"/>
        <v>2.925821020310862E-2</v>
      </c>
      <c r="D32" s="244">
        <f t="shared" si="12"/>
        <v>2.8830482504630977E-2</v>
      </c>
      <c r="E32" s="244">
        <f t="shared" si="12"/>
        <v>2.510088853533899E-2</v>
      </c>
      <c r="F32" s="244">
        <f t="shared" si="12"/>
        <v>2.3347071926415896E-2</v>
      </c>
      <c r="G32" s="244">
        <f t="shared" si="12"/>
        <v>2.4996518541067304E-2</v>
      </c>
      <c r="H32" s="244">
        <f t="shared" si="12"/>
        <v>2.857662833687357E-2</v>
      </c>
      <c r="I32" s="244">
        <f t="shared" si="12"/>
        <v>2.756725737770218E-2</v>
      </c>
      <c r="J32" s="244">
        <f t="shared" si="12"/>
        <v>2.9159044192342571E-2</v>
      </c>
      <c r="K32" s="244">
        <f t="shared" si="12"/>
        <v>3.0771679758187485E-2</v>
      </c>
      <c r="L32" s="244">
        <f t="shared" si="12"/>
        <v>2.6439215422883879E-2</v>
      </c>
      <c r="M32" s="244">
        <f t="shared" si="12"/>
        <v>2.4855254862144384E-2</v>
      </c>
      <c r="N32" s="244">
        <f t="shared" si="12"/>
        <v>2.241791110048311E-2</v>
      </c>
      <c r="O32" s="244">
        <f t="shared" si="12"/>
        <v>2.2688894531550742E-2</v>
      </c>
      <c r="P32" s="244">
        <f t="shared" si="12"/>
        <v>2.578324032966707E-2</v>
      </c>
      <c r="Q32" s="244">
        <f t="shared" si="12"/>
        <v>2.9040626563403601E-2</v>
      </c>
      <c r="R32" s="244">
        <f t="shared" si="12"/>
        <v>2.947022328407153E-2</v>
      </c>
      <c r="S32" s="244">
        <f t="shared" si="12"/>
        <v>2.9091677952674901E-2</v>
      </c>
      <c r="T32" s="244">
        <f t="shared" si="12"/>
        <v>2.590260813814536E-2</v>
      </c>
      <c r="U32" s="244">
        <f t="shared" si="12"/>
        <v>2.659031375363459E-2</v>
      </c>
      <c r="V32" s="244">
        <f t="shared" si="12"/>
        <v>2.5295561418612861E-2</v>
      </c>
      <c r="W32" s="244">
        <f t="shared" si="12"/>
        <v>2.6560550534754146E-2</v>
      </c>
      <c r="X32" s="244">
        <f t="shared" si="12"/>
        <v>2.6326142743924842E-2</v>
      </c>
      <c r="Y32" s="244">
        <f t="shared" si="12"/>
        <v>2.6851556695115884E-2</v>
      </c>
      <c r="DA32" s="275"/>
    </row>
    <row r="33" spans="1:105" x14ac:dyDescent="0.25">
      <c r="A33" s="240" t="s">
        <v>124</v>
      </c>
      <c r="B33" s="245">
        <f t="shared" ref="B33:Y33" si="13">IF(B$7=0,0,B$7/B$5)</f>
        <v>1.7740979401583912E-2</v>
      </c>
      <c r="C33" s="245">
        <f t="shared" si="13"/>
        <v>1.9017836632020595E-2</v>
      </c>
      <c r="D33" s="245">
        <f t="shared" si="13"/>
        <v>1.8739813628010128E-2</v>
      </c>
      <c r="E33" s="245">
        <f t="shared" si="13"/>
        <v>1.631557754797034E-2</v>
      </c>
      <c r="F33" s="245">
        <f t="shared" si="13"/>
        <v>1.5175596752170336E-2</v>
      </c>
      <c r="G33" s="245">
        <f t="shared" si="13"/>
        <v>1.6247737051693752E-2</v>
      </c>
      <c r="H33" s="245">
        <f t="shared" si="13"/>
        <v>1.8574808418967817E-2</v>
      </c>
      <c r="I33" s="245">
        <f t="shared" si="13"/>
        <v>1.7918717295506415E-2</v>
      </c>
      <c r="J33" s="245">
        <f t="shared" si="13"/>
        <v>1.8953378725022667E-2</v>
      </c>
      <c r="K33" s="245">
        <f t="shared" si="13"/>
        <v>2.0001591842821867E-2</v>
      </c>
      <c r="L33" s="245">
        <f t="shared" si="13"/>
        <v>1.7185490024874517E-2</v>
      </c>
      <c r="M33" s="245">
        <f t="shared" si="13"/>
        <v>1.6155915660393844E-2</v>
      </c>
      <c r="N33" s="245">
        <f t="shared" si="13"/>
        <v>1.4571642215314019E-2</v>
      </c>
      <c r="O33" s="245">
        <f t="shared" si="13"/>
        <v>1.4747781445507983E-2</v>
      </c>
      <c r="P33" s="245">
        <f t="shared" si="13"/>
        <v>1.6759106214283583E-2</v>
      </c>
      <c r="Q33" s="245">
        <f t="shared" si="13"/>
        <v>1.8876407266212338E-2</v>
      </c>
      <c r="R33" s="245">
        <f t="shared" si="13"/>
        <v>1.9155645134646487E-2</v>
      </c>
      <c r="S33" s="245">
        <f t="shared" si="13"/>
        <v>1.8909590669238675E-2</v>
      </c>
      <c r="T33" s="245">
        <f t="shared" si="13"/>
        <v>1.6836695289794475E-2</v>
      </c>
      <c r="U33" s="245">
        <f t="shared" si="13"/>
        <v>1.7283703939862474E-2</v>
      </c>
      <c r="V33" s="245">
        <f t="shared" si="13"/>
        <v>1.644211492209836E-2</v>
      </c>
      <c r="W33" s="245">
        <f t="shared" si="13"/>
        <v>1.7264357847590193E-2</v>
      </c>
      <c r="X33" s="245">
        <f t="shared" si="13"/>
        <v>1.7111992783551147E-2</v>
      </c>
      <c r="Y33" s="245">
        <f t="shared" si="13"/>
        <v>1.7453511851825317E-2</v>
      </c>
      <c r="DA33" s="276"/>
    </row>
    <row r="34" spans="1:105" x14ac:dyDescent="0.25">
      <c r="A34" s="240" t="s">
        <v>123</v>
      </c>
      <c r="B34" s="245">
        <f t="shared" ref="B34:Y34" si="14">IF(B$8=0,0,B$8/B$5)</f>
        <v>2.4564433017577728E-2</v>
      </c>
      <c r="C34" s="245">
        <f t="shared" si="14"/>
        <v>2.6332389182797757E-2</v>
      </c>
      <c r="D34" s="245">
        <f t="shared" si="14"/>
        <v>2.5947434254167873E-2</v>
      </c>
      <c r="E34" s="245">
        <f t="shared" si="14"/>
        <v>2.2590799681805093E-2</v>
      </c>
      <c r="F34" s="245">
        <f t="shared" si="14"/>
        <v>2.1012364733774307E-2</v>
      </c>
      <c r="G34" s="245">
        <f t="shared" si="14"/>
        <v>2.2496866686960573E-2</v>
      </c>
      <c r="H34" s="245">
        <f t="shared" si="14"/>
        <v>2.5718965503186211E-2</v>
      </c>
      <c r="I34" s="245">
        <f t="shared" si="14"/>
        <v>2.4810531639931965E-2</v>
      </c>
      <c r="J34" s="245">
        <f t="shared" si="14"/>
        <v>2.6243139773108309E-2</v>
      </c>
      <c r="K34" s="245">
        <f t="shared" si="14"/>
        <v>2.7694511782368737E-2</v>
      </c>
      <c r="L34" s="245">
        <f t="shared" si="14"/>
        <v>2.3795293880595481E-2</v>
      </c>
      <c r="M34" s="245">
        <f t="shared" si="14"/>
        <v>2.2369729375929941E-2</v>
      </c>
      <c r="N34" s="245">
        <f t="shared" si="14"/>
        <v>2.0176119990434799E-2</v>
      </c>
      <c r="O34" s="245">
        <f t="shared" si="14"/>
        <v>2.042000507839567E-2</v>
      </c>
      <c r="P34" s="245">
        <f t="shared" si="14"/>
        <v>2.3204916296700354E-2</v>
      </c>
      <c r="Q34" s="245">
        <f t="shared" si="14"/>
        <v>2.6136563907063235E-2</v>
      </c>
      <c r="R34" s="245">
        <f t="shared" si="14"/>
        <v>2.6523200955664371E-2</v>
      </c>
      <c r="S34" s="245">
        <f t="shared" si="14"/>
        <v>2.6182510157407416E-2</v>
      </c>
      <c r="T34" s="245">
        <f t="shared" si="14"/>
        <v>2.331234732433082E-2</v>
      </c>
      <c r="U34" s="245">
        <f t="shared" si="14"/>
        <v>2.3931282378271128E-2</v>
      </c>
      <c r="V34" s="245">
        <f t="shared" si="14"/>
        <v>2.2766005276751575E-2</v>
      </c>
      <c r="W34" s="245">
        <f t="shared" si="14"/>
        <v>2.3904495481278723E-2</v>
      </c>
      <c r="X34" s="245">
        <f t="shared" si="14"/>
        <v>2.3693528469532356E-2</v>
      </c>
      <c r="Y34" s="245">
        <f t="shared" si="14"/>
        <v>2.416640102560429E-2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0.19345340715362386</v>
      </c>
      <c r="C35" s="246">
        <f t="shared" si="15"/>
        <v>0.1932512543985378</v>
      </c>
      <c r="D35" s="246">
        <f t="shared" si="15"/>
        <v>0.19322462633203252</v>
      </c>
      <c r="E35" s="246">
        <f t="shared" si="15"/>
        <v>0.1987090601051387</v>
      </c>
      <c r="F35" s="246">
        <f t="shared" si="15"/>
        <v>0.20127319928567333</v>
      </c>
      <c r="G35" s="246">
        <f t="shared" si="15"/>
        <v>0.19878408921977642</v>
      </c>
      <c r="H35" s="246">
        <f t="shared" si="15"/>
        <v>0.19698498034794587</v>
      </c>
      <c r="I35" s="246">
        <f t="shared" si="15"/>
        <v>0.19709195060130977</v>
      </c>
      <c r="J35" s="246">
        <f t="shared" si="15"/>
        <v>0.19720054191326367</v>
      </c>
      <c r="K35" s="246">
        <f t="shared" si="15"/>
        <v>0.19443600847905496</v>
      </c>
      <c r="L35" s="246">
        <f t="shared" si="15"/>
        <v>0.19490079180537923</v>
      </c>
      <c r="M35" s="246">
        <f t="shared" si="15"/>
        <v>0.2007861836082325</v>
      </c>
      <c r="N35" s="246">
        <f t="shared" si="15"/>
        <v>0.20401172376145907</v>
      </c>
      <c r="O35" s="246">
        <f t="shared" si="15"/>
        <v>0.20085637069817669</v>
      </c>
      <c r="P35" s="246">
        <f t="shared" si="15"/>
        <v>0.19954005230863639</v>
      </c>
      <c r="Q35" s="246">
        <f t="shared" si="15"/>
        <v>0.19452325912100304</v>
      </c>
      <c r="R35" s="246">
        <f t="shared" si="15"/>
        <v>0.19375674103559759</v>
      </c>
      <c r="S35" s="246">
        <f t="shared" si="15"/>
        <v>0.19418424923414157</v>
      </c>
      <c r="T35" s="246">
        <f t="shared" si="15"/>
        <v>0.19416249344153977</v>
      </c>
      <c r="U35" s="246">
        <f t="shared" si="15"/>
        <v>0.19425612027029926</v>
      </c>
      <c r="V35" s="246">
        <f t="shared" si="15"/>
        <v>0.19478914756412249</v>
      </c>
      <c r="W35" s="246">
        <f t="shared" si="15"/>
        <v>0.19437185730437981</v>
      </c>
      <c r="X35" s="246">
        <f t="shared" si="15"/>
        <v>0.19370390796161954</v>
      </c>
      <c r="Y35" s="246">
        <f t="shared" si="15"/>
        <v>0.19107009617901857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0.25560811711102399</v>
      </c>
      <c r="C36" s="259">
        <f t="shared" si="16"/>
        <v>0.2537647539089054</v>
      </c>
      <c r="D36" s="259">
        <f t="shared" si="16"/>
        <v>0.25403741101708904</v>
      </c>
      <c r="E36" s="259">
        <f t="shared" si="16"/>
        <v>0.2523108498446332</v>
      </c>
      <c r="F36" s="259">
        <f t="shared" si="16"/>
        <v>0.25494194546368332</v>
      </c>
      <c r="G36" s="259">
        <f t="shared" si="16"/>
        <v>0.25642671706718406</v>
      </c>
      <c r="H36" s="259">
        <f t="shared" si="16"/>
        <v>0.2477651970619125</v>
      </c>
      <c r="I36" s="259">
        <f t="shared" si="16"/>
        <v>0.25080548016379056</v>
      </c>
      <c r="J36" s="259">
        <f t="shared" si="16"/>
        <v>0.2474378039734432</v>
      </c>
      <c r="K36" s="259">
        <f t="shared" si="16"/>
        <v>0.24919598811858229</v>
      </c>
      <c r="L36" s="259">
        <f t="shared" si="16"/>
        <v>0.25589671063340946</v>
      </c>
      <c r="M36" s="259">
        <f t="shared" si="16"/>
        <v>0.24743761090436775</v>
      </c>
      <c r="N36" s="259">
        <f t="shared" si="16"/>
        <v>0.24722391665476862</v>
      </c>
      <c r="O36" s="259">
        <f t="shared" si="16"/>
        <v>0.24172285921278314</v>
      </c>
      <c r="P36" s="259">
        <f t="shared" si="16"/>
        <v>0.23648882048321682</v>
      </c>
      <c r="Q36" s="259">
        <f t="shared" si="16"/>
        <v>0.24569865923099637</v>
      </c>
      <c r="R36" s="259">
        <f t="shared" si="16"/>
        <v>0.24907114578089187</v>
      </c>
      <c r="S36" s="259">
        <f t="shared" si="16"/>
        <v>0.25005438153829229</v>
      </c>
      <c r="T36" s="259">
        <f t="shared" si="16"/>
        <v>0.25615391101608986</v>
      </c>
      <c r="U36" s="259">
        <f t="shared" si="16"/>
        <v>0.25398170445689394</v>
      </c>
      <c r="V36" s="259">
        <f t="shared" si="16"/>
        <v>0.25825023411296222</v>
      </c>
      <c r="W36" s="259">
        <f t="shared" si="16"/>
        <v>0.25677350429064505</v>
      </c>
      <c r="X36" s="259">
        <f t="shared" si="16"/>
        <v>0.2575820841547421</v>
      </c>
      <c r="Y36" s="259">
        <f t="shared" si="16"/>
        <v>0.25208071599897575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0.36535217354478355</v>
      </c>
      <c r="C37" s="259">
        <f t="shared" si="17"/>
        <v>0.35792992840769089</v>
      </c>
      <c r="D37" s="259">
        <f t="shared" si="17"/>
        <v>0.35977014452281386</v>
      </c>
      <c r="E37" s="259">
        <f t="shared" si="17"/>
        <v>0.37499201488659722</v>
      </c>
      <c r="F37" s="259">
        <f t="shared" si="17"/>
        <v>0.37806027618159971</v>
      </c>
      <c r="G37" s="259">
        <f t="shared" si="17"/>
        <v>0.37053207033344743</v>
      </c>
      <c r="H37" s="259">
        <f t="shared" si="17"/>
        <v>0.36475653348325865</v>
      </c>
      <c r="I37" s="259">
        <f t="shared" si="17"/>
        <v>0.36607191918896409</v>
      </c>
      <c r="J37" s="259">
        <f t="shared" si="17"/>
        <v>0.36201919703941876</v>
      </c>
      <c r="K37" s="259">
        <f t="shared" si="17"/>
        <v>0.354624518763552</v>
      </c>
      <c r="L37" s="259">
        <f t="shared" si="17"/>
        <v>0.36783373492571431</v>
      </c>
      <c r="M37" s="259">
        <f t="shared" si="17"/>
        <v>0.37995273216434794</v>
      </c>
      <c r="N37" s="259">
        <f t="shared" si="17"/>
        <v>0.3891686681999566</v>
      </c>
      <c r="O37" s="259">
        <f t="shared" si="17"/>
        <v>0.39752723558166492</v>
      </c>
      <c r="P37" s="259">
        <f t="shared" si="17"/>
        <v>0.38961162787111664</v>
      </c>
      <c r="Q37" s="259">
        <f t="shared" si="17"/>
        <v>0.36736190387463658</v>
      </c>
      <c r="R37" s="259">
        <f t="shared" si="17"/>
        <v>0.36195990041086823</v>
      </c>
      <c r="S37" s="259">
        <f t="shared" si="17"/>
        <v>0.36225294616710579</v>
      </c>
      <c r="T37" s="259">
        <f t="shared" si="17"/>
        <v>0.37094844613359645</v>
      </c>
      <c r="U37" s="259">
        <f t="shared" si="17"/>
        <v>0.370005905379509</v>
      </c>
      <c r="V37" s="259">
        <f t="shared" si="17"/>
        <v>0.37085787655855912</v>
      </c>
      <c r="W37" s="259">
        <f t="shared" si="17"/>
        <v>0.36671071700193147</v>
      </c>
      <c r="X37" s="259">
        <f t="shared" si="17"/>
        <v>0.36758675007537245</v>
      </c>
      <c r="Y37" s="259">
        <f t="shared" si="17"/>
        <v>0.37415199399580573</v>
      </c>
      <c r="DA37" s="278"/>
    </row>
    <row r="38" spans="1:105" x14ac:dyDescent="0.25">
      <c r="A38" s="127" t="s">
        <v>167</v>
      </c>
      <c r="B38" s="259">
        <f t="shared" ref="B38:Y38" si="18">IF(B$25=0,0,B$25/B$5)</f>
        <v>4.9117229870692225E-2</v>
      </c>
      <c r="C38" s="259">
        <f t="shared" si="18"/>
        <v>4.8763012269322788E-2</v>
      </c>
      <c r="D38" s="259">
        <f t="shared" si="18"/>
        <v>4.8815405604909677E-2</v>
      </c>
      <c r="E38" s="259">
        <f t="shared" si="18"/>
        <v>4.8483632486935893E-2</v>
      </c>
      <c r="F38" s="259">
        <f t="shared" si="18"/>
        <v>4.8989219436964271E-2</v>
      </c>
      <c r="G38" s="259">
        <f t="shared" si="18"/>
        <v>4.9274530674255516E-2</v>
      </c>
      <c r="H38" s="259">
        <f t="shared" si="18"/>
        <v>4.7610147422514966E-2</v>
      </c>
      <c r="I38" s="259">
        <f t="shared" si="18"/>
        <v>4.819436315742473E-2</v>
      </c>
      <c r="J38" s="259">
        <f t="shared" si="18"/>
        <v>4.7547236112161564E-2</v>
      </c>
      <c r="K38" s="259">
        <f t="shared" si="18"/>
        <v>4.7885085847873571E-2</v>
      </c>
      <c r="L38" s="259">
        <f t="shared" si="18"/>
        <v>4.9172685521077703E-2</v>
      </c>
      <c r="M38" s="259">
        <f t="shared" si="18"/>
        <v>4.754719901232967E-2</v>
      </c>
      <c r="N38" s="259">
        <f t="shared" si="18"/>
        <v>4.7506135881400076E-2</v>
      </c>
      <c r="O38" s="259">
        <f t="shared" si="18"/>
        <v>4.6449061849621505E-2</v>
      </c>
      <c r="P38" s="259">
        <f t="shared" si="18"/>
        <v>4.5443297688694831E-2</v>
      </c>
      <c r="Q38" s="259">
        <f t="shared" si="18"/>
        <v>4.7213044956345991E-2</v>
      </c>
      <c r="R38" s="259">
        <f t="shared" si="18"/>
        <v>4.786109635228461E-2</v>
      </c>
      <c r="S38" s="259">
        <f t="shared" si="18"/>
        <v>4.8050033297085723E-2</v>
      </c>
      <c r="T38" s="259">
        <f t="shared" si="18"/>
        <v>4.9222108718047074E-2</v>
      </c>
      <c r="U38" s="259">
        <f t="shared" si="18"/>
        <v>4.8804701125125034E-2</v>
      </c>
      <c r="V38" s="259">
        <f t="shared" si="18"/>
        <v>4.9624934671291733E-2</v>
      </c>
      <c r="W38" s="259">
        <f t="shared" si="18"/>
        <v>4.9341168729272945E-2</v>
      </c>
      <c r="X38" s="259">
        <f t="shared" si="18"/>
        <v>4.9496544088641591E-2</v>
      </c>
      <c r="Y38" s="259">
        <f t="shared" si="18"/>
        <v>4.8439410350620604E-2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2.7293814463975254E-2</v>
      </c>
      <c r="C39" s="259">
        <f t="shared" si="19"/>
        <v>2.925821020310862E-2</v>
      </c>
      <c r="D39" s="259">
        <f t="shared" si="19"/>
        <v>2.8830482504630977E-2</v>
      </c>
      <c r="E39" s="259">
        <f t="shared" si="19"/>
        <v>2.510088853533899E-2</v>
      </c>
      <c r="F39" s="259">
        <f t="shared" si="19"/>
        <v>2.3347071926415896E-2</v>
      </c>
      <c r="G39" s="259">
        <f t="shared" si="19"/>
        <v>2.4996518541067304E-2</v>
      </c>
      <c r="H39" s="259">
        <f t="shared" si="19"/>
        <v>2.857662833687357E-2</v>
      </c>
      <c r="I39" s="259">
        <f t="shared" si="19"/>
        <v>2.756725737770218E-2</v>
      </c>
      <c r="J39" s="259">
        <f t="shared" si="19"/>
        <v>2.9159044192342571E-2</v>
      </c>
      <c r="K39" s="259">
        <f t="shared" si="19"/>
        <v>3.0771679758187485E-2</v>
      </c>
      <c r="L39" s="259">
        <f t="shared" si="19"/>
        <v>2.6439215422883879E-2</v>
      </c>
      <c r="M39" s="259">
        <f t="shared" si="19"/>
        <v>2.4855254862144384E-2</v>
      </c>
      <c r="N39" s="259">
        <f t="shared" si="19"/>
        <v>2.241791110048311E-2</v>
      </c>
      <c r="O39" s="259">
        <f t="shared" si="19"/>
        <v>2.2688894531550742E-2</v>
      </c>
      <c r="P39" s="259">
        <f t="shared" si="19"/>
        <v>2.578324032966707E-2</v>
      </c>
      <c r="Q39" s="259">
        <f t="shared" si="19"/>
        <v>2.9040626563403601E-2</v>
      </c>
      <c r="R39" s="259">
        <f t="shared" si="19"/>
        <v>2.947022328407153E-2</v>
      </c>
      <c r="S39" s="259">
        <f t="shared" si="19"/>
        <v>2.9091677952674901E-2</v>
      </c>
      <c r="T39" s="259">
        <f t="shared" si="19"/>
        <v>2.590260813814536E-2</v>
      </c>
      <c r="U39" s="259">
        <f t="shared" si="19"/>
        <v>2.659031375363459E-2</v>
      </c>
      <c r="V39" s="259">
        <f t="shared" si="19"/>
        <v>2.5295561418612861E-2</v>
      </c>
      <c r="W39" s="259">
        <f t="shared" si="19"/>
        <v>2.6560550534754146E-2</v>
      </c>
      <c r="X39" s="259">
        <f t="shared" si="19"/>
        <v>2.6326142743924842E-2</v>
      </c>
      <c r="Y39" s="259">
        <f t="shared" si="19"/>
        <v>2.6851556695115884E-2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3.9576030972764131E-2</v>
      </c>
      <c r="C40" s="261">
        <f t="shared" si="20"/>
        <v>4.2424404794507521E-2</v>
      </c>
      <c r="D40" s="261">
        <f t="shared" si="20"/>
        <v>4.1804199631714931E-2</v>
      </c>
      <c r="E40" s="261">
        <f t="shared" si="20"/>
        <v>3.639628837624153E-2</v>
      </c>
      <c r="F40" s="261">
        <f t="shared" si="20"/>
        <v>3.3853254293303069E-2</v>
      </c>
      <c r="G40" s="261">
        <f t="shared" si="20"/>
        <v>3.6244951884547606E-2</v>
      </c>
      <c r="H40" s="261">
        <f t="shared" si="20"/>
        <v>4.1436111088466669E-2</v>
      </c>
      <c r="I40" s="261">
        <f t="shared" si="20"/>
        <v>3.9972523197668156E-2</v>
      </c>
      <c r="J40" s="261">
        <f t="shared" si="20"/>
        <v>4.2280614078896724E-2</v>
      </c>
      <c r="K40" s="261">
        <f t="shared" si="20"/>
        <v>4.461893564937186E-2</v>
      </c>
      <c r="L40" s="261">
        <f t="shared" si="20"/>
        <v>3.8336862363181616E-2</v>
      </c>
      <c r="M40" s="261">
        <f t="shared" si="20"/>
        <v>3.6040119550109363E-2</v>
      </c>
      <c r="N40" s="261">
        <f t="shared" si="20"/>
        <v>3.2505971095700512E-2</v>
      </c>
      <c r="O40" s="261">
        <f t="shared" si="20"/>
        <v>3.2898897070748577E-2</v>
      </c>
      <c r="P40" s="261">
        <f t="shared" si="20"/>
        <v>3.7385698478017239E-2</v>
      </c>
      <c r="Q40" s="261">
        <f t="shared" si="20"/>
        <v>4.2108908516935203E-2</v>
      </c>
      <c r="R40" s="261">
        <f t="shared" si="20"/>
        <v>4.2731823761903723E-2</v>
      </c>
      <c r="S40" s="261">
        <f t="shared" si="20"/>
        <v>4.21829330313786E-2</v>
      </c>
      <c r="T40" s="261">
        <f t="shared" si="20"/>
        <v>3.7558781800310755E-2</v>
      </c>
      <c r="U40" s="261">
        <f t="shared" si="20"/>
        <v>3.855595494277015E-2</v>
      </c>
      <c r="V40" s="261">
        <f t="shared" si="20"/>
        <v>3.6678564056988661E-2</v>
      </c>
      <c r="W40" s="261">
        <f t="shared" si="20"/>
        <v>3.8512798275393494E-2</v>
      </c>
      <c r="X40" s="261">
        <f t="shared" si="20"/>
        <v>3.8172906978691024E-2</v>
      </c>
      <c r="Y40" s="261">
        <f t="shared" si="20"/>
        <v>3.8934757207918017E-2</v>
      </c>
      <c r="DA40" s="279"/>
    </row>
    <row r="42" spans="1:105" ht="12.75" x14ac:dyDescent="0.25">
      <c r="A42" s="178" t="s">
        <v>23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6">
        <f t="shared" ref="B44:Y44" si="21">SUM(B$45:B$53)</f>
        <v>112.47171201628663</v>
      </c>
      <c r="C44" s="236">
        <f t="shared" si="21"/>
        <v>109.81942433546162</v>
      </c>
      <c r="D44" s="236">
        <f t="shared" si="21"/>
        <v>113.80906613357631</v>
      </c>
      <c r="E44" s="236">
        <f t="shared" si="21"/>
        <v>119.53787119840248</v>
      </c>
      <c r="F44" s="236">
        <f t="shared" si="21"/>
        <v>117.30616060932351</v>
      </c>
      <c r="G44" s="236">
        <f t="shared" si="21"/>
        <v>134.29403412451356</v>
      </c>
      <c r="H44" s="236">
        <f t="shared" si="21"/>
        <v>130.05722800154635</v>
      </c>
      <c r="I44" s="236">
        <f t="shared" si="21"/>
        <v>117.81469406104164</v>
      </c>
      <c r="J44" s="236">
        <f t="shared" si="21"/>
        <v>123.49619118298854</v>
      </c>
      <c r="K44" s="236">
        <f t="shared" si="21"/>
        <v>137.83360398812144</v>
      </c>
      <c r="L44" s="236">
        <f t="shared" si="21"/>
        <v>128.47617233393535</v>
      </c>
      <c r="M44" s="236">
        <f t="shared" si="21"/>
        <v>116.0213122138336</v>
      </c>
      <c r="N44" s="236">
        <f t="shared" si="21"/>
        <v>118.31216844961239</v>
      </c>
      <c r="O44" s="236">
        <f t="shared" si="21"/>
        <v>117.89482713876832</v>
      </c>
      <c r="P44" s="236">
        <f t="shared" si="21"/>
        <v>114.21265320772915</v>
      </c>
      <c r="Q44" s="236">
        <f t="shared" si="21"/>
        <v>116.67728719019786</v>
      </c>
      <c r="R44" s="236">
        <f t="shared" si="21"/>
        <v>118.41249825520161</v>
      </c>
      <c r="S44" s="236">
        <f t="shared" si="21"/>
        <v>109.25986032686183</v>
      </c>
      <c r="T44" s="236">
        <f t="shared" si="21"/>
        <v>115.03952384499109</v>
      </c>
      <c r="U44" s="236">
        <f t="shared" si="21"/>
        <v>114.31053707016743</v>
      </c>
      <c r="V44" s="236">
        <f t="shared" si="21"/>
        <v>121.0227823399465</v>
      </c>
      <c r="W44" s="236">
        <f t="shared" si="21"/>
        <v>115.61293230102245</v>
      </c>
      <c r="X44" s="236">
        <f t="shared" si="21"/>
        <v>98.926512660278419</v>
      </c>
      <c r="Y44" s="236">
        <f t="shared" si="21"/>
        <v>101.37891512464493</v>
      </c>
      <c r="DA44" s="280"/>
    </row>
    <row r="45" spans="1:105" x14ac:dyDescent="0.25">
      <c r="A45" s="238" t="s">
        <v>125</v>
      </c>
      <c r="B45" s="247">
        <f>IF(B$6=0,0,B$6/AGR!B$5*1000)</f>
        <v>3.0697820402181839</v>
      </c>
      <c r="C45" s="247">
        <f>IF(C$6=0,0,C$6/AGR!C$5*1000)</f>
        <v>3.213119801591318</v>
      </c>
      <c r="D45" s="247">
        <f>IF(D$6=0,0,D$6/AGR!D$5*1000)</f>
        <v>3.2811702900324611</v>
      </c>
      <c r="E45" s="247">
        <f>IF(E$6=0,0,E$6/AGR!E$5*1000)</f>
        <v>3.0005067807028101</v>
      </c>
      <c r="F45" s="247">
        <f>IF(F$6=0,0,F$6/AGR!F$5*1000)</f>
        <v>2.738755369157571</v>
      </c>
      <c r="G45" s="247">
        <f>IF(G$6=0,0,G$6/AGR!G$5*1000)</f>
        <v>3.3568833139481278</v>
      </c>
      <c r="H45" s="247">
        <f>IF(H$6=0,0,H$6/AGR!H$5*1000)</f>
        <v>3.716597067124217</v>
      </c>
      <c r="I45" s="247">
        <f>IF(I$6=0,0,I$6/AGR!I$5*1000)</f>
        <v>3.2478279940559753</v>
      </c>
      <c r="J45" s="247">
        <f>IF(J$6=0,0,J$6/AGR!J$5*1000)</f>
        <v>3.6010308962907498</v>
      </c>
      <c r="K45" s="247">
        <f>IF(K$6=0,0,K$6/AGR!K$5*1000)</f>
        <v>4.2413715218393051</v>
      </c>
      <c r="L45" s="247">
        <f>IF(L$6=0,0,L$6/AGR!L$5*1000)</f>
        <v>3.3968091970444707</v>
      </c>
      <c r="M45" s="247">
        <f>IF(M$6=0,0,M$6/AGR!M$5*1000)</f>
        <v>2.8837392845152596</v>
      </c>
      <c r="N45" s="247">
        <f>IF(N$6=0,0,N$6/AGR!N$5*1000)</f>
        <v>2.6523116744087938</v>
      </c>
      <c r="O45" s="247">
        <f>IF(O$6=0,0,O$6/AGR!O$5*1000)</f>
        <v>2.6749032987669201</v>
      </c>
      <c r="P45" s="247">
        <f>IF(P$6=0,0,P$6/AGR!P$5*1000)</f>
        <v>2.9447722863438015</v>
      </c>
      <c r="Q45" s="247">
        <f>IF(Q$6=0,0,Q$6/AGR!Q$5*1000)</f>
        <v>3.3883815257215306</v>
      </c>
      <c r="R45" s="247">
        <f>IF(R$6=0,0,R$6/AGR!R$5*1000)</f>
        <v>3.4896427632055222</v>
      </c>
      <c r="S45" s="247">
        <f>IF(S$6=0,0,S$6/AGR!S$5*1000)</f>
        <v>3.178552669783306</v>
      </c>
      <c r="T45" s="247">
        <f>IF(T$6=0,0,T$6/AGR!T$5*1000)</f>
        <v>2.9798237065556337</v>
      </c>
      <c r="U45" s="247">
        <f>IF(U$6=0,0,U$6/AGR!U$5*1000)</f>
        <v>3.0395530460422289</v>
      </c>
      <c r="V45" s="247">
        <f>IF(V$6=0,0,V$6/AGR!V$5*1000)</f>
        <v>3.0613392237315331</v>
      </c>
      <c r="W45" s="247">
        <f>IF(W$6=0,0,W$6/AGR!W$5*1000)</f>
        <v>3.0707431308524167</v>
      </c>
      <c r="X45" s="247">
        <f>IF(X$6=0,0,X$6/AGR!X$5*1000)</f>
        <v>2.6043534934531776</v>
      </c>
      <c r="Y45" s="247">
        <f>IF(Y$6=0,0,Y$6/AGR!Y$5*1000)</f>
        <v>2.722181687158745</v>
      </c>
      <c r="DA45" s="281"/>
    </row>
    <row r="46" spans="1:105" x14ac:dyDescent="0.25">
      <c r="A46" s="240" t="s">
        <v>124</v>
      </c>
      <c r="B46" s="248">
        <f>IF(B$7=0,0,B$7/AGR!B$5*1000)</f>
        <v>1.9953583261418188</v>
      </c>
      <c r="C46" s="248">
        <f>IF(C$7=0,0,C$7/AGR!C$5*1000)</f>
        <v>2.0885278710343558</v>
      </c>
      <c r="D46" s="248">
        <f>IF(D$7=0,0,D$7/AGR!D$5*1000)</f>
        <v>2.132760688521099</v>
      </c>
      <c r="E46" s="248">
        <f>IF(E$7=0,0,E$7/AGR!E$5*1000)</f>
        <v>1.9503294074568263</v>
      </c>
      <c r="F46" s="248">
        <f>IF(F$7=0,0,F$7/AGR!F$5*1000)</f>
        <v>1.7801909899524215</v>
      </c>
      <c r="G46" s="248">
        <f>IF(G$7=0,0,G$7/AGR!G$5*1000)</f>
        <v>2.1819741540662831</v>
      </c>
      <c r="H46" s="248">
        <f>IF(H$7=0,0,H$7/AGR!H$5*1000)</f>
        <v>2.4157880936307405</v>
      </c>
      <c r="I46" s="248">
        <f>IF(I$7=0,0,I$7/AGR!I$5*1000)</f>
        <v>2.1110881961363837</v>
      </c>
      <c r="J46" s="248">
        <f>IF(J$7=0,0,J$7/AGR!J$5*1000)</f>
        <v>2.340670082588987</v>
      </c>
      <c r="K46" s="248">
        <f>IF(K$7=0,0,K$7/AGR!K$5*1000)</f>
        <v>2.7568914891955485</v>
      </c>
      <c r="L46" s="248">
        <f>IF(L$7=0,0,L$7/AGR!L$5*1000)</f>
        <v>2.2079259780789053</v>
      </c>
      <c r="M46" s="248">
        <f>IF(M$7=0,0,M$7/AGR!M$5*1000)</f>
        <v>1.8744305349349182</v>
      </c>
      <c r="N46" s="248">
        <f>IF(N$7=0,0,N$7/AGR!N$5*1000)</f>
        <v>1.7240025883657155</v>
      </c>
      <c r="O46" s="248">
        <f>IF(O$7=0,0,O$7/AGR!O$5*1000)</f>
        <v>1.7386871441984983</v>
      </c>
      <c r="P46" s="248">
        <f>IF(P$7=0,0,P$7/AGR!P$5*1000)</f>
        <v>1.9141019861234694</v>
      </c>
      <c r="Q46" s="248">
        <f>IF(Q$7=0,0,Q$7/AGR!Q$5*1000)</f>
        <v>2.2024479917189947</v>
      </c>
      <c r="R46" s="248">
        <f>IF(R$7=0,0,R$7/AGR!R$5*1000)</f>
        <v>2.2682677960835886</v>
      </c>
      <c r="S46" s="248">
        <f>IF(S$7=0,0,S$7/AGR!S$5*1000)</f>
        <v>2.0660592353591478</v>
      </c>
      <c r="T46" s="248">
        <f>IF(T$7=0,0,T$7/AGR!T$5*1000)</f>
        <v>1.9368854092611609</v>
      </c>
      <c r="U46" s="248">
        <f>IF(U$7=0,0,U$7/AGR!U$5*1000)</f>
        <v>1.9757094799274479</v>
      </c>
      <c r="V46" s="248">
        <f>IF(V$7=0,0,V$7/AGR!V$5*1000)</f>
        <v>1.9898704954254967</v>
      </c>
      <c r="W46" s="248">
        <f>IF(W$7=0,0,W$7/AGR!W$5*1000)</f>
        <v>1.9959830350540706</v>
      </c>
      <c r="X46" s="248">
        <f>IF(X$7=0,0,X$7/AGR!X$5*1000)</f>
        <v>1.6928297707445654</v>
      </c>
      <c r="Y46" s="248">
        <f>IF(Y$7=0,0,Y$7/AGR!Y$5*1000)</f>
        <v>1.7694180966531836</v>
      </c>
      <c r="DA46" s="282"/>
    </row>
    <row r="47" spans="1:105" x14ac:dyDescent="0.25">
      <c r="A47" s="240" t="s">
        <v>123</v>
      </c>
      <c r="B47" s="248">
        <f>IF(B$8=0,0,B$8/AGR!B$5*1000)</f>
        <v>2.7628038361963649</v>
      </c>
      <c r="C47" s="248">
        <f>IF(C$8=0,0,C$8/AGR!C$5*1000)</f>
        <v>2.8918078214321863</v>
      </c>
      <c r="D47" s="248">
        <f>IF(D$8=0,0,D$8/AGR!D$5*1000)</f>
        <v>2.9530532610292144</v>
      </c>
      <c r="E47" s="248">
        <f>IF(E$8=0,0,E$8/AGR!E$5*1000)</f>
        <v>2.7004561026325296</v>
      </c>
      <c r="F47" s="248">
        <f>IF(F$8=0,0,F$8/AGR!F$5*1000)</f>
        <v>2.464879832241814</v>
      </c>
      <c r="G47" s="248">
        <f>IF(G$8=0,0,G$8/AGR!G$5*1000)</f>
        <v>3.0211949825533146</v>
      </c>
      <c r="H47" s="248">
        <f>IF(H$8=0,0,H$8/AGR!H$5*1000)</f>
        <v>3.3449373604117953</v>
      </c>
      <c r="I47" s="248">
        <f>IF(I$8=0,0,I$8/AGR!I$5*1000)</f>
        <v>2.9230451946503777</v>
      </c>
      <c r="J47" s="248">
        <f>IF(J$8=0,0,J$8/AGR!J$5*1000)</f>
        <v>3.2409278066616745</v>
      </c>
      <c r="K47" s="248">
        <f>IF(K$8=0,0,K$8/AGR!K$5*1000)</f>
        <v>3.8172343696553748</v>
      </c>
      <c r="L47" s="248">
        <f>IF(L$8=0,0,L$8/AGR!L$5*1000)</f>
        <v>3.0571282773400221</v>
      </c>
      <c r="M47" s="248">
        <f>IF(M$8=0,0,M$8/AGR!M$5*1000)</f>
        <v>2.5953653560637333</v>
      </c>
      <c r="N47" s="248">
        <f>IF(N$8=0,0,N$8/AGR!N$5*1000)</f>
        <v>2.387080506967914</v>
      </c>
      <c r="O47" s="248">
        <f>IF(O$8=0,0,O$8/AGR!O$5*1000)</f>
        <v>2.4074129688902288</v>
      </c>
      <c r="P47" s="248">
        <f>IF(P$8=0,0,P$8/AGR!P$5*1000)</f>
        <v>2.6502950577094202</v>
      </c>
      <c r="Q47" s="248">
        <f>IF(Q$8=0,0,Q$8/AGR!Q$5*1000)</f>
        <v>3.0495433731493771</v>
      </c>
      <c r="R47" s="248">
        <f>IF(R$8=0,0,R$8/AGR!R$5*1000)</f>
        <v>3.1406784868849695</v>
      </c>
      <c r="S47" s="248">
        <f>IF(S$8=0,0,S$8/AGR!S$5*1000)</f>
        <v>2.8606974028049752</v>
      </c>
      <c r="T47" s="248">
        <f>IF(T$8=0,0,T$8/AGR!T$5*1000)</f>
        <v>2.6818413359000699</v>
      </c>
      <c r="U47" s="248">
        <f>IF(U$8=0,0,U$8/AGR!U$5*1000)</f>
        <v>2.7355977414380059</v>
      </c>
      <c r="V47" s="248">
        <f>IF(V$8=0,0,V$8/AGR!V$5*1000)</f>
        <v>2.7552053013583793</v>
      </c>
      <c r="W47" s="248">
        <f>IF(W$8=0,0,W$8/AGR!W$5*1000)</f>
        <v>2.763668817767174</v>
      </c>
      <c r="X47" s="248">
        <f>IF(X$8=0,0,X$8/AGR!X$5*1000)</f>
        <v>2.3439181441078603</v>
      </c>
      <c r="Y47" s="248">
        <f>IF(Y$8=0,0,Y$8/AGR!Y$5*1000)</f>
        <v>2.4499635184428699</v>
      </c>
      <c r="DA47" s="282"/>
    </row>
    <row r="48" spans="1:105" x14ac:dyDescent="0.25">
      <c r="A48" s="242" t="s">
        <v>122</v>
      </c>
      <c r="B48" s="249">
        <f>IF(B$9=0,0,B$9/AGR!B$5*1000)</f>
        <v>21.758035897951824</v>
      </c>
      <c r="C48" s="249">
        <f>IF(C$9=0,0,C$9/AGR!C$5*1000)</f>
        <v>21.222741510153266</v>
      </c>
      <c r="D48" s="249">
        <f>IF(D$9=0,0,D$9/AGR!D$5*1000)</f>
        <v>21.990714276857858</v>
      </c>
      <c r="E48" s="249">
        <f>IF(E$9=0,0,E$9/AGR!E$5*1000)</f>
        <v>23.753258032803693</v>
      </c>
      <c r="F48" s="249">
        <f>IF(F$9=0,0,F$9/AGR!F$5*1000)</f>
        <v>23.61058624175757</v>
      </c>
      <c r="G48" s="249">
        <f>IF(G$9=0,0,G$9/AGR!G$5*1000)</f>
        <v>26.695517261090995</v>
      </c>
      <c r="H48" s="249">
        <f>IF(H$9=0,0,H$9/AGR!H$5*1000)</f>
        <v>25.619320501992931</v>
      </c>
      <c r="I48" s="249">
        <f>IF(I$9=0,0,I$9/AGR!I$5*1000)</f>
        <v>23.22032786198724</v>
      </c>
      <c r="J48" s="249">
        <f>IF(J$9=0,0,J$9/AGR!J$5*1000)</f>
        <v>24.353515825509355</v>
      </c>
      <c r="K48" s="249">
        <f>IF(K$9=0,0,K$9/AGR!K$5*1000)</f>
        <v>26.799815793733078</v>
      </c>
      <c r="L48" s="249">
        <f>IF(L$9=0,0,L$9/AGR!L$5*1000)</f>
        <v>25.040107716008357</v>
      </c>
      <c r="M48" s="249">
        <f>IF(M$9=0,0,M$9/AGR!M$5*1000)</f>
        <v>23.295476496634866</v>
      </c>
      <c r="N48" s="249">
        <f>IF(N$9=0,0,N$9/AGR!N$5*1000)</f>
        <v>24.137069427361538</v>
      </c>
      <c r="O48" s="249">
        <f>IF(O$9=0,0,O$9/AGR!O$5*1000)</f>
        <v>23.67992710318191</v>
      </c>
      <c r="P48" s="249">
        <f>IF(P$9=0,0,P$9/AGR!P$5*1000)</f>
        <v>22.789998795378423</v>
      </c>
      <c r="Q48" s="249">
        <f>IF(Q$9=0,0,Q$9/AGR!Q$5*1000)</f>
        <v>22.696446169634548</v>
      </c>
      <c r="R48" s="249">
        <f>IF(R$9=0,0,R$9/AGR!R$5*1000)</f>
        <v>22.943219759811253</v>
      </c>
      <c r="S48" s="249">
        <f>IF(S$9=0,0,S$9/AGR!S$5*1000)</f>
        <v>21.216543948998837</v>
      </c>
      <c r="T48" s="249">
        <f>IF(T$9=0,0,T$9/AGR!T$5*1000)</f>
        <v>22.336360794070945</v>
      </c>
      <c r="U48" s="249">
        <f>IF(U$9=0,0,U$9/AGR!U$5*1000)</f>
        <v>22.205521437264945</v>
      </c>
      <c r="V48" s="249">
        <f>IF(V$9=0,0,V$9/AGR!V$5*1000)</f>
        <v>23.573924607836517</v>
      </c>
      <c r="W48" s="249">
        <f>IF(W$9=0,0,W$9/AGR!W$5*1000)</f>
        <v>22.471900379755258</v>
      </c>
      <c r="X48" s="249">
        <f>IF(X$9=0,0,X$9/AGR!X$5*1000)</f>
        <v>19.16245210331056</v>
      </c>
      <c r="Y48" s="249">
        <f>IF(Y$9=0,0,Y$9/AGR!Y$5*1000)</f>
        <v>19.370479063390469</v>
      </c>
      <c r="DA48" s="283"/>
    </row>
    <row r="49" spans="1:105" x14ac:dyDescent="0.25">
      <c r="A49" s="127" t="s">
        <v>168</v>
      </c>
      <c r="B49" s="262">
        <f>IF(B$16=0,0,B$16/AGR!B$5*1000)</f>
        <v>28.748682536736357</v>
      </c>
      <c r="C49" s="262">
        <f>IF(C$16=0,0,C$16/AGR!C$5*1000)</f>
        <v>27.868299190906079</v>
      </c>
      <c r="D49" s="262">
        <f>IF(D$16=0,0,D$16/AGR!D$5*1000)</f>
        <v>28.911760510846388</v>
      </c>
      <c r="E49" s="262">
        <f>IF(E$16=0,0,E$16/AGR!E$5*1000)</f>
        <v>30.160701870687237</v>
      </c>
      <c r="F49" s="262">
        <f>IF(F$16=0,0,F$16/AGR!F$5*1000)</f>
        <v>29.906260800616227</v>
      </c>
      <c r="G49" s="262">
        <f>IF(G$16=0,0,G$16/AGR!G$5*1000)</f>
        <v>34.436578292257387</v>
      </c>
      <c r="H49" s="262">
        <f>IF(H$16=0,0,H$16/AGR!H$5*1000)</f>
        <v>32.223654725129222</v>
      </c>
      <c r="I49" s="262">
        <f>IF(I$16=0,0,I$16/AGR!I$5*1000)</f>
        <v>29.548570914329634</v>
      </c>
      <c r="J49" s="262">
        <f>IF(J$16=0,0,J$16/AGR!J$5*1000)</f>
        <v>30.557626345403186</v>
      </c>
      <c r="K49" s="262">
        <f>IF(K$16=0,0,K$16/AGR!K$5*1000)</f>
        <v>34.347581141765282</v>
      </c>
      <c r="L49" s="262">
        <f>IF(L$16=0,0,L$16/AGR!L$5*1000)</f>
        <v>32.876629895025097</v>
      </c>
      <c r="M49" s="262">
        <f>IF(M$16=0,0,M$16/AGR!M$5*1000)</f>
        <v>28.708036308180731</v>
      </c>
      <c r="N49" s="262">
        <f>IF(N$16=0,0,N$16/AGR!N$5*1000)</f>
        <v>29.249597672031921</v>
      </c>
      <c r="O49" s="262">
        <f>IF(O$16=0,0,O$16/AGR!O$5*1000)</f>
        <v>28.497874702379896</v>
      </c>
      <c r="P49" s="262">
        <f>IF(P$16=0,0,P$16/AGR!P$5*1000)</f>
        <v>27.01001564135456</v>
      </c>
      <c r="Q49" s="262">
        <f>IF(Q$16=0,0,Q$16/AGR!Q$5*1000)</f>
        <v>28.667453025341523</v>
      </c>
      <c r="R49" s="262">
        <f>IF(R$16=0,0,R$16/AGR!R$5*1000)</f>
        <v>29.493136615200928</v>
      </c>
      <c r="S49" s="262">
        <f>IF(S$16=0,0,S$16/AGR!S$5*1000)</f>
        <v>27.320906800993637</v>
      </c>
      <c r="T49" s="262">
        <f>IF(T$16=0,0,T$16/AGR!T$5*1000)</f>
        <v>29.467823954323197</v>
      </c>
      <c r="U49" s="262">
        <f>IF(U$16=0,0,U$16/AGR!U$5*1000)</f>
        <v>29.032785042464081</v>
      </c>
      <c r="V49" s="262">
        <f>IF(V$16=0,0,V$16/AGR!V$5*1000)</f>
        <v>31.254161872293253</v>
      </c>
      <c r="W49" s="262">
        <f>IF(W$16=0,0,W$16/AGR!W$5*1000)</f>
        <v>29.686337768250642</v>
      </c>
      <c r="X49" s="262">
        <f>IF(X$16=0,0,X$16/AGR!X$5*1000)</f>
        <v>25.481697309194995</v>
      </c>
      <c r="Y49" s="262">
        <f>IF(Y$16=0,0,Y$16/AGR!Y$5*1000)</f>
        <v>25.55566951181989</v>
      </c>
      <c r="DA49" s="284"/>
    </row>
    <row r="50" spans="1:105" x14ac:dyDescent="0.25">
      <c r="A50" s="127" t="s">
        <v>121</v>
      </c>
      <c r="B50" s="262">
        <f>IF(B$17=0,0,B$17/AGR!B$5*1000)</f>
        <v>41.091784447453271</v>
      </c>
      <c r="C50" s="262">
        <f>IF(C$17=0,0,C$17/AGR!C$5*1000)</f>
        <v>39.307658690165603</v>
      </c>
      <c r="D50" s="262">
        <f>IF(D$17=0,0,D$17/AGR!D$5*1000)</f>
        <v>40.945104170883226</v>
      </c>
      <c r="E50" s="262">
        <f>IF(E$17=0,0,E$17/AGR!E$5*1000)</f>
        <v>44.825747175943498</v>
      </c>
      <c r="F50" s="262">
        <f>IF(F$17=0,0,F$17/AGR!F$5*1000)</f>
        <v>44.34879947776394</v>
      </c>
      <c r="G50" s="262">
        <f>IF(G$17=0,0,G$17/AGR!G$5*1000)</f>
        <v>49.760246497586643</v>
      </c>
      <c r="H50" s="262">
        <f>IF(H$17=0,0,H$17/AGR!H$5*1000)</f>
        <v>47.43922364028586</v>
      </c>
      <c r="I50" s="262">
        <f>IF(I$17=0,0,I$17/AGR!I$5*1000)</f>
        <v>43.128651163586156</v>
      </c>
      <c r="J50" s="262">
        <f>IF(J$17=0,0,J$17/AGR!J$5*1000)</f>
        <v>44.707991969492056</v>
      </c>
      <c r="K50" s="262">
        <f>IF(K$17=0,0,K$17/AGR!K$5*1000)</f>
        <v>48.879175483733547</v>
      </c>
      <c r="L50" s="262">
        <f>IF(L$17=0,0,L$17/AGR!L$5*1000)</f>
        <v>47.257870318551163</v>
      </c>
      <c r="M50" s="262">
        <f>IF(M$17=0,0,M$17/AGR!M$5*1000)</f>
        <v>44.082614564938915</v>
      </c>
      <c r="N50" s="262">
        <f>IF(N$17=0,0,N$17/AGR!N$5*1000)</f>
        <v>46.043389027384585</v>
      </c>
      <c r="O50" s="262">
        <f>IF(O$17=0,0,O$17/AGR!O$5*1000)</f>
        <v>46.866404721852817</v>
      </c>
      <c r="P50" s="262">
        <f>IF(P$17=0,0,P$17/AGR!P$5*1000)</f>
        <v>44.498577739742665</v>
      </c>
      <c r="Q50" s="262">
        <f>IF(Q$17=0,0,Q$17/AGR!Q$5*1000)</f>
        <v>42.862790361118826</v>
      </c>
      <c r="R50" s="262">
        <f>IF(R$17=0,0,R$17/AGR!R$5*1000)</f>
        <v>42.860576075854887</v>
      </c>
      <c r="S50" s="262">
        <f>IF(S$17=0,0,S$17/AGR!S$5*1000)</f>
        <v>39.579706301212177</v>
      </c>
      <c r="T50" s="262">
        <f>IF(T$17=0,0,T$17/AGR!T$5*1000)</f>
        <v>42.673732614248266</v>
      </c>
      <c r="U50" s="262">
        <f>IF(U$17=0,0,U$17/AGR!U$5*1000)</f>
        <v>42.295573763065221</v>
      </c>
      <c r="V50" s="262">
        <f>IF(V$17=0,0,V$17/AGR!V$5*1000)</f>
        <v>44.882252073801247</v>
      </c>
      <c r="W50" s="262">
        <f>IF(W$17=0,0,W$17/AGR!W$5*1000)</f>
        <v>42.396501298803706</v>
      </c>
      <c r="X50" s="262">
        <f>IF(X$17=0,0,X$17/AGR!X$5*1000)</f>
        <v>36.364075285081931</v>
      </c>
      <c r="Y50" s="262">
        <f>IF(Y$17=0,0,Y$17/AGR!Y$5*1000)</f>
        <v>37.93112324301746</v>
      </c>
      <c r="DA50" s="284"/>
    </row>
    <row r="51" spans="1:105" x14ac:dyDescent="0.25">
      <c r="A51" s="127" t="s">
        <v>167</v>
      </c>
      <c r="B51" s="262">
        <f>IF(B$25=0,0,B$25/AGR!B$5*1000)</f>
        <v>5.524298933054248</v>
      </c>
      <c r="C51" s="262">
        <f>IF(C$25=0,0,C$25/AGR!C$5*1000)</f>
        <v>5.3551259362800803</v>
      </c>
      <c r="D51" s="262">
        <f>IF(D$25=0,0,D$25/AGR!D$5*1000)</f>
        <v>5.5556357248265167</v>
      </c>
      <c r="E51" s="262">
        <f>IF(E$25=0,0,E$25/AGR!E$5*1000)</f>
        <v>5.7956302154540262</v>
      </c>
      <c r="F51" s="262">
        <f>IF(F$25=0,0,F$25/AGR!F$5*1000)</f>
        <v>5.7467372433979236</v>
      </c>
      <c r="G51" s="262">
        <f>IF(G$25=0,0,G$25/AGR!G$5*1000)</f>
        <v>6.6172755038378588</v>
      </c>
      <c r="H51" s="262">
        <f>IF(H$25=0,0,H$25/AGR!H$5*1000)</f>
        <v>6.1920437985172647</v>
      </c>
      <c r="I51" s="262">
        <f>IF(I$25=0,0,I$25/AGR!I$5*1000)</f>
        <v>5.6780041508587313</v>
      </c>
      <c r="J51" s="262">
        <f>IF(J$25=0,0,J$25/AGR!J$5*1000)</f>
        <v>5.8719025611302014</v>
      </c>
      <c r="K51" s="262">
        <f>IF(K$25=0,0,K$25/AGR!K$5*1000)</f>
        <v>6.6001739596930022</v>
      </c>
      <c r="L51" s="262">
        <f>IF(L$25=0,0,L$25/AGR!L$5*1000)</f>
        <v>6.317518419128386</v>
      </c>
      <c r="M51" s="262">
        <f>IF(M$25=0,0,M$25/AGR!M$5*1000)</f>
        <v>5.5164884215027818</v>
      </c>
      <c r="N51" s="262">
        <f>IF(N$25=0,0,N$25/AGR!N$5*1000)</f>
        <v>5.6205539507903817</v>
      </c>
      <c r="O51" s="262">
        <f>IF(O$25=0,0,O$25/AGR!O$5*1000)</f>
        <v>5.4761041175190854</v>
      </c>
      <c r="P51" s="262">
        <f>IF(P$25=0,0,P$25/AGR!P$5*1000)</f>
        <v>5.1901995995345027</v>
      </c>
      <c r="Q51" s="262">
        <f>IF(Q$25=0,0,Q$25/AGR!Q$5*1000)</f>
        <v>5.5086900054953043</v>
      </c>
      <c r="R51" s="262">
        <f>IF(R$25=0,0,R$25/AGR!R$5*1000)</f>
        <v>5.6673519883069385</v>
      </c>
      <c r="S51" s="262">
        <f>IF(S$25=0,0,S$25/AGR!S$5*1000)</f>
        <v>5.2499399267406472</v>
      </c>
      <c r="T51" s="262">
        <f>IF(T$25=0,0,T$25/AGR!T$5*1000)</f>
        <v>5.6624879495705214</v>
      </c>
      <c r="U51" s="262">
        <f>IF(U$25=0,0,U$25/AGR!U$5*1000)</f>
        <v>5.5788915971620474</v>
      </c>
      <c r="V51" s="262">
        <f>IF(V$25=0,0,V$25/AGR!V$5*1000)</f>
        <v>6.0057476673578041</v>
      </c>
      <c r="W51" s="262">
        <f>IF(W$25=0,0,W$25/AGR!W$5*1000)</f>
        <v>5.7044771999507589</v>
      </c>
      <c r="X51" s="262">
        <f>IF(X$25=0,0,X$25/AGR!X$5*1000)</f>
        <v>4.8965204954250314</v>
      </c>
      <c r="Y51" s="262">
        <f>IF(Y$25=0,0,Y$25/AGR!Y$5*1000)</f>
        <v>4.9107348706234148</v>
      </c>
      <c r="DA51" s="284"/>
    </row>
    <row r="52" spans="1:105" x14ac:dyDescent="0.25">
      <c r="A52" s="127" t="s">
        <v>170</v>
      </c>
      <c r="B52" s="262">
        <f>IF(B$26=0,0,B$26/AGR!B$5*1000)</f>
        <v>3.0697820402181839</v>
      </c>
      <c r="C52" s="262">
        <f>IF(C$26=0,0,C$26/AGR!C$5*1000)</f>
        <v>3.213119801591318</v>
      </c>
      <c r="D52" s="262">
        <f>IF(D$26=0,0,D$26/AGR!D$5*1000)</f>
        <v>3.2811702900324611</v>
      </c>
      <c r="E52" s="262">
        <f>IF(E$26=0,0,E$26/AGR!E$5*1000)</f>
        <v>3.0005067807028101</v>
      </c>
      <c r="F52" s="262">
        <f>IF(F$26=0,0,F$26/AGR!F$5*1000)</f>
        <v>2.738755369157571</v>
      </c>
      <c r="G52" s="262">
        <f>IF(G$26=0,0,G$26/AGR!G$5*1000)</f>
        <v>3.3568833139481278</v>
      </c>
      <c r="H52" s="262">
        <f>IF(H$26=0,0,H$26/AGR!H$5*1000)</f>
        <v>3.716597067124217</v>
      </c>
      <c r="I52" s="262">
        <f>IF(I$26=0,0,I$26/AGR!I$5*1000)</f>
        <v>3.2478279940559753</v>
      </c>
      <c r="J52" s="262">
        <f>IF(J$26=0,0,J$26/AGR!J$5*1000)</f>
        <v>3.6010308962907498</v>
      </c>
      <c r="K52" s="262">
        <f>IF(K$26=0,0,K$26/AGR!K$5*1000)</f>
        <v>4.2413715218393051</v>
      </c>
      <c r="L52" s="262">
        <f>IF(L$26=0,0,L$26/AGR!L$5*1000)</f>
        <v>3.3968091970444707</v>
      </c>
      <c r="M52" s="262">
        <f>IF(M$26=0,0,M$26/AGR!M$5*1000)</f>
        <v>2.8837392845152596</v>
      </c>
      <c r="N52" s="262">
        <f>IF(N$26=0,0,N$26/AGR!N$5*1000)</f>
        <v>2.6523116744087938</v>
      </c>
      <c r="O52" s="262">
        <f>IF(O$26=0,0,O$26/AGR!O$5*1000)</f>
        <v>2.6749032987669201</v>
      </c>
      <c r="P52" s="262">
        <f>IF(P$26=0,0,P$26/AGR!P$5*1000)</f>
        <v>2.9447722863438015</v>
      </c>
      <c r="Q52" s="262">
        <f>IF(Q$26=0,0,Q$26/AGR!Q$5*1000)</f>
        <v>3.3883815257215306</v>
      </c>
      <c r="R52" s="262">
        <f>IF(R$26=0,0,R$26/AGR!R$5*1000)</f>
        <v>3.4896427632055222</v>
      </c>
      <c r="S52" s="262">
        <f>IF(S$26=0,0,S$26/AGR!S$5*1000)</f>
        <v>3.178552669783306</v>
      </c>
      <c r="T52" s="262">
        <f>IF(T$26=0,0,T$26/AGR!T$5*1000)</f>
        <v>2.9798237065556337</v>
      </c>
      <c r="U52" s="262">
        <f>IF(U$26=0,0,U$26/AGR!U$5*1000)</f>
        <v>3.0395530460422289</v>
      </c>
      <c r="V52" s="262">
        <f>IF(V$26=0,0,V$26/AGR!V$5*1000)</f>
        <v>3.0613392237315331</v>
      </c>
      <c r="W52" s="262">
        <f>IF(W$26=0,0,W$26/AGR!W$5*1000)</f>
        <v>3.0707431308524167</v>
      </c>
      <c r="X52" s="262">
        <f>IF(X$26=0,0,X$26/AGR!X$5*1000)</f>
        <v>2.6043534934531776</v>
      </c>
      <c r="Y52" s="262">
        <f>IF(Y$26=0,0,Y$26/AGR!Y$5*1000)</f>
        <v>2.722181687158745</v>
      </c>
      <c r="DA52" s="284"/>
    </row>
    <row r="53" spans="1:105" x14ac:dyDescent="0.25">
      <c r="A53" s="260" t="s">
        <v>33</v>
      </c>
      <c r="B53" s="263">
        <f>IF(B$27=0,0,B$27/AGR!B$5*1000)</f>
        <v>4.451183958316367</v>
      </c>
      <c r="C53" s="263">
        <f>IF(C$27=0,0,C$27/AGR!C$5*1000)</f>
        <v>4.6590237123074134</v>
      </c>
      <c r="D53" s="263">
        <f>IF(D$27=0,0,D$27/AGR!D$5*1000)</f>
        <v>4.7576969205470707</v>
      </c>
      <c r="E53" s="263">
        <f>IF(E$27=0,0,E$27/AGR!E$5*1000)</f>
        <v>4.3507348320190742</v>
      </c>
      <c r="F53" s="263">
        <f>IF(F$27=0,0,F$27/AGR!F$5*1000)</f>
        <v>3.9711952852784798</v>
      </c>
      <c r="G53" s="263">
        <f>IF(G$27=0,0,G$27/AGR!G$5*1000)</f>
        <v>4.8674808052247878</v>
      </c>
      <c r="H53" s="263">
        <f>IF(H$27=0,0,H$27/AGR!H$5*1000)</f>
        <v>5.3890657473301147</v>
      </c>
      <c r="I53" s="263">
        <f>IF(I$27=0,0,I$27/AGR!I$5*1000)</f>
        <v>4.7093505913811642</v>
      </c>
      <c r="J53" s="263">
        <f>IF(J$27=0,0,J$27/AGR!J$5*1000)</f>
        <v>5.2214947996215866</v>
      </c>
      <c r="K53" s="263">
        <f>IF(K$27=0,0,K$27/AGR!K$5*1000)</f>
        <v>6.1499887066669938</v>
      </c>
      <c r="L53" s="263">
        <f>IF(L$27=0,0,L$27/AGR!L$5*1000)</f>
        <v>4.9253733357144815</v>
      </c>
      <c r="M53" s="263">
        <f>IF(M$27=0,0,M$27/AGR!M$5*1000)</f>
        <v>4.1814219625471276</v>
      </c>
      <c r="N53" s="263">
        <f>IF(N$27=0,0,N$27/AGR!N$5*1000)</f>
        <v>3.8458519278927508</v>
      </c>
      <c r="O53" s="263">
        <f>IF(O$27=0,0,O$27/AGR!O$5*1000)</f>
        <v>3.8786097832120352</v>
      </c>
      <c r="P53" s="263">
        <f>IF(P$27=0,0,P$27/AGR!P$5*1000)</f>
        <v>4.2699198151985112</v>
      </c>
      <c r="Q53" s="263">
        <f>IF(Q$27=0,0,Q$27/AGR!Q$5*1000)</f>
        <v>4.9131532122962174</v>
      </c>
      <c r="R53" s="263">
        <f>IF(R$27=0,0,R$27/AGR!R$5*1000)</f>
        <v>5.0599820066480081</v>
      </c>
      <c r="S53" s="263">
        <f>IF(S$27=0,0,S$27/AGR!S$5*1000)</f>
        <v>4.6089013711857927</v>
      </c>
      <c r="T53" s="263">
        <f>IF(T$27=0,0,T$27/AGR!T$5*1000)</f>
        <v>4.3207443745056668</v>
      </c>
      <c r="U53" s="263">
        <f>IF(U$27=0,0,U$27/AGR!U$5*1000)</f>
        <v>4.4073519167612325</v>
      </c>
      <c r="V53" s="263">
        <f>IF(V$27=0,0,V$27/AGR!V$5*1000)</f>
        <v>4.4389418744107232</v>
      </c>
      <c r="W53" s="263">
        <f>IF(W$27=0,0,W$27/AGR!W$5*1000)</f>
        <v>4.4525775397360023</v>
      </c>
      <c r="X53" s="263">
        <f>IF(X$27=0,0,X$27/AGR!X$5*1000)</f>
        <v>3.7763125655071081</v>
      </c>
      <c r="Y53" s="263">
        <f>IF(Y$27=0,0,Y$27/AGR!Y$5*1000)</f>
        <v>3.9471634463801784</v>
      </c>
      <c r="DA53" s="285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1015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133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1011.4530627321639</v>
      </c>
      <c r="C5" s="80">
        <f t="shared" ref="C5:W5" si="1">SUM(C6:C9,C16:C17,C25:C27)</f>
        <v>951.06077004885583</v>
      </c>
      <c r="D5" s="80">
        <f t="shared" si="1"/>
        <v>934.78012926671693</v>
      </c>
      <c r="E5" s="80">
        <f t="shared" si="1"/>
        <v>1158.4890148879672</v>
      </c>
      <c r="F5" s="80">
        <f t="shared" si="1"/>
        <v>1310.5123922473895</v>
      </c>
      <c r="G5" s="80">
        <f t="shared" si="1"/>
        <v>1221.5314686750485</v>
      </c>
      <c r="H5" s="80">
        <f t="shared" si="1"/>
        <v>1120.689417263626</v>
      </c>
      <c r="I5" s="80">
        <f t="shared" si="1"/>
        <v>1166.6234696222075</v>
      </c>
      <c r="J5" s="80">
        <f t="shared" si="1"/>
        <v>1077.0226907685155</v>
      </c>
      <c r="K5" s="80">
        <f t="shared" si="1"/>
        <v>942.39400630563364</v>
      </c>
      <c r="L5" s="80">
        <f t="shared" si="1"/>
        <v>876.46351811996396</v>
      </c>
      <c r="M5" s="80">
        <f t="shared" si="1"/>
        <v>947.13701719101721</v>
      </c>
      <c r="N5" s="80">
        <f t="shared" si="1"/>
        <v>1065.5923514210015</v>
      </c>
      <c r="O5" s="80">
        <f t="shared" si="1"/>
        <v>1165.9840943190122</v>
      </c>
      <c r="P5" s="80">
        <f t="shared" si="1"/>
        <v>1141.028258549391</v>
      </c>
      <c r="Q5" s="80">
        <f t="shared" si="1"/>
        <v>1082.975954860244</v>
      </c>
      <c r="R5" s="80">
        <f t="shared" si="1"/>
        <v>1087.4624567560447</v>
      </c>
      <c r="S5" s="80">
        <f t="shared" si="1"/>
        <v>1093.2327613136267</v>
      </c>
      <c r="T5" s="80">
        <f t="shared" si="1"/>
        <v>1082.2910002717567</v>
      </c>
      <c r="U5" s="80">
        <f t="shared" si="1"/>
        <v>1145.9945495435941</v>
      </c>
      <c r="V5" s="80">
        <f t="shared" si="1"/>
        <v>1171.8455906346655</v>
      </c>
      <c r="W5" s="80">
        <f t="shared" si="1"/>
        <v>1207.3436195633333</v>
      </c>
      <c r="X5" s="80">
        <f t="shared" ref="X5:Y5" si="2">SUM(X6:X9,X16:X17,X25:X27)</f>
        <v>1140.0379085630825</v>
      </c>
      <c r="Y5" s="80">
        <f t="shared" si="2"/>
        <v>1061.5740738504742</v>
      </c>
      <c r="DA5" s="103"/>
    </row>
    <row r="6" spans="1:105" x14ac:dyDescent="0.25">
      <c r="A6" s="238" t="s">
        <v>125</v>
      </c>
      <c r="B6" s="239">
        <v>33.135951495559503</v>
      </c>
      <c r="C6" s="239">
        <v>33.112048121910959</v>
      </c>
      <c r="D6" s="239">
        <v>32.130544189474577</v>
      </c>
      <c r="E6" s="239">
        <v>34.802538437651513</v>
      </c>
      <c r="F6" s="239">
        <v>36.742903725268071</v>
      </c>
      <c r="G6" s="239">
        <v>36.620683460447388</v>
      </c>
      <c r="H6" s="239">
        <v>37.837041587613982</v>
      </c>
      <c r="I6" s="239">
        <v>38.20378446887193</v>
      </c>
      <c r="J6" s="239">
        <v>37.000560204510791</v>
      </c>
      <c r="K6" s="239">
        <v>34.181698073164753</v>
      </c>
      <c r="L6" s="239">
        <v>27.881332428805539</v>
      </c>
      <c r="M6" s="239">
        <v>28.091164570747178</v>
      </c>
      <c r="N6" s="239">
        <v>28.641215007416129</v>
      </c>
      <c r="O6" s="239">
        <v>31.86388900962238</v>
      </c>
      <c r="P6" s="239">
        <v>34.98416705245856</v>
      </c>
      <c r="Q6" s="239">
        <v>37.285999582176942</v>
      </c>
      <c r="R6" s="239">
        <v>38.030544614748713</v>
      </c>
      <c r="S6" s="239">
        <v>37.786698869058426</v>
      </c>
      <c r="T6" s="239">
        <v>33.868712737679452</v>
      </c>
      <c r="U6" s="239">
        <v>36.649597256517609</v>
      </c>
      <c r="V6" s="239">
        <v>35.891846758547999</v>
      </c>
      <c r="W6" s="239">
        <v>38.628615067724937</v>
      </c>
      <c r="X6" s="239">
        <v>36.253231837564407</v>
      </c>
      <c r="Y6" s="239">
        <v>34.442572495819213</v>
      </c>
      <c r="DA6" s="267" t="s">
        <v>1016</v>
      </c>
    </row>
    <row r="7" spans="1:105" x14ac:dyDescent="0.25">
      <c r="A7" s="240" t="s">
        <v>124</v>
      </c>
      <c r="B7" s="241">
        <v>21.358047393968629</v>
      </c>
      <c r="C7" s="241">
        <v>21.342640279815601</v>
      </c>
      <c r="D7" s="241">
        <v>20.710003926845559</v>
      </c>
      <c r="E7" s="241">
        <v>22.43225958009344</v>
      </c>
      <c r="F7" s="241">
        <v>23.682937828463039</v>
      </c>
      <c r="G7" s="241">
        <v>23.60415976141724</v>
      </c>
      <c r="H7" s="241">
        <v>24.388173298241259</v>
      </c>
      <c r="I7" s="241">
        <v>24.624560409091469</v>
      </c>
      <c r="J7" s="241">
        <v>23.849012410500201</v>
      </c>
      <c r="K7" s="241">
        <v>22.032091867071109</v>
      </c>
      <c r="L7" s="241">
        <v>17.9711398811416</v>
      </c>
      <c r="M7" s="241">
        <v>18.106388897092401</v>
      </c>
      <c r="N7" s="241">
        <v>18.460928385630179</v>
      </c>
      <c r="O7" s="241">
        <v>20.538129159045599</v>
      </c>
      <c r="P7" s="241">
        <v>22.54932978294152</v>
      </c>
      <c r="Q7" s="241">
        <v>24.032994685978711</v>
      </c>
      <c r="R7" s="241">
        <v>24.512897250259758</v>
      </c>
      <c r="S7" s="241">
        <v>24.355724489007731</v>
      </c>
      <c r="T7" s="241">
        <v>21.830354620147371</v>
      </c>
      <c r="U7" s="241">
        <v>23.622796384146771</v>
      </c>
      <c r="V7" s="241">
        <v>23.134382129598901</v>
      </c>
      <c r="W7" s="241">
        <v>24.89838843138099</v>
      </c>
      <c r="X7" s="241">
        <v>23.367315825380661</v>
      </c>
      <c r="Y7" s="241">
        <v>22.200240600741079</v>
      </c>
      <c r="DA7" s="268" t="s">
        <v>1017</v>
      </c>
    </row>
    <row r="8" spans="1:105" x14ac:dyDescent="0.25">
      <c r="A8" s="240" t="s">
        <v>123</v>
      </c>
      <c r="B8" s="241">
        <v>42.443400203165602</v>
      </c>
      <c r="C8" s="241">
        <v>42.412782689311911</v>
      </c>
      <c r="D8" s="241">
        <v>41.155587337279812</v>
      </c>
      <c r="E8" s="241">
        <v>44.578109283907139</v>
      </c>
      <c r="F8" s="241">
        <v>47.063497411472333</v>
      </c>
      <c r="G8" s="241">
        <v>46.906947097430013</v>
      </c>
      <c r="H8" s="241">
        <v>48.464964068471957</v>
      </c>
      <c r="I8" s="241">
        <v>48.934720154485653</v>
      </c>
      <c r="J8" s="241">
        <v>47.393526173884737</v>
      </c>
      <c r="K8" s="241">
        <v>43.782883106209397</v>
      </c>
      <c r="L8" s="241">
        <v>35.712828425399977</v>
      </c>
      <c r="M8" s="241">
        <v>35.981599629302501</v>
      </c>
      <c r="N8" s="241">
        <v>36.686151928595748</v>
      </c>
      <c r="O8" s="241">
        <v>40.814032258765472</v>
      </c>
      <c r="P8" s="241">
        <v>44.810754964464529</v>
      </c>
      <c r="Q8" s="241">
        <v>47.759141681912347</v>
      </c>
      <c r="R8" s="241">
        <v>48.712819526079798</v>
      </c>
      <c r="S8" s="241">
        <v>48.400480748858982</v>
      </c>
      <c r="T8" s="241">
        <v>43.381984346639904</v>
      </c>
      <c r="U8" s="241">
        <v>46.943982394821887</v>
      </c>
      <c r="V8" s="241">
        <v>45.973389845403709</v>
      </c>
      <c r="W8" s="241">
        <v>49.478880026523257</v>
      </c>
      <c r="X8" s="241">
        <v>46.436283193681398</v>
      </c>
      <c r="Y8" s="241">
        <v>44.117033689601477</v>
      </c>
      <c r="DA8" s="268" t="s">
        <v>1018</v>
      </c>
    </row>
    <row r="9" spans="1:105" x14ac:dyDescent="0.25">
      <c r="A9" s="242" t="s">
        <v>122</v>
      </c>
      <c r="B9" s="243">
        <f t="shared" ref="B9" si="3">SUM(B10:B15)</f>
        <v>321.52817069081709</v>
      </c>
      <c r="C9" s="243">
        <f t="shared" ref="C9:W9" si="4">SUM(C10:C15)</f>
        <v>302.87372583099091</v>
      </c>
      <c r="D9" s="243">
        <f t="shared" si="4"/>
        <v>297.48471823541809</v>
      </c>
      <c r="E9" s="243">
        <f t="shared" si="4"/>
        <v>377.9459517468436</v>
      </c>
      <c r="F9" s="243">
        <f t="shared" si="4"/>
        <v>431.81829914777944</v>
      </c>
      <c r="G9" s="243">
        <f t="shared" si="4"/>
        <v>397.11641864294455</v>
      </c>
      <c r="H9" s="243">
        <f t="shared" si="4"/>
        <v>364.32633138425763</v>
      </c>
      <c r="I9" s="243">
        <f t="shared" si="4"/>
        <v>378.3344063194109</v>
      </c>
      <c r="J9" s="243">
        <f t="shared" si="4"/>
        <v>350.64890990646245</v>
      </c>
      <c r="K9" s="243">
        <f t="shared" si="4"/>
        <v>303.91345660491254</v>
      </c>
      <c r="L9" s="243">
        <f t="shared" si="4"/>
        <v>280.70920570870754</v>
      </c>
      <c r="M9" s="243">
        <f t="shared" si="4"/>
        <v>313.44021649867199</v>
      </c>
      <c r="N9" s="243">
        <f t="shared" si="4"/>
        <v>358.38538365598498</v>
      </c>
      <c r="O9" s="243">
        <f t="shared" si="4"/>
        <v>389.27677109176364</v>
      </c>
      <c r="P9" s="243">
        <f t="shared" si="4"/>
        <v>379.14913702283735</v>
      </c>
      <c r="Q9" s="243">
        <f t="shared" si="4"/>
        <v>350.29594165792088</v>
      </c>
      <c r="R9" s="243">
        <f t="shared" si="4"/>
        <v>349.50161989067578</v>
      </c>
      <c r="S9" s="243">
        <f t="shared" si="4"/>
        <v>351.43670830371542</v>
      </c>
      <c r="T9" s="243">
        <f t="shared" si="4"/>
        <v>345.62332573790445</v>
      </c>
      <c r="U9" s="243">
        <f t="shared" si="4"/>
        <v>366.79909989925039</v>
      </c>
      <c r="V9" s="243">
        <f t="shared" si="4"/>
        <v>374.4103620862245</v>
      </c>
      <c r="W9" s="243">
        <f t="shared" si="4"/>
        <v>385.45440553163581</v>
      </c>
      <c r="X9" s="243">
        <f t="shared" ref="X9:Y9" si="5">SUM(X10:X15)</f>
        <v>362.59557521331152</v>
      </c>
      <c r="Y9" s="243">
        <f t="shared" si="5"/>
        <v>336.10923609166633</v>
      </c>
      <c r="DA9" s="269"/>
    </row>
    <row r="10" spans="1:105" x14ac:dyDescent="0.25">
      <c r="A10" s="253" t="s">
        <v>166</v>
      </c>
      <c r="B10" s="254">
        <v>233.50820342706021</v>
      </c>
      <c r="C10" s="254">
        <v>215.49591665356891</v>
      </c>
      <c r="D10" s="254">
        <v>212.21766257013189</v>
      </c>
      <c r="E10" s="254">
        <v>223.78553499179151</v>
      </c>
      <c r="F10" s="254">
        <v>254.46391106667809</v>
      </c>
      <c r="G10" s="254">
        <v>254.8949398138538</v>
      </c>
      <c r="H10" s="254">
        <v>205.87796928328589</v>
      </c>
      <c r="I10" s="254">
        <v>226.13133144126971</v>
      </c>
      <c r="J10" s="254">
        <v>196.25120203249691</v>
      </c>
      <c r="K10" s="254">
        <v>192.78919113401761</v>
      </c>
      <c r="L10" s="254">
        <v>196.92962097641399</v>
      </c>
      <c r="M10" s="254">
        <v>160.76911408575251</v>
      </c>
      <c r="N10" s="254">
        <v>172.43520200091331</v>
      </c>
      <c r="O10" s="254">
        <v>182.22506446455489</v>
      </c>
      <c r="P10" s="254">
        <v>163.01555986277239</v>
      </c>
      <c r="Q10" s="254">
        <v>202.56995563649079</v>
      </c>
      <c r="R10" s="254">
        <v>221.9272006046059</v>
      </c>
      <c r="S10" s="254">
        <v>224.6223042948844</v>
      </c>
      <c r="T10" s="254">
        <v>248.28838404363989</v>
      </c>
      <c r="U10" s="254">
        <v>251.33930371465061</v>
      </c>
      <c r="V10" s="254">
        <v>276.56975914142549</v>
      </c>
      <c r="W10" s="254">
        <v>279.47687007822992</v>
      </c>
      <c r="X10" s="254">
        <v>272.11688379125991</v>
      </c>
      <c r="Y10" s="254">
        <v>240.36403146490389</v>
      </c>
      <c r="DA10" s="270" t="s">
        <v>1019</v>
      </c>
    </row>
    <row r="11" spans="1:105" x14ac:dyDescent="0.25">
      <c r="A11" s="253" t="s">
        <v>169</v>
      </c>
      <c r="B11" s="255">
        <v>21.258403419272181</v>
      </c>
      <c r="C11" s="255">
        <v>8.7394797325410476</v>
      </c>
      <c r="D11" s="255">
        <v>11.52904386900625</v>
      </c>
      <c r="E11" s="255">
        <v>99.992360172306277</v>
      </c>
      <c r="F11" s="255">
        <v>130.39988002542231</v>
      </c>
      <c r="G11" s="255">
        <v>86.925663549657784</v>
      </c>
      <c r="H11" s="255">
        <v>77.405424027139702</v>
      </c>
      <c r="I11" s="255">
        <v>77.702901152661582</v>
      </c>
      <c r="J11" s="255">
        <v>71.700420768759088</v>
      </c>
      <c r="K11" s="255">
        <v>20.366430895862969</v>
      </c>
      <c r="L11" s="255">
        <v>32.98061313489363</v>
      </c>
      <c r="M11" s="255">
        <v>110.1957922850888</v>
      </c>
      <c r="N11" s="255">
        <v>152.20842677325371</v>
      </c>
      <c r="O11" s="255">
        <v>165.77275115955831</v>
      </c>
      <c r="P11" s="255">
        <v>155.18909097747439</v>
      </c>
      <c r="Q11" s="255">
        <v>59.775446665291199</v>
      </c>
      <c r="R11" s="255">
        <v>34.972301028687532</v>
      </c>
      <c r="S11" s="255">
        <v>38.654110676239682</v>
      </c>
      <c r="T11" s="255">
        <v>37.3996246729955</v>
      </c>
      <c r="U11" s="255">
        <v>46.465420037495413</v>
      </c>
      <c r="V11" s="255">
        <v>38.548888409596103</v>
      </c>
      <c r="W11" s="255">
        <v>34.517522877226583</v>
      </c>
      <c r="X11" s="255">
        <v>24.07030746551548</v>
      </c>
      <c r="Y11" s="255">
        <v>25.086279526409001</v>
      </c>
      <c r="DA11" s="271" t="s">
        <v>1020</v>
      </c>
    </row>
    <row r="12" spans="1:105" x14ac:dyDescent="0.25">
      <c r="A12" s="253" t="s">
        <v>152</v>
      </c>
      <c r="B12" s="255">
        <v>0.82095548040431898</v>
      </c>
      <c r="C12" s="255">
        <v>0.79960907125463643</v>
      </c>
      <c r="D12" s="255">
        <v>0.75491483902149159</v>
      </c>
      <c r="E12" s="255">
        <v>0.26676284754819141</v>
      </c>
      <c r="F12" s="255">
        <v>0.20490380371520689</v>
      </c>
      <c r="G12" s="255">
        <v>0.15056526325761441</v>
      </c>
      <c r="H12" s="255">
        <v>0.18001310870515899</v>
      </c>
      <c r="I12" s="255">
        <v>0.18409370440181419</v>
      </c>
      <c r="J12" s="255">
        <v>0.23158267043552</v>
      </c>
      <c r="K12" s="255">
        <v>0.31258748498993538</v>
      </c>
      <c r="L12" s="255">
        <v>0.32600479855016201</v>
      </c>
      <c r="M12" s="255">
        <v>0.3854636565676543</v>
      </c>
      <c r="N12" s="255">
        <v>0.39617799335460518</v>
      </c>
      <c r="O12" s="255">
        <v>0.41916465693743488</v>
      </c>
      <c r="P12" s="255">
        <v>0.40720236156723782</v>
      </c>
      <c r="Q12" s="255">
        <v>0.48542462001686809</v>
      </c>
      <c r="R12" s="255">
        <v>0.47649435399264922</v>
      </c>
      <c r="S12" s="255">
        <v>0.4705029714029641</v>
      </c>
      <c r="T12" s="255">
        <v>0.48599796515769472</v>
      </c>
      <c r="U12" s="255">
        <v>0.48312653388038951</v>
      </c>
      <c r="V12" s="255">
        <v>0.48606434306122748</v>
      </c>
      <c r="W12" s="255">
        <v>0.47719345787456069</v>
      </c>
      <c r="X12" s="255">
        <v>0.47997836534181709</v>
      </c>
      <c r="Y12" s="255">
        <v>0.49872992479801198</v>
      </c>
      <c r="DA12" s="271" t="s">
        <v>1021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1022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1023</v>
      </c>
    </row>
    <row r="15" spans="1:105" x14ac:dyDescent="0.25">
      <c r="A15" s="253" t="s">
        <v>24</v>
      </c>
      <c r="B15" s="255">
        <v>65.940608364080362</v>
      </c>
      <c r="C15" s="255">
        <v>77.838720373626273</v>
      </c>
      <c r="D15" s="255">
        <v>72.983096957258482</v>
      </c>
      <c r="E15" s="255">
        <v>53.901293735197591</v>
      </c>
      <c r="F15" s="255">
        <v>46.749604251963852</v>
      </c>
      <c r="G15" s="255">
        <v>55.145250016175389</v>
      </c>
      <c r="H15" s="255">
        <v>80.862924965126851</v>
      </c>
      <c r="I15" s="255">
        <v>74.316080021077809</v>
      </c>
      <c r="J15" s="255">
        <v>82.465704434770956</v>
      </c>
      <c r="K15" s="255">
        <v>90.445247090042017</v>
      </c>
      <c r="L15" s="255">
        <v>50.472966798849761</v>
      </c>
      <c r="M15" s="255">
        <v>42.089846471263037</v>
      </c>
      <c r="N15" s="255">
        <v>33.34557688846332</v>
      </c>
      <c r="O15" s="255">
        <v>40.859790810713037</v>
      </c>
      <c r="P15" s="255">
        <v>60.537283821023308</v>
      </c>
      <c r="Q15" s="255">
        <v>87.465114736122004</v>
      </c>
      <c r="R15" s="255">
        <v>92.125623903389695</v>
      </c>
      <c r="S15" s="255">
        <v>87.689790361188386</v>
      </c>
      <c r="T15" s="255">
        <v>59.449319056111321</v>
      </c>
      <c r="U15" s="255">
        <v>68.511249613223981</v>
      </c>
      <c r="V15" s="255">
        <v>58.805650192141712</v>
      </c>
      <c r="W15" s="255">
        <v>70.982819118304732</v>
      </c>
      <c r="X15" s="255">
        <v>65.928405591194277</v>
      </c>
      <c r="Y15" s="255">
        <v>70.160195175555415</v>
      </c>
      <c r="DA15" s="271" t="s">
        <v>1024</v>
      </c>
    </row>
    <row r="16" spans="1:105" x14ac:dyDescent="0.25">
      <c r="A16" s="256" t="s">
        <v>168</v>
      </c>
      <c r="B16" s="257">
        <v>222.0587393308171</v>
      </c>
      <c r="C16" s="257">
        <v>205.50746792212021</v>
      </c>
      <c r="D16" s="257">
        <v>202.59180151921899</v>
      </c>
      <c r="E16" s="257">
        <v>250.33165520438291</v>
      </c>
      <c r="F16" s="257">
        <v>287.1047429412601</v>
      </c>
      <c r="G16" s="257">
        <v>268.82410603420988</v>
      </c>
      <c r="H16" s="257">
        <v>234.74940806264439</v>
      </c>
      <c r="I16" s="257">
        <v>248.71837116593599</v>
      </c>
      <c r="J16" s="257">
        <v>224.67724295523001</v>
      </c>
      <c r="K16" s="257">
        <v>198.08039517336249</v>
      </c>
      <c r="L16" s="257">
        <v>193.10240484457179</v>
      </c>
      <c r="M16" s="257">
        <v>200.11297800018221</v>
      </c>
      <c r="N16" s="257">
        <v>226.0189199442685</v>
      </c>
      <c r="O16" s="257">
        <v>242.9188323256225</v>
      </c>
      <c r="P16" s="257">
        <v>229.61627882622469</v>
      </c>
      <c r="Q16" s="257">
        <v>225.73588952472591</v>
      </c>
      <c r="R16" s="257">
        <v>230.0014399201217</v>
      </c>
      <c r="S16" s="257">
        <v>232.41420487702871</v>
      </c>
      <c r="T16" s="257">
        <v>239.67029152872459</v>
      </c>
      <c r="U16" s="257">
        <v>250.4991150651166</v>
      </c>
      <c r="V16" s="257">
        <v>262.21058769195128</v>
      </c>
      <c r="W16" s="257">
        <v>267.22697239088598</v>
      </c>
      <c r="X16" s="257">
        <v>253.82428255756781</v>
      </c>
      <c r="Y16" s="257">
        <v>231.37890114588481</v>
      </c>
      <c r="DA16" s="272" t="s">
        <v>1025</v>
      </c>
    </row>
    <row r="17" spans="1:105" x14ac:dyDescent="0.25">
      <c r="A17" s="256" t="s">
        <v>121</v>
      </c>
      <c r="B17" s="257">
        <f t="shared" ref="B17" si="6">SUM(B18:B24)</f>
        <v>258.1223789803949</v>
      </c>
      <c r="C17" s="257">
        <f t="shared" ref="C17:W17" si="7">SUM(C18:C24)</f>
        <v>235.2918844258856</v>
      </c>
      <c r="D17" s="257">
        <f t="shared" si="7"/>
        <v>233.03608063986178</v>
      </c>
      <c r="E17" s="257">
        <f t="shared" si="7"/>
        <v>307.61775695887081</v>
      </c>
      <c r="F17" s="257">
        <f t="shared" si="7"/>
        <v>353.51628440265802</v>
      </c>
      <c r="G17" s="257">
        <f t="shared" si="7"/>
        <v>320.6402797388796</v>
      </c>
      <c r="H17" s="257">
        <f t="shared" si="7"/>
        <v>284.64357798147051</v>
      </c>
      <c r="I17" s="257">
        <f t="shared" si="7"/>
        <v>298.73079646950373</v>
      </c>
      <c r="J17" s="257">
        <f t="shared" si="7"/>
        <v>270.62199047036819</v>
      </c>
      <c r="K17" s="257">
        <f t="shared" si="7"/>
        <v>228.20502022228777</v>
      </c>
      <c r="L17" s="257">
        <f t="shared" si="7"/>
        <v>225.32713266809267</v>
      </c>
      <c r="M17" s="257">
        <f t="shared" si="7"/>
        <v>254.17700158725756</v>
      </c>
      <c r="N17" s="257">
        <f t="shared" si="7"/>
        <v>295.31071522199136</v>
      </c>
      <c r="O17" s="257">
        <f t="shared" si="7"/>
        <v>328.14404459037667</v>
      </c>
      <c r="P17" s="257">
        <f t="shared" si="7"/>
        <v>311.46968550457603</v>
      </c>
      <c r="Q17" s="257">
        <f t="shared" si="7"/>
        <v>274.17770399218927</v>
      </c>
      <c r="R17" s="257">
        <f t="shared" si="7"/>
        <v>270.5775427020402</v>
      </c>
      <c r="S17" s="257">
        <f t="shared" si="7"/>
        <v>272.99913772681606</v>
      </c>
      <c r="T17" s="257">
        <f t="shared" si="7"/>
        <v>280.90695975736008</v>
      </c>
      <c r="U17" s="257">
        <f t="shared" si="7"/>
        <v>296.0536251190282</v>
      </c>
      <c r="V17" s="257">
        <f t="shared" si="7"/>
        <v>305.11996752564403</v>
      </c>
      <c r="W17" s="257">
        <f t="shared" si="7"/>
        <v>309.02659754947456</v>
      </c>
      <c r="X17" s="257">
        <f t="shared" ref="X17:Y17" si="8">SUM(X18:X24)</f>
        <v>292.67969157083576</v>
      </c>
      <c r="Y17" s="257">
        <f t="shared" si="8"/>
        <v>275.99566755469652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1" t="s">
        <v>1026</v>
      </c>
    </row>
    <row r="19" spans="1:105" x14ac:dyDescent="0.25">
      <c r="A19" s="61" t="s">
        <v>27</v>
      </c>
      <c r="B19" s="55">
        <v>22.91898267125331</v>
      </c>
      <c r="C19" s="55">
        <v>21.304980534165011</v>
      </c>
      <c r="D19" s="55">
        <v>21.304980534165821</v>
      </c>
      <c r="E19" s="55">
        <v>20.982175193053461</v>
      </c>
      <c r="F19" s="55">
        <v>21.30498053417222</v>
      </c>
      <c r="G19" s="55">
        <v>18.399757032621</v>
      </c>
      <c r="H19" s="55">
        <v>16.785730327050079</v>
      </c>
      <c r="I19" s="55">
        <v>15.81733887219001</v>
      </c>
      <c r="J19" s="55">
        <v>14.5261175077326</v>
      </c>
      <c r="K19" s="55">
        <v>12.91211537065335</v>
      </c>
      <c r="L19" s="55">
        <v>12.26650468841467</v>
      </c>
      <c r="M19" s="55">
        <v>11.298088665069709</v>
      </c>
      <c r="N19" s="55">
        <v>10.329672641727139</v>
      </c>
      <c r="O19" s="55">
        <v>9.6840865279846948</v>
      </c>
      <c r="P19" s="55">
        <v>11.943699347301891</v>
      </c>
      <c r="Q19" s="55">
        <v>13.557701484384941</v>
      </c>
      <c r="R19" s="55">
        <v>15.17172818997066</v>
      </c>
      <c r="S19" s="55">
        <v>14.526117507729889</v>
      </c>
      <c r="T19" s="55">
        <v>14.52611750772963</v>
      </c>
      <c r="U19" s="55">
        <v>17.108535668163981</v>
      </c>
      <c r="V19" s="55">
        <v>15.817338872191421</v>
      </c>
      <c r="W19" s="55">
        <v>14.178129468189439</v>
      </c>
      <c r="X19" s="55">
        <v>16.176284456609519</v>
      </c>
      <c r="Y19" s="55">
        <v>18.366835261021428</v>
      </c>
      <c r="DA19" s="101" t="s">
        <v>1027</v>
      </c>
    </row>
    <row r="20" spans="1:105" x14ac:dyDescent="0.25">
      <c r="A20" s="61" t="s">
        <v>166</v>
      </c>
      <c r="B20" s="55">
        <v>198.79835931036311</v>
      </c>
      <c r="C20" s="55">
        <v>192.38132085211589</v>
      </c>
      <c r="D20" s="55">
        <v>187.14723000699291</v>
      </c>
      <c r="E20" s="55">
        <v>189.04834536566</v>
      </c>
      <c r="F20" s="55">
        <v>215.06075887518131</v>
      </c>
      <c r="G20" s="55">
        <v>221.03979571953079</v>
      </c>
      <c r="H20" s="55">
        <v>183.8911144340687</v>
      </c>
      <c r="I20" s="55">
        <v>199.92527331075729</v>
      </c>
      <c r="J20" s="55">
        <v>178.91364769311039</v>
      </c>
      <c r="K20" s="55">
        <v>178.4262627659009</v>
      </c>
      <c r="L20" s="55">
        <v>167.3385786138777</v>
      </c>
      <c r="M20" s="55">
        <v>134.85610390632189</v>
      </c>
      <c r="N20" s="55">
        <v>140.04674364396999</v>
      </c>
      <c r="O20" s="55">
        <v>136.80919898802509</v>
      </c>
      <c r="P20" s="55">
        <v>128.3541395686336</v>
      </c>
      <c r="Q20" s="55">
        <v>173.56831905052209</v>
      </c>
      <c r="R20" s="55">
        <v>194.72604781677981</v>
      </c>
      <c r="S20" s="55">
        <v>197.52033066603539</v>
      </c>
      <c r="T20" s="55">
        <v>205.0419750122548</v>
      </c>
      <c r="U20" s="55">
        <v>209.56467004597229</v>
      </c>
      <c r="V20" s="55">
        <v>229.4014979098117</v>
      </c>
      <c r="W20" s="55">
        <v>237.7583582877117</v>
      </c>
      <c r="X20" s="55">
        <v>228.39027932807349</v>
      </c>
      <c r="Y20" s="55">
        <v>189.30034594929859</v>
      </c>
      <c r="DA20" s="101" t="s">
        <v>1028</v>
      </c>
    </row>
    <row r="21" spans="1:105" x14ac:dyDescent="0.25">
      <c r="A21" s="61" t="s">
        <v>129</v>
      </c>
      <c r="B21" s="55">
        <v>16.277372700000491</v>
      </c>
      <c r="C21" s="55">
        <v>11.508376160175819</v>
      </c>
      <c r="D21" s="55">
        <v>12.20406690972287</v>
      </c>
      <c r="E21" s="55">
        <v>12.05935482694411</v>
      </c>
      <c r="F21" s="55">
        <v>6.3878671844816521</v>
      </c>
      <c r="G21" s="55">
        <v>3.9310019267268781</v>
      </c>
      <c r="H21" s="55">
        <v>12.03866603447535</v>
      </c>
      <c r="I21" s="55">
        <v>11.301597699986949</v>
      </c>
      <c r="J21" s="55">
        <v>6.6335493316758987</v>
      </c>
      <c r="K21" s="55">
        <v>4.9137305155102888</v>
      </c>
      <c r="L21" s="55">
        <v>4.1766840739220106</v>
      </c>
      <c r="M21" s="55">
        <v>2.948251445045118</v>
      </c>
      <c r="N21" s="55">
        <v>9.1208457233273244</v>
      </c>
      <c r="O21" s="55">
        <v>44.505226824888481</v>
      </c>
      <c r="P21" s="55">
        <v>36.143364231034141</v>
      </c>
      <c r="Q21" s="55">
        <v>20.547079714878642</v>
      </c>
      <c r="R21" s="55">
        <v>14.913926543978439</v>
      </c>
      <c r="S21" s="55">
        <v>11.963857988049231</v>
      </c>
      <c r="T21" s="55">
        <v>14.937636556924749</v>
      </c>
      <c r="U21" s="55">
        <v>15.207050609982261</v>
      </c>
      <c r="V21" s="55">
        <v>12.35061799628031</v>
      </c>
      <c r="W21" s="55">
        <v>12.39808180799962</v>
      </c>
      <c r="X21" s="55">
        <v>12.27484666216403</v>
      </c>
      <c r="Y21" s="55">
        <v>32.92480112394729</v>
      </c>
      <c r="DA21" s="101" t="s">
        <v>1029</v>
      </c>
    </row>
    <row r="22" spans="1:105" x14ac:dyDescent="0.25">
      <c r="A22" s="61" t="s">
        <v>169</v>
      </c>
      <c r="B22" s="55">
        <v>17.665077238546921</v>
      </c>
      <c r="C22" s="55">
        <v>7.6152414793773229</v>
      </c>
      <c r="D22" s="55">
        <v>9.9236036764259019</v>
      </c>
      <c r="E22" s="55">
        <v>82.448342959185837</v>
      </c>
      <c r="F22" s="55">
        <v>107.5688215408875</v>
      </c>
      <c r="G22" s="55">
        <v>73.575210641110473</v>
      </c>
      <c r="H22" s="55">
        <v>67.483330149870397</v>
      </c>
      <c r="I22" s="55">
        <v>67.053034332191345</v>
      </c>
      <c r="J22" s="55">
        <v>63.800942146158683</v>
      </c>
      <c r="K22" s="55">
        <v>18.397773538304079</v>
      </c>
      <c r="L22" s="55">
        <v>27.353820891103371</v>
      </c>
      <c r="M22" s="55">
        <v>90.220918574493439</v>
      </c>
      <c r="N22" s="55">
        <v>120.65908428581071</v>
      </c>
      <c r="O22" s="55">
        <v>121.47714477133199</v>
      </c>
      <c r="P22" s="55">
        <v>119.2658896394301</v>
      </c>
      <c r="Q22" s="55">
        <v>49.991077488010959</v>
      </c>
      <c r="R22" s="55">
        <v>29.951044016500319</v>
      </c>
      <c r="S22" s="55">
        <v>33.176369137430399</v>
      </c>
      <c r="T22" s="55">
        <v>30.145872725744152</v>
      </c>
      <c r="U22" s="55">
        <v>37.814796769127007</v>
      </c>
      <c r="V22" s="55">
        <v>31.20884240333049</v>
      </c>
      <c r="W22" s="55">
        <v>28.661821485246229</v>
      </c>
      <c r="X22" s="55">
        <v>19.718687643186581</v>
      </c>
      <c r="Y22" s="55">
        <v>19.283791545358</v>
      </c>
      <c r="DA22" s="101" t="s">
        <v>1030</v>
      </c>
    </row>
    <row r="23" spans="1:105" x14ac:dyDescent="0.25">
      <c r="A23" s="61" t="s">
        <v>164</v>
      </c>
      <c r="B23" s="55">
        <v>2.0882580773485522</v>
      </c>
      <c r="C23" s="55">
        <v>2.0996473841345802</v>
      </c>
      <c r="D23" s="55">
        <v>2.0996473841346601</v>
      </c>
      <c r="E23" s="55">
        <v>2.9588435780876172</v>
      </c>
      <c r="F23" s="55">
        <v>3.1011074910912919</v>
      </c>
      <c r="G23" s="55">
        <v>3.6245854315936241</v>
      </c>
      <c r="H23" s="55">
        <v>4.3586221570878338</v>
      </c>
      <c r="I23" s="55">
        <v>4.5463818441407318</v>
      </c>
      <c r="J23" s="55">
        <v>6.6346604058548433</v>
      </c>
      <c r="K23" s="55">
        <v>13.400195417935221</v>
      </c>
      <c r="L23" s="55">
        <v>14.043179142224281</v>
      </c>
      <c r="M23" s="55">
        <v>14.68046821312887</v>
      </c>
      <c r="N23" s="55">
        <v>14.98203903058703</v>
      </c>
      <c r="O23" s="55">
        <v>15.4998428020631</v>
      </c>
      <c r="P23" s="55">
        <v>15.590875318893289</v>
      </c>
      <c r="Q23" s="55">
        <v>16.290764608387772</v>
      </c>
      <c r="R23" s="55">
        <v>15.590875318900711</v>
      </c>
      <c r="S23" s="55">
        <v>15.590875318889021</v>
      </c>
      <c r="T23" s="55">
        <v>16.04040470274078</v>
      </c>
      <c r="U23" s="55">
        <v>16.14282652636005</v>
      </c>
      <c r="V23" s="55">
        <v>16.125742566181</v>
      </c>
      <c r="W23" s="55">
        <v>15.81278244193839</v>
      </c>
      <c r="X23" s="55">
        <v>15.903835443132539</v>
      </c>
      <c r="Y23" s="55">
        <v>15.90953009652813</v>
      </c>
      <c r="DA23" s="101" t="s">
        <v>1031</v>
      </c>
    </row>
    <row r="24" spans="1:105" x14ac:dyDescent="0.25">
      <c r="A24" s="61" t="s">
        <v>152</v>
      </c>
      <c r="B24" s="55">
        <v>0.37432898288251859</v>
      </c>
      <c r="C24" s="55">
        <v>0.382318015916988</v>
      </c>
      <c r="D24" s="55">
        <v>0.35655212841960721</v>
      </c>
      <c r="E24" s="55">
        <v>0.1206950359397664</v>
      </c>
      <c r="F24" s="55">
        <v>9.274877684409305E-2</v>
      </c>
      <c r="G24" s="55">
        <v>6.992898729683357E-2</v>
      </c>
      <c r="H24" s="55">
        <v>8.611487891810006E-2</v>
      </c>
      <c r="I24" s="55">
        <v>8.7170410237399257E-2</v>
      </c>
      <c r="J24" s="55">
        <v>0.1130733858357502</v>
      </c>
      <c r="K24" s="55">
        <v>0.15494261398395839</v>
      </c>
      <c r="L24" s="55">
        <v>0.14836525855062249</v>
      </c>
      <c r="M24" s="55">
        <v>0.17317078319852081</v>
      </c>
      <c r="N24" s="55">
        <v>0.1723298965690982</v>
      </c>
      <c r="O24" s="55">
        <v>0.16854467608330881</v>
      </c>
      <c r="P24" s="55">
        <v>0.1717173992829929</v>
      </c>
      <c r="Q24" s="55">
        <v>0.22276164600484891</v>
      </c>
      <c r="R24" s="55">
        <v>0.2239208159102978</v>
      </c>
      <c r="S24" s="55">
        <v>0.22158710868215961</v>
      </c>
      <c r="T24" s="55">
        <v>0.21495325196601639</v>
      </c>
      <c r="U24" s="55">
        <v>0.21574549942258839</v>
      </c>
      <c r="V24" s="55">
        <v>0.21592777784910691</v>
      </c>
      <c r="W24" s="55">
        <v>0.21742405838922529</v>
      </c>
      <c r="X24" s="55">
        <v>0.2157580376696222</v>
      </c>
      <c r="Y24" s="55">
        <v>0.2103635785431309</v>
      </c>
      <c r="DA24" s="101" t="s">
        <v>1032</v>
      </c>
    </row>
    <row r="25" spans="1:105" x14ac:dyDescent="0.25">
      <c r="A25" s="256" t="s">
        <v>167</v>
      </c>
      <c r="B25" s="257">
        <v>29.869306137251119</v>
      </c>
      <c r="C25" s="257">
        <v>27.64298082280089</v>
      </c>
      <c r="D25" s="257">
        <v>27.25079210442485</v>
      </c>
      <c r="E25" s="257">
        <v>33.672319619923293</v>
      </c>
      <c r="F25" s="257">
        <v>38.618698305737738</v>
      </c>
      <c r="G25" s="257">
        <v>36.15975459649173</v>
      </c>
      <c r="H25" s="257">
        <v>31.576338567407689</v>
      </c>
      <c r="I25" s="257">
        <v>33.455315439065878</v>
      </c>
      <c r="J25" s="257">
        <v>30.22152324257554</v>
      </c>
      <c r="K25" s="257">
        <v>26.643959076100881</v>
      </c>
      <c r="L25" s="257">
        <v>25.974365447284441</v>
      </c>
      <c r="M25" s="257">
        <v>26.917363486512951</v>
      </c>
      <c r="N25" s="257">
        <v>30.401993332803311</v>
      </c>
      <c r="O25" s="257">
        <v>32.675214635115402</v>
      </c>
      <c r="P25" s="257">
        <v>30.88587707480108</v>
      </c>
      <c r="Q25" s="257">
        <v>30.363922675134312</v>
      </c>
      <c r="R25" s="257">
        <v>30.937685414614428</v>
      </c>
      <c r="S25" s="257">
        <v>31.2622284402673</v>
      </c>
      <c r="T25" s="257">
        <v>32.238250704516233</v>
      </c>
      <c r="U25" s="257">
        <v>33.694844785386401</v>
      </c>
      <c r="V25" s="257">
        <v>35.270164731195059</v>
      </c>
      <c r="W25" s="257">
        <v>35.944922818745397</v>
      </c>
      <c r="X25" s="257">
        <v>34.142115836681057</v>
      </c>
      <c r="Y25" s="257">
        <v>31.122968872354011</v>
      </c>
      <c r="DA25" s="272" t="s">
        <v>1033</v>
      </c>
    </row>
    <row r="26" spans="1:105" x14ac:dyDescent="0.25">
      <c r="A26" s="256" t="s">
        <v>170</v>
      </c>
      <c r="B26" s="257">
        <v>32.858534452259441</v>
      </c>
      <c r="C26" s="257">
        <v>32.834831199716319</v>
      </c>
      <c r="D26" s="257">
        <v>31.86154450283934</v>
      </c>
      <c r="E26" s="257">
        <v>34.511168584759147</v>
      </c>
      <c r="F26" s="257">
        <v>36.435288966866203</v>
      </c>
      <c r="G26" s="257">
        <v>36.314091940641902</v>
      </c>
      <c r="H26" s="257">
        <v>37.52026661267886</v>
      </c>
      <c r="I26" s="257">
        <v>37.883939090909948</v>
      </c>
      <c r="J26" s="257">
        <v>36.690788323846469</v>
      </c>
      <c r="K26" s="257">
        <v>33.895525949340161</v>
      </c>
      <c r="L26" s="257">
        <v>27.64790750944864</v>
      </c>
      <c r="M26" s="257">
        <v>27.855982918603701</v>
      </c>
      <c r="N26" s="257">
        <v>28.401428285584899</v>
      </c>
      <c r="O26" s="257">
        <v>31.597121783147081</v>
      </c>
      <c r="P26" s="257">
        <v>34.691276589140827</v>
      </c>
      <c r="Q26" s="257">
        <v>36.97383797842879</v>
      </c>
      <c r="R26" s="257">
        <v>37.712149615784263</v>
      </c>
      <c r="S26" s="257">
        <v>37.470345367704212</v>
      </c>
      <c r="T26" s="257">
        <v>33.585160954072897</v>
      </c>
      <c r="U26" s="257">
        <v>36.342763667918128</v>
      </c>
      <c r="V26" s="257">
        <v>35.591357122459847</v>
      </c>
      <c r="W26" s="257">
        <v>38.305212971355367</v>
      </c>
      <c r="X26" s="257">
        <v>35.949716654431782</v>
      </c>
      <c r="Y26" s="257">
        <v>34.154216308832453</v>
      </c>
      <c r="DA26" s="272" t="s">
        <v>1034</v>
      </c>
    </row>
    <row r="27" spans="1:105" x14ac:dyDescent="0.25">
      <c r="A27" s="128" t="s">
        <v>33</v>
      </c>
      <c r="B27" s="258">
        <v>50.078534047930589</v>
      </c>
      <c r="C27" s="258">
        <v>50.042408756303502</v>
      </c>
      <c r="D27" s="258">
        <v>48.55905681135394</v>
      </c>
      <c r="E27" s="258">
        <v>52.597255471535313</v>
      </c>
      <c r="F27" s="258">
        <v>55.529739517884472</v>
      </c>
      <c r="G27" s="258">
        <v>55.345027402586076</v>
      </c>
      <c r="H27" s="258">
        <v>57.183315700839778</v>
      </c>
      <c r="I27" s="258">
        <v>57.737576104932081</v>
      </c>
      <c r="J27" s="258">
        <v>55.919137081137038</v>
      </c>
      <c r="K27" s="258">
        <v>51.658976233184568</v>
      </c>
      <c r="L27" s="258">
        <v>42.137201206511897</v>
      </c>
      <c r="M27" s="258">
        <v>42.454321602646701</v>
      </c>
      <c r="N27" s="258">
        <v>43.285615658726428</v>
      </c>
      <c r="O27" s="258">
        <v>48.156059465553398</v>
      </c>
      <c r="P27" s="258">
        <v>52.87175173194634</v>
      </c>
      <c r="Q27" s="258">
        <v>56.350523081777162</v>
      </c>
      <c r="R27" s="258">
        <v>57.475757821719931</v>
      </c>
      <c r="S27" s="258">
        <v>57.107232491169839</v>
      </c>
      <c r="T27" s="258">
        <v>51.185959884711693</v>
      </c>
      <c r="U27" s="258">
        <v>55.388724971408017</v>
      </c>
      <c r="V27" s="258">
        <v>54.243532743640152</v>
      </c>
      <c r="W27" s="258">
        <v>58.379624775606729</v>
      </c>
      <c r="X27" s="258">
        <v>54.789695873627927</v>
      </c>
      <c r="Y27" s="258">
        <v>52.053237090878262</v>
      </c>
      <c r="DA27" s="273" t="s">
        <v>1035</v>
      </c>
    </row>
    <row r="29" spans="1:105" ht="12.75" x14ac:dyDescent="0.25">
      <c r="A29" s="178" t="s">
        <v>132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</v>
      </c>
      <c r="C31" s="235">
        <f t="shared" si="9"/>
        <v>1</v>
      </c>
      <c r="D31" s="235">
        <f t="shared" si="9"/>
        <v>1.0000000000000002</v>
      </c>
      <c r="E31" s="235">
        <f t="shared" si="9"/>
        <v>0.99999999999999989</v>
      </c>
      <c r="F31" s="235">
        <f t="shared" si="9"/>
        <v>1</v>
      </c>
      <c r="G31" s="235">
        <f t="shared" si="9"/>
        <v>0.99999999999999989</v>
      </c>
      <c r="H31" s="235">
        <f t="shared" si="9"/>
        <v>1</v>
      </c>
      <c r="I31" s="235">
        <f t="shared" si="9"/>
        <v>1.0000000000000002</v>
      </c>
      <c r="J31" s="235">
        <f t="shared" si="9"/>
        <v>0.99999999999999989</v>
      </c>
      <c r="K31" s="235">
        <f t="shared" si="9"/>
        <v>1</v>
      </c>
      <c r="L31" s="235">
        <f t="shared" si="9"/>
        <v>1.0000000000000002</v>
      </c>
      <c r="M31" s="235">
        <f t="shared" si="9"/>
        <v>0.99999999999999989</v>
      </c>
      <c r="N31" s="235">
        <f t="shared" si="9"/>
        <v>1</v>
      </c>
      <c r="O31" s="235">
        <f t="shared" si="9"/>
        <v>1</v>
      </c>
      <c r="P31" s="235">
        <f t="shared" si="9"/>
        <v>1</v>
      </c>
      <c r="Q31" s="235">
        <f t="shared" si="9"/>
        <v>1.0000000000000004</v>
      </c>
      <c r="R31" s="235">
        <f t="shared" ref="R31:W31" si="10">SUM(R32:R40)</f>
        <v>0.99999999999999989</v>
      </c>
      <c r="S31" s="235">
        <f t="shared" si="10"/>
        <v>1</v>
      </c>
      <c r="T31" s="235">
        <f t="shared" si="10"/>
        <v>1</v>
      </c>
      <c r="U31" s="235">
        <f t="shared" si="10"/>
        <v>1</v>
      </c>
      <c r="V31" s="235">
        <f t="shared" si="10"/>
        <v>1</v>
      </c>
      <c r="W31" s="235">
        <f t="shared" si="10"/>
        <v>0.99999999999999978</v>
      </c>
      <c r="X31" s="235">
        <f t="shared" ref="X31:Y31" si="11">SUM(X32:X40)</f>
        <v>0.99999999999999989</v>
      </c>
      <c r="Y31" s="235">
        <f t="shared" si="11"/>
        <v>0.99999999999999989</v>
      </c>
      <c r="DA31" s="274"/>
    </row>
    <row r="32" spans="1:105" x14ac:dyDescent="0.25">
      <c r="A32" s="238" t="s">
        <v>125</v>
      </c>
      <c r="B32" s="244">
        <f t="shared" ref="B32:Y32" si="12">IF(B$6=0,0,B$6/B$5)</f>
        <v>3.2760740677428762E-2</v>
      </c>
      <c r="C32" s="244">
        <f t="shared" si="12"/>
        <v>3.4815912047565581E-2</v>
      </c>
      <c r="D32" s="244">
        <f t="shared" si="12"/>
        <v>3.4372301232675116E-2</v>
      </c>
      <c r="E32" s="244">
        <f t="shared" si="12"/>
        <v>3.0041319330953799E-2</v>
      </c>
      <c r="F32" s="244">
        <f t="shared" si="12"/>
        <v>2.8037051723149214E-2</v>
      </c>
      <c r="G32" s="244">
        <f t="shared" si="12"/>
        <v>2.9979320549284361E-2</v>
      </c>
      <c r="H32" s="244">
        <f t="shared" si="12"/>
        <v>3.3762290430117775E-2</v>
      </c>
      <c r="I32" s="244">
        <f t="shared" si="12"/>
        <v>3.2747313476595513E-2</v>
      </c>
      <c r="J32" s="244">
        <f t="shared" si="12"/>
        <v>3.435448530625556E-2</v>
      </c>
      <c r="K32" s="244">
        <f t="shared" si="12"/>
        <v>3.6271132715671235E-2</v>
      </c>
      <c r="L32" s="244">
        <f t="shared" si="12"/>
        <v>3.181117280113574E-2</v>
      </c>
      <c r="M32" s="244">
        <f t="shared" si="12"/>
        <v>2.9659029328257997E-2</v>
      </c>
      <c r="N32" s="244">
        <f t="shared" si="12"/>
        <v>2.6878210010819008E-2</v>
      </c>
      <c r="O32" s="244">
        <f t="shared" si="12"/>
        <v>2.7327893377681399E-2</v>
      </c>
      <c r="P32" s="244">
        <f t="shared" si="12"/>
        <v>3.0660210902168659E-2</v>
      </c>
      <c r="Q32" s="244">
        <f t="shared" si="12"/>
        <v>3.4429203543109715E-2</v>
      </c>
      <c r="R32" s="244">
        <f t="shared" si="12"/>
        <v>3.4971823053271872E-2</v>
      </c>
      <c r="S32" s="244">
        <f t="shared" si="12"/>
        <v>3.4564184505094769E-2</v>
      </c>
      <c r="T32" s="244">
        <f t="shared" si="12"/>
        <v>3.1293536330963878E-2</v>
      </c>
      <c r="U32" s="244">
        <f t="shared" si="12"/>
        <v>3.1980603460211698E-2</v>
      </c>
      <c r="V32" s="244">
        <f t="shared" si="12"/>
        <v>3.0628477885989363E-2</v>
      </c>
      <c r="W32" s="244">
        <f t="shared" si="12"/>
        <v>3.1994715043672461E-2</v>
      </c>
      <c r="X32" s="244">
        <f t="shared" si="12"/>
        <v>3.1800023109107324E-2</v>
      </c>
      <c r="Y32" s="244">
        <f t="shared" si="12"/>
        <v>3.244481317341455E-2</v>
      </c>
      <c r="DA32" s="275"/>
    </row>
    <row r="33" spans="1:105" x14ac:dyDescent="0.25">
      <c r="A33" s="240" t="s">
        <v>124</v>
      </c>
      <c r="B33" s="245">
        <f t="shared" ref="B33:Y33" si="13">IF(B$7=0,0,B$7/B$5)</f>
        <v>2.1116202205444617E-2</v>
      </c>
      <c r="C33" s="245">
        <f t="shared" si="13"/>
        <v>2.2440879649277545E-2</v>
      </c>
      <c r="D33" s="245">
        <f t="shared" si="13"/>
        <v>2.215494668579595E-2</v>
      </c>
      <c r="E33" s="245">
        <f t="shared" si="13"/>
        <v>1.9363377029744881E-2</v>
      </c>
      <c r="F33" s="245">
        <f t="shared" si="13"/>
        <v>1.8071510020480859E-2</v>
      </c>
      <c r="G33" s="245">
        <f t="shared" si="13"/>
        <v>1.9323415210104927E-2</v>
      </c>
      <c r="H33" s="245">
        <f t="shared" si="13"/>
        <v>2.1761759255110636E-2</v>
      </c>
      <c r="I33" s="245">
        <f t="shared" si="13"/>
        <v>2.1107547593797116E-2</v>
      </c>
      <c r="J33" s="245">
        <f t="shared" si="13"/>
        <v>2.2143463285330234E-2</v>
      </c>
      <c r="K33" s="245">
        <f t="shared" si="13"/>
        <v>2.3378853982148253E-2</v>
      </c>
      <c r="L33" s="245">
        <f t="shared" si="13"/>
        <v>2.0504150497547394E-2</v>
      </c>
      <c r="M33" s="245">
        <f t="shared" si="13"/>
        <v>1.911696889515694E-2</v>
      </c>
      <c r="N33" s="245">
        <f t="shared" si="13"/>
        <v>1.732456915725037E-2</v>
      </c>
      <c r="O33" s="245">
        <f t="shared" si="13"/>
        <v>1.761441623356003E-2</v>
      </c>
      <c r="P33" s="245">
        <f t="shared" si="13"/>
        <v>1.9762288632192926E-2</v>
      </c>
      <c r="Q33" s="245">
        <f t="shared" si="13"/>
        <v>2.2191623533396109E-2</v>
      </c>
      <c r="R33" s="245">
        <f t="shared" si="13"/>
        <v>2.254137335773684E-2</v>
      </c>
      <c r="S33" s="245">
        <f t="shared" si="13"/>
        <v>2.2278626611721673E-2</v>
      </c>
      <c r="T33" s="245">
        <f t="shared" si="13"/>
        <v>2.0170503695093003E-2</v>
      </c>
      <c r="U33" s="245">
        <f t="shared" si="13"/>
        <v>2.061335840868949E-2</v>
      </c>
      <c r="V33" s="245">
        <f t="shared" si="13"/>
        <v>1.9741834858182501E-2</v>
      </c>
      <c r="W33" s="245">
        <f t="shared" si="13"/>
        <v>2.0622454144733154E-2</v>
      </c>
      <c r="X33" s="245">
        <f t="shared" si="13"/>
        <v>2.0496963872747975E-2</v>
      </c>
      <c r="Y33" s="245">
        <f t="shared" si="13"/>
        <v>2.0912568559834713E-2</v>
      </c>
      <c r="DA33" s="276"/>
    </row>
    <row r="34" spans="1:105" x14ac:dyDescent="0.25">
      <c r="A34" s="240" t="s">
        <v>123</v>
      </c>
      <c r="B34" s="245">
        <f t="shared" ref="B34:Y34" si="14">IF(B$8=0,0,B$8/B$5)</f>
        <v>4.1962797649271397E-2</v>
      </c>
      <c r="C34" s="245">
        <f t="shared" si="14"/>
        <v>4.4595239363235617E-2</v>
      </c>
      <c r="D34" s="245">
        <f t="shared" si="14"/>
        <v>4.4027024161889368E-2</v>
      </c>
      <c r="E34" s="245">
        <f t="shared" si="14"/>
        <v>3.8479526962297617E-2</v>
      </c>
      <c r="F34" s="245">
        <f t="shared" si="14"/>
        <v>3.5912287201468912E-2</v>
      </c>
      <c r="G34" s="245">
        <f t="shared" si="14"/>
        <v>3.8400113546242329E-2</v>
      </c>
      <c r="H34" s="245">
        <f t="shared" si="14"/>
        <v>4.3245669426243256E-2</v>
      </c>
      <c r="I34" s="245">
        <f t="shared" si="14"/>
        <v>4.1945598926046282E-2</v>
      </c>
      <c r="J34" s="245">
        <f t="shared" si="14"/>
        <v>4.4004203978345917E-2</v>
      </c>
      <c r="K34" s="245">
        <f t="shared" si="14"/>
        <v>4.6459212190712827E-2</v>
      </c>
      <c r="L34" s="245">
        <f t="shared" si="14"/>
        <v>4.0746508767421238E-2</v>
      </c>
      <c r="M34" s="245">
        <f t="shared" si="14"/>
        <v>3.7989856774910305E-2</v>
      </c>
      <c r="N34" s="245">
        <f t="shared" si="14"/>
        <v>3.4427942242334593E-2</v>
      </c>
      <c r="O34" s="245">
        <f t="shared" si="14"/>
        <v>3.500393569485416E-2</v>
      </c>
      <c r="P34" s="245">
        <f t="shared" si="14"/>
        <v>3.9272256956574603E-2</v>
      </c>
      <c r="Q34" s="245">
        <f t="shared" si="14"/>
        <v>4.4099909575624485E-2</v>
      </c>
      <c r="R34" s="245">
        <f t="shared" si="14"/>
        <v>4.4794943699842833E-2</v>
      </c>
      <c r="S34" s="245">
        <f t="shared" si="14"/>
        <v>4.4272804897194117E-2</v>
      </c>
      <c r="T34" s="245">
        <f t="shared" si="14"/>
        <v>4.0083475087335063E-2</v>
      </c>
      <c r="U34" s="245">
        <f t="shared" si="14"/>
        <v>4.09635302484797E-2</v>
      </c>
      <c r="V34" s="245">
        <f t="shared" si="14"/>
        <v>3.9231610557586137E-2</v>
      </c>
      <c r="W34" s="245">
        <f t="shared" si="14"/>
        <v>4.0981605588323367E-2</v>
      </c>
      <c r="X34" s="245">
        <f t="shared" si="14"/>
        <v>4.0732227274977412E-2</v>
      </c>
      <c r="Y34" s="245">
        <f t="shared" si="14"/>
        <v>4.1558130305107181E-2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0.31788738651133913</v>
      </c>
      <c r="C35" s="246">
        <f t="shared" si="15"/>
        <v>0.31845885706696991</v>
      </c>
      <c r="D35" s="246">
        <f t="shared" si="15"/>
        <v>0.3182403101238131</v>
      </c>
      <c r="E35" s="246">
        <f t="shared" si="15"/>
        <v>0.32624042773801637</v>
      </c>
      <c r="F35" s="246">
        <f t="shared" si="15"/>
        <v>0.32950340775279274</v>
      </c>
      <c r="G35" s="246">
        <f t="shared" si="15"/>
        <v>0.32509716599743643</v>
      </c>
      <c r="H35" s="246">
        <f t="shared" si="15"/>
        <v>0.32509125701733571</v>
      </c>
      <c r="I35" s="246">
        <f t="shared" si="15"/>
        <v>0.32429864148192433</v>
      </c>
      <c r="J35" s="246">
        <f t="shared" si="15"/>
        <v>0.32557244421308801</v>
      </c>
      <c r="K35" s="246">
        <f t="shared" si="15"/>
        <v>0.32249086323915827</v>
      </c>
      <c r="L35" s="246">
        <f t="shared" si="15"/>
        <v>0.32027483164483078</v>
      </c>
      <c r="M35" s="246">
        <f t="shared" si="15"/>
        <v>0.33093439577333911</v>
      </c>
      <c r="N35" s="246">
        <f t="shared" si="15"/>
        <v>0.33632503384438395</v>
      </c>
      <c r="O35" s="246">
        <f t="shared" si="15"/>
        <v>0.33386113325938549</v>
      </c>
      <c r="P35" s="246">
        <f t="shared" si="15"/>
        <v>0.33228724545775601</v>
      </c>
      <c r="Q35" s="246">
        <f t="shared" si="15"/>
        <v>0.32345680445243674</v>
      </c>
      <c r="R35" s="246">
        <f t="shared" si="15"/>
        <v>0.3213918951586216</v>
      </c>
      <c r="S35" s="246">
        <f t="shared" si="15"/>
        <v>0.32146558421962185</v>
      </c>
      <c r="T35" s="246">
        <f t="shared" si="15"/>
        <v>0.31934417421111377</v>
      </c>
      <c r="U35" s="246">
        <f t="shared" si="15"/>
        <v>0.32007054487766323</v>
      </c>
      <c r="V35" s="246">
        <f t="shared" si="15"/>
        <v>0.31950486060492472</v>
      </c>
      <c r="W35" s="246">
        <f t="shared" si="15"/>
        <v>0.3192582453626957</v>
      </c>
      <c r="X35" s="246">
        <f t="shared" si="15"/>
        <v>0.31805571770006436</v>
      </c>
      <c r="Y35" s="246">
        <f t="shared" si="15"/>
        <v>0.31661402098164682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0.21954428486378413</v>
      </c>
      <c r="C36" s="259">
        <f t="shared" si="16"/>
        <v>0.2160823728556939</v>
      </c>
      <c r="D36" s="259">
        <f t="shared" si="16"/>
        <v>0.21672668810166193</v>
      </c>
      <c r="E36" s="259">
        <f t="shared" si="16"/>
        <v>0.21608461710669866</v>
      </c>
      <c r="F36" s="259">
        <f t="shared" si="16"/>
        <v>0.21907823584094918</v>
      </c>
      <c r="G36" s="259">
        <f t="shared" si="16"/>
        <v>0.22007137182130376</v>
      </c>
      <c r="H36" s="259">
        <f t="shared" si="16"/>
        <v>0.20946874704664317</v>
      </c>
      <c r="I36" s="259">
        <f t="shared" si="16"/>
        <v>0.2131950690538392</v>
      </c>
      <c r="J36" s="259">
        <f t="shared" si="16"/>
        <v>0.20860957237113575</v>
      </c>
      <c r="K36" s="259">
        <f t="shared" si="16"/>
        <v>0.21018851334791047</v>
      </c>
      <c r="L36" s="259">
        <f t="shared" si="16"/>
        <v>0.22031995725136541</v>
      </c>
      <c r="M36" s="259">
        <f t="shared" si="16"/>
        <v>0.21128197332384879</v>
      </c>
      <c r="N36" s="259">
        <f t="shared" si="16"/>
        <v>0.2121063647302508</v>
      </c>
      <c r="O36" s="259">
        <f t="shared" si="16"/>
        <v>0.20833803266201342</v>
      </c>
      <c r="P36" s="259">
        <f t="shared" si="16"/>
        <v>0.20123627710863168</v>
      </c>
      <c r="Q36" s="259">
        <f t="shared" si="16"/>
        <v>0.20844035226419844</v>
      </c>
      <c r="R36" s="259">
        <f t="shared" si="16"/>
        <v>0.21150287855106978</v>
      </c>
      <c r="S36" s="259">
        <f t="shared" si="16"/>
        <v>0.21259352363147274</v>
      </c>
      <c r="T36" s="259">
        <f t="shared" si="16"/>
        <v>0.22144718145909448</v>
      </c>
      <c r="U36" s="259">
        <f t="shared" si="16"/>
        <v>0.21858665485353385</v>
      </c>
      <c r="V36" s="259">
        <f t="shared" si="16"/>
        <v>0.22375865027570685</v>
      </c>
      <c r="W36" s="259">
        <f t="shared" si="16"/>
        <v>0.22133464579664192</v>
      </c>
      <c r="X36" s="259">
        <f t="shared" si="16"/>
        <v>0.22264547577851249</v>
      </c>
      <c r="Y36" s="259">
        <f t="shared" si="16"/>
        <v>0.21795831948555594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0.25519956238319935</v>
      </c>
      <c r="C37" s="259">
        <f t="shared" si="17"/>
        <v>0.24739942160982908</v>
      </c>
      <c r="D37" s="259">
        <f t="shared" si="17"/>
        <v>0.24929507308062446</v>
      </c>
      <c r="E37" s="259">
        <f t="shared" si="17"/>
        <v>0.2655335985111773</v>
      </c>
      <c r="F37" s="259">
        <f t="shared" si="17"/>
        <v>0.26975424764691858</v>
      </c>
      <c r="G37" s="259">
        <f t="shared" si="17"/>
        <v>0.26249039665483742</v>
      </c>
      <c r="H37" s="259">
        <f t="shared" si="17"/>
        <v>0.25398970811777749</v>
      </c>
      <c r="I37" s="259">
        <f t="shared" si="17"/>
        <v>0.25606444945449536</v>
      </c>
      <c r="J37" s="259">
        <f t="shared" si="17"/>
        <v>0.25126860630695197</v>
      </c>
      <c r="K37" s="259">
        <f t="shared" si="17"/>
        <v>0.24215457515152869</v>
      </c>
      <c r="L37" s="259">
        <f t="shared" si="17"/>
        <v>0.25708672181977976</v>
      </c>
      <c r="M37" s="259">
        <f t="shared" si="17"/>
        <v>0.26836349648869812</v>
      </c>
      <c r="N37" s="259">
        <f t="shared" si="17"/>
        <v>0.27713291562968245</v>
      </c>
      <c r="O37" s="259">
        <f t="shared" si="17"/>
        <v>0.28143097850921178</v>
      </c>
      <c r="P37" s="259">
        <f t="shared" si="17"/>
        <v>0.27297280603773377</v>
      </c>
      <c r="Q37" s="259">
        <f t="shared" si="17"/>
        <v>0.25317062928472073</v>
      </c>
      <c r="R37" s="259">
        <f t="shared" si="17"/>
        <v>0.24881552555771594</v>
      </c>
      <c r="S37" s="259">
        <f t="shared" si="17"/>
        <v>0.24971730393331859</v>
      </c>
      <c r="T37" s="259">
        <f t="shared" si="17"/>
        <v>0.25954845756531841</v>
      </c>
      <c r="U37" s="259">
        <f t="shared" si="17"/>
        <v>0.25833772528580967</v>
      </c>
      <c r="V37" s="259">
        <f t="shared" si="17"/>
        <v>0.26037557333845718</v>
      </c>
      <c r="W37" s="259">
        <f t="shared" si="17"/>
        <v>0.25595579629703258</v>
      </c>
      <c r="X37" s="259">
        <f t="shared" si="17"/>
        <v>0.25672803454380982</v>
      </c>
      <c r="Y37" s="259">
        <f t="shared" si="17"/>
        <v>0.259987196704628</v>
      </c>
      <c r="DA37" s="278"/>
    </row>
    <row r="38" spans="1:105" x14ac:dyDescent="0.25">
      <c r="A38" s="127" t="s">
        <v>167</v>
      </c>
      <c r="B38" s="259">
        <f t="shared" ref="B38:Y38" si="18">IF(B$25=0,0,B$25/B$5)</f>
        <v>2.9531084770822044E-2</v>
      </c>
      <c r="C38" s="259">
        <f t="shared" si="18"/>
        <v>2.9065420100737489E-2</v>
      </c>
      <c r="D38" s="259">
        <f t="shared" si="18"/>
        <v>2.9152087481578777E-2</v>
      </c>
      <c r="E38" s="259">
        <f t="shared" si="18"/>
        <v>2.9065721976810982E-2</v>
      </c>
      <c r="F38" s="259">
        <f t="shared" si="18"/>
        <v>2.9468396128258485E-2</v>
      </c>
      <c r="G38" s="259">
        <f t="shared" si="18"/>
        <v>2.9601983676861739E-2</v>
      </c>
      <c r="H38" s="259">
        <f t="shared" si="18"/>
        <v>2.8175815779993049E-2</v>
      </c>
      <c r="I38" s="259">
        <f t="shared" si="18"/>
        <v>2.8677046459471497E-2</v>
      </c>
      <c r="J38" s="259">
        <f t="shared" si="18"/>
        <v>2.8060247478175974E-2</v>
      </c>
      <c r="K38" s="259">
        <f t="shared" si="18"/>
        <v>2.8272632145179215E-2</v>
      </c>
      <c r="L38" s="259">
        <f t="shared" si="18"/>
        <v>2.9635421110282036E-2</v>
      </c>
      <c r="M38" s="259">
        <f t="shared" si="18"/>
        <v>2.8419714358059237E-2</v>
      </c>
      <c r="N38" s="259">
        <f t="shared" si="18"/>
        <v>2.8530603933353389E-2</v>
      </c>
      <c r="O38" s="259">
        <f t="shared" si="18"/>
        <v>2.8023722445544349E-2</v>
      </c>
      <c r="P38" s="259">
        <f t="shared" si="18"/>
        <v>2.7068459385981229E-2</v>
      </c>
      <c r="Q38" s="259">
        <f t="shared" si="18"/>
        <v>2.8037485540528661E-2</v>
      </c>
      <c r="R38" s="259">
        <f t="shared" si="18"/>
        <v>2.8449428504321059E-2</v>
      </c>
      <c r="S38" s="259">
        <f t="shared" si="18"/>
        <v>2.8596132083256138E-2</v>
      </c>
      <c r="T38" s="259">
        <f t="shared" si="18"/>
        <v>2.9787044978126401E-2</v>
      </c>
      <c r="U38" s="259">
        <f t="shared" si="18"/>
        <v>2.940227315985558E-2</v>
      </c>
      <c r="V38" s="259">
        <f t="shared" si="18"/>
        <v>3.0097962575506999E-2</v>
      </c>
      <c r="W38" s="259">
        <f t="shared" si="18"/>
        <v>2.97719077123593E-2</v>
      </c>
      <c r="X38" s="259">
        <f t="shared" si="18"/>
        <v>2.9948228545938611E-2</v>
      </c>
      <c r="Y38" s="259">
        <f t="shared" si="18"/>
        <v>2.9317755245723692E-2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3.2486464931453268E-2</v>
      </c>
      <c r="C39" s="259">
        <f t="shared" si="19"/>
        <v>3.4524430229657774E-2</v>
      </c>
      <c r="D39" s="259">
        <f t="shared" si="19"/>
        <v>3.4084533362763021E-2</v>
      </c>
      <c r="E39" s="259">
        <f t="shared" si="19"/>
        <v>2.9789810814992133E-2</v>
      </c>
      <c r="F39" s="259">
        <f t="shared" si="19"/>
        <v>2.780232310843208E-2</v>
      </c>
      <c r="G39" s="259">
        <f t="shared" si="19"/>
        <v>2.9728331092469112E-2</v>
      </c>
      <c r="H39" s="259">
        <f t="shared" si="19"/>
        <v>3.3479629623247131E-2</v>
      </c>
      <c r="I39" s="259">
        <f t="shared" si="19"/>
        <v>3.2473150144303249E-2</v>
      </c>
      <c r="J39" s="259">
        <f t="shared" si="19"/>
        <v>3.4066866592815749E-2</v>
      </c>
      <c r="K39" s="259">
        <f t="shared" si="19"/>
        <v>3.5967467664843461E-2</v>
      </c>
      <c r="L39" s="259">
        <f t="shared" si="19"/>
        <v>3.1544846919303711E-2</v>
      </c>
      <c r="M39" s="259">
        <f t="shared" si="19"/>
        <v>2.9410721377164533E-2</v>
      </c>
      <c r="N39" s="259">
        <f t="shared" si="19"/>
        <v>2.6653183318846731E-2</v>
      </c>
      <c r="O39" s="259">
        <f t="shared" si="19"/>
        <v>2.7099101897784666E-2</v>
      </c>
      <c r="P39" s="259">
        <f t="shared" si="19"/>
        <v>3.0403520972604525E-2</v>
      </c>
      <c r="Q39" s="259">
        <f t="shared" si="19"/>
        <v>3.4140959282147859E-2</v>
      </c>
      <c r="R39" s="259">
        <f t="shared" si="19"/>
        <v>3.4679035934979771E-2</v>
      </c>
      <c r="S39" s="259">
        <f t="shared" si="19"/>
        <v>3.4274810171879506E-2</v>
      </c>
      <c r="T39" s="259">
        <f t="shared" si="19"/>
        <v>3.1031544146296944E-2</v>
      </c>
      <c r="U39" s="259">
        <f t="shared" si="19"/>
        <v>3.1712859090291541E-2</v>
      </c>
      <c r="V39" s="259">
        <f t="shared" si="19"/>
        <v>3.0372053627973076E-2</v>
      </c>
      <c r="W39" s="259">
        <f t="shared" si="19"/>
        <v>3.1726852530358694E-2</v>
      </c>
      <c r="X39" s="259">
        <f t="shared" si="19"/>
        <v>3.1533790573458419E-2</v>
      </c>
      <c r="Y39" s="259">
        <f t="shared" si="19"/>
        <v>3.2173182399745731E-2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4.9511476007257443E-2</v>
      </c>
      <c r="C40" s="261">
        <f t="shared" si="20"/>
        <v>5.2617467077033186E-2</v>
      </c>
      <c r="D40" s="261">
        <f t="shared" si="20"/>
        <v>5.1947035769198284E-2</v>
      </c>
      <c r="E40" s="261">
        <f t="shared" si="20"/>
        <v>4.5401600529308243E-2</v>
      </c>
      <c r="F40" s="261">
        <f t="shared" si="20"/>
        <v>4.2372540577549876E-2</v>
      </c>
      <c r="G40" s="261">
        <f t="shared" si="20"/>
        <v>4.5307901451459819E-2</v>
      </c>
      <c r="H40" s="261">
        <f t="shared" si="20"/>
        <v>5.1025123303531858E-2</v>
      </c>
      <c r="I40" s="261">
        <f t="shared" si="20"/>
        <v>4.9491183409527566E-2</v>
      </c>
      <c r="J40" s="261">
        <f t="shared" si="20"/>
        <v>5.1920110467900751E-2</v>
      </c>
      <c r="K40" s="261">
        <f t="shared" si="20"/>
        <v>5.4816749562847628E-2</v>
      </c>
      <c r="L40" s="261">
        <f t="shared" si="20"/>
        <v>4.8076389188334089E-2</v>
      </c>
      <c r="M40" s="261">
        <f t="shared" si="20"/>
        <v>4.482384368056494E-2</v>
      </c>
      <c r="N40" s="261">
        <f t="shared" si="20"/>
        <v>4.0621177133078779E-2</v>
      </c>
      <c r="O40" s="261">
        <f t="shared" si="20"/>
        <v>4.1300785919964653E-2</v>
      </c>
      <c r="P40" s="261">
        <f t="shared" si="20"/>
        <v>4.633693454635656E-2</v>
      </c>
      <c r="Q40" s="261">
        <f t="shared" si="20"/>
        <v>5.2033032523837605E-2</v>
      </c>
      <c r="R40" s="261">
        <f t="shared" si="20"/>
        <v>5.2853096182440183E-2</v>
      </c>
      <c r="S40" s="261">
        <f t="shared" si="20"/>
        <v>5.2237029946440576E-2</v>
      </c>
      <c r="T40" s="261">
        <f t="shared" si="20"/>
        <v>4.7294082526657996E-2</v>
      </c>
      <c r="U40" s="261">
        <f t="shared" si="20"/>
        <v>4.8332450615465171E-2</v>
      </c>
      <c r="V40" s="261">
        <f t="shared" si="20"/>
        <v>4.6288976275673091E-2</v>
      </c>
      <c r="W40" s="261">
        <f t="shared" si="20"/>
        <v>4.8353777524182566E-2</v>
      </c>
      <c r="X40" s="261">
        <f t="shared" si="20"/>
        <v>4.8059538601383456E-2</v>
      </c>
      <c r="Y40" s="261">
        <f t="shared" si="20"/>
        <v>4.9034013144343344E-2</v>
      </c>
      <c r="DA40" s="279"/>
    </row>
    <row r="42" spans="1:105" ht="12.75" x14ac:dyDescent="0.25">
      <c r="A42" s="178" t="s">
        <v>131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0.39208788244879184</v>
      </c>
      <c r="C44" s="237">
        <f>IF(C$5=0,0,C$5/AGR_fec!C$5)</f>
        <v>0.39549671149940191</v>
      </c>
      <c r="D44" s="237">
        <f>IF(D$5=0,0,D$5/AGR_fec!D$5)</f>
        <v>0.39474460130612843</v>
      </c>
      <c r="E44" s="237">
        <f>IF(E$5=0,0,E$5/AGR_fec!E$5)</f>
        <v>0.39322669304751323</v>
      </c>
      <c r="F44" s="237">
        <f>IF(F$5=0,0,F$5/AGR_fec!F$5)</f>
        <v>0.39189793583368954</v>
      </c>
      <c r="G44" s="237">
        <f>IF(G$5=0,0,G$5/AGR_fec!G$5)</f>
        <v>0.39240148036235512</v>
      </c>
      <c r="H44" s="237">
        <f>IF(H$5=0,0,H$5/AGR_fec!H$5)</f>
        <v>0.39833822390638435</v>
      </c>
      <c r="I44" s="237">
        <f>IF(I$5=0,0,I$5/AGR_fec!I$5)</f>
        <v>0.39617838877504347</v>
      </c>
      <c r="J44" s="237">
        <f>IF(J$5=0,0,J$5/AGR_fec!J$5)</f>
        <v>0.39945028492639945</v>
      </c>
      <c r="K44" s="237">
        <f>IF(K$5=0,0,K$5/AGR_fec!K$5)</f>
        <v>0.39926660156999066</v>
      </c>
      <c r="L44" s="237">
        <f>IF(L$5=0,0,L$5/AGR_fec!L$5)</f>
        <v>0.39114860004658442</v>
      </c>
      <c r="M44" s="237">
        <f>IF(M$5=0,0,M$5/AGR_fec!M$5)</f>
        <v>0.39439752853310567</v>
      </c>
      <c r="N44" s="237">
        <f>IF(N$5=0,0,N$5/AGR_fec!N$5)</f>
        <v>0.39252533891268115</v>
      </c>
      <c r="O44" s="237">
        <f>IF(O$5=0,0,O$5/AGR_fec!O$5)</f>
        <v>0.39073298874713452</v>
      </c>
      <c r="P44" s="237">
        <f>IF(P$5=0,0,P$5/AGR_fec!P$5)</f>
        <v>0.39576306103677295</v>
      </c>
      <c r="Q44" s="237">
        <f>IF(Q$5=0,0,Q$5/AGR_fec!Q$5)</f>
        <v>0.3969647133809851</v>
      </c>
      <c r="R44" s="237">
        <f>IF(R$5=0,0,R$5/AGR_fec!R$5)</f>
        <v>0.39658661420711588</v>
      </c>
      <c r="S44" s="237">
        <f>IF(S$5=0,0,S$5/AGR_fec!S$5)</f>
        <v>0.39610958732530899</v>
      </c>
      <c r="T44" s="237">
        <f>IF(T$5=0,0,T$5/AGR_fec!T$5)</f>
        <v>0.38954869125348296</v>
      </c>
      <c r="U44" s="237">
        <f>IF(U$5=0,0,U$5/AGR_fec!U$5)</f>
        <v>0.39129987122642312</v>
      </c>
      <c r="V44" s="237">
        <f>IF(V$5=0,0,V$5/AGR_fec!V$5)</f>
        <v>0.38867965241822189</v>
      </c>
      <c r="W44" s="237">
        <f>IF(W$5=0,0,W$5/AGR_fec!W$5)</f>
        <v>0.39068948579092999</v>
      </c>
      <c r="X44" s="237">
        <f>IF(X$5=0,0,X$5/AGR_fec!X$5)</f>
        <v>0.38961233115402288</v>
      </c>
      <c r="Y44" s="237">
        <f>IF(Y$5=0,0,Y$5/AGR_fec!Y$5)</f>
        <v>0.3894906965299606</v>
      </c>
      <c r="DA44" s="286"/>
    </row>
    <row r="45" spans="1:105" x14ac:dyDescent="0.25">
      <c r="A45" s="238" t="s">
        <v>125</v>
      </c>
      <c r="B45" s="250">
        <f>IF(B$6=0,0,B$6/AGR_fec!B$6)</f>
        <v>0.4706227286999809</v>
      </c>
      <c r="C45" s="250">
        <f>IF(C$6=0,0,C$6/AGR_fec!C$6)</f>
        <v>0.47062272869998073</v>
      </c>
      <c r="D45" s="250">
        <f>IF(D$6=0,0,D$6/AGR_fec!D$6)</f>
        <v>0.47062272869998073</v>
      </c>
      <c r="E45" s="250">
        <f>IF(E$6=0,0,E$6/AGR_fec!E$6)</f>
        <v>0.47062272869998067</v>
      </c>
      <c r="F45" s="250">
        <f>IF(F$6=0,0,F$6/AGR_fec!F$6)</f>
        <v>0.47062272869998073</v>
      </c>
      <c r="G45" s="250">
        <f>IF(G$6=0,0,G$6/AGR_fec!G$6)</f>
        <v>0.47062272869998073</v>
      </c>
      <c r="H45" s="250">
        <f>IF(H$6=0,0,H$6/AGR_fec!H$6)</f>
        <v>0.47062272869998073</v>
      </c>
      <c r="I45" s="250">
        <f>IF(I$6=0,0,I$6/AGR_fec!I$6)</f>
        <v>0.47062272869998073</v>
      </c>
      <c r="J45" s="250">
        <f>IF(J$6=0,0,J$6/AGR_fec!J$6)</f>
        <v>0.47062272869998073</v>
      </c>
      <c r="K45" s="250">
        <f>IF(K$6=0,0,K$6/AGR_fec!K$6)</f>
        <v>0.47062272869998084</v>
      </c>
      <c r="L45" s="250">
        <f>IF(L$6=0,0,L$6/AGR_fec!L$6)</f>
        <v>0.47062272869998073</v>
      </c>
      <c r="M45" s="250">
        <f>IF(M$6=0,0,M$6/AGR_fec!M$6)</f>
        <v>0.47062272869998067</v>
      </c>
      <c r="N45" s="250">
        <f>IF(N$6=0,0,N$6/AGR_fec!N$6)</f>
        <v>0.47062272869998079</v>
      </c>
      <c r="O45" s="250">
        <f>IF(O$6=0,0,O$6/AGR_fec!O$6)</f>
        <v>0.47062272869998067</v>
      </c>
      <c r="P45" s="250">
        <f>IF(P$6=0,0,P$6/AGR_fec!P$6)</f>
        <v>0.47062272869998073</v>
      </c>
      <c r="Q45" s="250">
        <f>IF(Q$6=0,0,Q$6/AGR_fec!Q$6)</f>
        <v>0.47062272869998073</v>
      </c>
      <c r="R45" s="250">
        <f>IF(R$6=0,0,R$6/AGR_fec!R$6)</f>
        <v>0.47062272869998084</v>
      </c>
      <c r="S45" s="250">
        <f>IF(S$6=0,0,S$6/AGR_fec!S$6)</f>
        <v>0.47062272869998067</v>
      </c>
      <c r="T45" s="250">
        <f>IF(T$6=0,0,T$6/AGR_fec!T$6)</f>
        <v>0.47062272869998084</v>
      </c>
      <c r="U45" s="250">
        <f>IF(U$6=0,0,U$6/AGR_fec!U$6)</f>
        <v>0.47062272869998073</v>
      </c>
      <c r="V45" s="250">
        <f>IF(V$6=0,0,V$6/AGR_fec!V$6)</f>
        <v>0.47062272869998073</v>
      </c>
      <c r="W45" s="250">
        <f>IF(W$6=0,0,W$6/AGR_fec!W$6)</f>
        <v>0.47062272869998062</v>
      </c>
      <c r="X45" s="250">
        <f>IF(X$6=0,0,X$6/AGR_fec!X$6)</f>
        <v>0.47062272869998062</v>
      </c>
      <c r="Y45" s="250">
        <f>IF(Y$6=0,0,Y$6/AGR_fec!Y$6)</f>
        <v>0.47062272869998073</v>
      </c>
      <c r="DA45" s="287"/>
    </row>
    <row r="46" spans="1:105" x14ac:dyDescent="0.25">
      <c r="A46" s="240" t="s">
        <v>124</v>
      </c>
      <c r="B46" s="251">
        <f>IF(B$7=0,0,B$7/AGR_fec!B$7)</f>
        <v>0.46668263463256732</v>
      </c>
      <c r="C46" s="251">
        <f>IF(C$7=0,0,C$7/AGR_fec!C$7)</f>
        <v>0.46668263463256732</v>
      </c>
      <c r="D46" s="251">
        <f>IF(D$7=0,0,D$7/AGR_fec!D$7)</f>
        <v>0.46668263463256715</v>
      </c>
      <c r="E46" s="251">
        <f>IF(E$7=0,0,E$7/AGR_fec!E$7)</f>
        <v>0.46668263463256726</v>
      </c>
      <c r="F46" s="251">
        <f>IF(F$7=0,0,F$7/AGR_fec!F$7)</f>
        <v>0.46668263463256732</v>
      </c>
      <c r="G46" s="251">
        <f>IF(G$7=0,0,G$7/AGR_fec!G$7)</f>
        <v>0.46668263463256737</v>
      </c>
      <c r="H46" s="251">
        <f>IF(H$7=0,0,H$7/AGR_fec!H$7)</f>
        <v>0.46668263463256732</v>
      </c>
      <c r="I46" s="251">
        <f>IF(I$7=0,0,I$7/AGR_fec!I$7)</f>
        <v>0.46668263463256737</v>
      </c>
      <c r="J46" s="251">
        <f>IF(J$7=0,0,J$7/AGR_fec!J$7)</f>
        <v>0.46668263463256732</v>
      </c>
      <c r="K46" s="251">
        <f>IF(K$7=0,0,K$7/AGR_fec!K$7)</f>
        <v>0.46668263463256737</v>
      </c>
      <c r="L46" s="251">
        <f>IF(L$7=0,0,L$7/AGR_fec!L$7)</f>
        <v>0.46668263463256704</v>
      </c>
      <c r="M46" s="251">
        <f>IF(M$7=0,0,M$7/AGR_fec!M$7)</f>
        <v>0.46668263463256737</v>
      </c>
      <c r="N46" s="251">
        <f>IF(N$7=0,0,N$7/AGR_fec!N$7)</f>
        <v>0.46668263463256715</v>
      </c>
      <c r="O46" s="251">
        <f>IF(O$7=0,0,O$7/AGR_fec!O$7)</f>
        <v>0.46668263463256721</v>
      </c>
      <c r="P46" s="251">
        <f>IF(P$7=0,0,P$7/AGR_fec!P$7)</f>
        <v>0.46668263463256726</v>
      </c>
      <c r="Q46" s="251">
        <f>IF(Q$7=0,0,Q$7/AGR_fec!Q$7)</f>
        <v>0.46668263463256726</v>
      </c>
      <c r="R46" s="251">
        <f>IF(R$7=0,0,R$7/AGR_fec!R$7)</f>
        <v>0.46668263463256721</v>
      </c>
      <c r="S46" s="251">
        <f>IF(S$7=0,0,S$7/AGR_fec!S$7)</f>
        <v>0.46668263463256737</v>
      </c>
      <c r="T46" s="251">
        <f>IF(T$7=0,0,T$7/AGR_fec!T$7)</f>
        <v>0.46668263463256726</v>
      </c>
      <c r="U46" s="251">
        <f>IF(U$7=0,0,U$7/AGR_fec!U$7)</f>
        <v>0.46668263463256732</v>
      </c>
      <c r="V46" s="251">
        <f>IF(V$7=0,0,V$7/AGR_fec!V$7)</f>
        <v>0.46668263463256721</v>
      </c>
      <c r="W46" s="251">
        <f>IF(W$7=0,0,W$7/AGR_fec!W$7)</f>
        <v>0.46668263463256721</v>
      </c>
      <c r="X46" s="251">
        <f>IF(X$7=0,0,X$7/AGR_fec!X$7)</f>
        <v>0.46668263463256726</v>
      </c>
      <c r="Y46" s="251">
        <f>IF(Y$7=0,0,Y$7/AGR_fec!Y$7)</f>
        <v>0.46668263463256726</v>
      </c>
      <c r="DA46" s="288"/>
    </row>
    <row r="47" spans="1:105" x14ac:dyDescent="0.25">
      <c r="A47" s="240" t="s">
        <v>123</v>
      </c>
      <c r="B47" s="251">
        <f>IF(B$8=0,0,B$8/AGR_fec!B$8)</f>
        <v>0.66979378112071664</v>
      </c>
      <c r="C47" s="251">
        <f>IF(C$8=0,0,C$8/AGR_fec!C$8)</f>
        <v>0.66979378112071652</v>
      </c>
      <c r="D47" s="251">
        <f>IF(D$8=0,0,D$8/AGR_fec!D$8)</f>
        <v>0.66979378112071664</v>
      </c>
      <c r="E47" s="251">
        <f>IF(E$8=0,0,E$8/AGR_fec!E$8)</f>
        <v>0.66979378112071652</v>
      </c>
      <c r="F47" s="251">
        <f>IF(F$8=0,0,F$8/AGR_fec!F$8)</f>
        <v>0.66979378112071664</v>
      </c>
      <c r="G47" s="251">
        <f>IF(G$8=0,0,G$8/AGR_fec!G$8)</f>
        <v>0.66979378112071675</v>
      </c>
      <c r="H47" s="251">
        <f>IF(H$8=0,0,H$8/AGR_fec!H$8)</f>
        <v>0.66979378112071652</v>
      </c>
      <c r="I47" s="251">
        <f>IF(I$8=0,0,I$8/AGR_fec!I$8)</f>
        <v>0.66979378112071675</v>
      </c>
      <c r="J47" s="251">
        <f>IF(J$8=0,0,J$8/AGR_fec!J$8)</f>
        <v>0.66979378112071652</v>
      </c>
      <c r="K47" s="251">
        <f>IF(K$8=0,0,K$8/AGR_fec!K$8)</f>
        <v>0.66979378112071652</v>
      </c>
      <c r="L47" s="251">
        <f>IF(L$8=0,0,L$8/AGR_fec!L$8)</f>
        <v>0.66979378112071652</v>
      </c>
      <c r="M47" s="251">
        <f>IF(M$8=0,0,M$8/AGR_fec!M$8)</f>
        <v>0.66979378112071664</v>
      </c>
      <c r="N47" s="251">
        <f>IF(N$8=0,0,N$8/AGR_fec!N$8)</f>
        <v>0.66979378112071652</v>
      </c>
      <c r="O47" s="251">
        <f>IF(O$8=0,0,O$8/AGR_fec!O$8)</f>
        <v>0.66979378112071664</v>
      </c>
      <c r="P47" s="251">
        <f>IF(P$8=0,0,P$8/AGR_fec!P$8)</f>
        <v>0.66979378112071664</v>
      </c>
      <c r="Q47" s="251">
        <f>IF(Q$8=0,0,Q$8/AGR_fec!Q$8)</f>
        <v>0.66979378112071664</v>
      </c>
      <c r="R47" s="251">
        <f>IF(R$8=0,0,R$8/AGR_fec!R$8)</f>
        <v>0.66979378112071664</v>
      </c>
      <c r="S47" s="251">
        <f>IF(S$8=0,0,S$8/AGR_fec!S$8)</f>
        <v>0.66979378112071664</v>
      </c>
      <c r="T47" s="251">
        <f>IF(T$8=0,0,T$8/AGR_fec!T$8)</f>
        <v>0.66979378112071664</v>
      </c>
      <c r="U47" s="251">
        <f>IF(U$8=0,0,U$8/AGR_fec!U$8)</f>
        <v>0.66979378112071664</v>
      </c>
      <c r="V47" s="251">
        <f>IF(V$8=0,0,V$8/AGR_fec!V$8)</f>
        <v>0.66979378112071664</v>
      </c>
      <c r="W47" s="251">
        <f>IF(W$8=0,0,W$8/AGR_fec!W$8)</f>
        <v>0.66979378112071664</v>
      </c>
      <c r="X47" s="251">
        <f>IF(X$8=0,0,X$8/AGR_fec!X$8)</f>
        <v>0.66979378112071664</v>
      </c>
      <c r="Y47" s="251">
        <f>IF(Y$8=0,0,Y$8/AGR_fec!Y$8)</f>
        <v>0.66979378112071652</v>
      </c>
      <c r="DA47" s="288"/>
    </row>
    <row r="48" spans="1:105" x14ac:dyDescent="0.25">
      <c r="A48" s="242" t="s">
        <v>122</v>
      </c>
      <c r="B48" s="252">
        <f>IF(B$9=0,0,B$9/AGR_fec!B$9)</f>
        <v>0.64428843135046732</v>
      </c>
      <c r="C48" s="252">
        <f>IF(C$9=0,0,C$9/AGR_fec!C$9)</f>
        <v>0.65173926611675137</v>
      </c>
      <c r="D48" s="252">
        <f>IF(D$9=0,0,D$9/AGR_fec!D$9)</f>
        <v>0.65014303157970477</v>
      </c>
      <c r="E48" s="252">
        <f>IF(E$9=0,0,E$9/AGR_fec!E$9)</f>
        <v>0.64559937262019607</v>
      </c>
      <c r="F48" s="252">
        <f>IF(F$9=0,0,F$9/AGR_fec!F$9)</f>
        <v>0.64157426724859357</v>
      </c>
      <c r="G48" s="252">
        <f>IF(G$9=0,0,G$9/AGR_fec!G$9)</f>
        <v>0.64174456667887558</v>
      </c>
      <c r="H48" s="252">
        <f>IF(H$9=0,0,H$9/AGR_fec!H$9)</f>
        <v>0.65739161279729419</v>
      </c>
      <c r="I48" s="252">
        <f>IF(I$9=0,0,I$9/AGR_fec!I$9)</f>
        <v>0.65187904869916302</v>
      </c>
      <c r="J48" s="252">
        <f>IF(J$9=0,0,J$9/AGR_fec!J$9)</f>
        <v>0.65948097476478162</v>
      </c>
      <c r="K48" s="252">
        <f>IF(K$9=0,0,K$9/AGR_fec!K$9)</f>
        <v>0.66222214707077587</v>
      </c>
      <c r="L48" s="252">
        <f>IF(L$9=0,0,L$9/AGR_fec!L$9)</f>
        <v>0.64276317642221859</v>
      </c>
      <c r="M48" s="252">
        <f>IF(M$9=0,0,M$9/AGR_fec!M$9)</f>
        <v>0.65004327217189128</v>
      </c>
      <c r="N48" s="252">
        <f>IF(N$9=0,0,N$9/AGR_fec!N$9)</f>
        <v>0.64710054628500535</v>
      </c>
      <c r="O48" s="252">
        <f>IF(O$9=0,0,O$9/AGR_fec!O$9)</f>
        <v>0.6494718488216179</v>
      </c>
      <c r="P48" s="252">
        <f>IF(P$9=0,0,P$9/AGR_fec!P$9)</f>
        <v>0.6590507313410543</v>
      </c>
      <c r="Q48" s="252">
        <f>IF(Q$9=0,0,Q$9/AGR_fec!Q$9)</f>
        <v>0.66008012743976896</v>
      </c>
      <c r="R48" s="252">
        <f>IF(R$9=0,0,R$9/AGR_fec!R$9)</f>
        <v>0.65783374995530497</v>
      </c>
      <c r="S48" s="252">
        <f>IF(S$9=0,0,S$9/AGR_fec!S$9)</f>
        <v>0.65574628429819926</v>
      </c>
      <c r="T48" s="252">
        <f>IF(T$9=0,0,T$9/AGR_fec!T$9)</f>
        <v>0.64070100727676926</v>
      </c>
      <c r="U48" s="252">
        <f>IF(U$9=0,0,U$9/AGR_fec!U$9)</f>
        <v>0.64473419328940329</v>
      </c>
      <c r="V48" s="252">
        <f>IF(V$9=0,0,V$9/AGR_fec!V$9)</f>
        <v>0.63753571345638849</v>
      </c>
      <c r="W48" s="252">
        <f>IF(W$9=0,0,W$9/AGR_fec!W$9)</f>
        <v>0.64171244461558985</v>
      </c>
      <c r="X48" s="252">
        <f>IF(X$9=0,0,X$9/AGR_fec!X$9)</f>
        <v>0.63973117999530016</v>
      </c>
      <c r="Y48" s="252">
        <f>IF(Y$9=0,0,Y$9/AGR_fec!Y$9)</f>
        <v>0.64540824560926124</v>
      </c>
      <c r="DA48" s="289"/>
    </row>
    <row r="49" spans="1:105" x14ac:dyDescent="0.25">
      <c r="A49" s="127" t="s">
        <v>168</v>
      </c>
      <c r="B49" s="264">
        <f>IF(B$16=0,0,B$16/AGR_fec!B$16)</f>
        <v>0.33676807579074702</v>
      </c>
      <c r="C49" s="264">
        <f>IF(C$16=0,0,C$16/AGR_fec!C$16)</f>
        <v>0.33676807579074713</v>
      </c>
      <c r="D49" s="264">
        <f>IF(D$16=0,0,D$16/AGR_fec!D$16)</f>
        <v>0.33676807579074702</v>
      </c>
      <c r="E49" s="264">
        <f>IF(E$16=0,0,E$16/AGR_fec!E$16)</f>
        <v>0.33676807579074702</v>
      </c>
      <c r="F49" s="264">
        <f>IF(F$16=0,0,F$16/AGR_fec!F$16)</f>
        <v>0.33676807579074708</v>
      </c>
      <c r="G49" s="264">
        <f>IF(G$16=0,0,G$16/AGR_fec!G$16)</f>
        <v>0.33676807579074702</v>
      </c>
      <c r="H49" s="264">
        <f>IF(H$16=0,0,H$16/AGR_fec!H$16)</f>
        <v>0.33676807579074708</v>
      </c>
      <c r="I49" s="264">
        <f>IF(I$16=0,0,I$16/AGR_fec!I$16)</f>
        <v>0.33676807579074708</v>
      </c>
      <c r="J49" s="264">
        <f>IF(J$16=0,0,J$16/AGR_fec!J$16)</f>
        <v>0.33676807579074702</v>
      </c>
      <c r="K49" s="264">
        <f>IF(K$16=0,0,K$16/AGR_fec!K$16)</f>
        <v>0.33676807579074708</v>
      </c>
      <c r="L49" s="264">
        <f>IF(L$16=0,0,L$16/AGR_fec!L$16)</f>
        <v>0.33676807579074708</v>
      </c>
      <c r="M49" s="264">
        <f>IF(M$16=0,0,M$16/AGR_fec!M$16)</f>
        <v>0.33676807579074719</v>
      </c>
      <c r="N49" s="264">
        <f>IF(N$16=0,0,N$16/AGR_fec!N$16)</f>
        <v>0.33676807579074702</v>
      </c>
      <c r="O49" s="264">
        <f>IF(O$16=0,0,O$16/AGR_fec!O$16)</f>
        <v>0.33676807579074708</v>
      </c>
      <c r="P49" s="264">
        <f>IF(P$16=0,0,P$16/AGR_fec!P$16)</f>
        <v>0.33676807579074713</v>
      </c>
      <c r="Q49" s="264">
        <f>IF(Q$16=0,0,Q$16/AGR_fec!Q$16)</f>
        <v>0.33676807579074697</v>
      </c>
      <c r="R49" s="264">
        <f>IF(R$16=0,0,R$16/AGR_fec!R$16)</f>
        <v>0.33676807579074697</v>
      </c>
      <c r="S49" s="264">
        <f>IF(S$16=0,0,S$16/AGR_fec!S$16)</f>
        <v>0.33676807579074708</v>
      </c>
      <c r="T49" s="264">
        <f>IF(T$16=0,0,T$16/AGR_fec!T$16)</f>
        <v>0.33676807579074702</v>
      </c>
      <c r="U49" s="264">
        <f>IF(U$16=0,0,U$16/AGR_fec!U$16)</f>
        <v>0.33676807579074713</v>
      </c>
      <c r="V49" s="264">
        <f>IF(V$16=0,0,V$16/AGR_fec!V$16)</f>
        <v>0.33676807579074697</v>
      </c>
      <c r="W49" s="264">
        <f>IF(W$16=0,0,W$16/AGR_fec!W$16)</f>
        <v>0.33676807579074708</v>
      </c>
      <c r="X49" s="264">
        <f>IF(X$16=0,0,X$16/AGR_fec!X$16)</f>
        <v>0.33676807579074713</v>
      </c>
      <c r="Y49" s="264">
        <f>IF(Y$16=0,0,Y$16/AGR_fec!Y$16)</f>
        <v>0.33676807579074713</v>
      </c>
      <c r="DA49" s="290"/>
    </row>
    <row r="50" spans="1:105" x14ac:dyDescent="0.25">
      <c r="A50" s="127" t="s">
        <v>121</v>
      </c>
      <c r="B50" s="264">
        <f>IF(B$17=0,0,B$17/AGR_fec!B$17)</f>
        <v>0.27387453329170336</v>
      </c>
      <c r="C50" s="264">
        <f>IF(C$17=0,0,C$17/AGR_fec!C$17)</f>
        <v>0.27336539894504963</v>
      </c>
      <c r="D50" s="264">
        <f>IF(D$17=0,0,D$17/AGR_fec!D$17)</f>
        <v>0.27352987936594331</v>
      </c>
      <c r="E50" s="264">
        <f>IF(E$17=0,0,E$17/AGR_fec!E$17)</f>
        <v>0.278445659348594</v>
      </c>
      <c r="F50" s="264">
        <f>IF(F$17=0,0,F$17/AGR_fec!F$17)</f>
        <v>0.27962771942857328</v>
      </c>
      <c r="G50" s="264">
        <f>IF(G$17=0,0,G$17/AGR_fec!G$17)</f>
        <v>0.27798301004166054</v>
      </c>
      <c r="H50" s="264">
        <f>IF(H$17=0,0,H$17/AGR_fec!H$17)</f>
        <v>0.2773735353167569</v>
      </c>
      <c r="I50" s="264">
        <f>IF(I$17=0,0,I$17/AGR_fec!I$17)</f>
        <v>0.27712368988096053</v>
      </c>
      <c r="J50" s="264">
        <f>IF(J$17=0,0,J$17/AGR_fec!J$17)</f>
        <v>0.27724860229288467</v>
      </c>
      <c r="K50" s="264">
        <f>IF(K$17=0,0,K$17/AGR_fec!K$17)</f>
        <v>0.2726383235216755</v>
      </c>
      <c r="L50" s="264">
        <f>IF(L$17=0,0,L$17/AGR_fec!L$17)</f>
        <v>0.27338197066313374</v>
      </c>
      <c r="M50" s="264">
        <f>IF(M$17=0,0,M$17/AGR_fec!M$17)</f>
        <v>0.27856596572087178</v>
      </c>
      <c r="N50" s="264">
        <f>IF(N$17=0,0,N$17/AGR_fec!N$17)</f>
        <v>0.27952325179350784</v>
      </c>
      <c r="O50" s="264">
        <f>IF(O$17=0,0,O$17/AGR_fec!O$17)</f>
        <v>0.27662096459387037</v>
      </c>
      <c r="P50" s="264">
        <f>IF(P$17=0,0,P$17/AGR_fec!P$17)</f>
        <v>0.27728267220255537</v>
      </c>
      <c r="Q50" s="264">
        <f>IF(Q$17=0,0,Q$17/AGR_fec!Q$17)</f>
        <v>0.27357166116165571</v>
      </c>
      <c r="R50" s="264">
        <f>IF(R$17=0,0,R$17/AGR_fec!R$17)</f>
        <v>0.27261833902343452</v>
      </c>
      <c r="S50" s="264">
        <f>IF(S$17=0,0,S$17/AGR_fec!S$17)</f>
        <v>0.27305621460256202</v>
      </c>
      <c r="T50" s="264">
        <f>IF(T$17=0,0,T$17/AGR_fec!T$17)</f>
        <v>0.27256283997215219</v>
      </c>
      <c r="U50" s="264">
        <f>IF(U$17=0,0,U$17/AGR_fec!U$17)</f>
        <v>0.27320514934371271</v>
      </c>
      <c r="V50" s="264">
        <f>IF(V$17=0,0,V$17/AGR_fec!V$17)</f>
        <v>0.27288806235562502</v>
      </c>
      <c r="W50" s="264">
        <f>IF(W$17=0,0,W$17/AGR_fec!W$17)</f>
        <v>0.27269243521990932</v>
      </c>
      <c r="X50" s="264">
        <f>IF(X$17=0,0,X$17/AGR_fec!X$17)</f>
        <v>0.27211102682753008</v>
      </c>
      <c r="Y50" s="264">
        <f>IF(Y$17=0,0,Y$17/AGR_fec!Y$17)</f>
        <v>0.27064560915982339</v>
      </c>
      <c r="DA50" s="290"/>
    </row>
    <row r="51" spans="1:105" x14ac:dyDescent="0.25">
      <c r="A51" s="127" t="s">
        <v>167</v>
      </c>
      <c r="B51" s="264">
        <f>IF(B$25=0,0,B$25/AGR_fec!B$25)</f>
        <v>0.23573765305352301</v>
      </c>
      <c r="C51" s="264">
        <f>IF(C$25=0,0,C$25/AGR_fec!C$25)</f>
        <v>0.23573765305352282</v>
      </c>
      <c r="D51" s="264">
        <f>IF(D$25=0,0,D$25/AGR_fec!D$25)</f>
        <v>0.23573765305352284</v>
      </c>
      <c r="E51" s="264">
        <f>IF(E$25=0,0,E$25/AGR_fec!E$25)</f>
        <v>0.23573765305352304</v>
      </c>
      <c r="F51" s="264">
        <f>IF(F$25=0,0,F$25/AGR_fec!F$25)</f>
        <v>0.23573765305352298</v>
      </c>
      <c r="G51" s="264">
        <f>IF(G$25=0,0,G$25/AGR_fec!G$25)</f>
        <v>0.23573765305352287</v>
      </c>
      <c r="H51" s="264">
        <f>IF(H$25=0,0,H$25/AGR_fec!H$25)</f>
        <v>0.23573765305352287</v>
      </c>
      <c r="I51" s="264">
        <f>IF(I$25=0,0,I$25/AGR_fec!I$25)</f>
        <v>0.23573765305352298</v>
      </c>
      <c r="J51" s="264">
        <f>IF(J$25=0,0,J$25/AGR_fec!J$25)</f>
        <v>0.23573765305352284</v>
      </c>
      <c r="K51" s="264">
        <f>IF(K$25=0,0,K$25/AGR_fec!K$25)</f>
        <v>0.23573765305352293</v>
      </c>
      <c r="L51" s="264">
        <f>IF(L$25=0,0,L$25/AGR_fec!L$25)</f>
        <v>0.23573765305352307</v>
      </c>
      <c r="M51" s="264">
        <f>IF(M$25=0,0,M$25/AGR_fec!M$25)</f>
        <v>0.23573765305352296</v>
      </c>
      <c r="N51" s="264">
        <f>IF(N$25=0,0,N$25/AGR_fec!N$25)</f>
        <v>0.23573765305352304</v>
      </c>
      <c r="O51" s="264">
        <f>IF(O$25=0,0,O$25/AGR_fec!O$25)</f>
        <v>0.23573765305352293</v>
      </c>
      <c r="P51" s="264">
        <f>IF(P$25=0,0,P$25/AGR_fec!P$25)</f>
        <v>0.23573765305352287</v>
      </c>
      <c r="Q51" s="264">
        <f>IF(Q$25=0,0,Q$25/AGR_fec!Q$25)</f>
        <v>0.23573765305352298</v>
      </c>
      <c r="R51" s="264">
        <f>IF(R$25=0,0,R$25/AGR_fec!R$25)</f>
        <v>0.23573765305352296</v>
      </c>
      <c r="S51" s="264">
        <f>IF(S$25=0,0,S$25/AGR_fec!S$25)</f>
        <v>0.2357376530535229</v>
      </c>
      <c r="T51" s="264">
        <f>IF(T$25=0,0,T$25/AGR_fec!T$25)</f>
        <v>0.23573765305352304</v>
      </c>
      <c r="U51" s="264">
        <f>IF(U$25=0,0,U$25/AGR_fec!U$25)</f>
        <v>0.2357376530535229</v>
      </c>
      <c r="V51" s="264">
        <f>IF(V$25=0,0,V$25/AGR_fec!V$25)</f>
        <v>0.23573765305352293</v>
      </c>
      <c r="W51" s="264">
        <f>IF(W$25=0,0,W$25/AGR_fec!W$25)</f>
        <v>0.2357376530535229</v>
      </c>
      <c r="X51" s="264">
        <f>IF(X$25=0,0,X$25/AGR_fec!X$25)</f>
        <v>0.23573765305352296</v>
      </c>
      <c r="Y51" s="264">
        <f>IF(Y$25=0,0,Y$25/AGR_fec!Y$25)</f>
        <v>0.23573765305352293</v>
      </c>
      <c r="DA51" s="290"/>
    </row>
    <row r="52" spans="1:105" x14ac:dyDescent="0.25">
      <c r="A52" s="127" t="s">
        <v>170</v>
      </c>
      <c r="B52" s="264">
        <f>IF(B$26=0,0,B$26/AGR_fec!B$26)</f>
        <v>0.46668263463256737</v>
      </c>
      <c r="C52" s="264">
        <f>IF(C$26=0,0,C$26/AGR_fec!C$26)</f>
        <v>0.46668263463256721</v>
      </c>
      <c r="D52" s="264">
        <f>IF(D$26=0,0,D$26/AGR_fec!D$26)</f>
        <v>0.46668263463256726</v>
      </c>
      <c r="E52" s="264">
        <f>IF(E$26=0,0,E$26/AGR_fec!E$26)</f>
        <v>0.46668263463256726</v>
      </c>
      <c r="F52" s="264">
        <f>IF(F$26=0,0,F$26/AGR_fec!F$26)</f>
        <v>0.46668263463256726</v>
      </c>
      <c r="G52" s="264">
        <f>IF(G$26=0,0,G$26/AGR_fec!G$26)</f>
        <v>0.46668263463256737</v>
      </c>
      <c r="H52" s="264">
        <f>IF(H$26=0,0,H$26/AGR_fec!H$26)</f>
        <v>0.46668263463256726</v>
      </c>
      <c r="I52" s="264">
        <f>IF(I$26=0,0,I$26/AGR_fec!I$26)</f>
        <v>0.46668263463256732</v>
      </c>
      <c r="J52" s="264">
        <f>IF(J$26=0,0,J$26/AGR_fec!J$26)</f>
        <v>0.46668263463256726</v>
      </c>
      <c r="K52" s="264">
        <f>IF(K$26=0,0,K$26/AGR_fec!K$26)</f>
        <v>0.46668263463256726</v>
      </c>
      <c r="L52" s="264">
        <f>IF(L$26=0,0,L$26/AGR_fec!L$26)</f>
        <v>0.46668263463256737</v>
      </c>
      <c r="M52" s="264">
        <f>IF(M$26=0,0,M$26/AGR_fec!M$26)</f>
        <v>0.46668263463256732</v>
      </c>
      <c r="N52" s="264">
        <f>IF(N$26=0,0,N$26/AGR_fec!N$26)</f>
        <v>0.46668263463256721</v>
      </c>
      <c r="O52" s="264">
        <f>IF(O$26=0,0,O$26/AGR_fec!O$26)</f>
        <v>0.46668263463256732</v>
      </c>
      <c r="P52" s="264">
        <f>IF(P$26=0,0,P$26/AGR_fec!P$26)</f>
        <v>0.46668263463256726</v>
      </c>
      <c r="Q52" s="264">
        <f>IF(Q$26=0,0,Q$26/AGR_fec!Q$26)</f>
        <v>0.46668263463256726</v>
      </c>
      <c r="R52" s="264">
        <f>IF(R$26=0,0,R$26/AGR_fec!R$26)</f>
        <v>0.46668263463256732</v>
      </c>
      <c r="S52" s="264">
        <f>IF(S$26=0,0,S$26/AGR_fec!S$26)</f>
        <v>0.46668263463256726</v>
      </c>
      <c r="T52" s="264">
        <f>IF(T$26=0,0,T$26/AGR_fec!T$26)</f>
        <v>0.46668263463256732</v>
      </c>
      <c r="U52" s="264">
        <f>IF(U$26=0,0,U$26/AGR_fec!U$26)</f>
        <v>0.46668263463256737</v>
      </c>
      <c r="V52" s="264">
        <f>IF(V$26=0,0,V$26/AGR_fec!V$26)</f>
        <v>0.46668263463256721</v>
      </c>
      <c r="W52" s="264">
        <f>IF(W$26=0,0,W$26/AGR_fec!W$26)</f>
        <v>0.46668263463256715</v>
      </c>
      <c r="X52" s="264">
        <f>IF(X$26=0,0,X$26/AGR_fec!X$26)</f>
        <v>0.46668263463256726</v>
      </c>
      <c r="Y52" s="264">
        <f>IF(Y$26=0,0,Y$26/AGR_fec!Y$26)</f>
        <v>0.46668263463256737</v>
      </c>
      <c r="DA52" s="290"/>
    </row>
    <row r="53" spans="1:105" x14ac:dyDescent="0.25">
      <c r="A53" s="260" t="s">
        <v>33</v>
      </c>
      <c r="B53" s="265">
        <f>IF(B$27=0,0,B$27/AGR_fec!B$27)</f>
        <v>0.49052038083251664</v>
      </c>
      <c r="C53" s="265">
        <f>IF(C$27=0,0,C$27/AGR_fec!C$27)</f>
        <v>0.49052038083251659</v>
      </c>
      <c r="D53" s="265">
        <f>IF(D$27=0,0,D$27/AGR_fec!D$27)</f>
        <v>0.49052038083251681</v>
      </c>
      <c r="E53" s="265">
        <f>IF(E$27=0,0,E$27/AGR_fec!E$27)</f>
        <v>0.49052038083251698</v>
      </c>
      <c r="F53" s="265">
        <f>IF(F$27=0,0,F$27/AGR_fec!F$27)</f>
        <v>0.49052038083251659</v>
      </c>
      <c r="G53" s="265">
        <f>IF(G$27=0,0,G$27/AGR_fec!G$27)</f>
        <v>0.49052038083251659</v>
      </c>
      <c r="H53" s="265">
        <f>IF(H$27=0,0,H$27/AGR_fec!H$27)</f>
        <v>0.49052038083251681</v>
      </c>
      <c r="I53" s="265">
        <f>IF(I$27=0,0,I$27/AGR_fec!I$27)</f>
        <v>0.4905203808325167</v>
      </c>
      <c r="J53" s="265">
        <f>IF(J$27=0,0,J$27/AGR_fec!J$27)</f>
        <v>0.49052038083251676</v>
      </c>
      <c r="K53" s="265">
        <f>IF(K$27=0,0,K$27/AGR_fec!K$27)</f>
        <v>0.49052038083251681</v>
      </c>
      <c r="L53" s="265">
        <f>IF(L$27=0,0,L$27/AGR_fec!L$27)</f>
        <v>0.49052038083251676</v>
      </c>
      <c r="M53" s="265">
        <f>IF(M$27=0,0,M$27/AGR_fec!M$27)</f>
        <v>0.49052038083251681</v>
      </c>
      <c r="N53" s="265">
        <f>IF(N$27=0,0,N$27/AGR_fec!N$27)</f>
        <v>0.49052038083251681</v>
      </c>
      <c r="O53" s="265">
        <f>IF(O$27=0,0,O$27/AGR_fec!O$27)</f>
        <v>0.4905203808325167</v>
      </c>
      <c r="P53" s="265">
        <f>IF(P$27=0,0,P$27/AGR_fec!P$27)</f>
        <v>0.49052038083251692</v>
      </c>
      <c r="Q53" s="265">
        <f>IF(Q$27=0,0,Q$27/AGR_fec!Q$27)</f>
        <v>0.49052038083251698</v>
      </c>
      <c r="R53" s="265">
        <f>IF(R$27=0,0,R$27/AGR_fec!R$27)</f>
        <v>0.49052038083251653</v>
      </c>
      <c r="S53" s="265">
        <f>IF(S$27=0,0,S$27/AGR_fec!S$27)</f>
        <v>0.49052038083251681</v>
      </c>
      <c r="T53" s="265">
        <f>IF(T$27=0,0,T$27/AGR_fec!T$27)</f>
        <v>0.49052038083251698</v>
      </c>
      <c r="U53" s="265">
        <f>IF(U$27=0,0,U$27/AGR_fec!U$27)</f>
        <v>0.49052038083251687</v>
      </c>
      <c r="V53" s="265">
        <f>IF(V$27=0,0,V$27/AGR_fec!V$27)</f>
        <v>0.49052038083251664</v>
      </c>
      <c r="W53" s="265">
        <f>IF(W$27=0,0,W$27/AGR_fec!W$27)</f>
        <v>0.49052038083251681</v>
      </c>
      <c r="X53" s="265">
        <f>IF(X$27=0,0,X$27/AGR_fec!X$27)</f>
        <v>0.49052038083251676</v>
      </c>
      <c r="Y53" s="265">
        <f>IF(Y$27=0,0,Y$27/AGR_fec!Y$27)</f>
        <v>0.49052038083251698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232" t="s">
        <v>136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>SUM(B6:B9,B16:B17,B25:B27)</f>
        <v>6530.9283860374935</v>
      </c>
      <c r="C5" s="80">
        <f t="shared" ref="C5:W5" si="0">SUM(C6:C9,C16:C17,C25:C27)</f>
        <v>5982.5652148775298</v>
      </c>
      <c r="D5" s="80">
        <f t="shared" si="0"/>
        <v>5911.6899290377232</v>
      </c>
      <c r="E5" s="80">
        <f t="shared" si="0"/>
        <v>7400.3925578375956</v>
      </c>
      <c r="F5" s="80">
        <f t="shared" si="0"/>
        <v>8494.7685321585632</v>
      </c>
      <c r="G5" s="80">
        <f t="shared" si="0"/>
        <v>7883.4519086371001</v>
      </c>
      <c r="H5" s="80">
        <f t="shared" si="0"/>
        <v>6841.6323847184849</v>
      </c>
      <c r="I5" s="80">
        <f t="shared" si="0"/>
        <v>7260.6339543575978</v>
      </c>
      <c r="J5" s="80">
        <f t="shared" si="0"/>
        <v>6478.437432598429</v>
      </c>
      <c r="K5" s="80">
        <f t="shared" si="0"/>
        <v>5590.8814068014335</v>
      </c>
      <c r="L5" s="80">
        <f t="shared" si="0"/>
        <v>5523.2556652783096</v>
      </c>
      <c r="M5" s="80">
        <f t="shared" si="0"/>
        <v>5794.0782461977897</v>
      </c>
      <c r="N5" s="80">
        <f t="shared" si="0"/>
        <v>6645.549144598257</v>
      </c>
      <c r="O5" s="80">
        <f t="shared" si="0"/>
        <v>7288.9923740386548</v>
      </c>
      <c r="P5" s="80">
        <f t="shared" si="0"/>
        <v>6821.0801279987745</v>
      </c>
      <c r="Q5" s="80">
        <f t="shared" si="0"/>
        <v>6448.5442195172309</v>
      </c>
      <c r="R5" s="80">
        <f t="shared" si="0"/>
        <v>6537.6007722013192</v>
      </c>
      <c r="S5" s="80">
        <f t="shared" si="0"/>
        <v>6605.1691135876517</v>
      </c>
      <c r="T5" s="80">
        <f t="shared" si="0"/>
        <v>6892.313368756586</v>
      </c>
      <c r="U5" s="80">
        <f t="shared" si="0"/>
        <v>7199.2284696012939</v>
      </c>
      <c r="V5" s="80">
        <f t="shared" si="0"/>
        <v>7575.645059724543</v>
      </c>
      <c r="W5" s="80">
        <f t="shared" si="0"/>
        <v>7687.7129744183094</v>
      </c>
      <c r="X5" s="80">
        <f t="shared" ref="X5:Y5" si="1">SUM(X6:X9,X16:X17,X25:X27)</f>
        <v>7301.9937726793878</v>
      </c>
      <c r="Y5" s="80">
        <f t="shared" si="1"/>
        <v>6714.1905489156115</v>
      </c>
      <c r="DA5" s="103"/>
    </row>
    <row r="6" spans="1:105" x14ac:dyDescent="0.25">
      <c r="A6" s="238" t="s">
        <v>125</v>
      </c>
      <c r="B6" s="239">
        <v>0</v>
      </c>
      <c r="C6" s="239">
        <v>0</v>
      </c>
      <c r="D6" s="239">
        <v>0</v>
      </c>
      <c r="E6" s="239">
        <v>0</v>
      </c>
      <c r="F6" s="239">
        <v>0</v>
      </c>
      <c r="G6" s="239">
        <v>0</v>
      </c>
      <c r="H6" s="239">
        <v>0</v>
      </c>
      <c r="I6" s="239">
        <v>0</v>
      </c>
      <c r="J6" s="239">
        <v>0</v>
      </c>
      <c r="K6" s="239">
        <v>0</v>
      </c>
      <c r="L6" s="239">
        <v>0</v>
      </c>
      <c r="M6" s="239">
        <v>0</v>
      </c>
      <c r="N6" s="239">
        <v>0</v>
      </c>
      <c r="O6" s="239">
        <v>0</v>
      </c>
      <c r="P6" s="239">
        <v>0</v>
      </c>
      <c r="Q6" s="239">
        <v>0</v>
      </c>
      <c r="R6" s="239">
        <v>0</v>
      </c>
      <c r="S6" s="239">
        <v>0</v>
      </c>
      <c r="T6" s="239">
        <v>0</v>
      </c>
      <c r="U6" s="239">
        <v>0</v>
      </c>
      <c r="V6" s="239">
        <v>0</v>
      </c>
      <c r="W6" s="239">
        <v>0</v>
      </c>
      <c r="X6" s="239">
        <v>0</v>
      </c>
      <c r="Y6" s="239">
        <v>0</v>
      </c>
      <c r="DA6" s="267" t="s">
        <v>1037</v>
      </c>
    </row>
    <row r="7" spans="1:105" x14ac:dyDescent="0.25">
      <c r="A7" s="240" t="s">
        <v>124</v>
      </c>
      <c r="B7" s="241">
        <v>0</v>
      </c>
      <c r="C7" s="241">
        <v>0</v>
      </c>
      <c r="D7" s="241">
        <v>0</v>
      </c>
      <c r="E7" s="241">
        <v>0</v>
      </c>
      <c r="F7" s="241">
        <v>0</v>
      </c>
      <c r="G7" s="241">
        <v>0</v>
      </c>
      <c r="H7" s="241">
        <v>0</v>
      </c>
      <c r="I7" s="241">
        <v>0</v>
      </c>
      <c r="J7" s="241">
        <v>0</v>
      </c>
      <c r="K7" s="241">
        <v>0</v>
      </c>
      <c r="L7" s="241">
        <v>0</v>
      </c>
      <c r="M7" s="241">
        <v>0</v>
      </c>
      <c r="N7" s="241">
        <v>0</v>
      </c>
      <c r="O7" s="241">
        <v>0</v>
      </c>
      <c r="P7" s="241">
        <v>0</v>
      </c>
      <c r="Q7" s="241">
        <v>0</v>
      </c>
      <c r="R7" s="241">
        <v>0</v>
      </c>
      <c r="S7" s="241">
        <v>0</v>
      </c>
      <c r="T7" s="241">
        <v>0</v>
      </c>
      <c r="U7" s="241">
        <v>0</v>
      </c>
      <c r="V7" s="241">
        <v>0</v>
      </c>
      <c r="W7" s="241">
        <v>0</v>
      </c>
      <c r="X7" s="241">
        <v>0</v>
      </c>
      <c r="Y7" s="241">
        <v>0</v>
      </c>
      <c r="DA7" s="268" t="s">
        <v>1038</v>
      </c>
    </row>
    <row r="8" spans="1:105" x14ac:dyDescent="0.25">
      <c r="A8" s="240" t="s">
        <v>123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268" t="s">
        <v>1039</v>
      </c>
    </row>
    <row r="9" spans="1:105" x14ac:dyDescent="0.25">
      <c r="A9" s="242" t="s">
        <v>122</v>
      </c>
      <c r="B9" s="243">
        <f>SUM(B10:B15)</f>
        <v>1275.5721149019216</v>
      </c>
      <c r="C9" s="243">
        <f t="shared" ref="C9:W9" si="2">SUM(C10:C15)</f>
        <v>1138.9900441865896</v>
      </c>
      <c r="D9" s="243">
        <f t="shared" si="2"/>
        <v>1131.9194787546485</v>
      </c>
      <c r="E9" s="243">
        <f t="shared" si="2"/>
        <v>1501.9137726546578</v>
      </c>
      <c r="F9" s="243">
        <f t="shared" si="2"/>
        <v>1766.431201580222</v>
      </c>
      <c r="G9" s="243">
        <f t="shared" si="2"/>
        <v>1616.0585377033619</v>
      </c>
      <c r="H9" s="243">
        <f t="shared" si="2"/>
        <v>1330.5328201040168</v>
      </c>
      <c r="I9" s="243">
        <f t="shared" si="2"/>
        <v>1435.7467726966988</v>
      </c>
      <c r="J9" s="243">
        <f t="shared" si="2"/>
        <v>1258.4822962063599</v>
      </c>
      <c r="K9" s="243">
        <f t="shared" si="2"/>
        <v>1062.3118120402573</v>
      </c>
      <c r="L9" s="243">
        <f t="shared" si="2"/>
        <v>1124.9323143377708</v>
      </c>
      <c r="M9" s="243">
        <f t="shared" si="2"/>
        <v>1211.0147197847461</v>
      </c>
      <c r="N9" s="243">
        <f t="shared" si="2"/>
        <v>1417.7431402679156</v>
      </c>
      <c r="O9" s="243">
        <f t="shared" si="2"/>
        <v>1508.2532823902282</v>
      </c>
      <c r="P9" s="243">
        <f t="shared" si="2"/>
        <v>1375.364220014488</v>
      </c>
      <c r="Q9" s="243">
        <f t="shared" si="2"/>
        <v>1248.0609997334836</v>
      </c>
      <c r="R9" s="243">
        <f t="shared" si="2"/>
        <v>1260.2478940802848</v>
      </c>
      <c r="S9" s="243">
        <f t="shared" si="2"/>
        <v>1286.5722250367351</v>
      </c>
      <c r="T9" s="243">
        <f t="shared" si="2"/>
        <v>1402.4895533393715</v>
      </c>
      <c r="U9" s="243">
        <f t="shared" si="2"/>
        <v>1450.2258598082349</v>
      </c>
      <c r="V9" s="243">
        <f t="shared" si="2"/>
        <v>1556.2338700610517</v>
      </c>
      <c r="W9" s="243">
        <f t="shared" si="2"/>
        <v>1556.0673743673726</v>
      </c>
      <c r="X9" s="243">
        <f t="shared" ref="X9:Y9" si="3">SUM(X10:X15)</f>
        <v>1479.8823614932562</v>
      </c>
      <c r="Y9" s="243">
        <f t="shared" si="3"/>
        <v>1321.6343828696972</v>
      </c>
      <c r="DA9" s="269"/>
    </row>
    <row r="10" spans="1:105" x14ac:dyDescent="0.25">
      <c r="A10" s="253" t="s">
        <v>166</v>
      </c>
      <c r="B10" s="254">
        <v>1201.015448858527</v>
      </c>
      <c r="C10" s="254">
        <v>1108.371874171479</v>
      </c>
      <c r="D10" s="254">
        <v>1091.510651560423</v>
      </c>
      <c r="E10" s="254">
        <v>1151.008319243766</v>
      </c>
      <c r="F10" s="254">
        <v>1308.7980802503409</v>
      </c>
      <c r="G10" s="254">
        <v>1311.015013859793</v>
      </c>
      <c r="H10" s="254">
        <v>1058.9033621085771</v>
      </c>
      <c r="I10" s="254">
        <v>1163.073581767105</v>
      </c>
      <c r="J10" s="254">
        <v>1009.389486274341</v>
      </c>
      <c r="K10" s="254">
        <v>991.58313723748984</v>
      </c>
      <c r="L10" s="254">
        <v>1012.878835344243</v>
      </c>
      <c r="M10" s="254">
        <v>826.89253260689452</v>
      </c>
      <c r="N10" s="254">
        <v>886.53760470633222</v>
      </c>
      <c r="O10" s="254">
        <v>936.0091991396813</v>
      </c>
      <c r="P10" s="254">
        <v>837.26008477963853</v>
      </c>
      <c r="Q10" s="254">
        <v>1038.9916891219109</v>
      </c>
      <c r="R10" s="254">
        <v>1138.873222421136</v>
      </c>
      <c r="S10" s="254">
        <v>1152.3470114601721</v>
      </c>
      <c r="T10" s="254">
        <v>1272.5871973536871</v>
      </c>
      <c r="U10" s="254">
        <v>1288.7574580817129</v>
      </c>
      <c r="V10" s="254">
        <v>1422.496291526179</v>
      </c>
      <c r="W10" s="254">
        <v>1436.9923218318299</v>
      </c>
      <c r="X10" s="254">
        <v>1399.2842721020279</v>
      </c>
      <c r="Y10" s="254">
        <v>1235.491203841118</v>
      </c>
      <c r="DA10" s="270" t="s">
        <v>1040</v>
      </c>
    </row>
    <row r="11" spans="1:105" x14ac:dyDescent="0.25">
      <c r="A11" s="253" t="s">
        <v>169</v>
      </c>
      <c r="B11" s="255">
        <v>74.55666604339477</v>
      </c>
      <c r="C11" s="255">
        <v>30.618170015110579</v>
      </c>
      <c r="D11" s="255">
        <v>40.408827194225609</v>
      </c>
      <c r="E11" s="255">
        <v>350.90545341089171</v>
      </c>
      <c r="F11" s="255">
        <v>457.63312132988119</v>
      </c>
      <c r="G11" s="255">
        <v>305.04352384356889</v>
      </c>
      <c r="H11" s="255">
        <v>271.62945799543962</v>
      </c>
      <c r="I11" s="255">
        <v>272.67319092959377</v>
      </c>
      <c r="J11" s="255">
        <v>249.09280993201881</v>
      </c>
      <c r="K11" s="255">
        <v>70.728674802767614</v>
      </c>
      <c r="L11" s="255">
        <v>112.0534789935278</v>
      </c>
      <c r="M11" s="255">
        <v>384.12218717785157</v>
      </c>
      <c r="N11" s="255">
        <v>531.20553556158336</v>
      </c>
      <c r="O11" s="255">
        <v>572.24408325054685</v>
      </c>
      <c r="P11" s="255">
        <v>538.10413523484942</v>
      </c>
      <c r="Q11" s="255">
        <v>209.0693106115728</v>
      </c>
      <c r="R11" s="255">
        <v>121.3746716591488</v>
      </c>
      <c r="S11" s="255">
        <v>134.22521357656291</v>
      </c>
      <c r="T11" s="255">
        <v>129.90235598568441</v>
      </c>
      <c r="U11" s="255">
        <v>161.46840172652199</v>
      </c>
      <c r="V11" s="255">
        <v>133.7375785348728</v>
      </c>
      <c r="W11" s="255">
        <v>119.0750525355427</v>
      </c>
      <c r="X11" s="255">
        <v>80.598089391228285</v>
      </c>
      <c r="Y11" s="255">
        <v>86.143179028579127</v>
      </c>
      <c r="DA11" s="271" t="s">
        <v>1041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1042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1043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1044</v>
      </c>
    </row>
    <row r="15" spans="1:105" x14ac:dyDescent="0.25">
      <c r="A15" s="253" t="s">
        <v>24</v>
      </c>
      <c r="B15" s="255">
        <v>0</v>
      </c>
      <c r="C15" s="255">
        <v>0</v>
      </c>
      <c r="D15" s="255">
        <v>0</v>
      </c>
      <c r="E15" s="255">
        <v>0</v>
      </c>
      <c r="F15" s="255">
        <v>0</v>
      </c>
      <c r="G15" s="255">
        <v>0</v>
      </c>
      <c r="H15" s="255">
        <v>0</v>
      </c>
      <c r="I15" s="255">
        <v>0</v>
      </c>
      <c r="J15" s="255">
        <v>0</v>
      </c>
      <c r="K15" s="255">
        <v>0</v>
      </c>
      <c r="L15" s="255">
        <v>0</v>
      </c>
      <c r="M15" s="255">
        <v>0</v>
      </c>
      <c r="N15" s="255">
        <v>0</v>
      </c>
      <c r="O15" s="255">
        <v>0</v>
      </c>
      <c r="P15" s="255">
        <v>0</v>
      </c>
      <c r="Q15" s="255">
        <v>0</v>
      </c>
      <c r="R15" s="255">
        <v>0</v>
      </c>
      <c r="S15" s="255">
        <v>0</v>
      </c>
      <c r="T15" s="255">
        <v>0</v>
      </c>
      <c r="U15" s="255">
        <v>0</v>
      </c>
      <c r="V15" s="255">
        <v>0</v>
      </c>
      <c r="W15" s="255">
        <v>0</v>
      </c>
      <c r="X15" s="255">
        <v>0</v>
      </c>
      <c r="Y15" s="255">
        <v>0</v>
      </c>
      <c r="DA15" s="271" t="s">
        <v>1045</v>
      </c>
    </row>
    <row r="16" spans="1:105" x14ac:dyDescent="0.25">
      <c r="A16" s="256" t="s">
        <v>168</v>
      </c>
      <c r="B16" s="257">
        <v>2045.678486556697</v>
      </c>
      <c r="C16" s="257">
        <v>1893.20270493258</v>
      </c>
      <c r="D16" s="257">
        <v>1866.3426225401231</v>
      </c>
      <c r="E16" s="257">
        <v>2306.1379304366178</v>
      </c>
      <c r="F16" s="257">
        <v>2644.9037664234729</v>
      </c>
      <c r="G16" s="257">
        <v>2476.4964983555642</v>
      </c>
      <c r="H16" s="257">
        <v>2162.5891205761068</v>
      </c>
      <c r="I16" s="257">
        <v>2291.2758247608781</v>
      </c>
      <c r="J16" s="257">
        <v>2069.801007235571</v>
      </c>
      <c r="K16" s="257">
        <v>1824.7820564770809</v>
      </c>
      <c r="L16" s="257">
        <v>1778.923164579458</v>
      </c>
      <c r="M16" s="257">
        <v>1843.506881149598</v>
      </c>
      <c r="N16" s="257">
        <v>2081.3210843732109</v>
      </c>
      <c r="O16" s="257">
        <v>2234.890482230795</v>
      </c>
      <c r="P16" s="257">
        <v>2112.3070986546222</v>
      </c>
      <c r="Q16" s="257">
        <v>2073.770584494257</v>
      </c>
      <c r="R16" s="257">
        <v>2114.0655946297752</v>
      </c>
      <c r="S16" s="257">
        <v>2135.5813838447011</v>
      </c>
      <c r="T16" s="257">
        <v>2200.2316548420399</v>
      </c>
      <c r="U16" s="257">
        <v>2300.5942847452452</v>
      </c>
      <c r="V16" s="257">
        <v>2415.570581933734</v>
      </c>
      <c r="W16" s="257">
        <v>2461.0017620102681</v>
      </c>
      <c r="X16" s="257">
        <v>2337.7964119860849</v>
      </c>
      <c r="Y16" s="257">
        <v>2130.1833659310778</v>
      </c>
      <c r="DA16" s="272" t="s">
        <v>1046</v>
      </c>
    </row>
    <row r="17" spans="1:105" x14ac:dyDescent="0.25">
      <c r="A17" s="256" t="s">
        <v>121</v>
      </c>
      <c r="B17" s="257">
        <f>SUM(B18:B24)</f>
        <v>2816.5836152646343</v>
      </c>
      <c r="C17" s="257">
        <f t="shared" ref="C17:W17" si="4">SUM(C18:C24)</f>
        <v>2586.5777885744592</v>
      </c>
      <c r="D17" s="257">
        <f t="shared" si="4"/>
        <v>2554.7945392353063</v>
      </c>
      <c r="E17" s="257">
        <f t="shared" si="4"/>
        <v>3149.19723269312</v>
      </c>
      <c r="F17" s="257">
        <f t="shared" si="4"/>
        <v>3575.1932635354065</v>
      </c>
      <c r="G17" s="257">
        <f t="shared" si="4"/>
        <v>3315.0174319778562</v>
      </c>
      <c r="H17" s="257">
        <f t="shared" si="4"/>
        <v>2932.9509220961927</v>
      </c>
      <c r="I17" s="257">
        <f t="shared" si="4"/>
        <v>3093.3236123091183</v>
      </c>
      <c r="J17" s="257">
        <f t="shared" si="4"/>
        <v>2752.4246164633532</v>
      </c>
      <c r="K17" s="257">
        <f t="shared" si="4"/>
        <v>2353.1404588998007</v>
      </c>
      <c r="L17" s="257">
        <f t="shared" si="4"/>
        <v>2277.5652752303176</v>
      </c>
      <c r="M17" s="257">
        <f t="shared" si="4"/>
        <v>2385.3114347707833</v>
      </c>
      <c r="N17" s="257">
        <f t="shared" si="4"/>
        <v>2746.5417284368314</v>
      </c>
      <c r="O17" s="257">
        <f t="shared" si="4"/>
        <v>3116.3957782938351</v>
      </c>
      <c r="P17" s="257">
        <f t="shared" si="4"/>
        <v>2927.5113969362628</v>
      </c>
      <c r="Q17" s="257">
        <f t="shared" si="4"/>
        <v>2728.2203352447232</v>
      </c>
      <c r="R17" s="257">
        <f t="shared" si="4"/>
        <v>2757.0519614414097</v>
      </c>
      <c r="S17" s="257">
        <f t="shared" si="4"/>
        <v>2772.6457444520429</v>
      </c>
      <c r="T17" s="257">
        <f t="shared" si="4"/>
        <v>2866.799311971271</v>
      </c>
      <c r="U17" s="257">
        <f t="shared" si="4"/>
        <v>3006.32996071343</v>
      </c>
      <c r="V17" s="257">
        <f t="shared" si="4"/>
        <v>3139.66858970974</v>
      </c>
      <c r="W17" s="257">
        <f t="shared" si="4"/>
        <v>3197.7418401579744</v>
      </c>
      <c r="X17" s="257">
        <f t="shared" ref="X17:Y17" si="5">SUM(X18:X24)</f>
        <v>3035.0879360840304</v>
      </c>
      <c r="Y17" s="257">
        <f t="shared" si="5"/>
        <v>2853.0403139883656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1" t="s">
        <v>1047</v>
      </c>
    </row>
    <row r="19" spans="1:105" x14ac:dyDescent="0.25">
      <c r="A19" s="61" t="s">
        <v>27</v>
      </c>
      <c r="B19" s="55">
        <v>211.90870475989831</v>
      </c>
      <c r="C19" s="55">
        <v>196.98565571989531</v>
      </c>
      <c r="D19" s="55">
        <v>196.98565571990281</v>
      </c>
      <c r="E19" s="55">
        <v>194.00100047992589</v>
      </c>
      <c r="F19" s="55">
        <v>196.98565571996201</v>
      </c>
      <c r="G19" s="55">
        <v>170.12398571992671</v>
      </c>
      <c r="H19" s="55">
        <v>155.20070951995751</v>
      </c>
      <c r="I19" s="55">
        <v>146.246970959941</v>
      </c>
      <c r="J19" s="55">
        <v>134.30834999995949</v>
      </c>
      <c r="K19" s="55">
        <v>119.3853009600403</v>
      </c>
      <c r="L19" s="55">
        <v>113.4159904799573</v>
      </c>
      <c r="M19" s="55">
        <v>104.46202475995359</v>
      </c>
      <c r="N19" s="55">
        <v>95.508059039971883</v>
      </c>
      <c r="O19" s="55">
        <v>89.538975719981067</v>
      </c>
      <c r="P19" s="55">
        <v>110.43133523997641</v>
      </c>
      <c r="Q19" s="55">
        <v>125.3543842799308</v>
      </c>
      <c r="R19" s="55">
        <v>140.27766048003679</v>
      </c>
      <c r="S19" s="55">
        <v>134.30834999993451</v>
      </c>
      <c r="T19" s="55">
        <v>134.30834999993209</v>
      </c>
      <c r="U19" s="55">
        <v>158.18536475994881</v>
      </c>
      <c r="V19" s="55">
        <v>146.2469709599541</v>
      </c>
      <c r="W19" s="55">
        <v>131.09085575995471</v>
      </c>
      <c r="X19" s="55">
        <v>149.56577855994101</v>
      </c>
      <c r="Y19" s="55">
        <v>169.8195913199599</v>
      </c>
      <c r="DA19" s="101" t="s">
        <v>1048</v>
      </c>
    </row>
    <row r="20" spans="1:105" x14ac:dyDescent="0.25">
      <c r="A20" s="61" t="s">
        <v>166</v>
      </c>
      <c r="B20" s="55">
        <v>2258.0532841882982</v>
      </c>
      <c r="C20" s="55">
        <v>2185.165284429781</v>
      </c>
      <c r="D20" s="55">
        <v>2125.713807749742</v>
      </c>
      <c r="E20" s="55">
        <v>2147.3076468244249</v>
      </c>
      <c r="F20" s="55">
        <v>2442.769923065538</v>
      </c>
      <c r="G20" s="55">
        <v>2510.6828768218052</v>
      </c>
      <c r="H20" s="55">
        <v>2088.7291842918621</v>
      </c>
      <c r="I20" s="55">
        <v>2270.8533488790508</v>
      </c>
      <c r="J20" s="55">
        <v>2032.192575235586</v>
      </c>
      <c r="K20" s="55">
        <v>2026.656608342463</v>
      </c>
      <c r="L20" s="55">
        <v>1900.717029663992</v>
      </c>
      <c r="M20" s="55">
        <v>1531.764494309057</v>
      </c>
      <c r="N20" s="55">
        <v>1590.0807711988191</v>
      </c>
      <c r="O20" s="55">
        <v>1551.894676424753</v>
      </c>
      <c r="P20" s="55">
        <v>1455.8483745314411</v>
      </c>
      <c r="Q20" s="55">
        <v>1965.9951263367041</v>
      </c>
      <c r="R20" s="55">
        <v>2206.8043683804181</v>
      </c>
      <c r="S20" s="55">
        <v>2237.7787444387059</v>
      </c>
      <c r="T20" s="55">
        <v>2320.859569557821</v>
      </c>
      <c r="U20" s="55">
        <v>2373.0330706769892</v>
      </c>
      <c r="V20" s="55">
        <v>2605.659360318286</v>
      </c>
      <c r="W20" s="55">
        <v>2699.7236359932322</v>
      </c>
      <c r="X20" s="55">
        <v>2593.6001236337261</v>
      </c>
      <c r="Y20" s="55">
        <v>2148.802618740267</v>
      </c>
      <c r="DA20" s="101" t="s">
        <v>1049</v>
      </c>
    </row>
    <row r="21" spans="1:105" x14ac:dyDescent="0.25">
      <c r="A21" s="61" t="s">
        <v>129</v>
      </c>
      <c r="B21" s="55">
        <v>206.44613999990091</v>
      </c>
      <c r="C21" s="55">
        <v>144.06284627992341</v>
      </c>
      <c r="D21" s="55">
        <v>153.39900275992429</v>
      </c>
      <c r="E21" s="55">
        <v>153.24347915994139</v>
      </c>
      <c r="F21" s="55">
        <v>81.301021919984322</v>
      </c>
      <c r="G21" s="55">
        <v>50.03148383997847</v>
      </c>
      <c r="H21" s="55">
        <v>153.22107095995821</v>
      </c>
      <c r="I21" s="55">
        <v>143.84009807994201</v>
      </c>
      <c r="J21" s="55">
        <v>84.427919999974577</v>
      </c>
      <c r="K21" s="55">
        <v>62.539076160021153</v>
      </c>
      <c r="L21" s="55">
        <v>53.158381919979981</v>
      </c>
      <c r="M21" s="55">
        <v>37.523612879983339</v>
      </c>
      <c r="N21" s="55">
        <v>108.19048499996821</v>
      </c>
      <c r="O21" s="55">
        <v>526.18667903988865</v>
      </c>
      <c r="P21" s="55">
        <v>425.56301639990932</v>
      </c>
      <c r="Q21" s="55">
        <v>241.26684623986691</v>
      </c>
      <c r="R21" s="55">
        <v>174.78119484004591</v>
      </c>
      <c r="S21" s="55">
        <v>139.90250483993179</v>
      </c>
      <c r="T21" s="55">
        <v>174.72414815991169</v>
      </c>
      <c r="U21" s="55">
        <v>177.79424903994251</v>
      </c>
      <c r="V21" s="55">
        <v>142.7882817599552</v>
      </c>
      <c r="W21" s="55">
        <v>143.21722211995049</v>
      </c>
      <c r="X21" s="55">
        <v>142.5319358399438</v>
      </c>
      <c r="Y21" s="55">
        <v>384.59535479990922</v>
      </c>
      <c r="DA21" s="101" t="s">
        <v>1050</v>
      </c>
    </row>
    <row r="22" spans="1:105" x14ac:dyDescent="0.25">
      <c r="A22" s="61" t="s">
        <v>169</v>
      </c>
      <c r="B22" s="55">
        <v>140.17548631653679</v>
      </c>
      <c r="C22" s="55">
        <v>60.364002144858958</v>
      </c>
      <c r="D22" s="55">
        <v>78.696073005736991</v>
      </c>
      <c r="E22" s="55">
        <v>654.64510622882767</v>
      </c>
      <c r="F22" s="55">
        <v>854.13666282992244</v>
      </c>
      <c r="G22" s="55">
        <v>584.17908559614591</v>
      </c>
      <c r="H22" s="55">
        <v>535.799957324415</v>
      </c>
      <c r="I22" s="55">
        <v>532.3831943901846</v>
      </c>
      <c r="J22" s="55">
        <v>501.49577122783347</v>
      </c>
      <c r="K22" s="55">
        <v>144.55947343727641</v>
      </c>
      <c r="L22" s="55">
        <v>210.2738731663884</v>
      </c>
      <c r="M22" s="55">
        <v>711.56130282178947</v>
      </c>
      <c r="N22" s="55">
        <v>952.76241319807241</v>
      </c>
      <c r="O22" s="55">
        <v>948.77544710921234</v>
      </c>
      <c r="P22" s="55">
        <v>935.668670764936</v>
      </c>
      <c r="Q22" s="55">
        <v>395.60397838822178</v>
      </c>
      <c r="R22" s="55">
        <v>235.18873774090881</v>
      </c>
      <c r="S22" s="55">
        <v>260.65614517347097</v>
      </c>
      <c r="T22" s="55">
        <v>236.90724425360639</v>
      </c>
      <c r="U22" s="55">
        <v>297.31727623654962</v>
      </c>
      <c r="V22" s="55">
        <v>244.9739766715449</v>
      </c>
      <c r="W22" s="55">
        <v>223.7101262848374</v>
      </c>
      <c r="X22" s="55">
        <v>149.39009805041951</v>
      </c>
      <c r="Y22" s="55">
        <v>149.82274912822979</v>
      </c>
      <c r="DA22" s="101" t="s">
        <v>1051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1" t="s">
        <v>1052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1053</v>
      </c>
    </row>
    <row r="25" spans="1:105" x14ac:dyDescent="0.25">
      <c r="A25" s="256" t="s">
        <v>167</v>
      </c>
      <c r="B25" s="257">
        <v>393.09416931424062</v>
      </c>
      <c r="C25" s="257">
        <v>363.79467718390163</v>
      </c>
      <c r="D25" s="257">
        <v>358.63328850764509</v>
      </c>
      <c r="E25" s="257">
        <v>443.14362205320049</v>
      </c>
      <c r="F25" s="257">
        <v>508.24030061946189</v>
      </c>
      <c r="G25" s="257">
        <v>475.87944060031799</v>
      </c>
      <c r="H25" s="257">
        <v>415.55952194216809</v>
      </c>
      <c r="I25" s="257">
        <v>440.28774459090232</v>
      </c>
      <c r="J25" s="257">
        <v>397.72951269314478</v>
      </c>
      <c r="K25" s="257">
        <v>350.64707938429478</v>
      </c>
      <c r="L25" s="257">
        <v>341.83491113076298</v>
      </c>
      <c r="M25" s="257">
        <v>354.24521049266201</v>
      </c>
      <c r="N25" s="257">
        <v>399.94319152029982</v>
      </c>
      <c r="O25" s="257">
        <v>429.45283112379673</v>
      </c>
      <c r="P25" s="257">
        <v>405.897412393401</v>
      </c>
      <c r="Q25" s="257">
        <v>398.49230004476738</v>
      </c>
      <c r="R25" s="257">
        <v>406.23532204984912</v>
      </c>
      <c r="S25" s="257">
        <v>410.36976025417198</v>
      </c>
      <c r="T25" s="257">
        <v>422.79284860390391</v>
      </c>
      <c r="U25" s="257">
        <v>442.07836433438348</v>
      </c>
      <c r="V25" s="257">
        <v>464.17201802001762</v>
      </c>
      <c r="W25" s="257">
        <v>472.90199788269462</v>
      </c>
      <c r="X25" s="257">
        <v>449.22706311601661</v>
      </c>
      <c r="Y25" s="257">
        <v>409.33248612647122</v>
      </c>
      <c r="DA25" s="272" t="s">
        <v>1054</v>
      </c>
    </row>
    <row r="26" spans="1:105" x14ac:dyDescent="0.25">
      <c r="A26" s="256" t="s">
        <v>170</v>
      </c>
      <c r="B26" s="257">
        <v>0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0</v>
      </c>
      <c r="I26" s="257">
        <v>0</v>
      </c>
      <c r="J26" s="257">
        <v>0</v>
      </c>
      <c r="K26" s="257">
        <v>0</v>
      </c>
      <c r="L26" s="257">
        <v>0</v>
      </c>
      <c r="M26" s="257">
        <v>0</v>
      </c>
      <c r="N26" s="257">
        <v>0</v>
      </c>
      <c r="O26" s="257">
        <v>0</v>
      </c>
      <c r="P26" s="257">
        <v>0</v>
      </c>
      <c r="Q26" s="257">
        <v>0</v>
      </c>
      <c r="R26" s="257">
        <v>0</v>
      </c>
      <c r="S26" s="257">
        <v>0</v>
      </c>
      <c r="T26" s="257">
        <v>0</v>
      </c>
      <c r="U26" s="257">
        <v>0</v>
      </c>
      <c r="V26" s="257">
        <v>0</v>
      </c>
      <c r="W26" s="257">
        <v>0</v>
      </c>
      <c r="X26" s="257">
        <v>0</v>
      </c>
      <c r="Y26" s="257">
        <v>0</v>
      </c>
      <c r="DA26" s="272" t="s">
        <v>1055</v>
      </c>
    </row>
    <row r="27" spans="1:105" x14ac:dyDescent="0.25">
      <c r="A27" s="128" t="s">
        <v>33</v>
      </c>
      <c r="B27" s="258">
        <v>0</v>
      </c>
      <c r="C27" s="258">
        <v>0</v>
      </c>
      <c r="D27" s="258">
        <v>0</v>
      </c>
      <c r="E27" s="258">
        <v>0</v>
      </c>
      <c r="F27" s="258">
        <v>0</v>
      </c>
      <c r="G27" s="258">
        <v>0</v>
      </c>
      <c r="H27" s="258">
        <v>0</v>
      </c>
      <c r="I27" s="258">
        <v>0</v>
      </c>
      <c r="J27" s="258">
        <v>0</v>
      </c>
      <c r="K27" s="258">
        <v>0</v>
      </c>
      <c r="L27" s="258">
        <v>0</v>
      </c>
      <c r="M27" s="258">
        <v>0</v>
      </c>
      <c r="N27" s="258">
        <v>0</v>
      </c>
      <c r="O27" s="258">
        <v>0</v>
      </c>
      <c r="P27" s="258">
        <v>0</v>
      </c>
      <c r="Q27" s="258">
        <v>0</v>
      </c>
      <c r="R27" s="258">
        <v>0</v>
      </c>
      <c r="S27" s="258">
        <v>0</v>
      </c>
      <c r="T27" s="258">
        <v>0</v>
      </c>
      <c r="U27" s="258">
        <v>0</v>
      </c>
      <c r="V27" s="258">
        <v>0</v>
      </c>
      <c r="W27" s="258">
        <v>0</v>
      </c>
      <c r="X27" s="258">
        <v>0</v>
      </c>
      <c r="Y27" s="258">
        <v>0</v>
      </c>
      <c r="DA27" s="273" t="s">
        <v>1056</v>
      </c>
    </row>
    <row r="29" spans="1:105" ht="12.75" x14ac:dyDescent="0.25">
      <c r="A29" s="232" t="s">
        <v>135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6">SUM(B32:B40)</f>
        <v>1</v>
      </c>
      <c r="C31" s="235">
        <f t="shared" si="6"/>
        <v>1</v>
      </c>
      <c r="D31" s="235">
        <f t="shared" si="6"/>
        <v>1</v>
      </c>
      <c r="E31" s="235">
        <f t="shared" si="6"/>
        <v>1.0000000000000002</v>
      </c>
      <c r="F31" s="235">
        <f t="shared" si="6"/>
        <v>1</v>
      </c>
      <c r="G31" s="235">
        <f t="shared" si="6"/>
        <v>1</v>
      </c>
      <c r="H31" s="235">
        <f t="shared" si="6"/>
        <v>0.99999999999999989</v>
      </c>
      <c r="I31" s="235">
        <f t="shared" si="6"/>
        <v>1</v>
      </c>
      <c r="J31" s="235">
        <f t="shared" si="6"/>
        <v>1</v>
      </c>
      <c r="K31" s="235">
        <f t="shared" si="6"/>
        <v>1.0000000000000002</v>
      </c>
      <c r="L31" s="235">
        <f t="shared" si="6"/>
        <v>1</v>
      </c>
      <c r="M31" s="235">
        <f t="shared" si="6"/>
        <v>1</v>
      </c>
      <c r="N31" s="235">
        <f t="shared" si="6"/>
        <v>1</v>
      </c>
      <c r="O31" s="235">
        <f t="shared" si="6"/>
        <v>1</v>
      </c>
      <c r="P31" s="235">
        <f t="shared" si="6"/>
        <v>0.99999999999999989</v>
      </c>
      <c r="Q31" s="235">
        <f t="shared" si="6"/>
        <v>1</v>
      </c>
      <c r="R31" s="235">
        <f t="shared" ref="R31:W31" si="7">SUM(R32:R40)</f>
        <v>1</v>
      </c>
      <c r="S31" s="235">
        <f t="shared" si="7"/>
        <v>1</v>
      </c>
      <c r="T31" s="235">
        <f t="shared" si="7"/>
        <v>1</v>
      </c>
      <c r="U31" s="235">
        <f t="shared" si="7"/>
        <v>0.99999999999999989</v>
      </c>
      <c r="V31" s="235">
        <f t="shared" si="7"/>
        <v>1</v>
      </c>
      <c r="W31" s="235">
        <f t="shared" si="7"/>
        <v>1</v>
      </c>
      <c r="X31" s="235">
        <f t="shared" ref="X31:Y31" si="8">SUM(X32:X40)</f>
        <v>1</v>
      </c>
      <c r="Y31" s="235">
        <f t="shared" si="8"/>
        <v>1</v>
      </c>
      <c r="DA31" s="274"/>
    </row>
    <row r="32" spans="1:105" x14ac:dyDescent="0.25">
      <c r="A32" s="238" t="s">
        <v>125</v>
      </c>
      <c r="B32" s="244">
        <f t="shared" ref="B32:Y32" si="9">IF(B$6=0,0,B$6/B$5)</f>
        <v>0</v>
      </c>
      <c r="C32" s="244">
        <f t="shared" si="9"/>
        <v>0</v>
      </c>
      <c r="D32" s="244">
        <f t="shared" si="9"/>
        <v>0</v>
      </c>
      <c r="E32" s="244">
        <f t="shared" si="9"/>
        <v>0</v>
      </c>
      <c r="F32" s="244">
        <f t="shared" si="9"/>
        <v>0</v>
      </c>
      <c r="G32" s="244">
        <f t="shared" si="9"/>
        <v>0</v>
      </c>
      <c r="H32" s="244">
        <f t="shared" si="9"/>
        <v>0</v>
      </c>
      <c r="I32" s="244">
        <f t="shared" si="9"/>
        <v>0</v>
      </c>
      <c r="J32" s="244">
        <f t="shared" si="9"/>
        <v>0</v>
      </c>
      <c r="K32" s="244">
        <f t="shared" si="9"/>
        <v>0</v>
      </c>
      <c r="L32" s="244">
        <f t="shared" si="9"/>
        <v>0</v>
      </c>
      <c r="M32" s="244">
        <f t="shared" si="9"/>
        <v>0</v>
      </c>
      <c r="N32" s="244">
        <f t="shared" si="9"/>
        <v>0</v>
      </c>
      <c r="O32" s="244">
        <f t="shared" si="9"/>
        <v>0</v>
      </c>
      <c r="P32" s="244">
        <f t="shared" si="9"/>
        <v>0</v>
      </c>
      <c r="Q32" s="244">
        <f t="shared" si="9"/>
        <v>0</v>
      </c>
      <c r="R32" s="244">
        <f t="shared" si="9"/>
        <v>0</v>
      </c>
      <c r="S32" s="244">
        <f t="shared" si="9"/>
        <v>0</v>
      </c>
      <c r="T32" s="244">
        <f t="shared" si="9"/>
        <v>0</v>
      </c>
      <c r="U32" s="244">
        <f t="shared" si="9"/>
        <v>0</v>
      </c>
      <c r="V32" s="244">
        <f t="shared" si="9"/>
        <v>0</v>
      </c>
      <c r="W32" s="244">
        <f t="shared" si="9"/>
        <v>0</v>
      </c>
      <c r="X32" s="244">
        <f t="shared" si="9"/>
        <v>0</v>
      </c>
      <c r="Y32" s="244">
        <f t="shared" si="9"/>
        <v>0</v>
      </c>
      <c r="DA32" s="275"/>
    </row>
    <row r="33" spans="1:105" x14ac:dyDescent="0.25">
      <c r="A33" s="240" t="s">
        <v>124</v>
      </c>
      <c r="B33" s="245">
        <f t="shared" ref="B33:Y33" si="10">IF(B$7=0,0,B$7/B$5)</f>
        <v>0</v>
      </c>
      <c r="C33" s="245">
        <f t="shared" si="10"/>
        <v>0</v>
      </c>
      <c r="D33" s="245">
        <f t="shared" si="10"/>
        <v>0</v>
      </c>
      <c r="E33" s="245">
        <f t="shared" si="10"/>
        <v>0</v>
      </c>
      <c r="F33" s="245">
        <f t="shared" si="10"/>
        <v>0</v>
      </c>
      <c r="G33" s="245">
        <f t="shared" si="10"/>
        <v>0</v>
      </c>
      <c r="H33" s="245">
        <f t="shared" si="10"/>
        <v>0</v>
      </c>
      <c r="I33" s="245">
        <f t="shared" si="10"/>
        <v>0</v>
      </c>
      <c r="J33" s="245">
        <f t="shared" si="10"/>
        <v>0</v>
      </c>
      <c r="K33" s="245">
        <f t="shared" si="10"/>
        <v>0</v>
      </c>
      <c r="L33" s="245">
        <f t="shared" si="10"/>
        <v>0</v>
      </c>
      <c r="M33" s="245">
        <f t="shared" si="10"/>
        <v>0</v>
      </c>
      <c r="N33" s="245">
        <f t="shared" si="10"/>
        <v>0</v>
      </c>
      <c r="O33" s="245">
        <f t="shared" si="10"/>
        <v>0</v>
      </c>
      <c r="P33" s="245">
        <f t="shared" si="10"/>
        <v>0</v>
      </c>
      <c r="Q33" s="245">
        <f t="shared" si="10"/>
        <v>0</v>
      </c>
      <c r="R33" s="245">
        <f t="shared" si="10"/>
        <v>0</v>
      </c>
      <c r="S33" s="245">
        <f t="shared" si="10"/>
        <v>0</v>
      </c>
      <c r="T33" s="245">
        <f t="shared" si="10"/>
        <v>0</v>
      </c>
      <c r="U33" s="245">
        <f t="shared" si="10"/>
        <v>0</v>
      </c>
      <c r="V33" s="245">
        <f t="shared" si="10"/>
        <v>0</v>
      </c>
      <c r="W33" s="245">
        <f t="shared" si="10"/>
        <v>0</v>
      </c>
      <c r="X33" s="245">
        <f t="shared" si="10"/>
        <v>0</v>
      </c>
      <c r="Y33" s="245">
        <f t="shared" si="10"/>
        <v>0</v>
      </c>
      <c r="DA33" s="276"/>
    </row>
    <row r="34" spans="1:105" x14ac:dyDescent="0.25">
      <c r="A34" s="240" t="s">
        <v>123</v>
      </c>
      <c r="B34" s="245">
        <f t="shared" ref="B34:Y34" si="11">IF(B$8=0,0,B$8/B$5)</f>
        <v>0</v>
      </c>
      <c r="C34" s="245">
        <f t="shared" si="11"/>
        <v>0</v>
      </c>
      <c r="D34" s="245">
        <f t="shared" si="11"/>
        <v>0</v>
      </c>
      <c r="E34" s="245">
        <f t="shared" si="11"/>
        <v>0</v>
      </c>
      <c r="F34" s="245">
        <f t="shared" si="11"/>
        <v>0</v>
      </c>
      <c r="G34" s="245">
        <f t="shared" si="11"/>
        <v>0</v>
      </c>
      <c r="H34" s="245">
        <f t="shared" si="11"/>
        <v>0</v>
      </c>
      <c r="I34" s="245">
        <f t="shared" si="11"/>
        <v>0</v>
      </c>
      <c r="J34" s="245">
        <f t="shared" si="11"/>
        <v>0</v>
      </c>
      <c r="K34" s="245">
        <f t="shared" si="11"/>
        <v>0</v>
      </c>
      <c r="L34" s="245">
        <f t="shared" si="11"/>
        <v>0</v>
      </c>
      <c r="M34" s="245">
        <f t="shared" si="11"/>
        <v>0</v>
      </c>
      <c r="N34" s="245">
        <f t="shared" si="11"/>
        <v>0</v>
      </c>
      <c r="O34" s="245">
        <f t="shared" si="11"/>
        <v>0</v>
      </c>
      <c r="P34" s="245">
        <f t="shared" si="11"/>
        <v>0</v>
      </c>
      <c r="Q34" s="245">
        <f t="shared" si="11"/>
        <v>0</v>
      </c>
      <c r="R34" s="245">
        <f t="shared" si="11"/>
        <v>0</v>
      </c>
      <c r="S34" s="245">
        <f t="shared" si="11"/>
        <v>0</v>
      </c>
      <c r="T34" s="245">
        <f t="shared" si="11"/>
        <v>0</v>
      </c>
      <c r="U34" s="245">
        <f t="shared" si="11"/>
        <v>0</v>
      </c>
      <c r="V34" s="245">
        <f t="shared" si="11"/>
        <v>0</v>
      </c>
      <c r="W34" s="245">
        <f t="shared" si="11"/>
        <v>0</v>
      </c>
      <c r="X34" s="245">
        <f t="shared" si="11"/>
        <v>0</v>
      </c>
      <c r="Y34" s="245">
        <f t="shared" si="11"/>
        <v>0</v>
      </c>
      <c r="DA34" s="276"/>
    </row>
    <row r="35" spans="1:105" x14ac:dyDescent="0.25">
      <c r="A35" s="242" t="s">
        <v>122</v>
      </c>
      <c r="B35" s="246">
        <f t="shared" ref="B35:Y35" si="12">IF(B$9=0,0,B$9/B$5)</f>
        <v>0.19531252518845163</v>
      </c>
      <c r="C35" s="246">
        <f t="shared" si="12"/>
        <v>0.19038489398396069</v>
      </c>
      <c r="D35" s="246">
        <f t="shared" si="12"/>
        <v>0.19147138844254252</v>
      </c>
      <c r="E35" s="246">
        <f t="shared" si="12"/>
        <v>0.20295055443565807</v>
      </c>
      <c r="F35" s="246">
        <f t="shared" si="12"/>
        <v>0.20794341775094408</v>
      </c>
      <c r="G35" s="246">
        <f t="shared" si="12"/>
        <v>0.20499377131137317</v>
      </c>
      <c r="H35" s="246">
        <f t="shared" si="12"/>
        <v>0.19447592990759099</v>
      </c>
      <c r="I35" s="246">
        <f t="shared" si="12"/>
        <v>0.19774399614719732</v>
      </c>
      <c r="J35" s="246">
        <f t="shared" si="12"/>
        <v>0.19425707345321952</v>
      </c>
      <c r="K35" s="246">
        <f t="shared" si="12"/>
        <v>0.19000793162021484</v>
      </c>
      <c r="L35" s="246">
        <f t="shared" si="12"/>
        <v>0.20367196134149748</v>
      </c>
      <c r="M35" s="246">
        <f t="shared" si="12"/>
        <v>0.2090090379051133</v>
      </c>
      <c r="N35" s="246">
        <f t="shared" si="12"/>
        <v>0.21333724413434044</v>
      </c>
      <c r="O35" s="246">
        <f t="shared" si="12"/>
        <v>0.20692205520233539</v>
      </c>
      <c r="P35" s="246">
        <f t="shared" si="12"/>
        <v>0.20163437376566984</v>
      </c>
      <c r="Q35" s="246">
        <f t="shared" si="12"/>
        <v>0.19354151219993021</v>
      </c>
      <c r="R35" s="246">
        <f t="shared" si="12"/>
        <v>0.1927691729722949</v>
      </c>
      <c r="S35" s="246">
        <f t="shared" si="12"/>
        <v>0.19478263204345464</v>
      </c>
      <c r="T35" s="246">
        <f t="shared" si="12"/>
        <v>0.20348603992629966</v>
      </c>
      <c r="U35" s="246">
        <f t="shared" si="12"/>
        <v>0.20144184421036312</v>
      </c>
      <c r="V35" s="246">
        <f t="shared" si="12"/>
        <v>0.20542592185775368</v>
      </c>
      <c r="W35" s="246">
        <f t="shared" si="12"/>
        <v>0.20240966065530203</v>
      </c>
      <c r="X35" s="246">
        <f t="shared" si="12"/>
        <v>0.2026682585008874</v>
      </c>
      <c r="Y35" s="246">
        <f t="shared" si="12"/>
        <v>0.19684195335849536</v>
      </c>
      <c r="DA35" s="277"/>
    </row>
    <row r="36" spans="1:105" x14ac:dyDescent="0.25">
      <c r="A36" s="127" t="s">
        <v>168</v>
      </c>
      <c r="B36" s="259">
        <f t="shared" ref="B36:Y36" si="13">IF(B$16=0,0,B$16/B$5)</f>
        <v>0.3132293550990643</v>
      </c>
      <c r="C36" s="259">
        <f t="shared" si="13"/>
        <v>0.31645333346714483</v>
      </c>
      <c r="D36" s="259">
        <f t="shared" si="13"/>
        <v>0.31570374037596344</v>
      </c>
      <c r="E36" s="259">
        <f t="shared" si="13"/>
        <v>0.31162372974312519</v>
      </c>
      <c r="F36" s="259">
        <f t="shared" si="13"/>
        <v>0.31135677875279194</v>
      </c>
      <c r="G36" s="259">
        <f t="shared" si="13"/>
        <v>0.31413859398854427</v>
      </c>
      <c r="H36" s="259">
        <f t="shared" si="13"/>
        <v>0.31609256372886685</v>
      </c>
      <c r="I36" s="259">
        <f t="shared" si="13"/>
        <v>0.31557517417411307</v>
      </c>
      <c r="J36" s="259">
        <f t="shared" si="13"/>
        <v>0.31949077671425419</v>
      </c>
      <c r="K36" s="259">
        <f t="shared" si="13"/>
        <v>0.32638539859872406</v>
      </c>
      <c r="L36" s="259">
        <f t="shared" si="13"/>
        <v>0.32207872899358542</v>
      </c>
      <c r="M36" s="259">
        <f t="shared" si="13"/>
        <v>0.31817086390908694</v>
      </c>
      <c r="N36" s="259">
        <f t="shared" si="13"/>
        <v>0.31319023290422643</v>
      </c>
      <c r="O36" s="259">
        <f t="shared" si="13"/>
        <v>0.30661171908902629</v>
      </c>
      <c r="P36" s="259">
        <f t="shared" si="13"/>
        <v>0.30967340348109185</v>
      </c>
      <c r="Q36" s="259">
        <f t="shared" si="13"/>
        <v>0.32158740235009342</v>
      </c>
      <c r="R36" s="259">
        <f t="shared" si="13"/>
        <v>0.32337024977405193</v>
      </c>
      <c r="S36" s="259">
        <f t="shared" si="13"/>
        <v>0.323319713260868</v>
      </c>
      <c r="T36" s="259">
        <f t="shared" si="13"/>
        <v>0.3192297762919295</v>
      </c>
      <c r="U36" s="259">
        <f t="shared" si="13"/>
        <v>0.31956122721476238</v>
      </c>
      <c r="V36" s="259">
        <f t="shared" si="13"/>
        <v>0.31886005256185618</v>
      </c>
      <c r="W36" s="259">
        <f t="shared" si="13"/>
        <v>0.32012144186437708</v>
      </c>
      <c r="X36" s="259">
        <f t="shared" si="13"/>
        <v>0.3201586422509719</v>
      </c>
      <c r="Y36" s="259">
        <f t="shared" si="13"/>
        <v>0.31726584916109019</v>
      </c>
      <c r="DA36" s="278"/>
    </row>
    <row r="37" spans="1:105" x14ac:dyDescent="0.25">
      <c r="A37" s="127" t="s">
        <v>121</v>
      </c>
      <c r="B37" s="259">
        <f t="shared" ref="B37:Y37" si="14">IF(B$17=0,0,B$17/B$5)</f>
        <v>0.43126848876282636</v>
      </c>
      <c r="C37" s="259">
        <f t="shared" si="14"/>
        <v>0.43235262728806034</v>
      </c>
      <c r="D37" s="259">
        <f t="shared" si="14"/>
        <v>0.43215976648003318</v>
      </c>
      <c r="E37" s="259">
        <f t="shared" si="14"/>
        <v>0.42554461916454328</v>
      </c>
      <c r="F37" s="259">
        <f t="shared" si="14"/>
        <v>0.42087000369707916</v>
      </c>
      <c r="G37" s="259">
        <f t="shared" si="14"/>
        <v>0.42050328592046426</v>
      </c>
      <c r="H37" s="259">
        <f t="shared" si="14"/>
        <v>0.42869168601447383</v>
      </c>
      <c r="I37" s="259">
        <f t="shared" si="14"/>
        <v>0.42604043004434972</v>
      </c>
      <c r="J37" s="259">
        <f t="shared" si="14"/>
        <v>0.42485933453854263</v>
      </c>
      <c r="K37" s="259">
        <f t="shared" si="14"/>
        <v>0.42088899543409242</v>
      </c>
      <c r="L37" s="259">
        <f t="shared" si="14"/>
        <v>0.41235919777317681</v>
      </c>
      <c r="M37" s="259">
        <f t="shared" si="14"/>
        <v>0.41168091513711963</v>
      </c>
      <c r="N37" s="259">
        <f t="shared" si="14"/>
        <v>0.41329040966754715</v>
      </c>
      <c r="O37" s="259">
        <f t="shared" si="14"/>
        <v>0.4275482286678694</v>
      </c>
      <c r="P37" s="259">
        <f t="shared" si="14"/>
        <v>0.42918589754129755</v>
      </c>
      <c r="Q37" s="259">
        <f t="shared" si="14"/>
        <v>0.42307538606736433</v>
      </c>
      <c r="R37" s="259">
        <f t="shared" si="14"/>
        <v>0.42172228888076696</v>
      </c>
      <c r="S37" s="259">
        <f t="shared" si="14"/>
        <v>0.41976907733495677</v>
      </c>
      <c r="T37" s="259">
        <f t="shared" si="14"/>
        <v>0.41594152189404276</v>
      </c>
      <c r="U37" s="259">
        <f t="shared" si="14"/>
        <v>0.41759057563010304</v>
      </c>
      <c r="V37" s="259">
        <f t="shared" si="14"/>
        <v>0.41444240918857161</v>
      </c>
      <c r="W37" s="259">
        <f t="shared" si="14"/>
        <v>0.41595489462195112</v>
      </c>
      <c r="X37" s="259">
        <f t="shared" si="14"/>
        <v>0.4156519480254689</v>
      </c>
      <c r="Y37" s="259">
        <f t="shared" si="14"/>
        <v>0.42492692055770614</v>
      </c>
      <c r="DA37" s="278"/>
    </row>
    <row r="38" spans="1:105" x14ac:dyDescent="0.25">
      <c r="A38" s="127" t="s">
        <v>167</v>
      </c>
      <c r="B38" s="259">
        <f t="shared" ref="B38:Y38" si="15">IF(B$25=0,0,B$25/B$5)</f>
        <v>6.0189630949657742E-2</v>
      </c>
      <c r="C38" s="259">
        <f t="shared" si="15"/>
        <v>6.0809145260834224E-2</v>
      </c>
      <c r="D38" s="259">
        <f t="shared" si="15"/>
        <v>6.0665104701460838E-2</v>
      </c>
      <c r="E38" s="259">
        <f t="shared" si="15"/>
        <v>5.9881096656673523E-2</v>
      </c>
      <c r="F38" s="259">
        <f t="shared" si="15"/>
        <v>5.9829799799184818E-2</v>
      </c>
      <c r="G38" s="259">
        <f t="shared" si="15"/>
        <v>6.0364348779618361E-2</v>
      </c>
      <c r="H38" s="259">
        <f t="shared" si="15"/>
        <v>6.073982034906824E-2</v>
      </c>
      <c r="I38" s="259">
        <f t="shared" si="15"/>
        <v>6.0640399634339898E-2</v>
      </c>
      <c r="J38" s="259">
        <f t="shared" si="15"/>
        <v>6.1392815293983619E-2</v>
      </c>
      <c r="K38" s="259">
        <f t="shared" si="15"/>
        <v>6.2717674346968746E-2</v>
      </c>
      <c r="L38" s="259">
        <f t="shared" si="15"/>
        <v>6.1890111891740276E-2</v>
      </c>
      <c r="M38" s="259">
        <f t="shared" si="15"/>
        <v>6.1139183048680094E-2</v>
      </c>
      <c r="N38" s="259">
        <f t="shared" si="15"/>
        <v>6.018211329388605E-2</v>
      </c>
      <c r="O38" s="259">
        <f t="shared" si="15"/>
        <v>5.8917997040768923E-2</v>
      </c>
      <c r="P38" s="259">
        <f t="shared" si="15"/>
        <v>5.9506325211940672E-2</v>
      </c>
      <c r="Q38" s="259">
        <f t="shared" si="15"/>
        <v>6.1795699382612042E-2</v>
      </c>
      <c r="R38" s="259">
        <f t="shared" si="15"/>
        <v>6.2138288372886208E-2</v>
      </c>
      <c r="S38" s="259">
        <f t="shared" si="15"/>
        <v>6.2128577360720486E-2</v>
      </c>
      <c r="T38" s="259">
        <f t="shared" si="15"/>
        <v>6.1342661887728162E-2</v>
      </c>
      <c r="U38" s="259">
        <f t="shared" si="15"/>
        <v>6.1406352944771397E-2</v>
      </c>
      <c r="V38" s="259">
        <f t="shared" si="15"/>
        <v>6.1271616391818565E-2</v>
      </c>
      <c r="W38" s="259">
        <f t="shared" si="15"/>
        <v>6.1514002858369818E-2</v>
      </c>
      <c r="X38" s="259">
        <f t="shared" si="15"/>
        <v>6.1521151222671829E-2</v>
      </c>
      <c r="Y38" s="259">
        <f t="shared" si="15"/>
        <v>6.0965276922708318E-2</v>
      </c>
      <c r="DA38" s="278"/>
    </row>
    <row r="39" spans="1:105" x14ac:dyDescent="0.25">
      <c r="A39" s="127" t="s">
        <v>170</v>
      </c>
      <c r="B39" s="259">
        <f t="shared" ref="B39:Y39" si="16">IF(B$26=0,0,B$26/B$5)</f>
        <v>0</v>
      </c>
      <c r="C39" s="259">
        <f t="shared" si="16"/>
        <v>0</v>
      </c>
      <c r="D39" s="259">
        <f t="shared" si="16"/>
        <v>0</v>
      </c>
      <c r="E39" s="259">
        <f t="shared" si="16"/>
        <v>0</v>
      </c>
      <c r="F39" s="259">
        <f t="shared" si="16"/>
        <v>0</v>
      </c>
      <c r="G39" s="259">
        <f t="shared" si="16"/>
        <v>0</v>
      </c>
      <c r="H39" s="259">
        <f t="shared" si="16"/>
        <v>0</v>
      </c>
      <c r="I39" s="259">
        <f t="shared" si="16"/>
        <v>0</v>
      </c>
      <c r="J39" s="259">
        <f t="shared" si="16"/>
        <v>0</v>
      </c>
      <c r="K39" s="259">
        <f t="shared" si="16"/>
        <v>0</v>
      </c>
      <c r="L39" s="259">
        <f t="shared" si="16"/>
        <v>0</v>
      </c>
      <c r="M39" s="259">
        <f t="shared" si="16"/>
        <v>0</v>
      </c>
      <c r="N39" s="259">
        <f t="shared" si="16"/>
        <v>0</v>
      </c>
      <c r="O39" s="259">
        <f t="shared" si="16"/>
        <v>0</v>
      </c>
      <c r="P39" s="259">
        <f t="shared" si="16"/>
        <v>0</v>
      </c>
      <c r="Q39" s="259">
        <f t="shared" si="16"/>
        <v>0</v>
      </c>
      <c r="R39" s="259">
        <f t="shared" si="16"/>
        <v>0</v>
      </c>
      <c r="S39" s="259">
        <f t="shared" si="16"/>
        <v>0</v>
      </c>
      <c r="T39" s="259">
        <f t="shared" si="16"/>
        <v>0</v>
      </c>
      <c r="U39" s="259">
        <f t="shared" si="16"/>
        <v>0</v>
      </c>
      <c r="V39" s="259">
        <f t="shared" si="16"/>
        <v>0</v>
      </c>
      <c r="W39" s="259">
        <f t="shared" si="16"/>
        <v>0</v>
      </c>
      <c r="X39" s="259">
        <f t="shared" si="16"/>
        <v>0</v>
      </c>
      <c r="Y39" s="259">
        <f t="shared" si="16"/>
        <v>0</v>
      </c>
      <c r="DA39" s="278"/>
    </row>
    <row r="40" spans="1:105" x14ac:dyDescent="0.25">
      <c r="A40" s="260" t="s">
        <v>33</v>
      </c>
      <c r="B40" s="261">
        <f t="shared" ref="B40:Y40" si="17">IF(B$27=0,0,B$27/B$5)</f>
        <v>0</v>
      </c>
      <c r="C40" s="261">
        <f t="shared" si="17"/>
        <v>0</v>
      </c>
      <c r="D40" s="261">
        <f t="shared" si="17"/>
        <v>0</v>
      </c>
      <c r="E40" s="261">
        <f t="shared" si="17"/>
        <v>0</v>
      </c>
      <c r="F40" s="261">
        <f t="shared" si="17"/>
        <v>0</v>
      </c>
      <c r="G40" s="261">
        <f t="shared" si="17"/>
        <v>0</v>
      </c>
      <c r="H40" s="261">
        <f t="shared" si="17"/>
        <v>0</v>
      </c>
      <c r="I40" s="261">
        <f t="shared" si="17"/>
        <v>0</v>
      </c>
      <c r="J40" s="261">
        <f t="shared" si="17"/>
        <v>0</v>
      </c>
      <c r="K40" s="261">
        <f t="shared" si="17"/>
        <v>0</v>
      </c>
      <c r="L40" s="261">
        <f t="shared" si="17"/>
        <v>0</v>
      </c>
      <c r="M40" s="261">
        <f t="shared" si="17"/>
        <v>0</v>
      </c>
      <c r="N40" s="261">
        <f t="shared" si="17"/>
        <v>0</v>
      </c>
      <c r="O40" s="261">
        <f t="shared" si="17"/>
        <v>0</v>
      </c>
      <c r="P40" s="261">
        <f t="shared" si="17"/>
        <v>0</v>
      </c>
      <c r="Q40" s="261">
        <f t="shared" si="17"/>
        <v>0</v>
      </c>
      <c r="R40" s="261">
        <f t="shared" si="17"/>
        <v>0</v>
      </c>
      <c r="S40" s="261">
        <f t="shared" si="17"/>
        <v>0</v>
      </c>
      <c r="T40" s="261">
        <f t="shared" si="17"/>
        <v>0</v>
      </c>
      <c r="U40" s="261">
        <f t="shared" si="17"/>
        <v>0</v>
      </c>
      <c r="V40" s="261">
        <f t="shared" si="17"/>
        <v>0</v>
      </c>
      <c r="W40" s="261">
        <f t="shared" si="17"/>
        <v>0</v>
      </c>
      <c r="X40" s="261">
        <f t="shared" si="17"/>
        <v>0</v>
      </c>
      <c r="Y40" s="261">
        <f t="shared" si="17"/>
        <v>0</v>
      </c>
      <c r="DA40" s="279"/>
    </row>
    <row r="42" spans="1:105" ht="12.75" x14ac:dyDescent="0.25">
      <c r="A42" s="232" t="s">
        <v>134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2.5317021379016063</v>
      </c>
      <c r="C44" s="237">
        <f>IF(C$5=0,0,C$5/AGR_fec!C$5)</f>
        <v>2.4878377316448774</v>
      </c>
      <c r="D44" s="237">
        <f>IF(D$5=0,0,D$5/AGR_fec!D$5)</f>
        <v>2.4964241440541062</v>
      </c>
      <c r="E44" s="237">
        <f>IF(E$5=0,0,E$5/AGR_fec!E$5)</f>
        <v>2.5119201437169631</v>
      </c>
      <c r="F44" s="237">
        <f>IF(F$5=0,0,F$5/AGR_fec!F$5)</f>
        <v>2.5402905556878399</v>
      </c>
      <c r="G44" s="237">
        <f>IF(G$5=0,0,G$5/AGR_fec!G$5)</f>
        <v>2.5324588671219557</v>
      </c>
      <c r="H44" s="237">
        <f>IF(H$5=0,0,H$5/AGR_fec!H$5)</f>
        <v>2.4317921190006908</v>
      </c>
      <c r="I44" s="237">
        <f>IF(I$5=0,0,I$5/AGR_fec!I$5)</f>
        <v>2.4656680895115852</v>
      </c>
      <c r="J44" s="237">
        <f>IF(J$5=0,0,J$5/AGR_fec!J$5)</f>
        <v>2.402747593444615</v>
      </c>
      <c r="K44" s="237">
        <f>IF(K$5=0,0,K$5/AGR_fec!K$5)</f>
        <v>2.3687037525050871</v>
      </c>
      <c r="L44" s="237">
        <f>IF(L$5=0,0,L$5/AGR_fec!L$5)</f>
        <v>2.4649214445424015</v>
      </c>
      <c r="M44" s="237">
        <f>IF(M$5=0,0,M$5/AGR_fec!M$5)</f>
        <v>2.4127133655963631</v>
      </c>
      <c r="N44" s="237">
        <f>IF(N$5=0,0,N$5/AGR_fec!N$5)</f>
        <v>2.4479778094932167</v>
      </c>
      <c r="O44" s="237">
        <f>IF(O$5=0,0,O$5/AGR_fec!O$5)</f>
        <v>2.4426146026688178</v>
      </c>
      <c r="P44" s="237">
        <f>IF(P$5=0,0,P$5/AGR_fec!P$5)</f>
        <v>2.3658761567096152</v>
      </c>
      <c r="Q44" s="237">
        <f>IF(Q$5=0,0,Q$5/AGR_fec!Q$5)</f>
        <v>2.3637131520206367</v>
      </c>
      <c r="R44" s="237">
        <f>IF(R$5=0,0,R$5/AGR_fec!R$5)</f>
        <v>2.3841972099150683</v>
      </c>
      <c r="S44" s="237">
        <f>IF(S$5=0,0,S$5/AGR_fec!S$5)</f>
        <v>2.3932422301845899</v>
      </c>
      <c r="T44" s="237">
        <f>IF(T$5=0,0,T$5/AGR_fec!T$5)</f>
        <v>2.4807483863709967</v>
      </c>
      <c r="U44" s="237">
        <f>IF(U$5=0,0,U$5/AGR_fec!U$5)</f>
        <v>2.4581767637607976</v>
      </c>
      <c r="V44" s="237">
        <f>IF(V$5=0,0,V$5/AGR_fec!V$5)</f>
        <v>2.5127022810768351</v>
      </c>
      <c r="W44" s="237">
        <f>IF(W$5=0,0,W$5/AGR_fec!W$5)</f>
        <v>2.4876999225539835</v>
      </c>
      <c r="X44" s="237">
        <f>IF(X$5=0,0,X$5/AGR_fec!X$5)</f>
        <v>2.4954843996649023</v>
      </c>
      <c r="Y44" s="237">
        <f>IF(Y$5=0,0,Y$5/AGR_fec!Y$5)</f>
        <v>2.4634312554814395</v>
      </c>
      <c r="DA44" s="286"/>
    </row>
    <row r="45" spans="1:105" x14ac:dyDescent="0.25">
      <c r="A45" s="238" t="s">
        <v>125</v>
      </c>
      <c r="B45" s="250">
        <f>IF(B$6=0,0,B$6/AGR_fec!B$6)</f>
        <v>0</v>
      </c>
      <c r="C45" s="250">
        <f>IF(C$6=0,0,C$6/AGR_fec!C$6)</f>
        <v>0</v>
      </c>
      <c r="D45" s="250">
        <f>IF(D$6=0,0,D$6/AGR_fec!D$6)</f>
        <v>0</v>
      </c>
      <c r="E45" s="250">
        <f>IF(E$6=0,0,E$6/AGR_fec!E$6)</f>
        <v>0</v>
      </c>
      <c r="F45" s="250">
        <f>IF(F$6=0,0,F$6/AGR_fec!F$6)</f>
        <v>0</v>
      </c>
      <c r="G45" s="250">
        <f>IF(G$6=0,0,G$6/AGR_fec!G$6)</f>
        <v>0</v>
      </c>
      <c r="H45" s="250">
        <f>IF(H$6=0,0,H$6/AGR_fec!H$6)</f>
        <v>0</v>
      </c>
      <c r="I45" s="250">
        <f>IF(I$6=0,0,I$6/AGR_fec!I$6)</f>
        <v>0</v>
      </c>
      <c r="J45" s="250">
        <f>IF(J$6=0,0,J$6/AGR_fec!J$6)</f>
        <v>0</v>
      </c>
      <c r="K45" s="250">
        <f>IF(K$6=0,0,K$6/AGR_fec!K$6)</f>
        <v>0</v>
      </c>
      <c r="L45" s="250">
        <f>IF(L$6=0,0,L$6/AGR_fec!L$6)</f>
        <v>0</v>
      </c>
      <c r="M45" s="250">
        <f>IF(M$6=0,0,M$6/AGR_fec!M$6)</f>
        <v>0</v>
      </c>
      <c r="N45" s="250">
        <f>IF(N$6=0,0,N$6/AGR_fec!N$6)</f>
        <v>0</v>
      </c>
      <c r="O45" s="250">
        <f>IF(O$6=0,0,O$6/AGR_fec!O$6)</f>
        <v>0</v>
      </c>
      <c r="P45" s="250">
        <f>IF(P$6=0,0,P$6/AGR_fec!P$6)</f>
        <v>0</v>
      </c>
      <c r="Q45" s="250">
        <f>IF(Q$6=0,0,Q$6/AGR_fec!Q$6)</f>
        <v>0</v>
      </c>
      <c r="R45" s="250">
        <f>IF(R$6=0,0,R$6/AGR_fec!R$6)</f>
        <v>0</v>
      </c>
      <c r="S45" s="250">
        <f>IF(S$6=0,0,S$6/AGR_fec!S$6)</f>
        <v>0</v>
      </c>
      <c r="T45" s="250">
        <f>IF(T$6=0,0,T$6/AGR_fec!T$6)</f>
        <v>0</v>
      </c>
      <c r="U45" s="250">
        <f>IF(U$6=0,0,U$6/AGR_fec!U$6)</f>
        <v>0</v>
      </c>
      <c r="V45" s="250">
        <f>IF(V$6=0,0,V$6/AGR_fec!V$6)</f>
        <v>0</v>
      </c>
      <c r="W45" s="250">
        <f>IF(W$6=0,0,W$6/AGR_fec!W$6)</f>
        <v>0</v>
      </c>
      <c r="X45" s="250">
        <f>IF(X$6=0,0,X$6/AGR_fec!X$6)</f>
        <v>0</v>
      </c>
      <c r="Y45" s="250">
        <f>IF(Y$6=0,0,Y$6/AGR_fec!Y$6)</f>
        <v>0</v>
      </c>
      <c r="DA45" s="287"/>
    </row>
    <row r="46" spans="1:105" x14ac:dyDescent="0.25">
      <c r="A46" s="240" t="s">
        <v>124</v>
      </c>
      <c r="B46" s="251">
        <f>IF(B$7=0,0,B$7/AGR_fec!B$7)</f>
        <v>0</v>
      </c>
      <c r="C46" s="251">
        <f>IF(C$7=0,0,C$7/AGR_fec!C$7)</f>
        <v>0</v>
      </c>
      <c r="D46" s="251">
        <f>IF(D$7=0,0,D$7/AGR_fec!D$7)</f>
        <v>0</v>
      </c>
      <c r="E46" s="251">
        <f>IF(E$7=0,0,E$7/AGR_fec!E$7)</f>
        <v>0</v>
      </c>
      <c r="F46" s="251">
        <f>IF(F$7=0,0,F$7/AGR_fec!F$7)</f>
        <v>0</v>
      </c>
      <c r="G46" s="251">
        <f>IF(G$7=0,0,G$7/AGR_fec!G$7)</f>
        <v>0</v>
      </c>
      <c r="H46" s="251">
        <f>IF(H$7=0,0,H$7/AGR_fec!H$7)</f>
        <v>0</v>
      </c>
      <c r="I46" s="251">
        <f>IF(I$7=0,0,I$7/AGR_fec!I$7)</f>
        <v>0</v>
      </c>
      <c r="J46" s="251">
        <f>IF(J$7=0,0,J$7/AGR_fec!J$7)</f>
        <v>0</v>
      </c>
      <c r="K46" s="251">
        <f>IF(K$7=0,0,K$7/AGR_fec!K$7)</f>
        <v>0</v>
      </c>
      <c r="L46" s="251">
        <f>IF(L$7=0,0,L$7/AGR_fec!L$7)</f>
        <v>0</v>
      </c>
      <c r="M46" s="251">
        <f>IF(M$7=0,0,M$7/AGR_fec!M$7)</f>
        <v>0</v>
      </c>
      <c r="N46" s="251">
        <f>IF(N$7=0,0,N$7/AGR_fec!N$7)</f>
        <v>0</v>
      </c>
      <c r="O46" s="251">
        <f>IF(O$7=0,0,O$7/AGR_fec!O$7)</f>
        <v>0</v>
      </c>
      <c r="P46" s="251">
        <f>IF(P$7=0,0,P$7/AGR_fec!P$7)</f>
        <v>0</v>
      </c>
      <c r="Q46" s="251">
        <f>IF(Q$7=0,0,Q$7/AGR_fec!Q$7)</f>
        <v>0</v>
      </c>
      <c r="R46" s="251">
        <f>IF(R$7=0,0,R$7/AGR_fec!R$7)</f>
        <v>0</v>
      </c>
      <c r="S46" s="251">
        <f>IF(S$7=0,0,S$7/AGR_fec!S$7)</f>
        <v>0</v>
      </c>
      <c r="T46" s="251">
        <f>IF(T$7=0,0,T$7/AGR_fec!T$7)</f>
        <v>0</v>
      </c>
      <c r="U46" s="251">
        <f>IF(U$7=0,0,U$7/AGR_fec!U$7)</f>
        <v>0</v>
      </c>
      <c r="V46" s="251">
        <f>IF(V$7=0,0,V$7/AGR_fec!V$7)</f>
        <v>0</v>
      </c>
      <c r="W46" s="251">
        <f>IF(W$7=0,0,W$7/AGR_fec!W$7)</f>
        <v>0</v>
      </c>
      <c r="X46" s="251">
        <f>IF(X$7=0,0,X$7/AGR_fec!X$7)</f>
        <v>0</v>
      </c>
      <c r="Y46" s="251">
        <f>IF(Y$7=0,0,Y$7/AGR_fec!Y$7)</f>
        <v>0</v>
      </c>
      <c r="DA46" s="288"/>
    </row>
    <row r="47" spans="1:105" x14ac:dyDescent="0.25">
      <c r="A47" s="240" t="s">
        <v>123</v>
      </c>
      <c r="B47" s="251">
        <f>IF(B$8=0,0,B$8/AGR_fec!B$8)</f>
        <v>0</v>
      </c>
      <c r="C47" s="251">
        <f>IF(C$8=0,0,C$8/AGR_fec!C$8)</f>
        <v>0</v>
      </c>
      <c r="D47" s="251">
        <f>IF(D$8=0,0,D$8/AGR_fec!D$8)</f>
        <v>0</v>
      </c>
      <c r="E47" s="251">
        <f>IF(E$8=0,0,E$8/AGR_fec!E$8)</f>
        <v>0</v>
      </c>
      <c r="F47" s="251">
        <f>IF(F$8=0,0,F$8/AGR_fec!F$8)</f>
        <v>0</v>
      </c>
      <c r="G47" s="251">
        <f>IF(G$8=0,0,G$8/AGR_fec!G$8)</f>
        <v>0</v>
      </c>
      <c r="H47" s="251">
        <f>IF(H$8=0,0,H$8/AGR_fec!H$8)</f>
        <v>0</v>
      </c>
      <c r="I47" s="251">
        <f>IF(I$8=0,0,I$8/AGR_fec!I$8)</f>
        <v>0</v>
      </c>
      <c r="J47" s="251">
        <f>IF(J$8=0,0,J$8/AGR_fec!J$8)</f>
        <v>0</v>
      </c>
      <c r="K47" s="251">
        <f>IF(K$8=0,0,K$8/AGR_fec!K$8)</f>
        <v>0</v>
      </c>
      <c r="L47" s="251">
        <f>IF(L$8=0,0,L$8/AGR_fec!L$8)</f>
        <v>0</v>
      </c>
      <c r="M47" s="251">
        <f>IF(M$8=0,0,M$8/AGR_fec!M$8)</f>
        <v>0</v>
      </c>
      <c r="N47" s="251">
        <f>IF(N$8=0,0,N$8/AGR_fec!N$8)</f>
        <v>0</v>
      </c>
      <c r="O47" s="251">
        <f>IF(O$8=0,0,O$8/AGR_fec!O$8)</f>
        <v>0</v>
      </c>
      <c r="P47" s="251">
        <f>IF(P$8=0,0,P$8/AGR_fec!P$8)</f>
        <v>0</v>
      </c>
      <c r="Q47" s="251">
        <f>IF(Q$8=0,0,Q$8/AGR_fec!Q$8)</f>
        <v>0</v>
      </c>
      <c r="R47" s="251">
        <f>IF(R$8=0,0,R$8/AGR_fec!R$8)</f>
        <v>0</v>
      </c>
      <c r="S47" s="251">
        <f>IF(S$8=0,0,S$8/AGR_fec!S$8)</f>
        <v>0</v>
      </c>
      <c r="T47" s="251">
        <f>IF(T$8=0,0,T$8/AGR_fec!T$8)</f>
        <v>0</v>
      </c>
      <c r="U47" s="251">
        <f>IF(U$8=0,0,U$8/AGR_fec!U$8)</f>
        <v>0</v>
      </c>
      <c r="V47" s="251">
        <f>IF(V$8=0,0,V$8/AGR_fec!V$8)</f>
        <v>0</v>
      </c>
      <c r="W47" s="251">
        <f>IF(W$8=0,0,W$8/AGR_fec!W$8)</f>
        <v>0</v>
      </c>
      <c r="X47" s="251">
        <f>IF(X$8=0,0,X$8/AGR_fec!X$8)</f>
        <v>0</v>
      </c>
      <c r="Y47" s="251">
        <f>IF(Y$8=0,0,Y$8/AGR_fec!Y$8)</f>
        <v>0</v>
      </c>
      <c r="DA47" s="288"/>
    </row>
    <row r="48" spans="1:105" x14ac:dyDescent="0.25">
      <c r="A48" s="242" t="s">
        <v>122</v>
      </c>
      <c r="B48" s="252">
        <f>IF(B$9=0,0,B$9/AGR_fec!B$9)</f>
        <v>2.5560321984192127</v>
      </c>
      <c r="C48" s="252">
        <f>IF(C$9=0,0,C$9/AGR_fec!C$9)</f>
        <v>2.4509373781953103</v>
      </c>
      <c r="D48" s="252">
        <f>IF(D$9=0,0,D$9/AGR_fec!D$9)</f>
        <v>2.4737726555731698</v>
      </c>
      <c r="E48" s="252">
        <f>IF(E$9=0,0,E$9/AGR_fec!E$9)</f>
        <v>2.5655377041978773</v>
      </c>
      <c r="F48" s="252">
        <f>IF(F$9=0,0,F$9/AGR_fec!F$9)</f>
        <v>2.6244760956993161</v>
      </c>
      <c r="G48" s="252">
        <f>IF(G$9=0,0,G$9/AGR_fec!G$9)</f>
        <v>2.6115686416345736</v>
      </c>
      <c r="H48" s="252">
        <f>IF(H$9=0,0,H$9/AGR_fec!H$9)</f>
        <v>2.4008177316324115</v>
      </c>
      <c r="I48" s="252">
        <f>IF(I$9=0,0,I$9/AGR_fec!I$9)</f>
        <v>2.4738253373875034</v>
      </c>
      <c r="J48" s="252">
        <f>IF(J$9=0,0,J$9/AGR_fec!J$9)</f>
        <v>2.3668835350088022</v>
      </c>
      <c r="K48" s="252">
        <f>IF(K$9=0,0,K$9/AGR_fec!K$9)</f>
        <v>2.3147590004297767</v>
      </c>
      <c r="L48" s="252">
        <f>IF(L$9=0,0,L$9/AGR_fec!L$9)</f>
        <v>2.5758509265779805</v>
      </c>
      <c r="M48" s="252">
        <f>IF(M$9=0,0,M$9/AGR_fec!M$9)</f>
        <v>2.5115219096351593</v>
      </c>
      <c r="N48" s="252">
        <f>IF(N$9=0,0,N$9/AGR_fec!N$9)</f>
        <v>2.5598766088067451</v>
      </c>
      <c r="O48" s="252">
        <f>IF(O$9=0,0,O$9/AGR_fec!O$9)</f>
        <v>2.5163794003376152</v>
      </c>
      <c r="P48" s="252">
        <f>IF(P$9=0,0,P$9/AGR_fec!P$9)</f>
        <v>2.3907077889676684</v>
      </c>
      <c r="Q48" s="252">
        <f>IF(Q$9=0,0,Q$9/AGR_fec!Q$9)</f>
        <v>2.3517836371657981</v>
      </c>
      <c r="R48" s="252">
        <f>IF(R$9=0,0,R$9/AGR_fec!R$9)</f>
        <v>2.3720450803502189</v>
      </c>
      <c r="S48" s="252">
        <f>IF(S$9=0,0,S$9/AGR_fec!S$9)</f>
        <v>2.4006170559735645</v>
      </c>
      <c r="T48" s="252">
        <f>IF(T$9=0,0,T$9/AGR_fec!T$9)</f>
        <v>2.5998721805052485</v>
      </c>
      <c r="U48" s="252">
        <f>IF(U$9=0,0,U$9/AGR_fec!U$9)</f>
        <v>2.5491071272195462</v>
      </c>
      <c r="V48" s="252">
        <f>IF(V$9=0,0,V$9/AGR_fec!V$9)</f>
        <v>2.6499124253026998</v>
      </c>
      <c r="W48" s="252">
        <f>IF(W$9=0,0,W$9/AGR_fec!W$9)</f>
        <v>2.5905730599047314</v>
      </c>
      <c r="X48" s="252">
        <f>IF(X$9=0,0,X$9/AGR_fec!X$9)</f>
        <v>2.6109719866696159</v>
      </c>
      <c r="Y48" s="252">
        <f>IF(Y$9=0,0,Y$9/AGR_fec!Y$9)</f>
        <v>2.5378467378747511</v>
      </c>
      <c r="DA48" s="289"/>
    </row>
    <row r="49" spans="1:105" x14ac:dyDescent="0.25">
      <c r="A49" s="127" t="s">
        <v>168</v>
      </c>
      <c r="B49" s="264">
        <f>IF(B$16=0,0,B$16/AGR_fec!B$16)</f>
        <v>3.1024188000000001</v>
      </c>
      <c r="C49" s="264">
        <f>IF(C$16=0,0,C$16/AGR_fec!C$16)</f>
        <v>3.1024187999999993</v>
      </c>
      <c r="D49" s="264">
        <f>IF(D$16=0,0,D$16/AGR_fec!D$16)</f>
        <v>3.102418800000001</v>
      </c>
      <c r="E49" s="264">
        <f>IF(E$16=0,0,E$16/AGR_fec!E$16)</f>
        <v>3.1024188000000001</v>
      </c>
      <c r="F49" s="264">
        <f>IF(F$16=0,0,F$16/AGR_fec!F$16)</f>
        <v>3.1024187999999997</v>
      </c>
      <c r="G49" s="264">
        <f>IF(G$16=0,0,G$16/AGR_fec!G$16)</f>
        <v>3.1024188000000006</v>
      </c>
      <c r="H49" s="264">
        <f>IF(H$16=0,0,H$16/AGR_fec!H$16)</f>
        <v>3.1024187999999993</v>
      </c>
      <c r="I49" s="264">
        <f>IF(I$16=0,0,I$16/AGR_fec!I$16)</f>
        <v>3.1024188000000006</v>
      </c>
      <c r="J49" s="264">
        <f>IF(J$16=0,0,J$16/AGR_fec!J$16)</f>
        <v>3.1024188000000006</v>
      </c>
      <c r="K49" s="264">
        <f>IF(K$16=0,0,K$16/AGR_fec!K$16)</f>
        <v>3.1024187999999993</v>
      </c>
      <c r="L49" s="264">
        <f>IF(L$16=0,0,L$16/AGR_fec!L$16)</f>
        <v>3.1024187999999993</v>
      </c>
      <c r="M49" s="264">
        <f>IF(M$16=0,0,M$16/AGR_fec!M$16)</f>
        <v>3.1024188000000006</v>
      </c>
      <c r="N49" s="264">
        <f>IF(N$16=0,0,N$16/AGR_fec!N$16)</f>
        <v>3.1011673574049023</v>
      </c>
      <c r="O49" s="264">
        <f>IF(O$16=0,0,O$16/AGR_fec!O$16)</f>
        <v>3.0983179035499298</v>
      </c>
      <c r="P49" s="264">
        <f>IF(P$16=0,0,P$16/AGR_fec!P$16)</f>
        <v>3.0980277214204559</v>
      </c>
      <c r="Q49" s="264">
        <f>IF(Q$16=0,0,Q$16/AGR_fec!Q$16)</f>
        <v>3.0937912923017357</v>
      </c>
      <c r="R49" s="264">
        <f>IF(R$16=0,0,R$16/AGR_fec!R$16)</f>
        <v>3.0954145445617525</v>
      </c>
      <c r="S49" s="264">
        <f>IF(S$16=0,0,S$16/AGR_fec!S$16)</f>
        <v>3.0944564413025017</v>
      </c>
      <c r="T49" s="264">
        <f>IF(T$16=0,0,T$16/AGR_fec!T$16)</f>
        <v>3.0916129653317483</v>
      </c>
      <c r="U49" s="264">
        <f>IF(U$16=0,0,U$16/AGR_fec!U$16)</f>
        <v>3.0928920058158598</v>
      </c>
      <c r="V49" s="264">
        <f>IF(V$16=0,0,V$16/AGR_fec!V$16)</f>
        <v>3.1024188000000006</v>
      </c>
      <c r="W49" s="264">
        <f>IF(W$16=0,0,W$16/AGR_fec!W$16)</f>
        <v>3.1014340374950211</v>
      </c>
      <c r="X49" s="264">
        <f>IF(X$16=0,0,X$16/AGR_fec!X$16)</f>
        <v>3.1017331806168169</v>
      </c>
      <c r="Y49" s="264">
        <f>IF(Y$16=0,0,Y$16/AGR_fec!Y$16)</f>
        <v>3.1004458473668612</v>
      </c>
      <c r="DA49" s="290"/>
    </row>
    <row r="50" spans="1:105" x14ac:dyDescent="0.25">
      <c r="A50" s="127" t="s">
        <v>121</v>
      </c>
      <c r="B50" s="264">
        <f>IF(B$17=0,0,B$17/AGR_fec!B$17)</f>
        <v>2.9884682070369788</v>
      </c>
      <c r="C50" s="264">
        <f>IF(C$17=0,0,C$17/AGR_fec!C$17)</f>
        <v>3.0051222157591422</v>
      </c>
      <c r="D50" s="264">
        <f>IF(D$17=0,0,D$17/AGR_fec!D$17)</f>
        <v>2.9987315277661306</v>
      </c>
      <c r="E50" s="264">
        <f>IF(E$17=0,0,E$17/AGR_fec!E$17)</f>
        <v>2.8505516344209099</v>
      </c>
      <c r="F50" s="264">
        <f>IF(F$17=0,0,F$17/AGR_fec!F$17)</f>
        <v>2.8279408415033882</v>
      </c>
      <c r="G50" s="264">
        <f>IF(G$17=0,0,G$17/AGR_fec!G$17)</f>
        <v>2.8739948855840534</v>
      </c>
      <c r="H50" s="264">
        <f>IF(H$17=0,0,H$17/AGR_fec!H$17)</f>
        <v>2.8580408240417809</v>
      </c>
      <c r="I50" s="264">
        <f>IF(I$17=0,0,I$17/AGR_fec!I$17)</f>
        <v>2.8695844672529978</v>
      </c>
      <c r="J50" s="264">
        <f>IF(J$17=0,0,J$17/AGR_fec!J$17)</f>
        <v>2.8198221308794573</v>
      </c>
      <c r="K50" s="264">
        <f>IF(K$17=0,0,K$17/AGR_fec!K$17)</f>
        <v>2.8113153211990993</v>
      </c>
      <c r="L50" s="264">
        <f>IF(L$17=0,0,L$17/AGR_fec!L$17)</f>
        <v>2.7632947523170435</v>
      </c>
      <c r="M50" s="264">
        <f>IF(M$17=0,0,M$17/AGR_fec!M$17)</f>
        <v>2.6141884561646846</v>
      </c>
      <c r="N50" s="264">
        <f>IF(N$17=0,0,N$17/AGR_fec!N$17)</f>
        <v>2.5997101884437601</v>
      </c>
      <c r="O50" s="264">
        <f>IF(O$17=0,0,O$17/AGR_fec!O$17)</f>
        <v>2.6270792368760465</v>
      </c>
      <c r="P50" s="264">
        <f>IF(P$17=0,0,P$17/AGR_fec!P$17)</f>
        <v>2.6061868002688713</v>
      </c>
      <c r="Q50" s="264">
        <f>IF(Q$17=0,0,Q$17/AGR_fec!Q$17)</f>
        <v>2.7221898727008464</v>
      </c>
      <c r="R50" s="264">
        <f>IF(R$17=0,0,R$17/AGR_fec!R$17)</f>
        <v>2.7778466713224086</v>
      </c>
      <c r="S50" s="264">
        <f>IF(S$17=0,0,S$17/AGR_fec!S$17)</f>
        <v>2.7732254311058591</v>
      </c>
      <c r="T50" s="264">
        <f>IF(T$17=0,0,T$17/AGR_fec!T$17)</f>
        <v>2.7816432984645134</v>
      </c>
      <c r="U50" s="264">
        <f>IF(U$17=0,0,U$17/AGR_fec!U$17)</f>
        <v>2.774310990324707</v>
      </c>
      <c r="V50" s="264">
        <f>IF(V$17=0,0,V$17/AGR_fec!V$17)</f>
        <v>2.8080039626141491</v>
      </c>
      <c r="W50" s="264">
        <f>IF(W$17=0,0,W$17/AGR_fec!W$17)</f>
        <v>2.8217636168280515</v>
      </c>
      <c r="X50" s="264">
        <f>IF(X$17=0,0,X$17/AGR_fec!X$17)</f>
        <v>2.8217909154103054</v>
      </c>
      <c r="Y50" s="264">
        <f>IF(Y$17=0,0,Y$17/AGR_fec!Y$17)</f>
        <v>2.7977353433777674</v>
      </c>
      <c r="DA50" s="290"/>
    </row>
    <row r="51" spans="1:105" x14ac:dyDescent="0.25">
      <c r="A51" s="127" t="s">
        <v>167</v>
      </c>
      <c r="B51" s="264">
        <f>IF(B$25=0,0,B$25/AGR_fec!B$25)</f>
        <v>3.102418800000001</v>
      </c>
      <c r="C51" s="264">
        <f>IF(C$25=0,0,C$25/AGR_fec!C$25)</f>
        <v>3.1024187999999997</v>
      </c>
      <c r="D51" s="264">
        <f>IF(D$25=0,0,D$25/AGR_fec!D$25)</f>
        <v>3.1024187999999993</v>
      </c>
      <c r="E51" s="264">
        <f>IF(E$25=0,0,E$25/AGR_fec!E$25)</f>
        <v>3.102418800000001</v>
      </c>
      <c r="F51" s="264">
        <f>IF(F$25=0,0,F$25/AGR_fec!F$25)</f>
        <v>3.1024188000000006</v>
      </c>
      <c r="G51" s="264">
        <f>IF(G$25=0,0,G$25/AGR_fec!G$25)</f>
        <v>3.1024187999999988</v>
      </c>
      <c r="H51" s="264">
        <f>IF(H$25=0,0,H$25/AGR_fec!H$25)</f>
        <v>3.1024187999999988</v>
      </c>
      <c r="I51" s="264">
        <f>IF(I$25=0,0,I$25/AGR_fec!I$25)</f>
        <v>3.102418800000001</v>
      </c>
      <c r="J51" s="264">
        <f>IF(J$25=0,0,J$25/AGR_fec!J$25)</f>
        <v>3.1024187999999984</v>
      </c>
      <c r="K51" s="264">
        <f>IF(K$25=0,0,K$25/AGR_fec!K$25)</f>
        <v>3.1024187999999997</v>
      </c>
      <c r="L51" s="264">
        <f>IF(L$25=0,0,L$25/AGR_fec!L$25)</f>
        <v>3.1024188000000015</v>
      </c>
      <c r="M51" s="264">
        <f>IF(M$25=0,0,M$25/AGR_fec!M$25)</f>
        <v>3.1024188000000015</v>
      </c>
      <c r="N51" s="264">
        <f>IF(N$25=0,0,N$25/AGR_fec!N$25)</f>
        <v>3.1011673574049037</v>
      </c>
      <c r="O51" s="264">
        <f>IF(O$25=0,0,O$25/AGR_fec!O$25)</f>
        <v>3.0983179035499306</v>
      </c>
      <c r="P51" s="264">
        <f>IF(P$25=0,0,P$25/AGR_fec!P$25)</f>
        <v>3.098027721420455</v>
      </c>
      <c r="Q51" s="264">
        <f>IF(Q$25=0,0,Q$25/AGR_fec!Q$25)</f>
        <v>3.0937912923017357</v>
      </c>
      <c r="R51" s="264">
        <f>IF(R$25=0,0,R$25/AGR_fec!R$25)</f>
        <v>3.0954145445617525</v>
      </c>
      <c r="S51" s="264">
        <f>IF(S$25=0,0,S$25/AGR_fec!S$25)</f>
        <v>3.0944564413025</v>
      </c>
      <c r="T51" s="264">
        <f>IF(T$25=0,0,T$25/AGR_fec!T$25)</f>
        <v>3.0916129653317492</v>
      </c>
      <c r="U51" s="264">
        <f>IF(U$25=0,0,U$25/AGR_fec!U$25)</f>
        <v>3.0928920058158593</v>
      </c>
      <c r="V51" s="264">
        <f>IF(V$25=0,0,V$25/AGR_fec!V$25)</f>
        <v>3.1024188000000001</v>
      </c>
      <c r="W51" s="264">
        <f>IF(W$25=0,0,W$25/AGR_fec!W$25)</f>
        <v>3.101434037495022</v>
      </c>
      <c r="X51" s="264">
        <f>IF(X$25=0,0,X$25/AGR_fec!X$25)</f>
        <v>3.1017331806168187</v>
      </c>
      <c r="Y51" s="264">
        <f>IF(Y$25=0,0,Y$25/AGR_fec!Y$25)</f>
        <v>3.1004458473668608</v>
      </c>
      <c r="DA51" s="290"/>
    </row>
    <row r="52" spans="1:105" x14ac:dyDescent="0.25">
      <c r="A52" s="127" t="s">
        <v>170</v>
      </c>
      <c r="B52" s="264">
        <f>IF(B$26=0,0,B$26/AGR_fec!B$26)</f>
        <v>0</v>
      </c>
      <c r="C52" s="264">
        <f>IF(C$26=0,0,C$26/AGR_fec!C$26)</f>
        <v>0</v>
      </c>
      <c r="D52" s="264">
        <f>IF(D$26=0,0,D$26/AGR_fec!D$26)</f>
        <v>0</v>
      </c>
      <c r="E52" s="264">
        <f>IF(E$26=0,0,E$26/AGR_fec!E$26)</f>
        <v>0</v>
      </c>
      <c r="F52" s="264">
        <f>IF(F$26=0,0,F$26/AGR_fec!F$26)</f>
        <v>0</v>
      </c>
      <c r="G52" s="264">
        <f>IF(G$26=0,0,G$26/AGR_fec!G$26)</f>
        <v>0</v>
      </c>
      <c r="H52" s="264">
        <f>IF(H$26=0,0,H$26/AGR_fec!H$26)</f>
        <v>0</v>
      </c>
      <c r="I52" s="264">
        <f>IF(I$26=0,0,I$26/AGR_fec!I$26)</f>
        <v>0</v>
      </c>
      <c r="J52" s="264">
        <f>IF(J$26=0,0,J$26/AGR_fec!J$26)</f>
        <v>0</v>
      </c>
      <c r="K52" s="264">
        <f>IF(K$26=0,0,K$26/AGR_fec!K$26)</f>
        <v>0</v>
      </c>
      <c r="L52" s="264">
        <f>IF(L$26=0,0,L$26/AGR_fec!L$26)</f>
        <v>0</v>
      </c>
      <c r="M52" s="264">
        <f>IF(M$26=0,0,M$26/AGR_fec!M$26)</f>
        <v>0</v>
      </c>
      <c r="N52" s="264">
        <f>IF(N$26=0,0,N$26/AGR_fec!N$26)</f>
        <v>0</v>
      </c>
      <c r="O52" s="264">
        <f>IF(O$26=0,0,O$26/AGR_fec!O$26)</f>
        <v>0</v>
      </c>
      <c r="P52" s="264">
        <f>IF(P$26=0,0,P$26/AGR_fec!P$26)</f>
        <v>0</v>
      </c>
      <c r="Q52" s="264">
        <f>IF(Q$26=0,0,Q$26/AGR_fec!Q$26)</f>
        <v>0</v>
      </c>
      <c r="R52" s="264">
        <f>IF(R$26=0,0,R$26/AGR_fec!R$26)</f>
        <v>0</v>
      </c>
      <c r="S52" s="264">
        <f>IF(S$26=0,0,S$26/AGR_fec!S$26)</f>
        <v>0</v>
      </c>
      <c r="T52" s="264">
        <f>IF(T$26=0,0,T$26/AGR_fec!T$26)</f>
        <v>0</v>
      </c>
      <c r="U52" s="264">
        <f>IF(U$26=0,0,U$26/AGR_fec!U$26)</f>
        <v>0</v>
      </c>
      <c r="V52" s="264">
        <f>IF(V$26=0,0,V$26/AGR_fec!V$26)</f>
        <v>0</v>
      </c>
      <c r="W52" s="264">
        <f>IF(W$26=0,0,W$26/AGR_fec!W$26)</f>
        <v>0</v>
      </c>
      <c r="X52" s="264">
        <f>IF(X$26=0,0,X$26/AGR_fec!X$26)</f>
        <v>0</v>
      </c>
      <c r="Y52" s="264">
        <f>IF(Y$26=0,0,Y$26/AGR_fec!Y$26)</f>
        <v>0</v>
      </c>
      <c r="DA52" s="290"/>
    </row>
    <row r="53" spans="1:105" x14ac:dyDescent="0.25">
      <c r="A53" s="260" t="s">
        <v>33</v>
      </c>
      <c r="B53" s="265">
        <f>IF(B$27=0,0,B$27/AGR_fec!B$27)</f>
        <v>0</v>
      </c>
      <c r="C53" s="265">
        <f>IF(C$27=0,0,C$27/AGR_fec!C$27)</f>
        <v>0</v>
      </c>
      <c r="D53" s="265">
        <f>IF(D$27=0,0,D$27/AGR_fec!D$27)</f>
        <v>0</v>
      </c>
      <c r="E53" s="265">
        <f>IF(E$27=0,0,E$27/AGR_fec!E$27)</f>
        <v>0</v>
      </c>
      <c r="F53" s="265">
        <f>IF(F$27=0,0,F$27/AGR_fec!F$27)</f>
        <v>0</v>
      </c>
      <c r="G53" s="265">
        <f>IF(G$27=0,0,G$27/AGR_fec!G$27)</f>
        <v>0</v>
      </c>
      <c r="H53" s="265">
        <f>IF(H$27=0,0,H$27/AGR_fec!H$27)</f>
        <v>0</v>
      </c>
      <c r="I53" s="265">
        <f>IF(I$27=0,0,I$27/AGR_fec!I$27)</f>
        <v>0</v>
      </c>
      <c r="J53" s="265">
        <f>IF(J$27=0,0,J$27/AGR_fec!J$27)</f>
        <v>0</v>
      </c>
      <c r="K53" s="265">
        <f>IF(K$27=0,0,K$27/AGR_fec!K$27)</f>
        <v>0</v>
      </c>
      <c r="L53" s="265">
        <f>IF(L$27=0,0,L$27/AGR_fec!L$27)</f>
        <v>0</v>
      </c>
      <c r="M53" s="265">
        <f>IF(M$27=0,0,M$27/AGR_fec!M$27)</f>
        <v>0</v>
      </c>
      <c r="N53" s="265">
        <f>IF(N$27=0,0,N$27/AGR_fec!N$27)</f>
        <v>0</v>
      </c>
      <c r="O53" s="265">
        <f>IF(O$27=0,0,O$27/AGR_fec!O$27)</f>
        <v>0</v>
      </c>
      <c r="P53" s="265">
        <f>IF(P$27=0,0,P$27/AGR_fec!P$27)</f>
        <v>0</v>
      </c>
      <c r="Q53" s="265">
        <f>IF(Q$27=0,0,Q$27/AGR_fec!Q$27)</f>
        <v>0</v>
      </c>
      <c r="R53" s="265">
        <f>IF(R$27=0,0,R$27/AGR_fec!R$27)</f>
        <v>0</v>
      </c>
      <c r="S53" s="265">
        <f>IF(S$27=0,0,S$27/AGR_fec!S$27)</f>
        <v>0</v>
      </c>
      <c r="T53" s="265">
        <f>IF(T$27=0,0,T$27/AGR_fec!T$27)</f>
        <v>0</v>
      </c>
      <c r="U53" s="265">
        <f>IF(U$27=0,0,U$27/AGR_fec!U$27)</f>
        <v>0</v>
      </c>
      <c r="V53" s="265">
        <f>IF(V$27=0,0,V$27/AGR_fec!V$27)</f>
        <v>0</v>
      </c>
      <c r="W53" s="265">
        <f>IF(W$27=0,0,W$27/AGR_fec!W$27)</f>
        <v>0</v>
      </c>
      <c r="X53" s="265">
        <f>IF(X$27=0,0,X$27/AGR_fec!X$27)</f>
        <v>0</v>
      </c>
      <c r="Y53" s="265">
        <f>IF(Y$27=0,0,Y$27/AGR_fec!Y$27)</f>
        <v>0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2025-11-06T10:23:25Z</dcterms:created>
  <dcterms:modified xsi:type="dcterms:W3CDTF">2025-11-06T10:23:25Z</dcterms:modified>
</cp:coreProperties>
</file>